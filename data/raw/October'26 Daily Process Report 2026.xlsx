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drawings/drawing1.xml" ContentType="application/vnd.openxmlformats-officedocument.drawing+xml"/>
  <Override PartName="/xl/comments1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F:\Operations\Brewing\Reports Local\Daily Process Report\2026 Daily Process Report\"/>
    </mc:Choice>
  </mc:AlternateContent>
  <xr:revisionPtr revIDLastSave="0" documentId="13_ncr:1_{6027DB98-4345-47E2-A574-1ECB8330C815}" xr6:coauthVersionLast="47" xr6:coauthVersionMax="47" xr10:uidLastSave="{00000000-0000-0000-0000-000000000000}"/>
  <bookViews>
    <workbookView xWindow="-120" yWindow="-120" windowWidth="29040" windowHeight="15720" tabRatio="599" firstSheet="3" activeTab="11" xr2:uid="{1120807F-7390-4E10-A66F-84111922E872}"/>
  </bookViews>
  <sheets>
    <sheet name="Dec 18th" sheetId="658" state="hidden" r:id="rId1"/>
    <sheet name="Oct 1st" sheetId="1082" r:id="rId2"/>
    <sheet name="Oct 2nd" sheetId="1083" r:id="rId3"/>
    <sheet name="Oct 5th" sheetId="1084" r:id="rId4"/>
    <sheet name="Oct 6th" sheetId="1085" r:id="rId5"/>
    <sheet name="Oct 7th" sheetId="1086" r:id="rId6"/>
    <sheet name="Oct 8th " sheetId="1087" r:id="rId7"/>
    <sheet name="Oct 9th-10th" sheetId="1088" r:id="rId8"/>
    <sheet name="Oct 12th" sheetId="1089" r:id="rId9"/>
    <sheet name="Oct 13th " sheetId="1090" r:id="rId10"/>
    <sheet name="Oct 14th" sheetId="1091" r:id="rId11"/>
    <sheet name="Oct 15th " sheetId="1092" r:id="rId12"/>
    <sheet name="MTD_Links" sheetId="18" r:id="rId13"/>
    <sheet name="YTD_Links" sheetId="19" r:id="rId14"/>
    <sheet name="KPIs" sheetId="20" state="hidden" r:id="rId15"/>
    <sheet name="Brewer Performance" sheetId="21" state="hidden" r:id="rId16"/>
  </sheets>
  <externalReferences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</externalReferences>
  <definedNames>
    <definedName name="_xlnm.Print_Area" localSheetId="15">'Brewer Performance'!$B$2:$K$35</definedName>
    <definedName name="_xlnm.Print_Area" localSheetId="12">MTD_Links!$B$2:$K$65</definedName>
    <definedName name="_xlnm.Print_Area" localSheetId="13">YTD_Links!$B$2:$K$65</definedName>
    <definedName name="ProductList" localSheetId="15">[1]November15!$R$3:$R$9</definedName>
    <definedName name="ProductList">[2]November15!$R$3:$R$9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M25" i="1092" l="1"/>
  <c r="L25" i="1092"/>
  <c r="K25" i="1092"/>
  <c r="J25" i="1092"/>
  <c r="C16" i="1092"/>
  <c r="D16" i="1092"/>
  <c r="E16" i="1092"/>
  <c r="F16" i="1092"/>
  <c r="G16" i="1092"/>
  <c r="J16" i="1092"/>
  <c r="K16" i="1092"/>
  <c r="L16" i="1092"/>
  <c r="M16" i="1092"/>
  <c r="N16" i="1092"/>
  <c r="O16" i="1092"/>
  <c r="C72" i="1092"/>
  <c r="K72" i="1092"/>
  <c r="G72" i="1092"/>
  <c r="G55" i="1092"/>
  <c r="D55" i="1092"/>
  <c r="K55" i="1092"/>
  <c r="B55" i="1092"/>
  <c r="C36" i="1092"/>
  <c r="C37" i="1092"/>
  <c r="C38" i="1092"/>
  <c r="C39" i="1092"/>
  <c r="C40" i="1092"/>
  <c r="C41" i="1092"/>
  <c r="C42" i="1092"/>
  <c r="C43" i="1092"/>
  <c r="I16" i="1092" l="1"/>
  <c r="B36" i="1092" l="1"/>
  <c r="G53" i="1092"/>
  <c r="C24" i="1092" l="1"/>
  <c r="C25" i="1092"/>
  <c r="C26" i="1092"/>
  <c r="C27" i="1092"/>
  <c r="C28" i="1092"/>
  <c r="C29" i="1092"/>
  <c r="C30" i="1092"/>
  <c r="C31" i="1092"/>
  <c r="C11" i="1092"/>
  <c r="D11" i="1092"/>
  <c r="E11" i="1092"/>
  <c r="F11" i="1092"/>
  <c r="G11" i="1092"/>
  <c r="I11" i="1092"/>
  <c r="J11" i="1092"/>
  <c r="K11" i="1092"/>
  <c r="L11" i="1092"/>
  <c r="M11" i="1092"/>
  <c r="N11" i="1092"/>
  <c r="O11" i="1092"/>
  <c r="C12" i="1092"/>
  <c r="D12" i="1092"/>
  <c r="E12" i="1092"/>
  <c r="F12" i="1092"/>
  <c r="G12" i="1092"/>
  <c r="I12" i="1092"/>
  <c r="J12" i="1092"/>
  <c r="K12" i="1092"/>
  <c r="L12" i="1092"/>
  <c r="M12" i="1092"/>
  <c r="N12" i="1092"/>
  <c r="O12" i="1092"/>
  <c r="C13" i="1092"/>
  <c r="D13" i="1092"/>
  <c r="E13" i="1092"/>
  <c r="F13" i="1092"/>
  <c r="G13" i="1092"/>
  <c r="I13" i="1092"/>
  <c r="J13" i="1092"/>
  <c r="K13" i="1092"/>
  <c r="L13" i="1092"/>
  <c r="M13" i="1092"/>
  <c r="N13" i="1092"/>
  <c r="O13" i="1092"/>
  <c r="C14" i="1092"/>
  <c r="D14" i="1092"/>
  <c r="E14" i="1092"/>
  <c r="F14" i="1092"/>
  <c r="G14" i="1092"/>
  <c r="I14" i="1092"/>
  <c r="J14" i="1092"/>
  <c r="K14" i="1092"/>
  <c r="L14" i="1092"/>
  <c r="M14" i="1092"/>
  <c r="N14" i="1092"/>
  <c r="O14" i="1092"/>
  <c r="C15" i="1092"/>
  <c r="D15" i="1092"/>
  <c r="E15" i="1092"/>
  <c r="F15" i="1092"/>
  <c r="G15" i="1092"/>
  <c r="I15" i="1092"/>
  <c r="J15" i="1092"/>
  <c r="K15" i="1092"/>
  <c r="L15" i="1092"/>
  <c r="M15" i="1092"/>
  <c r="N15" i="1092"/>
  <c r="O15" i="1092"/>
  <c r="O10" i="1092"/>
  <c r="N10" i="1092"/>
  <c r="M10" i="1092"/>
  <c r="L10" i="1092"/>
  <c r="K10" i="1092"/>
  <c r="J10" i="1092"/>
  <c r="I10" i="1092"/>
  <c r="G10" i="1092"/>
  <c r="F10" i="1092"/>
  <c r="E10" i="1092"/>
  <c r="D10" i="1092"/>
  <c r="C10" i="1092"/>
  <c r="AX55" i="1092"/>
  <c r="AW55" i="1092"/>
  <c r="AV55" i="1092"/>
  <c r="AU55" i="1092"/>
  <c r="AT55" i="1092"/>
  <c r="AS55" i="1092"/>
  <c r="AR55" i="1092"/>
  <c r="AQ55" i="1092"/>
  <c r="AP55" i="1092"/>
  <c r="AO55" i="1092"/>
  <c r="AN55" i="1092"/>
  <c r="AM55" i="1092"/>
  <c r="AL55" i="1092"/>
  <c r="AK55" i="1092"/>
  <c r="AJ55" i="1092"/>
  <c r="AI55" i="1092"/>
  <c r="AH55" i="1092"/>
  <c r="AG55" i="1092"/>
  <c r="AF55" i="1092"/>
  <c r="AE55" i="1092"/>
  <c r="AD55" i="1092"/>
  <c r="AC55" i="1092"/>
  <c r="AB55" i="1092"/>
  <c r="AX54" i="1092"/>
  <c r="AW54" i="1092"/>
  <c r="AV54" i="1092"/>
  <c r="AU54" i="1092"/>
  <c r="AT54" i="1092"/>
  <c r="AS54" i="1092"/>
  <c r="AR54" i="1092"/>
  <c r="AQ54" i="1092"/>
  <c r="AP54" i="1092"/>
  <c r="AO54" i="1092"/>
  <c r="AN54" i="1092"/>
  <c r="AM54" i="1092"/>
  <c r="AL54" i="1092"/>
  <c r="AK54" i="1092"/>
  <c r="AJ54" i="1092"/>
  <c r="AI54" i="1092"/>
  <c r="AH54" i="1092"/>
  <c r="AG54" i="1092"/>
  <c r="AF54" i="1092"/>
  <c r="AE54" i="1092"/>
  <c r="AD54" i="1092"/>
  <c r="AC54" i="1092"/>
  <c r="AB54" i="1092"/>
  <c r="AX53" i="1092"/>
  <c r="AW53" i="1092"/>
  <c r="AV53" i="1092"/>
  <c r="AU53" i="1092"/>
  <c r="AT53" i="1092"/>
  <c r="AS53" i="1092"/>
  <c r="AR53" i="1092"/>
  <c r="AQ53" i="1092"/>
  <c r="AP53" i="1092"/>
  <c r="AO53" i="1092"/>
  <c r="AN53" i="1092"/>
  <c r="AM53" i="1092"/>
  <c r="AL53" i="1092"/>
  <c r="AK53" i="1092"/>
  <c r="AJ53" i="1092"/>
  <c r="AI53" i="1092"/>
  <c r="AH53" i="1092"/>
  <c r="AG53" i="1092"/>
  <c r="AF53" i="1092"/>
  <c r="AE53" i="1092"/>
  <c r="AD53" i="1092"/>
  <c r="AC53" i="1092"/>
  <c r="AB53" i="1092"/>
  <c r="B53" i="1092"/>
  <c r="K48" i="1092"/>
  <c r="L39" i="1092" s="1"/>
  <c r="M39" i="1092" s="1"/>
  <c r="Z35" i="1092"/>
  <c r="Y35" i="1092"/>
  <c r="X35" i="1092"/>
  <c r="W35" i="1092"/>
  <c r="V35" i="1092"/>
  <c r="U35" i="1092"/>
  <c r="T35" i="1092"/>
  <c r="S35" i="1092"/>
  <c r="R35" i="1092"/>
  <c r="Z34" i="1092"/>
  <c r="Y34" i="1092"/>
  <c r="X34" i="1092"/>
  <c r="W34" i="1092"/>
  <c r="V34" i="1092"/>
  <c r="U34" i="1092"/>
  <c r="T34" i="1092"/>
  <c r="S34" i="1092"/>
  <c r="R34" i="1092"/>
  <c r="Z33" i="1092"/>
  <c r="Y33" i="1092"/>
  <c r="X33" i="1092"/>
  <c r="W33" i="1092"/>
  <c r="V33" i="1092"/>
  <c r="U33" i="1092"/>
  <c r="T33" i="1092"/>
  <c r="S33" i="1092"/>
  <c r="R33" i="1092"/>
  <c r="Z32" i="1092"/>
  <c r="Y32" i="1092"/>
  <c r="X32" i="1092"/>
  <c r="W32" i="1092"/>
  <c r="V32" i="1092"/>
  <c r="U32" i="1092"/>
  <c r="T32" i="1092"/>
  <c r="S32" i="1092"/>
  <c r="R32" i="1092"/>
  <c r="Z31" i="1092"/>
  <c r="Y31" i="1092"/>
  <c r="X31" i="1092"/>
  <c r="W31" i="1092"/>
  <c r="V31" i="1092"/>
  <c r="U31" i="1092"/>
  <c r="T31" i="1092"/>
  <c r="S31" i="1092"/>
  <c r="R31" i="1092"/>
  <c r="Z30" i="1092"/>
  <c r="Y30" i="1092"/>
  <c r="X30" i="1092"/>
  <c r="W30" i="1092"/>
  <c r="V30" i="1092"/>
  <c r="U30" i="1092"/>
  <c r="T30" i="1092"/>
  <c r="S30" i="1092"/>
  <c r="R30" i="1092"/>
  <c r="M30" i="1092"/>
  <c r="L30" i="1092"/>
  <c r="K30" i="1092"/>
  <c r="Z29" i="1092"/>
  <c r="Y29" i="1092"/>
  <c r="X29" i="1092"/>
  <c r="W29" i="1092"/>
  <c r="V29" i="1092"/>
  <c r="U29" i="1092"/>
  <c r="T29" i="1092"/>
  <c r="S29" i="1092"/>
  <c r="R29" i="1092"/>
  <c r="M29" i="1092"/>
  <c r="Z28" i="1092"/>
  <c r="Y28" i="1092"/>
  <c r="X28" i="1092"/>
  <c r="W28" i="1092"/>
  <c r="V28" i="1092"/>
  <c r="U28" i="1092"/>
  <c r="T28" i="1092"/>
  <c r="S28" i="1092"/>
  <c r="R28" i="1092"/>
  <c r="Z27" i="1092"/>
  <c r="Y27" i="1092"/>
  <c r="X27" i="1092"/>
  <c r="W27" i="1092"/>
  <c r="V27" i="1092"/>
  <c r="U27" i="1092"/>
  <c r="T27" i="1092"/>
  <c r="S27" i="1092"/>
  <c r="R27" i="1092"/>
  <c r="M27" i="1092"/>
  <c r="Z26" i="1092"/>
  <c r="Y26" i="1092"/>
  <c r="X26" i="1092"/>
  <c r="W26" i="1092"/>
  <c r="V26" i="1092"/>
  <c r="U26" i="1092"/>
  <c r="T26" i="1092"/>
  <c r="S26" i="1092"/>
  <c r="R26" i="1092"/>
  <c r="M26" i="1092"/>
  <c r="L26" i="1092"/>
  <c r="K26" i="1092"/>
  <c r="Z25" i="1092"/>
  <c r="Y25" i="1092"/>
  <c r="X25" i="1092"/>
  <c r="W25" i="1092"/>
  <c r="V25" i="1092"/>
  <c r="U25" i="1092"/>
  <c r="T25" i="1092"/>
  <c r="S25" i="1092"/>
  <c r="R25" i="1092"/>
  <c r="M24" i="1092"/>
  <c r="L24" i="1092"/>
  <c r="K24" i="1092"/>
  <c r="B24" i="1092"/>
  <c r="Z24" i="1092" s="1"/>
  <c r="Z23" i="1092"/>
  <c r="Y23" i="1092"/>
  <c r="X23" i="1092"/>
  <c r="W23" i="1092"/>
  <c r="V23" i="1092"/>
  <c r="U23" i="1092"/>
  <c r="T23" i="1092"/>
  <c r="S23" i="1092"/>
  <c r="R23" i="1092"/>
  <c r="Z22" i="1092"/>
  <c r="Y22" i="1092"/>
  <c r="X22" i="1092"/>
  <c r="W22" i="1092"/>
  <c r="V22" i="1092"/>
  <c r="U22" i="1092"/>
  <c r="T22" i="1092"/>
  <c r="S22" i="1092"/>
  <c r="R22" i="1092"/>
  <c r="Z21" i="1092"/>
  <c r="Y21" i="1092"/>
  <c r="X21" i="1092"/>
  <c r="W21" i="1092"/>
  <c r="V21" i="1092"/>
  <c r="U21" i="1092"/>
  <c r="T21" i="1092"/>
  <c r="S21" i="1092"/>
  <c r="R21" i="1092"/>
  <c r="Z20" i="1092"/>
  <c r="Y20" i="1092"/>
  <c r="X20" i="1092"/>
  <c r="W20" i="1092"/>
  <c r="V20" i="1092"/>
  <c r="U20" i="1092"/>
  <c r="T20" i="1092"/>
  <c r="S20" i="1092"/>
  <c r="R20" i="1092"/>
  <c r="Z19" i="1092"/>
  <c r="Y19" i="1092"/>
  <c r="X19" i="1092"/>
  <c r="W19" i="1092"/>
  <c r="V19" i="1092"/>
  <c r="U19" i="1092"/>
  <c r="T19" i="1092"/>
  <c r="S19" i="1092"/>
  <c r="R19" i="1092"/>
  <c r="Z18" i="1092"/>
  <c r="Y18" i="1092"/>
  <c r="X18" i="1092"/>
  <c r="W18" i="1092"/>
  <c r="V18" i="1092"/>
  <c r="U18" i="1092"/>
  <c r="T18" i="1092"/>
  <c r="S18" i="1092"/>
  <c r="R18" i="1092"/>
  <c r="Z17" i="1092"/>
  <c r="Y17" i="1092"/>
  <c r="X17" i="1092"/>
  <c r="W17" i="1092"/>
  <c r="V17" i="1092"/>
  <c r="U17" i="1092"/>
  <c r="T17" i="1092"/>
  <c r="S17" i="1092"/>
  <c r="R17" i="1092"/>
  <c r="Z16" i="1092"/>
  <c r="Y16" i="1092"/>
  <c r="X16" i="1092"/>
  <c r="W16" i="1092"/>
  <c r="V16" i="1092"/>
  <c r="U16" i="1092"/>
  <c r="T16" i="1092"/>
  <c r="S16" i="1092"/>
  <c r="R16" i="1092"/>
  <c r="Z15" i="1092"/>
  <c r="Y15" i="1092"/>
  <c r="X15" i="1092"/>
  <c r="W15" i="1092"/>
  <c r="V15" i="1092"/>
  <c r="U15" i="1092"/>
  <c r="T15" i="1092"/>
  <c r="S15" i="1092"/>
  <c r="R15" i="1092"/>
  <c r="Z14" i="1092"/>
  <c r="Y14" i="1092"/>
  <c r="X14" i="1092"/>
  <c r="W14" i="1092"/>
  <c r="V14" i="1092"/>
  <c r="U14" i="1092"/>
  <c r="T14" i="1092"/>
  <c r="S14" i="1092"/>
  <c r="R14" i="1092"/>
  <c r="Z13" i="1092"/>
  <c r="Y13" i="1092"/>
  <c r="X13" i="1092"/>
  <c r="W13" i="1092"/>
  <c r="V13" i="1092"/>
  <c r="U13" i="1092"/>
  <c r="T13" i="1092"/>
  <c r="S13" i="1092"/>
  <c r="R13" i="1092"/>
  <c r="Z12" i="1092"/>
  <c r="Y12" i="1092"/>
  <c r="X12" i="1092"/>
  <c r="W12" i="1092"/>
  <c r="V12" i="1092"/>
  <c r="U12" i="1092"/>
  <c r="T12" i="1092"/>
  <c r="S12" i="1092"/>
  <c r="R12" i="1092"/>
  <c r="Z11" i="1092"/>
  <c r="Y11" i="1092"/>
  <c r="X11" i="1092"/>
  <c r="W11" i="1092"/>
  <c r="V11" i="1092"/>
  <c r="U11" i="1092"/>
  <c r="T11" i="1092"/>
  <c r="S11" i="1092"/>
  <c r="R11" i="1092"/>
  <c r="Z10" i="1092"/>
  <c r="Y10" i="1092"/>
  <c r="X10" i="1092"/>
  <c r="W10" i="1092"/>
  <c r="V10" i="1092"/>
  <c r="U10" i="1092"/>
  <c r="T10" i="1092"/>
  <c r="S10" i="1092"/>
  <c r="R10" i="1092"/>
  <c r="C20" i="1091"/>
  <c r="D20" i="1091"/>
  <c r="E20" i="1091"/>
  <c r="F20" i="1091"/>
  <c r="G20" i="1091"/>
  <c r="I20" i="1091"/>
  <c r="J20" i="1091"/>
  <c r="K20" i="1091"/>
  <c r="L20" i="1091"/>
  <c r="M20" i="1091"/>
  <c r="N20" i="1091"/>
  <c r="O20" i="1091"/>
  <c r="K53" i="1092" l="1"/>
  <c r="K66" i="1092" s="1"/>
  <c r="G66" i="1092"/>
  <c r="D53" i="1092"/>
  <c r="L53" i="1092" s="1"/>
  <c r="C66" i="1092" s="1"/>
  <c r="L55" i="1092"/>
  <c r="K34" i="1092"/>
  <c r="L34" i="1092" s="1"/>
  <c r="M34" i="1092" s="1"/>
  <c r="S24" i="1092"/>
  <c r="U24" i="1092"/>
  <c r="R24" i="1092"/>
  <c r="T24" i="1092"/>
  <c r="V24" i="1092"/>
  <c r="W24" i="1092"/>
  <c r="Y24" i="1092"/>
  <c r="X24" i="1092"/>
  <c r="G66" i="1091"/>
  <c r="K53" i="1091"/>
  <c r="K66" i="1091" s="1"/>
  <c r="G53" i="1091"/>
  <c r="D53" i="1091"/>
  <c r="M30" i="1091" l="1"/>
  <c r="L30" i="1091"/>
  <c r="C24" i="1090"/>
  <c r="C25" i="1090"/>
  <c r="C26" i="1090"/>
  <c r="C27" i="1090"/>
  <c r="C28" i="1090"/>
  <c r="C29" i="1090"/>
  <c r="C30" i="1090"/>
  <c r="C31" i="1090"/>
  <c r="B24" i="1090" l="1"/>
  <c r="L39" i="1090"/>
  <c r="M30" i="1090"/>
  <c r="L30" i="1090"/>
  <c r="K30" i="1091"/>
  <c r="K30" i="1090"/>
  <c r="O19" i="1091"/>
  <c r="N19" i="1091"/>
  <c r="M19" i="1091"/>
  <c r="L19" i="1091"/>
  <c r="K19" i="1091"/>
  <c r="J19" i="1091"/>
  <c r="I19" i="1091"/>
  <c r="G19" i="1091"/>
  <c r="F19" i="1091"/>
  <c r="E19" i="1091"/>
  <c r="D19" i="1091"/>
  <c r="C19" i="1091"/>
  <c r="C24" i="1091"/>
  <c r="C25" i="1091"/>
  <c r="C26" i="1091"/>
  <c r="C27" i="1091"/>
  <c r="C28" i="1091"/>
  <c r="C29" i="1091"/>
  <c r="C30" i="1091"/>
  <c r="C31" i="1091"/>
  <c r="D55" i="1091" l="1"/>
  <c r="B24" i="1091"/>
  <c r="Z24" i="1091" s="1"/>
  <c r="AX55" i="1091"/>
  <c r="AW55" i="1091"/>
  <c r="AV55" i="1091"/>
  <c r="AU55" i="1091"/>
  <c r="AT55" i="1091"/>
  <c r="AS55" i="1091"/>
  <c r="AR55" i="1091"/>
  <c r="AQ55" i="1091"/>
  <c r="AP55" i="1091"/>
  <c r="AO55" i="1091"/>
  <c r="AN55" i="1091"/>
  <c r="AM55" i="1091"/>
  <c r="AL55" i="1091"/>
  <c r="AK55" i="1091"/>
  <c r="AJ55" i="1091"/>
  <c r="AI55" i="1091"/>
  <c r="AH55" i="1091"/>
  <c r="AG55" i="1091"/>
  <c r="AF55" i="1091"/>
  <c r="AE55" i="1091"/>
  <c r="AD55" i="1091"/>
  <c r="AC55" i="1091"/>
  <c r="AB55" i="1091"/>
  <c r="K55" i="1091"/>
  <c r="G55" i="1091"/>
  <c r="B55" i="1091"/>
  <c r="AX54" i="1091"/>
  <c r="AW54" i="1091"/>
  <c r="AV54" i="1091"/>
  <c r="AU54" i="1091"/>
  <c r="AT54" i="1091"/>
  <c r="AS54" i="1091"/>
  <c r="AR54" i="1091"/>
  <c r="AQ54" i="1091"/>
  <c r="AP54" i="1091"/>
  <c r="AO54" i="1091"/>
  <c r="AN54" i="1091"/>
  <c r="AM54" i="1091"/>
  <c r="AL54" i="1091"/>
  <c r="AK54" i="1091"/>
  <c r="AJ54" i="1091"/>
  <c r="AI54" i="1091"/>
  <c r="AH54" i="1091"/>
  <c r="AG54" i="1091"/>
  <c r="AF54" i="1091"/>
  <c r="AE54" i="1091"/>
  <c r="AD54" i="1091"/>
  <c r="AC54" i="1091"/>
  <c r="AB54" i="1091"/>
  <c r="AX53" i="1091"/>
  <c r="AW53" i="1091"/>
  <c r="AV53" i="1091"/>
  <c r="AU53" i="1091"/>
  <c r="AT53" i="1091"/>
  <c r="AS53" i="1091"/>
  <c r="AR53" i="1091"/>
  <c r="AQ53" i="1091"/>
  <c r="AP53" i="1091"/>
  <c r="AO53" i="1091"/>
  <c r="AN53" i="1091"/>
  <c r="AM53" i="1091"/>
  <c r="AL53" i="1091"/>
  <c r="AK53" i="1091"/>
  <c r="AJ53" i="1091"/>
  <c r="AI53" i="1091"/>
  <c r="AH53" i="1091"/>
  <c r="AG53" i="1091"/>
  <c r="AF53" i="1091"/>
  <c r="AE53" i="1091"/>
  <c r="AD53" i="1091"/>
  <c r="AC53" i="1091"/>
  <c r="AB53" i="1091"/>
  <c r="L53" i="1091"/>
  <c r="C66" i="1091" s="1"/>
  <c r="B53" i="1091"/>
  <c r="K48" i="1091"/>
  <c r="L39" i="1091" s="1"/>
  <c r="M39" i="1091" s="1"/>
  <c r="Z35" i="1091"/>
  <c r="Y35" i="1091"/>
  <c r="X35" i="1091"/>
  <c r="W35" i="1091"/>
  <c r="V35" i="1091"/>
  <c r="U35" i="1091"/>
  <c r="T35" i="1091"/>
  <c r="S35" i="1091"/>
  <c r="R35" i="1091"/>
  <c r="Z34" i="1091"/>
  <c r="Y34" i="1091"/>
  <c r="X34" i="1091"/>
  <c r="W34" i="1091"/>
  <c r="V34" i="1091"/>
  <c r="U34" i="1091"/>
  <c r="T34" i="1091"/>
  <c r="S34" i="1091"/>
  <c r="R34" i="1091"/>
  <c r="Z33" i="1091"/>
  <c r="Y33" i="1091"/>
  <c r="X33" i="1091"/>
  <c r="W33" i="1091"/>
  <c r="V33" i="1091"/>
  <c r="U33" i="1091"/>
  <c r="T33" i="1091"/>
  <c r="S33" i="1091"/>
  <c r="R33" i="1091"/>
  <c r="Z32" i="1091"/>
  <c r="Y32" i="1091"/>
  <c r="X32" i="1091"/>
  <c r="W32" i="1091"/>
  <c r="V32" i="1091"/>
  <c r="U32" i="1091"/>
  <c r="T32" i="1091"/>
  <c r="S32" i="1091"/>
  <c r="R32" i="1091"/>
  <c r="Z31" i="1091"/>
  <c r="Y31" i="1091"/>
  <c r="X31" i="1091"/>
  <c r="W31" i="1091"/>
  <c r="V31" i="1091"/>
  <c r="U31" i="1091"/>
  <c r="T31" i="1091"/>
  <c r="S31" i="1091"/>
  <c r="R31" i="1091"/>
  <c r="Z30" i="1091"/>
  <c r="Y30" i="1091"/>
  <c r="X30" i="1091"/>
  <c r="W30" i="1091"/>
  <c r="V30" i="1091"/>
  <c r="U30" i="1091"/>
  <c r="T30" i="1091"/>
  <c r="S30" i="1091"/>
  <c r="R30" i="1091"/>
  <c r="Z29" i="1091"/>
  <c r="Y29" i="1091"/>
  <c r="X29" i="1091"/>
  <c r="W29" i="1091"/>
  <c r="V29" i="1091"/>
  <c r="U29" i="1091"/>
  <c r="T29" i="1091"/>
  <c r="S29" i="1091"/>
  <c r="R29" i="1091"/>
  <c r="M29" i="1091"/>
  <c r="Z28" i="1091"/>
  <c r="Y28" i="1091"/>
  <c r="X28" i="1091"/>
  <c r="W28" i="1091"/>
  <c r="V28" i="1091"/>
  <c r="U28" i="1091"/>
  <c r="T28" i="1091"/>
  <c r="S28" i="1091"/>
  <c r="R28" i="1091"/>
  <c r="Z27" i="1091"/>
  <c r="Y27" i="1091"/>
  <c r="X27" i="1091"/>
  <c r="W27" i="1091"/>
  <c r="V27" i="1091"/>
  <c r="U27" i="1091"/>
  <c r="T27" i="1091"/>
  <c r="S27" i="1091"/>
  <c r="R27" i="1091"/>
  <c r="M27" i="1091"/>
  <c r="Z26" i="1091"/>
  <c r="Y26" i="1091"/>
  <c r="X26" i="1091"/>
  <c r="W26" i="1091"/>
  <c r="V26" i="1091"/>
  <c r="U26" i="1091"/>
  <c r="T26" i="1091"/>
  <c r="S26" i="1091"/>
  <c r="R26" i="1091"/>
  <c r="M26" i="1091"/>
  <c r="L26" i="1091"/>
  <c r="K26" i="1091"/>
  <c r="Z25" i="1091"/>
  <c r="Y25" i="1091"/>
  <c r="X25" i="1091"/>
  <c r="W25" i="1091"/>
  <c r="V25" i="1091"/>
  <c r="U25" i="1091"/>
  <c r="T25" i="1091"/>
  <c r="S25" i="1091"/>
  <c r="R25" i="1091"/>
  <c r="M25" i="1091"/>
  <c r="L25" i="1091"/>
  <c r="K25" i="1091"/>
  <c r="Y24" i="1091"/>
  <c r="X24" i="1091"/>
  <c r="W24" i="1091"/>
  <c r="V24" i="1091"/>
  <c r="U24" i="1091"/>
  <c r="T24" i="1091"/>
  <c r="S24" i="1091"/>
  <c r="R24" i="1091"/>
  <c r="M24" i="1091"/>
  <c r="L24" i="1091"/>
  <c r="K24" i="1091"/>
  <c r="Z23" i="1091"/>
  <c r="Y23" i="1091"/>
  <c r="X23" i="1091"/>
  <c r="W23" i="1091"/>
  <c r="V23" i="1091"/>
  <c r="U23" i="1091"/>
  <c r="T23" i="1091"/>
  <c r="S23" i="1091"/>
  <c r="R23" i="1091"/>
  <c r="Z22" i="1091"/>
  <c r="Y22" i="1091"/>
  <c r="X22" i="1091"/>
  <c r="W22" i="1091"/>
  <c r="V22" i="1091"/>
  <c r="U22" i="1091"/>
  <c r="T22" i="1091"/>
  <c r="S22" i="1091"/>
  <c r="R22" i="1091"/>
  <c r="Z21" i="1091"/>
  <c r="Y21" i="1091"/>
  <c r="X21" i="1091"/>
  <c r="W21" i="1091"/>
  <c r="V21" i="1091"/>
  <c r="U21" i="1091"/>
  <c r="T21" i="1091"/>
  <c r="S21" i="1091"/>
  <c r="R21" i="1091"/>
  <c r="Z20" i="1091"/>
  <c r="Y20" i="1091"/>
  <c r="X20" i="1091"/>
  <c r="W20" i="1091"/>
  <c r="V20" i="1091"/>
  <c r="U20" i="1091"/>
  <c r="T20" i="1091"/>
  <c r="S20" i="1091"/>
  <c r="R20" i="1091"/>
  <c r="Z19" i="1091"/>
  <c r="Y19" i="1091"/>
  <c r="X19" i="1091"/>
  <c r="W19" i="1091"/>
  <c r="V19" i="1091"/>
  <c r="U19" i="1091"/>
  <c r="T19" i="1091"/>
  <c r="S19" i="1091"/>
  <c r="R19" i="1091"/>
  <c r="Z18" i="1091"/>
  <c r="Y18" i="1091"/>
  <c r="X18" i="1091"/>
  <c r="W18" i="1091"/>
  <c r="V18" i="1091"/>
  <c r="U18" i="1091"/>
  <c r="T18" i="1091"/>
  <c r="S18" i="1091"/>
  <c r="R18" i="1091"/>
  <c r="Z17" i="1091"/>
  <c r="Y17" i="1091"/>
  <c r="X17" i="1091"/>
  <c r="W17" i="1091"/>
  <c r="V17" i="1091"/>
  <c r="U17" i="1091"/>
  <c r="T17" i="1091"/>
  <c r="S17" i="1091"/>
  <c r="R17" i="1091"/>
  <c r="O17" i="1091"/>
  <c r="N17" i="1091"/>
  <c r="M17" i="1091"/>
  <c r="L17" i="1091"/>
  <c r="J17" i="1091"/>
  <c r="I17" i="1091"/>
  <c r="G17" i="1091"/>
  <c r="F17" i="1091"/>
  <c r="E17" i="1091"/>
  <c r="D17" i="1091"/>
  <c r="C17" i="1091"/>
  <c r="Z16" i="1091"/>
  <c r="Y16" i="1091"/>
  <c r="X16" i="1091"/>
  <c r="W16" i="1091"/>
  <c r="V16" i="1091"/>
  <c r="U16" i="1091"/>
  <c r="T16" i="1091"/>
  <c r="S16" i="1091"/>
  <c r="R16" i="1091"/>
  <c r="O16" i="1091"/>
  <c r="N16" i="1091"/>
  <c r="M16" i="1091"/>
  <c r="L16" i="1091"/>
  <c r="J16" i="1091"/>
  <c r="I16" i="1091"/>
  <c r="G16" i="1091"/>
  <c r="F16" i="1091"/>
  <c r="E16" i="1091"/>
  <c r="D16" i="1091"/>
  <c r="C16" i="1091"/>
  <c r="Z15" i="1091"/>
  <c r="Y15" i="1091"/>
  <c r="X15" i="1091"/>
  <c r="W15" i="1091"/>
  <c r="V15" i="1091"/>
  <c r="U15" i="1091"/>
  <c r="T15" i="1091"/>
  <c r="S15" i="1091"/>
  <c r="R15" i="1091"/>
  <c r="O15" i="1091"/>
  <c r="N15" i="1091"/>
  <c r="M15" i="1091"/>
  <c r="L15" i="1091"/>
  <c r="J15" i="1091"/>
  <c r="I15" i="1091"/>
  <c r="G15" i="1091"/>
  <c r="F15" i="1091"/>
  <c r="E15" i="1091"/>
  <c r="D15" i="1091"/>
  <c r="C15" i="1091"/>
  <c r="Z14" i="1091"/>
  <c r="Y14" i="1091"/>
  <c r="X14" i="1091"/>
  <c r="W14" i="1091"/>
  <c r="V14" i="1091"/>
  <c r="U14" i="1091"/>
  <c r="T14" i="1091"/>
  <c r="S14" i="1091"/>
  <c r="R14" i="1091"/>
  <c r="O14" i="1091"/>
  <c r="N14" i="1091"/>
  <c r="M14" i="1091"/>
  <c r="L14" i="1091"/>
  <c r="J14" i="1091"/>
  <c r="I14" i="1091"/>
  <c r="J30" i="1091" s="1"/>
  <c r="G14" i="1091"/>
  <c r="F14" i="1091"/>
  <c r="E14" i="1091"/>
  <c r="D14" i="1091"/>
  <c r="C14" i="1091"/>
  <c r="Z13" i="1091"/>
  <c r="Y13" i="1091"/>
  <c r="X13" i="1091"/>
  <c r="W13" i="1091"/>
  <c r="V13" i="1091"/>
  <c r="U13" i="1091"/>
  <c r="T13" i="1091"/>
  <c r="S13" i="1091"/>
  <c r="R13" i="1091"/>
  <c r="Z12" i="1091"/>
  <c r="Y12" i="1091"/>
  <c r="X12" i="1091"/>
  <c r="W12" i="1091"/>
  <c r="V12" i="1091"/>
  <c r="U12" i="1091"/>
  <c r="T12" i="1091"/>
  <c r="S12" i="1091"/>
  <c r="R12" i="1091"/>
  <c r="Z11" i="1091"/>
  <c r="Y11" i="1091"/>
  <c r="X11" i="1091"/>
  <c r="W11" i="1091"/>
  <c r="V11" i="1091"/>
  <c r="U11" i="1091"/>
  <c r="T11" i="1091"/>
  <c r="S11" i="1091"/>
  <c r="R11" i="1091"/>
  <c r="Z10" i="1091"/>
  <c r="Y10" i="1091"/>
  <c r="X10" i="1091"/>
  <c r="W10" i="1091"/>
  <c r="V10" i="1091"/>
  <c r="U10" i="1091"/>
  <c r="T10" i="1091"/>
  <c r="S10" i="1091"/>
  <c r="R10" i="1091"/>
  <c r="G66" i="1090"/>
  <c r="K53" i="1090"/>
  <c r="K66" i="1090" s="1"/>
  <c r="D53" i="1090"/>
  <c r="G53" i="1090"/>
  <c r="AX55" i="1090"/>
  <c r="AW55" i="1090"/>
  <c r="AV55" i="1090"/>
  <c r="AU55" i="1090"/>
  <c r="AT55" i="1090"/>
  <c r="AS55" i="1090"/>
  <c r="AR55" i="1090"/>
  <c r="AQ55" i="1090"/>
  <c r="AP55" i="1090"/>
  <c r="AO55" i="1090"/>
  <c r="AN55" i="1090"/>
  <c r="AM55" i="1090"/>
  <c r="AL55" i="1090"/>
  <c r="AK55" i="1090"/>
  <c r="AJ55" i="1090"/>
  <c r="AI55" i="1090"/>
  <c r="AH55" i="1090"/>
  <c r="AG55" i="1090"/>
  <c r="AF55" i="1090"/>
  <c r="AE55" i="1090"/>
  <c r="AD55" i="1090"/>
  <c r="AC55" i="1090"/>
  <c r="AB55" i="1090"/>
  <c r="K55" i="1090"/>
  <c r="G55" i="1090"/>
  <c r="B55" i="1090"/>
  <c r="AX54" i="1090"/>
  <c r="AW54" i="1090"/>
  <c r="AV54" i="1090"/>
  <c r="AU54" i="1090"/>
  <c r="AT54" i="1090"/>
  <c r="AS54" i="1090"/>
  <c r="AR54" i="1090"/>
  <c r="AQ54" i="1090"/>
  <c r="AP54" i="1090"/>
  <c r="AO54" i="1090"/>
  <c r="AN54" i="1090"/>
  <c r="AM54" i="1090"/>
  <c r="AL54" i="1090"/>
  <c r="AK54" i="1090"/>
  <c r="AJ54" i="1090"/>
  <c r="AI54" i="1090"/>
  <c r="AH54" i="1090"/>
  <c r="AG54" i="1090"/>
  <c r="AF54" i="1090"/>
  <c r="AE54" i="1090"/>
  <c r="AD54" i="1090"/>
  <c r="AC54" i="1090"/>
  <c r="AB54" i="1090"/>
  <c r="AX53" i="1090"/>
  <c r="AW53" i="1090"/>
  <c r="AV53" i="1090"/>
  <c r="AU53" i="1090"/>
  <c r="AT53" i="1090"/>
  <c r="AS53" i="1090"/>
  <c r="AR53" i="1090"/>
  <c r="AQ53" i="1090"/>
  <c r="AP53" i="1090"/>
  <c r="AO53" i="1090"/>
  <c r="AN53" i="1090"/>
  <c r="AM53" i="1090"/>
  <c r="AL53" i="1090"/>
  <c r="AK53" i="1090"/>
  <c r="AJ53" i="1090"/>
  <c r="AI53" i="1090"/>
  <c r="AH53" i="1090"/>
  <c r="AG53" i="1090"/>
  <c r="AF53" i="1090"/>
  <c r="AE53" i="1090"/>
  <c r="AD53" i="1090"/>
  <c r="AC53" i="1090"/>
  <c r="AB53" i="1090"/>
  <c r="B53" i="1090"/>
  <c r="K48" i="1090"/>
  <c r="M39" i="1090"/>
  <c r="Z35" i="1090"/>
  <c r="Y35" i="1090"/>
  <c r="X35" i="1090"/>
  <c r="W35" i="1090"/>
  <c r="V35" i="1090"/>
  <c r="U35" i="1090"/>
  <c r="T35" i="1090"/>
  <c r="S35" i="1090"/>
  <c r="R35" i="1090"/>
  <c r="Z34" i="1090"/>
  <c r="Y34" i="1090"/>
  <c r="X34" i="1090"/>
  <c r="W34" i="1090"/>
  <c r="V34" i="1090"/>
  <c r="U34" i="1090"/>
  <c r="T34" i="1090"/>
  <c r="S34" i="1090"/>
  <c r="R34" i="1090"/>
  <c r="Z33" i="1090"/>
  <c r="Y33" i="1090"/>
  <c r="X33" i="1090"/>
  <c r="W33" i="1090"/>
  <c r="V33" i="1090"/>
  <c r="U33" i="1090"/>
  <c r="T33" i="1090"/>
  <c r="S33" i="1090"/>
  <c r="R33" i="1090"/>
  <c r="Z32" i="1090"/>
  <c r="Y32" i="1090"/>
  <c r="X32" i="1090"/>
  <c r="W32" i="1090"/>
  <c r="V32" i="1090"/>
  <c r="U32" i="1090"/>
  <c r="T32" i="1090"/>
  <c r="S32" i="1090"/>
  <c r="R32" i="1090"/>
  <c r="Z31" i="1090"/>
  <c r="Y31" i="1090"/>
  <c r="X31" i="1090"/>
  <c r="W31" i="1090"/>
  <c r="V31" i="1090"/>
  <c r="U31" i="1090"/>
  <c r="T31" i="1090"/>
  <c r="S31" i="1090"/>
  <c r="R31" i="1090"/>
  <c r="Z30" i="1090"/>
  <c r="Y30" i="1090"/>
  <c r="X30" i="1090"/>
  <c r="W30" i="1090"/>
  <c r="V30" i="1090"/>
  <c r="U30" i="1090"/>
  <c r="T30" i="1090"/>
  <c r="S30" i="1090"/>
  <c r="R30" i="1090"/>
  <c r="Z29" i="1090"/>
  <c r="Y29" i="1090"/>
  <c r="X29" i="1090"/>
  <c r="W29" i="1090"/>
  <c r="V29" i="1090"/>
  <c r="U29" i="1090"/>
  <c r="T29" i="1090"/>
  <c r="S29" i="1090"/>
  <c r="R29" i="1090"/>
  <c r="M29" i="1090"/>
  <c r="Z28" i="1090"/>
  <c r="Y28" i="1090"/>
  <c r="X28" i="1090"/>
  <c r="W28" i="1090"/>
  <c r="V28" i="1090"/>
  <c r="U28" i="1090"/>
  <c r="T28" i="1090"/>
  <c r="S28" i="1090"/>
  <c r="R28" i="1090"/>
  <c r="Z27" i="1090"/>
  <c r="Y27" i="1090"/>
  <c r="X27" i="1090"/>
  <c r="W27" i="1090"/>
  <c r="V27" i="1090"/>
  <c r="U27" i="1090"/>
  <c r="T27" i="1090"/>
  <c r="S27" i="1090"/>
  <c r="R27" i="1090"/>
  <c r="M27" i="1090"/>
  <c r="Z26" i="1090"/>
  <c r="Y26" i="1090"/>
  <c r="X26" i="1090"/>
  <c r="W26" i="1090"/>
  <c r="V26" i="1090"/>
  <c r="U26" i="1090"/>
  <c r="T26" i="1090"/>
  <c r="S26" i="1090"/>
  <c r="R26" i="1090"/>
  <c r="M26" i="1090"/>
  <c r="L26" i="1090"/>
  <c r="K26" i="1090"/>
  <c r="Z25" i="1090"/>
  <c r="Y25" i="1090"/>
  <c r="X25" i="1090"/>
  <c r="W25" i="1090"/>
  <c r="V25" i="1090"/>
  <c r="U25" i="1090"/>
  <c r="T25" i="1090"/>
  <c r="S25" i="1090"/>
  <c r="R25" i="1090"/>
  <c r="M25" i="1090"/>
  <c r="L25" i="1090"/>
  <c r="K25" i="1090"/>
  <c r="Z24" i="1090"/>
  <c r="Y24" i="1090"/>
  <c r="X24" i="1090"/>
  <c r="W24" i="1090"/>
  <c r="V24" i="1090"/>
  <c r="U24" i="1090"/>
  <c r="T24" i="1090"/>
  <c r="S24" i="1090"/>
  <c r="R24" i="1090"/>
  <c r="M24" i="1090"/>
  <c r="L24" i="1090"/>
  <c r="K24" i="1090"/>
  <c r="Z23" i="1090"/>
  <c r="Y23" i="1090"/>
  <c r="X23" i="1090"/>
  <c r="W23" i="1090"/>
  <c r="V23" i="1090"/>
  <c r="U23" i="1090"/>
  <c r="T23" i="1090"/>
  <c r="S23" i="1090"/>
  <c r="R23" i="1090"/>
  <c r="Z22" i="1090"/>
  <c r="Y22" i="1090"/>
  <c r="X22" i="1090"/>
  <c r="W22" i="1090"/>
  <c r="V22" i="1090"/>
  <c r="U22" i="1090"/>
  <c r="T22" i="1090"/>
  <c r="S22" i="1090"/>
  <c r="R22" i="1090"/>
  <c r="Z21" i="1090"/>
  <c r="Y21" i="1090"/>
  <c r="X21" i="1090"/>
  <c r="W21" i="1090"/>
  <c r="V21" i="1090"/>
  <c r="U21" i="1090"/>
  <c r="T21" i="1090"/>
  <c r="S21" i="1090"/>
  <c r="R21" i="1090"/>
  <c r="Z20" i="1090"/>
  <c r="Y20" i="1090"/>
  <c r="X20" i="1090"/>
  <c r="W20" i="1090"/>
  <c r="V20" i="1090"/>
  <c r="U20" i="1090"/>
  <c r="T20" i="1090"/>
  <c r="S20" i="1090"/>
  <c r="R20" i="1090"/>
  <c r="Z19" i="1090"/>
  <c r="Y19" i="1090"/>
  <c r="X19" i="1090"/>
  <c r="W19" i="1090"/>
  <c r="V19" i="1090"/>
  <c r="U19" i="1090"/>
  <c r="T19" i="1090"/>
  <c r="S19" i="1090"/>
  <c r="R19" i="1090"/>
  <c r="Z18" i="1090"/>
  <c r="Y18" i="1090"/>
  <c r="X18" i="1090"/>
  <c r="W18" i="1090"/>
  <c r="V18" i="1090"/>
  <c r="U18" i="1090"/>
  <c r="T18" i="1090"/>
  <c r="S18" i="1090"/>
  <c r="R18" i="1090"/>
  <c r="Z17" i="1090"/>
  <c r="Y17" i="1090"/>
  <c r="X17" i="1090"/>
  <c r="W17" i="1090"/>
  <c r="V17" i="1090"/>
  <c r="U17" i="1090"/>
  <c r="T17" i="1090"/>
  <c r="S17" i="1090"/>
  <c r="R17" i="1090"/>
  <c r="Z16" i="1090"/>
  <c r="Y16" i="1090"/>
  <c r="X16" i="1090"/>
  <c r="W16" i="1090"/>
  <c r="V16" i="1090"/>
  <c r="U16" i="1090"/>
  <c r="T16" i="1090"/>
  <c r="S16" i="1090"/>
  <c r="R16" i="1090"/>
  <c r="Z15" i="1090"/>
  <c r="Y15" i="1090"/>
  <c r="X15" i="1090"/>
  <c r="W15" i="1090"/>
  <c r="V15" i="1090"/>
  <c r="U15" i="1090"/>
  <c r="T15" i="1090"/>
  <c r="S15" i="1090"/>
  <c r="R15" i="1090"/>
  <c r="Z14" i="1090"/>
  <c r="Y14" i="1090"/>
  <c r="X14" i="1090"/>
  <c r="W14" i="1090"/>
  <c r="V14" i="1090"/>
  <c r="U14" i="1090"/>
  <c r="T14" i="1090"/>
  <c r="S14" i="1090"/>
  <c r="R14" i="1090"/>
  <c r="Z13" i="1090"/>
  <c r="Y13" i="1090"/>
  <c r="X13" i="1090"/>
  <c r="W13" i="1090"/>
  <c r="V13" i="1090"/>
  <c r="U13" i="1090"/>
  <c r="T13" i="1090"/>
  <c r="S13" i="1090"/>
  <c r="R13" i="1090"/>
  <c r="O13" i="1090"/>
  <c r="N13" i="1090"/>
  <c r="M13" i="1090"/>
  <c r="L13" i="1090"/>
  <c r="J13" i="1090"/>
  <c r="I13" i="1090"/>
  <c r="G13" i="1090"/>
  <c r="F13" i="1090"/>
  <c r="E13" i="1090"/>
  <c r="D13" i="1090"/>
  <c r="Z12" i="1090"/>
  <c r="Y12" i="1090"/>
  <c r="X12" i="1090"/>
  <c r="W12" i="1090"/>
  <c r="V12" i="1090"/>
  <c r="U12" i="1090"/>
  <c r="T12" i="1090"/>
  <c r="S12" i="1090"/>
  <c r="R12" i="1090"/>
  <c r="O12" i="1090"/>
  <c r="N12" i="1090"/>
  <c r="M12" i="1090"/>
  <c r="L12" i="1090"/>
  <c r="J12" i="1090"/>
  <c r="I12" i="1090"/>
  <c r="G12" i="1090"/>
  <c r="F12" i="1090"/>
  <c r="E12" i="1090"/>
  <c r="D12" i="1090"/>
  <c r="Z11" i="1090"/>
  <c r="Y11" i="1090"/>
  <c r="X11" i="1090"/>
  <c r="W11" i="1090"/>
  <c r="V11" i="1090"/>
  <c r="U11" i="1090"/>
  <c r="T11" i="1090"/>
  <c r="S11" i="1090"/>
  <c r="R11" i="1090"/>
  <c r="O11" i="1090"/>
  <c r="N11" i="1090"/>
  <c r="M11" i="1090"/>
  <c r="L11" i="1090"/>
  <c r="J11" i="1090"/>
  <c r="I11" i="1090"/>
  <c r="G11" i="1090"/>
  <c r="F11" i="1090"/>
  <c r="E11" i="1090"/>
  <c r="D11" i="1090"/>
  <c r="Z10" i="1090"/>
  <c r="Y10" i="1090"/>
  <c r="X10" i="1090"/>
  <c r="W10" i="1090"/>
  <c r="V10" i="1090"/>
  <c r="U10" i="1090"/>
  <c r="T10" i="1090"/>
  <c r="S10" i="1090"/>
  <c r="R10" i="1090"/>
  <c r="O10" i="1090"/>
  <c r="N10" i="1090"/>
  <c r="M10" i="1090"/>
  <c r="L10" i="1090"/>
  <c r="J10" i="1090"/>
  <c r="I10" i="1090"/>
  <c r="G10" i="1090"/>
  <c r="F10" i="1090"/>
  <c r="E10" i="1090"/>
  <c r="D10" i="1090"/>
  <c r="G55" i="1089"/>
  <c r="D55" i="1089"/>
  <c r="G68" i="1089"/>
  <c r="K55" i="1089"/>
  <c r="K68" i="1089" s="1"/>
  <c r="L55" i="1091" l="1"/>
  <c r="J30" i="1090"/>
  <c r="D55" i="1090"/>
  <c r="L55" i="1090" s="1"/>
  <c r="K34" i="1091"/>
  <c r="L34" i="1091"/>
  <c r="M34" i="1091" s="1"/>
  <c r="K34" i="1090"/>
  <c r="L34" i="1090" s="1"/>
  <c r="M34" i="1090" s="1"/>
  <c r="L53" i="1090"/>
  <c r="C66" i="1090" s="1"/>
  <c r="M27" i="1089"/>
  <c r="L27" i="1089"/>
  <c r="K27" i="1089"/>
  <c r="D17" i="1089" l="1"/>
  <c r="E17" i="1089"/>
  <c r="F17" i="1089"/>
  <c r="G17" i="1089"/>
  <c r="I17" i="1089"/>
  <c r="J17" i="1089"/>
  <c r="L17" i="1089"/>
  <c r="M17" i="1089"/>
  <c r="N17" i="1089"/>
  <c r="O17" i="1089"/>
  <c r="D18" i="1089"/>
  <c r="E18" i="1089"/>
  <c r="F18" i="1089"/>
  <c r="G18" i="1089"/>
  <c r="I18" i="1089"/>
  <c r="J18" i="1089"/>
  <c r="L18" i="1089"/>
  <c r="M18" i="1089"/>
  <c r="N18" i="1089"/>
  <c r="O18" i="1089"/>
  <c r="C19" i="1089"/>
  <c r="D19" i="1089"/>
  <c r="E19" i="1089"/>
  <c r="F19" i="1089"/>
  <c r="G19" i="1089"/>
  <c r="I19" i="1089"/>
  <c r="J19" i="1089"/>
  <c r="L19" i="1089"/>
  <c r="M19" i="1089"/>
  <c r="N19" i="1089"/>
  <c r="O19" i="1089"/>
  <c r="D12" i="1089"/>
  <c r="E12" i="1089"/>
  <c r="F12" i="1089"/>
  <c r="G12" i="1089"/>
  <c r="I12" i="1089"/>
  <c r="J12" i="1089"/>
  <c r="L12" i="1089"/>
  <c r="M12" i="1089"/>
  <c r="N12" i="1089"/>
  <c r="O12" i="1089"/>
  <c r="D13" i="1089"/>
  <c r="E13" i="1089"/>
  <c r="F13" i="1089"/>
  <c r="G13" i="1089"/>
  <c r="I13" i="1089"/>
  <c r="J13" i="1089"/>
  <c r="L13" i="1089"/>
  <c r="M13" i="1089"/>
  <c r="N13" i="1089"/>
  <c r="O13" i="1089"/>
  <c r="D14" i="1089"/>
  <c r="E14" i="1089"/>
  <c r="F14" i="1089"/>
  <c r="G14" i="1089"/>
  <c r="I14" i="1089"/>
  <c r="J14" i="1089"/>
  <c r="L14" i="1089"/>
  <c r="M14" i="1089"/>
  <c r="N14" i="1089"/>
  <c r="O14" i="1089"/>
  <c r="D15" i="1089"/>
  <c r="E15" i="1089"/>
  <c r="F15" i="1089"/>
  <c r="G15" i="1089"/>
  <c r="I15" i="1089"/>
  <c r="J15" i="1089"/>
  <c r="L15" i="1089"/>
  <c r="M15" i="1089"/>
  <c r="N15" i="1089"/>
  <c r="O15" i="1089"/>
  <c r="D16" i="1089"/>
  <c r="E16" i="1089"/>
  <c r="F16" i="1089"/>
  <c r="G16" i="1089"/>
  <c r="I16" i="1089"/>
  <c r="J16" i="1089"/>
  <c r="L16" i="1089"/>
  <c r="M16" i="1089"/>
  <c r="N16" i="1089"/>
  <c r="O16" i="1089"/>
  <c r="O10" i="1089" l="1"/>
  <c r="M10" i="1089"/>
  <c r="L10" i="1089"/>
  <c r="K10" i="1089"/>
  <c r="G10" i="1089"/>
  <c r="F10" i="1089"/>
  <c r="E10" i="1089"/>
  <c r="D10" i="1089"/>
  <c r="C10" i="1089"/>
  <c r="B55" i="1089"/>
  <c r="AX57" i="1089"/>
  <c r="AW57" i="1089"/>
  <c r="AV57" i="1089"/>
  <c r="AU57" i="1089"/>
  <c r="AT57" i="1089"/>
  <c r="AS57" i="1089"/>
  <c r="AR57" i="1089"/>
  <c r="AQ57" i="1089"/>
  <c r="AP57" i="1089"/>
  <c r="AO57" i="1089"/>
  <c r="AN57" i="1089"/>
  <c r="AM57" i="1089"/>
  <c r="AL57" i="1089"/>
  <c r="AK57" i="1089"/>
  <c r="AJ57" i="1089"/>
  <c r="AI57" i="1089"/>
  <c r="AH57" i="1089"/>
  <c r="AG57" i="1089"/>
  <c r="AF57" i="1089"/>
  <c r="AE57" i="1089"/>
  <c r="AD57" i="1089"/>
  <c r="AC57" i="1089"/>
  <c r="AB57" i="1089"/>
  <c r="K57" i="1089"/>
  <c r="G57" i="1089"/>
  <c r="B57" i="1089"/>
  <c r="AX56" i="1089"/>
  <c r="AW56" i="1089"/>
  <c r="AV56" i="1089"/>
  <c r="AU56" i="1089"/>
  <c r="AT56" i="1089"/>
  <c r="AS56" i="1089"/>
  <c r="AR56" i="1089"/>
  <c r="AQ56" i="1089"/>
  <c r="AP56" i="1089"/>
  <c r="AO56" i="1089"/>
  <c r="AN56" i="1089"/>
  <c r="AM56" i="1089"/>
  <c r="AL56" i="1089"/>
  <c r="AK56" i="1089"/>
  <c r="AJ56" i="1089"/>
  <c r="AI56" i="1089"/>
  <c r="AH56" i="1089"/>
  <c r="AG56" i="1089"/>
  <c r="AF56" i="1089"/>
  <c r="AE56" i="1089"/>
  <c r="AD56" i="1089"/>
  <c r="AC56" i="1089"/>
  <c r="AB56" i="1089"/>
  <c r="AX55" i="1089"/>
  <c r="AW55" i="1089"/>
  <c r="AV55" i="1089"/>
  <c r="AU55" i="1089"/>
  <c r="AT55" i="1089"/>
  <c r="AS55" i="1089"/>
  <c r="AR55" i="1089"/>
  <c r="AQ55" i="1089"/>
  <c r="AP55" i="1089"/>
  <c r="AO55" i="1089"/>
  <c r="AN55" i="1089"/>
  <c r="AM55" i="1089"/>
  <c r="AL55" i="1089"/>
  <c r="AK55" i="1089"/>
  <c r="AJ55" i="1089"/>
  <c r="AI55" i="1089"/>
  <c r="AH55" i="1089"/>
  <c r="AG55" i="1089"/>
  <c r="AF55" i="1089"/>
  <c r="AE55" i="1089"/>
  <c r="AD55" i="1089"/>
  <c r="AC55" i="1089"/>
  <c r="AB55" i="1089"/>
  <c r="L55" i="1089"/>
  <c r="C68" i="1089" s="1"/>
  <c r="K50" i="1089"/>
  <c r="L41" i="1089" s="1"/>
  <c r="Z37" i="1089"/>
  <c r="Y37" i="1089"/>
  <c r="X37" i="1089"/>
  <c r="W37" i="1089"/>
  <c r="V37" i="1089"/>
  <c r="U37" i="1089"/>
  <c r="T37" i="1089"/>
  <c r="S37" i="1089"/>
  <c r="R37" i="1089"/>
  <c r="Z36" i="1089"/>
  <c r="Y36" i="1089"/>
  <c r="X36" i="1089"/>
  <c r="W36" i="1089"/>
  <c r="V36" i="1089"/>
  <c r="U36" i="1089"/>
  <c r="T36" i="1089"/>
  <c r="S36" i="1089"/>
  <c r="R36" i="1089"/>
  <c r="Z35" i="1089"/>
  <c r="Y35" i="1089"/>
  <c r="X35" i="1089"/>
  <c r="W35" i="1089"/>
  <c r="V35" i="1089"/>
  <c r="U35" i="1089"/>
  <c r="T35" i="1089"/>
  <c r="S35" i="1089"/>
  <c r="R35" i="1089"/>
  <c r="Z34" i="1089"/>
  <c r="Y34" i="1089"/>
  <c r="X34" i="1089"/>
  <c r="W34" i="1089"/>
  <c r="V34" i="1089"/>
  <c r="U34" i="1089"/>
  <c r="T34" i="1089"/>
  <c r="S34" i="1089"/>
  <c r="R34" i="1089"/>
  <c r="Z33" i="1089"/>
  <c r="Y33" i="1089"/>
  <c r="X33" i="1089"/>
  <c r="W33" i="1089"/>
  <c r="V33" i="1089"/>
  <c r="U33" i="1089"/>
  <c r="T33" i="1089"/>
  <c r="S33" i="1089"/>
  <c r="R33" i="1089"/>
  <c r="Z32" i="1089"/>
  <c r="Y32" i="1089"/>
  <c r="X32" i="1089"/>
  <c r="W32" i="1089"/>
  <c r="V32" i="1089"/>
  <c r="U32" i="1089"/>
  <c r="T32" i="1089"/>
  <c r="S32" i="1089"/>
  <c r="R32" i="1089"/>
  <c r="M32" i="1089"/>
  <c r="Z31" i="1089"/>
  <c r="Y31" i="1089"/>
  <c r="X31" i="1089"/>
  <c r="W31" i="1089"/>
  <c r="V31" i="1089"/>
  <c r="U31" i="1089"/>
  <c r="T31" i="1089"/>
  <c r="S31" i="1089"/>
  <c r="R31" i="1089"/>
  <c r="M31" i="1089"/>
  <c r="Z30" i="1089"/>
  <c r="Y30" i="1089"/>
  <c r="X30" i="1089"/>
  <c r="W30" i="1089"/>
  <c r="V30" i="1089"/>
  <c r="U30" i="1089"/>
  <c r="T30" i="1089"/>
  <c r="S30" i="1089"/>
  <c r="R30" i="1089"/>
  <c r="Z29" i="1089"/>
  <c r="Y29" i="1089"/>
  <c r="X29" i="1089"/>
  <c r="W29" i="1089"/>
  <c r="V29" i="1089"/>
  <c r="U29" i="1089"/>
  <c r="T29" i="1089"/>
  <c r="S29" i="1089"/>
  <c r="R29" i="1089"/>
  <c r="M29" i="1089"/>
  <c r="Z28" i="1089"/>
  <c r="Y28" i="1089"/>
  <c r="X28" i="1089"/>
  <c r="W28" i="1089"/>
  <c r="V28" i="1089"/>
  <c r="U28" i="1089"/>
  <c r="T28" i="1089"/>
  <c r="S28" i="1089"/>
  <c r="R28" i="1089"/>
  <c r="M28" i="1089"/>
  <c r="L28" i="1089"/>
  <c r="K28" i="1089"/>
  <c r="Z27" i="1089"/>
  <c r="Y27" i="1089"/>
  <c r="X27" i="1089"/>
  <c r="W27" i="1089"/>
  <c r="V27" i="1089"/>
  <c r="U27" i="1089"/>
  <c r="T27" i="1089"/>
  <c r="S27" i="1089"/>
  <c r="R27" i="1089"/>
  <c r="Z26" i="1089"/>
  <c r="Y26" i="1089"/>
  <c r="X26" i="1089"/>
  <c r="W26" i="1089"/>
  <c r="V26" i="1089"/>
  <c r="U26" i="1089"/>
  <c r="T26" i="1089"/>
  <c r="S26" i="1089"/>
  <c r="R26" i="1089"/>
  <c r="M26" i="1089"/>
  <c r="L26" i="1089"/>
  <c r="K26" i="1089"/>
  <c r="Z25" i="1089"/>
  <c r="Y25" i="1089"/>
  <c r="X25" i="1089"/>
  <c r="W25" i="1089"/>
  <c r="V25" i="1089"/>
  <c r="U25" i="1089"/>
  <c r="T25" i="1089"/>
  <c r="S25" i="1089"/>
  <c r="R25" i="1089"/>
  <c r="Z24" i="1089"/>
  <c r="Y24" i="1089"/>
  <c r="X24" i="1089"/>
  <c r="W24" i="1089"/>
  <c r="V24" i="1089"/>
  <c r="U24" i="1089"/>
  <c r="T24" i="1089"/>
  <c r="S24" i="1089"/>
  <c r="R24" i="1089"/>
  <c r="Z23" i="1089"/>
  <c r="Y23" i="1089"/>
  <c r="X23" i="1089"/>
  <c r="W23" i="1089"/>
  <c r="V23" i="1089"/>
  <c r="U23" i="1089"/>
  <c r="T23" i="1089"/>
  <c r="S23" i="1089"/>
  <c r="R23" i="1089"/>
  <c r="Z22" i="1089"/>
  <c r="Y22" i="1089"/>
  <c r="X22" i="1089"/>
  <c r="W22" i="1089"/>
  <c r="V22" i="1089"/>
  <c r="U22" i="1089"/>
  <c r="T22" i="1089"/>
  <c r="S22" i="1089"/>
  <c r="R22" i="1089"/>
  <c r="Z21" i="1089"/>
  <c r="Y21" i="1089"/>
  <c r="X21" i="1089"/>
  <c r="W21" i="1089"/>
  <c r="V21" i="1089"/>
  <c r="U21" i="1089"/>
  <c r="T21" i="1089"/>
  <c r="S21" i="1089"/>
  <c r="R21" i="1089"/>
  <c r="Z20" i="1089"/>
  <c r="Y20" i="1089"/>
  <c r="X20" i="1089"/>
  <c r="W20" i="1089"/>
  <c r="V20" i="1089"/>
  <c r="U20" i="1089"/>
  <c r="T20" i="1089"/>
  <c r="S20" i="1089"/>
  <c r="R20" i="1089"/>
  <c r="Z19" i="1089"/>
  <c r="Y19" i="1089"/>
  <c r="X19" i="1089"/>
  <c r="W19" i="1089"/>
  <c r="V19" i="1089"/>
  <c r="U19" i="1089"/>
  <c r="T19" i="1089"/>
  <c r="S19" i="1089"/>
  <c r="R19" i="1089"/>
  <c r="Z18" i="1089"/>
  <c r="Y18" i="1089"/>
  <c r="X18" i="1089"/>
  <c r="W18" i="1089"/>
  <c r="V18" i="1089"/>
  <c r="U18" i="1089"/>
  <c r="T18" i="1089"/>
  <c r="S18" i="1089"/>
  <c r="R18" i="1089"/>
  <c r="Z17" i="1089"/>
  <c r="Y17" i="1089"/>
  <c r="X17" i="1089"/>
  <c r="W17" i="1089"/>
  <c r="V17" i="1089"/>
  <c r="U17" i="1089"/>
  <c r="T17" i="1089"/>
  <c r="S17" i="1089"/>
  <c r="R17" i="1089"/>
  <c r="Z16" i="1089"/>
  <c r="Y16" i="1089"/>
  <c r="X16" i="1089"/>
  <c r="W16" i="1089"/>
  <c r="V16" i="1089"/>
  <c r="U16" i="1089"/>
  <c r="T16" i="1089"/>
  <c r="S16" i="1089"/>
  <c r="R16" i="1089"/>
  <c r="Z15" i="1089"/>
  <c r="Y15" i="1089"/>
  <c r="X15" i="1089"/>
  <c r="W15" i="1089"/>
  <c r="V15" i="1089"/>
  <c r="U15" i="1089"/>
  <c r="T15" i="1089"/>
  <c r="S15" i="1089"/>
  <c r="R15" i="1089"/>
  <c r="Z14" i="1089"/>
  <c r="Y14" i="1089"/>
  <c r="X14" i="1089"/>
  <c r="W14" i="1089"/>
  <c r="V14" i="1089"/>
  <c r="U14" i="1089"/>
  <c r="T14" i="1089"/>
  <c r="S14" i="1089"/>
  <c r="R14" i="1089"/>
  <c r="Z13" i="1089"/>
  <c r="Y13" i="1089"/>
  <c r="X13" i="1089"/>
  <c r="W13" i="1089"/>
  <c r="V13" i="1089"/>
  <c r="U13" i="1089"/>
  <c r="T13" i="1089"/>
  <c r="S13" i="1089"/>
  <c r="R13" i="1089"/>
  <c r="Z12" i="1089"/>
  <c r="Y12" i="1089"/>
  <c r="X12" i="1089"/>
  <c r="W12" i="1089"/>
  <c r="V12" i="1089"/>
  <c r="U12" i="1089"/>
  <c r="T12" i="1089"/>
  <c r="S12" i="1089"/>
  <c r="R12" i="1089"/>
  <c r="Z11" i="1089"/>
  <c r="Y11" i="1089"/>
  <c r="X11" i="1089"/>
  <c r="W11" i="1089"/>
  <c r="V11" i="1089"/>
  <c r="U11" i="1089"/>
  <c r="T11" i="1089"/>
  <c r="S11" i="1089"/>
  <c r="R11" i="1089"/>
  <c r="Z10" i="1089"/>
  <c r="Y10" i="1089"/>
  <c r="X10" i="1089"/>
  <c r="W10" i="1089"/>
  <c r="V10" i="1089"/>
  <c r="U10" i="1089"/>
  <c r="T10" i="1089"/>
  <c r="S10" i="1089"/>
  <c r="R10" i="1089"/>
  <c r="B62" i="1088"/>
  <c r="K36" i="1089" l="1"/>
  <c r="M41" i="1089"/>
  <c r="L36" i="1089"/>
  <c r="M36" i="1089" s="1"/>
  <c r="R20" i="1088"/>
  <c r="S20" i="1088"/>
  <c r="T20" i="1088"/>
  <c r="U20" i="1088"/>
  <c r="V20" i="1088"/>
  <c r="W20" i="1088"/>
  <c r="X20" i="1088"/>
  <c r="Y20" i="1088"/>
  <c r="Z20" i="1088"/>
  <c r="L48" i="1088"/>
  <c r="J57" i="1088"/>
  <c r="M35" i="1088"/>
  <c r="L35" i="1088"/>
  <c r="K35" i="1088"/>
  <c r="M33" i="1088"/>
  <c r="L33" i="1088"/>
  <c r="K33" i="1088"/>
  <c r="C20" i="1088"/>
  <c r="D20" i="1088"/>
  <c r="E20" i="1088"/>
  <c r="F20" i="1088"/>
  <c r="G20" i="1088"/>
  <c r="I20" i="1088"/>
  <c r="J20" i="1088"/>
  <c r="L20" i="1088"/>
  <c r="M20" i="1088"/>
  <c r="N20" i="1088"/>
  <c r="O20" i="1088"/>
  <c r="C22" i="1088"/>
  <c r="D22" i="1088"/>
  <c r="E22" i="1088"/>
  <c r="F22" i="1088"/>
  <c r="G22" i="1088"/>
  <c r="I22" i="1088"/>
  <c r="J22" i="1088"/>
  <c r="L22" i="1088"/>
  <c r="M22" i="1088"/>
  <c r="N22" i="1088"/>
  <c r="O22" i="1088"/>
  <c r="C23" i="1088"/>
  <c r="D23" i="1088"/>
  <c r="E23" i="1088"/>
  <c r="F23" i="1088"/>
  <c r="G23" i="1088"/>
  <c r="I23" i="1088"/>
  <c r="J23" i="1088"/>
  <c r="L23" i="1088"/>
  <c r="M23" i="1088"/>
  <c r="N23" i="1088"/>
  <c r="O23" i="1088"/>
  <c r="C24" i="1088"/>
  <c r="D24" i="1088"/>
  <c r="E24" i="1088"/>
  <c r="F24" i="1088"/>
  <c r="G24" i="1088"/>
  <c r="I24" i="1088"/>
  <c r="J24" i="1088"/>
  <c r="L24" i="1088"/>
  <c r="M24" i="1088"/>
  <c r="N24" i="1088"/>
  <c r="O24" i="1088"/>
  <c r="C25" i="1088"/>
  <c r="D25" i="1088"/>
  <c r="E25" i="1088"/>
  <c r="F25" i="1088"/>
  <c r="G25" i="1088"/>
  <c r="I25" i="1088"/>
  <c r="J25" i="1088"/>
  <c r="L25" i="1088"/>
  <c r="M25" i="1088"/>
  <c r="N25" i="1088"/>
  <c r="O25" i="1088"/>
  <c r="C26" i="1088"/>
  <c r="D26" i="1088"/>
  <c r="E26" i="1088"/>
  <c r="F26" i="1088"/>
  <c r="G26" i="1088"/>
  <c r="I26" i="1088"/>
  <c r="J26" i="1088"/>
  <c r="L26" i="1088"/>
  <c r="M26" i="1088"/>
  <c r="N26" i="1088"/>
  <c r="O26" i="1088"/>
  <c r="C27" i="1088"/>
  <c r="D27" i="1088"/>
  <c r="E27" i="1088"/>
  <c r="F27" i="1088"/>
  <c r="G27" i="1088"/>
  <c r="I27" i="1088"/>
  <c r="J27" i="1088"/>
  <c r="L27" i="1088"/>
  <c r="M27" i="1088"/>
  <c r="N27" i="1088"/>
  <c r="O27" i="1088"/>
  <c r="O21" i="1088"/>
  <c r="N21" i="1088"/>
  <c r="M21" i="1088"/>
  <c r="L21" i="1088"/>
  <c r="J21" i="1088"/>
  <c r="I21" i="1088"/>
  <c r="G21" i="1088"/>
  <c r="F21" i="1088"/>
  <c r="E21" i="1088"/>
  <c r="D21" i="1088"/>
  <c r="C21" i="1088"/>
  <c r="J35" i="1088" l="1"/>
  <c r="R10" i="1088"/>
  <c r="S10" i="1088"/>
  <c r="T10" i="1088"/>
  <c r="U10" i="1088"/>
  <c r="V10" i="1088"/>
  <c r="W10" i="1088"/>
  <c r="X10" i="1088"/>
  <c r="Y10" i="1088"/>
  <c r="Z10" i="1088"/>
  <c r="R11" i="1088"/>
  <c r="S11" i="1088"/>
  <c r="T11" i="1088"/>
  <c r="U11" i="1088"/>
  <c r="V11" i="1088"/>
  <c r="W11" i="1088"/>
  <c r="X11" i="1088"/>
  <c r="Y11" i="1088"/>
  <c r="Z11" i="1088"/>
  <c r="R12" i="1088"/>
  <c r="S12" i="1088"/>
  <c r="T12" i="1088"/>
  <c r="U12" i="1088"/>
  <c r="V12" i="1088"/>
  <c r="W12" i="1088"/>
  <c r="X12" i="1088"/>
  <c r="Y12" i="1088"/>
  <c r="Z12" i="1088"/>
  <c r="R13" i="1088"/>
  <c r="S13" i="1088"/>
  <c r="T13" i="1088"/>
  <c r="U13" i="1088"/>
  <c r="V13" i="1088"/>
  <c r="W13" i="1088"/>
  <c r="X13" i="1088"/>
  <c r="Y13" i="1088"/>
  <c r="Z13" i="1088"/>
  <c r="R14" i="1088"/>
  <c r="S14" i="1088"/>
  <c r="T14" i="1088"/>
  <c r="U14" i="1088"/>
  <c r="V14" i="1088"/>
  <c r="W14" i="1088"/>
  <c r="X14" i="1088"/>
  <c r="Y14" i="1088"/>
  <c r="Z14" i="1088"/>
  <c r="R15" i="1088"/>
  <c r="S15" i="1088"/>
  <c r="T15" i="1088"/>
  <c r="U15" i="1088"/>
  <c r="V15" i="1088"/>
  <c r="W15" i="1088"/>
  <c r="X15" i="1088"/>
  <c r="Y15" i="1088"/>
  <c r="Z15" i="1088"/>
  <c r="R16" i="1088"/>
  <c r="S16" i="1088"/>
  <c r="T16" i="1088"/>
  <c r="U16" i="1088"/>
  <c r="V16" i="1088"/>
  <c r="W16" i="1088"/>
  <c r="X16" i="1088"/>
  <c r="Y16" i="1088"/>
  <c r="Z16" i="1088"/>
  <c r="R17" i="1088"/>
  <c r="S17" i="1088"/>
  <c r="T17" i="1088"/>
  <c r="U17" i="1088"/>
  <c r="V17" i="1088"/>
  <c r="W17" i="1088"/>
  <c r="X17" i="1088"/>
  <c r="Y17" i="1088"/>
  <c r="Z17" i="1088"/>
  <c r="R18" i="1088"/>
  <c r="S18" i="1088"/>
  <c r="T18" i="1088"/>
  <c r="U18" i="1088"/>
  <c r="V18" i="1088"/>
  <c r="W18" i="1088"/>
  <c r="X18" i="1088"/>
  <c r="Y18" i="1088"/>
  <c r="Z18" i="1088"/>
  <c r="R19" i="1088"/>
  <c r="S19" i="1088"/>
  <c r="T19" i="1088"/>
  <c r="U19" i="1088"/>
  <c r="V19" i="1088"/>
  <c r="W19" i="1088"/>
  <c r="X19" i="1088"/>
  <c r="Y19" i="1088"/>
  <c r="Z19" i="1088"/>
  <c r="R21" i="1088"/>
  <c r="S21" i="1088"/>
  <c r="T21" i="1088"/>
  <c r="U21" i="1088"/>
  <c r="V21" i="1088"/>
  <c r="W21" i="1088"/>
  <c r="X21" i="1088"/>
  <c r="Y21" i="1088"/>
  <c r="Z21" i="1088"/>
  <c r="R22" i="1088"/>
  <c r="S22" i="1088"/>
  <c r="T22" i="1088"/>
  <c r="U22" i="1088"/>
  <c r="V22" i="1088"/>
  <c r="W22" i="1088"/>
  <c r="X22" i="1088"/>
  <c r="Y22" i="1088"/>
  <c r="Z22" i="1088"/>
  <c r="R23" i="1088"/>
  <c r="S23" i="1088"/>
  <c r="T23" i="1088"/>
  <c r="U23" i="1088"/>
  <c r="V23" i="1088"/>
  <c r="W23" i="1088"/>
  <c r="X23" i="1088"/>
  <c r="Y23" i="1088"/>
  <c r="Z23" i="1088"/>
  <c r="R24" i="1088"/>
  <c r="S24" i="1088"/>
  <c r="T24" i="1088"/>
  <c r="U24" i="1088"/>
  <c r="V24" i="1088"/>
  <c r="W24" i="1088"/>
  <c r="X24" i="1088"/>
  <c r="Y24" i="1088"/>
  <c r="Z24" i="1088"/>
  <c r="R25" i="1088"/>
  <c r="S25" i="1088"/>
  <c r="T25" i="1088"/>
  <c r="U25" i="1088"/>
  <c r="V25" i="1088"/>
  <c r="W25" i="1088"/>
  <c r="X25" i="1088"/>
  <c r="Y25" i="1088"/>
  <c r="Z25" i="1088"/>
  <c r="R26" i="1088"/>
  <c r="S26" i="1088"/>
  <c r="T26" i="1088"/>
  <c r="U26" i="1088"/>
  <c r="V26" i="1088"/>
  <c r="W26" i="1088"/>
  <c r="X26" i="1088"/>
  <c r="Y26" i="1088"/>
  <c r="Z26" i="1088"/>
  <c r="R27" i="1088"/>
  <c r="S27" i="1088"/>
  <c r="T27" i="1088"/>
  <c r="U27" i="1088"/>
  <c r="V27" i="1088"/>
  <c r="W27" i="1088"/>
  <c r="X27" i="1088"/>
  <c r="Y27" i="1088"/>
  <c r="Z27" i="1088"/>
  <c r="R28" i="1088"/>
  <c r="S28" i="1088"/>
  <c r="T28" i="1088"/>
  <c r="U28" i="1088"/>
  <c r="V28" i="1088"/>
  <c r="W28" i="1088"/>
  <c r="X28" i="1088"/>
  <c r="Y28" i="1088"/>
  <c r="Z28" i="1088"/>
  <c r="I10" i="1088"/>
  <c r="J10" i="1088"/>
  <c r="K10" i="1088"/>
  <c r="L10" i="1088"/>
  <c r="M10" i="1088"/>
  <c r="N10" i="1088"/>
  <c r="O10" i="1088"/>
  <c r="I11" i="1088"/>
  <c r="J11" i="1088"/>
  <c r="K11" i="1088"/>
  <c r="L11" i="1088"/>
  <c r="M11" i="1088"/>
  <c r="N11" i="1088"/>
  <c r="O11" i="1088"/>
  <c r="I12" i="1088"/>
  <c r="J12" i="1088"/>
  <c r="K12" i="1088"/>
  <c r="L12" i="1088"/>
  <c r="M12" i="1088"/>
  <c r="N12" i="1088"/>
  <c r="O12" i="1088"/>
  <c r="I13" i="1088"/>
  <c r="J13" i="1088"/>
  <c r="K13" i="1088"/>
  <c r="L13" i="1088"/>
  <c r="M13" i="1088"/>
  <c r="N13" i="1088"/>
  <c r="O13" i="1088"/>
  <c r="I14" i="1088"/>
  <c r="J14" i="1088"/>
  <c r="K14" i="1088"/>
  <c r="L14" i="1088"/>
  <c r="M14" i="1088"/>
  <c r="N14" i="1088"/>
  <c r="O14" i="1088"/>
  <c r="I15" i="1088"/>
  <c r="J15" i="1088"/>
  <c r="K15" i="1088"/>
  <c r="L15" i="1088"/>
  <c r="M15" i="1088"/>
  <c r="N15" i="1088"/>
  <c r="O15" i="1088"/>
  <c r="I16" i="1088"/>
  <c r="J16" i="1088"/>
  <c r="K16" i="1088"/>
  <c r="L16" i="1088"/>
  <c r="M16" i="1088"/>
  <c r="N16" i="1088"/>
  <c r="O16" i="1088"/>
  <c r="C10" i="1088"/>
  <c r="D10" i="1088"/>
  <c r="E10" i="1088"/>
  <c r="F10" i="1088"/>
  <c r="G10" i="1088"/>
  <c r="C11" i="1088"/>
  <c r="D11" i="1088"/>
  <c r="E11" i="1088"/>
  <c r="F11" i="1088"/>
  <c r="G11" i="1088"/>
  <c r="C12" i="1088"/>
  <c r="D12" i="1088"/>
  <c r="E12" i="1088"/>
  <c r="F12" i="1088"/>
  <c r="G12" i="1088"/>
  <c r="C13" i="1088"/>
  <c r="D13" i="1088"/>
  <c r="E13" i="1088"/>
  <c r="F13" i="1088"/>
  <c r="G13" i="1088"/>
  <c r="C14" i="1088"/>
  <c r="D14" i="1088"/>
  <c r="E14" i="1088"/>
  <c r="F14" i="1088"/>
  <c r="G14" i="1088"/>
  <c r="C15" i="1088"/>
  <c r="D15" i="1088"/>
  <c r="E15" i="1088"/>
  <c r="F15" i="1088"/>
  <c r="G15" i="1088"/>
  <c r="C16" i="1088"/>
  <c r="D16" i="1088"/>
  <c r="E16" i="1088"/>
  <c r="F16" i="1088"/>
  <c r="G16" i="1088"/>
  <c r="R29" i="1088"/>
  <c r="S29" i="1088"/>
  <c r="T29" i="1088"/>
  <c r="U29" i="1088"/>
  <c r="V29" i="1088"/>
  <c r="W29" i="1088"/>
  <c r="X29" i="1088"/>
  <c r="Y29" i="1088"/>
  <c r="Z29" i="1088"/>
  <c r="R30" i="1088"/>
  <c r="S30" i="1088"/>
  <c r="T30" i="1088"/>
  <c r="U30" i="1088"/>
  <c r="V30" i="1088"/>
  <c r="W30" i="1088"/>
  <c r="X30" i="1088"/>
  <c r="Y30" i="1088"/>
  <c r="Z30" i="1088"/>
  <c r="R31" i="1088"/>
  <c r="S31" i="1088"/>
  <c r="T31" i="1088"/>
  <c r="U31" i="1088"/>
  <c r="V31" i="1088"/>
  <c r="W31" i="1088"/>
  <c r="X31" i="1088"/>
  <c r="Y31" i="1088"/>
  <c r="Z31" i="1088"/>
  <c r="G62" i="1088"/>
  <c r="K62" i="1088"/>
  <c r="K76" i="1088" s="1"/>
  <c r="AX64" i="1088"/>
  <c r="AW64" i="1088"/>
  <c r="AV64" i="1088"/>
  <c r="AU64" i="1088"/>
  <c r="AT64" i="1088"/>
  <c r="AS64" i="1088"/>
  <c r="AR64" i="1088"/>
  <c r="AQ64" i="1088"/>
  <c r="AP64" i="1088"/>
  <c r="AO64" i="1088"/>
  <c r="AN64" i="1088"/>
  <c r="AM64" i="1088"/>
  <c r="AL64" i="1088"/>
  <c r="AK64" i="1088"/>
  <c r="AJ64" i="1088"/>
  <c r="AI64" i="1088"/>
  <c r="AH64" i="1088"/>
  <c r="AG64" i="1088"/>
  <c r="AF64" i="1088"/>
  <c r="AE64" i="1088"/>
  <c r="AD64" i="1088"/>
  <c r="AC64" i="1088"/>
  <c r="AB64" i="1088"/>
  <c r="K64" i="1088"/>
  <c r="G64" i="1088"/>
  <c r="B64" i="1088"/>
  <c r="AX63" i="1088"/>
  <c r="AW63" i="1088"/>
  <c r="AV63" i="1088"/>
  <c r="AU63" i="1088"/>
  <c r="AT63" i="1088"/>
  <c r="AS63" i="1088"/>
  <c r="AR63" i="1088"/>
  <c r="AQ63" i="1088"/>
  <c r="AP63" i="1088"/>
  <c r="AO63" i="1088"/>
  <c r="AN63" i="1088"/>
  <c r="AM63" i="1088"/>
  <c r="AL63" i="1088"/>
  <c r="AK63" i="1088"/>
  <c r="AJ63" i="1088"/>
  <c r="AI63" i="1088"/>
  <c r="AH63" i="1088"/>
  <c r="AG63" i="1088"/>
  <c r="AF63" i="1088"/>
  <c r="AE63" i="1088"/>
  <c r="AD63" i="1088"/>
  <c r="AC63" i="1088"/>
  <c r="AB63" i="1088"/>
  <c r="AX62" i="1088"/>
  <c r="AW62" i="1088"/>
  <c r="AV62" i="1088"/>
  <c r="AU62" i="1088"/>
  <c r="AT62" i="1088"/>
  <c r="AS62" i="1088"/>
  <c r="AR62" i="1088"/>
  <c r="AQ62" i="1088"/>
  <c r="AP62" i="1088"/>
  <c r="AO62" i="1088"/>
  <c r="AN62" i="1088"/>
  <c r="AM62" i="1088"/>
  <c r="AL62" i="1088"/>
  <c r="AK62" i="1088"/>
  <c r="AJ62" i="1088"/>
  <c r="AI62" i="1088"/>
  <c r="AH62" i="1088"/>
  <c r="AG62" i="1088"/>
  <c r="AF62" i="1088"/>
  <c r="AE62" i="1088"/>
  <c r="AD62" i="1088"/>
  <c r="AC62" i="1088"/>
  <c r="AB62" i="1088"/>
  <c r="K57" i="1088"/>
  <c r="M48" i="1088"/>
  <c r="Z44" i="1088"/>
  <c r="Y44" i="1088"/>
  <c r="X44" i="1088"/>
  <c r="W44" i="1088"/>
  <c r="V44" i="1088"/>
  <c r="U44" i="1088"/>
  <c r="T44" i="1088"/>
  <c r="S44" i="1088"/>
  <c r="R44" i="1088"/>
  <c r="Z43" i="1088"/>
  <c r="Y43" i="1088"/>
  <c r="X43" i="1088"/>
  <c r="W43" i="1088"/>
  <c r="V43" i="1088"/>
  <c r="U43" i="1088"/>
  <c r="T43" i="1088"/>
  <c r="S43" i="1088"/>
  <c r="R43" i="1088"/>
  <c r="Z42" i="1088"/>
  <c r="Y42" i="1088"/>
  <c r="X42" i="1088"/>
  <c r="W42" i="1088"/>
  <c r="V42" i="1088"/>
  <c r="U42" i="1088"/>
  <c r="T42" i="1088"/>
  <c r="S42" i="1088"/>
  <c r="R42" i="1088"/>
  <c r="Z41" i="1088"/>
  <c r="Y41" i="1088"/>
  <c r="X41" i="1088"/>
  <c r="W41" i="1088"/>
  <c r="V41" i="1088"/>
  <c r="U41" i="1088"/>
  <c r="T41" i="1088"/>
  <c r="S41" i="1088"/>
  <c r="R41" i="1088"/>
  <c r="Z40" i="1088"/>
  <c r="Y40" i="1088"/>
  <c r="X40" i="1088"/>
  <c r="W40" i="1088"/>
  <c r="V40" i="1088"/>
  <c r="U40" i="1088"/>
  <c r="T40" i="1088"/>
  <c r="S40" i="1088"/>
  <c r="R40" i="1088"/>
  <c r="Z39" i="1088"/>
  <c r="Y39" i="1088"/>
  <c r="X39" i="1088"/>
  <c r="W39" i="1088"/>
  <c r="V39" i="1088"/>
  <c r="U39" i="1088"/>
  <c r="T39" i="1088"/>
  <c r="S39" i="1088"/>
  <c r="R39" i="1088"/>
  <c r="M39" i="1088"/>
  <c r="Z38" i="1088"/>
  <c r="Y38" i="1088"/>
  <c r="X38" i="1088"/>
  <c r="W38" i="1088"/>
  <c r="V38" i="1088"/>
  <c r="U38" i="1088"/>
  <c r="T38" i="1088"/>
  <c r="S38" i="1088"/>
  <c r="R38" i="1088"/>
  <c r="M38" i="1088"/>
  <c r="Z37" i="1088"/>
  <c r="Y37" i="1088"/>
  <c r="X37" i="1088"/>
  <c r="W37" i="1088"/>
  <c r="V37" i="1088"/>
  <c r="U37" i="1088"/>
  <c r="T37" i="1088"/>
  <c r="S37" i="1088"/>
  <c r="R37" i="1088"/>
  <c r="Z36" i="1088"/>
  <c r="Y36" i="1088"/>
  <c r="X36" i="1088"/>
  <c r="W36" i="1088"/>
  <c r="V36" i="1088"/>
  <c r="U36" i="1088"/>
  <c r="T36" i="1088"/>
  <c r="S36" i="1088"/>
  <c r="R36" i="1088"/>
  <c r="M36" i="1088"/>
  <c r="Z35" i="1088"/>
  <c r="Y35" i="1088"/>
  <c r="X35" i="1088"/>
  <c r="W35" i="1088"/>
  <c r="V35" i="1088"/>
  <c r="U35" i="1088"/>
  <c r="T35" i="1088"/>
  <c r="S35" i="1088"/>
  <c r="R35" i="1088"/>
  <c r="Z34" i="1088"/>
  <c r="Y34" i="1088"/>
  <c r="X34" i="1088"/>
  <c r="W34" i="1088"/>
  <c r="V34" i="1088"/>
  <c r="U34" i="1088"/>
  <c r="T34" i="1088"/>
  <c r="S34" i="1088"/>
  <c r="R34" i="1088"/>
  <c r="M34" i="1088"/>
  <c r="L34" i="1088"/>
  <c r="K34" i="1088"/>
  <c r="Z33" i="1088"/>
  <c r="Y33" i="1088"/>
  <c r="X33" i="1088"/>
  <c r="W33" i="1088"/>
  <c r="V33" i="1088"/>
  <c r="U33" i="1088"/>
  <c r="T33" i="1088"/>
  <c r="S33" i="1088"/>
  <c r="R33" i="1088"/>
  <c r="Z32" i="1088"/>
  <c r="Y32" i="1088"/>
  <c r="X32" i="1088"/>
  <c r="W32" i="1088"/>
  <c r="V32" i="1088"/>
  <c r="U32" i="1088"/>
  <c r="T32" i="1088"/>
  <c r="S32" i="1088"/>
  <c r="R32" i="1088"/>
  <c r="R10" i="1087"/>
  <c r="S10" i="1087"/>
  <c r="T10" i="1087"/>
  <c r="U10" i="1087"/>
  <c r="V10" i="1087"/>
  <c r="W10" i="1087"/>
  <c r="X10" i="1087"/>
  <c r="Y10" i="1087"/>
  <c r="Z10" i="1087"/>
  <c r="R11" i="1087"/>
  <c r="S11" i="1087"/>
  <c r="T11" i="1087"/>
  <c r="U11" i="1087"/>
  <c r="V11" i="1087"/>
  <c r="W11" i="1087"/>
  <c r="X11" i="1087"/>
  <c r="Y11" i="1087"/>
  <c r="Z11" i="1087"/>
  <c r="R12" i="1087"/>
  <c r="S12" i="1087"/>
  <c r="T12" i="1087"/>
  <c r="U12" i="1087"/>
  <c r="V12" i="1087"/>
  <c r="W12" i="1087"/>
  <c r="X12" i="1087"/>
  <c r="Y12" i="1087"/>
  <c r="Z12" i="1087"/>
  <c r="R13" i="1087"/>
  <c r="S13" i="1087"/>
  <c r="T13" i="1087"/>
  <c r="U13" i="1087"/>
  <c r="V13" i="1087"/>
  <c r="W13" i="1087"/>
  <c r="X13" i="1087"/>
  <c r="Y13" i="1087"/>
  <c r="Z13" i="1087"/>
  <c r="R14" i="1087"/>
  <c r="S14" i="1087"/>
  <c r="T14" i="1087"/>
  <c r="U14" i="1087"/>
  <c r="V14" i="1087"/>
  <c r="W14" i="1087"/>
  <c r="X14" i="1087"/>
  <c r="Y14" i="1087"/>
  <c r="Z14" i="1087"/>
  <c r="R15" i="1087"/>
  <c r="S15" i="1087"/>
  <c r="T15" i="1087"/>
  <c r="U15" i="1087"/>
  <c r="V15" i="1087"/>
  <c r="W15" i="1087"/>
  <c r="X15" i="1087"/>
  <c r="Y15" i="1087"/>
  <c r="Z15" i="1087"/>
  <c r="R16" i="1087"/>
  <c r="S16" i="1087"/>
  <c r="T16" i="1087"/>
  <c r="U16" i="1087"/>
  <c r="V16" i="1087"/>
  <c r="W16" i="1087"/>
  <c r="X16" i="1087"/>
  <c r="Y16" i="1087"/>
  <c r="Z16" i="1087"/>
  <c r="J33" i="1088" l="1"/>
  <c r="K43" i="1088"/>
  <c r="L43" i="1088" s="1"/>
  <c r="M43" i="1088" s="1"/>
  <c r="K53" i="1087"/>
  <c r="K65" i="1087" s="1"/>
  <c r="K51" i="1087"/>
  <c r="G53" i="1087"/>
  <c r="G51" i="1087"/>
  <c r="B53" i="1087" l="1"/>
  <c r="M22" i="1087"/>
  <c r="L22" i="1087"/>
  <c r="K22" i="1087"/>
  <c r="C13" i="1087"/>
  <c r="D13" i="1087"/>
  <c r="E13" i="1087"/>
  <c r="F13" i="1087"/>
  <c r="G13" i="1087"/>
  <c r="I13" i="1087"/>
  <c r="J13" i="1087"/>
  <c r="K13" i="1087"/>
  <c r="L13" i="1087"/>
  <c r="M13" i="1087"/>
  <c r="N13" i="1087"/>
  <c r="O13" i="1087"/>
  <c r="C14" i="1087"/>
  <c r="D14" i="1087"/>
  <c r="E14" i="1087"/>
  <c r="F14" i="1087"/>
  <c r="G14" i="1087"/>
  <c r="I14" i="1087"/>
  <c r="J14" i="1087"/>
  <c r="K14" i="1087"/>
  <c r="L14" i="1087"/>
  <c r="M14" i="1087"/>
  <c r="N14" i="1087"/>
  <c r="O14" i="1087"/>
  <c r="C15" i="1087"/>
  <c r="D15" i="1087"/>
  <c r="E15" i="1087"/>
  <c r="F15" i="1087"/>
  <c r="G15" i="1087"/>
  <c r="I15" i="1087"/>
  <c r="J15" i="1087"/>
  <c r="K15" i="1087"/>
  <c r="L15" i="1087"/>
  <c r="M15" i="1087"/>
  <c r="N15" i="1087"/>
  <c r="O15" i="1087"/>
  <c r="C16" i="1087"/>
  <c r="D16" i="1087"/>
  <c r="E16" i="1087"/>
  <c r="F16" i="1087"/>
  <c r="G16" i="1087"/>
  <c r="I16" i="1087"/>
  <c r="J16" i="1087"/>
  <c r="K16" i="1087"/>
  <c r="L16" i="1087"/>
  <c r="M16" i="1087"/>
  <c r="N16" i="1087"/>
  <c r="O16" i="1087"/>
  <c r="C17" i="1087"/>
  <c r="D17" i="1087"/>
  <c r="E17" i="1087"/>
  <c r="F17" i="1087"/>
  <c r="G17" i="1087"/>
  <c r="I17" i="1087"/>
  <c r="J17" i="1087"/>
  <c r="K17" i="1087"/>
  <c r="L17" i="1087"/>
  <c r="M17" i="1087"/>
  <c r="N17" i="1087"/>
  <c r="O17" i="1087"/>
  <c r="D51" i="1087" l="1"/>
  <c r="J22" i="1087"/>
  <c r="M23" i="1087" l="1"/>
  <c r="L23" i="1087"/>
  <c r="K23" i="1087"/>
  <c r="K32" i="1087" s="1"/>
  <c r="I10" i="1087"/>
  <c r="J10" i="1087"/>
  <c r="L10" i="1087"/>
  <c r="M10" i="1087"/>
  <c r="N10" i="1087"/>
  <c r="O10" i="1087"/>
  <c r="I11" i="1087"/>
  <c r="J11" i="1087"/>
  <c r="L11" i="1087"/>
  <c r="M11" i="1087"/>
  <c r="N11" i="1087"/>
  <c r="O11" i="1087"/>
  <c r="C10" i="1087"/>
  <c r="D10" i="1087"/>
  <c r="E10" i="1087"/>
  <c r="F10" i="1087"/>
  <c r="G10" i="1087"/>
  <c r="C11" i="1087"/>
  <c r="D11" i="1087"/>
  <c r="E11" i="1087"/>
  <c r="F11" i="1087"/>
  <c r="G11" i="1087"/>
  <c r="AX53" i="1087"/>
  <c r="AW53" i="1087"/>
  <c r="AV53" i="1087"/>
  <c r="AU53" i="1087"/>
  <c r="AT53" i="1087"/>
  <c r="AS53" i="1087"/>
  <c r="AR53" i="1087"/>
  <c r="AQ53" i="1087"/>
  <c r="AP53" i="1087"/>
  <c r="AO53" i="1087"/>
  <c r="AN53" i="1087"/>
  <c r="AM53" i="1087"/>
  <c r="AL53" i="1087"/>
  <c r="AK53" i="1087"/>
  <c r="AJ53" i="1087"/>
  <c r="AI53" i="1087"/>
  <c r="AH53" i="1087"/>
  <c r="AG53" i="1087"/>
  <c r="AF53" i="1087"/>
  <c r="AE53" i="1087"/>
  <c r="AD53" i="1087"/>
  <c r="AC53" i="1087"/>
  <c r="AB53" i="1087"/>
  <c r="AX52" i="1087"/>
  <c r="AW52" i="1087"/>
  <c r="AV52" i="1087"/>
  <c r="AU52" i="1087"/>
  <c r="AT52" i="1087"/>
  <c r="AS52" i="1087"/>
  <c r="AR52" i="1087"/>
  <c r="AQ52" i="1087"/>
  <c r="AP52" i="1087"/>
  <c r="AO52" i="1087"/>
  <c r="AN52" i="1087"/>
  <c r="AM52" i="1087"/>
  <c r="AL52" i="1087"/>
  <c r="AK52" i="1087"/>
  <c r="AJ52" i="1087"/>
  <c r="AI52" i="1087"/>
  <c r="AH52" i="1087"/>
  <c r="AG52" i="1087"/>
  <c r="AF52" i="1087"/>
  <c r="AE52" i="1087"/>
  <c r="AD52" i="1087"/>
  <c r="AC52" i="1087"/>
  <c r="AB52" i="1087"/>
  <c r="AX51" i="1087"/>
  <c r="AW51" i="1087"/>
  <c r="AV51" i="1087"/>
  <c r="AU51" i="1087"/>
  <c r="AT51" i="1087"/>
  <c r="AS51" i="1087"/>
  <c r="AR51" i="1087"/>
  <c r="AQ51" i="1087"/>
  <c r="AP51" i="1087"/>
  <c r="AO51" i="1087"/>
  <c r="AN51" i="1087"/>
  <c r="AM51" i="1087"/>
  <c r="AL51" i="1087"/>
  <c r="AK51" i="1087"/>
  <c r="AJ51" i="1087"/>
  <c r="AI51" i="1087"/>
  <c r="AH51" i="1087"/>
  <c r="AG51" i="1087"/>
  <c r="AF51" i="1087"/>
  <c r="AE51" i="1087"/>
  <c r="AD51" i="1087"/>
  <c r="AC51" i="1087"/>
  <c r="AB51" i="1087"/>
  <c r="K64" i="1087"/>
  <c r="L51" i="1087"/>
  <c r="C64" i="1087" s="1"/>
  <c r="B51" i="1087"/>
  <c r="K46" i="1087"/>
  <c r="Z33" i="1087"/>
  <c r="Y33" i="1087"/>
  <c r="X33" i="1087"/>
  <c r="W33" i="1087"/>
  <c r="V33" i="1087"/>
  <c r="U33" i="1087"/>
  <c r="T33" i="1087"/>
  <c r="S33" i="1087"/>
  <c r="R33" i="1087"/>
  <c r="Z32" i="1087"/>
  <c r="Y32" i="1087"/>
  <c r="X32" i="1087"/>
  <c r="W32" i="1087"/>
  <c r="V32" i="1087"/>
  <c r="U32" i="1087"/>
  <c r="T32" i="1087"/>
  <c r="S32" i="1087"/>
  <c r="R32" i="1087"/>
  <c r="Z31" i="1087"/>
  <c r="Y31" i="1087"/>
  <c r="X31" i="1087"/>
  <c r="W31" i="1087"/>
  <c r="V31" i="1087"/>
  <c r="U31" i="1087"/>
  <c r="T31" i="1087"/>
  <c r="S31" i="1087"/>
  <c r="R31" i="1087"/>
  <c r="Z30" i="1087"/>
  <c r="Y30" i="1087"/>
  <c r="X30" i="1087"/>
  <c r="W30" i="1087"/>
  <c r="V30" i="1087"/>
  <c r="U30" i="1087"/>
  <c r="T30" i="1087"/>
  <c r="S30" i="1087"/>
  <c r="R30" i="1087"/>
  <c r="Z29" i="1087"/>
  <c r="Y29" i="1087"/>
  <c r="X29" i="1087"/>
  <c r="W29" i="1087"/>
  <c r="V29" i="1087"/>
  <c r="U29" i="1087"/>
  <c r="T29" i="1087"/>
  <c r="S29" i="1087"/>
  <c r="R29" i="1087"/>
  <c r="Z28" i="1087"/>
  <c r="Y28" i="1087"/>
  <c r="X28" i="1087"/>
  <c r="W28" i="1087"/>
  <c r="V28" i="1087"/>
  <c r="U28" i="1087"/>
  <c r="T28" i="1087"/>
  <c r="S28" i="1087"/>
  <c r="R28" i="1087"/>
  <c r="M28" i="1087"/>
  <c r="Z27" i="1087"/>
  <c r="Y27" i="1087"/>
  <c r="X27" i="1087"/>
  <c r="W27" i="1087"/>
  <c r="V27" i="1087"/>
  <c r="U27" i="1087"/>
  <c r="T27" i="1087"/>
  <c r="S27" i="1087"/>
  <c r="R27" i="1087"/>
  <c r="M27" i="1087"/>
  <c r="Z26" i="1087"/>
  <c r="Y26" i="1087"/>
  <c r="X26" i="1087"/>
  <c r="W26" i="1087"/>
  <c r="V26" i="1087"/>
  <c r="U26" i="1087"/>
  <c r="T26" i="1087"/>
  <c r="S26" i="1087"/>
  <c r="R26" i="1087"/>
  <c r="Z25" i="1087"/>
  <c r="Y25" i="1087"/>
  <c r="X25" i="1087"/>
  <c r="W25" i="1087"/>
  <c r="V25" i="1087"/>
  <c r="U25" i="1087"/>
  <c r="T25" i="1087"/>
  <c r="S25" i="1087"/>
  <c r="R25" i="1087"/>
  <c r="M25" i="1087"/>
  <c r="Z24" i="1087"/>
  <c r="Y24" i="1087"/>
  <c r="X24" i="1087"/>
  <c r="W24" i="1087"/>
  <c r="V24" i="1087"/>
  <c r="U24" i="1087"/>
  <c r="T24" i="1087"/>
  <c r="S24" i="1087"/>
  <c r="R24" i="1087"/>
  <c r="M24" i="1087"/>
  <c r="Z23" i="1087"/>
  <c r="Y23" i="1087"/>
  <c r="X23" i="1087"/>
  <c r="W23" i="1087"/>
  <c r="V23" i="1087"/>
  <c r="U23" i="1087"/>
  <c r="T23" i="1087"/>
  <c r="S23" i="1087"/>
  <c r="R23" i="1087"/>
  <c r="Z22" i="1087"/>
  <c r="Y22" i="1087"/>
  <c r="X22" i="1087"/>
  <c r="W22" i="1087"/>
  <c r="V22" i="1087"/>
  <c r="U22" i="1087"/>
  <c r="T22" i="1087"/>
  <c r="S22" i="1087"/>
  <c r="R22" i="1087"/>
  <c r="Z21" i="1087"/>
  <c r="Y21" i="1087"/>
  <c r="X21" i="1087"/>
  <c r="W21" i="1087"/>
  <c r="V21" i="1087"/>
  <c r="U21" i="1087"/>
  <c r="T21" i="1087"/>
  <c r="S21" i="1087"/>
  <c r="R21" i="1087"/>
  <c r="Z20" i="1087"/>
  <c r="Y20" i="1087"/>
  <c r="X20" i="1087"/>
  <c r="W20" i="1087"/>
  <c r="V20" i="1087"/>
  <c r="U20" i="1087"/>
  <c r="T20" i="1087"/>
  <c r="S20" i="1087"/>
  <c r="R20" i="1087"/>
  <c r="Z19" i="1087"/>
  <c r="Y19" i="1087"/>
  <c r="X19" i="1087"/>
  <c r="W19" i="1087"/>
  <c r="V19" i="1087"/>
  <c r="U19" i="1087"/>
  <c r="T19" i="1087"/>
  <c r="S19" i="1087"/>
  <c r="R19" i="1087"/>
  <c r="Z18" i="1087"/>
  <c r="Y18" i="1087"/>
  <c r="X18" i="1087"/>
  <c r="W18" i="1087"/>
  <c r="V18" i="1087"/>
  <c r="U18" i="1087"/>
  <c r="T18" i="1087"/>
  <c r="S18" i="1087"/>
  <c r="R18" i="1087"/>
  <c r="Z17" i="1087"/>
  <c r="Y17" i="1087"/>
  <c r="X17" i="1087"/>
  <c r="W17" i="1087"/>
  <c r="V17" i="1087"/>
  <c r="U17" i="1087"/>
  <c r="T17" i="1087"/>
  <c r="S17" i="1087"/>
  <c r="R17" i="1087"/>
  <c r="L11" i="1086"/>
  <c r="L12" i="1086"/>
  <c r="L13" i="1086"/>
  <c r="L14" i="1086"/>
  <c r="L15" i="1086"/>
  <c r="L16" i="1086"/>
  <c r="L10" i="1086"/>
  <c r="G65" i="1086"/>
  <c r="G52" i="1086"/>
  <c r="D52" i="1086"/>
  <c r="K52" i="1086"/>
  <c r="J23" i="1087" l="1"/>
  <c r="L37" i="1087"/>
  <c r="M37" i="1087" s="1"/>
  <c r="L32" i="1087"/>
  <c r="M32" i="1087" s="1"/>
  <c r="K24" i="1086"/>
  <c r="M24" i="1086"/>
  <c r="L24" i="1086"/>
  <c r="I10" i="1086"/>
  <c r="J10" i="1086"/>
  <c r="M10" i="1086"/>
  <c r="N10" i="1086"/>
  <c r="O10" i="1086"/>
  <c r="I11" i="1086"/>
  <c r="J11" i="1086"/>
  <c r="M11" i="1086"/>
  <c r="N11" i="1086"/>
  <c r="O11" i="1086"/>
  <c r="I12" i="1086"/>
  <c r="J12" i="1086"/>
  <c r="M12" i="1086"/>
  <c r="N12" i="1086"/>
  <c r="O12" i="1086"/>
  <c r="I13" i="1086"/>
  <c r="J13" i="1086"/>
  <c r="M13" i="1086"/>
  <c r="N13" i="1086"/>
  <c r="O13" i="1086"/>
  <c r="I14" i="1086"/>
  <c r="J14" i="1086"/>
  <c r="M14" i="1086"/>
  <c r="N14" i="1086"/>
  <c r="O14" i="1086"/>
  <c r="I15" i="1086"/>
  <c r="J15" i="1086"/>
  <c r="M15" i="1086"/>
  <c r="N15" i="1086"/>
  <c r="O15" i="1086"/>
  <c r="I16" i="1086"/>
  <c r="J16" i="1086"/>
  <c r="M16" i="1086"/>
  <c r="N16" i="1086"/>
  <c r="O16" i="1086"/>
  <c r="C10" i="1086"/>
  <c r="D10" i="1086"/>
  <c r="E10" i="1086"/>
  <c r="F10" i="1086"/>
  <c r="G10" i="1086"/>
  <c r="C11" i="1086"/>
  <c r="D11" i="1086"/>
  <c r="E11" i="1086"/>
  <c r="F11" i="1086"/>
  <c r="G11" i="1086"/>
  <c r="C12" i="1086"/>
  <c r="D12" i="1086"/>
  <c r="E12" i="1086"/>
  <c r="F12" i="1086"/>
  <c r="G12" i="1086"/>
  <c r="C13" i="1086"/>
  <c r="D13" i="1086"/>
  <c r="E13" i="1086"/>
  <c r="F13" i="1086"/>
  <c r="G13" i="1086"/>
  <c r="C14" i="1086"/>
  <c r="D14" i="1086"/>
  <c r="E14" i="1086"/>
  <c r="F14" i="1086"/>
  <c r="G14" i="1086"/>
  <c r="C15" i="1086"/>
  <c r="D15" i="1086"/>
  <c r="E15" i="1086"/>
  <c r="F15" i="1086"/>
  <c r="G15" i="1086"/>
  <c r="C16" i="1086"/>
  <c r="D16" i="1086"/>
  <c r="E16" i="1086"/>
  <c r="F16" i="1086"/>
  <c r="G16" i="1086"/>
  <c r="AX54" i="1086"/>
  <c r="AW54" i="1086"/>
  <c r="AV54" i="1086"/>
  <c r="AU54" i="1086"/>
  <c r="AT54" i="1086"/>
  <c r="AS54" i="1086"/>
  <c r="AR54" i="1086"/>
  <c r="AQ54" i="1086"/>
  <c r="AP54" i="1086"/>
  <c r="AO54" i="1086"/>
  <c r="AN54" i="1086"/>
  <c r="AM54" i="1086"/>
  <c r="AL54" i="1086"/>
  <c r="AK54" i="1086"/>
  <c r="AJ54" i="1086"/>
  <c r="AI54" i="1086"/>
  <c r="AH54" i="1086"/>
  <c r="AG54" i="1086"/>
  <c r="AF54" i="1086"/>
  <c r="AE54" i="1086"/>
  <c r="AD54" i="1086"/>
  <c r="AC54" i="1086"/>
  <c r="AB54" i="1086"/>
  <c r="L54" i="1086"/>
  <c r="B54" i="1086"/>
  <c r="AX53" i="1086"/>
  <c r="AW53" i="1086"/>
  <c r="AV53" i="1086"/>
  <c r="AU53" i="1086"/>
  <c r="AT53" i="1086"/>
  <c r="AS53" i="1086"/>
  <c r="AR53" i="1086"/>
  <c r="AQ53" i="1086"/>
  <c r="AP53" i="1086"/>
  <c r="AO53" i="1086"/>
  <c r="AN53" i="1086"/>
  <c r="AM53" i="1086"/>
  <c r="AL53" i="1086"/>
  <c r="AK53" i="1086"/>
  <c r="AJ53" i="1086"/>
  <c r="AI53" i="1086"/>
  <c r="AH53" i="1086"/>
  <c r="AG53" i="1086"/>
  <c r="AF53" i="1086"/>
  <c r="AE53" i="1086"/>
  <c r="AD53" i="1086"/>
  <c r="AC53" i="1086"/>
  <c r="AB53" i="1086"/>
  <c r="AX52" i="1086"/>
  <c r="AW52" i="1086"/>
  <c r="AV52" i="1086"/>
  <c r="AU52" i="1086"/>
  <c r="AT52" i="1086"/>
  <c r="AS52" i="1086"/>
  <c r="AR52" i="1086"/>
  <c r="AQ52" i="1086"/>
  <c r="AP52" i="1086"/>
  <c r="AO52" i="1086"/>
  <c r="AN52" i="1086"/>
  <c r="AM52" i="1086"/>
  <c r="AL52" i="1086"/>
  <c r="AK52" i="1086"/>
  <c r="AJ52" i="1086"/>
  <c r="AI52" i="1086"/>
  <c r="AH52" i="1086"/>
  <c r="AG52" i="1086"/>
  <c r="AF52" i="1086"/>
  <c r="AE52" i="1086"/>
  <c r="AD52" i="1086"/>
  <c r="AC52" i="1086"/>
  <c r="AB52" i="1086"/>
  <c r="K65" i="1086"/>
  <c r="L52" i="1086"/>
  <c r="C65" i="1086" s="1"/>
  <c r="B52" i="1086"/>
  <c r="K47" i="1086"/>
  <c r="Z34" i="1086"/>
  <c r="Y34" i="1086"/>
  <c r="X34" i="1086"/>
  <c r="W34" i="1086"/>
  <c r="V34" i="1086"/>
  <c r="U34" i="1086"/>
  <c r="T34" i="1086"/>
  <c r="S34" i="1086"/>
  <c r="R34" i="1086"/>
  <c r="Z33" i="1086"/>
  <c r="Y33" i="1086"/>
  <c r="X33" i="1086"/>
  <c r="W33" i="1086"/>
  <c r="V33" i="1086"/>
  <c r="U33" i="1086"/>
  <c r="T33" i="1086"/>
  <c r="S33" i="1086"/>
  <c r="R33" i="1086"/>
  <c r="Z32" i="1086"/>
  <c r="Y32" i="1086"/>
  <c r="X32" i="1086"/>
  <c r="W32" i="1086"/>
  <c r="V32" i="1086"/>
  <c r="U32" i="1086"/>
  <c r="T32" i="1086"/>
  <c r="S32" i="1086"/>
  <c r="R32" i="1086"/>
  <c r="Z31" i="1086"/>
  <c r="Y31" i="1086"/>
  <c r="X31" i="1086"/>
  <c r="W31" i="1086"/>
  <c r="V31" i="1086"/>
  <c r="U31" i="1086"/>
  <c r="T31" i="1086"/>
  <c r="S31" i="1086"/>
  <c r="R31" i="1086"/>
  <c r="Z30" i="1086"/>
  <c r="Y30" i="1086"/>
  <c r="X30" i="1086"/>
  <c r="W30" i="1086"/>
  <c r="V30" i="1086"/>
  <c r="U30" i="1086"/>
  <c r="T30" i="1086"/>
  <c r="S30" i="1086"/>
  <c r="R30" i="1086"/>
  <c r="Z29" i="1086"/>
  <c r="Y29" i="1086"/>
  <c r="X29" i="1086"/>
  <c r="W29" i="1086"/>
  <c r="V29" i="1086"/>
  <c r="U29" i="1086"/>
  <c r="T29" i="1086"/>
  <c r="S29" i="1086"/>
  <c r="R29" i="1086"/>
  <c r="M29" i="1086"/>
  <c r="Z28" i="1086"/>
  <c r="Y28" i="1086"/>
  <c r="X28" i="1086"/>
  <c r="W28" i="1086"/>
  <c r="V28" i="1086"/>
  <c r="U28" i="1086"/>
  <c r="T28" i="1086"/>
  <c r="S28" i="1086"/>
  <c r="R28" i="1086"/>
  <c r="M28" i="1086"/>
  <c r="Z27" i="1086"/>
  <c r="Y27" i="1086"/>
  <c r="X27" i="1086"/>
  <c r="W27" i="1086"/>
  <c r="V27" i="1086"/>
  <c r="U27" i="1086"/>
  <c r="T27" i="1086"/>
  <c r="S27" i="1086"/>
  <c r="R27" i="1086"/>
  <c r="Z26" i="1086"/>
  <c r="Y26" i="1086"/>
  <c r="X26" i="1086"/>
  <c r="W26" i="1086"/>
  <c r="V26" i="1086"/>
  <c r="U26" i="1086"/>
  <c r="T26" i="1086"/>
  <c r="S26" i="1086"/>
  <c r="R26" i="1086"/>
  <c r="M26" i="1086"/>
  <c r="Z25" i="1086"/>
  <c r="Y25" i="1086"/>
  <c r="X25" i="1086"/>
  <c r="W25" i="1086"/>
  <c r="V25" i="1086"/>
  <c r="U25" i="1086"/>
  <c r="T25" i="1086"/>
  <c r="S25" i="1086"/>
  <c r="R25" i="1086"/>
  <c r="M25" i="1086"/>
  <c r="Z24" i="1086"/>
  <c r="Y24" i="1086"/>
  <c r="X24" i="1086"/>
  <c r="W24" i="1086"/>
  <c r="V24" i="1086"/>
  <c r="U24" i="1086"/>
  <c r="T24" i="1086"/>
  <c r="S24" i="1086"/>
  <c r="R24" i="1086"/>
  <c r="Z23" i="1086"/>
  <c r="Y23" i="1086"/>
  <c r="X23" i="1086"/>
  <c r="W23" i="1086"/>
  <c r="V23" i="1086"/>
  <c r="U23" i="1086"/>
  <c r="T23" i="1086"/>
  <c r="S23" i="1086"/>
  <c r="R23" i="1086"/>
  <c r="M23" i="1086"/>
  <c r="L23" i="1086"/>
  <c r="K23" i="1086"/>
  <c r="Z22" i="1086"/>
  <c r="Y22" i="1086"/>
  <c r="X22" i="1086"/>
  <c r="W22" i="1086"/>
  <c r="V22" i="1086"/>
  <c r="U22" i="1086"/>
  <c r="T22" i="1086"/>
  <c r="S22" i="1086"/>
  <c r="R22" i="1086"/>
  <c r="Z21" i="1086"/>
  <c r="Y21" i="1086"/>
  <c r="X21" i="1086"/>
  <c r="W21" i="1086"/>
  <c r="V21" i="1086"/>
  <c r="U21" i="1086"/>
  <c r="T21" i="1086"/>
  <c r="S21" i="1086"/>
  <c r="R21" i="1086"/>
  <c r="Z20" i="1086"/>
  <c r="Y20" i="1086"/>
  <c r="X20" i="1086"/>
  <c r="W20" i="1086"/>
  <c r="V20" i="1086"/>
  <c r="U20" i="1086"/>
  <c r="T20" i="1086"/>
  <c r="S20" i="1086"/>
  <c r="R20" i="1086"/>
  <c r="Z19" i="1086"/>
  <c r="Y19" i="1086"/>
  <c r="X19" i="1086"/>
  <c r="W19" i="1086"/>
  <c r="V19" i="1086"/>
  <c r="U19" i="1086"/>
  <c r="T19" i="1086"/>
  <c r="S19" i="1086"/>
  <c r="R19" i="1086"/>
  <c r="Z18" i="1086"/>
  <c r="Y18" i="1086"/>
  <c r="X18" i="1086"/>
  <c r="W18" i="1086"/>
  <c r="V18" i="1086"/>
  <c r="U18" i="1086"/>
  <c r="T18" i="1086"/>
  <c r="S18" i="1086"/>
  <c r="R18" i="1086"/>
  <c r="Z17" i="1086"/>
  <c r="Y17" i="1086"/>
  <c r="X17" i="1086"/>
  <c r="W17" i="1086"/>
  <c r="V17" i="1086"/>
  <c r="U17" i="1086"/>
  <c r="T17" i="1086"/>
  <c r="S17" i="1086"/>
  <c r="R17" i="1086"/>
  <c r="Z16" i="1086"/>
  <c r="Y16" i="1086"/>
  <c r="X16" i="1086"/>
  <c r="W16" i="1086"/>
  <c r="V16" i="1086"/>
  <c r="U16" i="1086"/>
  <c r="T16" i="1086"/>
  <c r="S16" i="1086"/>
  <c r="R16" i="1086"/>
  <c r="Z15" i="1086"/>
  <c r="Y15" i="1086"/>
  <c r="X15" i="1086"/>
  <c r="W15" i="1086"/>
  <c r="V15" i="1086"/>
  <c r="U15" i="1086"/>
  <c r="T15" i="1086"/>
  <c r="S15" i="1086"/>
  <c r="R15" i="1086"/>
  <c r="Z14" i="1086"/>
  <c r="Y14" i="1086"/>
  <c r="X14" i="1086"/>
  <c r="W14" i="1086"/>
  <c r="V14" i="1086"/>
  <c r="U14" i="1086"/>
  <c r="T14" i="1086"/>
  <c r="S14" i="1086"/>
  <c r="R14" i="1086"/>
  <c r="Z13" i="1086"/>
  <c r="Y13" i="1086"/>
  <c r="X13" i="1086"/>
  <c r="W13" i="1086"/>
  <c r="V13" i="1086"/>
  <c r="U13" i="1086"/>
  <c r="T13" i="1086"/>
  <c r="S13" i="1086"/>
  <c r="R13" i="1086"/>
  <c r="Z12" i="1086"/>
  <c r="Y12" i="1086"/>
  <c r="X12" i="1086"/>
  <c r="W12" i="1086"/>
  <c r="V12" i="1086"/>
  <c r="U12" i="1086"/>
  <c r="T12" i="1086"/>
  <c r="S12" i="1086"/>
  <c r="R12" i="1086"/>
  <c r="Z11" i="1086"/>
  <c r="Y11" i="1086"/>
  <c r="X11" i="1086"/>
  <c r="W11" i="1086"/>
  <c r="V11" i="1086"/>
  <c r="U11" i="1086"/>
  <c r="T11" i="1086"/>
  <c r="S11" i="1086"/>
  <c r="R11" i="1086"/>
  <c r="Z10" i="1086"/>
  <c r="Y10" i="1086"/>
  <c r="X10" i="1086"/>
  <c r="W10" i="1086"/>
  <c r="V10" i="1086"/>
  <c r="U10" i="1086"/>
  <c r="T10" i="1086"/>
  <c r="S10" i="1086"/>
  <c r="R10" i="1086"/>
  <c r="J60" i="19"/>
  <c r="J63" i="19"/>
  <c r="J64" i="19"/>
  <c r="K63" i="1085"/>
  <c r="K76" i="1085" s="1"/>
  <c r="J24" i="1086" l="1"/>
  <c r="K33" i="1086"/>
  <c r="L33" i="1086" s="1"/>
  <c r="M33" i="1086" s="1"/>
  <c r="L38" i="1086"/>
  <c r="M38" i="1086" s="1"/>
  <c r="G76" i="1085"/>
  <c r="G63" i="1085"/>
  <c r="D63" i="1085"/>
  <c r="M34" i="1085"/>
  <c r="L34" i="1085"/>
  <c r="K34" i="1085"/>
  <c r="M35" i="1085"/>
  <c r="L35" i="1085"/>
  <c r="K35" i="1085"/>
  <c r="R13" i="1085"/>
  <c r="S13" i="1085"/>
  <c r="T13" i="1085"/>
  <c r="U13" i="1085"/>
  <c r="V13" i="1085"/>
  <c r="W13" i="1085"/>
  <c r="X13" i="1085"/>
  <c r="Y13" i="1085"/>
  <c r="Z13" i="1085"/>
  <c r="R14" i="1085"/>
  <c r="S14" i="1085"/>
  <c r="T14" i="1085"/>
  <c r="U14" i="1085"/>
  <c r="V14" i="1085"/>
  <c r="W14" i="1085"/>
  <c r="X14" i="1085"/>
  <c r="Y14" i="1085"/>
  <c r="Z14" i="1085"/>
  <c r="R15" i="1085"/>
  <c r="S15" i="1085"/>
  <c r="T15" i="1085"/>
  <c r="U15" i="1085"/>
  <c r="V15" i="1085"/>
  <c r="W15" i="1085"/>
  <c r="X15" i="1085"/>
  <c r="Y15" i="1085"/>
  <c r="Z15" i="1085"/>
  <c r="R16" i="1085"/>
  <c r="S16" i="1085"/>
  <c r="T16" i="1085"/>
  <c r="U16" i="1085"/>
  <c r="V16" i="1085"/>
  <c r="W16" i="1085"/>
  <c r="X16" i="1085"/>
  <c r="Y16" i="1085"/>
  <c r="Z16" i="1085"/>
  <c r="R17" i="1085"/>
  <c r="S17" i="1085"/>
  <c r="T17" i="1085"/>
  <c r="U17" i="1085"/>
  <c r="V17" i="1085"/>
  <c r="W17" i="1085"/>
  <c r="X17" i="1085"/>
  <c r="Y17" i="1085"/>
  <c r="Z17" i="1085"/>
  <c r="R18" i="1085"/>
  <c r="S18" i="1085"/>
  <c r="T18" i="1085"/>
  <c r="U18" i="1085"/>
  <c r="V18" i="1085"/>
  <c r="W18" i="1085"/>
  <c r="X18" i="1085"/>
  <c r="Y18" i="1085"/>
  <c r="Z18" i="1085"/>
  <c r="R19" i="1085"/>
  <c r="S19" i="1085"/>
  <c r="T19" i="1085"/>
  <c r="U19" i="1085"/>
  <c r="V19" i="1085"/>
  <c r="W19" i="1085"/>
  <c r="X19" i="1085"/>
  <c r="Y19" i="1085"/>
  <c r="Z19" i="1085"/>
  <c r="R20" i="1085"/>
  <c r="S20" i="1085"/>
  <c r="T20" i="1085"/>
  <c r="U20" i="1085"/>
  <c r="V20" i="1085"/>
  <c r="W20" i="1085"/>
  <c r="X20" i="1085"/>
  <c r="Y20" i="1085"/>
  <c r="Z20" i="1085"/>
  <c r="R21" i="1085"/>
  <c r="S21" i="1085"/>
  <c r="T21" i="1085"/>
  <c r="U21" i="1085"/>
  <c r="V21" i="1085"/>
  <c r="W21" i="1085"/>
  <c r="X21" i="1085"/>
  <c r="Y21" i="1085"/>
  <c r="Z21" i="1085"/>
  <c r="R22" i="1085"/>
  <c r="S22" i="1085"/>
  <c r="T22" i="1085"/>
  <c r="U22" i="1085"/>
  <c r="V22" i="1085"/>
  <c r="W22" i="1085"/>
  <c r="X22" i="1085"/>
  <c r="Y22" i="1085"/>
  <c r="Z22" i="1085"/>
  <c r="R23" i="1085"/>
  <c r="S23" i="1085"/>
  <c r="T23" i="1085"/>
  <c r="U23" i="1085"/>
  <c r="V23" i="1085"/>
  <c r="W23" i="1085"/>
  <c r="X23" i="1085"/>
  <c r="Y23" i="1085"/>
  <c r="Z23" i="1085"/>
  <c r="R24" i="1085"/>
  <c r="S24" i="1085"/>
  <c r="T24" i="1085"/>
  <c r="U24" i="1085"/>
  <c r="V24" i="1085"/>
  <c r="W24" i="1085"/>
  <c r="X24" i="1085"/>
  <c r="Y24" i="1085"/>
  <c r="Z24" i="1085"/>
  <c r="R25" i="1085"/>
  <c r="S25" i="1085"/>
  <c r="T25" i="1085"/>
  <c r="U25" i="1085"/>
  <c r="V25" i="1085"/>
  <c r="W25" i="1085"/>
  <c r="X25" i="1085"/>
  <c r="Y25" i="1085"/>
  <c r="Z25" i="1085"/>
  <c r="R26" i="1085"/>
  <c r="S26" i="1085"/>
  <c r="T26" i="1085"/>
  <c r="U26" i="1085"/>
  <c r="V26" i="1085"/>
  <c r="W26" i="1085"/>
  <c r="X26" i="1085"/>
  <c r="Y26" i="1085"/>
  <c r="Z26" i="1085"/>
  <c r="R27" i="1085"/>
  <c r="S27" i="1085"/>
  <c r="T27" i="1085"/>
  <c r="U27" i="1085"/>
  <c r="V27" i="1085"/>
  <c r="W27" i="1085"/>
  <c r="X27" i="1085"/>
  <c r="Y27" i="1085"/>
  <c r="Z27" i="1085"/>
  <c r="R28" i="1085"/>
  <c r="S28" i="1085"/>
  <c r="T28" i="1085"/>
  <c r="U28" i="1085"/>
  <c r="V28" i="1085"/>
  <c r="W28" i="1085"/>
  <c r="X28" i="1085"/>
  <c r="Y28" i="1085"/>
  <c r="Z28" i="1085"/>
  <c r="R29" i="1085"/>
  <c r="S29" i="1085"/>
  <c r="T29" i="1085"/>
  <c r="U29" i="1085"/>
  <c r="V29" i="1085"/>
  <c r="W29" i="1085"/>
  <c r="X29" i="1085"/>
  <c r="Y29" i="1085"/>
  <c r="Z29" i="1085"/>
  <c r="R30" i="1085"/>
  <c r="S30" i="1085"/>
  <c r="T30" i="1085"/>
  <c r="U30" i="1085"/>
  <c r="V30" i="1085"/>
  <c r="W30" i="1085"/>
  <c r="X30" i="1085"/>
  <c r="Y30" i="1085"/>
  <c r="Z30" i="1085"/>
  <c r="I16" i="1085"/>
  <c r="J16" i="1085"/>
  <c r="L16" i="1085"/>
  <c r="M16" i="1085"/>
  <c r="N16" i="1085"/>
  <c r="O16" i="1085"/>
  <c r="I17" i="1085"/>
  <c r="J17" i="1085"/>
  <c r="L17" i="1085"/>
  <c r="M17" i="1085"/>
  <c r="N17" i="1085"/>
  <c r="O17" i="1085"/>
  <c r="I18" i="1085"/>
  <c r="J18" i="1085"/>
  <c r="L18" i="1085"/>
  <c r="M18" i="1085"/>
  <c r="N18" i="1085"/>
  <c r="O18" i="1085"/>
  <c r="I19" i="1085"/>
  <c r="J19" i="1085"/>
  <c r="L19" i="1085"/>
  <c r="M19" i="1085"/>
  <c r="N19" i="1085"/>
  <c r="O19" i="1085"/>
  <c r="C16" i="1085"/>
  <c r="D16" i="1085"/>
  <c r="E16" i="1085"/>
  <c r="F16" i="1085"/>
  <c r="G16" i="1085"/>
  <c r="C17" i="1085"/>
  <c r="D17" i="1085"/>
  <c r="E17" i="1085"/>
  <c r="F17" i="1085"/>
  <c r="G17" i="1085"/>
  <c r="C18" i="1085"/>
  <c r="D18" i="1085"/>
  <c r="E18" i="1085"/>
  <c r="F18" i="1085"/>
  <c r="G18" i="1085"/>
  <c r="C19" i="1085"/>
  <c r="D19" i="1085"/>
  <c r="E19" i="1085"/>
  <c r="F19" i="1085"/>
  <c r="G19" i="1085"/>
  <c r="O20" i="1085"/>
  <c r="N20" i="1085"/>
  <c r="M20" i="1085"/>
  <c r="L20" i="1085"/>
  <c r="J20" i="1085"/>
  <c r="I20" i="1085"/>
  <c r="G20" i="1085"/>
  <c r="F20" i="1085"/>
  <c r="E20" i="1085"/>
  <c r="D20" i="1085"/>
  <c r="C20" i="1085"/>
  <c r="I10" i="1085"/>
  <c r="J10" i="1085"/>
  <c r="K10" i="1085"/>
  <c r="L10" i="1085"/>
  <c r="M10" i="1085"/>
  <c r="N10" i="1085"/>
  <c r="O10" i="1085"/>
  <c r="I11" i="1085"/>
  <c r="J11" i="1085"/>
  <c r="K11" i="1085"/>
  <c r="L11" i="1085"/>
  <c r="M11" i="1085"/>
  <c r="N11" i="1085"/>
  <c r="O11" i="1085"/>
  <c r="I12" i="1085"/>
  <c r="J12" i="1085"/>
  <c r="K12" i="1085"/>
  <c r="L12" i="1085"/>
  <c r="M12" i="1085"/>
  <c r="N12" i="1085"/>
  <c r="O12" i="1085"/>
  <c r="I13" i="1085"/>
  <c r="J13" i="1085"/>
  <c r="K13" i="1085"/>
  <c r="L13" i="1085"/>
  <c r="M13" i="1085"/>
  <c r="N13" i="1085"/>
  <c r="O13" i="1085"/>
  <c r="C10" i="1085"/>
  <c r="D10" i="1085"/>
  <c r="E10" i="1085"/>
  <c r="F10" i="1085"/>
  <c r="G10" i="1085"/>
  <c r="C11" i="1085"/>
  <c r="D11" i="1085"/>
  <c r="E11" i="1085"/>
  <c r="F11" i="1085"/>
  <c r="G11" i="1085"/>
  <c r="C12" i="1085"/>
  <c r="D12" i="1085"/>
  <c r="E12" i="1085"/>
  <c r="F12" i="1085"/>
  <c r="G12" i="1085"/>
  <c r="C13" i="1085"/>
  <c r="D13" i="1085"/>
  <c r="E13" i="1085"/>
  <c r="F13" i="1085"/>
  <c r="G13" i="1085"/>
  <c r="R10" i="1085"/>
  <c r="S10" i="1085"/>
  <c r="T10" i="1085"/>
  <c r="U10" i="1085"/>
  <c r="V10" i="1085"/>
  <c r="W10" i="1085"/>
  <c r="X10" i="1085"/>
  <c r="Y10" i="1085"/>
  <c r="Z10" i="1085"/>
  <c r="R11" i="1085"/>
  <c r="S11" i="1085"/>
  <c r="T11" i="1085"/>
  <c r="U11" i="1085"/>
  <c r="V11" i="1085"/>
  <c r="W11" i="1085"/>
  <c r="X11" i="1085"/>
  <c r="Y11" i="1085"/>
  <c r="Z11" i="1085"/>
  <c r="R12" i="1085"/>
  <c r="S12" i="1085"/>
  <c r="T12" i="1085"/>
  <c r="U12" i="1085"/>
  <c r="V12" i="1085"/>
  <c r="W12" i="1085"/>
  <c r="X12" i="1085"/>
  <c r="Y12" i="1085"/>
  <c r="Z12" i="1085"/>
  <c r="AX65" i="1085"/>
  <c r="AW65" i="1085"/>
  <c r="AV65" i="1085"/>
  <c r="AU65" i="1085"/>
  <c r="AT65" i="1085"/>
  <c r="AS65" i="1085"/>
  <c r="AR65" i="1085"/>
  <c r="AQ65" i="1085"/>
  <c r="AP65" i="1085"/>
  <c r="AO65" i="1085"/>
  <c r="AN65" i="1085"/>
  <c r="AM65" i="1085"/>
  <c r="AL65" i="1085"/>
  <c r="AK65" i="1085"/>
  <c r="AJ65" i="1085"/>
  <c r="AI65" i="1085"/>
  <c r="AH65" i="1085"/>
  <c r="AG65" i="1085"/>
  <c r="AF65" i="1085"/>
  <c r="AE65" i="1085"/>
  <c r="AD65" i="1085"/>
  <c r="AC65" i="1085"/>
  <c r="AB65" i="1085"/>
  <c r="L65" i="1085"/>
  <c r="B65" i="1085"/>
  <c r="AX64" i="1085"/>
  <c r="AW64" i="1085"/>
  <c r="AV64" i="1085"/>
  <c r="AU64" i="1085"/>
  <c r="AT64" i="1085"/>
  <c r="AS64" i="1085"/>
  <c r="AR64" i="1085"/>
  <c r="AQ64" i="1085"/>
  <c r="AP64" i="1085"/>
  <c r="AO64" i="1085"/>
  <c r="AN64" i="1085"/>
  <c r="AM64" i="1085"/>
  <c r="AL64" i="1085"/>
  <c r="AK64" i="1085"/>
  <c r="AJ64" i="1085"/>
  <c r="AI64" i="1085"/>
  <c r="AH64" i="1085"/>
  <c r="AG64" i="1085"/>
  <c r="AF64" i="1085"/>
  <c r="AE64" i="1085"/>
  <c r="AD64" i="1085"/>
  <c r="AC64" i="1085"/>
  <c r="AB64" i="1085"/>
  <c r="AX63" i="1085"/>
  <c r="AW63" i="1085"/>
  <c r="AV63" i="1085"/>
  <c r="AU63" i="1085"/>
  <c r="AT63" i="1085"/>
  <c r="AS63" i="1085"/>
  <c r="AR63" i="1085"/>
  <c r="AQ63" i="1085"/>
  <c r="AP63" i="1085"/>
  <c r="AO63" i="1085"/>
  <c r="AN63" i="1085"/>
  <c r="AM63" i="1085"/>
  <c r="AL63" i="1085"/>
  <c r="AK63" i="1085"/>
  <c r="AJ63" i="1085"/>
  <c r="AI63" i="1085"/>
  <c r="AH63" i="1085"/>
  <c r="AG63" i="1085"/>
  <c r="AF63" i="1085"/>
  <c r="AE63" i="1085"/>
  <c r="AD63" i="1085"/>
  <c r="AC63" i="1085"/>
  <c r="AB63" i="1085"/>
  <c r="B63" i="1085"/>
  <c r="K58" i="1085"/>
  <c r="L49" i="1085" s="1"/>
  <c r="M49" i="1085" s="1"/>
  <c r="Z45" i="1085"/>
  <c r="Y45" i="1085"/>
  <c r="X45" i="1085"/>
  <c r="W45" i="1085"/>
  <c r="V45" i="1085"/>
  <c r="U45" i="1085"/>
  <c r="T45" i="1085"/>
  <c r="S45" i="1085"/>
  <c r="R45" i="1085"/>
  <c r="Z44" i="1085"/>
  <c r="Y44" i="1085"/>
  <c r="X44" i="1085"/>
  <c r="W44" i="1085"/>
  <c r="V44" i="1085"/>
  <c r="U44" i="1085"/>
  <c r="T44" i="1085"/>
  <c r="S44" i="1085"/>
  <c r="R44" i="1085"/>
  <c r="Z43" i="1085"/>
  <c r="Y43" i="1085"/>
  <c r="X43" i="1085"/>
  <c r="W43" i="1085"/>
  <c r="V43" i="1085"/>
  <c r="U43" i="1085"/>
  <c r="T43" i="1085"/>
  <c r="S43" i="1085"/>
  <c r="R43" i="1085"/>
  <c r="Z42" i="1085"/>
  <c r="Y42" i="1085"/>
  <c r="X42" i="1085"/>
  <c r="W42" i="1085"/>
  <c r="V42" i="1085"/>
  <c r="U42" i="1085"/>
  <c r="T42" i="1085"/>
  <c r="S42" i="1085"/>
  <c r="R42" i="1085"/>
  <c r="Z41" i="1085"/>
  <c r="Y41" i="1085"/>
  <c r="X41" i="1085"/>
  <c r="W41" i="1085"/>
  <c r="V41" i="1085"/>
  <c r="U41" i="1085"/>
  <c r="T41" i="1085"/>
  <c r="S41" i="1085"/>
  <c r="R41" i="1085"/>
  <c r="Z40" i="1085"/>
  <c r="Y40" i="1085"/>
  <c r="X40" i="1085"/>
  <c r="W40" i="1085"/>
  <c r="V40" i="1085"/>
  <c r="U40" i="1085"/>
  <c r="T40" i="1085"/>
  <c r="S40" i="1085"/>
  <c r="R40" i="1085"/>
  <c r="M40" i="1085"/>
  <c r="Z39" i="1085"/>
  <c r="Y39" i="1085"/>
  <c r="X39" i="1085"/>
  <c r="W39" i="1085"/>
  <c r="V39" i="1085"/>
  <c r="U39" i="1085"/>
  <c r="T39" i="1085"/>
  <c r="S39" i="1085"/>
  <c r="R39" i="1085"/>
  <c r="M39" i="1085"/>
  <c r="Z38" i="1085"/>
  <c r="Y38" i="1085"/>
  <c r="X38" i="1085"/>
  <c r="W38" i="1085"/>
  <c r="V38" i="1085"/>
  <c r="U38" i="1085"/>
  <c r="T38" i="1085"/>
  <c r="S38" i="1085"/>
  <c r="R38" i="1085"/>
  <c r="Z37" i="1085"/>
  <c r="Y37" i="1085"/>
  <c r="X37" i="1085"/>
  <c r="W37" i="1085"/>
  <c r="V37" i="1085"/>
  <c r="U37" i="1085"/>
  <c r="T37" i="1085"/>
  <c r="S37" i="1085"/>
  <c r="R37" i="1085"/>
  <c r="M37" i="1085"/>
  <c r="Z36" i="1085"/>
  <c r="Y36" i="1085"/>
  <c r="X36" i="1085"/>
  <c r="W36" i="1085"/>
  <c r="V36" i="1085"/>
  <c r="U36" i="1085"/>
  <c r="T36" i="1085"/>
  <c r="S36" i="1085"/>
  <c r="R36" i="1085"/>
  <c r="M36" i="1085"/>
  <c r="Z35" i="1085"/>
  <c r="Y35" i="1085"/>
  <c r="X35" i="1085"/>
  <c r="W35" i="1085"/>
  <c r="V35" i="1085"/>
  <c r="U35" i="1085"/>
  <c r="T35" i="1085"/>
  <c r="S35" i="1085"/>
  <c r="R35" i="1085"/>
  <c r="Z34" i="1085"/>
  <c r="Y34" i="1085"/>
  <c r="X34" i="1085"/>
  <c r="W34" i="1085"/>
  <c r="V34" i="1085"/>
  <c r="U34" i="1085"/>
  <c r="T34" i="1085"/>
  <c r="S34" i="1085"/>
  <c r="R34" i="1085"/>
  <c r="Z33" i="1085"/>
  <c r="Y33" i="1085"/>
  <c r="X33" i="1085"/>
  <c r="W33" i="1085"/>
  <c r="V33" i="1085"/>
  <c r="U33" i="1085"/>
  <c r="T33" i="1085"/>
  <c r="S33" i="1085"/>
  <c r="R33" i="1085"/>
  <c r="Z32" i="1085"/>
  <c r="Y32" i="1085"/>
  <c r="X32" i="1085"/>
  <c r="W32" i="1085"/>
  <c r="V32" i="1085"/>
  <c r="U32" i="1085"/>
  <c r="T32" i="1085"/>
  <c r="S32" i="1085"/>
  <c r="R32" i="1085"/>
  <c r="Z31" i="1085"/>
  <c r="Y31" i="1085"/>
  <c r="X31" i="1085"/>
  <c r="W31" i="1085"/>
  <c r="V31" i="1085"/>
  <c r="U31" i="1085"/>
  <c r="T31" i="1085"/>
  <c r="S31" i="1085"/>
  <c r="R31" i="1085"/>
  <c r="K58" i="1084"/>
  <c r="K56" i="1084"/>
  <c r="L63" i="1085" l="1"/>
  <c r="C76" i="1085" s="1"/>
  <c r="J34" i="1085"/>
  <c r="J35" i="1085"/>
  <c r="K44" i="1085"/>
  <c r="L44" i="1085" s="1"/>
  <c r="M44" i="1085" s="1"/>
  <c r="K69" i="1084"/>
  <c r="G58" i="1084"/>
  <c r="G56" i="1084"/>
  <c r="D56" i="1084"/>
  <c r="G57" i="1082"/>
  <c r="B58" i="1084"/>
  <c r="L42" i="1084"/>
  <c r="M27" i="1084"/>
  <c r="L27" i="1084"/>
  <c r="K27" i="1084"/>
  <c r="R10" i="1084"/>
  <c r="S10" i="1084"/>
  <c r="T10" i="1084"/>
  <c r="U10" i="1084"/>
  <c r="V10" i="1084"/>
  <c r="W10" i="1084"/>
  <c r="X10" i="1084"/>
  <c r="Y10" i="1084"/>
  <c r="Z10" i="1084"/>
  <c r="R11" i="1084"/>
  <c r="S11" i="1084"/>
  <c r="T11" i="1084"/>
  <c r="U11" i="1084"/>
  <c r="V11" i="1084"/>
  <c r="W11" i="1084"/>
  <c r="X11" i="1084"/>
  <c r="Y11" i="1084"/>
  <c r="Z11" i="1084"/>
  <c r="R12" i="1084"/>
  <c r="S12" i="1084"/>
  <c r="T12" i="1084"/>
  <c r="U12" i="1084"/>
  <c r="V12" i="1084"/>
  <c r="W12" i="1084"/>
  <c r="X12" i="1084"/>
  <c r="Y12" i="1084"/>
  <c r="Z12" i="1084"/>
  <c r="R13" i="1084"/>
  <c r="S13" i="1084"/>
  <c r="T13" i="1084"/>
  <c r="U13" i="1084"/>
  <c r="V13" i="1084"/>
  <c r="W13" i="1084"/>
  <c r="X13" i="1084"/>
  <c r="Y13" i="1084"/>
  <c r="Z13" i="1084"/>
  <c r="R14" i="1084"/>
  <c r="S14" i="1084"/>
  <c r="T14" i="1084"/>
  <c r="U14" i="1084"/>
  <c r="V14" i="1084"/>
  <c r="W14" i="1084"/>
  <c r="X14" i="1084"/>
  <c r="Y14" i="1084"/>
  <c r="Z14" i="1084"/>
  <c r="R15" i="1084"/>
  <c r="S15" i="1084"/>
  <c r="T15" i="1084"/>
  <c r="U15" i="1084"/>
  <c r="V15" i="1084"/>
  <c r="W15" i="1084"/>
  <c r="X15" i="1084"/>
  <c r="Y15" i="1084"/>
  <c r="Z15" i="1084"/>
  <c r="R16" i="1084"/>
  <c r="S16" i="1084"/>
  <c r="T16" i="1084"/>
  <c r="U16" i="1084"/>
  <c r="V16" i="1084"/>
  <c r="W16" i="1084"/>
  <c r="X16" i="1084"/>
  <c r="Y16" i="1084"/>
  <c r="Z16" i="1084"/>
  <c r="R17" i="1084"/>
  <c r="S17" i="1084"/>
  <c r="T17" i="1084"/>
  <c r="U17" i="1084"/>
  <c r="V17" i="1084"/>
  <c r="W17" i="1084"/>
  <c r="X17" i="1084"/>
  <c r="Y17" i="1084"/>
  <c r="Z17" i="1084"/>
  <c r="R18" i="1084"/>
  <c r="S18" i="1084"/>
  <c r="T18" i="1084"/>
  <c r="U18" i="1084"/>
  <c r="V18" i="1084"/>
  <c r="W18" i="1084"/>
  <c r="X18" i="1084"/>
  <c r="Y18" i="1084"/>
  <c r="Z18" i="1084"/>
  <c r="R19" i="1084"/>
  <c r="S19" i="1084"/>
  <c r="T19" i="1084"/>
  <c r="U19" i="1084"/>
  <c r="V19" i="1084"/>
  <c r="W19" i="1084"/>
  <c r="X19" i="1084"/>
  <c r="Y19" i="1084"/>
  <c r="Z19" i="1084"/>
  <c r="I10" i="1084"/>
  <c r="J10" i="1084"/>
  <c r="K10" i="1084"/>
  <c r="L10" i="1084"/>
  <c r="M10" i="1084"/>
  <c r="N10" i="1084"/>
  <c r="O10" i="1084"/>
  <c r="I11" i="1084"/>
  <c r="J11" i="1084"/>
  <c r="K11" i="1084"/>
  <c r="L11" i="1084"/>
  <c r="M11" i="1084"/>
  <c r="N11" i="1084"/>
  <c r="O11" i="1084"/>
  <c r="I12" i="1084"/>
  <c r="J12" i="1084"/>
  <c r="K12" i="1084"/>
  <c r="L12" i="1084"/>
  <c r="M12" i="1084"/>
  <c r="N12" i="1084"/>
  <c r="O12" i="1084"/>
  <c r="I13" i="1084"/>
  <c r="J13" i="1084"/>
  <c r="K13" i="1084"/>
  <c r="L13" i="1084"/>
  <c r="M13" i="1084"/>
  <c r="N13" i="1084"/>
  <c r="O13" i="1084"/>
  <c r="I14" i="1084"/>
  <c r="J14" i="1084"/>
  <c r="K14" i="1084"/>
  <c r="L14" i="1084"/>
  <c r="M14" i="1084"/>
  <c r="N14" i="1084"/>
  <c r="O14" i="1084"/>
  <c r="I15" i="1084"/>
  <c r="J15" i="1084"/>
  <c r="K15" i="1084"/>
  <c r="L15" i="1084"/>
  <c r="M15" i="1084"/>
  <c r="N15" i="1084"/>
  <c r="O15" i="1084"/>
  <c r="I16" i="1084"/>
  <c r="J16" i="1084"/>
  <c r="K16" i="1084"/>
  <c r="L16" i="1084"/>
  <c r="M16" i="1084"/>
  <c r="N16" i="1084"/>
  <c r="O16" i="1084"/>
  <c r="I17" i="1084"/>
  <c r="J17" i="1084"/>
  <c r="K17" i="1084"/>
  <c r="L17" i="1084"/>
  <c r="M17" i="1084"/>
  <c r="N17" i="1084"/>
  <c r="O17" i="1084"/>
  <c r="C10" i="1084"/>
  <c r="D10" i="1084"/>
  <c r="E10" i="1084"/>
  <c r="F10" i="1084"/>
  <c r="G10" i="1084"/>
  <c r="C11" i="1084"/>
  <c r="D11" i="1084"/>
  <c r="E11" i="1084"/>
  <c r="F11" i="1084"/>
  <c r="G11" i="1084"/>
  <c r="C12" i="1084"/>
  <c r="D12" i="1084"/>
  <c r="E12" i="1084"/>
  <c r="F12" i="1084"/>
  <c r="G12" i="1084"/>
  <c r="C13" i="1084"/>
  <c r="D13" i="1084"/>
  <c r="E13" i="1084"/>
  <c r="F13" i="1084"/>
  <c r="G13" i="1084"/>
  <c r="C14" i="1084"/>
  <c r="D14" i="1084"/>
  <c r="E14" i="1084"/>
  <c r="F14" i="1084"/>
  <c r="G14" i="1084"/>
  <c r="C15" i="1084"/>
  <c r="D15" i="1084"/>
  <c r="E15" i="1084"/>
  <c r="F15" i="1084"/>
  <c r="G15" i="1084"/>
  <c r="C16" i="1084"/>
  <c r="D16" i="1084"/>
  <c r="E16" i="1084"/>
  <c r="F16" i="1084"/>
  <c r="G16" i="1084"/>
  <c r="C17" i="1084"/>
  <c r="D17" i="1084"/>
  <c r="E17" i="1084"/>
  <c r="F17" i="1084"/>
  <c r="G17" i="1084"/>
  <c r="AX58" i="1084"/>
  <c r="AW58" i="1084"/>
  <c r="AV58" i="1084"/>
  <c r="AU58" i="1084"/>
  <c r="AT58" i="1084"/>
  <c r="AS58" i="1084"/>
  <c r="AR58" i="1084"/>
  <c r="AQ58" i="1084"/>
  <c r="AP58" i="1084"/>
  <c r="AO58" i="1084"/>
  <c r="AN58" i="1084"/>
  <c r="AM58" i="1084"/>
  <c r="AL58" i="1084"/>
  <c r="AK58" i="1084"/>
  <c r="AJ58" i="1084"/>
  <c r="AI58" i="1084"/>
  <c r="AH58" i="1084"/>
  <c r="AG58" i="1084"/>
  <c r="AF58" i="1084"/>
  <c r="AE58" i="1084"/>
  <c r="AD58" i="1084"/>
  <c r="AC58" i="1084"/>
  <c r="AB58" i="1084"/>
  <c r="AX57" i="1084"/>
  <c r="AW57" i="1084"/>
  <c r="AV57" i="1084"/>
  <c r="AU57" i="1084"/>
  <c r="AT57" i="1084"/>
  <c r="AS57" i="1084"/>
  <c r="AR57" i="1084"/>
  <c r="AQ57" i="1084"/>
  <c r="AP57" i="1084"/>
  <c r="AO57" i="1084"/>
  <c r="AN57" i="1084"/>
  <c r="AM57" i="1084"/>
  <c r="AL57" i="1084"/>
  <c r="AK57" i="1084"/>
  <c r="AJ57" i="1084"/>
  <c r="AI57" i="1084"/>
  <c r="AH57" i="1084"/>
  <c r="AG57" i="1084"/>
  <c r="AF57" i="1084"/>
  <c r="AE57" i="1084"/>
  <c r="AD57" i="1084"/>
  <c r="AC57" i="1084"/>
  <c r="AB57" i="1084"/>
  <c r="AX56" i="1084"/>
  <c r="AW56" i="1084"/>
  <c r="AV56" i="1084"/>
  <c r="AU56" i="1084"/>
  <c r="AT56" i="1084"/>
  <c r="AS56" i="1084"/>
  <c r="AR56" i="1084"/>
  <c r="AQ56" i="1084"/>
  <c r="AP56" i="1084"/>
  <c r="AO56" i="1084"/>
  <c r="AN56" i="1084"/>
  <c r="AM56" i="1084"/>
  <c r="AL56" i="1084"/>
  <c r="AK56" i="1084"/>
  <c r="AJ56" i="1084"/>
  <c r="AI56" i="1084"/>
  <c r="AH56" i="1084"/>
  <c r="AG56" i="1084"/>
  <c r="AF56" i="1084"/>
  <c r="AE56" i="1084"/>
  <c r="AD56" i="1084"/>
  <c r="AC56" i="1084"/>
  <c r="AB56" i="1084"/>
  <c r="B56" i="1084"/>
  <c r="K51" i="1084"/>
  <c r="M42" i="1084"/>
  <c r="Z38" i="1084"/>
  <c r="Y38" i="1084"/>
  <c r="X38" i="1084"/>
  <c r="W38" i="1084"/>
  <c r="V38" i="1084"/>
  <c r="U38" i="1084"/>
  <c r="T38" i="1084"/>
  <c r="S38" i="1084"/>
  <c r="R38" i="1084"/>
  <c r="Z37" i="1084"/>
  <c r="Y37" i="1084"/>
  <c r="X37" i="1084"/>
  <c r="W37" i="1084"/>
  <c r="V37" i="1084"/>
  <c r="U37" i="1084"/>
  <c r="T37" i="1084"/>
  <c r="S37" i="1084"/>
  <c r="R37" i="1084"/>
  <c r="Z36" i="1084"/>
  <c r="Y36" i="1084"/>
  <c r="X36" i="1084"/>
  <c r="W36" i="1084"/>
  <c r="V36" i="1084"/>
  <c r="U36" i="1084"/>
  <c r="T36" i="1084"/>
  <c r="S36" i="1084"/>
  <c r="R36" i="1084"/>
  <c r="Z35" i="1084"/>
  <c r="Y35" i="1084"/>
  <c r="X35" i="1084"/>
  <c r="W35" i="1084"/>
  <c r="V35" i="1084"/>
  <c r="U35" i="1084"/>
  <c r="T35" i="1084"/>
  <c r="S35" i="1084"/>
  <c r="R35" i="1084"/>
  <c r="Z34" i="1084"/>
  <c r="Y34" i="1084"/>
  <c r="X34" i="1084"/>
  <c r="W34" i="1084"/>
  <c r="V34" i="1084"/>
  <c r="U34" i="1084"/>
  <c r="T34" i="1084"/>
  <c r="S34" i="1084"/>
  <c r="R34" i="1084"/>
  <c r="Z33" i="1084"/>
  <c r="Y33" i="1084"/>
  <c r="X33" i="1084"/>
  <c r="W33" i="1084"/>
  <c r="V33" i="1084"/>
  <c r="U33" i="1084"/>
  <c r="T33" i="1084"/>
  <c r="S33" i="1084"/>
  <c r="R33" i="1084"/>
  <c r="M33" i="1084"/>
  <c r="Z32" i="1084"/>
  <c r="Y32" i="1084"/>
  <c r="X32" i="1084"/>
  <c r="W32" i="1084"/>
  <c r="V32" i="1084"/>
  <c r="U32" i="1084"/>
  <c r="T32" i="1084"/>
  <c r="S32" i="1084"/>
  <c r="R32" i="1084"/>
  <c r="M32" i="1084"/>
  <c r="Z31" i="1084"/>
  <c r="Y31" i="1084"/>
  <c r="X31" i="1084"/>
  <c r="W31" i="1084"/>
  <c r="V31" i="1084"/>
  <c r="U31" i="1084"/>
  <c r="T31" i="1084"/>
  <c r="S31" i="1084"/>
  <c r="R31" i="1084"/>
  <c r="Z30" i="1084"/>
  <c r="Y30" i="1084"/>
  <c r="X30" i="1084"/>
  <c r="W30" i="1084"/>
  <c r="V30" i="1084"/>
  <c r="U30" i="1084"/>
  <c r="T30" i="1084"/>
  <c r="S30" i="1084"/>
  <c r="R30" i="1084"/>
  <c r="M30" i="1084"/>
  <c r="Z29" i="1084"/>
  <c r="Y29" i="1084"/>
  <c r="X29" i="1084"/>
  <c r="W29" i="1084"/>
  <c r="V29" i="1084"/>
  <c r="U29" i="1084"/>
  <c r="T29" i="1084"/>
  <c r="S29" i="1084"/>
  <c r="R29" i="1084"/>
  <c r="M29" i="1084"/>
  <c r="Z28" i="1084"/>
  <c r="Y28" i="1084"/>
  <c r="X28" i="1084"/>
  <c r="W28" i="1084"/>
  <c r="V28" i="1084"/>
  <c r="U28" i="1084"/>
  <c r="T28" i="1084"/>
  <c r="S28" i="1084"/>
  <c r="R28" i="1084"/>
  <c r="M28" i="1084"/>
  <c r="L28" i="1084"/>
  <c r="K28" i="1084"/>
  <c r="Z27" i="1084"/>
  <c r="Y27" i="1084"/>
  <c r="X27" i="1084"/>
  <c r="W27" i="1084"/>
  <c r="V27" i="1084"/>
  <c r="U27" i="1084"/>
  <c r="T27" i="1084"/>
  <c r="S27" i="1084"/>
  <c r="R27" i="1084"/>
  <c r="Z26" i="1084"/>
  <c r="Y26" i="1084"/>
  <c r="X26" i="1084"/>
  <c r="W26" i="1084"/>
  <c r="V26" i="1084"/>
  <c r="U26" i="1084"/>
  <c r="T26" i="1084"/>
  <c r="S26" i="1084"/>
  <c r="R26" i="1084"/>
  <c r="Z25" i="1084"/>
  <c r="Y25" i="1084"/>
  <c r="X25" i="1084"/>
  <c r="W25" i="1084"/>
  <c r="V25" i="1084"/>
  <c r="U25" i="1084"/>
  <c r="T25" i="1084"/>
  <c r="S25" i="1084"/>
  <c r="R25" i="1084"/>
  <c r="Z24" i="1084"/>
  <c r="Y24" i="1084"/>
  <c r="X24" i="1084"/>
  <c r="W24" i="1084"/>
  <c r="V24" i="1084"/>
  <c r="U24" i="1084"/>
  <c r="T24" i="1084"/>
  <c r="S24" i="1084"/>
  <c r="R24" i="1084"/>
  <c r="Z23" i="1084"/>
  <c r="Y23" i="1084"/>
  <c r="X23" i="1084"/>
  <c r="W23" i="1084"/>
  <c r="V23" i="1084"/>
  <c r="U23" i="1084"/>
  <c r="T23" i="1084"/>
  <c r="S23" i="1084"/>
  <c r="R23" i="1084"/>
  <c r="Z22" i="1084"/>
  <c r="Y22" i="1084"/>
  <c r="X22" i="1084"/>
  <c r="W22" i="1084"/>
  <c r="V22" i="1084"/>
  <c r="U22" i="1084"/>
  <c r="T22" i="1084"/>
  <c r="S22" i="1084"/>
  <c r="R22" i="1084"/>
  <c r="Z21" i="1084"/>
  <c r="Y21" i="1084"/>
  <c r="X21" i="1084"/>
  <c r="W21" i="1084"/>
  <c r="V21" i="1084"/>
  <c r="U21" i="1084"/>
  <c r="T21" i="1084"/>
  <c r="S21" i="1084"/>
  <c r="R21" i="1084"/>
  <c r="Z20" i="1084"/>
  <c r="Y20" i="1084"/>
  <c r="X20" i="1084"/>
  <c r="W20" i="1084"/>
  <c r="V20" i="1084"/>
  <c r="U20" i="1084"/>
  <c r="T20" i="1084"/>
  <c r="S20" i="1084"/>
  <c r="R20" i="1084"/>
  <c r="G49" i="1083"/>
  <c r="B49" i="1083"/>
  <c r="L35" i="1083"/>
  <c r="M20" i="1083"/>
  <c r="L20" i="1083"/>
  <c r="K20" i="1083"/>
  <c r="C12" i="1083"/>
  <c r="D12" i="1083"/>
  <c r="E12" i="1083"/>
  <c r="F12" i="1083"/>
  <c r="G12" i="1083"/>
  <c r="I10" i="1083"/>
  <c r="J10" i="1083"/>
  <c r="K10" i="1083"/>
  <c r="L10" i="1083"/>
  <c r="M10" i="1083"/>
  <c r="N10" i="1083"/>
  <c r="O10" i="1083"/>
  <c r="I11" i="1083"/>
  <c r="J11" i="1083"/>
  <c r="K11" i="1083"/>
  <c r="L11" i="1083"/>
  <c r="M11" i="1083"/>
  <c r="N11" i="1083"/>
  <c r="O11" i="1083"/>
  <c r="I12" i="1083"/>
  <c r="J12" i="1083"/>
  <c r="K12" i="1083"/>
  <c r="L12" i="1083"/>
  <c r="M12" i="1083"/>
  <c r="N12" i="1083"/>
  <c r="O12" i="1083"/>
  <c r="C10" i="1083"/>
  <c r="D10" i="1083"/>
  <c r="E10" i="1083"/>
  <c r="F10" i="1083"/>
  <c r="G10" i="1083"/>
  <c r="C11" i="1083"/>
  <c r="D11" i="1083"/>
  <c r="E11" i="1083"/>
  <c r="F11" i="1083"/>
  <c r="G11" i="1083"/>
  <c r="AX51" i="1083"/>
  <c r="AW51" i="1083"/>
  <c r="AV51" i="1083"/>
  <c r="AU51" i="1083"/>
  <c r="AT51" i="1083"/>
  <c r="AS51" i="1083"/>
  <c r="AR51" i="1083"/>
  <c r="AQ51" i="1083"/>
  <c r="AP51" i="1083"/>
  <c r="AO51" i="1083"/>
  <c r="AN51" i="1083"/>
  <c r="AM51" i="1083"/>
  <c r="AL51" i="1083"/>
  <c r="AK51" i="1083"/>
  <c r="AJ51" i="1083"/>
  <c r="AI51" i="1083"/>
  <c r="AH51" i="1083"/>
  <c r="AG51" i="1083"/>
  <c r="AF51" i="1083"/>
  <c r="AE51" i="1083"/>
  <c r="AD51" i="1083"/>
  <c r="AC51" i="1083"/>
  <c r="AB51" i="1083"/>
  <c r="B51" i="1083"/>
  <c r="AX50" i="1083"/>
  <c r="AW50" i="1083"/>
  <c r="AV50" i="1083"/>
  <c r="AU50" i="1083"/>
  <c r="AT50" i="1083"/>
  <c r="AS50" i="1083"/>
  <c r="AR50" i="1083"/>
  <c r="AQ50" i="1083"/>
  <c r="AP50" i="1083"/>
  <c r="AO50" i="1083"/>
  <c r="AN50" i="1083"/>
  <c r="AM50" i="1083"/>
  <c r="AL50" i="1083"/>
  <c r="AK50" i="1083"/>
  <c r="AJ50" i="1083"/>
  <c r="AI50" i="1083"/>
  <c r="AH50" i="1083"/>
  <c r="AG50" i="1083"/>
  <c r="AF50" i="1083"/>
  <c r="AE50" i="1083"/>
  <c r="AD50" i="1083"/>
  <c r="AC50" i="1083"/>
  <c r="AB50" i="1083"/>
  <c r="AX49" i="1083"/>
  <c r="AW49" i="1083"/>
  <c r="AV49" i="1083"/>
  <c r="AU49" i="1083"/>
  <c r="AT49" i="1083"/>
  <c r="AS49" i="1083"/>
  <c r="AR49" i="1083"/>
  <c r="AQ49" i="1083"/>
  <c r="AP49" i="1083"/>
  <c r="AO49" i="1083"/>
  <c r="AN49" i="1083"/>
  <c r="AM49" i="1083"/>
  <c r="AL49" i="1083"/>
  <c r="AK49" i="1083"/>
  <c r="AJ49" i="1083"/>
  <c r="AI49" i="1083"/>
  <c r="AH49" i="1083"/>
  <c r="AG49" i="1083"/>
  <c r="AF49" i="1083"/>
  <c r="AE49" i="1083"/>
  <c r="AD49" i="1083"/>
  <c r="AC49" i="1083"/>
  <c r="AB49" i="1083"/>
  <c r="K44" i="1083"/>
  <c r="M35" i="1083" s="1"/>
  <c r="Z31" i="1083"/>
  <c r="Y31" i="1083"/>
  <c r="X31" i="1083"/>
  <c r="W31" i="1083"/>
  <c r="V31" i="1083"/>
  <c r="U31" i="1083"/>
  <c r="T31" i="1083"/>
  <c r="S31" i="1083"/>
  <c r="R31" i="1083"/>
  <c r="Z30" i="1083"/>
  <c r="Y30" i="1083"/>
  <c r="X30" i="1083"/>
  <c r="W30" i="1083"/>
  <c r="V30" i="1083"/>
  <c r="U30" i="1083"/>
  <c r="T30" i="1083"/>
  <c r="S30" i="1083"/>
  <c r="R30" i="1083"/>
  <c r="Z29" i="1083"/>
  <c r="Y29" i="1083"/>
  <c r="X29" i="1083"/>
  <c r="W29" i="1083"/>
  <c r="V29" i="1083"/>
  <c r="U29" i="1083"/>
  <c r="T29" i="1083"/>
  <c r="S29" i="1083"/>
  <c r="R29" i="1083"/>
  <c r="Z28" i="1083"/>
  <c r="Y28" i="1083"/>
  <c r="X28" i="1083"/>
  <c r="W28" i="1083"/>
  <c r="V28" i="1083"/>
  <c r="U28" i="1083"/>
  <c r="T28" i="1083"/>
  <c r="S28" i="1083"/>
  <c r="R28" i="1083"/>
  <c r="Z27" i="1083"/>
  <c r="Y27" i="1083"/>
  <c r="X27" i="1083"/>
  <c r="W27" i="1083"/>
  <c r="V27" i="1083"/>
  <c r="U27" i="1083"/>
  <c r="T27" i="1083"/>
  <c r="S27" i="1083"/>
  <c r="R27" i="1083"/>
  <c r="Z26" i="1083"/>
  <c r="Y26" i="1083"/>
  <c r="X26" i="1083"/>
  <c r="W26" i="1083"/>
  <c r="V26" i="1083"/>
  <c r="U26" i="1083"/>
  <c r="T26" i="1083"/>
  <c r="S26" i="1083"/>
  <c r="R26" i="1083"/>
  <c r="M26" i="1083"/>
  <c r="Z25" i="1083"/>
  <c r="Y25" i="1083"/>
  <c r="X25" i="1083"/>
  <c r="W25" i="1083"/>
  <c r="V25" i="1083"/>
  <c r="U25" i="1083"/>
  <c r="T25" i="1083"/>
  <c r="S25" i="1083"/>
  <c r="R25" i="1083"/>
  <c r="M25" i="1083"/>
  <c r="Z24" i="1083"/>
  <c r="Y24" i="1083"/>
  <c r="X24" i="1083"/>
  <c r="W24" i="1083"/>
  <c r="V24" i="1083"/>
  <c r="U24" i="1083"/>
  <c r="T24" i="1083"/>
  <c r="S24" i="1083"/>
  <c r="R24" i="1083"/>
  <c r="Z23" i="1083"/>
  <c r="Y23" i="1083"/>
  <c r="X23" i="1083"/>
  <c r="W23" i="1083"/>
  <c r="V23" i="1083"/>
  <c r="U23" i="1083"/>
  <c r="T23" i="1083"/>
  <c r="S23" i="1083"/>
  <c r="R23" i="1083"/>
  <c r="M23" i="1083"/>
  <c r="Z22" i="1083"/>
  <c r="Y22" i="1083"/>
  <c r="X22" i="1083"/>
  <c r="W22" i="1083"/>
  <c r="V22" i="1083"/>
  <c r="U22" i="1083"/>
  <c r="T22" i="1083"/>
  <c r="S22" i="1083"/>
  <c r="R22" i="1083"/>
  <c r="M22" i="1083"/>
  <c r="Z21" i="1083"/>
  <c r="Y21" i="1083"/>
  <c r="X21" i="1083"/>
  <c r="W21" i="1083"/>
  <c r="V21" i="1083"/>
  <c r="U21" i="1083"/>
  <c r="T21" i="1083"/>
  <c r="S21" i="1083"/>
  <c r="R21" i="1083"/>
  <c r="M21" i="1083"/>
  <c r="L21" i="1083"/>
  <c r="K21" i="1083"/>
  <c r="Z20" i="1083"/>
  <c r="Y20" i="1083"/>
  <c r="X20" i="1083"/>
  <c r="W20" i="1083"/>
  <c r="V20" i="1083"/>
  <c r="U20" i="1083"/>
  <c r="T20" i="1083"/>
  <c r="S20" i="1083"/>
  <c r="R20" i="1083"/>
  <c r="Z19" i="1083"/>
  <c r="Y19" i="1083"/>
  <c r="X19" i="1083"/>
  <c r="W19" i="1083"/>
  <c r="V19" i="1083"/>
  <c r="U19" i="1083"/>
  <c r="T19" i="1083"/>
  <c r="S19" i="1083"/>
  <c r="R19" i="1083"/>
  <c r="Z18" i="1083"/>
  <c r="Y18" i="1083"/>
  <c r="X18" i="1083"/>
  <c r="W18" i="1083"/>
  <c r="V18" i="1083"/>
  <c r="U18" i="1083"/>
  <c r="T18" i="1083"/>
  <c r="S18" i="1083"/>
  <c r="R18" i="1083"/>
  <c r="Z17" i="1083"/>
  <c r="Y17" i="1083"/>
  <c r="X17" i="1083"/>
  <c r="W17" i="1083"/>
  <c r="V17" i="1083"/>
  <c r="U17" i="1083"/>
  <c r="T17" i="1083"/>
  <c r="S17" i="1083"/>
  <c r="R17" i="1083"/>
  <c r="Z16" i="1083"/>
  <c r="Y16" i="1083"/>
  <c r="X16" i="1083"/>
  <c r="W16" i="1083"/>
  <c r="V16" i="1083"/>
  <c r="U16" i="1083"/>
  <c r="T16" i="1083"/>
  <c r="S16" i="1083"/>
  <c r="R16" i="1083"/>
  <c r="Z15" i="1083"/>
  <c r="Y15" i="1083"/>
  <c r="X15" i="1083"/>
  <c r="W15" i="1083"/>
  <c r="V15" i="1083"/>
  <c r="U15" i="1083"/>
  <c r="T15" i="1083"/>
  <c r="S15" i="1083"/>
  <c r="R15" i="1083"/>
  <c r="Z14" i="1083"/>
  <c r="Y14" i="1083"/>
  <c r="X14" i="1083"/>
  <c r="W14" i="1083"/>
  <c r="V14" i="1083"/>
  <c r="U14" i="1083"/>
  <c r="T14" i="1083"/>
  <c r="S14" i="1083"/>
  <c r="R14" i="1083"/>
  <c r="Z13" i="1083"/>
  <c r="Y13" i="1083"/>
  <c r="X13" i="1083"/>
  <c r="W13" i="1083"/>
  <c r="V13" i="1083"/>
  <c r="U13" i="1083"/>
  <c r="T13" i="1083"/>
  <c r="S13" i="1083"/>
  <c r="R13" i="1083"/>
  <c r="Z12" i="1083"/>
  <c r="Y12" i="1083"/>
  <c r="X12" i="1083"/>
  <c r="W12" i="1083"/>
  <c r="V12" i="1083"/>
  <c r="U12" i="1083"/>
  <c r="T12" i="1083"/>
  <c r="S12" i="1083"/>
  <c r="R12" i="1083"/>
  <c r="Z11" i="1083"/>
  <c r="Y11" i="1083"/>
  <c r="X11" i="1083"/>
  <c r="W11" i="1083"/>
  <c r="V11" i="1083"/>
  <c r="U11" i="1083"/>
  <c r="T11" i="1083"/>
  <c r="S11" i="1083"/>
  <c r="R11" i="1083"/>
  <c r="Z10" i="1083"/>
  <c r="Y10" i="1083"/>
  <c r="X10" i="1083"/>
  <c r="W10" i="1083"/>
  <c r="V10" i="1083"/>
  <c r="U10" i="1083"/>
  <c r="T10" i="1083"/>
  <c r="S10" i="1083"/>
  <c r="R10" i="1083"/>
  <c r="E57" i="1082"/>
  <c r="K57" i="1082"/>
  <c r="K73" i="1082" s="1"/>
  <c r="K37" i="1084" l="1"/>
  <c r="G69" i="1084"/>
  <c r="D58" i="1084"/>
  <c r="J27" i="1084"/>
  <c r="J20" i="1083"/>
  <c r="D49" i="1083"/>
  <c r="L49" i="1083" s="1"/>
  <c r="C62" i="1083" s="1"/>
  <c r="L58" i="1084"/>
  <c r="L56" i="1084"/>
  <c r="L37" i="1084"/>
  <c r="M37" i="1084" s="1"/>
  <c r="K30" i="1083"/>
  <c r="L30" i="1083" s="1"/>
  <c r="M30" i="1083" s="1"/>
  <c r="B57" i="1082"/>
  <c r="M29" i="1082"/>
  <c r="M28" i="1082"/>
  <c r="L29" i="1082"/>
  <c r="L28" i="1082"/>
  <c r="K29" i="1082"/>
  <c r="K28" i="1082"/>
  <c r="C69" i="1084" l="1"/>
  <c r="G62" i="1083"/>
  <c r="R11" i="1082"/>
  <c r="S11" i="1082"/>
  <c r="T11" i="1082"/>
  <c r="U11" i="1082"/>
  <c r="V11" i="1082"/>
  <c r="W11" i="1082"/>
  <c r="X11" i="1082"/>
  <c r="Y11" i="1082"/>
  <c r="Z11" i="1082"/>
  <c r="R12" i="1082"/>
  <c r="S12" i="1082"/>
  <c r="T12" i="1082"/>
  <c r="U12" i="1082"/>
  <c r="V12" i="1082"/>
  <c r="W12" i="1082"/>
  <c r="X12" i="1082"/>
  <c r="Y12" i="1082"/>
  <c r="Z12" i="1082"/>
  <c r="R13" i="1082"/>
  <c r="S13" i="1082"/>
  <c r="T13" i="1082"/>
  <c r="U13" i="1082"/>
  <c r="V13" i="1082"/>
  <c r="W13" i="1082"/>
  <c r="X13" i="1082"/>
  <c r="Y13" i="1082"/>
  <c r="Z13" i="1082"/>
  <c r="R14" i="1082"/>
  <c r="S14" i="1082"/>
  <c r="T14" i="1082"/>
  <c r="U14" i="1082"/>
  <c r="V14" i="1082"/>
  <c r="W14" i="1082"/>
  <c r="X14" i="1082"/>
  <c r="Y14" i="1082"/>
  <c r="Z14" i="1082"/>
  <c r="R15" i="1082"/>
  <c r="S15" i="1082"/>
  <c r="T15" i="1082"/>
  <c r="U15" i="1082"/>
  <c r="V15" i="1082"/>
  <c r="W15" i="1082"/>
  <c r="X15" i="1082"/>
  <c r="Y15" i="1082"/>
  <c r="Z15" i="1082"/>
  <c r="R16" i="1082"/>
  <c r="S16" i="1082"/>
  <c r="T16" i="1082"/>
  <c r="U16" i="1082"/>
  <c r="V16" i="1082"/>
  <c r="W16" i="1082"/>
  <c r="X16" i="1082"/>
  <c r="Y16" i="1082"/>
  <c r="Z16" i="1082"/>
  <c r="R17" i="1082"/>
  <c r="S17" i="1082"/>
  <c r="T17" i="1082"/>
  <c r="U17" i="1082"/>
  <c r="V17" i="1082"/>
  <c r="W17" i="1082"/>
  <c r="X17" i="1082"/>
  <c r="Y17" i="1082"/>
  <c r="Z17" i="1082"/>
  <c r="R18" i="1082"/>
  <c r="S18" i="1082"/>
  <c r="T18" i="1082"/>
  <c r="U18" i="1082"/>
  <c r="V18" i="1082"/>
  <c r="W18" i="1082"/>
  <c r="X18" i="1082"/>
  <c r="Y18" i="1082"/>
  <c r="Z18" i="1082"/>
  <c r="R19" i="1082"/>
  <c r="S19" i="1082"/>
  <c r="T19" i="1082"/>
  <c r="U19" i="1082"/>
  <c r="V19" i="1082"/>
  <c r="W19" i="1082"/>
  <c r="X19" i="1082"/>
  <c r="Y19" i="1082"/>
  <c r="Z19" i="1082"/>
  <c r="R20" i="1082"/>
  <c r="S20" i="1082"/>
  <c r="T20" i="1082"/>
  <c r="U20" i="1082"/>
  <c r="V20" i="1082"/>
  <c r="W20" i="1082"/>
  <c r="X20" i="1082"/>
  <c r="Y20" i="1082"/>
  <c r="Z20" i="1082"/>
  <c r="R21" i="1082"/>
  <c r="S21" i="1082"/>
  <c r="T21" i="1082"/>
  <c r="U21" i="1082"/>
  <c r="V21" i="1082"/>
  <c r="W21" i="1082"/>
  <c r="X21" i="1082"/>
  <c r="Y21" i="1082"/>
  <c r="Z21" i="1082"/>
  <c r="R22" i="1082"/>
  <c r="S22" i="1082"/>
  <c r="T22" i="1082"/>
  <c r="U22" i="1082"/>
  <c r="V22" i="1082"/>
  <c r="W22" i="1082"/>
  <c r="X22" i="1082"/>
  <c r="Y22" i="1082"/>
  <c r="Z22" i="1082"/>
  <c r="R23" i="1082"/>
  <c r="S23" i="1082"/>
  <c r="T23" i="1082"/>
  <c r="U23" i="1082"/>
  <c r="V23" i="1082"/>
  <c r="W23" i="1082"/>
  <c r="X23" i="1082"/>
  <c r="Y23" i="1082"/>
  <c r="Z23" i="1082"/>
  <c r="R24" i="1082"/>
  <c r="S24" i="1082"/>
  <c r="T24" i="1082"/>
  <c r="U24" i="1082"/>
  <c r="V24" i="1082"/>
  <c r="W24" i="1082"/>
  <c r="X24" i="1082"/>
  <c r="Y24" i="1082"/>
  <c r="Z24" i="1082"/>
  <c r="R25" i="1082"/>
  <c r="S25" i="1082"/>
  <c r="T25" i="1082"/>
  <c r="U25" i="1082"/>
  <c r="V25" i="1082"/>
  <c r="W25" i="1082"/>
  <c r="X25" i="1082"/>
  <c r="Y25" i="1082"/>
  <c r="Z25" i="1082"/>
  <c r="R26" i="1082"/>
  <c r="S26" i="1082"/>
  <c r="T26" i="1082"/>
  <c r="U26" i="1082"/>
  <c r="V26" i="1082"/>
  <c r="W26" i="1082"/>
  <c r="X26" i="1082"/>
  <c r="Y26" i="1082"/>
  <c r="Z26" i="1082"/>
  <c r="R27" i="1082"/>
  <c r="S27" i="1082"/>
  <c r="T27" i="1082"/>
  <c r="U27" i="1082"/>
  <c r="V27" i="1082"/>
  <c r="W27" i="1082"/>
  <c r="X27" i="1082"/>
  <c r="Y27" i="1082"/>
  <c r="Z27" i="1082"/>
  <c r="R28" i="1082"/>
  <c r="S28" i="1082"/>
  <c r="T28" i="1082"/>
  <c r="U28" i="1082"/>
  <c r="V28" i="1082"/>
  <c r="W28" i="1082"/>
  <c r="X28" i="1082"/>
  <c r="Y28" i="1082"/>
  <c r="Z28" i="1082"/>
  <c r="R29" i="1082"/>
  <c r="S29" i="1082"/>
  <c r="T29" i="1082"/>
  <c r="U29" i="1082"/>
  <c r="V29" i="1082"/>
  <c r="W29" i="1082"/>
  <c r="X29" i="1082"/>
  <c r="Y29" i="1082"/>
  <c r="Z29" i="1082"/>
  <c r="R30" i="1082"/>
  <c r="S30" i="1082"/>
  <c r="T30" i="1082"/>
  <c r="U30" i="1082"/>
  <c r="V30" i="1082"/>
  <c r="W30" i="1082"/>
  <c r="X30" i="1082"/>
  <c r="Y30" i="1082"/>
  <c r="Z30" i="1082"/>
  <c r="C15" i="1082"/>
  <c r="D15" i="1082"/>
  <c r="E15" i="1082"/>
  <c r="F15" i="1082"/>
  <c r="G15" i="1082"/>
  <c r="I15" i="1082"/>
  <c r="J15" i="1082"/>
  <c r="K15" i="1082"/>
  <c r="L15" i="1082"/>
  <c r="M15" i="1082"/>
  <c r="N15" i="1082"/>
  <c r="O15" i="1082"/>
  <c r="C16" i="1082"/>
  <c r="D16" i="1082"/>
  <c r="E16" i="1082"/>
  <c r="F16" i="1082"/>
  <c r="G16" i="1082"/>
  <c r="I16" i="1082"/>
  <c r="J16" i="1082"/>
  <c r="K16" i="1082"/>
  <c r="L16" i="1082"/>
  <c r="M16" i="1082"/>
  <c r="N16" i="1082"/>
  <c r="O16" i="1082"/>
  <c r="C17" i="1082"/>
  <c r="D17" i="1082"/>
  <c r="E17" i="1082"/>
  <c r="F17" i="1082"/>
  <c r="G17" i="1082"/>
  <c r="I17" i="1082"/>
  <c r="J17" i="1082"/>
  <c r="K17" i="1082"/>
  <c r="L17" i="1082"/>
  <c r="O17" i="1082"/>
  <c r="C13" i="1082"/>
  <c r="D13" i="1082"/>
  <c r="E13" i="1082"/>
  <c r="F13" i="1082"/>
  <c r="G13" i="1082"/>
  <c r="I13" i="1082"/>
  <c r="J13" i="1082"/>
  <c r="K13" i="1082"/>
  <c r="L13" i="1082"/>
  <c r="M13" i="1082"/>
  <c r="N13" i="1082"/>
  <c r="O13" i="1082"/>
  <c r="O14" i="1082"/>
  <c r="N14" i="1082"/>
  <c r="M14" i="1082"/>
  <c r="L14" i="1082"/>
  <c r="K14" i="1082"/>
  <c r="J14" i="1082"/>
  <c r="I14" i="1082"/>
  <c r="G14" i="1082"/>
  <c r="F14" i="1082"/>
  <c r="E14" i="1082"/>
  <c r="D14" i="1082"/>
  <c r="C14" i="1082"/>
  <c r="R10" i="1082"/>
  <c r="S10" i="1082"/>
  <c r="T10" i="1082"/>
  <c r="U10" i="1082"/>
  <c r="V10" i="1082"/>
  <c r="W10" i="1082"/>
  <c r="X10" i="1082"/>
  <c r="Y10" i="1082"/>
  <c r="Z10" i="1082"/>
  <c r="I10" i="1082"/>
  <c r="J10" i="1082"/>
  <c r="L10" i="1082"/>
  <c r="M10" i="1082"/>
  <c r="N10" i="1082"/>
  <c r="O10" i="1082"/>
  <c r="I11" i="1082"/>
  <c r="J11" i="1082"/>
  <c r="L11" i="1082"/>
  <c r="M11" i="1082"/>
  <c r="N11" i="1082"/>
  <c r="O11" i="1082"/>
  <c r="C10" i="1082"/>
  <c r="D10" i="1082"/>
  <c r="E10" i="1082"/>
  <c r="F10" i="1082"/>
  <c r="G10" i="1082"/>
  <c r="C11" i="1082"/>
  <c r="D11" i="1082"/>
  <c r="E11" i="1082"/>
  <c r="F11" i="1082"/>
  <c r="G11" i="1082"/>
  <c r="J57" i="18"/>
  <c r="J58" i="18"/>
  <c r="J59" i="18"/>
  <c r="J60" i="18"/>
  <c r="J61" i="18"/>
  <c r="J62" i="18"/>
  <c r="J63" i="18"/>
  <c r="J64" i="18"/>
  <c r="G58" i="18"/>
  <c r="G60" i="18"/>
  <c r="G61" i="18"/>
  <c r="G62" i="18"/>
  <c r="G63" i="18"/>
  <c r="G64" i="18"/>
  <c r="G60" i="19"/>
  <c r="G63" i="19"/>
  <c r="G64" i="19"/>
  <c r="J29" i="1082" l="1"/>
  <c r="G56" i="18"/>
  <c r="J28" i="1082"/>
  <c r="D58" i="18"/>
  <c r="D60" i="18"/>
  <c r="D61" i="18"/>
  <c r="D62" i="18"/>
  <c r="D63" i="18"/>
  <c r="D64" i="18"/>
  <c r="AX59" i="1082" l="1"/>
  <c r="AW59" i="1082"/>
  <c r="AV59" i="1082"/>
  <c r="AU59" i="1082"/>
  <c r="AT59" i="1082"/>
  <c r="AS59" i="1082"/>
  <c r="AR59" i="1082"/>
  <c r="AQ59" i="1082"/>
  <c r="AP59" i="1082"/>
  <c r="AO59" i="1082"/>
  <c r="AN59" i="1082"/>
  <c r="AM59" i="1082"/>
  <c r="AL59" i="1082"/>
  <c r="AK59" i="1082"/>
  <c r="AJ59" i="1082"/>
  <c r="AI59" i="1082"/>
  <c r="AH59" i="1082"/>
  <c r="AG59" i="1082"/>
  <c r="AF59" i="1082"/>
  <c r="AE59" i="1082"/>
  <c r="AD59" i="1082"/>
  <c r="AC59" i="1082"/>
  <c r="AB59" i="1082"/>
  <c r="B59" i="1082"/>
  <c r="AX58" i="1082"/>
  <c r="AW58" i="1082"/>
  <c r="AV58" i="1082"/>
  <c r="AU58" i="1082"/>
  <c r="AT58" i="1082"/>
  <c r="AS58" i="1082"/>
  <c r="AR58" i="1082"/>
  <c r="AQ58" i="1082"/>
  <c r="AP58" i="1082"/>
  <c r="AO58" i="1082"/>
  <c r="AN58" i="1082"/>
  <c r="AM58" i="1082"/>
  <c r="AL58" i="1082"/>
  <c r="AK58" i="1082"/>
  <c r="AJ58" i="1082"/>
  <c r="AI58" i="1082"/>
  <c r="AH58" i="1082"/>
  <c r="AG58" i="1082"/>
  <c r="AF58" i="1082"/>
  <c r="AE58" i="1082"/>
  <c r="AD58" i="1082"/>
  <c r="AC58" i="1082"/>
  <c r="AB58" i="1082"/>
  <c r="AX57" i="1082"/>
  <c r="AW57" i="1082"/>
  <c r="AV57" i="1082"/>
  <c r="AU57" i="1082"/>
  <c r="AT57" i="1082"/>
  <c r="AS57" i="1082"/>
  <c r="AR57" i="1082"/>
  <c r="AQ57" i="1082"/>
  <c r="AP57" i="1082"/>
  <c r="AO57" i="1082"/>
  <c r="AN57" i="1082"/>
  <c r="AM57" i="1082"/>
  <c r="AL57" i="1082"/>
  <c r="AK57" i="1082"/>
  <c r="AJ57" i="1082"/>
  <c r="AI57" i="1082"/>
  <c r="AH57" i="1082"/>
  <c r="AG57" i="1082"/>
  <c r="AF57" i="1082"/>
  <c r="AE57" i="1082"/>
  <c r="AD57" i="1082"/>
  <c r="AC57" i="1082"/>
  <c r="AB57" i="1082"/>
  <c r="K52" i="1082"/>
  <c r="L43" i="1082" s="1"/>
  <c r="M43" i="1082" s="1"/>
  <c r="Z39" i="1082"/>
  <c r="Y39" i="1082"/>
  <c r="X39" i="1082"/>
  <c r="W39" i="1082"/>
  <c r="V39" i="1082"/>
  <c r="U39" i="1082"/>
  <c r="T39" i="1082"/>
  <c r="S39" i="1082"/>
  <c r="R39" i="1082"/>
  <c r="Z38" i="1082"/>
  <c r="Y38" i="1082"/>
  <c r="X38" i="1082"/>
  <c r="W38" i="1082"/>
  <c r="V38" i="1082"/>
  <c r="U38" i="1082"/>
  <c r="T38" i="1082"/>
  <c r="S38" i="1082"/>
  <c r="R38" i="1082"/>
  <c r="Z37" i="1082"/>
  <c r="Y37" i="1082"/>
  <c r="X37" i="1082"/>
  <c r="W37" i="1082"/>
  <c r="V37" i="1082"/>
  <c r="U37" i="1082"/>
  <c r="T37" i="1082"/>
  <c r="S37" i="1082"/>
  <c r="R37" i="1082"/>
  <c r="Z36" i="1082"/>
  <c r="Y36" i="1082"/>
  <c r="X36" i="1082"/>
  <c r="W36" i="1082"/>
  <c r="V36" i="1082"/>
  <c r="U36" i="1082"/>
  <c r="T36" i="1082"/>
  <c r="S36" i="1082"/>
  <c r="R36" i="1082"/>
  <c r="Z35" i="1082"/>
  <c r="Y35" i="1082"/>
  <c r="X35" i="1082"/>
  <c r="W35" i="1082"/>
  <c r="V35" i="1082"/>
  <c r="U35" i="1082"/>
  <c r="T35" i="1082"/>
  <c r="S35" i="1082"/>
  <c r="R35" i="1082"/>
  <c r="Z34" i="1082"/>
  <c r="Y34" i="1082"/>
  <c r="X34" i="1082"/>
  <c r="W34" i="1082"/>
  <c r="V34" i="1082"/>
  <c r="U34" i="1082"/>
  <c r="T34" i="1082"/>
  <c r="S34" i="1082"/>
  <c r="R34" i="1082"/>
  <c r="M34" i="1082"/>
  <c r="Z33" i="1082"/>
  <c r="Y33" i="1082"/>
  <c r="X33" i="1082"/>
  <c r="W33" i="1082"/>
  <c r="V33" i="1082"/>
  <c r="U33" i="1082"/>
  <c r="T33" i="1082"/>
  <c r="S33" i="1082"/>
  <c r="R33" i="1082"/>
  <c r="M33" i="1082"/>
  <c r="Z32" i="1082"/>
  <c r="Y32" i="1082"/>
  <c r="X32" i="1082"/>
  <c r="W32" i="1082"/>
  <c r="V32" i="1082"/>
  <c r="U32" i="1082"/>
  <c r="T32" i="1082"/>
  <c r="S32" i="1082"/>
  <c r="R32" i="1082"/>
  <c r="Z31" i="1082"/>
  <c r="Y31" i="1082"/>
  <c r="X31" i="1082"/>
  <c r="W31" i="1082"/>
  <c r="V31" i="1082"/>
  <c r="U31" i="1082"/>
  <c r="T31" i="1082"/>
  <c r="S31" i="1082"/>
  <c r="R31" i="1082"/>
  <c r="M31" i="1082"/>
  <c r="M30" i="1082"/>
  <c r="K38" i="1082" l="1"/>
  <c r="O47" i="21" l="1"/>
  <c r="N47" i="21"/>
  <c r="M47" i="21"/>
  <c r="L47" i="21"/>
  <c r="K47" i="21"/>
  <c r="J47" i="21"/>
  <c r="I47" i="21"/>
  <c r="G47" i="21"/>
  <c r="F47" i="21"/>
  <c r="D47" i="21"/>
  <c r="D45" i="21"/>
  <c r="P45" i="21" s="1"/>
  <c r="F9" i="21" s="1"/>
  <c r="H44" i="21"/>
  <c r="E44" i="21"/>
  <c r="D44" i="21"/>
  <c r="P42" i="21"/>
  <c r="H41" i="21"/>
  <c r="E41" i="21"/>
  <c r="D41" i="21"/>
  <c r="H40" i="21"/>
  <c r="E40" i="21"/>
  <c r="D40" i="21"/>
  <c r="F38" i="21"/>
  <c r="E9" i="21"/>
  <c r="E8" i="21"/>
  <c r="F7" i="21"/>
  <c r="E7" i="21"/>
  <c r="E6" i="21"/>
  <c r="E5" i="21"/>
  <c r="E3" i="21"/>
  <c r="D37" i="19"/>
  <c r="D36" i="19"/>
  <c r="D34" i="19"/>
  <c r="D33" i="19"/>
  <c r="E29" i="19"/>
  <c r="E27" i="19"/>
  <c r="K26" i="19"/>
  <c r="K25" i="19"/>
  <c r="K24" i="19"/>
  <c r="K23" i="19"/>
  <c r="J13" i="19"/>
  <c r="I13" i="19"/>
  <c r="H13" i="19"/>
  <c r="G13" i="19"/>
  <c r="F13" i="19"/>
  <c r="E13" i="19"/>
  <c r="D13" i="19"/>
  <c r="C13" i="19"/>
  <c r="E26" i="19" s="1"/>
  <c r="J12" i="19"/>
  <c r="I12" i="19"/>
  <c r="H12" i="19"/>
  <c r="G12" i="19"/>
  <c r="F12" i="19"/>
  <c r="E12" i="19"/>
  <c r="D12" i="19"/>
  <c r="C12" i="19"/>
  <c r="E25" i="19" s="1"/>
  <c r="J11" i="19"/>
  <c r="I11" i="19"/>
  <c r="H11" i="19"/>
  <c r="G11" i="19"/>
  <c r="F11" i="19"/>
  <c r="E11" i="19"/>
  <c r="D11" i="19"/>
  <c r="C11" i="19"/>
  <c r="E24" i="19" s="1"/>
  <c r="J10" i="19"/>
  <c r="I10" i="19"/>
  <c r="H10" i="19"/>
  <c r="G10" i="19"/>
  <c r="F10" i="19"/>
  <c r="E10" i="19"/>
  <c r="D10" i="19"/>
  <c r="C10" i="19"/>
  <c r="E23" i="19" s="1"/>
  <c r="D37" i="18"/>
  <c r="D36" i="18"/>
  <c r="D34" i="18"/>
  <c r="D33" i="18"/>
  <c r="E29" i="18"/>
  <c r="E27" i="18"/>
  <c r="K26" i="18"/>
  <c r="K25" i="18"/>
  <c r="K24" i="18"/>
  <c r="K23" i="18"/>
  <c r="J13" i="18"/>
  <c r="I13" i="18"/>
  <c r="H13" i="18"/>
  <c r="G13" i="18"/>
  <c r="F13" i="18"/>
  <c r="E13" i="18"/>
  <c r="D13" i="18"/>
  <c r="C13" i="18"/>
  <c r="E26" i="18" s="1"/>
  <c r="J12" i="18"/>
  <c r="I12" i="18"/>
  <c r="H12" i="18"/>
  <c r="G12" i="18"/>
  <c r="F12" i="18"/>
  <c r="E12" i="18"/>
  <c r="D12" i="18"/>
  <c r="C12" i="18"/>
  <c r="E25" i="18" s="1"/>
  <c r="J11" i="18"/>
  <c r="I11" i="18"/>
  <c r="H11" i="18"/>
  <c r="G11" i="18"/>
  <c r="F11" i="18"/>
  <c r="E11" i="18"/>
  <c r="D11" i="18"/>
  <c r="C11" i="18"/>
  <c r="E24" i="18" s="1"/>
  <c r="J10" i="18"/>
  <c r="I10" i="18"/>
  <c r="H10" i="18"/>
  <c r="G10" i="18"/>
  <c r="F10" i="18"/>
  <c r="E10" i="18"/>
  <c r="D10" i="18"/>
  <c r="C10" i="18"/>
  <c r="E23" i="18" s="1"/>
  <c r="F94" i="658"/>
  <c r="G90" i="658"/>
  <c r="AY80" i="658"/>
  <c r="AX80" i="658"/>
  <c r="AW80" i="658"/>
  <c r="AV80" i="658"/>
  <c r="AU80" i="658"/>
  <c r="AT80" i="658"/>
  <c r="AS80" i="658"/>
  <c r="AR80" i="658"/>
  <c r="AQ80" i="658"/>
  <c r="AP80" i="658"/>
  <c r="AO80" i="658"/>
  <c r="AN80" i="658"/>
  <c r="AM80" i="658"/>
  <c r="AL80" i="658"/>
  <c r="AK80" i="658"/>
  <c r="AJ80" i="658"/>
  <c r="AI80" i="658"/>
  <c r="AH80" i="658"/>
  <c r="AG80" i="658"/>
  <c r="AF80" i="658"/>
  <c r="AE80" i="658"/>
  <c r="AD80" i="658"/>
  <c r="AC80" i="658"/>
  <c r="AB80" i="658"/>
  <c r="AA80" i="658"/>
  <c r="Z80" i="658"/>
  <c r="Y80" i="658"/>
  <c r="X80" i="658"/>
  <c r="W80" i="658"/>
  <c r="V80" i="658"/>
  <c r="U80" i="658"/>
  <c r="K79" i="658"/>
  <c r="K90" i="658" s="1"/>
  <c r="G79" i="658"/>
  <c r="D79" i="658"/>
  <c r="K74" i="658"/>
  <c r="D72" i="658"/>
  <c r="M65" i="658"/>
  <c r="L65" i="658"/>
  <c r="M58" i="658"/>
  <c r="M57" i="658"/>
  <c r="M56" i="658"/>
  <c r="L56" i="658"/>
  <c r="K56" i="658"/>
  <c r="M55" i="658"/>
  <c r="M53" i="658"/>
  <c r="L53" i="658"/>
  <c r="K53" i="658"/>
  <c r="M52" i="658"/>
  <c r="L52" i="658"/>
  <c r="K52" i="658"/>
  <c r="M51" i="658"/>
  <c r="L51" i="658"/>
  <c r="K51" i="658"/>
  <c r="M50" i="658"/>
  <c r="L50" i="658"/>
  <c r="K50" i="658"/>
  <c r="AA47" i="658"/>
  <c r="Z47" i="658"/>
  <c r="Y47" i="658"/>
  <c r="X47" i="658"/>
  <c r="W47" i="658"/>
  <c r="V47" i="658"/>
  <c r="U47" i="658"/>
  <c r="T47" i="658"/>
  <c r="S47" i="658"/>
  <c r="AA46" i="658"/>
  <c r="Z46" i="658"/>
  <c r="Y46" i="658"/>
  <c r="X46" i="658"/>
  <c r="W46" i="658"/>
  <c r="V46" i="658"/>
  <c r="U46" i="658"/>
  <c r="T46" i="658"/>
  <c r="S46" i="658"/>
  <c r="AA45" i="658"/>
  <c r="Z45" i="658"/>
  <c r="Y45" i="658"/>
  <c r="X45" i="658"/>
  <c r="W45" i="658"/>
  <c r="V45" i="658"/>
  <c r="U45" i="658"/>
  <c r="T45" i="658"/>
  <c r="S45" i="658"/>
  <c r="AA44" i="658"/>
  <c r="Z44" i="658"/>
  <c r="Y44" i="658"/>
  <c r="X44" i="658"/>
  <c r="W44" i="658"/>
  <c r="V44" i="658"/>
  <c r="U44" i="658"/>
  <c r="T44" i="658"/>
  <c r="S44" i="658"/>
  <c r="AA43" i="658"/>
  <c r="Z43" i="658"/>
  <c r="Y43" i="658"/>
  <c r="X43" i="658"/>
  <c r="W43" i="658"/>
  <c r="V43" i="658"/>
  <c r="U43" i="658"/>
  <c r="T43" i="658"/>
  <c r="S43" i="658"/>
  <c r="AA42" i="658"/>
  <c r="Z42" i="658"/>
  <c r="Y42" i="658"/>
  <c r="X42" i="658"/>
  <c r="W42" i="658"/>
  <c r="V42" i="658"/>
  <c r="U42" i="658"/>
  <c r="T42" i="658"/>
  <c r="S42" i="658"/>
  <c r="AA41" i="658"/>
  <c r="Z41" i="658"/>
  <c r="Y41" i="658"/>
  <c r="X41" i="658"/>
  <c r="W41" i="658"/>
  <c r="V41" i="658"/>
  <c r="U41" i="658"/>
  <c r="T41" i="658"/>
  <c r="S41" i="658"/>
  <c r="AA40" i="658"/>
  <c r="Z40" i="658"/>
  <c r="Y40" i="658"/>
  <c r="X40" i="658"/>
  <c r="W40" i="658"/>
  <c r="V40" i="658"/>
  <c r="U40" i="658"/>
  <c r="T40" i="658"/>
  <c r="S40" i="658"/>
  <c r="AA39" i="658"/>
  <c r="Z39" i="658"/>
  <c r="Y39" i="658"/>
  <c r="X39" i="658"/>
  <c r="W39" i="658"/>
  <c r="V39" i="658"/>
  <c r="U39" i="658"/>
  <c r="T39" i="658"/>
  <c r="S39" i="658"/>
  <c r="AA38" i="658"/>
  <c r="Z38" i="658"/>
  <c r="Y38" i="658"/>
  <c r="X38" i="658"/>
  <c r="W38" i="658"/>
  <c r="V38" i="658"/>
  <c r="U38" i="658"/>
  <c r="T38" i="658"/>
  <c r="S38" i="658"/>
  <c r="AA37" i="658"/>
  <c r="Z37" i="658"/>
  <c r="Y37" i="658"/>
  <c r="X37" i="658"/>
  <c r="W37" i="658"/>
  <c r="V37" i="658"/>
  <c r="U37" i="658"/>
  <c r="T37" i="658"/>
  <c r="S37" i="658"/>
  <c r="AA36" i="658"/>
  <c r="Z36" i="658"/>
  <c r="Y36" i="658"/>
  <c r="X36" i="658"/>
  <c r="W36" i="658"/>
  <c r="V36" i="658"/>
  <c r="U36" i="658"/>
  <c r="T36" i="658"/>
  <c r="S36" i="658"/>
  <c r="AA35" i="658"/>
  <c r="Z35" i="658"/>
  <c r="Y35" i="658"/>
  <c r="X35" i="658"/>
  <c r="W35" i="658"/>
  <c r="V35" i="658"/>
  <c r="U35" i="658"/>
  <c r="T35" i="658"/>
  <c r="S35" i="658"/>
  <c r="AA34" i="658"/>
  <c r="Z34" i="658"/>
  <c r="Y34" i="658"/>
  <c r="X34" i="658"/>
  <c r="W34" i="658"/>
  <c r="V34" i="658"/>
  <c r="U34" i="658"/>
  <c r="T34" i="658"/>
  <c r="S34" i="658"/>
  <c r="AA33" i="658"/>
  <c r="Z33" i="658"/>
  <c r="Y33" i="658"/>
  <c r="X33" i="658"/>
  <c r="W33" i="658"/>
  <c r="V33" i="658"/>
  <c r="U33" i="658"/>
  <c r="T33" i="658"/>
  <c r="S33" i="658"/>
  <c r="AA32" i="658"/>
  <c r="Z32" i="658"/>
  <c r="Y32" i="658"/>
  <c r="X32" i="658"/>
  <c r="W32" i="658"/>
  <c r="V32" i="658"/>
  <c r="U32" i="658"/>
  <c r="T32" i="658"/>
  <c r="S32" i="658"/>
  <c r="AA31" i="658"/>
  <c r="Z31" i="658"/>
  <c r="Y31" i="658"/>
  <c r="X31" i="658"/>
  <c r="W31" i="658"/>
  <c r="V31" i="658"/>
  <c r="U31" i="658"/>
  <c r="T31" i="658"/>
  <c r="S31" i="658"/>
  <c r="AA30" i="658"/>
  <c r="Z30" i="658"/>
  <c r="Y30" i="658"/>
  <c r="X30" i="658"/>
  <c r="W30" i="658"/>
  <c r="V30" i="658"/>
  <c r="U30" i="658"/>
  <c r="T30" i="658"/>
  <c r="S30" i="658"/>
  <c r="AA29" i="658"/>
  <c r="Z29" i="658"/>
  <c r="Y29" i="658"/>
  <c r="X29" i="658"/>
  <c r="W29" i="658"/>
  <c r="V29" i="658"/>
  <c r="U29" i="658"/>
  <c r="T29" i="658"/>
  <c r="S29" i="658"/>
  <c r="AA28" i="658"/>
  <c r="Z28" i="658"/>
  <c r="Y28" i="658"/>
  <c r="X28" i="658"/>
  <c r="W28" i="658"/>
  <c r="V28" i="658"/>
  <c r="U28" i="658"/>
  <c r="T28" i="658"/>
  <c r="S28" i="658"/>
  <c r="AA27" i="658"/>
  <c r="Z27" i="658"/>
  <c r="Y27" i="658"/>
  <c r="X27" i="658"/>
  <c r="W27" i="658"/>
  <c r="V27" i="658"/>
  <c r="U27" i="658"/>
  <c r="T27" i="658"/>
  <c r="S27" i="658"/>
  <c r="AA26" i="658"/>
  <c r="Z26" i="658"/>
  <c r="Y26" i="658"/>
  <c r="X26" i="658"/>
  <c r="W26" i="658"/>
  <c r="V26" i="658"/>
  <c r="U26" i="658"/>
  <c r="T26" i="658"/>
  <c r="S26" i="658"/>
  <c r="AA25" i="658"/>
  <c r="Z25" i="658"/>
  <c r="Y25" i="658"/>
  <c r="X25" i="658"/>
  <c r="W25" i="658"/>
  <c r="V25" i="658"/>
  <c r="U25" i="658"/>
  <c r="T25" i="658"/>
  <c r="S25" i="658"/>
  <c r="AA24" i="658"/>
  <c r="Z24" i="658"/>
  <c r="Y24" i="658"/>
  <c r="X24" i="658"/>
  <c r="W24" i="658"/>
  <c r="V24" i="658"/>
  <c r="U24" i="658"/>
  <c r="T24" i="658"/>
  <c r="S24" i="658"/>
  <c r="AA23" i="658"/>
  <c r="Z23" i="658"/>
  <c r="Y23" i="658"/>
  <c r="X23" i="658"/>
  <c r="W23" i="658"/>
  <c r="V23" i="658"/>
  <c r="U23" i="658"/>
  <c r="T23" i="658"/>
  <c r="S23" i="658"/>
  <c r="AA22" i="658"/>
  <c r="Z22" i="658"/>
  <c r="Y22" i="658"/>
  <c r="X22" i="658"/>
  <c r="W22" i="658"/>
  <c r="V22" i="658"/>
  <c r="U22" i="658"/>
  <c r="T22" i="658"/>
  <c r="S22" i="658"/>
  <c r="AA21" i="658"/>
  <c r="Z21" i="658"/>
  <c r="Y21" i="658"/>
  <c r="X21" i="658"/>
  <c r="W21" i="658"/>
  <c r="V21" i="658"/>
  <c r="U21" i="658"/>
  <c r="T21" i="658"/>
  <c r="S21" i="658"/>
  <c r="AA20" i="658"/>
  <c r="Z20" i="658"/>
  <c r="Y20" i="658"/>
  <c r="X20" i="658"/>
  <c r="W20" i="658"/>
  <c r="V20" i="658"/>
  <c r="U20" i="658"/>
  <c r="T20" i="658"/>
  <c r="S20" i="658"/>
  <c r="AA19" i="658"/>
  <c r="Z19" i="658"/>
  <c r="Y19" i="658"/>
  <c r="X19" i="658"/>
  <c r="W19" i="658"/>
  <c r="V19" i="658"/>
  <c r="U19" i="658"/>
  <c r="T19" i="658"/>
  <c r="S19" i="658"/>
  <c r="AA18" i="658"/>
  <c r="Z18" i="658"/>
  <c r="Y18" i="658"/>
  <c r="X18" i="658"/>
  <c r="W18" i="658"/>
  <c r="V18" i="658"/>
  <c r="U18" i="658"/>
  <c r="T18" i="658"/>
  <c r="S18" i="658"/>
  <c r="AA17" i="658"/>
  <c r="Z17" i="658"/>
  <c r="Y17" i="658"/>
  <c r="X17" i="658"/>
  <c r="W17" i="658"/>
  <c r="V17" i="658"/>
  <c r="U17" i="658"/>
  <c r="T17" i="658"/>
  <c r="S17" i="658"/>
  <c r="AA16" i="658"/>
  <c r="Z16" i="658"/>
  <c r="Y16" i="658"/>
  <c r="X16" i="658"/>
  <c r="W16" i="658"/>
  <c r="V16" i="658"/>
  <c r="U16" i="658"/>
  <c r="T16" i="658"/>
  <c r="S16" i="658"/>
  <c r="AA15" i="658"/>
  <c r="Z15" i="658"/>
  <c r="Y15" i="658"/>
  <c r="X15" i="658"/>
  <c r="W15" i="658"/>
  <c r="V15" i="658"/>
  <c r="U15" i="658"/>
  <c r="T15" i="658"/>
  <c r="S15" i="658"/>
  <c r="AA14" i="658"/>
  <c r="Z14" i="658"/>
  <c r="Y14" i="658"/>
  <c r="X14" i="658"/>
  <c r="W14" i="658"/>
  <c r="V14" i="658"/>
  <c r="U14" i="658"/>
  <c r="T14" i="658"/>
  <c r="S14" i="658"/>
  <c r="AA13" i="658"/>
  <c r="Z13" i="658"/>
  <c r="Y13" i="658"/>
  <c r="X13" i="658"/>
  <c r="W13" i="658"/>
  <c r="V13" i="658"/>
  <c r="U13" i="658"/>
  <c r="T13" i="658"/>
  <c r="S13" i="658"/>
  <c r="AA12" i="658"/>
  <c r="Z12" i="658"/>
  <c r="Y12" i="658"/>
  <c r="X12" i="658"/>
  <c r="W12" i="658"/>
  <c r="V12" i="658"/>
  <c r="U12" i="658"/>
  <c r="T12" i="658"/>
  <c r="S12" i="658"/>
  <c r="AA11" i="658"/>
  <c r="Z11" i="658"/>
  <c r="Y11" i="658"/>
  <c r="X11" i="658"/>
  <c r="W11" i="658"/>
  <c r="V11" i="658"/>
  <c r="U11" i="658"/>
  <c r="T11" i="658"/>
  <c r="S11" i="658"/>
  <c r="AA10" i="658"/>
  <c r="Z10" i="658"/>
  <c r="Y10" i="658"/>
  <c r="X10" i="658"/>
  <c r="W10" i="658"/>
  <c r="V10" i="658"/>
  <c r="U10" i="658"/>
  <c r="T10" i="658"/>
  <c r="S10" i="658"/>
  <c r="K59" i="658" l="1"/>
  <c r="L59" i="658" s="1"/>
  <c r="M59" i="658" s="1"/>
  <c r="C33" i="18"/>
  <c r="P44" i="21"/>
  <c r="F8" i="21" s="1"/>
  <c r="L79" i="658"/>
  <c r="C90" i="658" s="1"/>
  <c r="I20" i="18"/>
  <c r="E10" i="21"/>
  <c r="I20" i="19"/>
  <c r="C33" i="19"/>
  <c r="P40" i="21"/>
  <c r="F5" i="21" s="1"/>
  <c r="E47" i="21"/>
  <c r="H47" i="21"/>
  <c r="P41" i="21"/>
  <c r="F6" i="21" s="1"/>
  <c r="D40" i="18"/>
  <c r="D40" i="19"/>
  <c r="P47" i="21" l="1"/>
  <c r="F10" i="21" s="1"/>
  <c r="L38" i="1082" l="1"/>
  <c r="M38" i="1082" s="1"/>
  <c r="K49" i="1083" l="1"/>
  <c r="K62" i="1083" s="1"/>
  <c r="J56" i="18" l="1"/>
  <c r="J65" i="18" l="1"/>
  <c r="G51" i="1083" l="1"/>
  <c r="G59" i="1082"/>
  <c r="D51" i="1083"/>
  <c r="D59" i="1082"/>
  <c r="L59" i="1082" l="1"/>
  <c r="L51" i="1083"/>
  <c r="K51" i="1083" l="1"/>
  <c r="K59" i="1082"/>
  <c r="J59" i="19" l="1"/>
  <c r="J61" i="19" l="1"/>
  <c r="J57" i="19"/>
  <c r="G56" i="19"/>
  <c r="G62" i="19"/>
  <c r="J58" i="19"/>
  <c r="J65" i="19" l="1"/>
  <c r="J56" i="19"/>
  <c r="J62" i="19"/>
  <c r="K27" i="1088" l="1"/>
  <c r="K26" i="1088"/>
  <c r="K25" i="1088"/>
  <c r="K24" i="1088"/>
  <c r="K23" i="1088"/>
  <c r="K22" i="1088"/>
  <c r="K21" i="1088"/>
  <c r="K20" i="1088"/>
  <c r="K11" i="1087" l="1"/>
  <c r="N10" i="1089"/>
  <c r="K11" i="1086"/>
  <c r="K12" i="1086"/>
  <c r="K13" i="1086"/>
  <c r="K14" i="1086"/>
  <c r="K15" i="1086"/>
  <c r="K16" i="1086"/>
  <c r="K10" i="1087"/>
  <c r="K17" i="1085"/>
  <c r="K18" i="1085"/>
  <c r="K19" i="1085"/>
  <c r="K20" i="1085"/>
  <c r="K10" i="1086"/>
  <c r="K10" i="1082"/>
  <c r="K11" i="1082"/>
  <c r="K16" i="1085"/>
  <c r="J10" i="1089" l="1"/>
  <c r="I10" i="1089"/>
  <c r="J27" i="1089" s="1"/>
  <c r="C13" i="1090" l="1"/>
  <c r="C15" i="1089"/>
  <c r="C12" i="1090"/>
  <c r="C14" i="1089"/>
  <c r="C11" i="1090"/>
  <c r="C13" i="1089"/>
  <c r="C18" i="1089"/>
  <c r="C17" i="1089"/>
  <c r="C16" i="1089"/>
  <c r="C10" i="1090"/>
  <c r="C12" i="1089"/>
  <c r="D57" i="1082"/>
  <c r="L57" i="1082" s="1"/>
  <c r="C73" i="1082" s="1"/>
  <c r="G76" i="1088"/>
  <c r="D62" i="1088"/>
  <c r="L62" i="1088" s="1"/>
  <c r="C76" i="1088" s="1"/>
  <c r="D57" i="1089" l="1"/>
  <c r="L57" i="1089" s="1"/>
  <c r="D64" i="1088"/>
  <c r="L64" i="1088" s="1"/>
  <c r="D53" i="1087"/>
  <c r="L53" i="1087" s="1"/>
  <c r="C65" i="1087" s="1"/>
  <c r="G73" i="1082"/>
  <c r="G57" i="18" l="1"/>
  <c r="G59" i="18"/>
  <c r="G57" i="19" l="1"/>
  <c r="G65" i="18" l="1"/>
  <c r="G59" i="19" l="1"/>
  <c r="G65" i="19"/>
  <c r="G58" i="19" l="1"/>
  <c r="G61" i="19"/>
  <c r="D58" i="19" l="1"/>
  <c r="D60" i="19"/>
  <c r="D61" i="19"/>
  <c r="D62" i="19"/>
  <c r="D64" i="19"/>
  <c r="D63" i="19" l="1"/>
  <c r="K17" i="1091" l="1"/>
  <c r="K19" i="1089"/>
  <c r="K16" i="1091"/>
  <c r="K18" i="1089"/>
  <c r="K11" i="1090"/>
  <c r="K13" i="1089"/>
  <c r="K12" i="1090"/>
  <c r="K14" i="1089"/>
  <c r="K10" i="1090"/>
  <c r="K12" i="1089"/>
  <c r="K15" i="1091"/>
  <c r="K17" i="1089"/>
  <c r="K13" i="1090"/>
  <c r="K15" i="1089"/>
  <c r="K14" i="1091"/>
  <c r="K16" i="1089"/>
  <c r="D59" i="18" l="1"/>
  <c r="D59" i="19"/>
  <c r="D57" i="18"/>
  <c r="D57" i="19"/>
  <c r="D56" i="18" l="1"/>
  <c r="D56" i="19" l="1"/>
  <c r="D65" i="19" l="1"/>
  <c r="D65" i="1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</authors>
  <commentList>
    <comment ref="V3" authorId="0" shapeId="0" xr:uid="{EF1F6E66-18DD-4077-9D03-81A5E75AC2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V4" authorId="0" shapeId="0" xr:uid="{36C2866C-0128-443E-900A-885D0ED885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C38040F8-D023-429E-B8F5-09C5137BA51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W5" authorId="0" shapeId="0" xr:uid="{842231B0-DF58-4498-B8AB-6E631512279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T6" authorId="0" shapeId="0" xr:uid="{6F888C63-44F1-4C10-BE19-1703D7AA656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U6" authorId="0" shapeId="0" xr:uid="{30DC34E3-879A-491E-8A28-2320E6267A8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V6" authorId="0" shapeId="0" xr:uid="{388573A8-AFDB-4EC6-8147-E3D5E698611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T7" authorId="0" shapeId="0" xr:uid="{33B133D5-4EE7-48E7-9932-35D5829D8A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October 2019- Sherilyn</t>
        </r>
      </text>
    </comment>
    <comment ref="V7" authorId="0" shapeId="0" xr:uid="{0313F1B7-8B43-4B82-84C2-5D1CF95A9B4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V9" authorId="0" shapeId="0" xr:uid="{EA1037DD-8911-4DFC-A38E-43C64558C9F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  <comment ref="K63" authorId="0" shapeId="0" xr:uid="{EF0D0E60-B8D7-4708-80DC-7BF0A8CA041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No Cacl2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095BA852-2DF0-4A72-AB68-0B81771E30B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5A98AB7C-D699-491A-B88A-F5E3A4C1D9B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B7040E7D-37E9-4235-AABE-5FDC5CBD124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ACADD12F-BE97-41F1-B9AD-7A6145D0F72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093B51F8-6708-44F7-98BF-C52EA78B996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8C69F43F-8A3A-4B57-B67F-6BC56497DF2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AB58DEF7-2D98-43E1-B947-1B7C278BC0E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50C7B442-A13E-42B9-A5A5-3E0AA4E8AE1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63EE1186-DA46-4D67-95FB-24977DD4DCF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E4D2C6A2-5FE3-4FA8-9A6F-4E5F0A9BC4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8A64D889-75EF-43A9-8F39-9B6F34BB341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9E5C4F00-6BBB-4927-83F9-9F87A32E919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8AD47CB0-482C-4F49-B731-EBEA93F31E9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7EFF0785-679A-4D0A-AAF8-638FA42352D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88DEAECA-207F-42C4-86A9-3497222E4FD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E6563488-F615-40AD-AF92-F8B9A5FEC1C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0CF469BE-3572-4478-9087-C40CD9A51E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B2861EA0-A086-4F78-A891-861515C0E19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D17A2181-D3A4-4DE3-8CF9-EFBE017CC6B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7EF675BE-507B-4E6C-BED8-242C80853B0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D2FD9F78-E43D-4C71-B098-1861F8C093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F619EF59-753F-4912-88F2-57069BB2D82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F7AE382A-9777-43CC-B2E5-D852058BB7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4C3F2C6C-235A-431E-A2F9-BCCAAD31506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18F0279D-CEB1-4DA1-950F-461F7468EA2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12C7B1AA-4BE0-4E23-B126-0A2ABD13F3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DC7B0E94-8DCA-4A47-A65A-916D2176734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F0ECD4FC-FF2F-451F-AE16-8DB976876E9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2BE71496-EE66-414B-BB81-55A65C7FDC2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09C3CA91-62A6-425B-A15A-F2AD71F2C7F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0F192936-3864-4A25-A565-E8A68A977D0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F314E519-C443-424A-B453-D022B553F2A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A8B5982B-0856-4231-9993-2644DFA3D59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47DE6D3C-90E4-465D-B822-32BF0F3546B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602154AE-21C5-4058-806A-5B98A36461F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C716B9F5-2AEC-45B4-9740-AD834AA87C6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66D3F975-84CB-48C9-BCCA-30AB44830DA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18C0BE51-577E-4BCC-9ACF-66BDFC23961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1E4621ED-2D0B-4AA9-929E-3244D9205B3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26AEA2F4-5023-498F-B8A8-E302F1FAFC5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7ADCF573-2617-407F-8F04-E3A90ECD8A0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47E4957D-BF64-4E63-89FA-A595077EE70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BBF6A40D-4DA8-4ECF-AC12-6999E2011D0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E8E1F1B0-4120-46EF-A66C-2DF76D43CF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50391C6D-0C79-4734-994E-2FA4B921691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19DF84E3-203A-4623-8B2F-30139F94433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1D224A59-A822-4557-A8CE-14D5DD65934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C0961D8C-317E-4776-B65D-B5E278FAE43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BC1FC73E-85A4-4A3A-8BCE-1EB6258C58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F8404CF0-2C8E-491A-A3A7-81F2C0C7965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744478E7-C49B-4E38-8186-2E06E83E14D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6008258E-A4F7-4601-AFEB-56CCA55C18E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E9EA58AC-D7A5-4B6C-9C17-4FD5FBD3DAE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973CC311-7FA8-4D0D-B79D-2B36EFE3C0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313E0988-1148-4CE1-AB95-B60F74D3F2E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  <comment ref="K47" authorId="1" shapeId="0" xr:uid="{C0466DEE-A807-4EFD-92A1-2879C6399400}">
      <text>
        <r>
          <rPr>
            <b/>
            <sz val="9"/>
            <color indexed="81"/>
            <rFont val="Tahoma"/>
            <family val="2"/>
          </rPr>
          <t xml:space="preserve">Kaylil Baptiste:
</t>
        </r>
        <r>
          <rPr>
            <sz val="9"/>
            <color indexed="81"/>
            <rFont val="Tahoma"/>
            <family val="2"/>
          </rPr>
          <t>No water- brewing paused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07614727-A18D-4C8E-B3D5-29A7D2CCCDF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E54A8D39-A7A5-4456-82D3-F7CFB97E4D2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FACBCCC6-DF93-4B99-81C4-4491061532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339583E8-5FE2-4698-99E9-2F0F60D9888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DB188A39-94C8-4380-9986-D4D291F760D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B9D5004F-2761-4D0A-BF4A-EEBBDBB9A38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C3F55677-7ED3-49B9-A538-3CF720A8FBE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B6A0BA4B-21D4-4D46-BC73-BCEE3292DC2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05579EAD-278A-4FDE-809A-2594D7FA02A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B9667EFE-5861-48EE-87C0-57EA0DEE337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53B8482C-DD72-4DB6-889A-BA96B8F7326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4E671254-365D-4067-9240-8AFF360EA4B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F643379D-25C2-493D-BE4C-A3631424726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CD8A4B29-34A8-4B68-B053-F6C8AAA9121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CF29256F-EEBE-43D6-B104-EBCE75124AA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D67A6B83-AC68-4233-BB7D-F5282C0D662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2943D05B-F881-4205-A311-230B4820978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4470B22E-CD75-475A-B7E1-409D6479574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26C7640E-421F-4FF1-A667-AF50D91CCEE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BC754C64-E095-440F-A6F8-B4442740B5E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A49454E4-608C-4582-97ED-AD50972E8E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51FC3794-4E14-4FAC-9652-B41A1BFB422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E5D235D6-6873-4FF5-B5EA-C3E8D029CF1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11AC2390-ED0B-4207-B165-925F0313C79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6D47ABA1-91C0-4604-A46B-D51945EF65F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0EAF21F3-3EBF-40E7-BC27-A4F066431E2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92570607-3F03-4F17-8EF5-C6C6A22CF7B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EFD994A7-B4F6-4B83-ACC7-18F7AF63373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B3DED3FE-A463-46DA-9288-FC360FE60BC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06E659C4-463F-406C-BCEB-26A9A3DC01D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F832A3C2-C8D3-4E76-9C42-2A8FBC315C4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9C729636-C23A-461B-90DD-190832C557C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9D9648B0-2E0F-4748-B1F5-2EB84D007EB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515504F9-569A-4FA4-933A-E488192577E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17926B09-9866-4F3E-9DB7-0A4C978F052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B3117397-21F5-4086-A520-47DA10AB257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7B735F43-FE8B-4445-A04A-BEC3E06243E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B59B7AE6-1914-402F-B7BE-A2249B008E9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4522682F-CE91-430A-BDC7-43BE0D3FCB2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D16EC879-3424-407D-BE43-D48C105FA94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5B371762-B564-4B1F-B0B7-30F5F624E62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4CECEDEB-94FC-4E1F-9F49-A0451DA48DA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4EA0AF4A-E84A-4636-BEB8-BA0A1C5BC62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99B31DA5-83E4-4999-B567-23F2F858A9A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ADA504EA-88FA-41D7-80AA-04570A3C99D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FBFDEC33-73B2-4626-AB07-9FA583A35CF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3E5D7AA1-5671-4ED1-B0C2-9DE45703E5D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4C76D8A1-995F-48F2-8C40-EA2173362E7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3196C914-676A-4291-86EC-EF9490FA17D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B09F3321-184E-443B-95B5-8D435B93926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5B47A871-5433-44C0-A8C5-9D2C530B52B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1531AF73-DBFA-4F0F-9502-63CD85BD05F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AD6140AB-D925-494C-AE3A-1E8D4E6BDA7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3FF5ACDB-225E-4925-9154-66DF9D7C32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B26E830E-8DD0-4D4E-B47D-21175FDBB61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488AB3EE-7637-4804-ACB6-8C21EFC2791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FBA34AED-C24D-42A9-B8E4-5A22EBBEA7F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AF40CC32-E0ED-499D-BFBF-2D6B5D2E702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B710A882-0A3D-4A41-881D-853A634B3C0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205C136F-1225-40F1-ADEC-BFDF58158AB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58388FAD-A622-49A1-9549-64AAE886086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2C250CE1-4180-496B-8CDD-DE24ADEB8E8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1E5ABFEB-6EBB-42E7-9C96-042959FE518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E5CB8657-E535-4500-90FD-D633E945FCC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A222FF95-B176-4D36-9160-61B5A3F7E91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30AF4208-6CEE-416F-B26D-1AACCB4777B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42" authorId="0" shapeId="0" xr:uid="{D8E8AFA0-D691-4A54-AD3E-8CFCB2EDDC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2days</t>
        </r>
      </text>
    </comment>
    <comment ref="D45" authorId="0" shapeId="0" xr:uid="{FF1551A6-B51A-4CE8-B073-D15FFA344B4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Brewed for 5days</t>
        </r>
      </text>
    </comment>
  </commentList>
</comments>
</file>

<file path=xl/sharedStrings.xml><?xml version="1.0" encoding="utf-8"?>
<sst xmlns="http://schemas.openxmlformats.org/spreadsheetml/2006/main" count="1867" uniqueCount="183">
  <si>
    <t>P.G.</t>
  </si>
  <si>
    <t>Hot Time</t>
  </si>
  <si>
    <t>Process Time</t>
  </si>
  <si>
    <t>Brewing Department Daily Process Loss Report</t>
  </si>
  <si>
    <t>Lower</t>
  </si>
  <si>
    <t>Upper</t>
  </si>
  <si>
    <t>CARIB</t>
  </si>
  <si>
    <t>Date:</t>
  </si>
  <si>
    <r>
      <t xml:space="preserve">Filter Sheets </t>
    </r>
    <r>
      <rPr>
        <b/>
        <i/>
        <sz val="9"/>
        <rFont val="Arial"/>
        <family val="2"/>
      </rPr>
      <t xml:space="preserve">(Target </t>
    </r>
    <r>
      <rPr>
        <b/>
        <i/>
        <u/>
        <sz val="9"/>
        <rFont val="Arial"/>
        <family val="2"/>
      </rPr>
      <t>20</t>
    </r>
    <r>
      <rPr>
        <b/>
        <i/>
        <sz val="9"/>
        <rFont val="Arial"/>
        <family val="2"/>
      </rPr>
      <t xml:space="preserve"> days)</t>
    </r>
  </si>
  <si>
    <t>STAG</t>
  </si>
  <si>
    <t>Double</t>
  </si>
  <si>
    <t>Single</t>
  </si>
  <si>
    <t>GUINNESS</t>
  </si>
  <si>
    <t>Brewhouse:</t>
  </si>
  <si>
    <t>Sheet Day</t>
  </si>
  <si>
    <t>MACKESON</t>
  </si>
  <si>
    <t>STARMALT</t>
  </si>
  <si>
    <t>Brand</t>
  </si>
  <si>
    <t>Brew no.</t>
  </si>
  <si>
    <t>Kett. Hls</t>
  </si>
  <si>
    <t>Wort</t>
  </si>
  <si>
    <t>Cool Time(Mins)</t>
  </si>
  <si>
    <t>Cast. P.G. (Lab Result)</t>
  </si>
  <si>
    <t>Theor. Extr. (77.5%)</t>
  </si>
  <si>
    <t xml:space="preserve"> Boil Time</t>
  </si>
  <si>
    <t>Total Hot</t>
  </si>
  <si>
    <t>Brewing</t>
  </si>
  <si>
    <t>Operator</t>
  </si>
  <si>
    <t>Comments</t>
  </si>
  <si>
    <t>MAXIMALT</t>
  </si>
  <si>
    <t>Meter (Hls)</t>
  </si>
  <si>
    <t>Target(&lt; 60Mins)</t>
  </si>
  <si>
    <t>Time</t>
  </si>
  <si>
    <t>VITAMALT</t>
  </si>
  <si>
    <t>EXTRACT RECOVERY</t>
  </si>
  <si>
    <t>BBT P.G./ O.G</t>
  </si>
  <si>
    <t>Actual</t>
  </si>
  <si>
    <t>MTD</t>
  </si>
  <si>
    <t>YTD</t>
  </si>
  <si>
    <t>Target</t>
  </si>
  <si>
    <t>GUINN</t>
  </si>
  <si>
    <t xml:space="preserve"> </t>
  </si>
  <si>
    <t>Process:</t>
  </si>
  <si>
    <t>Fermentation/Filtration</t>
  </si>
  <si>
    <t>Filt. Date</t>
  </si>
  <si>
    <t>FV Hls</t>
  </si>
  <si>
    <t xml:space="preserve">GFE/ Prim/ Vita Blend (Hls) </t>
  </si>
  <si>
    <t>SV Hls</t>
  </si>
  <si>
    <t>BBT Hls</t>
  </si>
  <si>
    <t xml:space="preserve"> Loss (%) Ferm</t>
  </si>
  <si>
    <t xml:space="preserve"> Loss (%) Filt</t>
  </si>
  <si>
    <t>Throughput</t>
  </si>
  <si>
    <t>Process Loss (%)</t>
  </si>
  <si>
    <t>Filt. Operator</t>
  </si>
  <si>
    <t>hls</t>
  </si>
  <si>
    <t>Process Loss (Volume)</t>
  </si>
  <si>
    <t>Process Loss (Extract)</t>
  </si>
  <si>
    <t>:</t>
  </si>
  <si>
    <t>Process Department Daily Loss Report</t>
  </si>
  <si>
    <t>Date</t>
  </si>
  <si>
    <t>1st Run</t>
  </si>
  <si>
    <r>
      <t xml:space="preserve">Extr. Rec </t>
    </r>
    <r>
      <rPr>
        <b/>
        <sz val="9"/>
        <rFont val="Arial"/>
        <family val="2"/>
      </rPr>
      <t>(79.5%)</t>
    </r>
  </si>
  <si>
    <r>
      <t xml:space="preserve">Theor. Extr. </t>
    </r>
    <r>
      <rPr>
        <b/>
        <sz val="9"/>
        <rFont val="Arial"/>
        <family val="2"/>
      </rPr>
      <t>(</t>
    </r>
    <r>
      <rPr>
        <b/>
        <i/>
        <sz val="9"/>
        <rFont val="Arial"/>
        <family val="2"/>
      </rPr>
      <t>77.5</t>
    </r>
    <r>
      <rPr>
        <b/>
        <sz val="9"/>
        <rFont val="Arial"/>
        <family val="2"/>
      </rPr>
      <t>%)</t>
    </r>
  </si>
  <si>
    <t>Target(65Mins)</t>
  </si>
  <si>
    <t>Carib</t>
  </si>
  <si>
    <t>.</t>
  </si>
  <si>
    <t>Cooling Temperatures</t>
  </si>
  <si>
    <t>RU 5</t>
  </si>
  <si>
    <t>Brew No.</t>
  </si>
  <si>
    <t>Alcohol Temp.</t>
  </si>
  <si>
    <t>Start</t>
  </si>
  <si>
    <t>End</t>
  </si>
  <si>
    <t>Stag</t>
  </si>
  <si>
    <t>Guinn</t>
  </si>
  <si>
    <t>Vitamalt</t>
  </si>
  <si>
    <t>Maximalt</t>
  </si>
  <si>
    <t>Mackeson</t>
  </si>
  <si>
    <t>MaltaCarib</t>
  </si>
  <si>
    <t>Filtration</t>
  </si>
  <si>
    <t>GFE/ Prim</t>
  </si>
  <si>
    <t>Without VitaMalt adjustment</t>
  </si>
  <si>
    <t>Filtration Throughput</t>
  </si>
  <si>
    <t>StarMalt</t>
  </si>
  <si>
    <t>Bad Dog</t>
  </si>
  <si>
    <t>TARGET</t>
  </si>
  <si>
    <t>BRANDS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</si>
  <si>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</si>
  <si>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</si>
  <si>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</si>
  <si>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</si>
  <si>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</si>
  <si>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</si>
  <si>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</si>
  <si>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</si>
  <si>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</si>
  <si>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</si>
  <si>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Guinness</t>
  </si>
  <si>
    <t xml:space="preserve">Maximalt </t>
  </si>
  <si>
    <t>Star Malt</t>
  </si>
  <si>
    <t>OVERALL</t>
  </si>
  <si>
    <t>PROCESS VOLUME LOSSES</t>
  </si>
  <si>
    <t>PROCESS VOLUME EXTRACT</t>
  </si>
  <si>
    <t xml:space="preserve">BREWER PERFORMANCE MTD </t>
  </si>
  <si>
    <t>NAME</t>
  </si>
  <si>
    <t>LAST BREW</t>
  </si>
  <si>
    <t>KEIRAN BENJAMIN</t>
  </si>
  <si>
    <t>JOHNNY GREENIDGE</t>
  </si>
  <si>
    <t>JAMES GRANT</t>
  </si>
  <si>
    <t>RODNEY REGIS</t>
  </si>
  <si>
    <t xml:space="preserve">    OVERALL MONTHLY PROGRESSION</t>
  </si>
  <si>
    <t>TARGET OF 98%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</si>
  <si>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</si>
  <si>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</si>
  <si>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</si>
  <si>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</si>
  <si>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</si>
  <si>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</si>
  <si>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</si>
  <si>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</si>
  <si>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</si>
  <si>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</si>
  <si>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</si>
  <si>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</si>
  <si>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MONTHLY PROGESSION GRAPH</t>
  </si>
  <si>
    <t>Cooling  Time</t>
  </si>
  <si>
    <t>Hurricane Reef</t>
  </si>
  <si>
    <t>Actual Pilsen Malt</t>
  </si>
  <si>
    <t>HURRICANE REEF</t>
  </si>
  <si>
    <t>HR</t>
  </si>
  <si>
    <t>Daily Brewing Plan</t>
  </si>
  <si>
    <t>Total</t>
  </si>
  <si>
    <t>CARIBE</t>
  </si>
  <si>
    <t>DESEAN EMERY</t>
  </si>
  <si>
    <t xml:space="preserve">Date: </t>
  </si>
  <si>
    <t xml:space="preserve">HR- PILSNER </t>
  </si>
  <si>
    <t>HR- PISNER</t>
  </si>
  <si>
    <t>Average Brews per day</t>
  </si>
  <si>
    <t>HR- P</t>
  </si>
  <si>
    <t>MTD No. of Brews</t>
  </si>
  <si>
    <t xml:space="preserve">AVERAGE </t>
  </si>
  <si>
    <t xml:space="preserve">GEMMON MASON </t>
  </si>
  <si>
    <t>CAMULUS PHILLIP</t>
  </si>
  <si>
    <t>Boil Off /Vol.  (4-6%)</t>
  </si>
  <si>
    <t xml:space="preserve">      MTD GRAPH OCTOBER 2022</t>
  </si>
  <si>
    <t>Cast P.G. (Cellar Operator)-gravity</t>
  </si>
  <si>
    <t>BRAND</t>
  </si>
  <si>
    <t xml:space="preserve">Actual </t>
  </si>
  <si>
    <t xml:space="preserve">Brews Achieved </t>
  </si>
  <si>
    <t>HURRICANE REEF- APA</t>
  </si>
  <si>
    <t>HURRICANE REEF- IPA</t>
  </si>
  <si>
    <t>NO BREAK</t>
  </si>
  <si>
    <t xml:space="preserve"> MALT LOT: Lot 8</t>
  </si>
  <si>
    <t>Extr. Rec (79.1%)</t>
  </si>
  <si>
    <t>LOT WORT COLOUR: 3.4</t>
  </si>
  <si>
    <t xml:space="preserve">K.Hosten </t>
  </si>
  <si>
    <t xml:space="preserve">Operator </t>
  </si>
  <si>
    <t>HR- APA</t>
  </si>
  <si>
    <t>HR- IPA</t>
  </si>
  <si>
    <t>HR- Pils</t>
  </si>
  <si>
    <t>HR PILS</t>
  </si>
  <si>
    <t>HR APA</t>
  </si>
  <si>
    <t>HURRICANE REEF PILS</t>
  </si>
  <si>
    <t xml:space="preserve">BRAND </t>
  </si>
  <si>
    <t>IPA</t>
  </si>
  <si>
    <t>APA</t>
  </si>
  <si>
    <t xml:space="preserve">  </t>
  </si>
  <si>
    <t>Brewing Time</t>
  </si>
  <si>
    <t>Extr. Rec (78%)</t>
  </si>
  <si>
    <t xml:space="preserve"> MALT LOT: Lot #15</t>
  </si>
  <si>
    <t>NO SBF</t>
  </si>
  <si>
    <t>K. Hosten</t>
  </si>
  <si>
    <t>R. Regis</t>
  </si>
  <si>
    <t>J. Nelson</t>
  </si>
  <si>
    <t>1 BREAK</t>
  </si>
  <si>
    <t>T. Chalres</t>
  </si>
  <si>
    <t xml:space="preserve">D. Emery </t>
  </si>
  <si>
    <t>T. Charles</t>
  </si>
  <si>
    <t>9th</t>
  </si>
  <si>
    <t>10th</t>
  </si>
  <si>
    <t xml:space="preserve"> MALT LOT: Lot #19</t>
  </si>
  <si>
    <t>LOT WORT COLOUR: 3.2</t>
  </si>
  <si>
    <t>2 BREAK- Haze issues in BBT (refiltered 2x)</t>
  </si>
  <si>
    <t>G. Mason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</si>
</sst>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[$-409]mmmm\ d\,\ yyyy;@"/>
    <numFmt numFmtId="166" formatCode="0.0"/>
    <numFmt numFmtId="167" formatCode="[m]"/>
    <numFmt numFmtId="168" formatCode="0.000"/>
    <numFmt numFmtId="169" formatCode="[$-409]d\-mmm;@"/>
    <numFmt numFmtId="170" formatCode="0.0%"/>
    <numFmt numFmtId="171" formatCode="#,##0.0"/>
  </numFmts>
  <fonts count="89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name val="Calibri"/>
      <family val="2"/>
      <scheme val="minor"/>
    </font>
    <font>
      <b/>
      <sz val="11"/>
      <color theme="1"/>
      <name val="Tahoma"/>
      <family val="2"/>
    </font>
    <font>
      <sz val="11"/>
      <name val="Tahoma"/>
      <family val="2"/>
    </font>
    <font>
      <b/>
      <sz val="11"/>
      <color rgb="FF963634"/>
      <name val="Arial"/>
      <family val="2"/>
    </font>
    <font>
      <b/>
      <sz val="9"/>
      <name val="Arial"/>
      <family val="2"/>
    </font>
    <font>
      <b/>
      <i/>
      <sz val="9"/>
      <name val="Arial"/>
      <family val="2"/>
    </font>
    <font>
      <b/>
      <i/>
      <u/>
      <sz val="9"/>
      <name val="Arial"/>
      <family val="2"/>
    </font>
    <font>
      <i/>
      <sz val="11"/>
      <name val="Calibri"/>
      <family val="2"/>
    </font>
    <font>
      <b/>
      <sz val="11"/>
      <name val="Tahoma"/>
      <family val="2"/>
    </font>
    <font>
      <b/>
      <u/>
      <sz val="11"/>
      <name val="Arial"/>
      <family val="2"/>
    </font>
    <font>
      <b/>
      <sz val="11"/>
      <color rgb="FF0000FF"/>
      <name val="Arial"/>
      <family val="2"/>
    </font>
    <font>
      <sz val="11"/>
      <color theme="1"/>
      <name val="Arial"/>
      <family val="2"/>
    </font>
    <font>
      <b/>
      <i/>
      <sz val="11"/>
      <name val="Arial"/>
      <family val="2"/>
    </font>
    <font>
      <b/>
      <sz val="11"/>
      <color indexed="53"/>
      <name val="Arial"/>
      <family val="2"/>
    </font>
    <font>
      <sz val="11"/>
      <color theme="0"/>
      <name val="Arial"/>
      <family val="2"/>
    </font>
    <font>
      <i/>
      <sz val="11"/>
      <color theme="1"/>
      <name val="Arial"/>
      <family val="2"/>
    </font>
    <font>
      <b/>
      <sz val="11"/>
      <color indexed="12"/>
      <name val="Arial"/>
      <family val="2"/>
    </font>
    <font>
      <b/>
      <sz val="11"/>
      <color indexed="17"/>
      <name val="Arial"/>
      <family val="2"/>
    </font>
    <font>
      <b/>
      <sz val="11"/>
      <color indexed="10"/>
      <name val="Arial"/>
      <family val="2"/>
    </font>
    <font>
      <b/>
      <sz val="11"/>
      <color indexed="20"/>
      <name val="Arial"/>
      <family val="2"/>
    </font>
    <font>
      <b/>
      <sz val="11"/>
      <color indexed="16"/>
      <name val="Arial"/>
      <family val="2"/>
    </font>
    <font>
      <b/>
      <sz val="11"/>
      <color theme="1"/>
      <name val="Arial"/>
      <family val="2"/>
    </font>
    <font>
      <b/>
      <sz val="11"/>
      <color rgb="FF0070C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 Narrow"/>
      <family val="2"/>
    </font>
    <font>
      <b/>
      <sz val="11"/>
      <color theme="2" tint="-0.89999084444715716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theme="2" tint="-0.89999084444715716"/>
      <name val="Arial"/>
      <family val="2"/>
    </font>
    <font>
      <sz val="12"/>
      <name val="Tahoma"/>
      <family val="2"/>
    </font>
    <font>
      <b/>
      <sz val="10"/>
      <name val="Arial"/>
      <family val="2"/>
    </font>
    <font>
      <b/>
      <u/>
      <sz val="10"/>
      <name val="Arial"/>
      <family val="2"/>
    </font>
    <font>
      <b/>
      <sz val="9"/>
      <color indexed="10"/>
      <name val="Arial"/>
      <family val="2"/>
    </font>
    <font>
      <b/>
      <sz val="10"/>
      <color indexed="12"/>
      <name val="Arial"/>
      <family val="2"/>
    </font>
    <font>
      <sz val="10"/>
      <color indexed="8"/>
      <name val="Arial"/>
      <family val="2"/>
    </font>
    <font>
      <sz val="10"/>
      <color theme="1"/>
      <name val="Arial"/>
      <family val="2"/>
    </font>
    <font>
      <b/>
      <sz val="8"/>
      <color rgb="FFFF0000"/>
      <name val="Arial"/>
      <family val="2"/>
    </font>
    <font>
      <b/>
      <sz val="9"/>
      <color rgb="FFFF0000"/>
      <name val="Arial"/>
      <family val="2"/>
    </font>
    <font>
      <b/>
      <sz val="10"/>
      <color indexed="17"/>
      <name val="Arial"/>
      <family val="2"/>
    </font>
    <font>
      <b/>
      <sz val="10"/>
      <color indexed="10"/>
      <name val="Arial"/>
      <family val="2"/>
    </font>
    <font>
      <b/>
      <sz val="10"/>
      <color indexed="16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12"/>
      <name val="Arial"/>
      <family val="2"/>
    </font>
    <font>
      <b/>
      <sz val="10"/>
      <color theme="1"/>
      <name val="Arial"/>
      <family val="2"/>
    </font>
    <font>
      <b/>
      <sz val="10"/>
      <color indexed="53"/>
      <name val="Arial"/>
      <family val="2"/>
    </font>
    <font>
      <b/>
      <sz val="10"/>
      <color indexed="20"/>
      <name val="Arial"/>
      <family val="2"/>
    </font>
    <font>
      <b/>
      <sz val="9"/>
      <color indexed="63"/>
      <name val="Arial"/>
      <family val="2"/>
    </font>
    <font>
      <sz val="10"/>
      <color indexed="10"/>
      <name val="Arial"/>
      <family val="2"/>
    </font>
    <font>
      <b/>
      <sz val="8"/>
      <name val="Arial"/>
      <family val="2"/>
    </font>
    <font>
      <b/>
      <sz val="8"/>
      <color theme="2" tint="-0.89999084444715716"/>
      <name val="Arial"/>
      <family val="2"/>
    </font>
    <font>
      <sz val="10"/>
      <color theme="2" tint="-0.89999084444715716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BankGothic Lt BT"/>
      <family val="2"/>
    </font>
    <font>
      <b/>
      <i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4"/>
      <color theme="0"/>
      <name val="BankGothic Md BT"/>
      <family val="2"/>
    </font>
    <font>
      <b/>
      <i/>
      <sz val="14"/>
      <color theme="0"/>
      <name val="Calibri"/>
      <family val="2"/>
      <scheme val="minor"/>
    </font>
    <font>
      <sz val="16"/>
      <color theme="1"/>
      <name val="BankGothic Md BT"/>
      <family val="2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name val="Arial"/>
      <family val="2"/>
    </font>
    <font>
      <b/>
      <sz val="11"/>
      <color rgb="FFCC66FF"/>
      <name val="Arial"/>
      <family val="2"/>
    </font>
    <font>
      <b/>
      <sz val="11"/>
      <color rgb="FFFFC000"/>
      <name val="Arial"/>
      <family val="2"/>
    </font>
    <font>
      <b/>
      <sz val="11"/>
      <color rgb="FFFF0000"/>
      <name val="Arial"/>
      <family val="2"/>
    </font>
    <font>
      <b/>
      <sz val="11"/>
      <color rgb="FF008200"/>
      <name val="Arial"/>
      <family val="2"/>
    </font>
    <font>
      <b/>
      <sz val="11"/>
      <color rgb="FF00B050"/>
      <name val="Arial"/>
      <family val="2"/>
    </font>
    <font>
      <b/>
      <sz val="11"/>
      <color theme="8" tint="0.39997558519241921"/>
      <name val="Arial"/>
      <family val="2"/>
    </font>
    <font>
      <b/>
      <sz val="11"/>
      <color rgb="FFFF66FF"/>
      <name val="Arial"/>
      <family val="2"/>
    </font>
    <font>
      <b/>
      <sz val="11"/>
      <color theme="9" tint="0.39997558519241921"/>
      <name val="Arial"/>
      <family val="2"/>
    </font>
    <font>
      <b/>
      <sz val="11"/>
      <color rgb="FFC00000"/>
      <name val="Arial"/>
      <family val="2"/>
    </font>
    <font>
      <b/>
      <sz val="11"/>
      <color theme="5" tint="-0.249977111117893"/>
      <name val="Arial"/>
      <family val="2"/>
    </font>
    <font>
      <b/>
      <sz val="11"/>
      <color theme="5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2" tint="-0.2499465926084170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9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medium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ck">
        <color auto="1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Dash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Dashed">
        <color indexed="64"/>
      </bottom>
      <diagonal/>
    </border>
    <border>
      <left style="thin">
        <color indexed="64"/>
      </left>
      <right style="medium">
        <color auto="1"/>
      </right>
      <top style="medium">
        <color indexed="64"/>
      </top>
      <bottom style="mediumDashed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7">
    <xf numFmtId="165" fontId="0" fillId="0" borderId="0"/>
    <xf numFmtId="164" fontId="8" fillId="0" borderId="0" applyFont="0" applyFill="0" applyBorder="0" applyAlignment="0" applyProtection="0"/>
    <xf numFmtId="0" fontId="6" fillId="2" borderId="0" applyNumberFormat="0" applyBorder="0" applyAlignment="0" applyProtection="0"/>
    <xf numFmtId="165" fontId="8" fillId="0" borderId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638">
    <xf numFmtId="165" fontId="0" fillId="0" borderId="0" xfId="0"/>
    <xf numFmtId="165" fontId="10" fillId="0" borderId="0" xfId="3" applyFont="1"/>
    <xf numFmtId="165" fontId="10" fillId="0" borderId="0" xfId="3" applyFont="1" applyAlignment="1">
      <alignment wrapText="1"/>
    </xf>
    <xf numFmtId="165" fontId="11" fillId="3" borderId="1" xfId="0" applyFont="1" applyFill="1" applyBorder="1"/>
    <xf numFmtId="165" fontId="12" fillId="0" borderId="0" xfId="3" applyFont="1" applyAlignment="1">
      <alignment horizontal="center" wrapText="1"/>
    </xf>
    <xf numFmtId="165" fontId="13" fillId="0" borderId="0" xfId="3" applyFont="1"/>
    <xf numFmtId="165" fontId="9" fillId="0" borderId="0" xfId="3" applyFont="1" applyAlignment="1">
      <alignment wrapText="1"/>
    </xf>
    <xf numFmtId="166" fontId="11" fillId="3" borderId="1" xfId="0" applyNumberFormat="1" applyFont="1" applyFill="1" applyBorder="1"/>
    <xf numFmtId="166" fontId="11" fillId="3" borderId="2" xfId="0" applyNumberFormat="1" applyFont="1" applyFill="1" applyBorder="1"/>
    <xf numFmtId="167" fontId="10" fillId="3" borderId="1" xfId="3" applyNumberFormat="1" applyFont="1" applyFill="1" applyBorder="1" applyAlignment="1">
      <alignment horizontal="right"/>
    </xf>
    <xf numFmtId="167" fontId="10" fillId="3" borderId="1" xfId="3" applyNumberFormat="1" applyFont="1" applyFill="1" applyBorder="1" applyAlignment="1">
      <alignment horizontal="right" vertical="center"/>
    </xf>
    <xf numFmtId="166" fontId="9" fillId="0" borderId="0" xfId="3" applyNumberFormat="1" applyFont="1"/>
    <xf numFmtId="165" fontId="10" fillId="0" borderId="0" xfId="3" applyFont="1" applyAlignment="1">
      <alignment horizontal="center" wrapText="1"/>
    </xf>
    <xf numFmtId="165" fontId="10" fillId="0" borderId="0" xfId="3" applyFont="1" applyAlignment="1">
      <alignment vertical="center"/>
    </xf>
    <xf numFmtId="165" fontId="18" fillId="0" borderId="1" xfId="3" applyFont="1" applyBorder="1"/>
    <xf numFmtId="165" fontId="19" fillId="0" borderId="0" xfId="3" applyFont="1"/>
    <xf numFmtId="1" fontId="9" fillId="0" borderId="0" xfId="3" applyNumberFormat="1" applyFont="1" applyAlignment="1">
      <alignment horizontal="center" wrapText="1"/>
    </xf>
    <xf numFmtId="165" fontId="10" fillId="5" borderId="7" xfId="3" applyFont="1" applyFill="1" applyBorder="1" applyAlignment="1">
      <alignment horizontal="center" vertical="center" wrapText="1"/>
    </xf>
    <xf numFmtId="165" fontId="9" fillId="0" borderId="9" xfId="3" applyFont="1" applyBorder="1" applyAlignment="1">
      <alignment horizontal="center"/>
    </xf>
    <xf numFmtId="20" fontId="10" fillId="0" borderId="0" xfId="3" applyNumberFormat="1" applyFont="1"/>
    <xf numFmtId="165" fontId="10" fillId="0" borderId="11" xfId="3" applyFont="1" applyBorder="1" applyAlignment="1">
      <alignment horizontal="center" vertical="top" wrapText="1"/>
    </xf>
    <xf numFmtId="165" fontId="10" fillId="5" borderId="11" xfId="3" applyFont="1" applyFill="1" applyBorder="1" applyAlignment="1">
      <alignment horizontal="center" vertical="top" wrapText="1"/>
    </xf>
    <xf numFmtId="165" fontId="24" fillId="0" borderId="13" xfId="3" applyFont="1" applyBorder="1" applyAlignment="1">
      <alignment horizontal="left"/>
    </xf>
    <xf numFmtId="2" fontId="10" fillId="0" borderId="0" xfId="3" applyNumberFormat="1" applyFont="1"/>
    <xf numFmtId="165" fontId="10" fillId="0" borderId="20" xfId="3" applyFont="1" applyBorder="1" applyAlignment="1">
      <alignment horizontal="left"/>
    </xf>
    <xf numFmtId="165" fontId="10" fillId="0" borderId="21" xfId="3" applyFont="1" applyBorder="1" applyAlignment="1">
      <alignment horizontal="center"/>
    </xf>
    <xf numFmtId="165" fontId="10" fillId="0" borderId="21" xfId="3" applyFont="1" applyBorder="1" applyAlignment="1">
      <alignment horizontal="center" wrapText="1"/>
    </xf>
    <xf numFmtId="165" fontId="10" fillId="0" borderId="22" xfId="3" applyFont="1" applyBorder="1" applyAlignment="1">
      <alignment horizontal="center"/>
    </xf>
    <xf numFmtId="165" fontId="25" fillId="0" borderId="0" xfId="3" applyFont="1"/>
    <xf numFmtId="165" fontId="27" fillId="0" borderId="13" xfId="3" applyFont="1" applyBorder="1" applyAlignment="1">
      <alignment horizontal="left"/>
    </xf>
    <xf numFmtId="166" fontId="9" fillId="0" borderId="15" xfId="3" applyNumberFormat="1" applyFont="1" applyBorder="1"/>
    <xf numFmtId="166" fontId="9" fillId="0" borderId="0" xfId="3" applyNumberFormat="1" applyFont="1" applyAlignment="1">
      <alignment wrapText="1"/>
    </xf>
    <xf numFmtId="2" fontId="9" fillId="0" borderId="0" xfId="3" quotePrefix="1" applyNumberFormat="1" applyFont="1" applyAlignment="1">
      <alignment horizontal="center"/>
    </xf>
    <xf numFmtId="165" fontId="28" fillId="0" borderId="13" xfId="3" applyFont="1" applyBorder="1"/>
    <xf numFmtId="165" fontId="29" fillId="0" borderId="13" xfId="3" applyFont="1" applyBorder="1"/>
    <xf numFmtId="165" fontId="30" fillId="0" borderId="13" xfId="3" applyFont="1" applyBorder="1"/>
    <xf numFmtId="165" fontId="31" fillId="0" borderId="13" xfId="3" applyFont="1" applyBorder="1" applyAlignment="1">
      <alignment horizontal="left"/>
    </xf>
    <xf numFmtId="165" fontId="14" fillId="0" borderId="13" xfId="3" applyFont="1" applyBorder="1"/>
    <xf numFmtId="165" fontId="33" fillId="0" borderId="31" xfId="3" applyFont="1" applyBorder="1"/>
    <xf numFmtId="166" fontId="9" fillId="0" borderId="0" xfId="3" applyNumberFormat="1" applyFont="1" applyAlignment="1">
      <alignment horizontal="right"/>
    </xf>
    <xf numFmtId="166" fontId="9" fillId="4" borderId="0" xfId="3" applyNumberFormat="1" applyFont="1" applyFill="1"/>
    <xf numFmtId="2" fontId="9" fillId="0" borderId="0" xfId="3" applyNumberFormat="1" applyFont="1" applyAlignment="1">
      <alignment horizontal="center"/>
    </xf>
    <xf numFmtId="2" fontId="10" fillId="0" borderId="0" xfId="3" applyNumberFormat="1" applyFont="1" applyAlignment="1">
      <alignment horizontal="center"/>
    </xf>
    <xf numFmtId="166" fontId="10" fillId="0" borderId="0" xfId="3" applyNumberFormat="1" applyFont="1" applyAlignment="1">
      <alignment horizontal="center"/>
    </xf>
    <xf numFmtId="2" fontId="25" fillId="0" borderId="0" xfId="3" applyNumberFormat="1" applyFont="1"/>
    <xf numFmtId="165" fontId="14" fillId="0" borderId="0" xfId="3" applyFont="1"/>
    <xf numFmtId="2" fontId="34" fillId="0" borderId="0" xfId="3" applyNumberFormat="1" applyFont="1" applyAlignment="1">
      <alignment horizontal="center"/>
    </xf>
    <xf numFmtId="165" fontId="9" fillId="0" borderId="4" xfId="3" applyFont="1" applyBorder="1" applyAlignment="1">
      <alignment horizontal="center"/>
    </xf>
    <xf numFmtId="165" fontId="9" fillId="0" borderId="0" xfId="3" applyFont="1" applyAlignment="1">
      <alignment horizontal="center"/>
    </xf>
    <xf numFmtId="165" fontId="9" fillId="0" borderId="0" xfId="3" applyFont="1" applyAlignment="1">
      <alignment horizontal="center" wrapText="1"/>
    </xf>
    <xf numFmtId="165" fontId="10" fillId="0" borderId="0" xfId="3" applyFont="1" applyAlignment="1">
      <alignment horizontal="center" vertical="center" wrapText="1"/>
    </xf>
    <xf numFmtId="169" fontId="35" fillId="0" borderId="41" xfId="0" applyNumberFormat="1" applyFont="1" applyBorder="1" applyAlignment="1">
      <alignment horizontal="center" vertical="center"/>
    </xf>
    <xf numFmtId="170" fontId="9" fillId="0" borderId="42" xfId="4" applyNumberFormat="1" applyFont="1" applyBorder="1" applyAlignment="1">
      <alignment horizontal="center" vertical="center"/>
    </xf>
    <xf numFmtId="2" fontId="32" fillId="0" borderId="2" xfId="3" applyNumberFormat="1" applyFont="1" applyBorder="1" applyAlignment="1">
      <alignment horizontal="center" vertical="center"/>
    </xf>
    <xf numFmtId="165" fontId="9" fillId="0" borderId="0" xfId="3" applyFont="1" applyAlignment="1">
      <alignment horizontal="center" vertical="center"/>
    </xf>
    <xf numFmtId="165" fontId="10" fillId="0" borderId="43" xfId="3" applyFont="1" applyBorder="1" applyAlignment="1">
      <alignment vertical="center" wrapText="1"/>
    </xf>
    <xf numFmtId="165" fontId="10" fillId="0" borderId="0" xfId="3" applyFont="1" applyAlignment="1">
      <alignment vertical="center" wrapText="1"/>
    </xf>
    <xf numFmtId="170" fontId="9" fillId="0" borderId="0" xfId="3" applyNumberFormat="1" applyFont="1" applyAlignment="1">
      <alignment horizontal="center" vertical="center"/>
    </xf>
    <xf numFmtId="165" fontId="10" fillId="0" borderId="44" xfId="3" applyFont="1" applyBorder="1" applyAlignment="1">
      <alignment horizontal="center" shrinkToFit="1"/>
    </xf>
    <xf numFmtId="165" fontId="10" fillId="0" borderId="45" xfId="3" applyFont="1" applyBorder="1" applyAlignment="1">
      <alignment horizontal="center" shrinkToFit="1"/>
    </xf>
    <xf numFmtId="165" fontId="10" fillId="0" borderId="0" xfId="3" applyFont="1" applyAlignment="1">
      <alignment horizontal="center" wrapText="1" shrinkToFit="1"/>
    </xf>
    <xf numFmtId="165" fontId="10" fillId="0" borderId="50" xfId="3" applyFont="1" applyBorder="1" applyAlignment="1">
      <alignment horizontal="left"/>
    </xf>
    <xf numFmtId="165" fontId="10" fillId="0" borderId="10" xfId="3" applyFont="1" applyBorder="1" applyAlignment="1">
      <alignment horizontal="left"/>
    </xf>
    <xf numFmtId="165" fontId="10" fillId="0" borderId="12" xfId="3" applyFont="1" applyBorder="1" applyAlignment="1">
      <alignment horizontal="left"/>
    </xf>
    <xf numFmtId="165" fontId="10" fillId="0" borderId="0" xfId="3" applyFont="1" applyAlignment="1">
      <alignment horizontal="left" wrapText="1"/>
    </xf>
    <xf numFmtId="2" fontId="36" fillId="0" borderId="1" xfId="3" applyNumberFormat="1" applyFont="1" applyBorder="1" applyAlignment="1">
      <alignment horizontal="right"/>
    </xf>
    <xf numFmtId="166" fontId="9" fillId="0" borderId="15" xfId="3" applyNumberFormat="1" applyFont="1" applyBorder="1" applyAlignment="1">
      <alignment horizontal="right"/>
    </xf>
    <xf numFmtId="170" fontId="32" fillId="0" borderId="1" xfId="3" applyNumberFormat="1" applyFont="1" applyBorder="1" applyAlignment="1">
      <alignment horizontal="right"/>
    </xf>
    <xf numFmtId="9" fontId="9" fillId="0" borderId="15" xfId="3" applyNumberFormat="1" applyFont="1" applyBorder="1" applyAlignment="1">
      <alignment horizontal="right"/>
    </xf>
    <xf numFmtId="9" fontId="9" fillId="0" borderId="0" xfId="3" applyNumberFormat="1" applyFont="1" applyAlignment="1">
      <alignment horizontal="right" wrapText="1"/>
    </xf>
    <xf numFmtId="166" fontId="9" fillId="0" borderId="51" xfId="3" applyNumberFormat="1" applyFont="1" applyBorder="1" applyAlignment="1">
      <alignment horizontal="right"/>
    </xf>
    <xf numFmtId="9" fontId="9" fillId="0" borderId="51" xfId="3" applyNumberFormat="1" applyFont="1" applyBorder="1" applyAlignment="1">
      <alignment horizontal="right"/>
    </xf>
    <xf numFmtId="166" fontId="9" fillId="0" borderId="36" xfId="3" applyNumberFormat="1" applyFont="1" applyBorder="1" applyAlignment="1">
      <alignment horizontal="right"/>
    </xf>
    <xf numFmtId="2" fontId="10" fillId="0" borderId="31" xfId="3" applyNumberFormat="1" applyFont="1" applyBorder="1" applyAlignment="1">
      <alignment horizontal="right"/>
    </xf>
    <xf numFmtId="165" fontId="9" fillId="0" borderId="0" xfId="3" applyFont="1" applyAlignment="1">
      <alignment horizontal="right"/>
    </xf>
    <xf numFmtId="165" fontId="9" fillId="0" borderId="0" xfId="3" applyFont="1" applyAlignment="1">
      <alignment horizontal="right" wrapText="1"/>
    </xf>
    <xf numFmtId="2" fontId="39" fillId="0" borderId="1" xfId="3" applyNumberFormat="1" applyFont="1" applyBorder="1" applyAlignment="1">
      <alignment horizontal="right"/>
    </xf>
    <xf numFmtId="165" fontId="10" fillId="0" borderId="37" xfId="3" applyFont="1" applyBorder="1" applyAlignment="1">
      <alignment vertical="center"/>
    </xf>
    <xf numFmtId="165" fontId="8" fillId="0" borderId="0" xfId="3"/>
    <xf numFmtId="165" fontId="40" fillId="0" borderId="0" xfId="3" applyFont="1"/>
    <xf numFmtId="165" fontId="41" fillId="0" borderId="6" xfId="3" applyFont="1" applyBorder="1" applyAlignment="1">
      <alignment horizontal="center" vertical="center" wrapText="1"/>
    </xf>
    <xf numFmtId="165" fontId="15" fillId="0" borderId="6" xfId="3" applyFont="1" applyBorder="1" applyAlignment="1">
      <alignment horizontal="center" vertical="center" wrapText="1"/>
    </xf>
    <xf numFmtId="165" fontId="41" fillId="0" borderId="7" xfId="3" applyFont="1" applyBorder="1" applyAlignment="1">
      <alignment horizontal="center" vertical="center" wrapText="1"/>
    </xf>
    <xf numFmtId="165" fontId="41" fillId="0" borderId="10" xfId="3" applyFont="1" applyBorder="1" applyAlignment="1">
      <alignment horizontal="center" vertical="center" wrapText="1"/>
    </xf>
    <xf numFmtId="165" fontId="43" fillId="0" borderId="10" xfId="3" applyFont="1" applyBorder="1" applyAlignment="1">
      <alignment horizontal="center" vertical="center" wrapText="1"/>
    </xf>
    <xf numFmtId="165" fontId="41" fillId="0" borderId="11" xfId="3" applyFont="1" applyBorder="1" applyAlignment="1">
      <alignment horizontal="center" vertical="center" wrapText="1"/>
    </xf>
    <xf numFmtId="165" fontId="41" fillId="0" borderId="0" xfId="3" applyFont="1" applyAlignment="1">
      <alignment horizontal="left"/>
    </xf>
    <xf numFmtId="165" fontId="44" fillId="0" borderId="13" xfId="3" applyFont="1" applyBorder="1" applyAlignment="1">
      <alignment horizontal="left"/>
    </xf>
    <xf numFmtId="16" fontId="8" fillId="0" borderId="10" xfId="3" applyNumberFormat="1" applyBorder="1" applyAlignment="1">
      <alignment horizontal="center"/>
    </xf>
    <xf numFmtId="166" fontId="45" fillId="0" borderId="1" xfId="3" applyNumberFormat="1" applyFont="1" applyBorder="1" applyAlignment="1">
      <alignment horizontal="center"/>
    </xf>
    <xf numFmtId="1" fontId="45" fillId="0" borderId="10" xfId="3" applyNumberFormat="1" applyFont="1" applyBorder="1" applyAlignment="1">
      <alignment horizontal="center"/>
    </xf>
    <xf numFmtId="166" fontId="46" fillId="0" borderId="10" xfId="3" applyNumberFormat="1" applyFont="1" applyBorder="1" applyAlignment="1">
      <alignment horizontal="center"/>
    </xf>
    <xf numFmtId="166" fontId="8" fillId="0" borderId="1" xfId="3" applyNumberFormat="1" applyBorder="1" applyAlignment="1">
      <alignment horizontal="center"/>
    </xf>
    <xf numFmtId="167" fontId="8" fillId="0" borderId="11" xfId="3" applyNumberFormat="1" applyBorder="1" applyAlignment="1">
      <alignment horizontal="center"/>
    </xf>
    <xf numFmtId="165" fontId="47" fillId="8" borderId="43" xfId="3" applyFont="1" applyFill="1" applyBorder="1" applyAlignment="1">
      <alignment horizontal="center" wrapText="1"/>
    </xf>
    <xf numFmtId="165" fontId="41" fillId="0" borderId="0" xfId="3" applyFont="1"/>
    <xf numFmtId="165" fontId="8" fillId="0" borderId="13" xfId="3" applyBorder="1"/>
    <xf numFmtId="166" fontId="8" fillId="0" borderId="0" xfId="3" applyNumberFormat="1" applyAlignment="1">
      <alignment horizontal="center"/>
    </xf>
    <xf numFmtId="165" fontId="48" fillId="8" borderId="43" xfId="3" applyFont="1" applyFill="1" applyBorder="1" applyAlignment="1">
      <alignment horizontal="center" wrapText="1"/>
    </xf>
    <xf numFmtId="165" fontId="49" fillId="0" borderId="13" xfId="3" applyFont="1" applyBorder="1"/>
    <xf numFmtId="166" fontId="8" fillId="0" borderId="0" xfId="3" applyNumberFormat="1"/>
    <xf numFmtId="165" fontId="50" fillId="0" borderId="13" xfId="3" applyFont="1" applyBorder="1"/>
    <xf numFmtId="165" fontId="51" fillId="0" borderId="52" xfId="3" applyFont="1" applyBorder="1" applyAlignment="1">
      <alignment horizontal="left"/>
    </xf>
    <xf numFmtId="15" fontId="8" fillId="0" borderId="10" xfId="3" applyNumberFormat="1" applyBorder="1" applyAlignment="1">
      <alignment horizontal="center"/>
    </xf>
    <xf numFmtId="166" fontId="8" fillId="8" borderId="1" xfId="3" applyNumberFormat="1" applyFill="1" applyBorder="1" applyAlignment="1">
      <alignment horizontal="center"/>
    </xf>
    <xf numFmtId="166" fontId="8" fillId="8" borderId="11" xfId="3" applyNumberFormat="1" applyFill="1" applyBorder="1" applyAlignment="1">
      <alignment horizontal="center"/>
    </xf>
    <xf numFmtId="165" fontId="15" fillId="8" borderId="43" xfId="3" applyFont="1" applyFill="1" applyBorder="1" applyAlignment="1">
      <alignment horizontal="center"/>
    </xf>
    <xf numFmtId="165" fontId="49" fillId="0" borderId="31" xfId="3" applyFont="1" applyBorder="1"/>
    <xf numFmtId="16" fontId="8" fillId="0" borderId="32" xfId="3" applyNumberFormat="1" applyBorder="1" applyAlignment="1">
      <alignment horizontal="center"/>
    </xf>
    <xf numFmtId="15" fontId="8" fillId="0" borderId="32" xfId="3" applyNumberFormat="1" applyBorder="1" applyAlignment="1">
      <alignment horizontal="center"/>
    </xf>
    <xf numFmtId="166" fontId="8" fillId="0" borderId="32" xfId="3" applyNumberFormat="1" applyBorder="1" applyAlignment="1">
      <alignment horizontal="center"/>
    </xf>
    <xf numFmtId="1" fontId="45" fillId="0" borderId="32" xfId="3" applyNumberFormat="1" applyFont="1" applyBorder="1" applyAlignment="1">
      <alignment horizontal="center"/>
    </xf>
    <xf numFmtId="166" fontId="46" fillId="0" borderId="32" xfId="3" applyNumberFormat="1" applyFont="1" applyBorder="1" applyAlignment="1">
      <alignment horizontal="center"/>
    </xf>
    <xf numFmtId="166" fontId="8" fillId="8" borderId="32" xfId="3" applyNumberFormat="1" applyFill="1" applyBorder="1" applyAlignment="1">
      <alignment horizontal="center"/>
    </xf>
    <xf numFmtId="166" fontId="8" fillId="8" borderId="53" xfId="3" applyNumberFormat="1" applyFill="1" applyBorder="1" applyAlignment="1">
      <alignment horizontal="center"/>
    </xf>
    <xf numFmtId="167" fontId="8" fillId="0" borderId="53" xfId="3" applyNumberFormat="1" applyBorder="1" applyAlignment="1">
      <alignment horizontal="center"/>
    </xf>
    <xf numFmtId="165" fontId="52" fillId="0" borderId="54" xfId="3" applyFont="1" applyBorder="1" applyAlignment="1">
      <alignment horizontal="center"/>
    </xf>
    <xf numFmtId="165" fontId="8" fillId="0" borderId="0" xfId="3" applyAlignment="1">
      <alignment horizontal="center"/>
    </xf>
    <xf numFmtId="15" fontId="8" fillId="0" borderId="0" xfId="3" applyNumberFormat="1" applyAlignment="1">
      <alignment horizontal="center"/>
    </xf>
    <xf numFmtId="166" fontId="53" fillId="0" borderId="0" xfId="3" applyNumberFormat="1" applyFont="1" applyAlignment="1">
      <alignment horizontal="center"/>
    </xf>
    <xf numFmtId="2" fontId="8" fillId="0" borderId="0" xfId="3" applyNumberFormat="1" applyAlignment="1">
      <alignment horizontal="center"/>
    </xf>
    <xf numFmtId="166" fontId="41" fillId="0" borderId="33" xfId="3" applyNumberFormat="1" applyFont="1" applyBorder="1"/>
    <xf numFmtId="165" fontId="52" fillId="0" borderId="0" xfId="3" applyFont="1" applyAlignment="1">
      <alignment horizontal="center"/>
    </xf>
    <xf numFmtId="166" fontId="45" fillId="0" borderId="20" xfId="3" applyNumberFormat="1" applyFont="1" applyBorder="1" applyAlignment="1">
      <alignment horizontal="center"/>
    </xf>
    <xf numFmtId="166" fontId="45" fillId="0" borderId="21" xfId="3" applyNumberFormat="1" applyFont="1" applyBorder="1" applyAlignment="1">
      <alignment horizontal="center"/>
    </xf>
    <xf numFmtId="2" fontId="41" fillId="0" borderId="0" xfId="3" applyNumberFormat="1" applyFont="1" applyAlignment="1">
      <alignment horizontal="center"/>
    </xf>
    <xf numFmtId="2" fontId="41" fillId="0" borderId="57" xfId="3" applyNumberFormat="1" applyFont="1" applyBorder="1" applyAlignment="1">
      <alignment horizontal="center"/>
    </xf>
    <xf numFmtId="166" fontId="8" fillId="0" borderId="13" xfId="3" applyNumberFormat="1" applyBorder="1" applyAlignment="1">
      <alignment horizontal="center"/>
    </xf>
    <xf numFmtId="2" fontId="8" fillId="0" borderId="1" xfId="3" applyNumberFormat="1" applyBorder="1" applyAlignment="1">
      <alignment horizontal="center"/>
    </xf>
    <xf numFmtId="165" fontId="8" fillId="0" borderId="2" xfId="3" applyBorder="1" applyAlignment="1">
      <alignment horizontal="center"/>
    </xf>
    <xf numFmtId="165" fontId="50" fillId="0" borderId="58" xfId="3" applyFont="1" applyBorder="1" applyAlignment="1">
      <alignment horizontal="center"/>
    </xf>
    <xf numFmtId="165" fontId="54" fillId="0" borderId="13" xfId="3" applyFont="1" applyBorder="1" applyAlignment="1">
      <alignment horizontal="center"/>
    </xf>
    <xf numFmtId="2" fontId="46" fillId="0" borderId="15" xfId="3" applyNumberFormat="1" applyFont="1" applyBorder="1" applyAlignment="1">
      <alignment horizontal="center"/>
    </xf>
    <xf numFmtId="2" fontId="46" fillId="0" borderId="2" xfId="3" applyNumberFormat="1" applyFont="1" applyBorder="1" applyAlignment="1">
      <alignment horizontal="center"/>
    </xf>
    <xf numFmtId="166" fontId="41" fillId="0" borderId="0" xfId="3" applyNumberFormat="1" applyFont="1" applyAlignment="1">
      <alignment horizontal="center"/>
    </xf>
    <xf numFmtId="1" fontId="8" fillId="0" borderId="58" xfId="3" applyNumberFormat="1" applyBorder="1" applyAlignment="1">
      <alignment horizontal="center"/>
    </xf>
    <xf numFmtId="166" fontId="55" fillId="0" borderId="59" xfId="3" applyNumberFormat="1" applyFont="1" applyBorder="1" applyAlignment="1">
      <alignment horizontal="center"/>
    </xf>
    <xf numFmtId="15" fontId="8" fillId="0" borderId="31" xfId="3" applyNumberFormat="1" applyBorder="1" applyAlignment="1">
      <alignment horizontal="center"/>
    </xf>
    <xf numFmtId="2" fontId="8" fillId="0" borderId="36" xfId="3" applyNumberFormat="1" applyBorder="1" applyAlignment="1">
      <alignment horizontal="center"/>
    </xf>
    <xf numFmtId="2" fontId="8" fillId="0" borderId="53" xfId="3" applyNumberFormat="1" applyBorder="1" applyAlignment="1">
      <alignment horizontal="center"/>
    </xf>
    <xf numFmtId="166" fontId="8" fillId="0" borderId="61" xfId="3" applyNumberFormat="1" applyBorder="1" applyAlignment="1">
      <alignment horizontal="center"/>
    </xf>
    <xf numFmtId="165" fontId="41" fillId="0" borderId="20" xfId="3" applyFont="1" applyBorder="1" applyAlignment="1">
      <alignment horizontal="left"/>
    </xf>
    <xf numFmtId="165" fontId="41" fillId="0" borderId="21" xfId="3" applyFont="1" applyBorder="1" applyAlignment="1">
      <alignment horizontal="center"/>
    </xf>
    <xf numFmtId="165" fontId="41" fillId="0" borderId="56" xfId="3" applyFont="1" applyBorder="1" applyAlignment="1">
      <alignment horizontal="center"/>
    </xf>
    <xf numFmtId="165" fontId="41" fillId="0" borderId="0" xfId="3" applyFont="1" applyAlignment="1">
      <alignment horizontal="center"/>
    </xf>
    <xf numFmtId="166" fontId="8" fillId="0" borderId="1" xfId="3" applyNumberFormat="1" applyBorder="1" applyAlignment="1">
      <alignment horizontal="right"/>
    </xf>
    <xf numFmtId="166" fontId="41" fillId="0" borderId="1" xfId="3" applyNumberFormat="1" applyFont="1" applyBorder="1" applyAlignment="1">
      <alignment horizontal="right"/>
    </xf>
    <xf numFmtId="166" fontId="8" fillId="0" borderId="59" xfId="3" applyNumberFormat="1" applyBorder="1"/>
    <xf numFmtId="165" fontId="56" fillId="0" borderId="13" xfId="3" applyFont="1" applyBorder="1" applyAlignment="1">
      <alignment horizontal="left"/>
    </xf>
    <xf numFmtId="166" fontId="55" fillId="0" borderId="1" xfId="3" applyNumberFormat="1" applyFont="1" applyBorder="1" applyAlignment="1">
      <alignment horizontal="right"/>
    </xf>
    <xf numFmtId="165" fontId="57" fillId="0" borderId="13" xfId="3" applyFont="1" applyBorder="1"/>
    <xf numFmtId="166" fontId="41" fillId="0" borderId="1" xfId="3" applyNumberFormat="1" applyFont="1" applyBorder="1"/>
    <xf numFmtId="166" fontId="46" fillId="0" borderId="1" xfId="3" applyNumberFormat="1" applyFont="1" applyBorder="1" applyAlignment="1">
      <alignment horizontal="right"/>
    </xf>
    <xf numFmtId="166" fontId="55" fillId="0" borderId="14" xfId="3" applyNumberFormat="1" applyFont="1" applyBorder="1"/>
    <xf numFmtId="165" fontId="58" fillId="0" borderId="31" xfId="3" applyFont="1" applyBorder="1"/>
    <xf numFmtId="166" fontId="8" fillId="0" borderId="32" xfId="3" applyNumberFormat="1" applyBorder="1" applyAlignment="1">
      <alignment horizontal="right"/>
    </xf>
    <xf numFmtId="166" fontId="41" fillId="0" borderId="14" xfId="3" applyNumberFormat="1" applyFont="1" applyBorder="1"/>
    <xf numFmtId="166" fontId="8" fillId="0" borderId="60" xfId="3" applyNumberFormat="1" applyBorder="1"/>
    <xf numFmtId="165" fontId="58" fillId="0" borderId="0" xfId="3" applyFont="1"/>
    <xf numFmtId="166" fontId="8" fillId="0" borderId="0" xfId="3" applyNumberFormat="1" applyAlignment="1">
      <alignment horizontal="right"/>
    </xf>
    <xf numFmtId="16" fontId="8" fillId="0" borderId="10" xfId="3" applyNumberFormat="1" applyBorder="1" applyAlignment="1">
      <alignment horizontal="center" vertical="center"/>
    </xf>
    <xf numFmtId="15" fontId="8" fillId="0" borderId="6" xfId="3" applyNumberFormat="1" applyBorder="1" applyAlignment="1">
      <alignment vertical="center"/>
    </xf>
    <xf numFmtId="2" fontId="8" fillId="0" borderId="1" xfId="3" applyNumberFormat="1" applyBorder="1" applyAlignment="1">
      <alignment horizontal="right" vertical="center"/>
    </xf>
    <xf numFmtId="166" fontId="8" fillId="0" borderId="1" xfId="3" applyNumberFormat="1" applyBorder="1" applyAlignment="1">
      <alignment horizontal="center" vertical="center"/>
    </xf>
    <xf numFmtId="170" fontId="8" fillId="0" borderId="6" xfId="3" applyNumberFormat="1" applyBorder="1" applyAlignment="1">
      <alignment vertical="center"/>
    </xf>
    <xf numFmtId="165" fontId="41" fillId="0" borderId="23" xfId="3" applyFont="1" applyBorder="1" applyAlignment="1">
      <alignment vertical="center" wrapText="1"/>
    </xf>
    <xf numFmtId="165" fontId="59" fillId="0" borderId="0" xfId="3" applyFont="1"/>
    <xf numFmtId="15" fontId="8" fillId="0" borderId="1" xfId="3" applyNumberFormat="1" applyBorder="1" applyAlignment="1">
      <alignment horizontal="center" vertical="center"/>
    </xf>
    <xf numFmtId="165" fontId="8" fillId="0" borderId="1" xfId="3" applyBorder="1"/>
    <xf numFmtId="165" fontId="60" fillId="0" borderId="43" xfId="3" applyFont="1" applyBorder="1" applyAlignment="1">
      <alignment vertical="center" wrapText="1"/>
    </xf>
    <xf numFmtId="2" fontId="8" fillId="0" borderId="1" xfId="3" applyNumberFormat="1" applyBorder="1" applyAlignment="1">
      <alignment horizontal="center" vertical="center"/>
    </xf>
    <xf numFmtId="2" fontId="8" fillId="0" borderId="1" xfId="3" applyNumberFormat="1" applyBorder="1" applyAlignment="1">
      <alignment horizontal="right"/>
    </xf>
    <xf numFmtId="165" fontId="41" fillId="0" borderId="43" xfId="3" applyFont="1" applyBorder="1" applyAlignment="1">
      <alignment vertical="center" wrapText="1"/>
    </xf>
    <xf numFmtId="165" fontId="53" fillId="0" borderId="13" xfId="3" applyFont="1" applyBorder="1"/>
    <xf numFmtId="165" fontId="53" fillId="0" borderId="52" xfId="3" applyFont="1" applyBorder="1"/>
    <xf numFmtId="165" fontId="8" fillId="0" borderId="14" xfId="3" applyBorder="1"/>
    <xf numFmtId="166" fontId="8" fillId="0" borderId="14" xfId="3" applyNumberFormat="1" applyBorder="1" applyAlignment="1">
      <alignment horizontal="right"/>
    </xf>
    <xf numFmtId="165" fontId="41" fillId="0" borderId="66" xfId="3" applyFont="1" applyBorder="1" applyAlignment="1">
      <alignment vertical="center" wrapText="1"/>
    </xf>
    <xf numFmtId="165" fontId="41" fillId="0" borderId="31" xfId="3" applyFont="1" applyBorder="1" applyAlignment="1">
      <alignment horizontal="center" shrinkToFit="1"/>
    </xf>
    <xf numFmtId="165" fontId="8" fillId="0" borderId="32" xfId="3" applyBorder="1" applyAlignment="1">
      <alignment horizontal="center"/>
    </xf>
    <xf numFmtId="15" fontId="8" fillId="0" borderId="39" xfId="3" applyNumberFormat="1" applyBorder="1"/>
    <xf numFmtId="165" fontId="8" fillId="0" borderId="32" xfId="3" applyBorder="1"/>
    <xf numFmtId="165" fontId="8" fillId="0" borderId="32" xfId="3" applyBorder="1" applyAlignment="1">
      <alignment horizontal="right"/>
    </xf>
    <xf numFmtId="165" fontId="41" fillId="0" borderId="54" xfId="3" applyFont="1" applyBorder="1" applyAlignment="1">
      <alignment vertical="center" wrapText="1"/>
    </xf>
    <xf numFmtId="165" fontId="41" fillId="0" borderId="0" xfId="3" applyFont="1" applyAlignment="1">
      <alignment horizontal="center" shrinkToFit="1"/>
    </xf>
    <xf numFmtId="165" fontId="41" fillId="0" borderId="0" xfId="3" applyFont="1" applyAlignment="1">
      <alignment vertical="center" wrapText="1"/>
    </xf>
    <xf numFmtId="165" fontId="39" fillId="0" borderId="50" xfId="3" applyFont="1" applyBorder="1" applyAlignment="1">
      <alignment horizontal="left"/>
    </xf>
    <xf numFmtId="165" fontId="39" fillId="0" borderId="10" xfId="3" applyFont="1" applyBorder="1" applyAlignment="1">
      <alignment horizontal="left"/>
    </xf>
    <xf numFmtId="165" fontId="39" fillId="0" borderId="12" xfId="3" applyFont="1" applyBorder="1" applyAlignment="1">
      <alignment horizontal="left"/>
    </xf>
    <xf numFmtId="165" fontId="41" fillId="0" borderId="10" xfId="3" applyFont="1" applyBorder="1" applyAlignment="1">
      <alignment horizontal="left"/>
    </xf>
    <xf numFmtId="165" fontId="41" fillId="0" borderId="12" xfId="3" applyFont="1" applyBorder="1" applyAlignment="1">
      <alignment horizontal="left"/>
    </xf>
    <xf numFmtId="2" fontId="62" fillId="0" borderId="1" xfId="4" applyNumberFormat="1" applyFont="1" applyBorder="1" applyAlignment="1">
      <alignment horizontal="right"/>
    </xf>
    <xf numFmtId="166" fontId="62" fillId="0" borderId="15" xfId="3" applyNumberFormat="1" applyFont="1" applyBorder="1" applyAlignment="1">
      <alignment horizontal="right"/>
    </xf>
    <xf numFmtId="170" fontId="8" fillId="0" borderId="52" xfId="4" applyNumberFormat="1" applyBorder="1" applyAlignment="1">
      <alignment horizontal="right" vertical="center"/>
    </xf>
    <xf numFmtId="170" fontId="55" fillId="0" borderId="1" xfId="3" applyNumberFormat="1" applyFont="1" applyBorder="1" applyAlignment="1">
      <alignment horizontal="right"/>
    </xf>
    <xf numFmtId="9" fontId="8" fillId="0" borderId="15" xfId="3" applyNumberFormat="1" applyBorder="1" applyAlignment="1">
      <alignment horizontal="right"/>
    </xf>
    <xf numFmtId="170" fontId="8" fillId="0" borderId="1" xfId="4" applyNumberFormat="1" applyBorder="1" applyAlignment="1">
      <alignment horizontal="right"/>
    </xf>
    <xf numFmtId="165" fontId="24" fillId="0" borderId="13" xfId="3" applyFont="1" applyBorder="1"/>
    <xf numFmtId="2" fontId="62" fillId="0" borderId="0" xfId="3" applyNumberFormat="1" applyFont="1" applyAlignment="1">
      <alignment horizontal="right"/>
    </xf>
    <xf numFmtId="165" fontId="31" fillId="0" borderId="52" xfId="3" applyFont="1" applyBorder="1" applyAlignment="1">
      <alignment horizontal="left"/>
    </xf>
    <xf numFmtId="166" fontId="62" fillId="0" borderId="51" xfId="3" applyNumberFormat="1" applyFont="1" applyBorder="1" applyAlignment="1">
      <alignment horizontal="right"/>
    </xf>
    <xf numFmtId="165" fontId="32" fillId="0" borderId="52" xfId="3" applyFont="1" applyBorder="1" applyAlignment="1">
      <alignment horizontal="left"/>
    </xf>
    <xf numFmtId="2" fontId="62" fillId="0" borderId="14" xfId="4" applyNumberFormat="1" applyFont="1" applyBorder="1" applyAlignment="1">
      <alignment horizontal="right"/>
    </xf>
    <xf numFmtId="170" fontId="8" fillId="0" borderId="14" xfId="4" applyNumberFormat="1" applyBorder="1" applyAlignment="1">
      <alignment horizontal="right"/>
    </xf>
    <xf numFmtId="9" fontId="8" fillId="0" borderId="51" xfId="3" applyNumberFormat="1" applyBorder="1" applyAlignment="1">
      <alignment horizontal="right"/>
    </xf>
    <xf numFmtId="2" fontId="62" fillId="0" borderId="32" xfId="3" applyNumberFormat="1" applyFont="1" applyBorder="1" applyAlignment="1">
      <alignment horizontal="right"/>
    </xf>
    <xf numFmtId="166" fontId="62" fillId="0" borderId="36" xfId="3" applyNumberFormat="1" applyFont="1" applyBorder="1" applyAlignment="1">
      <alignment horizontal="right"/>
    </xf>
    <xf numFmtId="170" fontId="8" fillId="0" borderId="32" xfId="3" applyNumberFormat="1" applyBorder="1" applyAlignment="1">
      <alignment horizontal="right"/>
    </xf>
    <xf numFmtId="9" fontId="8" fillId="0" borderId="36" xfId="3" applyNumberFormat="1" applyBorder="1" applyAlignment="1">
      <alignment horizontal="right"/>
    </xf>
    <xf numFmtId="165" fontId="62" fillId="0" borderId="0" xfId="3" applyFont="1"/>
    <xf numFmtId="165" fontId="62" fillId="0" borderId="0" xfId="3" applyFont="1" applyAlignment="1">
      <alignment horizontal="right"/>
    </xf>
    <xf numFmtId="2" fontId="39" fillId="0" borderId="0" xfId="3" applyNumberFormat="1" applyFont="1" applyAlignment="1">
      <alignment horizontal="right"/>
    </xf>
    <xf numFmtId="2" fontId="41" fillId="0" borderId="0" xfId="3" applyNumberFormat="1" applyFont="1" applyAlignment="1">
      <alignment horizontal="right"/>
    </xf>
    <xf numFmtId="165" fontId="8" fillId="0" borderId="0" xfId="3" applyAlignment="1">
      <alignment horizontal="right"/>
    </xf>
    <xf numFmtId="165" fontId="63" fillId="0" borderId="0" xfId="3" applyFont="1"/>
    <xf numFmtId="165" fontId="54" fillId="0" borderId="0" xfId="0" applyFont="1"/>
    <xf numFmtId="165" fontId="54" fillId="0" borderId="0" xfId="0" applyFont="1" applyAlignment="1">
      <alignment horizontal="center"/>
    </xf>
    <xf numFmtId="165" fontId="64" fillId="3" borderId="1" xfId="0" applyFont="1" applyFill="1" applyBorder="1"/>
    <xf numFmtId="165" fontId="64" fillId="9" borderId="1" xfId="0" applyFont="1" applyFill="1" applyBorder="1" applyAlignment="1">
      <alignment horizontal="center"/>
    </xf>
    <xf numFmtId="165" fontId="0" fillId="0" borderId="0" xfId="0" applyAlignment="1">
      <alignment horizontal="center"/>
    </xf>
    <xf numFmtId="166" fontId="54" fillId="3" borderId="1" xfId="0" applyNumberFormat="1" applyFont="1" applyFill="1" applyBorder="1" applyAlignment="1">
      <alignment horizontal="center"/>
    </xf>
    <xf numFmtId="40" fontId="54" fillId="10" borderId="27" xfId="1" applyNumberFormat="1" applyFont="1" applyFill="1" applyBorder="1" applyAlignment="1">
      <alignment horizontal="center"/>
    </xf>
    <xf numFmtId="2" fontId="54" fillId="11" borderId="1" xfId="0" applyNumberFormat="1" applyFont="1" applyFill="1" applyBorder="1" applyAlignment="1">
      <alignment horizontal="center"/>
    </xf>
    <xf numFmtId="2" fontId="54" fillId="0" borderId="1" xfId="0" applyNumberFormat="1" applyFont="1" applyBorder="1" applyAlignment="1">
      <alignment horizontal="center"/>
    </xf>
    <xf numFmtId="40" fontId="54" fillId="12" borderId="27" xfId="1" applyNumberFormat="1" applyFont="1" applyFill="1" applyBorder="1" applyAlignment="1">
      <alignment horizontal="center"/>
    </xf>
    <xf numFmtId="40" fontId="54" fillId="13" borderId="27" xfId="1" applyNumberFormat="1" applyFont="1" applyFill="1" applyBorder="1" applyAlignment="1">
      <alignment horizontal="center"/>
    </xf>
    <xf numFmtId="40" fontId="54" fillId="14" borderId="27" xfId="1" applyNumberFormat="1" applyFont="1" applyFill="1" applyBorder="1" applyAlignment="1">
      <alignment horizontal="center"/>
    </xf>
    <xf numFmtId="40" fontId="54" fillId="15" borderId="27" xfId="1" applyNumberFormat="1" applyFont="1" applyFill="1" applyBorder="1" applyAlignment="1">
      <alignment horizontal="center"/>
    </xf>
    <xf numFmtId="40" fontId="54" fillId="16" borderId="27" xfId="1" applyNumberFormat="1" applyFont="1" applyFill="1" applyBorder="1" applyAlignment="1">
      <alignment horizontal="center"/>
    </xf>
    <xf numFmtId="40" fontId="54" fillId="17" borderId="27" xfId="1" applyNumberFormat="1" applyFont="1" applyFill="1" applyBorder="1" applyAlignment="1">
      <alignment horizontal="center"/>
    </xf>
    <xf numFmtId="40" fontId="54" fillId="18" borderId="27" xfId="1" applyNumberFormat="1" applyFont="1" applyFill="1" applyBorder="1" applyAlignment="1">
      <alignment horizontal="center"/>
    </xf>
    <xf numFmtId="166" fontId="64" fillId="4" borderId="1" xfId="0" applyNumberFormat="1" applyFont="1" applyFill="1" applyBorder="1" applyAlignment="1">
      <alignment horizontal="center"/>
    </xf>
    <xf numFmtId="165" fontId="64" fillId="19" borderId="1" xfId="0" applyFont="1" applyFill="1" applyBorder="1" applyAlignment="1">
      <alignment horizontal="center"/>
    </xf>
    <xf numFmtId="2" fontId="64" fillId="19" borderId="1" xfId="0" applyNumberFormat="1" applyFont="1" applyFill="1" applyBorder="1" applyAlignment="1">
      <alignment horizontal="center"/>
    </xf>
    <xf numFmtId="2" fontId="64" fillId="0" borderId="1" xfId="0" applyNumberFormat="1" applyFont="1" applyBorder="1" applyAlignment="1">
      <alignment horizontal="center"/>
    </xf>
    <xf numFmtId="165" fontId="64" fillId="9" borderId="3" xfId="0" applyFont="1" applyFill="1" applyBorder="1" applyAlignment="1">
      <alignment horizontal="center"/>
    </xf>
    <xf numFmtId="40" fontId="54" fillId="10" borderId="68" xfId="1" applyNumberFormat="1" applyFont="1" applyFill="1" applyBorder="1" applyAlignment="1">
      <alignment horizontal="center"/>
    </xf>
    <xf numFmtId="2" fontId="54" fillId="11" borderId="1" xfId="0" applyNumberFormat="1" applyFont="1" applyFill="1" applyBorder="1"/>
    <xf numFmtId="40" fontId="54" fillId="12" borderId="68" xfId="1" applyNumberFormat="1" applyFont="1" applyFill="1" applyBorder="1" applyAlignment="1">
      <alignment horizontal="center"/>
    </xf>
    <xf numFmtId="2" fontId="54" fillId="0" borderId="1" xfId="0" applyNumberFormat="1" applyFont="1" applyBorder="1"/>
    <xf numFmtId="40" fontId="54" fillId="13" borderId="68" xfId="1" applyNumberFormat="1" applyFont="1" applyFill="1" applyBorder="1" applyAlignment="1">
      <alignment horizontal="center"/>
    </xf>
    <xf numFmtId="40" fontId="54" fillId="14" borderId="68" xfId="1" applyNumberFormat="1" applyFont="1" applyFill="1" applyBorder="1" applyAlignment="1">
      <alignment horizontal="center"/>
    </xf>
    <xf numFmtId="40" fontId="54" fillId="15" borderId="68" xfId="1" applyNumberFormat="1" applyFont="1" applyFill="1" applyBorder="1" applyAlignment="1">
      <alignment horizontal="center"/>
    </xf>
    <xf numFmtId="2" fontId="54" fillId="11" borderId="1" xfId="0" applyNumberFormat="1" applyFont="1" applyFill="1" applyBorder="1" applyAlignment="1">
      <alignment horizontal="right"/>
    </xf>
    <xf numFmtId="40" fontId="54" fillId="16" borderId="68" xfId="1" applyNumberFormat="1" applyFont="1" applyFill="1" applyBorder="1" applyAlignment="1">
      <alignment horizontal="center"/>
    </xf>
    <xf numFmtId="2" fontId="54" fillId="0" borderId="1" xfId="0" applyNumberFormat="1" applyFont="1" applyBorder="1" applyAlignment="1">
      <alignment horizontal="right"/>
    </xf>
    <xf numFmtId="40" fontId="54" fillId="17" borderId="68" xfId="1" applyNumberFormat="1" applyFont="1" applyFill="1" applyBorder="1" applyAlignment="1">
      <alignment horizontal="center"/>
    </xf>
    <xf numFmtId="40" fontId="54" fillId="18" borderId="68" xfId="1" applyNumberFormat="1" applyFont="1" applyFill="1" applyBorder="1" applyAlignment="1">
      <alignment horizontal="center"/>
    </xf>
    <xf numFmtId="165" fontId="64" fillId="19" borderId="3" xfId="0" applyFont="1" applyFill="1" applyBorder="1"/>
    <xf numFmtId="2" fontId="64" fillId="19" borderId="1" xfId="0" applyNumberFormat="1" applyFont="1" applyFill="1" applyBorder="1"/>
    <xf numFmtId="165" fontId="7" fillId="0" borderId="0" xfId="0" applyFont="1"/>
    <xf numFmtId="165" fontId="11" fillId="0" borderId="0" xfId="0" applyFont="1"/>
    <xf numFmtId="165" fontId="66" fillId="0" borderId="0" xfId="0" applyFont="1"/>
    <xf numFmtId="165" fontId="67" fillId="19" borderId="70" xfId="0" applyFont="1" applyFill="1" applyBorder="1" applyAlignment="1">
      <alignment vertical="center"/>
    </xf>
    <xf numFmtId="165" fontId="67" fillId="19" borderId="71" xfId="0" applyFont="1" applyFill="1" applyBorder="1" applyAlignment="1">
      <alignment vertical="center"/>
    </xf>
    <xf numFmtId="165" fontId="67" fillId="19" borderId="72" xfId="0" applyFont="1" applyFill="1" applyBorder="1" applyAlignment="1">
      <alignment vertical="center"/>
    </xf>
    <xf numFmtId="165" fontId="67" fillId="21" borderId="72" xfId="0" applyFont="1" applyFill="1" applyBorder="1" applyAlignment="1">
      <alignment vertical="center"/>
    </xf>
    <xf numFmtId="165" fontId="68" fillId="0" borderId="50" xfId="0" applyFont="1" applyBorder="1"/>
    <xf numFmtId="2" fontId="69" fillId="0" borderId="12" xfId="0" applyNumberFormat="1" applyFont="1" applyBorder="1"/>
    <xf numFmtId="2" fontId="69" fillId="0" borderId="10" xfId="0" applyNumberFormat="1" applyFont="1" applyBorder="1"/>
    <xf numFmtId="2" fontId="69" fillId="6" borderId="10" xfId="0" applyNumberFormat="1" applyFont="1" applyFill="1" applyBorder="1"/>
    <xf numFmtId="166" fontId="68" fillId="21" borderId="12" xfId="0" applyNumberFormat="1" applyFont="1" applyFill="1" applyBorder="1"/>
    <xf numFmtId="2" fontId="70" fillId="0" borderId="73" xfId="0" applyNumberFormat="1" applyFont="1" applyBorder="1"/>
    <xf numFmtId="165" fontId="68" fillId="0" borderId="13" xfId="0" applyFont="1" applyBorder="1"/>
    <xf numFmtId="165" fontId="71" fillId="20" borderId="38" xfId="0" applyFont="1" applyFill="1" applyBorder="1" applyAlignment="1">
      <alignment vertical="center"/>
    </xf>
    <xf numFmtId="2" fontId="72" fillId="20" borderId="39" xfId="0" applyNumberFormat="1" applyFont="1" applyFill="1" applyBorder="1" applyAlignment="1">
      <alignment vertical="center"/>
    </xf>
    <xf numFmtId="165" fontId="67" fillId="22" borderId="72" xfId="0" applyFont="1" applyFill="1" applyBorder="1" applyAlignment="1">
      <alignment vertical="center"/>
    </xf>
    <xf numFmtId="2" fontId="69" fillId="0" borderId="12" xfId="0" applyNumberFormat="1" applyFont="1" applyBorder="1" applyAlignment="1">
      <alignment horizontal="right" vertical="center"/>
    </xf>
    <xf numFmtId="2" fontId="75" fillId="22" borderId="12" xfId="0" applyNumberFormat="1" applyFont="1" applyFill="1" applyBorder="1"/>
    <xf numFmtId="165" fontId="71" fillId="20" borderId="31" xfId="0" applyFont="1" applyFill="1" applyBorder="1" applyAlignment="1">
      <alignment vertical="center"/>
    </xf>
    <xf numFmtId="2" fontId="72" fillId="20" borderId="32" xfId="0" applyNumberFormat="1" applyFont="1" applyFill="1" applyBorder="1" applyAlignment="1">
      <alignment vertical="center"/>
    </xf>
    <xf numFmtId="2" fontId="72" fillId="22" borderId="36" xfId="0" applyNumberFormat="1" applyFont="1" applyFill="1" applyBorder="1" applyAlignment="1">
      <alignment vertical="center"/>
    </xf>
    <xf numFmtId="165" fontId="10" fillId="0" borderId="0" xfId="3" applyFont="1" applyAlignment="1">
      <alignment horizontal="center" vertical="center"/>
    </xf>
    <xf numFmtId="1" fontId="11" fillId="3" borderId="1" xfId="0" applyNumberFormat="1" applyFont="1" applyFill="1" applyBorder="1" applyAlignment="1">
      <alignment horizontal="center"/>
    </xf>
    <xf numFmtId="166" fontId="11" fillId="3" borderId="14" xfId="0" applyNumberFormat="1" applyFont="1" applyFill="1" applyBorder="1"/>
    <xf numFmtId="165" fontId="9" fillId="0" borderId="0" xfId="3" applyFont="1"/>
    <xf numFmtId="1" fontId="9" fillId="0" borderId="1" xfId="3" applyNumberFormat="1" applyFont="1" applyBorder="1" applyAlignment="1">
      <alignment horizontal="center" vertical="center"/>
    </xf>
    <xf numFmtId="165" fontId="9" fillId="0" borderId="0" xfId="3" applyFont="1" applyAlignment="1">
      <alignment vertical="center"/>
    </xf>
    <xf numFmtId="1" fontId="10" fillId="0" borderId="1" xfId="3" applyNumberFormat="1" applyFont="1" applyBorder="1" applyAlignment="1">
      <alignment horizontal="center" vertical="center"/>
    </xf>
    <xf numFmtId="166" fontId="9" fillId="0" borderId="1" xfId="3" applyNumberFormat="1" applyFont="1" applyBorder="1" applyAlignment="1">
      <alignment horizontal="center" vertical="center"/>
    </xf>
    <xf numFmtId="166" fontId="10" fillId="0" borderId="14" xfId="3" applyNumberFormat="1" applyFont="1" applyBorder="1" applyAlignment="1">
      <alignment horizontal="center" vertical="center"/>
    </xf>
    <xf numFmtId="2" fontId="10" fillId="0" borderId="1" xfId="3" applyNumberFormat="1" applyFont="1" applyBorder="1" applyAlignment="1">
      <alignment horizontal="center" vertical="center"/>
    </xf>
    <xf numFmtId="2" fontId="10" fillId="0" borderId="1" xfId="3" applyNumberFormat="1" applyFont="1" applyBorder="1" applyAlignment="1">
      <alignment horizontal="right"/>
    </xf>
    <xf numFmtId="16" fontId="9" fillId="0" borderId="10" xfId="3" applyNumberFormat="1" applyFont="1" applyBorder="1" applyAlignment="1">
      <alignment horizontal="center" vertical="center"/>
    </xf>
    <xf numFmtId="1" fontId="10" fillId="0" borderId="1" xfId="3" applyNumberFormat="1" applyFont="1" applyBorder="1" applyAlignment="1">
      <alignment horizontal="right"/>
    </xf>
    <xf numFmtId="166" fontId="11" fillId="23" borderId="0" xfId="0" applyNumberFormat="1" applyFont="1" applyFill="1"/>
    <xf numFmtId="170" fontId="9" fillId="0" borderId="42" xfId="4" applyNumberFormat="1" applyFont="1" applyFill="1" applyBorder="1" applyAlignment="1">
      <alignment horizontal="center" vertical="center"/>
    </xf>
    <xf numFmtId="165" fontId="27" fillId="4" borderId="1" xfId="3" applyFont="1" applyFill="1" applyBorder="1" applyAlignment="1">
      <alignment horizontal="left"/>
    </xf>
    <xf numFmtId="165" fontId="29" fillId="4" borderId="1" xfId="3" applyFont="1" applyFill="1" applyBorder="1"/>
    <xf numFmtId="165" fontId="24" fillId="4" borderId="1" xfId="3" applyFont="1" applyFill="1" applyBorder="1" applyAlignment="1">
      <alignment horizontal="left"/>
    </xf>
    <xf numFmtId="165" fontId="30" fillId="4" borderId="1" xfId="3" applyFont="1" applyFill="1" applyBorder="1"/>
    <xf numFmtId="165" fontId="31" fillId="4" borderId="1" xfId="3" applyFont="1" applyFill="1" applyBorder="1" applyAlignment="1">
      <alignment horizontal="left"/>
    </xf>
    <xf numFmtId="165" fontId="10" fillId="4" borderId="1" xfId="3" applyFont="1" applyFill="1" applyBorder="1" applyAlignment="1">
      <alignment horizontal="left" vertical="center" wrapText="1"/>
    </xf>
    <xf numFmtId="1" fontId="10" fillId="4" borderId="1" xfId="3" applyNumberFormat="1" applyFont="1" applyFill="1" applyBorder="1" applyAlignment="1">
      <alignment horizontal="center" vertical="center" wrapText="1"/>
    </xf>
    <xf numFmtId="165" fontId="10" fillId="0" borderId="0" xfId="3" applyFont="1" applyAlignment="1">
      <alignment horizontal="center"/>
    </xf>
    <xf numFmtId="165" fontId="78" fillId="4" borderId="1" xfId="3" applyFont="1" applyFill="1" applyBorder="1" applyAlignment="1">
      <alignment horizontal="left"/>
    </xf>
    <xf numFmtId="166" fontId="11" fillId="0" borderId="0" xfId="0" applyNumberFormat="1" applyFont="1" applyAlignment="1">
      <alignment vertical="center"/>
    </xf>
    <xf numFmtId="167" fontId="10" fillId="0" borderId="0" xfId="3" applyNumberFormat="1" applyFont="1" applyAlignment="1">
      <alignment horizontal="right" vertical="center"/>
    </xf>
    <xf numFmtId="166" fontId="72" fillId="20" borderId="39" xfId="0" applyNumberFormat="1" applyFont="1" applyFill="1" applyBorder="1" applyAlignment="1">
      <alignment vertical="center"/>
    </xf>
    <xf numFmtId="166" fontId="70" fillId="0" borderId="73" xfId="0" applyNumberFormat="1" applyFont="1" applyBorder="1"/>
    <xf numFmtId="1" fontId="70" fillId="0" borderId="73" xfId="0" applyNumberFormat="1" applyFont="1" applyBorder="1"/>
    <xf numFmtId="14" fontId="10" fillId="0" borderId="0" xfId="3" applyNumberFormat="1" applyFont="1"/>
    <xf numFmtId="166" fontId="10" fillId="0" borderId="1" xfId="3" applyNumberFormat="1" applyFont="1" applyBorder="1" applyAlignment="1">
      <alignment horizontal="right"/>
    </xf>
    <xf numFmtId="4" fontId="9" fillId="0" borderId="11" xfId="3" applyNumberFormat="1" applyFont="1" applyBorder="1" applyAlignment="1">
      <alignment horizontal="center" vertical="center"/>
    </xf>
    <xf numFmtId="4" fontId="9" fillId="0" borderId="1" xfId="3" applyNumberFormat="1" applyFont="1" applyBorder="1" applyAlignment="1">
      <alignment horizontal="center" vertical="center"/>
    </xf>
    <xf numFmtId="166" fontId="10" fillId="0" borderId="14" xfId="3" applyNumberFormat="1" applyFont="1" applyBorder="1" applyAlignment="1">
      <alignment horizontal="right"/>
    </xf>
    <xf numFmtId="165" fontId="79" fillId="0" borderId="52" xfId="3" applyFont="1" applyBorder="1"/>
    <xf numFmtId="20" fontId="10" fillId="4" borderId="18" xfId="0" applyNumberFormat="1" applyFont="1" applyFill="1" applyBorder="1" applyAlignment="1">
      <alignment horizontal="center" vertical="center" wrapText="1"/>
    </xf>
    <xf numFmtId="1" fontId="10" fillId="0" borderId="63" xfId="3" applyNumberFormat="1" applyFont="1" applyBorder="1" applyAlignment="1">
      <alignment horizontal="center"/>
    </xf>
    <xf numFmtId="16" fontId="9" fillId="0" borderId="77" xfId="3" applyNumberFormat="1" applyFont="1" applyBorder="1" applyAlignment="1">
      <alignment vertical="center"/>
    </xf>
    <xf numFmtId="16" fontId="9" fillId="0" borderId="32" xfId="3" applyNumberFormat="1" applyFont="1" applyBorder="1" applyAlignment="1">
      <alignment vertical="center"/>
    </xf>
    <xf numFmtId="165" fontId="10" fillId="0" borderId="3" xfId="3" applyFont="1" applyBorder="1" applyAlignment="1">
      <alignment horizontal="center"/>
    </xf>
    <xf numFmtId="2" fontId="10" fillId="7" borderId="34" xfId="3" applyNumberFormat="1" applyFont="1" applyFill="1" applyBorder="1" applyAlignment="1">
      <alignment horizontal="center" vertical="center"/>
    </xf>
    <xf numFmtId="2" fontId="26" fillId="7" borderId="34" xfId="3" applyNumberFormat="1" applyFont="1" applyFill="1" applyBorder="1" applyAlignment="1">
      <alignment horizontal="center" vertical="center"/>
    </xf>
    <xf numFmtId="2" fontId="80" fillId="0" borderId="1" xfId="3" applyNumberFormat="1" applyFont="1" applyBorder="1" applyAlignment="1">
      <alignment horizontal="center" vertical="center"/>
    </xf>
    <xf numFmtId="2" fontId="9" fillId="0" borderId="0" xfId="3" applyNumberFormat="1" applyFont="1"/>
    <xf numFmtId="165" fontId="68" fillId="0" borderId="52" xfId="0" applyFont="1" applyBorder="1"/>
    <xf numFmtId="2" fontId="69" fillId="0" borderId="76" xfId="0" applyNumberFormat="1" applyFont="1" applyBorder="1"/>
    <xf numFmtId="2" fontId="69" fillId="0" borderId="80" xfId="0" applyNumberFormat="1" applyFont="1" applyBorder="1"/>
    <xf numFmtId="2" fontId="75" fillId="22" borderId="81" xfId="0" applyNumberFormat="1" applyFont="1" applyFill="1" applyBorder="1"/>
    <xf numFmtId="2" fontId="32" fillId="0" borderId="10" xfId="4" applyNumberFormat="1" applyFont="1" applyFill="1" applyBorder="1" applyAlignment="1">
      <alignment horizontal="center" vertical="center"/>
    </xf>
    <xf numFmtId="2" fontId="32" fillId="0" borderId="2" xfId="4" applyNumberFormat="1" applyFont="1" applyBorder="1" applyAlignment="1">
      <alignment horizontal="center" vertical="center"/>
    </xf>
    <xf numFmtId="2" fontId="32" fillId="0" borderId="2" xfId="4" applyNumberFormat="1" applyFont="1" applyFill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/>
    </xf>
    <xf numFmtId="1" fontId="10" fillId="0" borderId="1" xfId="3" applyNumberFormat="1" applyFont="1" applyBorder="1" applyAlignment="1">
      <alignment horizontal="center"/>
    </xf>
    <xf numFmtId="1" fontId="10" fillId="0" borderId="18" xfId="3" applyNumberFormat="1" applyFont="1" applyBorder="1" applyAlignment="1">
      <alignment horizontal="center"/>
    </xf>
    <xf numFmtId="166" fontId="10" fillId="0" borderId="14" xfId="3" applyNumberFormat="1" applyFont="1" applyBorder="1" applyAlignment="1">
      <alignment horizontal="center"/>
    </xf>
    <xf numFmtId="166" fontId="10" fillId="0" borderId="32" xfId="3" applyNumberFormat="1" applyFont="1" applyBorder="1" applyAlignment="1">
      <alignment horizontal="center"/>
    </xf>
    <xf numFmtId="166" fontId="10" fillId="0" borderId="14" xfId="3" applyNumberFormat="1" applyFont="1" applyBorder="1"/>
    <xf numFmtId="166" fontId="10" fillId="4" borderId="33" xfId="3" applyNumberFormat="1" applyFont="1" applyFill="1" applyBorder="1"/>
    <xf numFmtId="1" fontId="10" fillId="4" borderId="33" xfId="3" applyNumberFormat="1" applyFont="1" applyFill="1" applyBorder="1"/>
    <xf numFmtId="2" fontId="69" fillId="4" borderId="12" xfId="0" applyNumberFormat="1" applyFont="1" applyFill="1" applyBorder="1"/>
    <xf numFmtId="2" fontId="69" fillId="4" borderId="12" xfId="0" quotePrefix="1" applyNumberFormat="1" applyFont="1" applyFill="1" applyBorder="1"/>
    <xf numFmtId="2" fontId="69" fillId="4" borderId="80" xfId="0" applyNumberFormat="1" applyFont="1" applyFill="1" applyBorder="1"/>
    <xf numFmtId="2" fontId="9" fillId="0" borderId="0" xfId="3" applyNumberFormat="1" applyFont="1" applyAlignment="1">
      <alignment wrapText="1"/>
    </xf>
    <xf numFmtId="165" fontId="8" fillId="0" borderId="0" xfId="3" applyAlignment="1">
      <alignment horizontal="left"/>
    </xf>
    <xf numFmtId="2" fontId="8" fillId="0" borderId="60" xfId="3" applyNumberFormat="1" applyBorder="1" applyAlignment="1">
      <alignment horizontal="center"/>
    </xf>
    <xf numFmtId="2" fontId="41" fillId="0" borderId="26" xfId="3" applyNumberFormat="1" applyFont="1" applyBorder="1" applyAlignment="1">
      <alignment horizontal="center"/>
    </xf>
    <xf numFmtId="165" fontId="8" fillId="0" borderId="56" xfId="3" applyBorder="1" applyAlignment="1">
      <alignment horizontal="center"/>
    </xf>
    <xf numFmtId="165" fontId="10" fillId="0" borderId="1" xfId="3" applyFont="1" applyBorder="1" applyAlignment="1">
      <alignment horizontal="center" vertical="center" wrapText="1"/>
    </xf>
    <xf numFmtId="1" fontId="9" fillId="0" borderId="1" xfId="3" applyNumberFormat="1" applyFont="1" applyBorder="1"/>
    <xf numFmtId="2" fontId="36" fillId="23" borderId="1" xfId="3" applyNumberFormat="1" applyFont="1" applyFill="1" applyBorder="1" applyAlignment="1">
      <alignment horizontal="right"/>
    </xf>
    <xf numFmtId="2" fontId="10" fillId="23" borderId="21" xfId="3" applyNumberFormat="1" applyFont="1" applyFill="1" applyBorder="1" applyAlignment="1">
      <alignment horizontal="right"/>
    </xf>
    <xf numFmtId="20" fontId="10" fillId="4" borderId="17" xfId="0" applyNumberFormat="1" applyFont="1" applyFill="1" applyBorder="1" applyAlignment="1">
      <alignment horizontal="center" vertical="center" wrapText="1"/>
    </xf>
    <xf numFmtId="1" fontId="10" fillId="0" borderId="19" xfId="3" applyNumberFormat="1" applyFont="1" applyBorder="1" applyAlignment="1">
      <alignment horizontal="center"/>
    </xf>
    <xf numFmtId="165" fontId="28" fillId="4" borderId="1" xfId="3" applyFont="1" applyFill="1" applyBorder="1"/>
    <xf numFmtId="2" fontId="77" fillId="6" borderId="1" xfId="3" applyNumberFormat="1" applyFont="1" applyFill="1" applyBorder="1"/>
    <xf numFmtId="0" fontId="23" fillId="0" borderId="59" xfId="3" applyNumberFormat="1" applyFont="1" applyBorder="1" applyAlignment="1">
      <alignment vertical="top" wrapText="1"/>
    </xf>
    <xf numFmtId="166" fontId="10" fillId="0" borderId="0" xfId="3" applyNumberFormat="1" applyFont="1"/>
    <xf numFmtId="2" fontId="26" fillId="0" borderId="43" xfId="3" applyNumberFormat="1" applyFont="1" applyBorder="1" applyAlignment="1">
      <alignment horizontal="center" vertical="center"/>
    </xf>
    <xf numFmtId="2" fontId="26" fillId="0" borderId="54" xfId="3" applyNumberFormat="1" applyFont="1" applyBorder="1" applyAlignment="1">
      <alignment horizontal="center" vertical="center"/>
    </xf>
    <xf numFmtId="1" fontId="10" fillId="0" borderId="0" xfId="3" applyNumberFormat="1" applyFont="1"/>
    <xf numFmtId="2" fontId="10" fillId="0" borderId="76" xfId="6" applyNumberFormat="1" applyFont="1" applyBorder="1" applyAlignment="1">
      <alignment horizontal="center" vertical="center"/>
    </xf>
    <xf numFmtId="2" fontId="10" fillId="0" borderId="80" xfId="3" applyNumberFormat="1" applyFont="1" applyBorder="1" applyAlignment="1">
      <alignment horizontal="center" vertical="center"/>
    </xf>
    <xf numFmtId="165" fontId="10" fillId="0" borderId="1" xfId="3" applyFont="1" applyBorder="1" applyAlignment="1">
      <alignment vertical="center" wrapText="1"/>
    </xf>
    <xf numFmtId="165" fontId="10" fillId="0" borderId="0" xfId="3" applyFont="1" applyAlignment="1">
      <alignment horizontal="left"/>
    </xf>
    <xf numFmtId="165" fontId="10" fillId="0" borderId="6" xfId="3" applyFont="1" applyBorder="1" applyAlignment="1">
      <alignment horizontal="center" vertical="center" wrapText="1"/>
    </xf>
    <xf numFmtId="165" fontId="10" fillId="0" borderId="10" xfId="3" applyFont="1" applyBorder="1" applyAlignment="1">
      <alignment horizontal="center" vertical="center" wrapText="1"/>
    </xf>
    <xf numFmtId="165" fontId="10" fillId="0" borderId="4" xfId="3" applyFont="1" applyBorder="1" applyAlignment="1">
      <alignment horizontal="center"/>
    </xf>
    <xf numFmtId="165" fontId="10" fillId="0" borderId="7" xfId="3" applyFont="1" applyBorder="1" applyAlignment="1">
      <alignment horizontal="center" vertical="center" wrapText="1"/>
    </xf>
    <xf numFmtId="2" fontId="10" fillId="4" borderId="23" xfId="3" applyNumberFormat="1" applyFont="1" applyFill="1" applyBorder="1" applyAlignment="1">
      <alignment horizontal="center" vertical="center"/>
    </xf>
    <xf numFmtId="165" fontId="27" fillId="0" borderId="13" xfId="3" applyFont="1" applyBorder="1" applyAlignment="1">
      <alignment horizontal="left" vertical="center"/>
    </xf>
    <xf numFmtId="2" fontId="26" fillId="0" borderId="35" xfId="3" applyNumberFormat="1" applyFont="1" applyBorder="1" applyAlignment="1">
      <alignment horizontal="center" vertical="center"/>
    </xf>
    <xf numFmtId="2" fontId="10" fillId="7" borderId="0" xfId="3" applyNumberFormat="1" applyFont="1" applyFill="1" applyAlignment="1">
      <alignment horizontal="center" vertical="center"/>
    </xf>
    <xf numFmtId="2" fontId="26" fillId="7" borderId="0" xfId="3" applyNumberFormat="1" applyFont="1" applyFill="1" applyAlignment="1">
      <alignment horizontal="center" vertical="center"/>
    </xf>
    <xf numFmtId="166" fontId="10" fillId="7" borderId="0" xfId="3" applyNumberFormat="1" applyFont="1" applyFill="1" applyAlignment="1">
      <alignment horizontal="center" vertical="center"/>
    </xf>
    <xf numFmtId="16" fontId="9" fillId="0" borderId="1" xfId="3" applyNumberFormat="1" applyFont="1" applyBorder="1" applyAlignment="1">
      <alignment horizontal="center" vertical="center"/>
    </xf>
    <xf numFmtId="166" fontId="9" fillId="4" borderId="1" xfId="3" applyNumberFormat="1" applyFont="1" applyFill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 vertical="center"/>
    </xf>
    <xf numFmtId="1" fontId="32" fillId="0" borderId="1" xfId="3" applyNumberFormat="1" applyFont="1" applyBorder="1" applyAlignment="1">
      <alignment vertical="center" wrapText="1"/>
    </xf>
    <xf numFmtId="167" fontId="22" fillId="5" borderId="11" xfId="3" applyNumberFormat="1" applyFont="1" applyFill="1" applyBorder="1" applyAlignment="1">
      <alignment horizontal="center" vertical="center"/>
    </xf>
    <xf numFmtId="165" fontId="9" fillId="0" borderId="2" xfId="3" applyFont="1" applyBorder="1" applyAlignment="1">
      <alignment vertical="center"/>
    </xf>
    <xf numFmtId="170" fontId="9" fillId="0" borderId="1" xfId="4" applyNumberFormat="1" applyFont="1" applyBorder="1" applyAlignment="1">
      <alignment horizontal="center" vertical="center"/>
    </xf>
    <xf numFmtId="165" fontId="21" fillId="0" borderId="13" xfId="3" applyFont="1" applyBorder="1"/>
    <xf numFmtId="167" fontId="22" fillId="0" borderId="11" xfId="3" applyNumberFormat="1" applyFont="1" applyBorder="1" applyAlignment="1">
      <alignment horizontal="center" vertical="center"/>
    </xf>
    <xf numFmtId="1" fontId="32" fillId="0" borderId="51" xfId="3" applyNumberFormat="1" applyFont="1" applyBorder="1" applyAlignment="1">
      <alignment vertical="center" wrapText="1"/>
    </xf>
    <xf numFmtId="170" fontId="9" fillId="0" borderId="3" xfId="4" applyNumberFormat="1" applyFont="1" applyBorder="1" applyAlignment="1">
      <alignment horizontal="center" vertical="center"/>
    </xf>
    <xf numFmtId="4" fontId="9" fillId="0" borderId="10" xfId="3" applyNumberFormat="1" applyFont="1" applyBorder="1" applyAlignment="1">
      <alignment horizontal="center" vertical="center"/>
    </xf>
    <xf numFmtId="171" fontId="9" fillId="0" borderId="10" xfId="3" applyNumberFormat="1" applyFont="1" applyBorder="1" applyAlignment="1">
      <alignment horizontal="center" vertical="center"/>
    </xf>
    <xf numFmtId="2" fontId="9" fillId="0" borderId="10" xfId="3" applyNumberFormat="1" applyFont="1" applyBorder="1" applyAlignment="1">
      <alignment horizontal="center" vertical="center"/>
    </xf>
    <xf numFmtId="170" fontId="9" fillId="0" borderId="10" xfId="4" applyNumberFormat="1" applyFont="1" applyBorder="1" applyAlignment="1">
      <alignment horizontal="center" vertical="center"/>
    </xf>
    <xf numFmtId="2" fontId="32" fillId="0" borderId="1" xfId="4" applyNumberFormat="1" applyFont="1" applyFill="1" applyBorder="1" applyAlignment="1">
      <alignment horizontal="center" vertical="center"/>
    </xf>
    <xf numFmtId="2" fontId="32" fillId="0" borderId="1" xfId="4" applyNumberFormat="1" applyFont="1" applyBorder="1" applyAlignment="1">
      <alignment horizontal="center" vertical="center"/>
    </xf>
    <xf numFmtId="166" fontId="9" fillId="0" borderId="1" xfId="3" applyNumberFormat="1" applyFont="1" applyBorder="1" applyAlignment="1">
      <alignment horizontal="center"/>
    </xf>
    <xf numFmtId="2" fontId="10" fillId="0" borderId="1" xfId="3" applyNumberFormat="1" applyFont="1" applyBorder="1" applyAlignment="1">
      <alignment horizontal="left" vertical="center"/>
    </xf>
    <xf numFmtId="165" fontId="28" fillId="0" borderId="13" xfId="3" applyFont="1" applyBorder="1" applyAlignment="1">
      <alignment vertical="center"/>
    </xf>
    <xf numFmtId="170" fontId="10" fillId="23" borderId="1" xfId="3" applyNumberFormat="1" applyFont="1" applyFill="1" applyBorder="1" applyAlignment="1">
      <alignment horizontal="right"/>
    </xf>
    <xf numFmtId="165" fontId="27" fillId="0" borderId="13" xfId="3" applyFont="1" applyBorder="1" applyAlignment="1">
      <alignment horizontal="center" vertical="center"/>
    </xf>
    <xf numFmtId="165" fontId="10" fillId="0" borderId="18" xfId="3" applyFont="1" applyBorder="1"/>
    <xf numFmtId="2" fontId="10" fillId="0" borderId="10" xfId="3" applyNumberFormat="1" applyFont="1" applyBorder="1" applyAlignment="1">
      <alignment horizontal="center" vertical="center"/>
    </xf>
    <xf numFmtId="2" fontId="10" fillId="4" borderId="18" xfId="3" applyNumberFormat="1" applyFont="1" applyFill="1" applyBorder="1" applyAlignment="1">
      <alignment horizontal="center" vertical="center"/>
    </xf>
    <xf numFmtId="2" fontId="32" fillId="0" borderId="1" xfId="3" applyNumberFormat="1" applyFont="1" applyBorder="1" applyAlignment="1">
      <alignment horizontal="center" vertical="center"/>
    </xf>
    <xf numFmtId="2" fontId="10" fillId="4" borderId="1" xfId="3" applyNumberFormat="1" applyFont="1" applyFill="1" applyBorder="1" applyAlignment="1">
      <alignment horizontal="center" vertical="center"/>
    </xf>
    <xf numFmtId="165" fontId="28" fillId="0" borderId="1" xfId="3" applyFont="1" applyBorder="1" applyAlignment="1">
      <alignment vertical="center"/>
    </xf>
    <xf numFmtId="166" fontId="22" fillId="4" borderId="1" xfId="3" applyNumberFormat="1" applyFont="1" applyFill="1" applyBorder="1" applyAlignment="1">
      <alignment horizontal="center" vertical="center"/>
    </xf>
    <xf numFmtId="167" fontId="9" fillId="0" borderId="1" xfId="3" applyNumberFormat="1" applyFont="1" applyBorder="1" applyAlignment="1">
      <alignment horizontal="center" vertical="center"/>
    </xf>
    <xf numFmtId="166" fontId="9" fillId="7" borderId="1" xfId="3" applyNumberFormat="1" applyFont="1" applyFill="1" applyBorder="1" applyAlignment="1">
      <alignment horizontal="center" vertical="center"/>
    </xf>
    <xf numFmtId="165" fontId="14" fillId="4" borderId="0" xfId="3" applyFont="1" applyFill="1" applyAlignment="1">
      <alignment horizontal="center" vertical="center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" fontId="10" fillId="4" borderId="34" xfId="3" applyNumberFormat="1" applyFont="1" applyFill="1" applyBorder="1"/>
    <xf numFmtId="166" fontId="10" fillId="4" borderId="34" xfId="3" applyNumberFormat="1" applyFont="1" applyFill="1" applyBorder="1"/>
    <xf numFmtId="165" fontId="79" fillId="0" borderId="31" xfId="3" applyFont="1" applyBorder="1"/>
    <xf numFmtId="1" fontId="10" fillId="0" borderId="32" xfId="3" applyNumberFormat="1" applyFont="1" applyBorder="1" applyAlignment="1">
      <alignment horizontal="right"/>
    </xf>
    <xf numFmtId="166" fontId="10" fillId="0" borderId="32" xfId="3" applyNumberFormat="1" applyFont="1" applyBorder="1"/>
    <xf numFmtId="166" fontId="9" fillId="0" borderId="36" xfId="3" applyNumberFormat="1" applyFont="1" applyBorder="1"/>
    <xf numFmtId="165" fontId="82" fillId="0" borderId="52" xfId="3" applyFont="1" applyBorder="1"/>
    <xf numFmtId="165" fontId="83" fillId="0" borderId="52" xfId="3" applyFont="1" applyBorder="1"/>
    <xf numFmtId="170" fontId="8" fillId="0" borderId="0" xfId="3" applyNumberFormat="1" applyAlignment="1">
      <alignment horizontal="right"/>
    </xf>
    <xf numFmtId="165" fontId="84" fillId="0" borderId="31" xfId="3" applyFont="1" applyBorder="1"/>
    <xf numFmtId="165" fontId="85" fillId="0" borderId="31" xfId="3" applyFont="1" applyBorder="1"/>
    <xf numFmtId="166" fontId="9" fillId="0" borderId="0" xfId="3" applyNumberFormat="1" applyFont="1" applyAlignment="1">
      <alignment horizontal="center" vertical="center"/>
    </xf>
    <xf numFmtId="166" fontId="10" fillId="26" borderId="63" xfId="3" applyNumberFormat="1" applyFont="1" applyFill="1" applyBorder="1" applyAlignment="1">
      <alignment horizontal="center"/>
    </xf>
    <xf numFmtId="0" fontId="10" fillId="0" borderId="0" xfId="3" applyNumberFormat="1" applyFont="1" applyAlignment="1">
      <alignment horizontal="center"/>
    </xf>
    <xf numFmtId="0" fontId="23" fillId="0" borderId="1" xfId="3" applyNumberFormat="1" applyFont="1" applyBorder="1" applyAlignment="1">
      <alignment vertical="top" wrapText="1"/>
    </xf>
    <xf numFmtId="165" fontId="9" fillId="0" borderId="0" xfId="3" applyFont="1" applyAlignment="1">
      <alignment horizontal="left" vertical="center"/>
    </xf>
    <xf numFmtId="165" fontId="9" fillId="23" borderId="2" xfId="3" applyFont="1" applyFill="1" applyBorder="1" applyAlignment="1">
      <alignment vertical="center"/>
    </xf>
    <xf numFmtId="165" fontId="10" fillId="0" borderId="81" xfId="3" applyFont="1" applyBorder="1" applyAlignment="1">
      <alignment vertical="center" wrapText="1"/>
    </xf>
    <xf numFmtId="165" fontId="10" fillId="0" borderId="40" xfId="3" applyFont="1" applyBorder="1" applyAlignment="1">
      <alignment horizontal="center" vertical="center" wrapText="1"/>
    </xf>
    <xf numFmtId="16" fontId="9" fillId="0" borderId="39" xfId="3" applyNumberFormat="1" applyFont="1" applyBorder="1" applyAlignment="1">
      <alignment horizontal="center" vertical="center"/>
    </xf>
    <xf numFmtId="4" fontId="9" fillId="0" borderId="39" xfId="3" applyNumberFormat="1" applyFont="1" applyBorder="1" applyAlignment="1">
      <alignment horizontal="center" vertical="center"/>
    </xf>
    <xf numFmtId="171" fontId="9" fillId="0" borderId="39" xfId="3" applyNumberFormat="1" applyFont="1" applyBorder="1" applyAlignment="1">
      <alignment horizontal="center" vertical="center"/>
    </xf>
    <xf numFmtId="2" fontId="9" fillId="0" borderId="39" xfId="3" applyNumberFormat="1" applyFont="1" applyBorder="1" applyAlignment="1">
      <alignment horizontal="center" vertical="center"/>
    </xf>
    <xf numFmtId="4" fontId="9" fillId="0" borderId="62" xfId="3" applyNumberFormat="1" applyFont="1" applyBorder="1" applyAlignment="1">
      <alignment horizontal="center" vertical="center"/>
    </xf>
    <xf numFmtId="2" fontId="32" fillId="0" borderId="39" xfId="4" applyNumberFormat="1" applyFont="1" applyFill="1" applyBorder="1" applyAlignment="1">
      <alignment horizontal="center" vertical="center"/>
    </xf>
    <xf numFmtId="170" fontId="9" fillId="0" borderId="79" xfId="4" applyNumberFormat="1" applyFont="1" applyFill="1" applyBorder="1" applyAlignment="1">
      <alignment horizontal="center" vertical="center"/>
    </xf>
    <xf numFmtId="16" fontId="10" fillId="0" borderId="76" xfId="3" applyNumberFormat="1" applyFont="1" applyBorder="1" applyAlignment="1">
      <alignment horizontal="center" vertical="center"/>
    </xf>
    <xf numFmtId="4" fontId="9" fillId="0" borderId="76" xfId="3" applyNumberFormat="1" applyFont="1" applyBorder="1" applyAlignment="1">
      <alignment horizontal="center" vertical="center"/>
    </xf>
    <xf numFmtId="171" fontId="9" fillId="0" borderId="76" xfId="3" applyNumberFormat="1" applyFont="1" applyBorder="1" applyAlignment="1">
      <alignment horizontal="center" vertical="center"/>
    </xf>
    <xf numFmtId="2" fontId="9" fillId="0" borderId="76" xfId="3" applyNumberFormat="1" applyFont="1" applyBorder="1" applyAlignment="1">
      <alignment horizontal="center" vertical="center"/>
    </xf>
    <xf numFmtId="4" fontId="9" fillId="0" borderId="80" xfId="3" applyNumberFormat="1" applyFont="1" applyBorder="1" applyAlignment="1">
      <alignment horizontal="center" vertical="center"/>
    </xf>
    <xf numFmtId="2" fontId="32" fillId="0" borderId="76" xfId="4" applyNumberFormat="1" applyFont="1" applyFill="1" applyBorder="1" applyAlignment="1">
      <alignment horizontal="center" vertical="center"/>
    </xf>
    <xf numFmtId="170" fontId="9" fillId="0" borderId="9" xfId="4" applyNumberFormat="1" applyFont="1" applyFill="1" applyBorder="1" applyAlignment="1">
      <alignment horizontal="center" vertical="center"/>
    </xf>
    <xf numFmtId="165" fontId="86" fillId="0" borderId="38" xfId="3" applyFont="1" applyBorder="1" applyAlignment="1">
      <alignment horizontal="center" vertical="center"/>
    </xf>
    <xf numFmtId="2" fontId="32" fillId="0" borderId="62" xfId="4" applyNumberFormat="1" applyFont="1" applyFill="1" applyBorder="1" applyAlignment="1">
      <alignment horizontal="center" vertical="center"/>
    </xf>
    <xf numFmtId="2" fontId="10" fillId="0" borderId="39" xfId="3" applyNumberFormat="1" applyFont="1" applyBorder="1" applyAlignment="1">
      <alignment horizontal="center" vertical="center"/>
    </xf>
    <xf numFmtId="2" fontId="80" fillId="0" borderId="39" xfId="3" applyNumberFormat="1" applyFont="1" applyBorder="1" applyAlignment="1">
      <alignment horizontal="center" vertical="center"/>
    </xf>
    <xf numFmtId="16" fontId="10" fillId="0" borderId="84" xfId="3" applyNumberFormat="1" applyFont="1" applyBorder="1" applyAlignment="1">
      <alignment horizontal="center" vertical="center"/>
    </xf>
    <xf numFmtId="4" fontId="9" fillId="0" borderId="84" xfId="3" applyNumberFormat="1" applyFont="1" applyBorder="1" applyAlignment="1">
      <alignment horizontal="center" vertical="center"/>
    </xf>
    <xf numFmtId="171" fontId="9" fillId="0" borderId="84" xfId="3" applyNumberFormat="1" applyFont="1" applyBorder="1" applyAlignment="1">
      <alignment horizontal="center" vertical="center"/>
    </xf>
    <xf numFmtId="2" fontId="9" fillId="0" borderId="84" xfId="3" applyNumberFormat="1" applyFont="1" applyBorder="1" applyAlignment="1">
      <alignment horizontal="center" vertical="center"/>
    </xf>
    <xf numFmtId="4" fontId="9" fillId="0" borderId="85" xfId="3" applyNumberFormat="1" applyFont="1" applyBorder="1" applyAlignment="1">
      <alignment horizontal="center" vertical="center"/>
    </xf>
    <xf numFmtId="2" fontId="32" fillId="0" borderId="84" xfId="4" applyNumberFormat="1" applyFont="1" applyFill="1" applyBorder="1" applyAlignment="1">
      <alignment horizontal="center" vertical="center"/>
    </xf>
    <xf numFmtId="2" fontId="32" fillId="0" borderId="85" xfId="4" applyNumberFormat="1" applyFont="1" applyFill="1" applyBorder="1" applyAlignment="1">
      <alignment horizontal="center" vertical="center"/>
    </xf>
    <xf numFmtId="2" fontId="10" fillId="4" borderId="84" xfId="3" applyNumberFormat="1" applyFont="1" applyFill="1" applyBorder="1" applyAlignment="1">
      <alignment horizontal="center" vertical="center"/>
    </xf>
    <xf numFmtId="170" fontId="9" fillId="0" borderId="86" xfId="4" applyNumberFormat="1" applyFont="1" applyFill="1" applyBorder="1" applyAlignment="1">
      <alignment horizontal="center" vertical="center"/>
    </xf>
    <xf numFmtId="2" fontId="32" fillId="0" borderId="80" xfId="4" applyNumberFormat="1" applyFont="1" applyFill="1" applyBorder="1" applyAlignment="1">
      <alignment horizontal="center" vertical="center"/>
    </xf>
    <xf numFmtId="2" fontId="10" fillId="0" borderId="76" xfId="3" applyNumberFormat="1" applyFont="1" applyBorder="1" applyAlignment="1">
      <alignment horizontal="center" vertical="center"/>
    </xf>
    <xf numFmtId="2" fontId="80" fillId="0" borderId="76" xfId="3" applyNumberFormat="1" applyFont="1" applyBorder="1" applyAlignment="1">
      <alignment horizontal="center" vertical="center"/>
    </xf>
    <xf numFmtId="165" fontId="87" fillId="0" borderId="88" xfId="3" applyFont="1" applyBorder="1" applyAlignment="1">
      <alignment horizontal="center" vertical="center"/>
    </xf>
    <xf numFmtId="165" fontId="10" fillId="0" borderId="87" xfId="3" applyFont="1" applyBorder="1" applyAlignment="1">
      <alignment horizontal="center" vertical="center" wrapText="1"/>
    </xf>
    <xf numFmtId="165" fontId="10" fillId="0" borderId="18" xfId="3" applyFont="1" applyBorder="1" applyAlignment="1">
      <alignment horizontal="center" vertical="center" wrapText="1"/>
    </xf>
    <xf numFmtId="165" fontId="21" fillId="0" borderId="13" xfId="3" applyFont="1" applyBorder="1" applyAlignment="1">
      <alignment horizontal="center" vertical="center"/>
    </xf>
    <xf numFmtId="2" fontId="80" fillId="0" borderId="84" xfId="3" applyNumberFormat="1" applyFont="1" applyBorder="1" applyAlignment="1">
      <alignment horizontal="center" vertical="center"/>
    </xf>
    <xf numFmtId="2" fontId="32" fillId="0" borderId="84" xfId="4" applyNumberFormat="1" applyFont="1" applyBorder="1" applyAlignment="1">
      <alignment horizontal="center" vertical="center"/>
    </xf>
    <xf numFmtId="170" fontId="10" fillId="0" borderId="86" xfId="4" applyNumberFormat="1" applyFont="1" applyFill="1" applyBorder="1" applyAlignment="1">
      <alignment horizontal="center" vertical="center"/>
    </xf>
    <xf numFmtId="4" fontId="9" fillId="0" borderId="0" xfId="3" applyNumberFormat="1" applyFont="1" applyAlignment="1">
      <alignment horizontal="center" vertical="center"/>
    </xf>
    <xf numFmtId="171" fontId="9" fillId="0" borderId="0" xfId="3" applyNumberFormat="1" applyFont="1" applyAlignment="1">
      <alignment horizontal="center" vertical="center"/>
    </xf>
    <xf numFmtId="2" fontId="9" fillId="0" borderId="0" xfId="3" applyNumberFormat="1" applyFont="1" applyAlignment="1">
      <alignment horizontal="center" vertical="center"/>
    </xf>
    <xf numFmtId="2" fontId="32" fillId="0" borderId="0" xfId="4" applyNumberFormat="1" applyFont="1" applyFill="1" applyBorder="1" applyAlignment="1">
      <alignment horizontal="center" vertical="center"/>
    </xf>
    <xf numFmtId="170" fontId="9" fillId="0" borderId="0" xfId="4" applyNumberFormat="1" applyFont="1" applyFill="1" applyBorder="1" applyAlignment="1">
      <alignment horizontal="center" vertical="center"/>
    </xf>
    <xf numFmtId="2" fontId="80" fillId="0" borderId="0" xfId="3" applyNumberFormat="1" applyFont="1" applyAlignment="1">
      <alignment horizontal="center" vertical="center"/>
    </xf>
    <xf numFmtId="165" fontId="28" fillId="0" borderId="0" xfId="3" applyFont="1" applyAlignment="1">
      <alignment horizontal="center" vertical="center"/>
    </xf>
    <xf numFmtId="165" fontId="11" fillId="3" borderId="1" xfId="3" applyFont="1" applyFill="1" applyBorder="1"/>
    <xf numFmtId="166" fontId="11" fillId="3" borderId="1" xfId="3" applyNumberFormat="1" applyFont="1" applyFill="1" applyBorder="1"/>
    <xf numFmtId="166" fontId="11" fillId="3" borderId="2" xfId="3" applyNumberFormat="1" applyFont="1" applyFill="1" applyBorder="1"/>
    <xf numFmtId="1" fontId="11" fillId="3" borderId="1" xfId="3" applyNumberFormat="1" applyFont="1" applyFill="1" applyBorder="1" applyAlignment="1">
      <alignment horizontal="center"/>
    </xf>
    <xf numFmtId="166" fontId="11" fillId="3" borderId="14" xfId="3" applyNumberFormat="1" applyFont="1" applyFill="1" applyBorder="1"/>
    <xf numFmtId="166" fontId="11" fillId="0" borderId="0" xfId="3" applyNumberFormat="1" applyFont="1" applyAlignment="1">
      <alignment vertical="center"/>
    </xf>
    <xf numFmtId="20" fontId="10" fillId="4" borderId="17" xfId="3" applyNumberFormat="1" applyFont="1" applyFill="1" applyBorder="1" applyAlignment="1">
      <alignment horizontal="center" vertical="center" wrapText="1"/>
    </xf>
    <xf numFmtId="20" fontId="10" fillId="4" borderId="18" xfId="3" applyNumberFormat="1" applyFont="1" applyFill="1" applyBorder="1" applyAlignment="1">
      <alignment horizontal="center" vertical="center" wrapText="1"/>
    </xf>
    <xf numFmtId="169" fontId="35" fillId="0" borderId="41" xfId="3" applyNumberFormat="1" applyFont="1" applyBorder="1" applyAlignment="1">
      <alignment horizontal="center" vertical="center"/>
    </xf>
    <xf numFmtId="2" fontId="10" fillId="0" borderId="84" xfId="3" applyNumberFormat="1" applyFont="1" applyBorder="1" applyAlignment="1">
      <alignment horizontal="center" vertical="center"/>
    </xf>
    <xf numFmtId="2" fontId="41" fillId="0" borderId="1" xfId="3" applyNumberFormat="1" applyFont="1" applyBorder="1" applyAlignment="1">
      <alignment horizontal="right"/>
    </xf>
    <xf numFmtId="165" fontId="10" fillId="0" borderId="27" xfId="3" applyFont="1" applyBorder="1" applyAlignment="1">
      <alignment vertical="center" wrapText="1"/>
    </xf>
    <xf numFmtId="16" fontId="10" fillId="0" borderId="86" xfId="3" applyNumberFormat="1" applyFont="1" applyBorder="1" applyAlignment="1">
      <alignment horizontal="center" vertical="center"/>
    </xf>
    <xf numFmtId="165" fontId="21" fillId="0" borderId="18" xfId="3" applyFont="1" applyBorder="1" applyAlignment="1">
      <alignment horizontal="center" vertical="center"/>
    </xf>
    <xf numFmtId="165" fontId="86" fillId="0" borderId="18" xfId="3" applyFont="1" applyBorder="1" applyAlignment="1">
      <alignment horizontal="center" vertical="center"/>
    </xf>
    <xf numFmtId="2" fontId="80" fillId="0" borderId="1" xfId="3" applyNumberFormat="1" applyFont="1" applyBorder="1" applyAlignment="1">
      <alignment horizontal="right"/>
    </xf>
    <xf numFmtId="165" fontId="10" fillId="0" borderId="23" xfId="3" applyFont="1" applyBorder="1"/>
    <xf numFmtId="2" fontId="26" fillId="0" borderId="89" xfId="3" applyNumberFormat="1" applyFont="1" applyBorder="1" applyAlignment="1">
      <alignment horizontal="center" vertical="center"/>
    </xf>
    <xf numFmtId="166" fontId="10" fillId="0" borderId="19" xfId="3" applyNumberFormat="1" applyFont="1" applyBorder="1" applyAlignment="1">
      <alignment horizontal="center"/>
    </xf>
    <xf numFmtId="166" fontId="10" fillId="0" borderId="18" xfId="3" applyNumberFormat="1" applyFont="1" applyBorder="1" applyAlignment="1">
      <alignment horizontal="center"/>
    </xf>
    <xf numFmtId="165" fontId="27" fillId="0" borderId="18" xfId="3" applyFont="1" applyBorder="1" applyAlignment="1">
      <alignment horizontal="center" vertical="center"/>
    </xf>
    <xf numFmtId="166" fontId="10" fillId="23" borderId="1" xfId="3" applyNumberFormat="1" applyFont="1" applyFill="1" applyBorder="1" applyAlignment="1">
      <alignment horizontal="center" vertical="center"/>
    </xf>
    <xf numFmtId="2" fontId="10" fillId="23" borderId="1" xfId="3" applyNumberFormat="1" applyFont="1" applyFill="1" applyBorder="1" applyAlignment="1">
      <alignment horizontal="center" vertical="center"/>
    </xf>
    <xf numFmtId="165" fontId="81" fillId="0" borderId="13" xfId="3" applyFont="1" applyBorder="1" applyAlignment="1">
      <alignment horizontal="center" vertical="center"/>
    </xf>
    <xf numFmtId="166" fontId="80" fillId="7" borderId="1" xfId="3" applyNumberFormat="1" applyFont="1" applyFill="1" applyBorder="1" applyAlignment="1">
      <alignment horizontal="center" vertical="center"/>
    </xf>
    <xf numFmtId="165" fontId="88" fillId="0" borderId="13" xfId="3" applyFont="1" applyBorder="1" applyAlignment="1">
      <alignment horizontal="center" vertical="center"/>
    </xf>
    <xf numFmtId="167" fontId="22" fillId="4" borderId="11" xfId="3" applyNumberFormat="1" applyFont="1" applyFill="1" applyBorder="1" applyAlignment="1">
      <alignment horizontal="center" vertical="center"/>
    </xf>
    <xf numFmtId="166" fontId="80" fillId="4" borderId="1" xfId="3" applyNumberFormat="1" applyFont="1" applyFill="1" applyBorder="1" applyAlignment="1">
      <alignment horizontal="center" vertical="center"/>
    </xf>
    <xf numFmtId="165" fontId="10" fillId="4" borderId="18" xfId="3" applyFont="1" applyFill="1" applyBorder="1" applyAlignment="1">
      <alignment horizontal="center" vertical="center" wrapText="1"/>
    </xf>
    <xf numFmtId="165" fontId="10" fillId="0" borderId="13" xfId="3" applyFont="1" applyBorder="1" applyAlignment="1">
      <alignment horizontal="left"/>
    </xf>
    <xf numFmtId="165" fontId="10" fillId="0" borderId="23" xfId="3" applyFont="1" applyBorder="1" applyAlignment="1">
      <alignment horizontal="center" vertical="center"/>
    </xf>
    <xf numFmtId="165" fontId="10" fillId="0" borderId="34" xfId="3" applyFont="1" applyBorder="1" applyAlignment="1">
      <alignment horizontal="center" vertical="center"/>
    </xf>
    <xf numFmtId="165" fontId="10" fillId="0" borderId="46" xfId="3" applyFont="1" applyBorder="1" applyAlignment="1">
      <alignment horizontal="center" vertical="center"/>
    </xf>
    <xf numFmtId="165" fontId="10" fillId="0" borderId="47" xfId="3" applyFont="1" applyBorder="1" applyAlignment="1">
      <alignment horizontal="center" vertical="center"/>
    </xf>
    <xf numFmtId="165" fontId="10" fillId="0" borderId="48" xfId="3" applyFont="1" applyBorder="1" applyAlignment="1">
      <alignment horizontal="center" vertical="center"/>
    </xf>
    <xf numFmtId="165" fontId="10" fillId="0" borderId="49" xfId="3" applyFont="1" applyBorder="1" applyAlignment="1">
      <alignment horizontal="center" vertical="center"/>
    </xf>
    <xf numFmtId="165" fontId="10" fillId="0" borderId="25" xfId="3" applyFont="1" applyBorder="1" applyAlignment="1">
      <alignment horizontal="center" vertical="center" wrapText="1"/>
    </xf>
    <xf numFmtId="165" fontId="10" fillId="0" borderId="75" xfId="3" applyFont="1" applyBorder="1" applyAlignment="1">
      <alignment horizontal="center" vertical="center" wrapText="1"/>
    </xf>
    <xf numFmtId="165" fontId="10" fillId="0" borderId="23" xfId="3" applyFont="1" applyBorder="1" applyAlignment="1">
      <alignment horizontal="center" vertical="center" wrapText="1"/>
    </xf>
    <xf numFmtId="165" fontId="10" fillId="0" borderId="27" xfId="3" applyFont="1" applyBorder="1" applyAlignment="1">
      <alignment horizontal="center" vertical="center" wrapText="1"/>
    </xf>
    <xf numFmtId="165" fontId="10" fillId="0" borderId="5" xfId="3" applyFont="1" applyBorder="1" applyAlignment="1">
      <alignment horizontal="center" vertical="center" wrapText="1"/>
    </xf>
    <xf numFmtId="165" fontId="10" fillId="0" borderId="38" xfId="3" applyFont="1" applyBorder="1" applyAlignment="1">
      <alignment horizontal="center" vertical="center" wrapText="1"/>
    </xf>
    <xf numFmtId="165" fontId="10" fillId="0" borderId="8" xfId="3" applyFont="1" applyBorder="1" applyAlignment="1">
      <alignment horizontal="center" vertical="center" wrapText="1"/>
    </xf>
    <xf numFmtId="165" fontId="10" fillId="0" borderId="40" xfId="3" applyFont="1" applyBorder="1" applyAlignment="1">
      <alignment horizontal="center" vertical="center" wrapText="1"/>
    </xf>
    <xf numFmtId="165" fontId="10" fillId="0" borderId="7" xfId="3" applyFont="1" applyBorder="1" applyAlignment="1">
      <alignment horizontal="center" vertical="center" wrapText="1"/>
    </xf>
    <xf numFmtId="165" fontId="10" fillId="0" borderId="62" xfId="3" applyFont="1" applyBorder="1" applyAlignment="1">
      <alignment horizontal="center" vertical="center" wrapText="1"/>
    </xf>
    <xf numFmtId="166" fontId="10" fillId="27" borderId="83" xfId="3" applyNumberFormat="1" applyFont="1" applyFill="1" applyBorder="1" applyAlignment="1">
      <alignment horizontal="center" vertical="center"/>
    </xf>
    <xf numFmtId="166" fontId="10" fillId="27" borderId="19" xfId="3" applyNumberFormat="1" applyFont="1" applyFill="1" applyBorder="1" applyAlignment="1">
      <alignment horizontal="center" vertical="center"/>
    </xf>
    <xf numFmtId="165" fontId="10" fillId="0" borderId="34" xfId="3" applyFont="1" applyBorder="1" applyAlignment="1">
      <alignment horizontal="center" vertical="center" wrapText="1"/>
    </xf>
    <xf numFmtId="168" fontId="10" fillId="0" borderId="78" xfId="3" applyNumberFormat="1" applyFont="1" applyBorder="1" applyAlignment="1">
      <alignment horizontal="center" vertical="center" wrapText="1"/>
    </xf>
    <xf numFmtId="168" fontId="10" fillId="0" borderId="79" xfId="3" applyNumberFormat="1" applyFont="1" applyBorder="1" applyAlignment="1">
      <alignment horizontal="center" vertical="center" wrapText="1"/>
    </xf>
    <xf numFmtId="165" fontId="10" fillId="0" borderId="6" xfId="3" applyFont="1" applyBorder="1" applyAlignment="1">
      <alignment horizontal="center" vertical="center" wrapText="1"/>
    </xf>
    <xf numFmtId="165" fontId="10" fillId="0" borderId="39" xfId="3" applyFont="1" applyBorder="1" applyAlignment="1">
      <alignment horizontal="center" vertical="center" wrapText="1"/>
    </xf>
    <xf numFmtId="165" fontId="21" fillId="0" borderId="23" xfId="3" applyFont="1" applyBorder="1" applyAlignment="1">
      <alignment horizontal="center" vertical="center"/>
    </xf>
    <xf numFmtId="165" fontId="21" fillId="0" borderId="27" xfId="3" applyFont="1" applyBorder="1" applyAlignment="1">
      <alignment horizontal="center" vertical="center"/>
    </xf>
    <xf numFmtId="165" fontId="21" fillId="0" borderId="35" xfId="3" applyFont="1" applyBorder="1" applyAlignment="1">
      <alignment horizontal="center" vertical="center"/>
    </xf>
    <xf numFmtId="166" fontId="9" fillId="0" borderId="0" xfId="3" applyNumberFormat="1" applyFont="1" applyAlignment="1">
      <alignment horizontal="center" vertical="center"/>
    </xf>
    <xf numFmtId="166" fontId="9" fillId="0" borderId="68" xfId="3" applyNumberFormat="1" applyFont="1" applyBorder="1" applyAlignment="1">
      <alignment horizontal="center" vertical="center"/>
    </xf>
    <xf numFmtId="166" fontId="9" fillId="0" borderId="74" xfId="3" applyNumberFormat="1" applyFont="1" applyBorder="1" applyAlignment="1">
      <alignment horizontal="center" vertical="center"/>
    </xf>
    <xf numFmtId="166" fontId="9" fillId="0" borderId="24" xfId="3" applyNumberFormat="1" applyFont="1" applyBorder="1" applyAlignment="1">
      <alignment horizontal="center" vertical="center"/>
    </xf>
    <xf numFmtId="2" fontId="32" fillId="24" borderId="1" xfId="3" applyNumberFormat="1" applyFont="1" applyFill="1" applyBorder="1" applyAlignment="1">
      <alignment horizontal="center"/>
    </xf>
    <xf numFmtId="165" fontId="10" fillId="25" borderId="16" xfId="3" applyFont="1" applyFill="1" applyBorder="1" applyAlignment="1">
      <alignment horizontal="center"/>
    </xf>
    <xf numFmtId="165" fontId="10" fillId="25" borderId="19" xfId="3" applyFont="1" applyFill="1" applyBorder="1" applyAlignment="1">
      <alignment horizontal="center"/>
    </xf>
    <xf numFmtId="166" fontId="9" fillId="0" borderId="29" xfId="3" applyNumberFormat="1" applyFont="1" applyBorder="1" applyAlignment="1">
      <alignment horizontal="center" vertical="center"/>
    </xf>
    <xf numFmtId="166" fontId="9" fillId="0" borderId="30" xfId="3" applyNumberFormat="1" applyFont="1" applyBorder="1" applyAlignment="1">
      <alignment horizontal="center" vertical="center"/>
    </xf>
    <xf numFmtId="166" fontId="9" fillId="0" borderId="28" xfId="3" applyNumberFormat="1" applyFont="1" applyBorder="1" applyAlignment="1">
      <alignment horizontal="center" vertical="center"/>
    </xf>
    <xf numFmtId="166" fontId="9" fillId="0" borderId="75" xfId="3" applyNumberFormat="1" applyFont="1" applyBorder="1" applyAlignment="1">
      <alignment horizontal="center" vertical="center"/>
    </xf>
    <xf numFmtId="166" fontId="9" fillId="0" borderId="63" xfId="3" applyNumberFormat="1" applyFont="1" applyBorder="1" applyAlignment="1">
      <alignment horizontal="center" vertical="center"/>
    </xf>
    <xf numFmtId="165" fontId="10" fillId="0" borderId="67" xfId="3" applyFont="1" applyBorder="1" applyAlignment="1">
      <alignment horizontal="center"/>
    </xf>
    <xf numFmtId="165" fontId="10" fillId="0" borderId="83" xfId="3" applyFont="1" applyBorder="1" applyAlignment="1">
      <alignment horizontal="center" wrapText="1"/>
    </xf>
    <xf numFmtId="165" fontId="10" fillId="0" borderId="19" xfId="3" applyFont="1" applyBorder="1" applyAlignment="1">
      <alignment horizontal="center" wrapText="1"/>
    </xf>
    <xf numFmtId="165" fontId="27" fillId="0" borderId="66" xfId="3" applyFont="1" applyBorder="1" applyAlignment="1">
      <alignment horizontal="center" vertical="center"/>
    </xf>
    <xf numFmtId="165" fontId="27" fillId="0" borderId="27" xfId="3" applyFont="1" applyBorder="1" applyAlignment="1">
      <alignment horizontal="center" vertical="center"/>
    </xf>
    <xf numFmtId="165" fontId="27" fillId="0" borderId="34" xfId="3" applyFont="1" applyBorder="1" applyAlignment="1">
      <alignment horizontal="center" vertical="center"/>
    </xf>
    <xf numFmtId="165" fontId="10" fillId="0" borderId="14" xfId="3" applyFont="1" applyBorder="1" applyAlignment="1">
      <alignment horizontal="center" vertical="center" wrapText="1"/>
    </xf>
    <xf numFmtId="165" fontId="10" fillId="0" borderId="10" xfId="3" applyFont="1" applyBorder="1" applyAlignment="1">
      <alignment horizontal="center" vertical="center" wrapText="1"/>
    </xf>
    <xf numFmtId="165" fontId="10" fillId="0" borderId="0" xfId="3" applyFont="1" applyAlignment="1">
      <alignment horizontal="left"/>
    </xf>
    <xf numFmtId="165" fontId="10" fillId="0" borderId="50" xfId="3" applyFont="1" applyBorder="1" applyAlignment="1">
      <alignment horizontal="center" vertical="center" wrapText="1"/>
    </xf>
    <xf numFmtId="165" fontId="10" fillId="7" borderId="6" xfId="3" applyFont="1" applyFill="1" applyBorder="1" applyAlignment="1">
      <alignment horizontal="center" vertical="center" wrapText="1"/>
    </xf>
    <xf numFmtId="165" fontId="10" fillId="7" borderId="10" xfId="3" applyFont="1" applyFill="1" applyBorder="1" applyAlignment="1">
      <alignment horizontal="center" vertical="center" wrapText="1"/>
    </xf>
    <xf numFmtId="165" fontId="6" fillId="2" borderId="6" xfId="2" applyNumberFormat="1" applyBorder="1" applyAlignment="1">
      <alignment horizontal="center" vertical="center" wrapText="1"/>
    </xf>
    <xf numFmtId="165" fontId="6" fillId="2" borderId="10" xfId="2" applyNumberFormat="1" applyBorder="1" applyAlignment="1">
      <alignment horizontal="center" vertical="center" wrapText="1"/>
    </xf>
    <xf numFmtId="165" fontId="10" fillId="4" borderId="6" xfId="3" applyFont="1" applyFill="1" applyBorder="1" applyAlignment="1">
      <alignment horizontal="center" vertical="center" wrapText="1"/>
    </xf>
    <xf numFmtId="165" fontId="10" fillId="4" borderId="10" xfId="3" applyFont="1" applyFill="1" applyBorder="1" applyAlignment="1">
      <alignment horizontal="center" vertical="center" wrapText="1"/>
    </xf>
    <xf numFmtId="165" fontId="20" fillId="0" borderId="6" xfId="3" applyFont="1" applyBorder="1" applyAlignment="1">
      <alignment horizontal="center" vertical="center" wrapText="1"/>
    </xf>
    <xf numFmtId="165" fontId="20" fillId="0" borderId="10" xfId="3" applyFont="1" applyBorder="1" applyAlignment="1">
      <alignment horizontal="center" vertical="center" wrapText="1"/>
    </xf>
    <xf numFmtId="165" fontId="15" fillId="0" borderId="2" xfId="3" applyFont="1" applyBorder="1" applyAlignment="1">
      <alignment horizontal="center" wrapText="1"/>
    </xf>
    <xf numFmtId="165" fontId="15" fillId="0" borderId="3" xfId="3" applyFont="1" applyBorder="1" applyAlignment="1">
      <alignment horizontal="center" wrapText="1"/>
    </xf>
    <xf numFmtId="165" fontId="11" fillId="3" borderId="1" xfId="3" applyFont="1" applyFill="1" applyBorder="1" applyAlignment="1">
      <alignment horizontal="center"/>
    </xf>
    <xf numFmtId="165" fontId="12" fillId="0" borderId="0" xfId="3" applyFont="1" applyAlignment="1">
      <alignment horizontal="center"/>
    </xf>
    <xf numFmtId="165" fontId="14" fillId="4" borderId="0" xfId="3" applyFont="1" applyFill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65" fontId="11" fillId="3" borderId="1" xfId="0" applyFont="1" applyFill="1" applyBorder="1" applyAlignment="1">
      <alignment horizontal="center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0" fillId="0" borderId="12" xfId="3" applyFont="1" applyBorder="1" applyAlignment="1">
      <alignment horizontal="center" vertical="center" wrapText="1"/>
    </xf>
    <xf numFmtId="165" fontId="10" fillId="0" borderId="78" xfId="3" applyFont="1" applyBorder="1" applyAlignment="1">
      <alignment horizontal="center" vertical="center" wrapText="1"/>
    </xf>
    <xf numFmtId="165" fontId="10" fillId="0" borderId="42" xfId="3" applyFont="1" applyBorder="1" applyAlignment="1">
      <alignment horizontal="center" vertical="center" wrapText="1"/>
    </xf>
    <xf numFmtId="165" fontId="10" fillId="0" borderId="4" xfId="3" applyFont="1" applyBorder="1" applyAlignment="1">
      <alignment horizontal="center"/>
    </xf>
    <xf numFmtId="165" fontId="81" fillId="0" borderId="23" xfId="3" applyFont="1" applyBorder="1" applyAlignment="1">
      <alignment horizontal="center" vertical="center"/>
    </xf>
    <xf numFmtId="165" fontId="81" fillId="0" borderId="27" xfId="3" applyFont="1" applyBorder="1" applyAlignment="1">
      <alignment horizontal="center" vertical="center"/>
    </xf>
    <xf numFmtId="165" fontId="81" fillId="0" borderId="35" xfId="3" applyFont="1" applyBorder="1" applyAlignment="1">
      <alignment horizontal="center" vertical="center"/>
    </xf>
    <xf numFmtId="166" fontId="9" fillId="0" borderId="82" xfId="3" applyNumberFormat="1" applyFont="1" applyBorder="1" applyAlignment="1">
      <alignment horizontal="center"/>
    </xf>
    <xf numFmtId="166" fontId="9" fillId="0" borderId="30" xfId="3" applyNumberFormat="1" applyFont="1" applyBorder="1" applyAlignment="1">
      <alignment horizontal="center"/>
    </xf>
    <xf numFmtId="166" fontId="9" fillId="0" borderId="74" xfId="3" applyNumberFormat="1" applyFont="1" applyBorder="1" applyAlignment="1">
      <alignment horizontal="center"/>
    </xf>
    <xf numFmtId="166" fontId="9" fillId="0" borderId="24" xfId="3" applyNumberFormat="1" applyFont="1" applyBorder="1" applyAlignment="1">
      <alignment horizontal="center"/>
    </xf>
    <xf numFmtId="166" fontId="9" fillId="0" borderId="0" xfId="3" applyNumberFormat="1" applyFont="1" applyAlignment="1">
      <alignment horizontal="center"/>
    </xf>
    <xf numFmtId="166" fontId="9" fillId="0" borderId="68" xfId="3" applyNumberFormat="1" applyFont="1" applyBorder="1" applyAlignment="1">
      <alignment horizontal="center"/>
    </xf>
    <xf numFmtId="165" fontId="27" fillId="0" borderId="35" xfId="3" applyFont="1" applyBorder="1" applyAlignment="1">
      <alignment horizontal="center" vertical="center"/>
    </xf>
    <xf numFmtId="166" fontId="9" fillId="0" borderId="25" xfId="3" applyNumberFormat="1" applyFont="1" applyBorder="1" applyAlignment="1">
      <alignment horizontal="center" vertical="center"/>
    </xf>
    <xf numFmtId="166" fontId="9" fillId="0" borderId="26" xfId="3" applyNumberFormat="1" applyFont="1" applyBorder="1" applyAlignment="1">
      <alignment horizontal="center" vertical="center"/>
    </xf>
    <xf numFmtId="2" fontId="32" fillId="24" borderId="74" xfId="3" applyNumberFormat="1" applyFont="1" applyFill="1" applyBorder="1" applyAlignment="1">
      <alignment horizontal="center"/>
    </xf>
    <xf numFmtId="166" fontId="9" fillId="0" borderId="37" xfId="3" applyNumberFormat="1" applyFont="1" applyBorder="1" applyAlignment="1">
      <alignment horizontal="center" vertical="center"/>
    </xf>
    <xf numFmtId="166" fontId="9" fillId="0" borderId="29" xfId="3" applyNumberFormat="1" applyFont="1" applyBorder="1" applyAlignment="1">
      <alignment horizontal="center"/>
    </xf>
    <xf numFmtId="166" fontId="9" fillId="0" borderId="75" xfId="3" applyNumberFormat="1" applyFont="1" applyBorder="1" applyAlignment="1">
      <alignment horizontal="center"/>
    </xf>
    <xf numFmtId="166" fontId="9" fillId="0" borderId="63" xfId="3" applyNumberFormat="1" applyFont="1" applyBorder="1" applyAlignment="1">
      <alignment horizontal="center"/>
    </xf>
    <xf numFmtId="166" fontId="10" fillId="7" borderId="75" xfId="3" applyNumberFormat="1" applyFont="1" applyFill="1" applyBorder="1" applyAlignment="1">
      <alignment horizontal="center" vertical="center"/>
    </xf>
    <xf numFmtId="166" fontId="10" fillId="7" borderId="63" xfId="3" applyNumberFormat="1" applyFont="1" applyFill="1" applyBorder="1" applyAlignment="1">
      <alignment horizontal="center" vertical="center"/>
    </xf>
    <xf numFmtId="165" fontId="10" fillId="0" borderId="26" xfId="3" applyFont="1" applyBorder="1" applyAlignment="1">
      <alignment horizontal="center" vertical="center" wrapText="1"/>
    </xf>
    <xf numFmtId="165" fontId="10" fillId="0" borderId="63" xfId="3" applyFont="1" applyBorder="1" applyAlignment="1">
      <alignment horizontal="center" vertical="center" wrapText="1"/>
    </xf>
    <xf numFmtId="165" fontId="81" fillId="0" borderId="66" xfId="3" applyFont="1" applyBorder="1" applyAlignment="1">
      <alignment horizontal="center" vertical="center"/>
    </xf>
    <xf numFmtId="165" fontId="81" fillId="0" borderId="34" xfId="3" applyFont="1" applyBorder="1" applyAlignment="1">
      <alignment horizontal="center" vertical="center"/>
    </xf>
    <xf numFmtId="165" fontId="40" fillId="0" borderId="0" xfId="3" applyFont="1" applyAlignment="1">
      <alignment horizontal="center"/>
    </xf>
    <xf numFmtId="165" fontId="8" fillId="0" borderId="0" xfId="3" applyAlignment="1">
      <alignment horizontal="left"/>
    </xf>
    <xf numFmtId="165" fontId="41" fillId="0" borderId="5" xfId="3" applyFont="1" applyBorder="1" applyAlignment="1">
      <alignment horizontal="center" vertical="center" wrapText="1"/>
    </xf>
    <xf numFmtId="165" fontId="41" fillId="0" borderId="50" xfId="3" applyFont="1" applyBorder="1" applyAlignment="1">
      <alignment horizontal="center" vertical="center" wrapText="1"/>
    </xf>
    <xf numFmtId="165" fontId="41" fillId="0" borderId="6" xfId="3" applyFont="1" applyBorder="1" applyAlignment="1">
      <alignment horizontal="center" vertical="center" wrapText="1"/>
    </xf>
    <xf numFmtId="165" fontId="41" fillId="0" borderId="10" xfId="3" applyFont="1" applyBorder="1" applyAlignment="1">
      <alignment horizontal="center" vertical="center" wrapText="1"/>
    </xf>
    <xf numFmtId="165" fontId="42" fillId="0" borderId="6" xfId="3" applyFont="1" applyBorder="1" applyAlignment="1">
      <alignment horizontal="center" vertical="center" wrapText="1"/>
    </xf>
    <xf numFmtId="165" fontId="42" fillId="0" borderId="10" xfId="3" applyFont="1" applyBorder="1" applyAlignment="1">
      <alignment horizontal="center" vertical="center" wrapText="1"/>
    </xf>
    <xf numFmtId="165" fontId="41" fillId="0" borderId="23" xfId="3" applyFont="1" applyBorder="1" applyAlignment="1">
      <alignment horizontal="center" vertical="center"/>
    </xf>
    <xf numFmtId="165" fontId="41" fillId="0" borderId="35" xfId="3" applyFont="1" applyBorder="1" applyAlignment="1">
      <alignment horizontal="center" vertical="center"/>
    </xf>
    <xf numFmtId="2" fontId="8" fillId="0" borderId="55" xfId="3" applyNumberFormat="1" applyBorder="1" applyAlignment="1">
      <alignment horizontal="center"/>
    </xf>
    <xf numFmtId="2" fontId="8" fillId="0" borderId="56" xfId="3" applyNumberFormat="1" applyBorder="1" applyAlignment="1">
      <alignment horizontal="center"/>
    </xf>
    <xf numFmtId="165" fontId="41" fillId="0" borderId="34" xfId="3" applyFont="1" applyBorder="1" applyAlignment="1">
      <alignment horizontal="center" vertical="center"/>
    </xf>
    <xf numFmtId="165" fontId="41" fillId="0" borderId="55" xfId="3" applyFont="1" applyBorder="1" applyAlignment="1">
      <alignment horizontal="center" vertical="center"/>
    </xf>
    <xf numFmtId="165" fontId="41" fillId="0" borderId="64" xfId="3" applyFont="1" applyBorder="1" applyAlignment="1">
      <alignment horizontal="center" vertical="center"/>
    </xf>
    <xf numFmtId="165" fontId="41" fillId="0" borderId="38" xfId="3" applyFont="1" applyBorder="1" applyAlignment="1">
      <alignment horizontal="center" vertical="center" wrapText="1"/>
    </xf>
    <xf numFmtId="165" fontId="41" fillId="0" borderId="39" xfId="3" applyFont="1" applyBorder="1" applyAlignment="1">
      <alignment horizontal="center" vertical="center" wrapText="1"/>
    </xf>
    <xf numFmtId="165" fontId="8" fillId="0" borderId="2" xfId="3" applyBorder="1" applyAlignment="1">
      <alignment horizontal="center"/>
    </xf>
    <xf numFmtId="165" fontId="8" fillId="0" borderId="65" xfId="3" applyBorder="1" applyAlignment="1">
      <alignment horizontal="center"/>
    </xf>
    <xf numFmtId="165" fontId="41" fillId="0" borderId="7" xfId="3" applyFont="1" applyBorder="1" applyAlignment="1">
      <alignment horizontal="center" vertical="center" wrapText="1"/>
    </xf>
    <xf numFmtId="165" fontId="41" fillId="0" borderId="17" xfId="3" applyFont="1" applyBorder="1" applyAlignment="1">
      <alignment horizontal="center" vertical="center" wrapText="1"/>
    </xf>
    <xf numFmtId="165" fontId="41" fillId="0" borderId="62" xfId="3" applyFont="1" applyBorder="1" applyAlignment="1">
      <alignment horizontal="center" vertical="center" wrapText="1"/>
    </xf>
    <xf numFmtId="165" fontId="41" fillId="0" borderId="4" xfId="3" applyFont="1" applyBorder="1" applyAlignment="1">
      <alignment horizontal="center" vertical="center" wrapText="1"/>
    </xf>
    <xf numFmtId="165" fontId="41" fillId="0" borderId="2" xfId="3" applyFont="1" applyBorder="1" applyAlignment="1">
      <alignment horizontal="center"/>
    </xf>
    <xf numFmtId="165" fontId="41" fillId="0" borderId="65" xfId="3" applyFont="1" applyBorder="1" applyAlignment="1">
      <alignment horizontal="center"/>
    </xf>
    <xf numFmtId="165" fontId="8" fillId="0" borderId="53" xfId="3" applyBorder="1" applyAlignment="1">
      <alignment horizontal="center"/>
    </xf>
    <xf numFmtId="165" fontId="8" fillId="0" borderId="67" xfId="3" applyBorder="1" applyAlignment="1">
      <alignment horizontal="center"/>
    </xf>
    <xf numFmtId="15" fontId="41" fillId="0" borderId="44" xfId="3" applyNumberFormat="1" applyFont="1" applyBorder="1" applyAlignment="1">
      <alignment horizontal="center"/>
    </xf>
    <xf numFmtId="165" fontId="61" fillId="0" borderId="46" xfId="3" applyFont="1" applyBorder="1" applyAlignment="1">
      <alignment horizontal="center" vertical="center"/>
    </xf>
    <xf numFmtId="165" fontId="61" fillId="0" borderId="47" xfId="3" applyFont="1" applyBorder="1" applyAlignment="1">
      <alignment horizontal="center" vertical="center"/>
    </xf>
    <xf numFmtId="165" fontId="61" fillId="0" borderId="48" xfId="3" applyFont="1" applyBorder="1" applyAlignment="1">
      <alignment horizontal="center" vertical="center"/>
    </xf>
    <xf numFmtId="165" fontId="60" fillId="0" borderId="46" xfId="3" applyFont="1" applyBorder="1" applyAlignment="1">
      <alignment horizontal="center" vertical="center"/>
    </xf>
    <xf numFmtId="165" fontId="60" fillId="0" borderId="47" xfId="3" applyFont="1" applyBorder="1" applyAlignment="1">
      <alignment horizontal="center" vertical="center"/>
    </xf>
    <xf numFmtId="165" fontId="60" fillId="0" borderId="48" xfId="3" applyFont="1" applyBorder="1" applyAlignment="1">
      <alignment horizontal="center" vertical="center"/>
    </xf>
    <xf numFmtId="165" fontId="64" fillId="4" borderId="0" xfId="0" applyFont="1" applyFill="1" applyAlignment="1">
      <alignment horizontal="center"/>
    </xf>
    <xf numFmtId="165" fontId="76" fillId="0" borderId="0" xfId="0" applyFont="1" applyAlignment="1">
      <alignment horizontal="center" vertical="top"/>
    </xf>
    <xf numFmtId="165" fontId="65" fillId="20" borderId="41" xfId="0" applyFont="1" applyFill="1" applyBorder="1" applyAlignment="1">
      <alignment horizontal="left" vertical="center"/>
    </xf>
    <xf numFmtId="165" fontId="65" fillId="20" borderId="69" xfId="0" applyFont="1" applyFill="1" applyBorder="1" applyAlignment="1">
      <alignment horizontal="left" vertical="center"/>
    </xf>
    <xf numFmtId="165" fontId="65" fillId="20" borderId="69" xfId="0" applyFont="1" applyFill="1" applyBorder="1" applyAlignment="1">
      <alignment horizontal="center" vertical="center"/>
    </xf>
    <xf numFmtId="165" fontId="73" fillId="0" borderId="0" xfId="0" applyFont="1" applyAlignment="1">
      <alignment horizontal="center" vertical="top"/>
    </xf>
    <xf numFmtId="165" fontId="65" fillId="20" borderId="4" xfId="0" applyFont="1" applyFill="1" applyBorder="1" applyAlignment="1">
      <alignment horizontal="center" vertical="center"/>
    </xf>
    <xf numFmtId="165" fontId="65" fillId="20" borderId="4" xfId="0" applyFont="1" applyFill="1" applyBorder="1" applyAlignment="1">
      <alignment horizontal="left" vertical="center"/>
    </xf>
    <xf numFmtId="165" fontId="74" fillId="20" borderId="4" xfId="0" applyFont="1" applyFill="1" applyBorder="1" applyAlignment="1">
      <alignment horizontal="right" vertical="center"/>
    </xf>
    <xf numFmtId="165" fontId="14" fillId="0" borderId="23" xfId="3" applyFont="1" applyBorder="1" applyAlignment="1">
      <alignment horizontal="center" vertical="center"/>
    </xf>
    <xf numFmtId="165" fontId="14" fillId="0" borderId="27" xfId="3" applyFont="1" applyBorder="1" applyAlignment="1">
      <alignment horizontal="center" vertical="center"/>
    </xf>
    <xf numFmtId="165" fontId="14" fillId="0" borderId="35" xfId="3" applyFont="1" applyBorder="1" applyAlignment="1">
      <alignment horizontal="center" vertical="center"/>
    </xf>
    <xf numFmtId="165" fontId="14" fillId="0" borderId="13" xfId="3" applyFont="1" applyBorder="1" applyAlignment="1">
      <alignment horizontal="center" vertical="center"/>
    </xf>
    <xf numFmtId="2" fontId="32" fillId="0" borderId="84" xfId="3" applyNumberFormat="1" applyFont="1" applyBorder="1" applyAlignment="1">
      <alignment horizontal="center" vertical="center"/>
    </xf>
  </cellXfs>
  <cellStyles count="17">
    <cellStyle name="Comma" xfId="1" builtinId="3"/>
    <cellStyle name="Neutral" xfId="2" builtinId="28"/>
    <cellStyle name="Normal" xfId="0" builtinId="0"/>
    <cellStyle name="Normal 2" xfId="3" xr:uid="{C80A2C66-3E2C-4179-9159-DBCA8D9B0E56}"/>
    <cellStyle name="Normal 3" xfId="9" xr:uid="{CF2ABADC-5070-4BF5-85BE-C6735585C6D9}"/>
    <cellStyle name="Normal 3 2" xfId="15" xr:uid="{DC2ABFCD-8089-4D58-B99E-08E1FAD9FF32}"/>
    <cellStyle name="Percent 2" xfId="4" xr:uid="{CE2CDC16-AD31-4ED8-AE2A-FCD60A61219D}"/>
    <cellStyle name="Percent 3" xfId="5" xr:uid="{146671D8-AF93-4F7C-A417-29B4344625B7}"/>
    <cellStyle name="Percent 3 2" xfId="7" xr:uid="{D9E4557F-C4B0-46CD-A4D0-A5F6371463AD}"/>
    <cellStyle name="Percent 3 2 2" xfId="13" xr:uid="{34DF29C9-CC1F-489C-9B5C-86DA23AE2EAD}"/>
    <cellStyle name="Percent 3 3" xfId="11" xr:uid="{53D3FD01-33B0-466D-ADE6-A919A36CECBE}"/>
    <cellStyle name="Percent 4" xfId="6" xr:uid="{4AD98EB2-9BB4-4842-A408-0E56A74ED11E}"/>
    <cellStyle name="Percent 4 2" xfId="8" xr:uid="{4E10984A-3ADE-4C2D-B6E7-76DD6D94E726}"/>
    <cellStyle name="Percent 4 2 2" xfId="14" xr:uid="{F0B979ED-7081-4CE5-AE73-A7A6E88041FF}"/>
    <cellStyle name="Percent 4 3" xfId="10" xr:uid="{01053475-F444-4128-81F2-2F08DC4F4A0B}"/>
    <cellStyle name="Percent 4 3 2" xfId="16" xr:uid="{53801A28-4BCE-44B4-904F-9AF37504C028}"/>
    <cellStyle name="Percent 4 4" xfId="12" xr:uid="{5B270DAE-7FD6-4620-B6C7-8E73E3C84DBE}"/>
  </cellStyles>
  <dxfs count="2310"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0000FF"/>
      <color rgb="FF008200"/>
      <color rgb="FFCC3300"/>
      <color rgb="FFFF3300"/>
      <color rgb="FFFF0000"/>
      <color rgb="FFFF66FF"/>
      <color rgb="FFFF0066"/>
      <color rgb="FFFF9999"/>
      <color rgb="FFCC66FF"/>
      <color rgb="FFC2881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0.xml"/><Relationship Id="rId21" Type="http://schemas.openxmlformats.org/officeDocument/2006/relationships/externalLink" Target="externalLinks/externalLink5.xml"/><Relationship Id="rId34" Type="http://schemas.openxmlformats.org/officeDocument/2006/relationships/externalLink" Target="externalLinks/externalLink18.xml"/><Relationship Id="rId42" Type="http://schemas.openxmlformats.org/officeDocument/2006/relationships/externalLink" Target="externalLinks/externalLink26.xml"/><Relationship Id="rId47" Type="http://schemas.openxmlformats.org/officeDocument/2006/relationships/externalLink" Target="externalLinks/externalLink31.xml"/><Relationship Id="rId50" Type="http://schemas.openxmlformats.org/officeDocument/2006/relationships/externalLink" Target="externalLinks/externalLink34.xml"/><Relationship Id="rId55" Type="http://schemas.openxmlformats.org/officeDocument/2006/relationships/externalLink" Target="externalLinks/externalLink39.xml"/><Relationship Id="rId63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externalLink" Target="externalLinks/externalLink13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8.xml"/><Relationship Id="rId32" Type="http://schemas.openxmlformats.org/officeDocument/2006/relationships/externalLink" Target="externalLinks/externalLink16.xml"/><Relationship Id="rId37" Type="http://schemas.openxmlformats.org/officeDocument/2006/relationships/externalLink" Target="externalLinks/externalLink21.xml"/><Relationship Id="rId40" Type="http://schemas.openxmlformats.org/officeDocument/2006/relationships/externalLink" Target="externalLinks/externalLink24.xml"/><Relationship Id="rId45" Type="http://schemas.openxmlformats.org/officeDocument/2006/relationships/externalLink" Target="externalLinks/externalLink29.xml"/><Relationship Id="rId53" Type="http://schemas.openxmlformats.org/officeDocument/2006/relationships/externalLink" Target="externalLinks/externalLink37.xml"/><Relationship Id="rId58" Type="http://schemas.openxmlformats.org/officeDocument/2006/relationships/externalLink" Target="externalLinks/externalLink42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45.xml"/><Relationship Id="rId19" Type="http://schemas.openxmlformats.org/officeDocument/2006/relationships/externalLink" Target="externalLinks/externalLink3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6.xml"/><Relationship Id="rId27" Type="http://schemas.openxmlformats.org/officeDocument/2006/relationships/externalLink" Target="externalLinks/externalLink11.xml"/><Relationship Id="rId30" Type="http://schemas.openxmlformats.org/officeDocument/2006/relationships/externalLink" Target="externalLinks/externalLink14.xml"/><Relationship Id="rId35" Type="http://schemas.openxmlformats.org/officeDocument/2006/relationships/externalLink" Target="externalLinks/externalLink19.xml"/><Relationship Id="rId43" Type="http://schemas.openxmlformats.org/officeDocument/2006/relationships/externalLink" Target="externalLinks/externalLink27.xml"/><Relationship Id="rId48" Type="http://schemas.openxmlformats.org/officeDocument/2006/relationships/externalLink" Target="externalLinks/externalLink32.xml"/><Relationship Id="rId56" Type="http://schemas.openxmlformats.org/officeDocument/2006/relationships/externalLink" Target="externalLinks/externalLink40.xml"/><Relationship Id="rId64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openxmlformats.org/officeDocument/2006/relationships/externalLink" Target="externalLinks/externalLink9.xml"/><Relationship Id="rId33" Type="http://schemas.openxmlformats.org/officeDocument/2006/relationships/externalLink" Target="externalLinks/externalLink17.xml"/><Relationship Id="rId38" Type="http://schemas.openxmlformats.org/officeDocument/2006/relationships/externalLink" Target="externalLinks/externalLink22.xml"/><Relationship Id="rId46" Type="http://schemas.openxmlformats.org/officeDocument/2006/relationships/externalLink" Target="externalLinks/externalLink30.xml"/><Relationship Id="rId59" Type="http://schemas.openxmlformats.org/officeDocument/2006/relationships/externalLink" Target="externalLinks/externalLink43.xml"/><Relationship Id="rId20" Type="http://schemas.openxmlformats.org/officeDocument/2006/relationships/externalLink" Target="externalLinks/externalLink4.xml"/><Relationship Id="rId41" Type="http://schemas.openxmlformats.org/officeDocument/2006/relationships/externalLink" Target="externalLinks/externalLink25.xml"/><Relationship Id="rId54" Type="http://schemas.openxmlformats.org/officeDocument/2006/relationships/externalLink" Target="externalLinks/externalLink38.xml"/><Relationship Id="rId62" Type="http://schemas.openxmlformats.org/officeDocument/2006/relationships/externalLink" Target="externalLinks/externalLink4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7.xml"/><Relationship Id="rId28" Type="http://schemas.openxmlformats.org/officeDocument/2006/relationships/externalLink" Target="externalLinks/externalLink12.xml"/><Relationship Id="rId36" Type="http://schemas.openxmlformats.org/officeDocument/2006/relationships/externalLink" Target="externalLinks/externalLink20.xml"/><Relationship Id="rId49" Type="http://schemas.openxmlformats.org/officeDocument/2006/relationships/externalLink" Target="externalLinks/externalLink33.xml"/><Relationship Id="rId57" Type="http://schemas.openxmlformats.org/officeDocument/2006/relationships/externalLink" Target="externalLinks/externalLink41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5.xml"/><Relationship Id="rId44" Type="http://schemas.openxmlformats.org/officeDocument/2006/relationships/externalLink" Target="externalLinks/externalLink28.xml"/><Relationship Id="rId52" Type="http://schemas.openxmlformats.org/officeDocument/2006/relationships/externalLink" Target="externalLinks/externalLink36.xml"/><Relationship Id="rId60" Type="http://schemas.openxmlformats.org/officeDocument/2006/relationships/externalLink" Target="externalLinks/externalLink44.xml"/><Relationship Id="rId6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9" Type="http://schemas.openxmlformats.org/officeDocument/2006/relationships/externalLink" Target="externalLinks/externalLink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'Brewer Performance'!$E$4</c:f>
              <c:strCache>
                <c:ptCount val="1"/>
                <c:pt idx="0">
                  <c:v>MTD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</c:spPr>
          <c:invertIfNegative val="0"/>
          <c:cat>
            <c:strRef>
              <c:f>'Brewer Performance'!$C$5:$C$9</c:f>
              <c:strCache>
                <c:ptCount val="5"/>
                <c:pt idx="0">
                  <c:v>KEIRAN BENJAMIN</c:v>
                </c:pt>
                <c:pt idx="1">
                  <c:v>JOHNNY GREENIDGE</c:v>
                </c:pt>
                <c:pt idx="2">
                  <c:v>JAMES GRANT</c:v>
                </c:pt>
                <c:pt idx="3">
                  <c:v>RODNEY REGIS</c:v>
                </c:pt>
                <c:pt idx="4">
                  <c:v>DESEAN EMERY</c:v>
                </c:pt>
              </c:strCache>
            </c:strRef>
          </c:cat>
          <c:val>
            <c:numRef>
              <c:f>'Brewer Performance'!$E$5:$E$9</c:f>
              <c:numCache>
                <c:formatCode>0.00</c:formatCode>
                <c:ptCount val="5"/>
                <c:pt idx="0">
                  <c:v>98.214734207097663</c:v>
                </c:pt>
                <c:pt idx="1">
                  <c:v>97.831216272750581</c:v>
                </c:pt>
                <c:pt idx="2">
                  <c:v>100.82497251003979</c:v>
                </c:pt>
                <c:pt idx="3">
                  <c:v>97.759800403711807</c:v>
                </c:pt>
                <c:pt idx="4">
                  <c:v>98.186950219332687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12-4AB4-ABF6-AFB5CBFC3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3214208"/>
        <c:axId val="37321600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'Brewer Performance'!$G$4</c15:sqref>
                        </c15:formulaRef>
                      </c:ext>
                    </c:extLst>
                    <c:strCache>
                      <c:ptCount val="1"/>
                      <c:pt idx="0">
                        <c:v>TARGET</c:v>
                      </c:pt>
                    </c:strCache>
                  </c:strRef>
                </c:tx>
                <c:spPr>
                  <a:solidFill>
                    <a:schemeClr val="accent3">
                      <a:lumMod val="75000"/>
                    </a:schemeClr>
                  </a:solidFill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'Brewer Performance'!$C$5:$C$9</c15:sqref>
                        </c15:formulaRef>
                      </c:ext>
                    </c:extLst>
                    <c:strCache>
                      <c:ptCount val="5"/>
                      <c:pt idx="0">
                        <c:v>KEIRAN BENJAMIN</c:v>
                      </c:pt>
                      <c:pt idx="1">
                        <c:v>JOHNNY GREENIDGE</c:v>
                      </c:pt>
                      <c:pt idx="2">
                        <c:v>JAMES GRANT</c:v>
                      </c:pt>
                      <c:pt idx="3">
                        <c:v>RODNEY REGIS</c:v>
                      </c:pt>
                      <c:pt idx="4">
                        <c:v>DESEAN EMERY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'Brewer Performance'!$G$5:$G$9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98</c:v>
                      </c:pt>
                      <c:pt idx="1">
                        <c:v>98</c:v>
                      </c:pt>
                      <c:pt idx="2">
                        <c:v>98</c:v>
                      </c:pt>
                      <c:pt idx="3">
                        <c:v>98</c:v>
                      </c:pt>
                      <c:pt idx="4">
                        <c:v>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9F12-4AB4-ABF6-AFB5CBFC33A6}"/>
                  </c:ext>
                </c:extLst>
              </c15:ser>
            </c15:filteredBarSeries>
          </c:ext>
        </c:extLst>
      </c:barChart>
      <c:catAx>
        <c:axId val="37321420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 b="1"/>
            </a:pPr>
            <a:endParaRPr lang="en-US"/>
          </a:p>
        </c:txPr>
        <c:crossAx val="373216000"/>
        <c:crosses val="autoZero"/>
        <c:auto val="1"/>
        <c:lblAlgn val="ctr"/>
        <c:lblOffset val="100"/>
        <c:noMultiLvlLbl val="0"/>
      </c:catAx>
      <c:valAx>
        <c:axId val="373216000"/>
        <c:scaling>
          <c:orientation val="minMax"/>
          <c:max val="100"/>
          <c:min val="90"/>
        </c:scaling>
        <c:delete val="0"/>
        <c:axPos val="l"/>
        <c:majorGridlines/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200" b="1"/>
            </a:pPr>
            <a:endParaRPr lang="en-US"/>
          </a:p>
        </c:txPr>
        <c:crossAx val="373214208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100" b="1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2" l="0.70000000000000062" r="0.70000000000000062" t="0.750000000000002" header="0.30000000000000032" footer="0.30000000000000032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34"/>
    </mc:Choice>
    <mc:Fallback>
      <c:style val="34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'Brewer Performance'!$C$40</c:f>
              <c:strCache>
                <c:ptCount val="1"/>
                <c:pt idx="0">
                  <c:v>KEIRAN BENJAMIN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Performance'!$D$40:$O$40</c:f>
              <c:numCache>
                <c:formatCode>0.00</c:formatCode>
                <c:ptCount val="12"/>
                <c:pt idx="0">
                  <c:v>96.507822129582451</c:v>
                </c:pt>
                <c:pt idx="1">
                  <c:v>98.284801217583563</c:v>
                </c:pt>
                <c:pt idx="2">
                  <c:v>98.226686244092193</c:v>
                </c:pt>
                <c:pt idx="3">
                  <c:v>98.210530202427222</c:v>
                </c:pt>
                <c:pt idx="4">
                  <c:v>98.517352497406634</c:v>
                </c:pt>
                <c:pt idx="5">
                  <c:v>98.214734207097663</c:v>
                </c:pt>
                <c:pt idx="6">
                  <c:v>98.198803831827249</c:v>
                </c:pt>
                <c:pt idx="7">
                  <c:v>97.486490472733735</c:v>
                </c:pt>
                <c:pt idx="8">
                  <c:v>97.932459358923822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C4-4B61-A360-434F4872A4EA}"/>
            </c:ext>
          </c:extLst>
        </c:ser>
        <c:ser>
          <c:idx val="1"/>
          <c:order val="1"/>
          <c:tx>
            <c:strRef>
              <c:f>'Brewer Performance'!$C$41</c:f>
              <c:strCache>
                <c:ptCount val="1"/>
                <c:pt idx="0">
                  <c:v>JOHNNY GREENIDGE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Performance'!$D$41:$O$41</c:f>
              <c:numCache>
                <c:formatCode>0.00</c:formatCode>
                <c:ptCount val="12"/>
                <c:pt idx="0">
                  <c:v>97.99738587335284</c:v>
                </c:pt>
                <c:pt idx="1">
                  <c:v>97.918121549662388</c:v>
                </c:pt>
                <c:pt idx="2">
                  <c:v>98.070081368185257</c:v>
                </c:pt>
                <c:pt idx="3">
                  <c:v>97.79453968977019</c:v>
                </c:pt>
                <c:pt idx="4">
                  <c:v>98.442574874312371</c:v>
                </c:pt>
                <c:pt idx="5">
                  <c:v>97.831216272750581</c:v>
                </c:pt>
                <c:pt idx="6">
                  <c:v>98.459260197488078</c:v>
                </c:pt>
                <c:pt idx="7">
                  <c:v>98.711428992063503</c:v>
                </c:pt>
                <c:pt idx="8">
                  <c:v>97.854862054451985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C4-4B61-A360-434F4872A4EA}"/>
            </c:ext>
          </c:extLst>
        </c:ser>
        <c:ser>
          <c:idx val="2"/>
          <c:order val="2"/>
          <c:tx>
            <c:strRef>
              <c:f>'Brewer Performance'!$C$42</c:f>
              <c:strCache>
                <c:ptCount val="1"/>
                <c:pt idx="0">
                  <c:v>JAMES GRANT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Performance'!$D$42:$O$42</c:f>
              <c:numCache>
                <c:formatCode>0.00</c:formatCode>
                <c:ptCount val="12"/>
                <c:pt idx="3">
                  <c:v>98.305001734453086</c:v>
                </c:pt>
                <c:pt idx="5">
                  <c:v>100.82497251003979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C4-4B61-A360-434F4872A4EA}"/>
            </c:ext>
          </c:extLst>
        </c:ser>
        <c:ser>
          <c:idx val="3"/>
          <c:order val="3"/>
          <c:tx>
            <c:strRef>
              <c:f>'Brewer Performance'!$C$44</c:f>
              <c:strCache>
                <c:ptCount val="1"/>
                <c:pt idx="0">
                  <c:v>RODNEY REGIS</c:v>
                </c:pt>
              </c:strCache>
              <c:extLst xmlns:c15="http://schemas.microsoft.com/office/drawing/2012/chart"/>
            </c:strRef>
          </c:tx>
          <c:marker>
            <c:spPr>
              <a:solidFill>
                <a:srgbClr val="7030A0"/>
              </a:solidFill>
            </c:spPr>
          </c:marker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  <c:extLst xmlns:c15="http://schemas.microsoft.com/office/drawing/2012/chart"/>
            </c:strRef>
          </c:cat>
          <c:val>
            <c:numRef>
              <c:f>'Brewer Performance'!$D$44:$O$44</c:f>
              <c:numCache>
                <c:formatCode>0.00</c:formatCode>
                <c:ptCount val="12"/>
                <c:pt idx="0">
                  <c:v>98.304611060419475</c:v>
                </c:pt>
                <c:pt idx="1">
                  <c:v>97.289162940824014</c:v>
                </c:pt>
                <c:pt idx="2">
                  <c:v>98.163642226187022</c:v>
                </c:pt>
                <c:pt idx="3">
                  <c:v>97.964054285784258</c:v>
                </c:pt>
                <c:pt idx="4">
                  <c:v>98.685415156420575</c:v>
                </c:pt>
                <c:pt idx="5">
                  <c:v>97.759800403711807</c:v>
                </c:pt>
                <c:pt idx="6">
                  <c:v>98.532266745142223</c:v>
                </c:pt>
                <c:pt idx="7">
                  <c:v>98.484140672420295</c:v>
                </c:pt>
                <c:pt idx="8">
                  <c:v>97.916815501712691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AEC4-4B61-A360-434F4872A4EA}"/>
            </c:ext>
          </c:extLst>
        </c:ser>
        <c:ser>
          <c:idx val="4"/>
          <c:order val="4"/>
          <c:tx>
            <c:strRef>
              <c:f>'Brewer Performance'!$C$45</c:f>
              <c:strCache>
                <c:ptCount val="1"/>
                <c:pt idx="0">
                  <c:v>DESEAN EMERY</c:v>
                </c:pt>
              </c:strCache>
              <c:extLst xmlns:c15="http://schemas.microsoft.com/office/drawing/2012/chart"/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  <c:extLst xmlns:c15="http://schemas.microsoft.com/office/drawing/2012/chart"/>
            </c:strRef>
          </c:cat>
          <c:val>
            <c:numRef>
              <c:f>'Brewer Performance'!$D$45:$O$45</c:f>
              <c:numCache>
                <c:formatCode>0.00</c:formatCode>
                <c:ptCount val="12"/>
                <c:pt idx="0">
                  <c:v>98.673584433402866</c:v>
                </c:pt>
                <c:pt idx="5">
                  <c:v>98.186950219332687</c:v>
                </c:pt>
                <c:pt idx="6">
                  <c:v>97.888270164748889</c:v>
                </c:pt>
                <c:pt idx="7">
                  <c:v>97.609604379501235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AEC4-4B61-A360-434F4872A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286016"/>
        <c:axId val="373287552"/>
        <c:extLst>
          <c:ext xmlns:c15="http://schemas.microsoft.com/office/drawing/2012/chart" uri="{02D57815-91ED-43cb-92C2-25804820EDAC}">
            <c15:filteredLineSeries>
              <c15:ser>
                <c:idx val="5"/>
                <c:order val="5"/>
                <c:tx>
                  <c:strRef>
                    <c:extLst>
                      <c:ext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>
                      <c:ext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AEC4-4B61-A360-434F4872A4EA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marker>
                  <c:spPr>
                    <a:solidFill>
                      <a:srgbClr val="FFFF99"/>
                    </a:solidFill>
                    <a:ln>
                      <a:solidFill>
                        <a:srgbClr val="FFFF00"/>
                      </a:solidFill>
                    </a:ln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EC4-4B61-A360-434F4872A4EA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EC4-4B61-A360-434F4872A4EA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EC4-4B61-A360-434F4872A4EA}"/>
                  </c:ext>
                </c:extLst>
              </c15:ser>
            </c15:filteredLineSeries>
          </c:ext>
        </c:extLst>
      </c:lineChart>
      <c:catAx>
        <c:axId val="3732860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 b="1"/>
            </a:pPr>
            <a:endParaRPr lang="en-US"/>
          </a:p>
        </c:txPr>
        <c:crossAx val="373287552"/>
        <c:crosses val="autoZero"/>
        <c:auto val="1"/>
        <c:lblAlgn val="ctr"/>
        <c:lblOffset val="100"/>
        <c:noMultiLvlLbl val="0"/>
      </c:catAx>
      <c:valAx>
        <c:axId val="373287552"/>
        <c:scaling>
          <c:orientation val="minMax"/>
          <c:max val="100"/>
          <c:min val="90.5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txPr>
          <a:bodyPr/>
          <a:lstStyle/>
          <a:p>
            <a:pPr>
              <a:defRPr sz="1300" b="1"/>
            </a:pPr>
            <a:endParaRPr lang="en-US"/>
          </a:p>
        </c:txPr>
        <c:crossAx val="373286016"/>
        <c:crosses val="autoZero"/>
        <c:crossBetween val="between"/>
      </c:valAx>
      <c:spPr>
        <a:gradFill rotWithShape="1">
          <a:gsLst>
            <a:gs pos="0">
              <a:schemeClr val="dk1">
                <a:tint val="50000"/>
                <a:satMod val="300000"/>
              </a:schemeClr>
            </a:gs>
            <a:gs pos="35000">
              <a:schemeClr val="dk1">
                <a:tint val="37000"/>
                <a:satMod val="300000"/>
              </a:schemeClr>
            </a:gs>
            <a:gs pos="100000">
              <a:schemeClr val="dk1">
                <a:tint val="15000"/>
                <a:satMod val="350000"/>
              </a:schemeClr>
            </a:gs>
          </a:gsLst>
          <a:lin ang="16200000" scaled="1"/>
        </a:gradFill>
        <a:ln w="9525" cap="flat" cmpd="sng" algn="ctr">
          <a:solidFill>
            <a:schemeClr val="dk1">
              <a:shade val="95000"/>
              <a:satMod val="105000"/>
            </a:schemeClr>
          </a:solidFill>
          <a:prstDash val="solid"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c:spPr>
    </c:plotArea>
    <c:legend>
      <c:legendPos val="r"/>
      <c:overlay val="0"/>
      <c:txPr>
        <a:bodyPr/>
        <a:lstStyle/>
        <a:p>
          <a:pPr>
            <a:defRPr sz="1400" b="1" i="1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352283</xdr:colOff>
      <xdr:row>14</xdr:row>
      <xdr:rowOff>16246</xdr:rowOff>
    </xdr:from>
    <xdr:to>
      <xdr:col>8</xdr:col>
      <xdr:colOff>27873</xdr:colOff>
      <xdr:row>33</xdr:row>
      <xdr:rowOff>106174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51162C-1400-4B7D-927D-16D885EB38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251011</xdr:colOff>
      <xdr:row>48</xdr:row>
      <xdr:rowOff>79841</xdr:rowOff>
    </xdr:from>
    <xdr:to>
      <xdr:col>15</xdr:col>
      <xdr:colOff>679636</xdr:colOff>
      <xdr:row>75</xdr:row>
      <xdr:rowOff>36979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53D5D15-1D00-488B-99AD-7941550F4D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Reports%20Local\Daily%20Process%20Report\May'18%20Daily%20Process%20Repor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Reports%20Local\Daily%20Process%20Report\January'20%20Daily%20Process%20Repor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StagLog2026.xls" TargetMode="External"/><Relationship Id="rId2" Type="http://schemas.openxmlformats.org/officeDocument/2006/relationships/externalLinkPath" Target="file:///F:\Operations\Brewing\Logbooks\Logbooks%202026\NewStagLog2026.xls" TargetMode="External"/><Relationship Id="rId1" Type="http://schemas.openxmlformats.org/officeDocument/2006/relationships/externalLinkPath" Target="/Operations/Brewing/Logbooks/Logbooks%202026/NewStagLog2026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CaribLog2026.xlsx" TargetMode="External"/><Relationship Id="rId2" Type="http://schemas.openxmlformats.org/officeDocument/2006/relationships/externalLinkPath" Target="file:///F:\Operations\Brewing\Logbooks\Logbooks%202026\NewCaribLog2026.xlsx" TargetMode="External"/><Relationship Id="rId1" Type="http://schemas.openxmlformats.org/officeDocument/2006/relationships/externalLinkPath" Target="/Operations/Brewing/Logbooks/Logbooks%202026/NewCaribLog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GuinnLog2026.xls" TargetMode="External"/><Relationship Id="rId2" Type="http://schemas.openxmlformats.org/officeDocument/2006/relationships/externalLinkPath" Target="file:///F:\Operations\Brewing\Logbooks\Logbooks%202026\NewGuinnLog2026.xls" TargetMode="External"/><Relationship Id="rId1" Type="http://schemas.openxmlformats.org/officeDocument/2006/relationships/externalLinkPath" Target="/Operations/Brewing/Logbooks/Logbooks%202026/NewGuinnLog2026.xls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VMaltLog2026.xls" TargetMode="External"/><Relationship Id="rId2" Type="http://schemas.openxmlformats.org/officeDocument/2006/relationships/externalLinkPath" Target="file:///F:\Operations\Brewing\Logbooks\Logbooks%202026\NewVMaltLog2026.xls" TargetMode="External"/><Relationship Id="rId1" Type="http://schemas.openxmlformats.org/officeDocument/2006/relationships/externalLinkPath" Target="/Operations/Brewing/Logbooks/Logbooks%202026/NewVMaltLog2026.xls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MackLog2026.xls" TargetMode="External"/><Relationship Id="rId2" Type="http://schemas.openxmlformats.org/officeDocument/2006/relationships/externalLinkPath" Target="file:///F:\Operations\Brewing\Logbooks\Logbooks%202026\NewMackLog2026.xls" TargetMode="External"/><Relationship Id="rId1" Type="http://schemas.openxmlformats.org/officeDocument/2006/relationships/externalLinkPath" Target="/Operations/Brewing/Logbooks/Logbooks%202026/NewMackLog2026.xls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SMaltLog2026.xls" TargetMode="External"/><Relationship Id="rId2" Type="http://schemas.openxmlformats.org/officeDocument/2006/relationships/externalLinkPath" Target="file:///F:\Operations\Brewing\Logbooks\Logbooks%202026\NewSMaltLog2026.xls" TargetMode="External"/><Relationship Id="rId1" Type="http://schemas.openxmlformats.org/officeDocument/2006/relationships/externalLinkPath" Target="/Operations/Brewing/Logbooks/Logbooks%202026/NewSMaltLog2026.xls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anuary%20'26%20Daily%20Process%20Report%202026.xlsx" TargetMode="External"/><Relationship Id="rId1" Type="http://schemas.openxmlformats.org/officeDocument/2006/relationships/externalLinkPath" Target="January%20'26%20Daily%20Process%20Report%202026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February%20'26%20Daily%20Process%20Report%202026.xlsx" TargetMode="External"/><Relationship Id="rId1" Type="http://schemas.openxmlformats.org/officeDocument/2006/relationships/externalLinkPath" Target="February%20'26%20Daily%20Process%20Report%202026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March'26%20Daily%20Process%20Report%202026.xlsx" TargetMode="External"/><Relationship Id="rId1" Type="http://schemas.openxmlformats.org/officeDocument/2006/relationships/externalLinkPath" Target="March'26%20Daily%20Process%20Report%202026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April%20'26%20Daily%20Process%20Report%202026.xlsx" TargetMode="External"/><Relationship Id="rId1" Type="http://schemas.openxmlformats.org/officeDocument/2006/relationships/externalLinkPath" Target="April%20'26%20Daily%20Process%20Report%202026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May'26%20Daily%20Process%20Report%202026.xlsx" TargetMode="External"/><Relationship Id="rId1" Type="http://schemas.openxmlformats.org/officeDocument/2006/relationships/externalLinkPath" Target="May'26%20Daily%20Process%20Report%202026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une'26%20Daily%20Process%20Report%202026.xlsx" TargetMode="External"/><Relationship Id="rId1" Type="http://schemas.openxmlformats.org/officeDocument/2006/relationships/externalLinkPath" Target="June'26%20Daily%20Process%20Report%202026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uly'26%20Daily%20Process%20Report%202026.xlsx" TargetMode="External"/><Relationship Id="rId1" Type="http://schemas.openxmlformats.org/officeDocument/2006/relationships/externalLinkPath" Target="July'26%20Daily%20Process%20Report%202026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August'26%20Daily%20Process%20Report%202026.xlsx" TargetMode="External"/><Relationship Id="rId1" Type="http://schemas.openxmlformats.org/officeDocument/2006/relationships/externalLinkPath" Target="August'26%20Daily%20Process%20Report%202026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September'26%20Daily%20Process%20Report%202026.xlsx" TargetMode="External"/><Relationship Id="rId1" Type="http://schemas.openxmlformats.org/officeDocument/2006/relationships/externalLinkPath" Target="September'26%20Daily%20Process%20Report%202026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Daily_Brewhouse_Efficiency/Daily_Brewhouse_Efficiency_2026.xls" TargetMode="External"/><Relationship Id="rId2" Type="http://schemas.openxmlformats.org/officeDocument/2006/relationships/externalLinkPath" Target="file:///F:\Operations\Reshelle\Brewing\Daily_Brewhouse_Efficiency\Daily_Brewhouse_Efficiency_2026.xls" TargetMode="External"/><Relationship Id="rId1" Type="http://schemas.openxmlformats.org/officeDocument/2006/relationships/externalLinkPath" Target="/Operations/Reshelle/Brewing/Daily_Brewhouse_Efficiency/Daily_Brewhouse_Efficiency_2026.xls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Filtration_Throughput/Filtration_Throughput_2026.xlsx" TargetMode="External"/><Relationship Id="rId2" Type="http://schemas.openxmlformats.org/officeDocument/2006/relationships/externalLinkPath" Target="file:///F:\Operations\Reshelle\Brewing\Filtration_Throughput\Filtration_Throughput_2026.xlsx" TargetMode="External"/><Relationship Id="rId1" Type="http://schemas.openxmlformats.org/officeDocument/2006/relationships/externalLinkPath" Target="/Operations/Reshelle/Brewing/Filtration_Throughput/Filtration_Throughput_2026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Royd/Brewing/Filtration_Throughput/Filtration_Throughput_2019.xlsx" TargetMode="External"/><Relationship Id="rId1" Type="http://schemas.openxmlformats.org/officeDocument/2006/relationships/externalLinkPath" Target="/Operations/Royd/Brewing/Filtration_Throughput/Filtration_Throughput_2019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CaribLog2022.xlsx" TargetMode="External"/><Relationship Id="rId2" Type="http://schemas.openxmlformats.org/officeDocument/2006/relationships/externalLinkPath" Target="file:///F:\Operations\Brewing\Logbooks\Logbooks%202022\NewCaribLog2022.xlsx" TargetMode="External"/><Relationship Id="rId1" Type="http://schemas.openxmlformats.org/officeDocument/2006/relationships/externalLinkPath" Target="/Operations/Brewing/Logbooks/Logbooks%202022/NewCaribLog2022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StagLog2022.xls" TargetMode="External"/><Relationship Id="rId2" Type="http://schemas.openxmlformats.org/officeDocument/2006/relationships/externalLinkPath" Target="file:///F:\Operations\Brewing\Logbooks\Logbooks%202022\NewStagLog2022.xls" TargetMode="External"/><Relationship Id="rId1" Type="http://schemas.openxmlformats.org/officeDocument/2006/relationships/externalLinkPath" Target="/Operations/Brewing/Logbooks/Logbooks%202022/NewStagLog2022.xls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GuinnLog2022.xls" TargetMode="External"/><Relationship Id="rId2" Type="http://schemas.openxmlformats.org/officeDocument/2006/relationships/externalLinkPath" Target="file:///F:\Operations\Brewing\Logbooks\Logbooks%202022\NewGuinnLog2022.xls" TargetMode="External"/><Relationship Id="rId1" Type="http://schemas.openxmlformats.org/officeDocument/2006/relationships/externalLinkPath" Target="/Operations/Brewing/Logbooks/Logbooks%202022/NewGuinnLog2022.xls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VMaltLog2022.xls" TargetMode="External"/><Relationship Id="rId2" Type="http://schemas.openxmlformats.org/officeDocument/2006/relationships/externalLinkPath" Target="file:///F:\Operations\Brewing\Logbooks\Logbooks%202022\NewVMaltLog2022.xls" TargetMode="External"/><Relationship Id="rId1" Type="http://schemas.openxmlformats.org/officeDocument/2006/relationships/externalLinkPath" Target="/Operations/Brewing/Logbooks/Logbooks%202022/NewVMaltLog2022.xls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MackLog2022.xls" TargetMode="External"/><Relationship Id="rId2" Type="http://schemas.openxmlformats.org/officeDocument/2006/relationships/externalLinkPath" Target="file:///F:\Operations\Brewing\Logbooks\Logbooks%202022\NewMackLog2022.xls" TargetMode="External"/><Relationship Id="rId1" Type="http://schemas.openxmlformats.org/officeDocument/2006/relationships/externalLinkPath" Target="/Operations/Brewing/Logbooks/Logbooks%202022/NewMackLog2022.xls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SMaltLog2022.xls" TargetMode="External"/><Relationship Id="rId2" Type="http://schemas.openxmlformats.org/officeDocument/2006/relationships/externalLinkPath" Target="file:///F:\Operations\Brewing\Logbooks\Logbooks%202022\NewSMaltLog2022.xls" TargetMode="External"/><Relationship Id="rId1" Type="http://schemas.openxmlformats.org/officeDocument/2006/relationships/externalLinkPath" Target="/Operations/Brewing/Logbooks/Logbooks%202022/NewSMaltLog2022.xls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HRLog2022.xls" TargetMode="External"/><Relationship Id="rId2" Type="http://schemas.openxmlformats.org/officeDocument/2006/relationships/externalLinkPath" Target="file:///F:\Operations\Brewing\Logbooks\Logbooks%202022\NewHRLog2022.xls" TargetMode="External"/><Relationship Id="rId1" Type="http://schemas.openxmlformats.org/officeDocument/2006/relationships/externalLinkPath" Target="/Operations/Brewing/Logbooks/Logbooks%202022/NewHRLog2022.xls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anuar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anuar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anuary%20'23%20Daily%20Process%20Report%202023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Februar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Februar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February%20'23%20Daily%20Process%20Report%202023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March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March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March%20'23%20Daily%20Process%20Report%202023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April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April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April%20'23%20Daily%20Process%20Report%202023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une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une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une%20'23%20Daily%20Process%20Report%202023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ul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ul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uly%20'23%20Daily%20Process%20Report%202023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August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August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August%20'23%20Daily%20Process%20Report%202023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October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October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October%20'23%20Daily%20Process%20Report%202023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Daily_Brewhouse_Efficiency/Daily_Brewhouse_Efficiency_2023.xls" TargetMode="External"/><Relationship Id="rId2" Type="http://schemas.openxmlformats.org/officeDocument/2006/relationships/externalLinkPath" Target="file:///F:\Operations\Reshelle\Brewing\Daily_Brewhouse_Efficiency\Daily_Brewhouse_Efficiency_2023.xls" TargetMode="External"/><Relationship Id="rId1" Type="http://schemas.openxmlformats.org/officeDocument/2006/relationships/externalLinkPath" Target="/Operations/Reshelle/Brewing/Daily_Brewhouse_Efficiency/Daily_Brewhouse_Efficiency_2023.xls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Filtration_Throughput/Filtration_Throughput_2023.xlsx" TargetMode="External"/><Relationship Id="rId2" Type="http://schemas.openxmlformats.org/officeDocument/2006/relationships/externalLinkPath" Target="file:///F:\Operations\Reshelle\Brewing\Filtration_Throughput\Filtration_Throughput_2023.xlsx" TargetMode="External"/><Relationship Id="rId1" Type="http://schemas.openxmlformats.org/officeDocument/2006/relationships/externalLinkPath" Target="/Operations/Reshelle/Brewing/Filtration_Throughput/Filtration_Throughput_2023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Royd/Brewing/Daily_Brewhouse_Efficiency/Daily_Brewhouse_Efficiency_2022.xls" TargetMode="External"/><Relationship Id="rId1" Type="http://schemas.openxmlformats.org/officeDocument/2006/relationships/externalLinkPath" Target="/Operations/Royd/Brewing/Daily_Brewhouse_Efficiency/Daily_Brewhouse_Efficiency_2022.xls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Losses%202026/October_2026.xls" TargetMode="External"/><Relationship Id="rId2" Type="http://schemas.openxmlformats.org/officeDocument/2006/relationships/externalLinkPath" Target="file:///F:\Operations\Brewing\Reports%20Local\Losses%202026\October_2026.xls" TargetMode="External"/><Relationship Id="rId1" Type="http://schemas.openxmlformats.org/officeDocument/2006/relationships/externalLinkPath" Target="/Operations/Brewing/Reports%20Local/Losses%202026/October_2026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Logbooks\Copy%20of%20NewCaribLog2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Logbooks\Copy%20of%20NewStagLog2.xls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NewVMaltLog.xls" TargetMode="External"/><Relationship Id="rId2" Type="http://schemas.openxmlformats.org/officeDocument/2006/relationships/externalLinkPath" Target="file:///F:\Operations\Brewing\Logbooks\NewVMaltLog.xls" TargetMode="External"/><Relationship Id="rId1" Type="http://schemas.openxmlformats.org/officeDocument/2006/relationships/externalLinkPath" Target="/Operations/Brewing/Logbooks/NewVMaltLog.xls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NewMMaltLog.xls" TargetMode="External"/><Relationship Id="rId2" Type="http://schemas.openxmlformats.org/officeDocument/2006/relationships/externalLinkPath" Target="file:///F:\Operations\Brewing\Logbooks\NewMMaltLog.xls" TargetMode="External"/><Relationship Id="rId1" Type="http://schemas.openxmlformats.org/officeDocument/2006/relationships/externalLinkPath" Target="/Operations/Brewing/Logbooks/NewMMaltLog.xls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Januar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Januar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January%20'22%20Daily%20Process%20Report%202022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Februar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Februar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February%20'22%20Daily%20Process%20Report%202022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Ma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Ma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May%20'22%20Daily%20Process%20Report%20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uly3"/>
      <sheetName val="July 4"/>
      <sheetName val="July 5"/>
      <sheetName val="July 6"/>
      <sheetName val="July 7"/>
      <sheetName val="July 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4"/>
      <sheetName val="July25"/>
      <sheetName val="July26"/>
      <sheetName val="July27"/>
      <sheetName val="July28"/>
      <sheetName val="July31"/>
      <sheetName val="August1"/>
      <sheetName val="August2"/>
      <sheetName val="August3"/>
      <sheetName val="August4"/>
      <sheetName val="August7"/>
      <sheetName val="August8"/>
      <sheetName val="August9"/>
      <sheetName val="August10"/>
      <sheetName val="August11&amp;13"/>
      <sheetName val="August16"/>
      <sheetName val="August17"/>
      <sheetName val="August18"/>
      <sheetName val="August21"/>
      <sheetName val="August22"/>
      <sheetName val="August23"/>
      <sheetName val="August24"/>
      <sheetName val="August28"/>
      <sheetName val="August29"/>
      <sheetName val="August30"/>
      <sheetName val="August31"/>
      <sheetName val="September1"/>
      <sheetName val="September4"/>
      <sheetName val="September5"/>
      <sheetName val="September6"/>
      <sheetName val="September 7"/>
      <sheetName val="September 8"/>
      <sheetName val="September 11"/>
      <sheetName val="September12"/>
      <sheetName val="September13"/>
      <sheetName val="September14"/>
      <sheetName val="September15"/>
      <sheetName val="September16"/>
      <sheetName val="September18"/>
      <sheetName val="September19"/>
      <sheetName val="September20"/>
      <sheetName val="September21"/>
      <sheetName val="September22"/>
      <sheetName val="September25"/>
      <sheetName val="September26"/>
      <sheetName val="September27"/>
      <sheetName val="September28"/>
      <sheetName val="September29"/>
      <sheetName val="October02 "/>
      <sheetName val="October03"/>
      <sheetName val="October04"/>
      <sheetName val="October05"/>
      <sheetName val="October06"/>
      <sheetName val="October07 "/>
      <sheetName val="October09"/>
      <sheetName val="October10"/>
      <sheetName val="October11"/>
      <sheetName val="October12"/>
      <sheetName val="October13"/>
      <sheetName val="October16"/>
      <sheetName val="October17"/>
      <sheetName val="October18"/>
      <sheetName val="October19"/>
      <sheetName val="October20"/>
      <sheetName val="October23"/>
      <sheetName val="October24"/>
      <sheetName val="October26"/>
      <sheetName val="October27"/>
      <sheetName val="October30"/>
      <sheetName val="October31"/>
      <sheetName val="November 1"/>
      <sheetName val="November 2"/>
      <sheetName val="November 3"/>
      <sheetName val="November 4"/>
      <sheetName val="November 6"/>
      <sheetName val="November 8"/>
      <sheetName val="November 9"/>
      <sheetName val="November10"/>
      <sheetName val="November11"/>
      <sheetName val="November13"/>
      <sheetName val="November14"/>
      <sheetName val="November15"/>
      <sheetName val="November16"/>
      <sheetName val="November17"/>
      <sheetName val="November18"/>
      <sheetName val="November20"/>
      <sheetName val="November21"/>
      <sheetName val="November22"/>
      <sheetName val="November23"/>
      <sheetName val="November24"/>
      <sheetName val="November25"/>
      <sheetName val="November27"/>
      <sheetName val="November28"/>
      <sheetName val="November29"/>
      <sheetName val="November30"/>
      <sheetName val="December1 "/>
      <sheetName val="December2"/>
      <sheetName val="December3"/>
      <sheetName val="December4"/>
      <sheetName val="December5"/>
      <sheetName val="December6"/>
      <sheetName val="December7"/>
      <sheetName val="December 8"/>
      <sheetName val="December 9-10"/>
      <sheetName val="December 11"/>
      <sheetName val="December12"/>
      <sheetName val="December13"/>
      <sheetName val="December14"/>
      <sheetName val="December15"/>
      <sheetName val="December16"/>
      <sheetName val="December18"/>
      <sheetName val="December19"/>
      <sheetName val="December20"/>
      <sheetName val="December21"/>
      <sheetName val="December22"/>
      <sheetName val="December27"/>
      <sheetName val="December28"/>
      <sheetName val="December29"/>
      <sheetName val="December30"/>
      <sheetName val="January 02"/>
      <sheetName val="January 03"/>
      <sheetName val="January 04"/>
      <sheetName val="January 05"/>
      <sheetName val="January 06"/>
      <sheetName val="January 08"/>
      <sheetName val="January 09"/>
      <sheetName val="January 10"/>
      <sheetName val="January12"/>
      <sheetName val="January13"/>
      <sheetName val="January15"/>
      <sheetName val="January16"/>
      <sheetName val="January17"/>
      <sheetName val="January18"/>
      <sheetName val="January19"/>
      <sheetName val="January22"/>
      <sheetName val="January23"/>
      <sheetName val="January24"/>
      <sheetName val="January25"/>
      <sheetName val="January26"/>
      <sheetName val="January29"/>
      <sheetName val="January30"/>
      <sheetName val="January31"/>
      <sheetName val="February1"/>
      <sheetName val="February2"/>
      <sheetName val="February4"/>
      <sheetName val="February5"/>
      <sheetName val="February6"/>
      <sheetName val="February8"/>
      <sheetName val="February9"/>
      <sheetName val="February10"/>
      <sheetName val="February12"/>
      <sheetName val="February13"/>
      <sheetName val="February14"/>
      <sheetName val="February15"/>
      <sheetName val="February16,17&amp;18"/>
      <sheetName val="February19"/>
      <sheetName val="February20"/>
      <sheetName val="February21"/>
      <sheetName val="February22 &amp;23"/>
      <sheetName val="February24"/>
      <sheetName val="February26"/>
      <sheetName val="February27"/>
      <sheetName val="February28"/>
      <sheetName val="March1"/>
      <sheetName val="March2"/>
      <sheetName val="March3"/>
      <sheetName val="March5"/>
      <sheetName val="March6"/>
      <sheetName val="March7"/>
      <sheetName val="March8"/>
      <sheetName val="March9,10"/>
      <sheetName val="March11 "/>
      <sheetName val="March12"/>
      <sheetName val="March13"/>
      <sheetName val="March15"/>
      <sheetName val="March16"/>
      <sheetName val="March19"/>
      <sheetName val="March20"/>
      <sheetName val="March21"/>
      <sheetName val="March22"/>
      <sheetName val="March23"/>
      <sheetName val="March24"/>
      <sheetName val="March26"/>
      <sheetName val="March27"/>
      <sheetName val="March28"/>
      <sheetName val="March29"/>
      <sheetName val="April3"/>
      <sheetName val="April4"/>
      <sheetName val="April5"/>
      <sheetName val="April6"/>
      <sheetName val="April7&amp;8"/>
      <sheetName val="April8"/>
      <sheetName val="April9"/>
      <sheetName val="April10"/>
      <sheetName val="April11"/>
      <sheetName val="April12"/>
      <sheetName val="April13"/>
      <sheetName val="April14"/>
      <sheetName val="April15"/>
      <sheetName val="April16"/>
      <sheetName val="April17"/>
      <sheetName val="April19"/>
      <sheetName val="April20"/>
      <sheetName val="April21"/>
      <sheetName val="April22"/>
      <sheetName val="April23"/>
      <sheetName val="April24"/>
      <sheetName val="April25"/>
      <sheetName val="April26"/>
      <sheetName val="April27"/>
      <sheetName val="April30"/>
      <sheetName val="May2"/>
      <sheetName val="May3"/>
      <sheetName val="May6"/>
      <sheetName val="May 7"/>
      <sheetName val="May 8"/>
      <sheetName val="May 9"/>
      <sheetName val="May 10"/>
      <sheetName val="May 11"/>
      <sheetName val="May 12&amp;13"/>
      <sheetName val="May 14"/>
      <sheetName val="May 15"/>
      <sheetName val="May 16"/>
      <sheetName val="May 17"/>
      <sheetName val="May 18"/>
      <sheetName val="May 19"/>
      <sheetName val="May 21"/>
      <sheetName val="May 22"/>
      <sheetName val="May 23"/>
      <sheetName val="May 24"/>
      <sheetName val="May 25"/>
      <sheetName val="May 28"/>
      <sheetName val="May 29"/>
      <sheetName val="May 30"/>
      <sheetName val="MTD_Links"/>
      <sheetName val="YTD_Link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>
        <row r="3">
          <cell r="R3" t="str">
            <v>CARIB</v>
          </cell>
        </row>
        <row r="4">
          <cell r="R4" t="str">
            <v>STAG</v>
          </cell>
        </row>
        <row r="5">
          <cell r="R5" t="str">
            <v>GUINNESS</v>
          </cell>
        </row>
        <row r="6">
          <cell r="R6" t="str">
            <v>MACKESON</v>
          </cell>
        </row>
        <row r="7">
          <cell r="R7" t="str">
            <v>STARMALT</v>
          </cell>
        </row>
        <row r="8">
          <cell r="R8" t="str">
            <v>MAXIMALT</v>
          </cell>
        </row>
        <row r="9">
          <cell r="R9" t="str">
            <v>VITAMALT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10">
          <cell r="I10">
            <v>99.750932208295694</v>
          </cell>
        </row>
      </sheetData>
      <sheetData sheetId="137">
        <row r="10">
          <cell r="I10">
            <v>92.554657395524345</v>
          </cell>
        </row>
      </sheetData>
      <sheetData sheetId="138">
        <row r="10">
          <cell r="I10">
            <v>93.061018396064128</v>
          </cell>
        </row>
      </sheetData>
      <sheetData sheetId="139">
        <row r="10">
          <cell r="I10">
            <v>94.662435717962396</v>
          </cell>
        </row>
      </sheetData>
      <sheetData sheetId="140">
        <row r="10">
          <cell r="I10">
            <v>92.045957227088977</v>
          </cell>
        </row>
      </sheetData>
      <sheetData sheetId="141">
        <row r="10">
          <cell r="I10">
            <v>91.890983117060841</v>
          </cell>
        </row>
      </sheetData>
      <sheetData sheetId="142">
        <row r="10">
          <cell r="I10">
            <v>91.025110697731037</v>
          </cell>
        </row>
      </sheetData>
      <sheetData sheetId="143"/>
      <sheetData sheetId="144">
        <row r="10">
          <cell r="I10">
            <v>90.366953732682646</v>
          </cell>
        </row>
      </sheetData>
      <sheetData sheetId="145">
        <row r="10">
          <cell r="I10">
            <v>97.702971903640275</v>
          </cell>
        </row>
      </sheetData>
      <sheetData sheetId="146">
        <row r="10">
          <cell r="I10">
            <v>99.810032745121021</v>
          </cell>
        </row>
      </sheetData>
      <sheetData sheetId="147">
        <row r="10">
          <cell r="I10">
            <v>94.627590963754557</v>
          </cell>
        </row>
      </sheetData>
      <sheetData sheetId="148">
        <row r="10">
          <cell r="I10">
            <v>94.899173579696182</v>
          </cell>
        </row>
      </sheetData>
      <sheetData sheetId="149"/>
      <sheetData sheetId="150">
        <row r="10">
          <cell r="I10">
            <v>96.082518252933426</v>
          </cell>
        </row>
      </sheetData>
      <sheetData sheetId="151">
        <row r="10">
          <cell r="I10">
            <v>93.775699444109193</v>
          </cell>
        </row>
      </sheetData>
      <sheetData sheetId="152">
        <row r="11">
          <cell r="I11">
            <v>96.926141806735757</v>
          </cell>
        </row>
      </sheetData>
      <sheetData sheetId="153"/>
      <sheetData sheetId="154">
        <row r="10">
          <cell r="I10">
            <v>94.523973772447604</v>
          </cell>
        </row>
      </sheetData>
      <sheetData sheetId="155">
        <row r="10">
          <cell r="I10">
            <v>94.570474921386278</v>
          </cell>
        </row>
      </sheetData>
      <sheetData sheetId="156">
        <row r="10">
          <cell r="I10">
            <v>93.068442573487985</v>
          </cell>
        </row>
      </sheetData>
      <sheetData sheetId="157"/>
      <sheetData sheetId="158">
        <row r="10">
          <cell r="I10">
            <v>93.966969001465571</v>
          </cell>
        </row>
      </sheetData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>
        <row r="10">
          <cell r="I10">
            <v>94.746744496090514</v>
          </cell>
        </row>
      </sheetData>
      <sheetData sheetId="181">
        <row r="10">
          <cell r="I10">
            <v>81.610633396186259</v>
          </cell>
        </row>
      </sheetData>
      <sheetData sheetId="182">
        <row r="10">
          <cell r="I10">
            <v>89.881069793572991</v>
          </cell>
        </row>
      </sheetData>
      <sheetData sheetId="183">
        <row r="10">
          <cell r="I10">
            <v>92.308295030910401</v>
          </cell>
        </row>
      </sheetData>
      <sheetData sheetId="184">
        <row r="10">
          <cell r="I10">
            <v>90.815839711253389</v>
          </cell>
        </row>
      </sheetData>
      <sheetData sheetId="185">
        <row r="10">
          <cell r="I10">
            <v>93.204137247268804</v>
          </cell>
        </row>
      </sheetData>
      <sheetData sheetId="186">
        <row r="10">
          <cell r="I10">
            <v>92.808947037217479</v>
          </cell>
        </row>
      </sheetData>
      <sheetData sheetId="187">
        <row r="10">
          <cell r="I10">
            <v>95.493653491136698</v>
          </cell>
        </row>
      </sheetData>
      <sheetData sheetId="188">
        <row r="10">
          <cell r="I10">
            <v>93.032943465571279</v>
          </cell>
        </row>
      </sheetData>
      <sheetData sheetId="189">
        <row r="10">
          <cell r="I10">
            <v>95.082477249706741</v>
          </cell>
        </row>
      </sheetData>
      <sheetData sheetId="190">
        <row r="10">
          <cell r="I10">
            <v>94.086430493781364</v>
          </cell>
        </row>
      </sheetData>
      <sheetData sheetId="191">
        <row r="10">
          <cell r="I10">
            <v>95.237068907803788</v>
          </cell>
        </row>
      </sheetData>
      <sheetData sheetId="192">
        <row r="10">
          <cell r="I10">
            <v>93.696594322135354</v>
          </cell>
        </row>
      </sheetData>
      <sheetData sheetId="193">
        <row r="10">
          <cell r="I10">
            <v>95.035429294750102</v>
          </cell>
        </row>
      </sheetData>
      <sheetData sheetId="194">
        <row r="10">
          <cell r="I10">
            <v>95.845120933176332</v>
          </cell>
        </row>
      </sheetData>
      <sheetData sheetId="195">
        <row r="10">
          <cell r="I10">
            <v>96.575612538518712</v>
          </cell>
        </row>
      </sheetData>
      <sheetData sheetId="196">
        <row r="10">
          <cell r="I10">
            <v>95.60390348648707</v>
          </cell>
        </row>
      </sheetData>
      <sheetData sheetId="197">
        <row r="10">
          <cell r="I10">
            <v>94.900683340102304</v>
          </cell>
        </row>
      </sheetData>
      <sheetData sheetId="198">
        <row r="10">
          <cell r="I10">
            <v>93.675056093360212</v>
          </cell>
        </row>
      </sheetData>
      <sheetData sheetId="199">
        <row r="10">
          <cell r="I10">
            <v>94.141326868887788</v>
          </cell>
        </row>
      </sheetData>
      <sheetData sheetId="200">
        <row r="10">
          <cell r="I10">
            <v>94.400570300845345</v>
          </cell>
        </row>
      </sheetData>
      <sheetData sheetId="201">
        <row r="11">
          <cell r="I11">
            <v>94.497356214098588</v>
          </cell>
        </row>
      </sheetData>
      <sheetData sheetId="202">
        <row r="10">
          <cell r="I10">
            <v>91.531580743624872</v>
          </cell>
        </row>
      </sheetData>
      <sheetData sheetId="203">
        <row r="10">
          <cell r="I10">
            <v>93.571794724463402</v>
          </cell>
        </row>
      </sheetData>
      <sheetData sheetId="204">
        <row r="10">
          <cell r="I10">
            <v>95.684805072230873</v>
          </cell>
        </row>
      </sheetData>
      <sheetData sheetId="205">
        <row r="10">
          <cell r="I10">
            <v>94.899817680638733</v>
          </cell>
        </row>
      </sheetData>
      <sheetData sheetId="206">
        <row r="10">
          <cell r="I10">
            <v>98.148777849881043</v>
          </cell>
        </row>
      </sheetData>
      <sheetData sheetId="207">
        <row r="10">
          <cell r="I10">
            <v>91.33164066384883</v>
          </cell>
        </row>
      </sheetData>
      <sheetData sheetId="208">
        <row r="10">
          <cell r="I10">
            <v>95.746955675971961</v>
          </cell>
        </row>
      </sheetData>
      <sheetData sheetId="209">
        <row r="10">
          <cell r="I10">
            <v>95.863617376516174</v>
          </cell>
        </row>
      </sheetData>
      <sheetData sheetId="210"/>
      <sheetData sheetId="211">
        <row r="10">
          <cell r="I10">
            <v>93.577418863812994</v>
          </cell>
        </row>
      </sheetData>
      <sheetData sheetId="212">
        <row r="10">
          <cell r="I10">
            <v>95.118868459634214</v>
          </cell>
        </row>
      </sheetData>
      <sheetData sheetId="213">
        <row r="10">
          <cell r="I10">
            <v>93.134820383580376</v>
          </cell>
        </row>
      </sheetData>
      <sheetData sheetId="214">
        <row r="10">
          <cell r="I10">
            <v>95.49640692397216</v>
          </cell>
        </row>
      </sheetData>
      <sheetData sheetId="215">
        <row r="10">
          <cell r="I10">
            <v>91.053396528745949</v>
          </cell>
        </row>
      </sheetData>
      <sheetData sheetId="216">
        <row r="10">
          <cell r="I10">
            <v>95.765002805481018</v>
          </cell>
        </row>
      </sheetData>
      <sheetData sheetId="217">
        <row r="10">
          <cell r="I10">
            <v>92.921491614246094</v>
          </cell>
        </row>
      </sheetData>
      <sheetData sheetId="218">
        <row r="10">
          <cell r="I10">
            <v>92.833655936590446</v>
          </cell>
        </row>
      </sheetData>
      <sheetData sheetId="219">
        <row r="10">
          <cell r="I10">
            <v>86.080188720816224</v>
          </cell>
        </row>
      </sheetData>
      <sheetData sheetId="220">
        <row r="10">
          <cell r="I10">
            <v>98.758814208396146</v>
          </cell>
        </row>
      </sheetData>
      <sheetData sheetId="221">
        <row r="10">
          <cell r="I10">
            <v>95.215143108531947</v>
          </cell>
        </row>
      </sheetData>
      <sheetData sheetId="222">
        <row r="10">
          <cell r="I10">
            <v>94.448105220636052</v>
          </cell>
        </row>
      </sheetData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>
        <row r="10">
          <cell r="I10">
            <v>92.662727799254284</v>
          </cell>
        </row>
      </sheetData>
      <sheetData sheetId="235">
        <row r="10">
          <cell r="I10">
            <v>85.997635221262584</v>
          </cell>
        </row>
      </sheetData>
      <sheetData sheetId="236">
        <row r="10">
          <cell r="I10">
            <v>93.392916824918487</v>
          </cell>
        </row>
      </sheetData>
      <sheetData sheetId="237">
        <row r="10">
          <cell r="I10">
            <v>98.419688132633198</v>
          </cell>
        </row>
      </sheetData>
      <sheetData sheetId="238">
        <row r="10">
          <cell r="I10">
            <v>98.896182519195435</v>
          </cell>
        </row>
      </sheetData>
      <sheetData sheetId="239">
        <row r="10">
          <cell r="I10">
            <v>89.706959355738562</v>
          </cell>
        </row>
      </sheetData>
      <sheetData sheetId="240">
        <row r="10">
          <cell r="I10">
            <v>92.665294455101332</v>
          </cell>
        </row>
      </sheetData>
      <sheetData sheetId="241">
        <row r="10">
          <cell r="I10">
            <v>93.157946425620224</v>
          </cell>
        </row>
      </sheetData>
      <sheetData sheetId="242">
        <row r="10">
          <cell r="I10">
            <v>93.127008978016477</v>
          </cell>
        </row>
      </sheetData>
      <sheetData sheetId="243">
        <row r="10">
          <cell r="I10">
            <v>89.118933714764424</v>
          </cell>
        </row>
      </sheetData>
      <sheetData sheetId="244">
        <row r="10">
          <cell r="I10">
            <v>92.080920589691559</v>
          </cell>
        </row>
      </sheetData>
      <sheetData sheetId="245">
        <row r="10">
          <cell r="I10">
            <v>83.486440442093041</v>
          </cell>
        </row>
      </sheetData>
      <sheetData sheetId="246">
        <row r="10">
          <cell r="I10">
            <v>93.388712454229619</v>
          </cell>
        </row>
      </sheetData>
      <sheetData sheetId="247">
        <row r="10">
          <cell r="I10">
            <v>97.30268556743809</v>
          </cell>
        </row>
      </sheetData>
      <sheetData sheetId="248">
        <row r="10">
          <cell r="I10">
            <v>91.263443885169522</v>
          </cell>
        </row>
      </sheetData>
      <sheetData sheetId="249">
        <row r="10">
          <cell r="I10">
            <v>97.225481973555304</v>
          </cell>
        </row>
      </sheetData>
      <sheetData sheetId="250">
        <row r="10">
          <cell r="I10">
            <v>97.225481973555304</v>
          </cell>
        </row>
      </sheetData>
      <sheetData sheetId="251"/>
      <sheetData sheetId="252"/>
      <sheetData sheetId="2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rewer Performance (2)"/>
      <sheetName val="July3"/>
      <sheetName val="July 4"/>
      <sheetName val="July 5"/>
      <sheetName val="July 6"/>
      <sheetName val="July 7"/>
      <sheetName val="July 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4"/>
      <sheetName val="July25"/>
      <sheetName val="July26"/>
      <sheetName val="July27"/>
      <sheetName val="July28"/>
      <sheetName val="July31"/>
      <sheetName val="August1"/>
      <sheetName val="August2"/>
      <sheetName val="August3"/>
      <sheetName val="August4"/>
      <sheetName val="August7"/>
      <sheetName val="August8"/>
      <sheetName val="August9"/>
      <sheetName val="August10"/>
      <sheetName val="August11&amp;13"/>
      <sheetName val="August16"/>
      <sheetName val="August17"/>
      <sheetName val="August18"/>
      <sheetName val="August21"/>
      <sheetName val="August22"/>
      <sheetName val="August23"/>
      <sheetName val="August24"/>
      <sheetName val="August28"/>
      <sheetName val="August29"/>
      <sheetName val="August30"/>
      <sheetName val="August31"/>
      <sheetName val="September1"/>
      <sheetName val="September4"/>
      <sheetName val="September5"/>
      <sheetName val="September6"/>
      <sheetName val="September 7"/>
      <sheetName val="September 8"/>
      <sheetName val="September 11"/>
      <sheetName val="September12"/>
      <sheetName val="September13"/>
      <sheetName val="September14"/>
      <sheetName val="September15"/>
      <sheetName val="September16"/>
      <sheetName val="September18"/>
      <sheetName val="September19"/>
      <sheetName val="September20"/>
      <sheetName val="September21"/>
      <sheetName val="September22"/>
      <sheetName val="September25"/>
      <sheetName val="September26"/>
      <sheetName val="September27"/>
      <sheetName val="September28"/>
      <sheetName val="September29"/>
      <sheetName val="October02 "/>
      <sheetName val="October03"/>
      <sheetName val="October04"/>
      <sheetName val="October05"/>
      <sheetName val="October06"/>
      <sheetName val="October07 "/>
      <sheetName val="October09"/>
      <sheetName val="October10"/>
      <sheetName val="October11"/>
      <sheetName val="October12"/>
      <sheetName val="October13"/>
      <sheetName val="October16"/>
      <sheetName val="October17"/>
      <sheetName val="October18"/>
      <sheetName val="October19"/>
      <sheetName val="October20"/>
      <sheetName val="October23"/>
      <sheetName val="October24"/>
      <sheetName val="October26"/>
      <sheetName val="October27"/>
      <sheetName val="October30"/>
      <sheetName val="October31"/>
      <sheetName val="November 1"/>
      <sheetName val="November 2"/>
      <sheetName val="November 3"/>
      <sheetName val="November 4"/>
      <sheetName val="November 6"/>
      <sheetName val="November 8"/>
      <sheetName val="November 9"/>
      <sheetName val="November10"/>
      <sheetName val="November11"/>
      <sheetName val="November13"/>
      <sheetName val="November14"/>
      <sheetName val="November15"/>
      <sheetName val="November16"/>
      <sheetName val="November17"/>
      <sheetName val="November18"/>
      <sheetName val="November20"/>
      <sheetName val="November21"/>
      <sheetName val="November22"/>
      <sheetName val="November23"/>
      <sheetName val="November24"/>
      <sheetName val="November25"/>
      <sheetName val="November27"/>
      <sheetName val="November28"/>
      <sheetName val="November29"/>
      <sheetName val="November30"/>
      <sheetName val="December1 "/>
      <sheetName val="December2"/>
      <sheetName val="December3"/>
      <sheetName val="December4"/>
      <sheetName val="December5"/>
      <sheetName val="December6"/>
      <sheetName val="December7"/>
      <sheetName val="December 8"/>
      <sheetName val="December 9-10"/>
      <sheetName val="December 11"/>
      <sheetName val="December12"/>
      <sheetName val="December13"/>
      <sheetName val="December14"/>
      <sheetName val="December15"/>
      <sheetName val="December16"/>
      <sheetName val="December18"/>
      <sheetName val="December19"/>
      <sheetName val="December20"/>
      <sheetName val="December21"/>
      <sheetName val="December22"/>
      <sheetName val="December27"/>
      <sheetName val="December28"/>
      <sheetName val="December29"/>
      <sheetName val="December30"/>
      <sheetName val="January 02"/>
      <sheetName val="January 03"/>
      <sheetName val="January 04"/>
      <sheetName val="January 05"/>
      <sheetName val="January 06"/>
      <sheetName val="January 08"/>
      <sheetName val="January 09"/>
      <sheetName val="January 10"/>
      <sheetName val="January12"/>
      <sheetName val="January13"/>
      <sheetName val="January15"/>
      <sheetName val="January16"/>
      <sheetName val="January17"/>
      <sheetName val="January18"/>
      <sheetName val="January19"/>
      <sheetName val="January22"/>
      <sheetName val="January23"/>
      <sheetName val="January24"/>
      <sheetName val="January25"/>
      <sheetName val="January26"/>
      <sheetName val="January29"/>
      <sheetName val="January30"/>
      <sheetName val="January31"/>
      <sheetName val="February1"/>
      <sheetName val="February2"/>
      <sheetName val="February4"/>
      <sheetName val="February5"/>
      <sheetName val="February6"/>
      <sheetName val="February8"/>
      <sheetName val="February9"/>
      <sheetName val="February10"/>
      <sheetName val="February12"/>
      <sheetName val="February13"/>
      <sheetName val="February14"/>
      <sheetName val="February15"/>
      <sheetName val="February16,17&amp;18"/>
      <sheetName val="February19"/>
      <sheetName val="February20"/>
      <sheetName val="February21"/>
      <sheetName val="February22 &amp;23"/>
      <sheetName val="February24"/>
      <sheetName val="February26"/>
      <sheetName val="February27"/>
      <sheetName val="February28"/>
      <sheetName val="March1"/>
      <sheetName val="March2"/>
      <sheetName val="March3"/>
      <sheetName val="March5"/>
      <sheetName val="March6"/>
      <sheetName val="March7"/>
      <sheetName val="March8"/>
      <sheetName val="March9,10"/>
      <sheetName val="March11 "/>
      <sheetName val="March12"/>
      <sheetName val="March13"/>
      <sheetName val="March15"/>
      <sheetName val="March16"/>
      <sheetName val="March19"/>
      <sheetName val="March20"/>
      <sheetName val="March21"/>
      <sheetName val="March22"/>
      <sheetName val="March23"/>
      <sheetName val="March24"/>
      <sheetName val="March26"/>
      <sheetName val="March27"/>
      <sheetName val="March28"/>
      <sheetName val="March29"/>
      <sheetName val="April3"/>
      <sheetName val="April4"/>
      <sheetName val="April5"/>
      <sheetName val="April6"/>
      <sheetName val="April7&amp;8"/>
      <sheetName val="April8"/>
      <sheetName val="April9"/>
      <sheetName val="April10"/>
      <sheetName val="April11"/>
      <sheetName val="April12"/>
      <sheetName val="April13"/>
      <sheetName val="April14"/>
      <sheetName val="April15"/>
      <sheetName val="April16"/>
      <sheetName val="April17"/>
      <sheetName val="April19"/>
      <sheetName val="April20"/>
      <sheetName val="April21"/>
      <sheetName val="April22"/>
      <sheetName val="April23"/>
      <sheetName val="April24"/>
      <sheetName val="April25"/>
      <sheetName val="April26"/>
      <sheetName val="April27"/>
      <sheetName val="April30"/>
      <sheetName val="May2"/>
      <sheetName val="May3"/>
      <sheetName val="May6"/>
      <sheetName val="May 7"/>
      <sheetName val="May 8"/>
      <sheetName val="May 9"/>
      <sheetName val="May 10"/>
      <sheetName val="May 11"/>
      <sheetName val="May 12&amp;13"/>
      <sheetName val="May 14"/>
      <sheetName val="May 15"/>
      <sheetName val="May 16"/>
      <sheetName val="May 17"/>
      <sheetName val="May 18"/>
      <sheetName val="May 19"/>
      <sheetName val="May 21"/>
      <sheetName val="May 22"/>
      <sheetName val="May 23"/>
      <sheetName val="May 24"/>
      <sheetName val="May 25"/>
      <sheetName val="May 28"/>
      <sheetName val="May 29"/>
      <sheetName val="May 30"/>
      <sheetName val="June 1"/>
      <sheetName val="June 4"/>
      <sheetName val="June 5"/>
      <sheetName val="June 6"/>
      <sheetName val="June 7"/>
      <sheetName val="June 8"/>
      <sheetName val="June 11"/>
      <sheetName val="June 12"/>
      <sheetName val="June 16"/>
      <sheetName val="June 17"/>
      <sheetName val="June 18"/>
      <sheetName val="June 19"/>
      <sheetName val="June 20"/>
      <sheetName val="June 21"/>
      <sheetName val="June 22"/>
      <sheetName val="June 24"/>
      <sheetName val="June 25"/>
      <sheetName val="June 26"/>
      <sheetName val="June 27"/>
      <sheetName val="June 28"/>
      <sheetName val="June 29"/>
      <sheetName val="July 1"/>
      <sheetName val="July 2"/>
      <sheetName val="July 3"/>
      <sheetName val="July4"/>
      <sheetName val="July5"/>
      <sheetName val="July 8"/>
      <sheetName val="July 9"/>
      <sheetName val="July10"/>
      <sheetName val="July 11"/>
      <sheetName val="July 12"/>
      <sheetName val="July 13"/>
      <sheetName val="July 14 &amp;15"/>
      <sheetName val="July 16"/>
      <sheetName val="July 17"/>
      <sheetName val="July 18"/>
      <sheetName val="July 19"/>
      <sheetName val="July 21&amp;22"/>
      <sheetName val="July23"/>
      <sheetName val="July 24&amp;25"/>
      <sheetName val="July 25"/>
      <sheetName val="July 26"/>
      <sheetName val="July 27"/>
      <sheetName val="July 29"/>
      <sheetName val="July 30"/>
      <sheetName val="July 31"/>
      <sheetName val="Aug1"/>
      <sheetName val="Aug2"/>
      <sheetName val="Aug3&amp;4"/>
      <sheetName val="Aug7"/>
      <sheetName val="Aug8"/>
      <sheetName val="Aug9"/>
      <sheetName val="Aug10"/>
      <sheetName val="Aug15"/>
      <sheetName val="Aug16"/>
      <sheetName val="Aug17"/>
      <sheetName val="Aug20"/>
      <sheetName val="Aug21"/>
      <sheetName val="Aug22"/>
      <sheetName val="Aug27"/>
      <sheetName val="Aug28"/>
      <sheetName val="Aug29"/>
      <sheetName val="Aug30"/>
      <sheetName val="Aug31"/>
      <sheetName val="September2"/>
      <sheetName val="September3"/>
      <sheetName val="Sept.4"/>
      <sheetName val="Sept.5"/>
      <sheetName val="Sept.6"/>
      <sheetName val="Sept.7 &amp;8"/>
      <sheetName val="Sept.10"/>
      <sheetName val="Sept.11"/>
      <sheetName val="Sept.12"/>
      <sheetName val="Sept.13"/>
      <sheetName val="Sept.14"/>
      <sheetName val="Sept.17"/>
      <sheetName val="Sept.18"/>
      <sheetName val="Sept.19"/>
      <sheetName val="Sept.20"/>
      <sheetName val="Sept.21"/>
      <sheetName val="Sept.22"/>
      <sheetName val="Sept.23"/>
      <sheetName val="Sept.24"/>
      <sheetName val="Sept.25"/>
      <sheetName val="Sept.26"/>
      <sheetName val="Sept.27"/>
      <sheetName val="Sept.28"/>
      <sheetName val="Sept.29"/>
      <sheetName val="Oct.1"/>
      <sheetName val="Oct.2"/>
      <sheetName val="Oct.3"/>
      <sheetName val="Oct.4"/>
      <sheetName val="Oct.5"/>
      <sheetName val="Oct.6"/>
      <sheetName val="Oct.7"/>
      <sheetName val="Oct.8"/>
      <sheetName val="Oct.9"/>
      <sheetName val="Oct.10"/>
      <sheetName val="Oct.11"/>
      <sheetName val="Oct.12"/>
      <sheetName val="Oct.13"/>
      <sheetName val="Oct.15"/>
      <sheetName val="Oct.16"/>
      <sheetName val="Oct.17"/>
      <sheetName val="Oct.18"/>
      <sheetName val="Oct.19"/>
      <sheetName val="Oct.21"/>
      <sheetName val="Oct.22"/>
      <sheetName val="Oct.23"/>
      <sheetName val="Oct.24"/>
      <sheetName val="Oct.26"/>
      <sheetName val="Oct.28"/>
      <sheetName val="Oct.29"/>
      <sheetName val="Oct.30"/>
      <sheetName val="Oct.31"/>
      <sheetName val="Nov. 1"/>
      <sheetName val="Nov. 2,3 &amp;4"/>
      <sheetName val="Nov. 5"/>
      <sheetName val="Nov. 6"/>
      <sheetName val="Nov. 8"/>
      <sheetName val="Nov. 9"/>
      <sheetName val="Nov. 10"/>
      <sheetName val="Nov. 11"/>
      <sheetName val="Nov. 12&amp;13"/>
      <sheetName val="Nov. 14"/>
      <sheetName val="Nov. 15"/>
      <sheetName val="Nov. 16&amp;17"/>
      <sheetName val="Nov. 19"/>
      <sheetName val="Nov. 20"/>
      <sheetName val="Nov. 21"/>
      <sheetName val="Nov. 22"/>
      <sheetName val="Nov. 23"/>
      <sheetName val="Nov.24"/>
      <sheetName val="Nov.25"/>
      <sheetName val="Nov.26"/>
      <sheetName val="Nov.27&amp;28th"/>
      <sheetName val="Nov.29"/>
      <sheetName val="Nov.30"/>
      <sheetName val="Dec.1 &amp;2"/>
      <sheetName val="Dec.3"/>
      <sheetName val="Dec. 4"/>
      <sheetName val="Dec. 5"/>
      <sheetName val="Dec. 6 "/>
      <sheetName val="Dec. 7"/>
      <sheetName val="Dec. 8 "/>
      <sheetName val="Dec. 9"/>
      <sheetName val="Dec. 10"/>
      <sheetName val="Dec. 11"/>
      <sheetName val="Dec. 12"/>
      <sheetName val="Dec. 13"/>
      <sheetName val="Dec. 14"/>
      <sheetName val="Dec. 15"/>
      <sheetName val="Dec. 17"/>
      <sheetName val="Dec. 18"/>
      <sheetName val="Dec. 19"/>
      <sheetName val="Dec. 20"/>
      <sheetName val="Dec. 21"/>
      <sheetName val="Dec. 22"/>
      <sheetName val="Dec. 26"/>
      <sheetName val="Dec. 27"/>
      <sheetName val="Dec. 28"/>
      <sheetName val="Dec. 31"/>
      <sheetName val="Jan. 02"/>
      <sheetName val="Jan. 03"/>
      <sheetName val="Jan. 04"/>
      <sheetName val="Jan. 07"/>
      <sheetName val="Jan. 08"/>
      <sheetName val="Jan. 09"/>
      <sheetName val="Jan. 10"/>
      <sheetName val="Jan. 11"/>
      <sheetName val="Jan. 13"/>
      <sheetName val="Jan. 14"/>
      <sheetName val="Jan. 15"/>
      <sheetName val="Jan. 16"/>
      <sheetName val="Jan. 17"/>
      <sheetName val="Jan. 18"/>
      <sheetName val="Jan. 21"/>
      <sheetName val="Jan. 22"/>
      <sheetName val="Jan. 23"/>
      <sheetName val="Jan. 24"/>
      <sheetName val="Jan. 25"/>
      <sheetName val="Jan. 28"/>
      <sheetName val="Jan. 29"/>
      <sheetName val="Jan. 30"/>
      <sheetName val="Feb. 3"/>
      <sheetName val="Feb. 4"/>
      <sheetName val="Feb. 5"/>
      <sheetName val="Feb.6"/>
      <sheetName val="Feb.8"/>
      <sheetName val="Feb. 9"/>
      <sheetName val="Feb. 11"/>
      <sheetName val="Feb. 14"/>
      <sheetName val="Feb. 17"/>
      <sheetName val="Feb. 18"/>
      <sheetName val="Feb. 19"/>
      <sheetName val="Feb.20"/>
      <sheetName val="Feb.21"/>
      <sheetName val="Feb.22"/>
      <sheetName val="Feb.24"/>
      <sheetName val="Feb.25"/>
      <sheetName val="Feb.26"/>
      <sheetName val="Feb.27"/>
      <sheetName val="Feb.28"/>
      <sheetName val="March.1"/>
      <sheetName val="March.3"/>
      <sheetName val="March.4"/>
      <sheetName val="March.6"/>
      <sheetName val="March.7"/>
      <sheetName val="March.8"/>
      <sheetName val="March.11"/>
      <sheetName val="March.12"/>
      <sheetName val="March.13"/>
      <sheetName val="March.14"/>
      <sheetName val="March.15"/>
      <sheetName val="March.16"/>
      <sheetName val="March.18"/>
      <sheetName val="March.19"/>
      <sheetName val="March.20"/>
      <sheetName val="March.21"/>
      <sheetName val="March.22"/>
      <sheetName val="March.24"/>
      <sheetName val="March.25"/>
      <sheetName val="March.26"/>
      <sheetName val="March.27"/>
      <sheetName val="March.28"/>
      <sheetName val="March.29"/>
      <sheetName val="March.31"/>
      <sheetName val="April.1"/>
      <sheetName val="April.2"/>
      <sheetName val="April.3"/>
      <sheetName val="April.4"/>
      <sheetName val="April.5"/>
      <sheetName val="April.8"/>
      <sheetName val="April.9"/>
      <sheetName val="April.10"/>
      <sheetName val="April.11"/>
      <sheetName val="April.12"/>
      <sheetName val="April.14"/>
      <sheetName val="April.15"/>
      <sheetName val="April.16"/>
      <sheetName val="April.17"/>
      <sheetName val="April.18"/>
      <sheetName val="April.23"/>
      <sheetName val="April.24"/>
      <sheetName val="April.25"/>
      <sheetName val="April.26"/>
      <sheetName val="April.28"/>
      <sheetName val="April.29"/>
      <sheetName val="April.30"/>
      <sheetName val="May.1&amp;2"/>
      <sheetName val="May.3"/>
      <sheetName val="May.5"/>
      <sheetName val="May.6 "/>
      <sheetName val="May.7"/>
      <sheetName val="May.8"/>
      <sheetName val="May.9"/>
      <sheetName val="May.10"/>
      <sheetName val="May.11"/>
      <sheetName val="May.13"/>
      <sheetName val="May.14"/>
      <sheetName val="May.15"/>
      <sheetName val="May.16"/>
      <sheetName val="May.17"/>
      <sheetName val="May.18"/>
      <sheetName val="May.19"/>
      <sheetName val="May.20"/>
      <sheetName val="May.21"/>
      <sheetName val="May.22"/>
      <sheetName val="May.23"/>
      <sheetName val="May.31"/>
      <sheetName val="June1"/>
      <sheetName val="June3"/>
      <sheetName val="June4"/>
      <sheetName val="June5"/>
      <sheetName val="June6"/>
      <sheetName val="June7"/>
      <sheetName val="June8"/>
      <sheetName val="June11"/>
      <sheetName val="June12"/>
      <sheetName val="June13"/>
      <sheetName val="June14"/>
      <sheetName val="June17"/>
      <sheetName val="June18"/>
      <sheetName val="June19"/>
      <sheetName val="June21"/>
      <sheetName val="June22"/>
      <sheetName val="June23"/>
      <sheetName val="June24"/>
      <sheetName val="June25"/>
      <sheetName val="June26"/>
      <sheetName val="June27"/>
      <sheetName val="June28"/>
      <sheetName val="July1"/>
      <sheetName val="July2"/>
      <sheetName val="July03"/>
      <sheetName val="July04"/>
      <sheetName val="July05"/>
      <sheetName val="July08"/>
      <sheetName val="July09"/>
      <sheetName val="July-10"/>
      <sheetName val="July-11"/>
      <sheetName val="July-12"/>
      <sheetName val="July-15"/>
      <sheetName val="July-16"/>
      <sheetName val="July-17"/>
      <sheetName val="July-18"/>
      <sheetName val="July-19"/>
      <sheetName val="July-22 "/>
      <sheetName val="July-23"/>
      <sheetName val="July-24 "/>
      <sheetName val="July-25 "/>
      <sheetName val="July-27 "/>
      <sheetName val="July-29 "/>
      <sheetName val="July-30 "/>
      <sheetName val="July-31 "/>
      <sheetName val="August-1"/>
      <sheetName val="August-2"/>
      <sheetName val="August-3"/>
      <sheetName val="August-6"/>
      <sheetName val="August-7"/>
      <sheetName val="August-8"/>
      <sheetName val="August-9"/>
      <sheetName val="August-14"/>
      <sheetName val="August-15"/>
      <sheetName val="August-16"/>
      <sheetName val="August-19"/>
      <sheetName val="August-20"/>
      <sheetName val="August-21"/>
      <sheetName val="August-22"/>
      <sheetName val="August-23"/>
      <sheetName val="August-26"/>
      <sheetName val="August-27"/>
      <sheetName val="August-28 "/>
      <sheetName val="August-30 "/>
      <sheetName val="September-2"/>
      <sheetName val="September-3"/>
      <sheetName val="September-4"/>
      <sheetName val="September-5"/>
      <sheetName val="September-6"/>
      <sheetName val="September-9"/>
      <sheetName val="September-10"/>
      <sheetName val="September-11"/>
      <sheetName val="September-12"/>
      <sheetName val="September-13"/>
      <sheetName val="September-16"/>
      <sheetName val="September-17"/>
      <sheetName val="September-18"/>
      <sheetName val="September-19"/>
      <sheetName val="September-20"/>
      <sheetName val="September-23"/>
      <sheetName val="September-24"/>
      <sheetName val="September-25"/>
      <sheetName val="September-26"/>
      <sheetName val="September-30"/>
      <sheetName val="October-1"/>
      <sheetName val="October-2"/>
      <sheetName val="October-3"/>
      <sheetName val="October-4"/>
      <sheetName val="October-7"/>
      <sheetName val="October-8"/>
      <sheetName val="October-9"/>
      <sheetName val="October-10"/>
      <sheetName val="October-11"/>
      <sheetName val="October-12"/>
      <sheetName val="October-14"/>
      <sheetName val="October-15"/>
      <sheetName val="October-16"/>
      <sheetName val="October-17"/>
      <sheetName val="October-18"/>
      <sheetName val="October-21"/>
      <sheetName val="October-22"/>
      <sheetName val="October-23"/>
      <sheetName val="October-24"/>
      <sheetName val="October-26"/>
      <sheetName val="October-27"/>
      <sheetName val="October-28"/>
      <sheetName val="October-29"/>
      <sheetName val="November-4"/>
      <sheetName val="November-5"/>
      <sheetName val="November-6"/>
      <sheetName val="November-7"/>
      <sheetName val="November-8"/>
      <sheetName val="November-9"/>
      <sheetName val="November-10"/>
      <sheetName val="November-11"/>
      <sheetName val="November-12"/>
      <sheetName val="November-13"/>
      <sheetName val="November-14"/>
      <sheetName val="November-15"/>
      <sheetName val="November-16"/>
      <sheetName val="November-17"/>
      <sheetName val="November-18"/>
      <sheetName val="November-19"/>
      <sheetName val="November-20"/>
      <sheetName val="November-21"/>
      <sheetName val="November-22"/>
      <sheetName val="November-23"/>
      <sheetName val="November-24"/>
      <sheetName val="November-25"/>
      <sheetName val="November-26"/>
      <sheetName val="November-27"/>
      <sheetName val="November-28"/>
      <sheetName val="November-29"/>
      <sheetName val="December-1"/>
      <sheetName val="December-2"/>
      <sheetName val="December-3"/>
      <sheetName val="December-4"/>
      <sheetName val="December-5"/>
      <sheetName val="December-6"/>
      <sheetName val="December-9"/>
      <sheetName val="December-10"/>
      <sheetName val="December-11"/>
      <sheetName val="December-12"/>
      <sheetName val="December-13"/>
      <sheetName val="December-14"/>
      <sheetName val="December-16"/>
      <sheetName val="December-17"/>
      <sheetName val="December-18"/>
      <sheetName val="December-19"/>
      <sheetName val="December-20"/>
      <sheetName val="December-22"/>
      <sheetName val="December-23"/>
      <sheetName val="December-24"/>
      <sheetName val="December-27"/>
      <sheetName val="December-30"/>
      <sheetName val="December-31"/>
      <sheetName val="January-2 "/>
      <sheetName val="January-3"/>
      <sheetName val="January-4"/>
      <sheetName val="January-7"/>
      <sheetName val="January-8"/>
      <sheetName val="January-9"/>
      <sheetName val="January-10"/>
      <sheetName val="January-11"/>
      <sheetName val="January-13"/>
      <sheetName val="January-14"/>
      <sheetName val="January-15"/>
      <sheetName val="January-16"/>
      <sheetName val="January-17"/>
      <sheetName val="January-20"/>
      <sheetName val="January-21"/>
      <sheetName val="January-22"/>
      <sheetName val="Janurary-23"/>
      <sheetName val="MTD_Links"/>
      <sheetName val="YTD_Links"/>
      <sheetName val="KPIs"/>
      <sheetName val="Brewer Perform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>
        <row r="3">
          <cell r="R3" t="str">
            <v>CARIB</v>
          </cell>
        </row>
        <row r="4">
          <cell r="R4" t="str">
            <v>STAG</v>
          </cell>
        </row>
        <row r="5">
          <cell r="R5" t="str">
            <v>GUINNESS</v>
          </cell>
        </row>
        <row r="6">
          <cell r="R6" t="str">
            <v>MACKESON</v>
          </cell>
        </row>
        <row r="7">
          <cell r="R7" t="str">
            <v>STARMALT</v>
          </cell>
        </row>
        <row r="8">
          <cell r="R8" t="str">
            <v>MAXIMALT</v>
          </cell>
        </row>
        <row r="9">
          <cell r="R9" t="str">
            <v>VITAMALT</v>
          </cell>
        </row>
      </sheetData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/>
      <sheetData sheetId="696"/>
      <sheetData sheetId="697" refreshError="1"/>
      <sheetData sheetId="698">
        <row r="4">
          <cell r="E4" t="str">
            <v>MTD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Chart1"/>
      <sheetName val="BrewMaterials"/>
      <sheetName val="Brewhouse"/>
      <sheetName val="Process"/>
      <sheetName val="Summary September '26"/>
      <sheetName val="Summary August '26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  <sheetName val="Packaging"/>
    </sheetNames>
    <sheetDataSet>
      <sheetData sheetId="0"/>
      <sheetData sheetId="1"/>
      <sheetData sheetId="2"/>
      <sheetData sheetId="3"/>
      <sheetData sheetId="5"/>
      <sheetData sheetId="6">
        <row r="22">
          <cell r="AS22">
            <v>90.83852238031325</v>
          </cell>
        </row>
        <row r="23">
          <cell r="AS23">
            <v>96.684836556310898</v>
          </cell>
        </row>
        <row r="24">
          <cell r="AS24">
            <v>99.232339589579539</v>
          </cell>
        </row>
        <row r="25">
          <cell r="AS25">
            <v>97.192444367259839</v>
          </cell>
        </row>
        <row r="26">
          <cell r="AS26">
            <v>97.669442273884727</v>
          </cell>
        </row>
        <row r="27">
          <cell r="AS27">
            <v>98.409669512415022</v>
          </cell>
        </row>
        <row r="28">
          <cell r="AS28">
            <v>98.526897208705151</v>
          </cell>
        </row>
        <row r="29">
          <cell r="AS29">
            <v>98.632992892535128</v>
          </cell>
        </row>
        <row r="30">
          <cell r="AS30">
            <v>109.99798711625786</v>
          </cell>
        </row>
        <row r="31">
          <cell r="AS31">
            <v>97.655248935825526</v>
          </cell>
        </row>
        <row r="32">
          <cell r="AS32">
            <v>95.59750367474058</v>
          </cell>
        </row>
        <row r="33">
          <cell r="AS33">
            <v>91.227014661850589</v>
          </cell>
        </row>
        <row r="34">
          <cell r="AS34">
            <v>99.225964512754345</v>
          </cell>
        </row>
        <row r="35">
          <cell r="AS35">
            <v>96.399159890042384</v>
          </cell>
        </row>
        <row r="36">
          <cell r="AS36">
            <v>97.533873677524795</v>
          </cell>
        </row>
        <row r="37">
          <cell r="AS37">
            <v>98.662767363445553</v>
          </cell>
        </row>
        <row r="38">
          <cell r="AS38">
            <v>98.110362343721974</v>
          </cell>
        </row>
        <row r="39">
          <cell r="AS39">
            <v>97.644364444691902</v>
          </cell>
        </row>
        <row r="40">
          <cell r="AS40">
            <v>97.453064155420094</v>
          </cell>
        </row>
        <row r="41">
          <cell r="AS41">
            <v>100.20702691272596</v>
          </cell>
        </row>
        <row r="42">
          <cell r="AS42">
            <v>96.346712472097764</v>
          </cell>
        </row>
        <row r="43">
          <cell r="AS43">
            <v>97.523568316559476</v>
          </cell>
        </row>
        <row r="44">
          <cell r="AS44">
            <v>95.926010836532257</v>
          </cell>
        </row>
        <row r="45">
          <cell r="AS45">
            <v>93.454371995230545</v>
          </cell>
        </row>
        <row r="46">
          <cell r="AS46">
            <v>98.103230583960681</v>
          </cell>
        </row>
        <row r="47">
          <cell r="AS47">
            <v>100.44904539532449</v>
          </cell>
        </row>
        <row r="48">
          <cell r="AS48">
            <v>95.833135510284677</v>
          </cell>
        </row>
        <row r="49">
          <cell r="AS49">
            <v>99.410610314879818</v>
          </cell>
        </row>
        <row r="50">
          <cell r="AS50">
            <v>97.098158462404967</v>
          </cell>
        </row>
        <row r="51">
          <cell r="AS51">
            <v>0</v>
          </cell>
        </row>
        <row r="52">
          <cell r="AS52">
            <v>104.87426366689108</v>
          </cell>
        </row>
        <row r="53">
          <cell r="AS53">
            <v>101.76112094286238</v>
          </cell>
        </row>
        <row r="54">
          <cell r="AS54">
            <v>95.359527283738572</v>
          </cell>
        </row>
        <row r="55">
          <cell r="AS55">
            <v>95.527344703430927</v>
          </cell>
        </row>
        <row r="56">
          <cell r="AS56">
            <v>100.07660336606865</v>
          </cell>
        </row>
        <row r="57">
          <cell r="AS57">
            <v>99.467327733929991</v>
          </cell>
        </row>
        <row r="58">
          <cell r="AS58">
            <v>99.703032511968686</v>
          </cell>
        </row>
        <row r="59">
          <cell r="AS59">
            <v>97.74414704454891</v>
          </cell>
        </row>
        <row r="60">
          <cell r="AS60">
            <v>98.138276669728526</v>
          </cell>
        </row>
        <row r="61">
          <cell r="AS61">
            <v>100.18497924496634</v>
          </cell>
        </row>
        <row r="62">
          <cell r="AS62">
            <v>98.239543519521192</v>
          </cell>
        </row>
        <row r="63">
          <cell r="AS63">
            <v>98.533695545018929</v>
          </cell>
        </row>
        <row r="64">
          <cell r="AS64">
            <v>106.23422780270799</v>
          </cell>
        </row>
        <row r="65">
          <cell r="AS65">
            <v>101.82543081774969</v>
          </cell>
        </row>
        <row r="66">
          <cell r="AS66">
            <v>95.866364717151924</v>
          </cell>
        </row>
        <row r="67">
          <cell r="AS67">
            <v>103.14086541165727</v>
          </cell>
        </row>
        <row r="68">
          <cell r="AS68">
            <v>98.629167060203699</v>
          </cell>
        </row>
        <row r="69">
          <cell r="AS69">
            <v>98.859186647542359</v>
          </cell>
        </row>
        <row r="70">
          <cell r="AS70">
            <v>96.813810190504412</v>
          </cell>
        </row>
        <row r="71">
          <cell r="AS71">
            <v>99.638493421142599</v>
          </cell>
        </row>
        <row r="72">
          <cell r="AS72">
            <v>99.741578008131555</v>
          </cell>
        </row>
        <row r="73">
          <cell r="AS73">
            <v>100.21398306039248</v>
          </cell>
        </row>
        <row r="74">
          <cell r="AS74">
            <v>95.650862133364953</v>
          </cell>
        </row>
        <row r="75">
          <cell r="AS75">
            <v>98.001099487384138</v>
          </cell>
        </row>
        <row r="76">
          <cell r="AS76">
            <v>97.461393370976353</v>
          </cell>
        </row>
        <row r="77">
          <cell r="AS77">
            <v>98.255217290461545</v>
          </cell>
        </row>
        <row r="78">
          <cell r="AS78">
            <v>99.546243435804755</v>
          </cell>
        </row>
        <row r="79">
          <cell r="AS79">
            <v>98.33017402501261</v>
          </cell>
        </row>
        <row r="80">
          <cell r="AS80">
            <v>98.333997846966298</v>
          </cell>
        </row>
        <row r="81">
          <cell r="AS81">
            <v>94.60432549058099</v>
          </cell>
        </row>
        <row r="82">
          <cell r="AS82">
            <v>99.025209415013663</v>
          </cell>
        </row>
        <row r="83">
          <cell r="AS83">
            <v>94.60432549058099</v>
          </cell>
        </row>
        <row r="84">
          <cell r="AS84">
            <v>99.47104784488721</v>
          </cell>
        </row>
        <row r="85">
          <cell r="AS85">
            <v>99.198378090715636</v>
          </cell>
        </row>
        <row r="86">
          <cell r="AS86">
            <v>98.651407682761771</v>
          </cell>
        </row>
        <row r="87">
          <cell r="AS87">
            <v>95.500399540574435</v>
          </cell>
        </row>
        <row r="88">
          <cell r="AS88">
            <v>97.387098904762667</v>
          </cell>
        </row>
        <row r="89">
          <cell r="AS89">
            <v>93.977530506802793</v>
          </cell>
        </row>
        <row r="90">
          <cell r="AS90">
            <v>103.98288970906668</v>
          </cell>
        </row>
        <row r="91">
          <cell r="AS91">
            <v>95.88635207026536</v>
          </cell>
        </row>
        <row r="92">
          <cell r="AS92">
            <v>97.555318567088662</v>
          </cell>
        </row>
        <row r="93">
          <cell r="AS93">
            <v>98.651407682761771</v>
          </cell>
        </row>
        <row r="94">
          <cell r="AS94">
            <v>98.885347309806249</v>
          </cell>
        </row>
        <row r="95">
          <cell r="AS95">
            <v>97.116026980207323</v>
          </cell>
        </row>
        <row r="96">
          <cell r="AS96">
            <v>98.047046969958473</v>
          </cell>
        </row>
        <row r="97">
          <cell r="AS97">
            <v>98.368823692109089</v>
          </cell>
        </row>
        <row r="98">
          <cell r="AS98">
            <v>96.689071563521296</v>
          </cell>
        </row>
        <row r="99">
          <cell r="AS99">
            <v>99.344647215577908</v>
          </cell>
        </row>
        <row r="100">
          <cell r="AS100">
            <v>99.146354506564776</v>
          </cell>
        </row>
        <row r="101">
          <cell r="AS101">
            <v>96.667077258035434</v>
          </cell>
        </row>
        <row r="102">
          <cell r="AS102">
            <v>97.440413876099711</v>
          </cell>
        </row>
        <row r="103">
          <cell r="AS103">
            <v>98.7497690885385</v>
          </cell>
        </row>
        <row r="104">
          <cell r="AS104">
            <v>99.321694799161747</v>
          </cell>
        </row>
        <row r="105">
          <cell r="AS105">
            <v>100.46208508570412</v>
          </cell>
        </row>
        <row r="106">
          <cell r="AS106">
            <v>100.43231059698405</v>
          </cell>
        </row>
        <row r="107">
          <cell r="AS107">
            <v>95.835506022405141</v>
          </cell>
        </row>
        <row r="108">
          <cell r="AS108">
            <v>96.762123724352961</v>
          </cell>
        </row>
        <row r="109">
          <cell r="AS109">
            <v>99.760146592752164</v>
          </cell>
        </row>
        <row r="110">
          <cell r="AS110">
            <v>111.40726919026143</v>
          </cell>
        </row>
        <row r="111">
          <cell r="AS111">
            <v>93.624091427861956</v>
          </cell>
        </row>
        <row r="112">
          <cell r="AS112">
            <v>99.584274797583333</v>
          </cell>
        </row>
        <row r="113">
          <cell r="AS113">
            <v>99.70978306370283</v>
          </cell>
        </row>
        <row r="114">
          <cell r="AS114">
            <v>97.110300140907029</v>
          </cell>
        </row>
        <row r="115">
          <cell r="AS115">
            <v>92.705086039935708</v>
          </cell>
        </row>
        <row r="116">
          <cell r="AS116">
            <v>97.080519007256299</v>
          </cell>
        </row>
        <row r="117">
          <cell r="AS117">
            <v>97.541311782322396</v>
          </cell>
        </row>
        <row r="118">
          <cell r="AS118">
            <v>97.594273454571933</v>
          </cell>
        </row>
        <row r="119">
          <cell r="AS119">
            <v>92.293331261823425</v>
          </cell>
        </row>
        <row r="120">
          <cell r="AS120">
            <v>97.343784830508056</v>
          </cell>
        </row>
        <row r="121">
          <cell r="AS121">
            <v>96.622655969201077</v>
          </cell>
        </row>
        <row r="122">
          <cell r="AS122">
            <v>99.627850959740556</v>
          </cell>
        </row>
        <row r="123">
          <cell r="AS123">
            <v>95.822053579237433</v>
          </cell>
        </row>
        <row r="124">
          <cell r="AS124">
            <v>92.078533418077527</v>
          </cell>
        </row>
        <row r="125">
          <cell r="AS125">
            <v>91.706323721321553</v>
          </cell>
        </row>
        <row r="126">
          <cell r="AS126">
            <v>97.990435086817186</v>
          </cell>
        </row>
        <row r="127">
          <cell r="AS127">
            <v>98.099792913221961</v>
          </cell>
        </row>
        <row r="128">
          <cell r="AS128">
            <v>97.016230942599037</v>
          </cell>
        </row>
        <row r="129">
          <cell r="AS129">
            <v>97.224790380282329</v>
          </cell>
        </row>
        <row r="130">
          <cell r="AS130">
            <v>100.12446085425042</v>
          </cell>
        </row>
        <row r="131">
          <cell r="AS131">
            <v>97.065060568710209</v>
          </cell>
        </row>
        <row r="132">
          <cell r="AS132">
            <v>99.975893759521298</v>
          </cell>
        </row>
        <row r="133">
          <cell r="AS133">
            <v>97.744854170435261</v>
          </cell>
        </row>
        <row r="134">
          <cell r="AS134">
            <v>97.537234970496229</v>
          </cell>
        </row>
        <row r="135">
          <cell r="AS135">
            <v>100.40321390300859</v>
          </cell>
        </row>
        <row r="136">
          <cell r="AS136">
            <v>96.434077770876058</v>
          </cell>
        </row>
        <row r="137">
          <cell r="AS137">
            <v>98.484252856431482</v>
          </cell>
        </row>
        <row r="138">
          <cell r="AS138">
            <v>95.389217922687735</v>
          </cell>
        </row>
        <row r="139">
          <cell r="AS139">
            <v>99.224351098396042</v>
          </cell>
        </row>
        <row r="140">
          <cell r="AS140">
            <v>99.32353232094539</v>
          </cell>
        </row>
        <row r="141">
          <cell r="AS141">
            <v>98.997632648360266</v>
          </cell>
        </row>
        <row r="142">
          <cell r="AS142">
            <v>97.463760265996399</v>
          </cell>
        </row>
        <row r="143">
          <cell r="AS143">
            <v>98.264063319970077</v>
          </cell>
        </row>
        <row r="144">
          <cell r="AS144">
            <v>98.548192719950322</v>
          </cell>
        </row>
        <row r="145">
          <cell r="AS145">
            <v>98.823429599635432</v>
          </cell>
        </row>
        <row r="146">
          <cell r="AS146">
            <v>100.44128447905582</v>
          </cell>
        </row>
        <row r="147">
          <cell r="AS147">
            <v>99.541673683507312</v>
          </cell>
        </row>
        <row r="148">
          <cell r="AS148">
            <v>98.983156674800313</v>
          </cell>
        </row>
        <row r="149">
          <cell r="AS149">
            <v>98.87270268473425</v>
          </cell>
        </row>
        <row r="150">
          <cell r="AS150">
            <v>93.677898473705298</v>
          </cell>
        </row>
        <row r="151">
          <cell r="AS151">
            <v>96.09626744823305</v>
          </cell>
        </row>
        <row r="152">
          <cell r="AS152">
            <v>97.393225185801398</v>
          </cell>
        </row>
        <row r="153">
          <cell r="AS153">
            <v>99.51827092226965</v>
          </cell>
        </row>
        <row r="154">
          <cell r="AS154">
            <v>98.297037775048096</v>
          </cell>
        </row>
        <row r="155">
          <cell r="AS155">
            <v>98.699180649962642</v>
          </cell>
        </row>
        <row r="156">
          <cell r="AS156">
            <v>99.709379094868325</v>
          </cell>
        </row>
        <row r="157">
          <cell r="AS157">
            <v>99.20510217019843</v>
          </cell>
        </row>
        <row r="158">
          <cell r="AS158">
            <v>95.967564626079536</v>
          </cell>
        </row>
        <row r="159">
          <cell r="AS159">
            <v>99.038293072120226</v>
          </cell>
        </row>
        <row r="160">
          <cell r="AS160">
            <v>100.88509268187487</v>
          </cell>
        </row>
        <row r="161">
          <cell r="AS161">
            <v>100.27544662459104</v>
          </cell>
        </row>
        <row r="162">
          <cell r="AS162">
            <v>97.783409002966863</v>
          </cell>
        </row>
        <row r="163">
          <cell r="AS163">
            <v>99.181519714228756</v>
          </cell>
        </row>
        <row r="164">
          <cell r="AS164">
            <v>99.254628474405266</v>
          </cell>
        </row>
        <row r="165">
          <cell r="AS165">
            <v>99.821646060237796</v>
          </cell>
        </row>
        <row r="166">
          <cell r="AS166">
            <v>100.23336840295755</v>
          </cell>
        </row>
        <row r="167">
          <cell r="AS167">
            <v>99.224984415000222</v>
          </cell>
        </row>
        <row r="168">
          <cell r="AS168">
            <v>97.991392065284458</v>
          </cell>
        </row>
        <row r="169">
          <cell r="AS169">
            <v>98.754567210015793</v>
          </cell>
        </row>
        <row r="170">
          <cell r="AS170">
            <v>95.102929375307482</v>
          </cell>
        </row>
        <row r="171">
          <cell r="AS171">
            <v>99.584274797583333</v>
          </cell>
        </row>
        <row r="172">
          <cell r="AS172">
            <v>99.459082097726125</v>
          </cell>
        </row>
        <row r="173">
          <cell r="AS173">
            <v>99.987853202533756</v>
          </cell>
        </row>
        <row r="174">
          <cell r="AS174">
            <v>99.844431138440441</v>
          </cell>
        </row>
        <row r="175">
          <cell r="AS175">
            <v>99.739560847146265</v>
          </cell>
        </row>
        <row r="176">
          <cell r="AS176">
            <v>99.897261798186378</v>
          </cell>
        </row>
        <row r="177">
          <cell r="AS177">
            <v>97.867313690154518</v>
          </cell>
        </row>
        <row r="178">
          <cell r="AS178">
            <v>98.618699043994994</v>
          </cell>
        </row>
        <row r="179">
          <cell r="AS179">
            <v>95.736023506245473</v>
          </cell>
        </row>
        <row r="214">
          <cell r="AS214">
            <v>94.642949948026541</v>
          </cell>
        </row>
        <row r="215">
          <cell r="AS215">
            <v>97.740620302660346</v>
          </cell>
        </row>
        <row r="216">
          <cell r="AS216">
            <v>97.156843184212079</v>
          </cell>
        </row>
        <row r="217">
          <cell r="AS217">
            <v>98.378206632279046</v>
          </cell>
        </row>
        <row r="218">
          <cell r="AS218">
            <v>98.866051801226916</v>
          </cell>
        </row>
        <row r="219">
          <cell r="AS219">
            <v>98.986375596522507</v>
          </cell>
        </row>
        <row r="220">
          <cell r="AS220">
            <v>98.588839951556579</v>
          </cell>
        </row>
        <row r="221">
          <cell r="AS221">
            <v>98.140556826659378</v>
          </cell>
        </row>
        <row r="222">
          <cell r="AS222">
            <v>94.541913901166239</v>
          </cell>
        </row>
        <row r="223">
          <cell r="AS223">
            <v>99.065882725515735</v>
          </cell>
        </row>
        <row r="224">
          <cell r="AS224">
            <v>95.607322614311911</v>
          </cell>
        </row>
        <row r="225">
          <cell r="AS225">
            <v>98.852784636210828</v>
          </cell>
        </row>
        <row r="226">
          <cell r="AS226">
            <v>98.991001256161667</v>
          </cell>
        </row>
        <row r="227">
          <cell r="AS227">
            <v>98.91245808939847</v>
          </cell>
        </row>
        <row r="228">
          <cell r="AS228">
            <v>98.030742498650199</v>
          </cell>
        </row>
        <row r="229">
          <cell r="AS229">
            <v>98.227987453375846</v>
          </cell>
        </row>
        <row r="230">
          <cell r="AS230">
            <v>91.893381203561418</v>
          </cell>
        </row>
        <row r="231">
          <cell r="AS231">
            <v>95.883830769509331</v>
          </cell>
        </row>
        <row r="232">
          <cell r="AS232">
            <v>96.325210694705959</v>
          </cell>
        </row>
        <row r="233">
          <cell r="AS233">
            <v>96.768374788406007</v>
          </cell>
        </row>
        <row r="234">
          <cell r="AS234">
            <v>99.805947091181096</v>
          </cell>
        </row>
        <row r="235">
          <cell r="AS235">
            <v>97.59500083914169</v>
          </cell>
        </row>
        <row r="236">
          <cell r="AS236">
            <v>96.015295809177886</v>
          </cell>
        </row>
        <row r="237">
          <cell r="AS237">
            <v>99.016967272278464</v>
          </cell>
        </row>
        <row r="238">
          <cell r="AS238">
            <v>97.930910424263288</v>
          </cell>
        </row>
        <row r="239">
          <cell r="AS239">
            <v>95.51262249962322</v>
          </cell>
        </row>
        <row r="240">
          <cell r="AS240">
            <v>100.03027228544039</v>
          </cell>
        </row>
        <row r="241">
          <cell r="AS241">
            <v>99.680150206688893</v>
          </cell>
        </row>
        <row r="242">
          <cell r="AS242">
            <v>99.677491461603083</v>
          </cell>
        </row>
        <row r="243">
          <cell r="AS243">
            <v>99.880311150879038</v>
          </cell>
        </row>
        <row r="244">
          <cell r="AS244">
            <v>101.658582761551</v>
          </cell>
        </row>
        <row r="245">
          <cell r="AS245">
            <v>101.63039952812952</v>
          </cell>
        </row>
        <row r="246">
          <cell r="AS246">
            <v>99.260258246780694</v>
          </cell>
        </row>
        <row r="247">
          <cell r="AS247">
            <v>102.67383093717935</v>
          </cell>
        </row>
        <row r="248">
          <cell r="AS248">
            <v>100.39997678316345</v>
          </cell>
        </row>
        <row r="249">
          <cell r="AS249">
            <v>99.081028043575728</v>
          </cell>
        </row>
        <row r="252">
          <cell r="AS252">
            <v>99.198581391944401</v>
          </cell>
        </row>
        <row r="253">
          <cell r="AS253">
            <v>99.450027165653339</v>
          </cell>
        </row>
        <row r="254">
          <cell r="AS254">
            <v>95.749181793212287</v>
          </cell>
        </row>
        <row r="255">
          <cell r="AS255">
            <v>96.404836914851714</v>
          </cell>
        </row>
        <row r="256">
          <cell r="AS256">
            <v>97.214381663218518</v>
          </cell>
        </row>
        <row r="257">
          <cell r="AS257">
            <v>99.683984036787066</v>
          </cell>
        </row>
        <row r="258">
          <cell r="AS258">
            <v>99.370659448462092</v>
          </cell>
        </row>
        <row r="259">
          <cell r="AS259">
            <v>100.46353523213787</v>
          </cell>
        </row>
        <row r="260">
          <cell r="AS260">
            <v>98.730026427379045</v>
          </cell>
        </row>
        <row r="261">
          <cell r="AS261">
            <v>100.24562738297855</v>
          </cell>
        </row>
        <row r="262">
          <cell r="AS262">
            <v>99.335232031479649</v>
          </cell>
        </row>
        <row r="263">
          <cell r="AS263">
            <v>100.58932724044769</v>
          </cell>
        </row>
        <row r="264">
          <cell r="AS264">
            <v>101.15819379667646</v>
          </cell>
        </row>
        <row r="265">
          <cell r="AS265">
            <v>100.84592825413714</v>
          </cell>
        </row>
        <row r="266">
          <cell r="AS266">
            <v>100.43237296472746</v>
          </cell>
        </row>
        <row r="267">
          <cell r="AS267">
            <v>99.868124541057114</v>
          </cell>
        </row>
        <row r="268">
          <cell r="AS268">
            <v>96.895654477588451</v>
          </cell>
        </row>
        <row r="269">
          <cell r="AS269">
            <v>97.187186945196061</v>
          </cell>
        </row>
        <row r="270">
          <cell r="AS270">
            <v>96.861205051857695</v>
          </cell>
        </row>
        <row r="271">
          <cell r="AS271">
            <v>100.7905058949286</v>
          </cell>
        </row>
        <row r="272">
          <cell r="AS272">
            <v>99.868124541057114</v>
          </cell>
        </row>
        <row r="273">
          <cell r="AS273">
            <v>100.55844165954197</v>
          </cell>
        </row>
        <row r="274">
          <cell r="AS274">
            <v>96.548828345484281</v>
          </cell>
        </row>
        <row r="275">
          <cell r="AS275">
            <v>100.19135091878917</v>
          </cell>
        </row>
        <row r="276">
          <cell r="AS276">
            <v>99.371721926227323</v>
          </cell>
        </row>
        <row r="277">
          <cell r="AS277">
            <v>94.990603925471802</v>
          </cell>
        </row>
        <row r="278">
          <cell r="AS278">
            <v>100.83834966907197</v>
          </cell>
        </row>
        <row r="279">
          <cell r="AS279">
            <v>97.31936248600482</v>
          </cell>
        </row>
        <row r="280">
          <cell r="AS280">
            <v>99.446100161727543</v>
          </cell>
        </row>
        <row r="281">
          <cell r="AS281">
            <v>101.25421107375897</v>
          </cell>
        </row>
        <row r="282">
          <cell r="AS282">
            <v>99.571016312772826</v>
          </cell>
        </row>
        <row r="283">
          <cell r="AS283">
            <v>101.25471652266825</v>
          </cell>
        </row>
        <row r="284">
          <cell r="AS284">
            <v>102.25579256731321</v>
          </cell>
        </row>
        <row r="285">
          <cell r="AS285">
            <v>100.48414063181383</v>
          </cell>
        </row>
        <row r="286">
          <cell r="AS286">
            <v>99.939679018214306</v>
          </cell>
        </row>
        <row r="287">
          <cell r="AS287">
            <v>101.49046337979428</v>
          </cell>
        </row>
        <row r="288">
          <cell r="AS288">
            <v>99.658344935350172</v>
          </cell>
        </row>
        <row r="289">
          <cell r="AS289">
            <v>100.79139066827585</v>
          </cell>
        </row>
        <row r="290">
          <cell r="AS290">
            <v>98.227410767009204</v>
          </cell>
        </row>
        <row r="291">
          <cell r="AS291">
            <v>100.04439034243482</v>
          </cell>
        </row>
        <row r="292">
          <cell r="AS292">
            <v>98.617249485112069</v>
          </cell>
        </row>
        <row r="293">
          <cell r="AS293">
            <v>99.168205395168258</v>
          </cell>
        </row>
        <row r="295">
          <cell r="AS295">
            <v>96.013735064813474</v>
          </cell>
        </row>
        <row r="296">
          <cell r="AS296">
            <v>100.38245090858832</v>
          </cell>
        </row>
        <row r="297">
          <cell r="AS297">
            <v>102.93281209025689</v>
          </cell>
        </row>
        <row r="298">
          <cell r="AS298">
            <v>95.59135221348177</v>
          </cell>
        </row>
        <row r="299">
          <cell r="AS299">
            <v>95.953887822360457</v>
          </cell>
        </row>
        <row r="300">
          <cell r="AS300">
            <v>96.457660998061172</v>
          </cell>
        </row>
        <row r="301">
          <cell r="AS301">
            <v>96.459607373483308</v>
          </cell>
        </row>
        <row r="302">
          <cell r="AS302">
            <v>97.772523167268972</v>
          </cell>
        </row>
        <row r="303">
          <cell r="AS303">
            <v>99.285893746081584</v>
          </cell>
        </row>
        <row r="304">
          <cell r="AS304">
            <v>96.843389772867923</v>
          </cell>
        </row>
        <row r="305">
          <cell r="AS305">
            <v>100.55808788259412</v>
          </cell>
        </row>
        <row r="306">
          <cell r="AS306">
            <v>97.554213655237049</v>
          </cell>
        </row>
        <row r="307">
          <cell r="AS307">
            <v>98.380934315032519</v>
          </cell>
        </row>
        <row r="308">
          <cell r="AS308">
            <v>97.536636164570268</v>
          </cell>
        </row>
        <row r="309">
          <cell r="AS309">
            <v>97.660253116847329</v>
          </cell>
        </row>
        <row r="310">
          <cell r="AS310">
            <v>100.48800750797635</v>
          </cell>
        </row>
        <row r="311">
          <cell r="AS311">
            <v>98.475377444669192</v>
          </cell>
        </row>
        <row r="312">
          <cell r="AS312">
            <v>99.914679227931671</v>
          </cell>
        </row>
        <row r="313">
          <cell r="AS313">
            <v>99.253784285399746</v>
          </cell>
        </row>
        <row r="314">
          <cell r="AS314">
            <v>96.705795206676655</v>
          </cell>
        </row>
        <row r="315">
          <cell r="AS315">
            <v>97.329743164428521</v>
          </cell>
        </row>
        <row r="316">
          <cell r="AS316">
            <v>99.065888617269223</v>
          </cell>
        </row>
        <row r="317">
          <cell r="AS317">
            <v>94.926337798329214</v>
          </cell>
        </row>
        <row r="318">
          <cell r="AS318">
            <v>98.570907895555237</v>
          </cell>
        </row>
        <row r="319">
          <cell r="AS319">
            <v>99.261312241841878</v>
          </cell>
        </row>
        <row r="320">
          <cell r="AS320">
            <v>98.24621489209953</v>
          </cell>
        </row>
        <row r="321">
          <cell r="AS321">
            <v>97.881219367369539</v>
          </cell>
        </row>
        <row r="322">
          <cell r="AS322">
            <v>96.045946504231367</v>
          </cell>
        </row>
        <row r="323">
          <cell r="AS323">
            <v>97.322817169770062</v>
          </cell>
        </row>
        <row r="324">
          <cell r="AS324">
            <v>97.816038092626201</v>
          </cell>
        </row>
        <row r="325">
          <cell r="AS325">
            <v>103.51481490885584</v>
          </cell>
        </row>
        <row r="327">
          <cell r="AS327">
            <v>94.796610655110641</v>
          </cell>
        </row>
        <row r="328">
          <cell r="AS328">
            <v>98.314396537543004</v>
          </cell>
        </row>
        <row r="329">
          <cell r="AS329">
            <v>99.784866605770077</v>
          </cell>
        </row>
        <row r="330">
          <cell r="AS330">
            <v>100.33853534489856</v>
          </cell>
        </row>
        <row r="331">
          <cell r="AS331">
            <v>102.03438257870683</v>
          </cell>
        </row>
        <row r="332">
          <cell r="AS332">
            <v>99.155232444155033</v>
          </cell>
        </row>
        <row r="333">
          <cell r="AS333">
            <v>97.692816245651542</v>
          </cell>
        </row>
        <row r="334">
          <cell r="AS334">
            <v>99.929502656617558</v>
          </cell>
        </row>
        <row r="335">
          <cell r="AS335">
            <v>102.31885501216071</v>
          </cell>
        </row>
        <row r="336">
          <cell r="AS336">
            <v>99.652790566766143</v>
          </cell>
        </row>
        <row r="337">
          <cell r="AS337">
            <v>99.055898699447013</v>
          </cell>
        </row>
        <row r="338">
          <cell r="AS338">
            <v>98.745714949083094</v>
          </cell>
        </row>
        <row r="339">
          <cell r="AS339">
            <v>100.05112865724453</v>
          </cell>
        </row>
        <row r="340">
          <cell r="AS340">
            <v>99.219837183704257</v>
          </cell>
        </row>
        <row r="341">
          <cell r="AS341">
            <v>99.219837183704257</v>
          </cell>
        </row>
        <row r="342">
          <cell r="AS342">
            <v>99.323329633525859</v>
          </cell>
        </row>
        <row r="343">
          <cell r="AS343">
            <v>99.650122129560188</v>
          </cell>
        </row>
        <row r="344">
          <cell r="AS344">
            <v>96.130188550895028</v>
          </cell>
        </row>
        <row r="345">
          <cell r="AS345">
            <v>98.643672179069668</v>
          </cell>
        </row>
        <row r="346">
          <cell r="AS346">
            <v>97.544184434340778</v>
          </cell>
        </row>
        <row r="347">
          <cell r="AS347">
            <v>99.527904357748554</v>
          </cell>
        </row>
        <row r="348">
          <cell r="AS348">
            <v>100.13077318075212</v>
          </cell>
        </row>
        <row r="349">
          <cell r="AS349">
            <v>97.985529268351812</v>
          </cell>
        </row>
        <row r="350">
          <cell r="AS350">
            <v>101.05077690934993</v>
          </cell>
        </row>
        <row r="351">
          <cell r="AS351">
            <v>99.656323436956768</v>
          </cell>
        </row>
        <row r="352">
          <cell r="AS352">
            <v>105.3788158697007</v>
          </cell>
        </row>
        <row r="353">
          <cell r="AS353">
            <v>102.40349309246177</v>
          </cell>
        </row>
        <row r="354">
          <cell r="AS354">
            <v>96.049611913783252</v>
          </cell>
        </row>
        <row r="355">
          <cell r="AS355">
            <v>96.944463047798635</v>
          </cell>
        </row>
        <row r="356">
          <cell r="AS356">
            <v>98.909854486474273</v>
          </cell>
        </row>
        <row r="357">
          <cell r="AS357">
            <v>99.18039986493666</v>
          </cell>
        </row>
        <row r="358">
          <cell r="AS358">
            <v>98.266162409828908</v>
          </cell>
        </row>
        <row r="359">
          <cell r="AS359">
            <v>99.615522882404434</v>
          </cell>
        </row>
        <row r="360">
          <cell r="AS360">
            <v>100.62326379755295</v>
          </cell>
        </row>
        <row r="361">
          <cell r="AS361">
            <v>97.422783496499648</v>
          </cell>
        </row>
        <row r="363">
          <cell r="AS363">
            <v>96.072468702631554</v>
          </cell>
        </row>
        <row r="364">
          <cell r="AS364">
            <v>98.269552186475522</v>
          </cell>
        </row>
        <row r="365">
          <cell r="AS365">
            <v>99.989796775773399</v>
          </cell>
        </row>
        <row r="366">
          <cell r="AS366">
            <v>99.103260744156756</v>
          </cell>
        </row>
        <row r="367">
          <cell r="AS367">
            <v>99.933359063716594</v>
          </cell>
        </row>
        <row r="368">
          <cell r="AS368">
            <v>103.33714761585293</v>
          </cell>
        </row>
        <row r="369">
          <cell r="AS369">
            <v>103.81878537188666</v>
          </cell>
        </row>
        <row r="370">
          <cell r="AS370">
            <v>101.75531402615744</v>
          </cell>
        </row>
        <row r="371">
          <cell r="AS371">
            <v>99.050413722591401</v>
          </cell>
        </row>
        <row r="372">
          <cell r="AS372">
            <v>103.67708915402727</v>
          </cell>
        </row>
        <row r="373">
          <cell r="AS373">
            <v>92.207251912768385</v>
          </cell>
        </row>
        <row r="374">
          <cell r="AS374">
            <v>98.768973008259692</v>
          </cell>
        </row>
        <row r="375">
          <cell r="AS375">
            <v>99.2105296845954</v>
          </cell>
        </row>
        <row r="376">
          <cell r="AS376">
            <v>99.662586818553194</v>
          </cell>
        </row>
        <row r="377">
          <cell r="AS377">
            <v>99.814541571057831</v>
          </cell>
        </row>
        <row r="378">
          <cell r="AS378">
            <v>100.1578324034637</v>
          </cell>
        </row>
        <row r="379">
          <cell r="AS379">
            <v>92.812355369132575</v>
          </cell>
        </row>
        <row r="380">
          <cell r="AS380">
            <v>98.630536608448594</v>
          </cell>
        </row>
        <row r="381">
          <cell r="AS381">
            <v>96.842013247113243</v>
          </cell>
        </row>
        <row r="382">
          <cell r="AS382">
            <v>96.205080152594675</v>
          </cell>
        </row>
        <row r="383">
          <cell r="AS383">
            <v>100.7558906165406</v>
          </cell>
        </row>
        <row r="384">
          <cell r="AS384">
            <v>100.40312538745988</v>
          </cell>
        </row>
        <row r="385">
          <cell r="AS385">
            <v>100.52504411165808</v>
          </cell>
        </row>
        <row r="386">
          <cell r="AS386">
            <v>102.38526134694594</v>
          </cell>
        </row>
        <row r="387">
          <cell r="AS387">
            <v>100.3442123348951</v>
          </cell>
        </row>
        <row r="388">
          <cell r="AS388">
            <v>100.78585591212124</v>
          </cell>
        </row>
        <row r="390">
          <cell r="A390" t="str">
            <v>ST331</v>
          </cell>
          <cell r="P390">
            <v>57</v>
          </cell>
          <cell r="Q390">
            <v>11.064030131826742</v>
          </cell>
          <cell r="T390">
            <v>0.32916666666666666</v>
          </cell>
          <cell r="U390">
            <v>0.45347222222222222</v>
          </cell>
          <cell r="V390">
            <v>65</v>
          </cell>
          <cell r="AB390">
            <v>53.1</v>
          </cell>
          <cell r="AE390">
            <v>11.9</v>
          </cell>
          <cell r="AG390">
            <v>49.3</v>
          </cell>
          <cell r="AS390">
            <v>98.847023873347482</v>
          </cell>
          <cell r="AT390">
            <v>99.485547628646145</v>
          </cell>
          <cell r="AV390" t="str">
            <v>R. Regis</v>
          </cell>
          <cell r="AW390">
            <v>0.26597222222222222</v>
          </cell>
        </row>
        <row r="391">
          <cell r="A391" t="str">
            <v>ST332</v>
          </cell>
          <cell r="P391">
            <v>57</v>
          </cell>
          <cell r="Q391">
            <v>8.9924670433144982</v>
          </cell>
          <cell r="T391">
            <v>0.43194444444444446</v>
          </cell>
          <cell r="U391">
            <v>0.54583333333333328</v>
          </cell>
          <cell r="V391">
            <v>60</v>
          </cell>
          <cell r="AB391">
            <v>53.1</v>
          </cell>
          <cell r="AE391">
            <v>11.7</v>
          </cell>
          <cell r="AG391">
            <v>50.4</v>
          </cell>
          <cell r="AS391">
            <v>99.266868267130036</v>
          </cell>
          <cell r="AT391">
            <v>99.908104098204518</v>
          </cell>
          <cell r="AV391" t="str">
            <v>R. Regis</v>
          </cell>
          <cell r="AW391">
            <v>0.26111111111111107</v>
          </cell>
        </row>
        <row r="392">
          <cell r="A392" t="str">
            <v>ST333</v>
          </cell>
          <cell r="P392">
            <v>58</v>
          </cell>
          <cell r="Q392">
            <v>11.983082706766917</v>
          </cell>
          <cell r="T392">
            <v>0.71458333333333335</v>
          </cell>
          <cell r="U392">
            <v>0.82638888888888884</v>
          </cell>
          <cell r="V392">
            <v>61</v>
          </cell>
          <cell r="AB392">
            <v>53.2</v>
          </cell>
          <cell r="AE392">
            <v>11.6</v>
          </cell>
          <cell r="AG392">
            <v>49.7</v>
          </cell>
          <cell r="AS392">
            <v>96.764214336728287</v>
          </cell>
          <cell r="AT392">
            <v>97.389696666641669</v>
          </cell>
          <cell r="AV392" t="str">
            <v>R.Sookram</v>
          </cell>
          <cell r="AW392">
            <v>0.27777777777777768</v>
          </cell>
        </row>
        <row r="393">
          <cell r="A393" t="str">
            <v>ST334</v>
          </cell>
          <cell r="P393">
            <v>58</v>
          </cell>
          <cell r="Q393">
            <v>10.896226415094338</v>
          </cell>
          <cell r="T393">
            <v>0.80763888888888891</v>
          </cell>
          <cell r="U393">
            <v>0.92152777777777772</v>
          </cell>
          <cell r="V393">
            <v>61</v>
          </cell>
          <cell r="AB393">
            <v>53</v>
          </cell>
          <cell r="AE393">
            <v>11.9</v>
          </cell>
          <cell r="AG393">
            <v>49.7</v>
          </cell>
          <cell r="AS393">
            <v>98.288600505062334</v>
          </cell>
          <cell r="AT393">
            <v>98.925798193130305</v>
          </cell>
          <cell r="AV393" t="str">
            <v>R.Sookram</v>
          </cell>
          <cell r="AW393">
            <v>0.28263888888888888</v>
          </cell>
        </row>
        <row r="394">
          <cell r="A394" t="str">
            <v>ST335</v>
          </cell>
          <cell r="P394">
            <v>59</v>
          </cell>
          <cell r="Q394">
            <v>10.875706214689263</v>
          </cell>
          <cell r="T394">
            <v>0.90416666666666667</v>
          </cell>
          <cell r="U394">
            <v>1.0215277777777778</v>
          </cell>
          <cell r="V394">
            <v>55</v>
          </cell>
          <cell r="AB394">
            <v>53.1</v>
          </cell>
          <cell r="AE394">
            <v>11.8</v>
          </cell>
          <cell r="AG394">
            <v>48.7</v>
          </cell>
          <cell r="AS394">
            <v>97.025470988738689</v>
          </cell>
          <cell r="AT394">
            <v>97.651811894321455</v>
          </cell>
          <cell r="AV394" t="str">
            <v>R.Sookram</v>
          </cell>
          <cell r="AW394">
            <v>0.29236111111111118</v>
          </cell>
        </row>
        <row r="395">
          <cell r="A395" t="str">
            <v>ST336</v>
          </cell>
          <cell r="P395">
            <v>60</v>
          </cell>
          <cell r="Q395">
            <v>9.3867924528301909</v>
          </cell>
          <cell r="T395">
            <v>1.0062500000000001</v>
          </cell>
          <cell r="U395">
            <v>1.1208333333333333</v>
          </cell>
          <cell r="V395">
            <v>59</v>
          </cell>
          <cell r="AB395">
            <v>53</v>
          </cell>
          <cell r="AE395">
            <v>11.8</v>
          </cell>
          <cell r="AG395">
            <v>49.2</v>
          </cell>
          <cell r="AS395">
            <v>97.898131022692681</v>
          </cell>
          <cell r="AT395">
            <v>98.530315524604035</v>
          </cell>
          <cell r="AV395" t="str">
            <v>R.Sookram</v>
          </cell>
          <cell r="AW395">
            <v>0.28749999999999998</v>
          </cell>
        </row>
        <row r="396">
          <cell r="A396" t="str">
            <v>ST337</v>
          </cell>
          <cell r="P396">
            <v>60</v>
          </cell>
          <cell r="Q396">
            <v>9.3867924528301909</v>
          </cell>
          <cell r="T396">
            <v>1.1159722222222221</v>
          </cell>
          <cell r="U396">
            <v>1.2534722222222223</v>
          </cell>
          <cell r="V396">
            <v>59</v>
          </cell>
          <cell r="AB396">
            <v>53</v>
          </cell>
          <cell r="AE396">
            <v>11.7</v>
          </cell>
          <cell r="AG396">
            <v>49.1</v>
          </cell>
          <cell r="AS396">
            <v>96.950396118265601</v>
          </cell>
          <cell r="AT396">
            <v>97.57625238345571</v>
          </cell>
          <cell r="AV396" t="str">
            <v>R.Sookram</v>
          </cell>
          <cell r="AW396">
            <v>0.30208333333333348</v>
          </cell>
        </row>
        <row r="397">
          <cell r="A397" t="str">
            <v>ST338</v>
          </cell>
          <cell r="P397">
            <v>60</v>
          </cell>
          <cell r="Q397">
            <v>10.518867924528294</v>
          </cell>
          <cell r="T397">
            <v>0.24930555555555556</v>
          </cell>
          <cell r="U397">
            <v>0.36527777777777776</v>
          </cell>
          <cell r="V397">
            <v>60</v>
          </cell>
          <cell r="AB397">
            <v>53</v>
          </cell>
          <cell r="AE397">
            <v>11.6</v>
          </cell>
          <cell r="AG397">
            <v>48.8</v>
          </cell>
          <cell r="AS397">
            <v>95.039326872899267</v>
          </cell>
          <cell r="AT397">
            <v>95.746071658420689</v>
          </cell>
          <cell r="AV397" t="str">
            <v>K. Benjamin</v>
          </cell>
          <cell r="AW397">
            <v>0.30277777777777776</v>
          </cell>
        </row>
        <row r="398">
          <cell r="A398" t="str">
            <v>ST339</v>
          </cell>
          <cell r="P398">
            <v>61</v>
          </cell>
          <cell r="Q398">
            <v>10.499058380414318</v>
          </cell>
          <cell r="T398">
            <v>0.41597222222222224</v>
          </cell>
          <cell r="U398">
            <v>0.54027777777777775</v>
          </cell>
          <cell r="V398">
            <v>62</v>
          </cell>
          <cell r="AB398">
            <v>53.1</v>
          </cell>
          <cell r="AE398">
            <v>12</v>
          </cell>
          <cell r="AG398">
            <v>50.4</v>
          </cell>
          <cell r="AS398">
            <v>101.84679039354425</v>
          </cell>
          <cell r="AT398">
            <v>102.60390739766547</v>
          </cell>
          <cell r="AV398" t="str">
            <v>K. Benjamin</v>
          </cell>
          <cell r="AW398">
            <v>0.29027777777777775</v>
          </cell>
        </row>
        <row r="399">
          <cell r="A399" t="str">
            <v>ST340</v>
          </cell>
          <cell r="P399">
            <v>61</v>
          </cell>
          <cell r="Q399">
            <v>12.758945386064028</v>
          </cell>
          <cell r="T399">
            <v>0.53055555555555556</v>
          </cell>
          <cell r="U399">
            <v>0.65416666666666667</v>
          </cell>
          <cell r="V399">
            <v>69</v>
          </cell>
          <cell r="AB399">
            <v>53.1</v>
          </cell>
          <cell r="AE399">
            <v>11.6</v>
          </cell>
          <cell r="AG399">
            <v>48.6</v>
          </cell>
          <cell r="AS399">
            <v>94.176294457189954</v>
          </cell>
          <cell r="AT399">
            <v>94.877541814883955</v>
          </cell>
          <cell r="AV399" t="str">
            <v>D.Gomaz</v>
          </cell>
          <cell r="AW399">
            <v>0.27569444444444446</v>
          </cell>
        </row>
        <row r="400">
          <cell r="A400" t="str">
            <v>ST341</v>
          </cell>
          <cell r="P400">
            <v>58</v>
          </cell>
          <cell r="Q400">
            <v>9.7457627118644012</v>
          </cell>
          <cell r="T400">
            <v>0.63124999999999998</v>
          </cell>
          <cell r="U400">
            <v>0.74791666666666667</v>
          </cell>
          <cell r="V400">
            <v>64</v>
          </cell>
          <cell r="AB400">
            <v>53.1</v>
          </cell>
          <cell r="AE400">
            <v>11.8</v>
          </cell>
          <cell r="AG400">
            <v>50.4</v>
          </cell>
          <cell r="AS400">
            <v>99.686452242871411</v>
          </cell>
          <cell r="AT400">
            <v>100.42824296627992</v>
          </cell>
          <cell r="AV400" t="str">
            <v>D.Gomaz</v>
          </cell>
          <cell r="AW400">
            <v>0.26527777777777778</v>
          </cell>
        </row>
        <row r="401">
          <cell r="A401" t="str">
            <v>ST342</v>
          </cell>
          <cell r="P401">
            <v>63</v>
          </cell>
          <cell r="Q401">
            <v>10.12241054613936</v>
          </cell>
          <cell r="T401">
            <v>0.72777777777777775</v>
          </cell>
          <cell r="U401">
            <v>0.84236111111111112</v>
          </cell>
          <cell r="V401">
            <v>59</v>
          </cell>
          <cell r="AB401">
            <v>53.1</v>
          </cell>
          <cell r="AE401">
            <v>12</v>
          </cell>
          <cell r="AG401">
            <v>49.7</v>
          </cell>
          <cell r="AS401">
            <v>100.05446453730306</v>
          </cell>
          <cell r="AT401">
            <v>100.798993728176</v>
          </cell>
          <cell r="AV401" t="str">
            <v>D.Gomaz</v>
          </cell>
          <cell r="AW401">
            <v>0.25902777777777775</v>
          </cell>
        </row>
        <row r="402">
          <cell r="A402" t="str">
            <v>ST343</v>
          </cell>
          <cell r="P402">
            <v>58</v>
          </cell>
          <cell r="Q402">
            <v>9.5574387947269361</v>
          </cell>
          <cell r="T402">
            <v>0.83888888888888891</v>
          </cell>
          <cell r="U402">
            <v>0.94861111111111107</v>
          </cell>
          <cell r="V402">
            <v>60</v>
          </cell>
          <cell r="AB402">
            <v>53.1</v>
          </cell>
          <cell r="AE402">
            <v>11.7</v>
          </cell>
          <cell r="AG402">
            <v>49.2</v>
          </cell>
          <cell r="AS402">
            <v>97.299514644052692</v>
          </cell>
          <cell r="AT402">
            <v>98.021864827060583</v>
          </cell>
          <cell r="AV402" t="str">
            <v>R.Sookram</v>
          </cell>
          <cell r="AW402">
            <v>0.26111111111111107</v>
          </cell>
        </row>
        <row r="403">
          <cell r="A403" t="str">
            <v>ST344</v>
          </cell>
          <cell r="P403">
            <v>58</v>
          </cell>
          <cell r="Q403">
            <v>10.310734463276837</v>
          </cell>
          <cell r="T403">
            <v>0.94166666666666665</v>
          </cell>
          <cell r="U403">
            <v>1.0631944444444446</v>
          </cell>
          <cell r="V403">
            <v>57</v>
          </cell>
          <cell r="AB403">
            <v>53.1</v>
          </cell>
          <cell r="AE403">
            <v>11.7</v>
          </cell>
          <cell r="AG403">
            <v>49.1</v>
          </cell>
          <cell r="AS403">
            <v>96.73465116514339</v>
          </cell>
          <cell r="AT403">
            <v>97.453526703291658</v>
          </cell>
          <cell r="AV403" t="str">
            <v>R.Sookram</v>
          </cell>
          <cell r="AW403">
            <v>0.27847222222222234</v>
          </cell>
        </row>
        <row r="404">
          <cell r="A404" t="str">
            <v>ST345</v>
          </cell>
          <cell r="P404">
            <v>60</v>
          </cell>
          <cell r="Q404">
            <v>10.12241054613936</v>
          </cell>
          <cell r="T404">
            <v>0.35416666666666669</v>
          </cell>
          <cell r="U404">
            <v>0.46875</v>
          </cell>
          <cell r="V404">
            <v>59</v>
          </cell>
          <cell r="AB404">
            <v>53.1</v>
          </cell>
          <cell r="AE404">
            <v>11.9</v>
          </cell>
          <cell r="AG404">
            <v>49</v>
          </cell>
          <cell r="AS404">
            <v>97.904074452866993</v>
          </cell>
          <cell r="AT404">
            <v>98.632362577253517</v>
          </cell>
          <cell r="AV404" t="str">
            <v>K. Benjamin</v>
          </cell>
          <cell r="AW404">
            <v>0.26041666666666663</v>
          </cell>
        </row>
        <row r="405">
          <cell r="A405" t="str">
            <v>ST346</v>
          </cell>
          <cell r="P405">
            <v>60</v>
          </cell>
          <cell r="Q405">
            <v>8.6158192090395538</v>
          </cell>
          <cell r="T405">
            <v>0.46388888888888891</v>
          </cell>
          <cell r="U405">
            <v>0.5756944444444444</v>
          </cell>
          <cell r="V405">
            <v>59</v>
          </cell>
          <cell r="AB405">
            <v>53.1</v>
          </cell>
          <cell r="AE405">
            <v>11.7</v>
          </cell>
          <cell r="AG405">
            <v>50.1</v>
          </cell>
          <cell r="AS405">
            <v>97.964086278322426</v>
          </cell>
          <cell r="AT405">
            <v>98.693537963032824</v>
          </cell>
          <cell r="AV405" t="str">
            <v>D.Gomaz</v>
          </cell>
          <cell r="AW405">
            <v>0.25624999999999998</v>
          </cell>
        </row>
        <row r="406">
          <cell r="A406" t="str">
            <v>ST347</v>
          </cell>
          <cell r="P406">
            <v>59</v>
          </cell>
          <cell r="Q406">
            <v>10.357142857142849</v>
          </cell>
          <cell r="T406">
            <v>0.19097222222222221</v>
          </cell>
          <cell r="U406">
            <v>0.32777777777777778</v>
          </cell>
          <cell r="V406">
            <v>53</v>
          </cell>
          <cell r="AB406">
            <v>49</v>
          </cell>
          <cell r="AE406">
            <v>11.6</v>
          </cell>
          <cell r="AG406">
            <v>45.8</v>
          </cell>
          <cell r="AS406">
            <v>95.297515941358313</v>
          </cell>
          <cell r="AT406">
            <v>95.745997612525031</v>
          </cell>
          <cell r="AV406" t="str">
            <v>R.Sookram</v>
          </cell>
          <cell r="AW406">
            <v>0.28611111111111109</v>
          </cell>
        </row>
        <row r="407">
          <cell r="A407" t="str">
            <v>ST348</v>
          </cell>
          <cell r="P407">
            <v>59</v>
          </cell>
          <cell r="Q407">
            <v>11.440677966101701</v>
          </cell>
          <cell r="T407">
            <v>0.97777777777777775</v>
          </cell>
          <cell r="U407">
            <v>1.1000000000000001</v>
          </cell>
          <cell r="V407">
            <v>59</v>
          </cell>
          <cell r="AB407">
            <v>53.1</v>
          </cell>
          <cell r="AE407">
            <v>11.6</v>
          </cell>
          <cell r="AG407">
            <v>47.3</v>
          </cell>
          <cell r="AS407">
            <v>93.180114647449273</v>
          </cell>
          <cell r="AT407">
            <v>93.625283549664189</v>
          </cell>
          <cell r="AV407" t="str">
            <v>D.Gomaz</v>
          </cell>
          <cell r="AW407">
            <v>0.28055555555555567</v>
          </cell>
        </row>
        <row r="408">
          <cell r="A408" t="str">
            <v>ST349</v>
          </cell>
          <cell r="P408">
            <v>60</v>
          </cell>
          <cell r="Q408">
            <v>10.499058380414318</v>
          </cell>
          <cell r="T408">
            <v>1.0874999999999999</v>
          </cell>
          <cell r="U408">
            <v>1.20625</v>
          </cell>
          <cell r="V408">
            <v>57</v>
          </cell>
          <cell r="AB408">
            <v>53.1</v>
          </cell>
          <cell r="AE408">
            <v>11.8</v>
          </cell>
          <cell r="AG408">
            <v>48.7</v>
          </cell>
          <cell r="AS408">
            <v>96.457135100043914</v>
          </cell>
          <cell r="AT408">
            <v>96.919492946283697</v>
          </cell>
          <cell r="AV408" t="str">
            <v>D.Gomaz</v>
          </cell>
          <cell r="AW408">
            <v>0.28263888888888888</v>
          </cell>
        </row>
        <row r="409">
          <cell r="A409" t="str">
            <v>ST350</v>
          </cell>
          <cell r="P409">
            <v>84</v>
          </cell>
          <cell r="Q409">
            <v>12.193973634651604</v>
          </cell>
          <cell r="T409">
            <v>1.1916666666666667</v>
          </cell>
          <cell r="U409">
            <v>1.3159722222222223</v>
          </cell>
          <cell r="V409">
            <v>55</v>
          </cell>
          <cell r="AB409">
            <v>53.1</v>
          </cell>
          <cell r="AE409">
            <v>11.6</v>
          </cell>
          <cell r="AG409">
            <v>47.6</v>
          </cell>
          <cell r="AS409">
            <v>93.415950198989805</v>
          </cell>
          <cell r="AT409">
            <v>93.862695123452028</v>
          </cell>
          <cell r="AV409" t="str">
            <v>R.Sookram</v>
          </cell>
          <cell r="AW409">
            <v>0.28819444444444464</v>
          </cell>
        </row>
        <row r="410">
          <cell r="A410" t="str">
            <v>ST351</v>
          </cell>
          <cell r="P410">
            <v>62</v>
          </cell>
          <cell r="Q410">
            <v>10.518867924528294</v>
          </cell>
          <cell r="T410">
            <v>0.45833333333333331</v>
          </cell>
          <cell r="U410">
            <v>0.5708333333333333</v>
          </cell>
          <cell r="V410">
            <v>55</v>
          </cell>
          <cell r="AB410">
            <v>53</v>
          </cell>
          <cell r="AE410">
            <v>12</v>
          </cell>
          <cell r="AG410">
            <v>48.5</v>
          </cell>
          <cell r="AS410">
            <v>98.887369370655151</v>
          </cell>
          <cell r="AT410">
            <v>99.359963682625121</v>
          </cell>
          <cell r="AV410" t="str">
            <v>K. Benjamin</v>
          </cell>
          <cell r="AW410">
            <v>0.26527777777777772</v>
          </cell>
        </row>
        <row r="411">
          <cell r="A411" t="str">
            <v>ST352</v>
          </cell>
          <cell r="P411">
            <v>60</v>
          </cell>
          <cell r="Q411">
            <v>10.141509433962264</v>
          </cell>
          <cell r="T411">
            <v>0.56319444444444444</v>
          </cell>
          <cell r="U411">
            <v>0.69513888888888886</v>
          </cell>
          <cell r="V411">
            <v>60</v>
          </cell>
          <cell r="AB411">
            <v>53</v>
          </cell>
          <cell r="AE411">
            <v>11.7</v>
          </cell>
          <cell r="AG411">
            <v>48.7</v>
          </cell>
          <cell r="AS411">
            <v>96.564061891895477</v>
          </cell>
          <cell r="AT411">
            <v>97.02570766418394</v>
          </cell>
          <cell r="AV411" t="str">
            <v>K. Benjamin</v>
          </cell>
          <cell r="AW411">
            <v>0.29236111111111107</v>
          </cell>
        </row>
        <row r="412">
          <cell r="A412" t="str">
            <v>ST353</v>
          </cell>
          <cell r="P412">
            <v>62</v>
          </cell>
          <cell r="Q412">
            <v>8.2547169811320753</v>
          </cell>
          <cell r="T412">
            <v>0.68402777777777779</v>
          </cell>
          <cell r="U412">
            <v>0.80069444444444449</v>
          </cell>
          <cell r="V412">
            <v>59</v>
          </cell>
          <cell r="AB412">
            <v>53</v>
          </cell>
          <cell r="AE412">
            <v>11.6</v>
          </cell>
          <cell r="AG412">
            <v>49.6</v>
          </cell>
          <cell r="AS412">
            <v>97.587398831026462</v>
          </cell>
          <cell r="AT412">
            <v>98.053780431639396</v>
          </cell>
          <cell r="AV412" t="str">
            <v>K. Benjamin</v>
          </cell>
          <cell r="AW412">
            <v>0.30069444444444449</v>
          </cell>
        </row>
        <row r="413">
          <cell r="A413" t="str">
            <v>ST354</v>
          </cell>
          <cell r="P413">
            <v>61</v>
          </cell>
          <cell r="Q413">
            <v>8.4433962264150964</v>
          </cell>
          <cell r="T413">
            <v>0.79027777777777775</v>
          </cell>
          <cell r="U413">
            <v>0.90625</v>
          </cell>
          <cell r="V413">
            <v>57</v>
          </cell>
          <cell r="AB413">
            <v>53</v>
          </cell>
          <cell r="AE413">
            <v>11.7</v>
          </cell>
          <cell r="AG413">
            <v>49.6</v>
          </cell>
          <cell r="AS413">
            <v>98.224447954469326</v>
          </cell>
          <cell r="AT413">
            <v>98.694188651730215</v>
          </cell>
          <cell r="AV413" t="str">
            <v>D.Gomaz</v>
          </cell>
          <cell r="AW413">
            <v>0.30902777777777779</v>
          </cell>
        </row>
        <row r="414">
          <cell r="A414" t="str">
            <v>ST355</v>
          </cell>
          <cell r="P414">
            <v>60</v>
          </cell>
          <cell r="Q414">
            <v>8.4433962264150964</v>
          </cell>
          <cell r="T414">
            <v>0.9</v>
          </cell>
          <cell r="U414">
            <v>1.0125</v>
          </cell>
          <cell r="V414">
            <v>57</v>
          </cell>
          <cell r="AB414">
            <v>53</v>
          </cell>
          <cell r="AE414">
            <v>11.6</v>
          </cell>
          <cell r="AG414">
            <v>49.6</v>
          </cell>
          <cell r="AS414">
            <v>97.21825181855985</v>
          </cell>
          <cell r="AT414">
            <v>97.683335647241762</v>
          </cell>
          <cell r="AV414" t="str">
            <v>D.Gomaz</v>
          </cell>
          <cell r="AW414">
            <v>0.31458333333333333</v>
          </cell>
        </row>
        <row r="415">
          <cell r="A415" t="str">
            <v>ST356</v>
          </cell>
          <cell r="P415">
            <v>58</v>
          </cell>
          <cell r="Q415">
            <v>8.2547169811320753</v>
          </cell>
          <cell r="T415">
            <v>1.0118055555555556</v>
          </cell>
          <cell r="U415">
            <v>1.1465277777777778</v>
          </cell>
          <cell r="V415">
            <v>86</v>
          </cell>
          <cell r="AB415">
            <v>53</v>
          </cell>
          <cell r="AE415">
            <v>11.7</v>
          </cell>
          <cell r="AG415">
            <v>50.3</v>
          </cell>
          <cell r="AS415">
            <v>101.40298160624693</v>
          </cell>
          <cell r="AT415">
            <v>101.88561484806584</v>
          </cell>
          <cell r="AW415">
            <v>0.32013888888888897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21"/>
      <sheetName val="Brew Times"/>
      <sheetName val="BrewMaterials"/>
      <sheetName val="Brewhouse"/>
      <sheetName val="Packaging"/>
      <sheetName val="Process"/>
      <sheetName val="Summary September '26"/>
      <sheetName val="Summary August '26 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</sheetNames>
    <sheetDataSet>
      <sheetData sheetId="0"/>
      <sheetData sheetId="1"/>
      <sheetData sheetId="2"/>
      <sheetData sheetId="3"/>
      <sheetData sheetId="4"/>
      <sheetData sheetId="5">
        <row r="42">
          <cell r="AU42">
            <v>98.774703764205327</v>
          </cell>
        </row>
        <row r="43">
          <cell r="AU43">
            <v>99.746895730388445</v>
          </cell>
        </row>
        <row r="44">
          <cell r="AU44">
            <v>99.480491014553465</v>
          </cell>
        </row>
        <row r="45">
          <cell r="AU45">
            <v>99.359192252045119</v>
          </cell>
        </row>
        <row r="46">
          <cell r="AU46">
            <v>94.942986581581494</v>
          </cell>
        </row>
        <row r="47">
          <cell r="AU47">
            <v>99.744059513955506</v>
          </cell>
        </row>
        <row r="48">
          <cell r="AU48">
            <v>100.99522335236702</v>
          </cell>
        </row>
        <row r="49">
          <cell r="AU49">
            <v>96.38510978729046</v>
          </cell>
        </row>
        <row r="50">
          <cell r="AU50">
            <v>96.854916965661218</v>
          </cell>
        </row>
        <row r="51">
          <cell r="AU51">
            <v>97.756974250197359</v>
          </cell>
        </row>
        <row r="52">
          <cell r="AU52">
            <v>98.280554742749217</v>
          </cell>
        </row>
        <row r="53">
          <cell r="AU53">
            <v>96.13324085965202</v>
          </cell>
        </row>
        <row r="54">
          <cell r="AU54">
            <v>93.879203465211987</v>
          </cell>
        </row>
        <row r="55">
          <cell r="AU55">
            <v>95.350414753836105</v>
          </cell>
        </row>
        <row r="56">
          <cell r="AU56">
            <v>96.220784779412256</v>
          </cell>
        </row>
        <row r="57">
          <cell r="AU57">
            <v>98.599549107933044</v>
          </cell>
        </row>
        <row r="58">
          <cell r="AU58">
            <v>97.224654996866249</v>
          </cell>
        </row>
        <row r="59">
          <cell r="AU59">
            <v>97.214744342532583</v>
          </cell>
        </row>
        <row r="60">
          <cell r="AU60">
            <v>99.947116466554263</v>
          </cell>
        </row>
        <row r="61">
          <cell r="AU61">
            <v>98.532094795334359</v>
          </cell>
        </row>
        <row r="62">
          <cell r="AU62">
            <v>93.409868719251207</v>
          </cell>
        </row>
        <row r="63">
          <cell r="AU63">
            <v>99.155044731309943</v>
          </cell>
        </row>
        <row r="64">
          <cell r="AU64">
            <v>97.421068441304371</v>
          </cell>
        </row>
        <row r="65">
          <cell r="AU65">
            <v>96.397222195852265</v>
          </cell>
        </row>
        <row r="66">
          <cell r="AU66">
            <v>100.46145390412471</v>
          </cell>
        </row>
        <row r="67">
          <cell r="AU67">
            <v>98.998214709308328</v>
          </cell>
        </row>
        <row r="68">
          <cell r="AU68">
            <v>97.857422068578444</v>
          </cell>
        </row>
        <row r="69">
          <cell r="AU69">
            <v>97.436062166815688</v>
          </cell>
        </row>
        <row r="70">
          <cell r="AU70">
            <v>96.910477582354332</v>
          </cell>
        </row>
        <row r="71">
          <cell r="AU71">
            <v>98.960439575055489</v>
          </cell>
        </row>
        <row r="72">
          <cell r="AU72">
            <v>102.29507421858402</v>
          </cell>
        </row>
        <row r="73">
          <cell r="AU73">
            <v>99.640437653385277</v>
          </cell>
        </row>
        <row r="74">
          <cell r="AU74">
            <v>82.328169468585017</v>
          </cell>
        </row>
        <row r="75">
          <cell r="AU75">
            <v>97.674289949528585</v>
          </cell>
        </row>
        <row r="76">
          <cell r="AU76">
            <v>107.03141163467369</v>
          </cell>
        </row>
        <row r="77">
          <cell r="AU77">
            <v>95.236008152799599</v>
          </cell>
        </row>
        <row r="78">
          <cell r="AU78">
            <v>93.827567679359049</v>
          </cell>
        </row>
        <row r="79">
          <cell r="AU79">
            <v>95.896687100312732</v>
          </cell>
        </row>
        <row r="80">
          <cell r="AU80">
            <v>99.738925134433643</v>
          </cell>
        </row>
        <row r="81">
          <cell r="AU81">
            <v>100.16530562302518</v>
          </cell>
        </row>
        <row r="82">
          <cell r="AU82">
            <v>99.736526583941028</v>
          </cell>
        </row>
        <row r="83">
          <cell r="AU83">
            <v>99.664029210937514</v>
          </cell>
        </row>
        <row r="84">
          <cell r="AU84">
            <v>100.01748335846912</v>
          </cell>
        </row>
        <row r="85">
          <cell r="AU85">
            <v>102.59219085086538</v>
          </cell>
        </row>
        <row r="86">
          <cell r="AU86">
            <v>102.5433340471773</v>
          </cell>
        </row>
        <row r="87">
          <cell r="AU87">
            <v>96.805164931106077</v>
          </cell>
        </row>
        <row r="88">
          <cell r="AU88">
            <v>95.467350978288906</v>
          </cell>
        </row>
        <row r="89">
          <cell r="AU89">
            <v>101.53064235241746</v>
          </cell>
        </row>
        <row r="90">
          <cell r="AU90">
            <v>99.843022353876989</v>
          </cell>
        </row>
        <row r="91">
          <cell r="AU91">
            <v>101.2321550320278</v>
          </cell>
        </row>
        <row r="92">
          <cell r="AU92">
            <v>101.42626155454937</v>
          </cell>
        </row>
        <row r="93">
          <cell r="AU93">
            <v>100.44724358587611</v>
          </cell>
        </row>
        <row r="94">
          <cell r="AU94">
            <v>102.05296320797829</v>
          </cell>
        </row>
        <row r="95">
          <cell r="AU95">
            <v>95.560767955537841</v>
          </cell>
        </row>
        <row r="96">
          <cell r="AU96">
            <v>95.858476381615304</v>
          </cell>
        </row>
        <row r="97">
          <cell r="AU97">
            <v>93.414689526206047</v>
          </cell>
        </row>
        <row r="98">
          <cell r="AU98">
            <v>99.986346763685134</v>
          </cell>
        </row>
        <row r="99">
          <cell r="AU99">
            <v>99.177482096170877</v>
          </cell>
        </row>
        <row r="100">
          <cell r="AU100">
            <v>97.509880366294198</v>
          </cell>
        </row>
        <row r="101">
          <cell r="AU101">
            <v>101.75095732104258</v>
          </cell>
        </row>
        <row r="102">
          <cell r="AU102">
            <v>99.415120817930529</v>
          </cell>
        </row>
        <row r="103">
          <cell r="AU103">
            <v>99.662908503532648</v>
          </cell>
        </row>
        <row r="104">
          <cell r="AU104">
            <v>96.575602446302355</v>
          </cell>
        </row>
        <row r="105">
          <cell r="AU105">
            <v>95.507567677953077</v>
          </cell>
        </row>
        <row r="106">
          <cell r="AU106">
            <v>97.819710364525065</v>
          </cell>
        </row>
        <row r="107">
          <cell r="AU107">
            <v>93.737546450558312</v>
          </cell>
        </row>
        <row r="108">
          <cell r="AU108">
            <v>96.679439674001571</v>
          </cell>
        </row>
        <row r="109">
          <cell r="AU109">
            <v>96.344074013646235</v>
          </cell>
        </row>
        <row r="110">
          <cell r="AU110">
            <v>96.969073122994232</v>
          </cell>
        </row>
        <row r="111">
          <cell r="AU111">
            <v>98.413757188601139</v>
          </cell>
        </row>
        <row r="112">
          <cell r="AU112">
            <v>96.361633561905379</v>
          </cell>
        </row>
        <row r="113">
          <cell r="AU113">
            <v>97.5202904784814</v>
          </cell>
        </row>
        <row r="114">
          <cell r="AU114">
            <v>97.851490534465384</v>
          </cell>
        </row>
        <row r="115">
          <cell r="AU115">
            <v>96.702752232561977</v>
          </cell>
        </row>
        <row r="116">
          <cell r="AU116">
            <v>96.254729187993746</v>
          </cell>
        </row>
        <row r="117">
          <cell r="AU117">
            <v>98.215110637851069</v>
          </cell>
        </row>
        <row r="118">
          <cell r="AU118">
            <v>95.664747463751866</v>
          </cell>
        </row>
        <row r="119">
          <cell r="AU119">
            <v>95.472649577278474</v>
          </cell>
        </row>
        <row r="120">
          <cell r="AU120">
            <v>92.499443839985332</v>
          </cell>
        </row>
        <row r="121">
          <cell r="AU121">
            <v>101.81766752472274</v>
          </cell>
        </row>
        <row r="122">
          <cell r="AU122">
            <v>99.504012001826652</v>
          </cell>
        </row>
        <row r="123">
          <cell r="AU123">
            <v>99.783415797736893</v>
          </cell>
        </row>
        <row r="125">
          <cell r="AU125">
            <v>94.991214982303461</v>
          </cell>
        </row>
        <row r="126">
          <cell r="AU126">
            <v>98.081652776220835</v>
          </cell>
        </row>
        <row r="127">
          <cell r="AU127">
            <v>98.458827461721384</v>
          </cell>
        </row>
        <row r="128">
          <cell r="AU128">
            <v>95.824043987091741</v>
          </cell>
        </row>
        <row r="129">
          <cell r="AU129">
            <v>98.44333422721418</v>
          </cell>
        </row>
        <row r="130">
          <cell r="AU130">
            <v>100.21447484042207</v>
          </cell>
        </row>
        <row r="131">
          <cell r="AU131">
            <v>93.572296329201976</v>
          </cell>
        </row>
        <row r="132">
          <cell r="AU132">
            <v>99.628123440277676</v>
          </cell>
        </row>
        <row r="133">
          <cell r="AU133">
            <v>93.047268518820289</v>
          </cell>
        </row>
        <row r="134">
          <cell r="AU134">
            <v>98.00301242081278</v>
          </cell>
        </row>
        <row r="135">
          <cell r="AU135">
            <v>98.750429944987545</v>
          </cell>
        </row>
        <row r="136">
          <cell r="AU136">
            <v>100.69196814542862</v>
          </cell>
        </row>
        <row r="137">
          <cell r="AU137">
            <v>96.996599085521808</v>
          </cell>
        </row>
        <row r="138">
          <cell r="AU138">
            <v>97.499189767162704</v>
          </cell>
        </row>
        <row r="139">
          <cell r="AU139">
            <v>98.065329347096849</v>
          </cell>
        </row>
        <row r="140">
          <cell r="AU140">
            <v>100.56885966131995</v>
          </cell>
        </row>
        <row r="141">
          <cell r="AU141">
            <v>99.310564104752999</v>
          </cell>
        </row>
        <row r="142">
          <cell r="AU142">
            <v>81.813106414231768</v>
          </cell>
        </row>
        <row r="143">
          <cell r="AU143">
            <v>74.681377386116381</v>
          </cell>
        </row>
        <row r="144">
          <cell r="AU144">
            <v>99.596822865747242</v>
          </cell>
        </row>
        <row r="145">
          <cell r="AU145">
            <v>98.361425847158671</v>
          </cell>
        </row>
        <row r="146">
          <cell r="AU146">
            <v>102.80934079529675</v>
          </cell>
        </row>
        <row r="147">
          <cell r="AU147">
            <v>104.32736945451965</v>
          </cell>
        </row>
        <row r="148">
          <cell r="AU148">
            <v>102.41832780758313</v>
          </cell>
        </row>
        <row r="149">
          <cell r="AU149">
            <v>102.65008917352358</v>
          </cell>
        </row>
        <row r="150">
          <cell r="AU150">
            <v>98.351271471428475</v>
          </cell>
        </row>
        <row r="151">
          <cell r="AU151">
            <v>95.527089538140444</v>
          </cell>
        </row>
        <row r="152">
          <cell r="AU152">
            <v>98.791770353169028</v>
          </cell>
        </row>
        <row r="153">
          <cell r="AU153">
            <v>92.525215393532562</v>
          </cell>
        </row>
        <row r="154">
          <cell r="AU154">
            <v>98.286412743082607</v>
          </cell>
        </row>
        <row r="155">
          <cell r="AU155">
            <v>95.699273266512037</v>
          </cell>
        </row>
        <row r="156">
          <cell r="AU156">
            <v>96.200448437262068</v>
          </cell>
        </row>
        <row r="157">
          <cell r="AU157">
            <v>93.020726759402706</v>
          </cell>
        </row>
        <row r="158">
          <cell r="AU158">
            <v>96.412047269582672</v>
          </cell>
        </row>
        <row r="159">
          <cell r="AU159">
            <v>97.250520471561614</v>
          </cell>
        </row>
        <row r="160">
          <cell r="AU160">
            <v>98.1438476329579</v>
          </cell>
        </row>
        <row r="161">
          <cell r="AU161">
            <v>93.52608739149872</v>
          </cell>
        </row>
        <row r="162">
          <cell r="AU162">
            <v>101.12603213986264</v>
          </cell>
        </row>
        <row r="163">
          <cell r="AU163">
            <v>100.33640509948549</v>
          </cell>
        </row>
        <row r="164">
          <cell r="AU164">
            <v>100.85036161508521</v>
          </cell>
        </row>
        <row r="165">
          <cell r="AU165">
            <v>95.502024957607773</v>
          </cell>
        </row>
        <row r="166">
          <cell r="AU166">
            <v>94.342162395109455</v>
          </cell>
        </row>
        <row r="167">
          <cell r="AU167">
            <v>99.071689760585087</v>
          </cell>
        </row>
        <row r="168">
          <cell r="AU168">
            <v>98.514796568176052</v>
          </cell>
        </row>
        <row r="169">
          <cell r="AU169">
            <v>96.024272843684003</v>
          </cell>
        </row>
        <row r="170">
          <cell r="AU170">
            <v>98.175529465436611</v>
          </cell>
        </row>
        <row r="171">
          <cell r="AU171">
            <v>102.72843364793638</v>
          </cell>
        </row>
        <row r="172">
          <cell r="AU172">
            <v>97.857596270649012</v>
          </cell>
        </row>
        <row r="173">
          <cell r="AU173">
            <v>96.511183978216323</v>
          </cell>
        </row>
        <row r="174">
          <cell r="AU174">
            <v>96.273917789076862</v>
          </cell>
        </row>
        <row r="175">
          <cell r="AU175">
            <v>96.763833489372473</v>
          </cell>
        </row>
        <row r="176">
          <cell r="AU176">
            <v>98.253731658657813</v>
          </cell>
        </row>
        <row r="177">
          <cell r="AU177">
            <v>96.225557296455349</v>
          </cell>
        </row>
        <row r="178">
          <cell r="AU178">
            <v>95.76386603519768</v>
          </cell>
        </row>
        <row r="179">
          <cell r="AU179">
            <v>97.861559996128506</v>
          </cell>
        </row>
        <row r="180">
          <cell r="AU180">
            <v>98.551754908063671</v>
          </cell>
        </row>
        <row r="181">
          <cell r="AU181">
            <v>90.189295198187452</v>
          </cell>
        </row>
        <row r="182">
          <cell r="AU182">
            <v>99.950041431757512</v>
          </cell>
        </row>
        <row r="183">
          <cell r="AU183">
            <v>97.547980983941912</v>
          </cell>
        </row>
        <row r="184">
          <cell r="AU184">
            <v>97.02181756168649</v>
          </cell>
        </row>
        <row r="185">
          <cell r="AU185">
            <v>97.515157399606437</v>
          </cell>
        </row>
        <row r="186">
          <cell r="AU186">
            <v>95.404393473874009</v>
          </cell>
        </row>
        <row r="187">
          <cell r="AU187">
            <v>99.138574114682569</v>
          </cell>
        </row>
        <row r="188">
          <cell r="AU188">
            <v>97.371494370242544</v>
          </cell>
        </row>
        <row r="198">
          <cell r="AU198">
            <v>96.242072087973199</v>
          </cell>
        </row>
        <row r="199">
          <cell r="AU199">
            <v>98.87254747107896</v>
          </cell>
        </row>
        <row r="200">
          <cell r="AU200">
            <v>101.57164076036193</v>
          </cell>
        </row>
        <row r="201">
          <cell r="AU201">
            <v>99.130786137236072</v>
          </cell>
        </row>
        <row r="202">
          <cell r="AU202">
            <v>94.664735774609312</v>
          </cell>
        </row>
        <row r="203">
          <cell r="AU203">
            <v>98.211317122475975</v>
          </cell>
        </row>
        <row r="204">
          <cell r="AU204">
            <v>96.718815813314833</v>
          </cell>
        </row>
        <row r="205">
          <cell r="AU205">
            <v>99.681744479307142</v>
          </cell>
        </row>
        <row r="206">
          <cell r="AU206">
            <v>96.837780355457184</v>
          </cell>
        </row>
        <row r="207">
          <cell r="AU207">
            <v>101.84066195473321</v>
          </cell>
        </row>
        <row r="208">
          <cell r="AU208">
            <v>98.972363799020584</v>
          </cell>
        </row>
        <row r="209">
          <cell r="AU209">
            <v>97.717648278528927</v>
          </cell>
        </row>
        <row r="210">
          <cell r="AU210">
            <v>95.753750342141842</v>
          </cell>
        </row>
        <row r="211">
          <cell r="AU211">
            <v>98.477078860461759</v>
          </cell>
        </row>
        <row r="212">
          <cell r="AU212">
            <v>98.060574842581516</v>
          </cell>
        </row>
        <row r="213">
          <cell r="AU213">
            <v>98.477078860461759</v>
          </cell>
        </row>
        <row r="214">
          <cell r="AU214">
            <v>96.84005415922779</v>
          </cell>
        </row>
        <row r="215">
          <cell r="AU215">
            <v>100.25557474160721</v>
          </cell>
        </row>
        <row r="216">
          <cell r="AU216">
            <v>97.982769910971371</v>
          </cell>
        </row>
        <row r="217">
          <cell r="AU217">
            <v>98.499505757279664</v>
          </cell>
        </row>
        <row r="218">
          <cell r="AU218">
            <v>94.764649300245921</v>
          </cell>
        </row>
        <row r="219">
          <cell r="AU219">
            <v>114.82483845154799</v>
          </cell>
        </row>
        <row r="220">
          <cell r="AU220">
            <v>98.182619925802825</v>
          </cell>
        </row>
        <row r="221">
          <cell r="AU221">
            <v>98.728037202201719</v>
          </cell>
        </row>
        <row r="222">
          <cell r="AU222">
            <v>98.865584270828393</v>
          </cell>
        </row>
        <row r="223">
          <cell r="AU223">
            <v>94.960805086604111</v>
          </cell>
        </row>
        <row r="224">
          <cell r="AU224">
            <v>94.654963762652073</v>
          </cell>
        </row>
        <row r="225">
          <cell r="AU225">
            <v>97.983517470033405</v>
          </cell>
        </row>
        <row r="226">
          <cell r="AU226">
            <v>97.134089873786564</v>
          </cell>
        </row>
        <row r="227">
          <cell r="AU227">
            <v>97.825601678018998</v>
          </cell>
        </row>
        <row r="228">
          <cell r="AU228">
            <v>98.868627192961327</v>
          </cell>
        </row>
        <row r="229">
          <cell r="AU229">
            <v>98.076814194365696</v>
          </cell>
        </row>
        <row r="230">
          <cell r="AU230">
            <v>99.593534238465153</v>
          </cell>
        </row>
        <row r="231">
          <cell r="AU231">
            <v>96.043228742840341</v>
          </cell>
        </row>
        <row r="232">
          <cell r="AU232">
            <v>93.852195272622652</v>
          </cell>
        </row>
        <row r="233">
          <cell r="AU233">
            <v>97.973702378244013</v>
          </cell>
        </row>
        <row r="234">
          <cell r="AU234">
            <v>97.595557441238071</v>
          </cell>
        </row>
        <row r="235">
          <cell r="AU235">
            <v>99.011089727354573</v>
          </cell>
        </row>
        <row r="236">
          <cell r="AU236">
            <v>97.622156604926758</v>
          </cell>
        </row>
        <row r="237">
          <cell r="AU237">
            <v>98.713591365675498</v>
          </cell>
        </row>
        <row r="238">
          <cell r="AU238">
            <v>96.451431959126339</v>
          </cell>
        </row>
        <row r="239">
          <cell r="AU239">
            <v>97.225318569947376</v>
          </cell>
        </row>
        <row r="240">
          <cell r="AU240">
            <v>97.302716492359181</v>
          </cell>
        </row>
        <row r="241">
          <cell r="AU241">
            <v>96.377175001990878</v>
          </cell>
        </row>
        <row r="242">
          <cell r="AU242">
            <v>98.562914042619013</v>
          </cell>
        </row>
        <row r="243">
          <cell r="AU243">
            <v>97.595442540704411</v>
          </cell>
        </row>
        <row r="244">
          <cell r="AU244">
            <v>100.18284509194719</v>
          </cell>
        </row>
        <row r="245">
          <cell r="AU245">
            <v>96.311853798954317</v>
          </cell>
        </row>
        <row r="246">
          <cell r="AU246">
            <v>96.096956507805032</v>
          </cell>
        </row>
        <row r="247">
          <cell r="AU247">
            <v>99.508128433796273</v>
          </cell>
        </row>
        <row r="248">
          <cell r="AU248">
            <v>94.924305937938897</v>
          </cell>
        </row>
        <row r="249">
          <cell r="AU249">
            <v>97.266996516441111</v>
          </cell>
        </row>
        <row r="250">
          <cell r="AU250">
            <v>101.97538590361592</v>
          </cell>
        </row>
        <row r="251">
          <cell r="AU251">
            <v>93.260037484866757</v>
          </cell>
        </row>
        <row r="252">
          <cell r="AU252">
            <v>97.506312070474038</v>
          </cell>
        </row>
        <row r="253">
          <cell r="AU253">
            <v>97.162294174609158</v>
          </cell>
        </row>
        <row r="254">
          <cell r="AU254">
            <v>99.189410098175131</v>
          </cell>
        </row>
        <row r="255">
          <cell r="AU255">
            <v>96.590809413258498</v>
          </cell>
        </row>
        <row r="256">
          <cell r="AU256">
            <v>104.8589466494704</v>
          </cell>
        </row>
        <row r="257">
          <cell r="AU257">
            <v>98.830299448787045</v>
          </cell>
        </row>
        <row r="258">
          <cell r="AU258">
            <v>98.040070014500969</v>
          </cell>
        </row>
        <row r="259">
          <cell r="AU259">
            <v>99.708815326021792</v>
          </cell>
        </row>
        <row r="260">
          <cell r="AU260">
            <v>97.755708503233933</v>
          </cell>
        </row>
        <row r="261">
          <cell r="AU261">
            <v>97.407767694541405</v>
          </cell>
        </row>
        <row r="262">
          <cell r="AU262">
            <v>98.655643022911761</v>
          </cell>
        </row>
        <row r="263">
          <cell r="AU263">
            <v>95.847937505992363</v>
          </cell>
        </row>
        <row r="264">
          <cell r="AU264">
            <v>96.904607911463032</v>
          </cell>
        </row>
        <row r="265">
          <cell r="AU265">
            <v>97.843989874471959</v>
          </cell>
        </row>
        <row r="266">
          <cell r="AU266">
            <v>97.685025256417518</v>
          </cell>
        </row>
        <row r="267">
          <cell r="AU267">
            <v>101.44067430211668</v>
          </cell>
        </row>
        <row r="268">
          <cell r="AU268">
            <v>97.441660983042127</v>
          </cell>
        </row>
        <row r="269">
          <cell r="AU269">
            <v>96.686043099880422</v>
          </cell>
        </row>
        <row r="270">
          <cell r="AU270">
            <v>99.558186680524798</v>
          </cell>
        </row>
        <row r="271">
          <cell r="AU271">
            <v>100.34481040419453</v>
          </cell>
        </row>
        <row r="272">
          <cell r="AU272">
            <v>99.932598886125291</v>
          </cell>
        </row>
        <row r="273">
          <cell r="AU273">
            <v>97.05962214993248</v>
          </cell>
        </row>
        <row r="274">
          <cell r="AU274">
            <v>98.473296044522911</v>
          </cell>
        </row>
        <row r="275">
          <cell r="AU275">
            <v>96.821336097738467</v>
          </cell>
        </row>
        <row r="276">
          <cell r="AU276">
            <v>94.526889247991434</v>
          </cell>
        </row>
        <row r="277">
          <cell r="AU277">
            <v>99.232478638628749</v>
          </cell>
        </row>
        <row r="278">
          <cell r="AU278">
            <v>97.771866547676723</v>
          </cell>
        </row>
        <row r="279">
          <cell r="AU279">
            <v>98.557950595645067</v>
          </cell>
        </row>
        <row r="280">
          <cell r="AU280">
            <v>99.798300055092355</v>
          </cell>
        </row>
        <row r="281">
          <cell r="AU281">
            <v>99.38157832321258</v>
          </cell>
        </row>
        <row r="282">
          <cell r="AU282">
            <v>98.434186024142619</v>
          </cell>
        </row>
        <row r="283">
          <cell r="AU283">
            <v>98.376488030672363</v>
          </cell>
        </row>
        <row r="284">
          <cell r="AU284">
            <v>107.26927617311497</v>
          </cell>
        </row>
        <row r="285">
          <cell r="AU285">
            <v>104.13717497046395</v>
          </cell>
        </row>
        <row r="286">
          <cell r="AU286">
            <v>95.960980995714607</v>
          </cell>
        </row>
        <row r="287">
          <cell r="AU287">
            <v>98.780662674884439</v>
          </cell>
        </row>
        <row r="288">
          <cell r="AU288">
            <v>97.564314880534255</v>
          </cell>
        </row>
        <row r="289">
          <cell r="AU289">
            <v>98.861130500688475</v>
          </cell>
        </row>
        <row r="290">
          <cell r="AU290">
            <v>99.745630863635611</v>
          </cell>
        </row>
        <row r="292">
          <cell r="AU292">
            <v>97.704199504233429</v>
          </cell>
        </row>
        <row r="293">
          <cell r="AU293">
            <v>97.979907272741045</v>
          </cell>
        </row>
        <row r="294">
          <cell r="AU294">
            <v>99.895350375578587</v>
          </cell>
        </row>
        <row r="295">
          <cell r="AU295">
            <v>95.889566709390451</v>
          </cell>
        </row>
        <row r="296">
          <cell r="AU296">
            <v>99.06862717692897</v>
          </cell>
        </row>
        <row r="297">
          <cell r="AU297">
            <v>95.445431119922034</v>
          </cell>
        </row>
        <row r="298">
          <cell r="AU298">
            <v>104.42612750160676</v>
          </cell>
        </row>
        <row r="299">
          <cell r="AU299">
            <v>97.341719131975395</v>
          </cell>
        </row>
        <row r="300">
          <cell r="AU300">
            <v>99.419193802504751</v>
          </cell>
        </row>
        <row r="301">
          <cell r="AU301">
            <v>97.071854613833906</v>
          </cell>
        </row>
        <row r="302">
          <cell r="AU302">
            <v>99.570734039536561</v>
          </cell>
        </row>
        <row r="303">
          <cell r="AU303">
            <v>96.468452597935965</v>
          </cell>
        </row>
        <row r="304">
          <cell r="AU304">
            <v>98.260915565538383</v>
          </cell>
        </row>
        <row r="305">
          <cell r="AU305">
            <v>97.640321547589153</v>
          </cell>
        </row>
        <row r="306">
          <cell r="AU306">
            <v>98.731659046513386</v>
          </cell>
        </row>
        <row r="307">
          <cell r="AU307">
            <v>100.63051286939478</v>
          </cell>
        </row>
        <row r="308">
          <cell r="AU308">
            <v>96.708405814293428</v>
          </cell>
        </row>
        <row r="309">
          <cell r="AU309">
            <v>98.262108477392388</v>
          </cell>
        </row>
        <row r="310">
          <cell r="AU310">
            <v>100.88223340232045</v>
          </cell>
        </row>
        <row r="311">
          <cell r="AU311">
            <v>97.964873795422605</v>
          </cell>
        </row>
        <row r="312">
          <cell r="AU312">
            <v>97.684444147608716</v>
          </cell>
        </row>
        <row r="313">
          <cell r="AU313">
            <v>100.56390577410568</v>
          </cell>
        </row>
        <row r="314">
          <cell r="AU314">
            <v>99.284482347324953</v>
          </cell>
        </row>
        <row r="315">
          <cell r="AU315">
            <v>99.92986277518375</v>
          </cell>
        </row>
        <row r="316">
          <cell r="AU316">
            <v>98.833209781084534</v>
          </cell>
        </row>
        <row r="317">
          <cell r="AU317">
            <v>99.202272266400399</v>
          </cell>
        </row>
        <row r="318">
          <cell r="AU318">
            <v>98.715968018469894</v>
          </cell>
        </row>
        <row r="319">
          <cell r="AU319">
            <v>95.039912630667331</v>
          </cell>
        </row>
        <row r="320">
          <cell r="AU320">
            <v>98.367421417804422</v>
          </cell>
        </row>
        <row r="321">
          <cell r="AU321">
            <v>98.860563530003276</v>
          </cell>
        </row>
        <row r="322">
          <cell r="AU322">
            <v>98.293969985865587</v>
          </cell>
        </row>
        <row r="323">
          <cell r="AU323">
            <v>98.680554445148545</v>
          </cell>
        </row>
        <row r="324">
          <cell r="AU324">
            <v>97.276066263342202</v>
          </cell>
        </row>
        <row r="325">
          <cell r="AU325">
            <v>99.522717712698153</v>
          </cell>
        </row>
        <row r="326">
          <cell r="AU326">
            <v>97.280161876306295</v>
          </cell>
        </row>
        <row r="327">
          <cell r="AU327">
            <v>98.419574335641741</v>
          </cell>
        </row>
        <row r="328">
          <cell r="AU328">
            <v>99.010323522494176</v>
          </cell>
        </row>
        <row r="329">
          <cell r="AU329">
            <v>101.34286464320613</v>
          </cell>
        </row>
        <row r="330">
          <cell r="AU330">
            <v>100.08719027441192</v>
          </cell>
        </row>
        <row r="331">
          <cell r="AU331">
            <v>97.147652628524895</v>
          </cell>
        </row>
        <row r="333">
          <cell r="AU333">
            <v>98.291637523851719</v>
          </cell>
        </row>
        <row r="334">
          <cell r="AU334">
            <v>101.55474535131795</v>
          </cell>
        </row>
        <row r="335">
          <cell r="AU335">
            <v>100.47437476290094</v>
          </cell>
        </row>
        <row r="336">
          <cell r="AU336">
            <v>100.54292897070825</v>
          </cell>
        </row>
        <row r="337">
          <cell r="AU337">
            <v>99.6914222479014</v>
          </cell>
        </row>
        <row r="338">
          <cell r="AU338">
            <v>98.788355462696771</v>
          </cell>
        </row>
        <row r="339">
          <cell r="AU339">
            <v>96.362850732705169</v>
          </cell>
        </row>
        <row r="340">
          <cell r="AU340">
            <v>99.706387133823071</v>
          </cell>
        </row>
        <row r="341">
          <cell r="AU341">
            <v>97.642652173476279</v>
          </cell>
        </row>
        <row r="342">
          <cell r="AU342">
            <v>99.106149710242491</v>
          </cell>
        </row>
        <row r="343">
          <cell r="AU343">
            <v>96.333505901006006</v>
          </cell>
        </row>
        <row r="344">
          <cell r="AU344">
            <v>98.749512017375622</v>
          </cell>
        </row>
        <row r="345">
          <cell r="AU345">
            <v>97.86206666251897</v>
          </cell>
        </row>
        <row r="346">
          <cell r="AU346">
            <v>101.04601229684947</v>
          </cell>
        </row>
        <row r="347">
          <cell r="AU347">
            <v>97.276066263342202</v>
          </cell>
        </row>
        <row r="348">
          <cell r="AU348">
            <v>93.852395703596613</v>
          </cell>
        </row>
        <row r="349">
          <cell r="AU349">
            <v>97.34537784324344</v>
          </cell>
        </row>
        <row r="350">
          <cell r="AU350">
            <v>98.987340911426685</v>
          </cell>
        </row>
        <row r="351">
          <cell r="AU351">
            <v>98.106846922939908</v>
          </cell>
        </row>
        <row r="352">
          <cell r="AU352">
            <v>98.794769125933016</v>
          </cell>
        </row>
        <row r="353">
          <cell r="AU353">
            <v>98.17950033315293</v>
          </cell>
        </row>
        <row r="354">
          <cell r="AU354">
            <v>96.913042197128789</v>
          </cell>
        </row>
        <row r="355">
          <cell r="AU355">
            <v>98.866426421918902</v>
          </cell>
        </row>
        <row r="356">
          <cell r="AU356">
            <v>98.283716639471436</v>
          </cell>
        </row>
        <row r="357">
          <cell r="AU357">
            <v>97.627901774051935</v>
          </cell>
        </row>
        <row r="358">
          <cell r="AU358">
            <v>99.060663016068062</v>
          </cell>
        </row>
        <row r="359">
          <cell r="AU359">
            <v>98.301955213273345</v>
          </cell>
        </row>
        <row r="360">
          <cell r="AU360">
            <v>98.106846922939908</v>
          </cell>
        </row>
        <row r="361">
          <cell r="AU361">
            <v>96.325564324938568</v>
          </cell>
        </row>
        <row r="362">
          <cell r="AU362">
            <v>97.842907420327492</v>
          </cell>
        </row>
        <row r="363">
          <cell r="AU363">
            <v>98.232555924411713</v>
          </cell>
        </row>
        <row r="364">
          <cell r="AU364">
            <v>99.070568405483513</v>
          </cell>
        </row>
        <row r="365">
          <cell r="AU365">
            <v>97.022595413926055</v>
          </cell>
        </row>
        <row r="366">
          <cell r="AU366">
            <v>97.985121162080063</v>
          </cell>
        </row>
        <row r="367">
          <cell r="AU367">
            <v>96.656126592782627</v>
          </cell>
        </row>
        <row r="368">
          <cell r="AU368">
            <v>99.467995204961397</v>
          </cell>
        </row>
        <row r="369">
          <cell r="AU369">
            <v>96.072078638210456</v>
          </cell>
        </row>
        <row r="370">
          <cell r="AU370">
            <v>97.701006857023984</v>
          </cell>
        </row>
        <row r="372">
          <cell r="AU372">
            <v>96.56462372355783</v>
          </cell>
        </row>
        <row r="373">
          <cell r="AU373">
            <v>99.450129980121687</v>
          </cell>
        </row>
        <row r="374">
          <cell r="AU374">
            <v>99.924395660222203</v>
          </cell>
        </row>
        <row r="375">
          <cell r="AU375">
            <v>96.735005949559593</v>
          </cell>
        </row>
        <row r="376">
          <cell r="AU376">
            <v>100.92621982794307</v>
          </cell>
        </row>
        <row r="377">
          <cell r="AU377">
            <v>101.71080765524663</v>
          </cell>
        </row>
        <row r="378">
          <cell r="AU378">
            <v>99.915911049565807</v>
          </cell>
        </row>
        <row r="379">
          <cell r="AU379">
            <v>100.09336436066228</v>
          </cell>
        </row>
        <row r="380">
          <cell r="AU380">
            <v>97.004179140412717</v>
          </cell>
        </row>
        <row r="381">
          <cell r="AU381">
            <v>98.419019214153593</v>
          </cell>
        </row>
        <row r="382">
          <cell r="AU382">
            <v>100.07208608682477</v>
          </cell>
        </row>
        <row r="383">
          <cell r="AU383">
            <v>99.210048636900865</v>
          </cell>
        </row>
        <row r="384">
          <cell r="AU384">
            <v>95.646066734056419</v>
          </cell>
        </row>
        <row r="385">
          <cell r="AU385">
            <v>99.871647112886492</v>
          </cell>
        </row>
        <row r="386">
          <cell r="AU386">
            <v>98.917653360549238</v>
          </cell>
        </row>
        <row r="387">
          <cell r="AU387">
            <v>97.985121162080063</v>
          </cell>
        </row>
        <row r="388">
          <cell r="AU388">
            <v>95.883570904040326</v>
          </cell>
        </row>
        <row r="389">
          <cell r="AU389">
            <v>97.688668777521585</v>
          </cell>
        </row>
        <row r="390">
          <cell r="AU390">
            <v>98.076322225051427</v>
          </cell>
        </row>
        <row r="391">
          <cell r="AU391">
            <v>96.738087826903367</v>
          </cell>
        </row>
        <row r="392">
          <cell r="AU392">
            <v>89.576614302132214</v>
          </cell>
        </row>
        <row r="393">
          <cell r="AU393">
            <v>99.045954733310609</v>
          </cell>
        </row>
        <row r="394">
          <cell r="AU394">
            <v>97.073638621963838</v>
          </cell>
        </row>
        <row r="395">
          <cell r="AU395">
            <v>96.622408854490644</v>
          </cell>
        </row>
        <row r="396">
          <cell r="AU396">
            <v>95.968798858100953</v>
          </cell>
        </row>
        <row r="397">
          <cell r="AU397">
            <v>97.010275244344342</v>
          </cell>
        </row>
        <row r="398">
          <cell r="AU398">
            <v>97.315054553505178</v>
          </cell>
        </row>
        <row r="399">
          <cell r="AU399">
            <v>97.194196677647014</v>
          </cell>
        </row>
        <row r="400">
          <cell r="AU400">
            <v>97.107188606226813</v>
          </cell>
        </row>
        <row r="401">
          <cell r="AU401">
            <v>97.543298003623377</v>
          </cell>
        </row>
        <row r="402">
          <cell r="AU402">
            <v>99.596971567739487</v>
          </cell>
        </row>
        <row r="403">
          <cell r="AU403">
            <v>98.567307662683234</v>
          </cell>
        </row>
        <row r="404">
          <cell r="AU404">
            <v>94.783958244441095</v>
          </cell>
        </row>
        <row r="405">
          <cell r="AU405">
            <v>96.215628300055926</v>
          </cell>
        </row>
        <row r="406">
          <cell r="AU406">
            <v>96.512976698627241</v>
          </cell>
        </row>
        <row r="407">
          <cell r="AU407">
            <v>97.668075936141776</v>
          </cell>
        </row>
        <row r="408">
          <cell r="AU408">
            <v>98.061106422806333</v>
          </cell>
        </row>
        <row r="409">
          <cell r="AU409">
            <v>94.141882174700498</v>
          </cell>
        </row>
        <row r="410">
          <cell r="AU410">
            <v>98.065683886305649</v>
          </cell>
        </row>
        <row r="411">
          <cell r="AU411">
            <v>96.227121995274018</v>
          </cell>
        </row>
        <row r="412">
          <cell r="AU412">
            <v>93.644485520251749</v>
          </cell>
        </row>
        <row r="413">
          <cell r="AU413">
            <v>95.780305895522162</v>
          </cell>
        </row>
        <row r="414">
          <cell r="AU414">
            <v>97.194703072885943</v>
          </cell>
        </row>
        <row r="415">
          <cell r="AU415">
            <v>96.196995367381973</v>
          </cell>
        </row>
        <row r="416">
          <cell r="AU416">
            <v>96.762050323253916</v>
          </cell>
        </row>
        <row r="417">
          <cell r="AU417">
            <v>97.028112667120254</v>
          </cell>
        </row>
        <row r="418">
          <cell r="AU418">
            <v>99.093675526055435</v>
          </cell>
        </row>
        <row r="419">
          <cell r="AU419">
            <v>99.090770773720209</v>
          </cell>
        </row>
        <row r="420">
          <cell r="AU420">
            <v>99.125761295317346</v>
          </cell>
        </row>
        <row r="421">
          <cell r="AU421">
            <v>98.716771578243012</v>
          </cell>
        </row>
        <row r="422">
          <cell r="AU422">
            <v>97.782996764277044</v>
          </cell>
        </row>
        <row r="423">
          <cell r="AU423">
            <v>95.550640529582381</v>
          </cell>
        </row>
        <row r="424">
          <cell r="AU424">
            <v>96.771687084536438</v>
          </cell>
        </row>
        <row r="425">
          <cell r="AU425">
            <v>98.586817634255368</v>
          </cell>
        </row>
        <row r="426">
          <cell r="AU426">
            <v>101.98305384057822</v>
          </cell>
        </row>
        <row r="427">
          <cell r="AU427">
            <v>100.69577752031054</v>
          </cell>
        </row>
        <row r="428">
          <cell r="AU428">
            <v>99.806095951858012</v>
          </cell>
        </row>
        <row r="429">
          <cell r="AU429">
            <v>100.43366418858588</v>
          </cell>
        </row>
        <row r="430">
          <cell r="AU430">
            <v>98.893379734379081</v>
          </cell>
        </row>
        <row r="431">
          <cell r="AU431">
            <v>100.24969919406345</v>
          </cell>
        </row>
        <row r="432">
          <cell r="AU432">
            <v>97.081248898849111</v>
          </cell>
        </row>
        <row r="433">
          <cell r="AU433">
            <v>101.76707851622425</v>
          </cell>
        </row>
        <row r="434">
          <cell r="AU434">
            <v>96.510244562053785</v>
          </cell>
        </row>
        <row r="435">
          <cell r="AU435">
            <v>99.775672338436593</v>
          </cell>
        </row>
        <row r="436">
          <cell r="AU436">
            <v>99.168607234311096</v>
          </cell>
        </row>
        <row r="437">
          <cell r="AU437">
            <v>97.065619624859266</v>
          </cell>
        </row>
        <row r="438">
          <cell r="AU438">
            <v>95.966425934229434</v>
          </cell>
        </row>
        <row r="439">
          <cell r="AU439">
            <v>96.902068655985502</v>
          </cell>
        </row>
        <row r="441">
          <cell r="AU441">
            <v>94.35299110982487</v>
          </cell>
        </row>
        <row r="442">
          <cell r="AU442">
            <v>99.78810647611833</v>
          </cell>
        </row>
        <row r="443">
          <cell r="AU443">
            <v>98.715472456614393</v>
          </cell>
        </row>
        <row r="444">
          <cell r="AU444">
            <v>98.839319314550693</v>
          </cell>
        </row>
        <row r="445">
          <cell r="AU445">
            <v>99.827712507696191</v>
          </cell>
        </row>
        <row r="446">
          <cell r="AU446">
            <v>102.60534633351912</v>
          </cell>
        </row>
        <row r="447">
          <cell r="AU447">
            <v>101.06394965204404</v>
          </cell>
        </row>
        <row r="448">
          <cell r="AU448">
            <v>99.592276455198828</v>
          </cell>
        </row>
        <row r="449">
          <cell r="AU449">
            <v>98.084548863306736</v>
          </cell>
        </row>
        <row r="450">
          <cell r="AU450">
            <v>96.00650184159764</v>
          </cell>
        </row>
        <row r="451">
          <cell r="AU451">
            <v>94.406393477571029</v>
          </cell>
        </row>
        <row r="452">
          <cell r="AU452">
            <v>96.433466803831749</v>
          </cell>
        </row>
        <row r="453">
          <cell r="AU453">
            <v>97.324682978378192</v>
          </cell>
        </row>
        <row r="454">
          <cell r="AU454">
            <v>98.352998332832939</v>
          </cell>
        </row>
        <row r="455">
          <cell r="AU455">
            <v>97.74424129612386</v>
          </cell>
        </row>
        <row r="456">
          <cell r="AU456">
            <v>100.27330624637854</v>
          </cell>
        </row>
        <row r="457">
          <cell r="AU457">
            <v>101.5646659439884</v>
          </cell>
        </row>
        <row r="458">
          <cell r="AU458">
            <v>96.768900005202767</v>
          </cell>
        </row>
        <row r="459">
          <cell r="AU459">
            <v>99.215120295971658</v>
          </cell>
        </row>
        <row r="460">
          <cell r="AU460">
            <v>96.530294814784824</v>
          </cell>
        </row>
        <row r="461">
          <cell r="AU461">
            <v>100.60681338817419</v>
          </cell>
        </row>
        <row r="462">
          <cell r="AU462">
            <v>99.799727452014764</v>
          </cell>
        </row>
        <row r="463">
          <cell r="AU463">
            <v>100.35031551856368</v>
          </cell>
        </row>
        <row r="464">
          <cell r="AU464">
            <v>99.827142752199421</v>
          </cell>
        </row>
        <row r="465">
          <cell r="AU465">
            <v>96.996454448160804</v>
          </cell>
        </row>
        <row r="466">
          <cell r="AU466">
            <v>99.953663425238886</v>
          </cell>
        </row>
        <row r="467">
          <cell r="AU467">
            <v>97.899114248935831</v>
          </cell>
        </row>
        <row r="468">
          <cell r="AU468">
            <v>99.845418707165166</v>
          </cell>
        </row>
        <row r="469">
          <cell r="AU469">
            <v>100.41537290555753</v>
          </cell>
        </row>
        <row r="470">
          <cell r="AU470">
            <v>99.941062940966958</v>
          </cell>
        </row>
        <row r="471">
          <cell r="AU471">
            <v>99.412009557795542</v>
          </cell>
        </row>
        <row r="472">
          <cell r="AU472">
            <v>98.242593755797657</v>
          </cell>
        </row>
        <row r="473">
          <cell r="AU473">
            <v>112.10179731674612</v>
          </cell>
        </row>
        <row r="474">
          <cell r="AU474">
            <v>102.44666718353356</v>
          </cell>
        </row>
        <row r="475">
          <cell r="AU475">
            <v>103.76004973726178</v>
          </cell>
        </row>
        <row r="476">
          <cell r="AU476">
            <v>101.00978335868373</v>
          </cell>
        </row>
        <row r="477">
          <cell r="AU477">
            <v>102.24574408304541</v>
          </cell>
        </row>
        <row r="478">
          <cell r="AU478">
            <v>100.17922672418331</v>
          </cell>
        </row>
        <row r="479">
          <cell r="AU479">
            <v>101.13654701607011</v>
          </cell>
        </row>
        <row r="480">
          <cell r="AU480">
            <v>108.88670789478645</v>
          </cell>
        </row>
        <row r="481">
          <cell r="AU481">
            <v>96.512358037648923</v>
          </cell>
        </row>
        <row r="482">
          <cell r="AU482">
            <v>100.97500195447307</v>
          </cell>
        </row>
        <row r="483">
          <cell r="AU483">
            <v>100.7405914444947</v>
          </cell>
        </row>
        <row r="484">
          <cell r="AU484">
            <v>100.3041125045339</v>
          </cell>
        </row>
        <row r="485">
          <cell r="AU485">
            <v>100.21573995743513</v>
          </cell>
        </row>
        <row r="486">
          <cell r="AU486">
            <v>99.317238473927688</v>
          </cell>
        </row>
        <row r="487">
          <cell r="AU487">
            <v>98.386883927142947</v>
          </cell>
        </row>
        <row r="488">
          <cell r="AU488">
            <v>99.532719661938174</v>
          </cell>
        </row>
        <row r="489">
          <cell r="AU489">
            <v>97.09027634925161</v>
          </cell>
        </row>
        <row r="490">
          <cell r="AU490">
            <v>98.94339780001502</v>
          </cell>
        </row>
        <row r="491">
          <cell r="AU491">
            <v>99.385578414346583</v>
          </cell>
        </row>
        <row r="492">
          <cell r="AU492">
            <v>98.554622170152498</v>
          </cell>
        </row>
        <row r="493">
          <cell r="AU493">
            <v>96.059064469639495</v>
          </cell>
        </row>
        <row r="494">
          <cell r="AU494">
            <v>99.937487991353251</v>
          </cell>
        </row>
        <row r="495">
          <cell r="AU495">
            <v>94.84633473437168</v>
          </cell>
        </row>
        <row r="496">
          <cell r="AU496">
            <v>98.344590350965177</v>
          </cell>
        </row>
        <row r="497">
          <cell r="AU497">
            <v>98.441679685943271</v>
          </cell>
        </row>
        <row r="499">
          <cell r="AU499">
            <v>98.266776146048571</v>
          </cell>
        </row>
        <row r="500">
          <cell r="AU500">
            <v>97.832955089911806</v>
          </cell>
        </row>
        <row r="501">
          <cell r="AU501">
            <v>101.45409838612913</v>
          </cell>
        </row>
        <row r="502">
          <cell r="AU502">
            <v>100.69356891272432</v>
          </cell>
        </row>
        <row r="503">
          <cell r="AU503">
            <v>98.448968451925168</v>
          </cell>
        </row>
        <row r="504">
          <cell r="AU504">
            <v>95.561965677402867</v>
          </cell>
        </row>
        <row r="505">
          <cell r="AU505">
            <v>98.952903830463129</v>
          </cell>
        </row>
        <row r="506">
          <cell r="AU506">
            <v>92.084692591360991</v>
          </cell>
        </row>
        <row r="507">
          <cell r="AU507">
            <v>98.931062054513632</v>
          </cell>
        </row>
        <row r="508">
          <cell r="AU508">
            <v>95.788891523078703</v>
          </cell>
        </row>
        <row r="509">
          <cell r="AU509">
            <v>102.25237739832376</v>
          </cell>
        </row>
        <row r="510">
          <cell r="AU510">
            <v>97.842626008334307</v>
          </cell>
        </row>
        <row r="511">
          <cell r="AU511">
            <v>98.133116544540727</v>
          </cell>
        </row>
        <row r="512">
          <cell r="AU512">
            <v>97.392543851558173</v>
          </cell>
        </row>
        <row r="513">
          <cell r="AU513">
            <v>98.551698641292091</v>
          </cell>
        </row>
        <row r="514">
          <cell r="AU514">
            <v>95.684926135841877</v>
          </cell>
        </row>
        <row r="515">
          <cell r="AU515">
            <v>98.002879043639851</v>
          </cell>
        </row>
        <row r="516">
          <cell r="AU516">
            <v>99.043120759349208</v>
          </cell>
        </row>
        <row r="517">
          <cell r="AU517">
            <v>98.02652678523846</v>
          </cell>
        </row>
        <row r="518">
          <cell r="AU518">
            <v>97.10584907923149</v>
          </cell>
        </row>
        <row r="519">
          <cell r="AU519">
            <v>98.462617429639906</v>
          </cell>
        </row>
        <row r="521">
          <cell r="AU521">
            <v>97.055560378405417</v>
          </cell>
        </row>
        <row r="522">
          <cell r="AU522">
            <v>98.60835314664395</v>
          </cell>
        </row>
        <row r="523">
          <cell r="AU523">
            <v>98.365267951755612</v>
          </cell>
        </row>
        <row r="524">
          <cell r="AU524">
            <v>99.687955297584509</v>
          </cell>
        </row>
        <row r="525">
          <cell r="AU525">
            <v>100.72132227395333</v>
          </cell>
        </row>
        <row r="526">
          <cell r="AU526">
            <v>98.74889698396953</v>
          </cell>
        </row>
        <row r="527">
          <cell r="AU527">
            <v>99.890627154419903</v>
          </cell>
        </row>
        <row r="528">
          <cell r="AU528">
            <v>98.651675516343673</v>
          </cell>
        </row>
        <row r="529">
          <cell r="AU529">
            <v>96.892893618969623</v>
          </cell>
        </row>
        <row r="530">
          <cell r="AU530">
            <v>94.722111244171089</v>
          </cell>
        </row>
        <row r="531">
          <cell r="AU531">
            <v>99.029700685063503</v>
          </cell>
        </row>
        <row r="532">
          <cell r="AU532">
            <v>96.713643218630651</v>
          </cell>
        </row>
        <row r="533">
          <cell r="AU533">
            <v>96.969485600893819</v>
          </cell>
        </row>
        <row r="534">
          <cell r="AU534">
            <v>100.49490909648723</v>
          </cell>
        </row>
        <row r="535">
          <cell r="AU535">
            <v>100.67062913303926</v>
          </cell>
        </row>
        <row r="536">
          <cell r="AU536">
            <v>100.28445554211093</v>
          </cell>
        </row>
        <row r="537">
          <cell r="AU537">
            <v>100.01936692948938</v>
          </cell>
        </row>
        <row r="538">
          <cell r="AU538">
            <v>97.25675779648391</v>
          </cell>
        </row>
        <row r="539">
          <cell r="AU539">
            <v>98.829519670528683</v>
          </cell>
        </row>
        <row r="540">
          <cell r="AU540">
            <v>89.92670066600526</v>
          </cell>
        </row>
        <row r="541">
          <cell r="AU541">
            <v>97.852943389199353</v>
          </cell>
        </row>
        <row r="542">
          <cell r="AU542">
            <v>98.234806225548823</v>
          </cell>
        </row>
        <row r="543">
          <cell r="AU543">
            <v>97.100513808978988</v>
          </cell>
        </row>
        <row r="544">
          <cell r="AU544">
            <v>100.78623691006598</v>
          </cell>
        </row>
        <row r="545">
          <cell r="AU545">
            <v>98.055978454904164</v>
          </cell>
        </row>
        <row r="546">
          <cell r="AU546">
            <v>93.830129859434109</v>
          </cell>
        </row>
        <row r="547">
          <cell r="AU547">
            <v>94.986746647546866</v>
          </cell>
        </row>
        <row r="548">
          <cell r="AU548">
            <v>96.805409918675934</v>
          </cell>
        </row>
        <row r="549">
          <cell r="AU549">
            <v>95.875819620167377</v>
          </cell>
        </row>
        <row r="550">
          <cell r="AU550">
            <v>99.148436815029569</v>
          </cell>
        </row>
        <row r="551">
          <cell r="AU551">
            <v>96.121819426269113</v>
          </cell>
        </row>
        <row r="552">
          <cell r="AU552">
            <v>98.010189794067912</v>
          </cell>
        </row>
        <row r="553">
          <cell r="AU553">
            <v>99.014288101156708</v>
          </cell>
        </row>
        <row r="554">
          <cell r="AU554">
            <v>97.153389503202831</v>
          </cell>
        </row>
        <row r="555">
          <cell r="AU555">
            <v>97.627337490184829</v>
          </cell>
        </row>
        <row r="556">
          <cell r="AU556">
            <v>97.312728687729816</v>
          </cell>
        </row>
        <row r="557">
          <cell r="AU557">
            <v>96.842834153233255</v>
          </cell>
        </row>
        <row r="558">
          <cell r="AU558">
            <v>97.685779866006243</v>
          </cell>
        </row>
        <row r="559">
          <cell r="AU559">
            <v>97.920767049400993</v>
          </cell>
        </row>
        <row r="560">
          <cell r="AU560">
            <v>97.467189849576116</v>
          </cell>
        </row>
        <row r="561">
          <cell r="AU561">
            <v>97.321658525782979</v>
          </cell>
        </row>
        <row r="562">
          <cell r="AU562">
            <v>98.202616991215805</v>
          </cell>
        </row>
        <row r="563">
          <cell r="AU563">
            <v>96.730466310460599</v>
          </cell>
        </row>
        <row r="564">
          <cell r="AU564">
            <v>98.584468249892524</v>
          </cell>
        </row>
        <row r="565">
          <cell r="AU565">
            <v>98.798903105297185</v>
          </cell>
        </row>
        <row r="566">
          <cell r="AU566">
            <v>95.030567217736547</v>
          </cell>
        </row>
        <row r="567">
          <cell r="AU567">
            <v>97.975396282362766</v>
          </cell>
        </row>
        <row r="568">
          <cell r="AU568">
            <v>96.910132502244522</v>
          </cell>
        </row>
        <row r="569">
          <cell r="AU569">
            <v>100.32236829261912</v>
          </cell>
        </row>
        <row r="570">
          <cell r="AU570">
            <v>92.793243431188415</v>
          </cell>
        </row>
        <row r="571">
          <cell r="AU571">
            <v>108.16497197909139</v>
          </cell>
        </row>
        <row r="572">
          <cell r="AU572">
            <v>98.269422256889953</v>
          </cell>
        </row>
        <row r="573">
          <cell r="AU573">
            <v>101.03823120220224</v>
          </cell>
        </row>
        <row r="574">
          <cell r="AU574">
            <v>96.300446052957312</v>
          </cell>
        </row>
        <row r="575">
          <cell r="AU575">
            <v>96.861872540433041</v>
          </cell>
        </row>
        <row r="576">
          <cell r="AU576">
            <v>94.354982496331914</v>
          </cell>
        </row>
        <row r="577">
          <cell r="AU577">
            <v>101.4902547733288</v>
          </cell>
        </row>
        <row r="578">
          <cell r="AU578">
            <v>99.113848804846313</v>
          </cell>
        </row>
        <row r="579">
          <cell r="AU579">
            <v>98.177770863633469</v>
          </cell>
        </row>
        <row r="580">
          <cell r="AU580">
            <v>100.59532574226012</v>
          </cell>
        </row>
        <row r="581">
          <cell r="AU581">
            <v>101.09611786158771</v>
          </cell>
        </row>
        <row r="582">
          <cell r="AU582">
            <v>97.274779965108578</v>
          </cell>
        </row>
        <row r="583">
          <cell r="AU583">
            <v>99.391912439862466</v>
          </cell>
        </row>
        <row r="584">
          <cell r="AU584">
            <v>97.783528025728515</v>
          </cell>
        </row>
        <row r="585">
          <cell r="AU585">
            <v>97.128209357850551</v>
          </cell>
        </row>
        <row r="586">
          <cell r="AU586">
            <v>95.057308401199691</v>
          </cell>
        </row>
        <row r="587">
          <cell r="AU587">
            <v>97.562565380013439</v>
          </cell>
        </row>
        <row r="588">
          <cell r="AU588">
            <v>104.27130276207181</v>
          </cell>
        </row>
        <row r="589">
          <cell r="AU589">
            <v>97.342162958884344</v>
          </cell>
        </row>
        <row r="590">
          <cell r="AU590">
            <v>95.775148939134738</v>
          </cell>
        </row>
        <row r="591">
          <cell r="AU591">
            <v>103.19214698364453</v>
          </cell>
        </row>
        <row r="592">
          <cell r="AU592">
            <v>103.16558724297549</v>
          </cell>
        </row>
        <row r="593">
          <cell r="AU593">
            <v>101.99102647740079</v>
          </cell>
        </row>
        <row r="595">
          <cell r="AU595">
            <v>102.9503534174209</v>
          </cell>
        </row>
        <row r="596">
          <cell r="AU596">
            <v>103.20695554361478</v>
          </cell>
        </row>
        <row r="597">
          <cell r="AU597">
            <v>100.49530782630643</v>
          </cell>
        </row>
        <row r="598">
          <cell r="AU598">
            <v>98.352761035087568</v>
          </cell>
        </row>
        <row r="599">
          <cell r="AU599">
            <v>99.302688314491746</v>
          </cell>
        </row>
        <row r="600">
          <cell r="AU600">
            <v>98.222221366406799</v>
          </cell>
        </row>
        <row r="601">
          <cell r="AU601">
            <v>99.769593439999099</v>
          </cell>
        </row>
        <row r="602">
          <cell r="AU602">
            <v>99.869825686975531</v>
          </cell>
        </row>
        <row r="603">
          <cell r="AU603">
            <v>94.979636183315108</v>
          </cell>
        </row>
        <row r="604">
          <cell r="AU604">
            <v>97.924342221439488</v>
          </cell>
        </row>
        <row r="605">
          <cell r="AU605">
            <v>100.78423889987383</v>
          </cell>
        </row>
        <row r="606">
          <cell r="AU606">
            <v>103.00616380131203</v>
          </cell>
        </row>
        <row r="607">
          <cell r="AU607">
            <v>98.735662358530632</v>
          </cell>
        </row>
        <row r="608">
          <cell r="AU608">
            <v>99.191120697559725</v>
          </cell>
        </row>
        <row r="609">
          <cell r="AU609">
            <v>99.137028566690901</v>
          </cell>
        </row>
        <row r="610">
          <cell r="AU610">
            <v>99.906988502754658</v>
          </cell>
        </row>
        <row r="611">
          <cell r="AU611">
            <v>94.112383169594878</v>
          </cell>
        </row>
        <row r="612">
          <cell r="AU612">
            <v>99.727537733596833</v>
          </cell>
        </row>
        <row r="613">
          <cell r="AU613">
            <v>102.00296712301547</v>
          </cell>
        </row>
        <row r="614">
          <cell r="AU614">
            <v>100.30661645676568</v>
          </cell>
        </row>
        <row r="615">
          <cell r="AU615">
            <v>102.38430000747583</v>
          </cell>
        </row>
        <row r="616">
          <cell r="AU616">
            <v>97.178318651163494</v>
          </cell>
        </row>
        <row r="617">
          <cell r="AU617">
            <v>99.448779663128292</v>
          </cell>
        </row>
        <row r="618">
          <cell r="AU618">
            <v>98.327017995218057</v>
          </cell>
        </row>
        <row r="619">
          <cell r="AU619">
            <v>96.630393194942471</v>
          </cell>
        </row>
        <row r="620">
          <cell r="AU620">
            <v>99.633829486310873</v>
          </cell>
        </row>
        <row r="621">
          <cell r="AU621">
            <v>98.745967480313396</v>
          </cell>
        </row>
        <row r="622">
          <cell r="AU622">
            <v>97.446768754393304</v>
          </cell>
        </row>
        <row r="623">
          <cell r="AU623">
            <v>99.881595354826231</v>
          </cell>
        </row>
        <row r="624">
          <cell r="AU624">
            <v>98.064310250675931</v>
          </cell>
        </row>
        <row r="625">
          <cell r="AU625">
            <v>98.308476686710605</v>
          </cell>
        </row>
        <row r="626">
          <cell r="AU626">
            <v>102.30475622682079</v>
          </cell>
        </row>
        <row r="627">
          <cell r="AU627">
            <v>94.623372416522983</v>
          </cell>
        </row>
        <row r="628">
          <cell r="AU628">
            <v>102.05066432590664</v>
          </cell>
        </row>
        <row r="629">
          <cell r="AU629">
            <v>98.46294565819899</v>
          </cell>
        </row>
        <row r="630">
          <cell r="AU630">
            <v>102.5771141317837</v>
          </cell>
        </row>
        <row r="631">
          <cell r="AU631">
            <v>98.897378510792095</v>
          </cell>
        </row>
        <row r="632">
          <cell r="AU632">
            <v>99.032006915549005</v>
          </cell>
        </row>
        <row r="633">
          <cell r="AU633">
            <v>100.3950691408541</v>
          </cell>
        </row>
        <row r="634">
          <cell r="AU634">
            <v>98.335203397010687</v>
          </cell>
        </row>
        <row r="635">
          <cell r="AU635">
            <v>92.210476129367706</v>
          </cell>
        </row>
        <row r="636">
          <cell r="AU636">
            <v>95.392227245105218</v>
          </cell>
        </row>
        <row r="637">
          <cell r="AU637">
            <v>97.63611706509802</v>
          </cell>
        </row>
        <row r="638">
          <cell r="AU638">
            <v>96.053814988905671</v>
          </cell>
        </row>
        <row r="639">
          <cell r="AU639">
            <v>99.79568244859415</v>
          </cell>
        </row>
        <row r="640">
          <cell r="AU640">
            <v>96.232629291944676</v>
          </cell>
        </row>
        <row r="641">
          <cell r="AU641">
            <v>101.43741414543481</v>
          </cell>
        </row>
        <row r="642">
          <cell r="AU642">
            <v>102.9971064188906</v>
          </cell>
        </row>
        <row r="643">
          <cell r="AU643">
            <v>96.510220819323507</v>
          </cell>
        </row>
        <row r="644">
          <cell r="AU644">
            <v>103.75607566491097</v>
          </cell>
        </row>
        <row r="645">
          <cell r="AU645">
            <v>99.510131013090614</v>
          </cell>
        </row>
        <row r="646">
          <cell r="AU646">
            <v>99.855544139268176</v>
          </cell>
        </row>
        <row r="647">
          <cell r="AU647">
            <v>98.434449089980745</v>
          </cell>
        </row>
        <row r="648">
          <cell r="AU648">
            <v>100.05955892682989</v>
          </cell>
        </row>
        <row r="649">
          <cell r="AU649">
            <v>95.934372886641839</v>
          </cell>
        </row>
        <row r="650">
          <cell r="AU650">
            <v>98.654470881741176</v>
          </cell>
        </row>
        <row r="651">
          <cell r="AU651">
            <v>96.064625992960757</v>
          </cell>
        </row>
        <row r="652">
          <cell r="AU652">
            <v>97.26610918503755</v>
          </cell>
        </row>
        <row r="653">
          <cell r="AU653">
            <v>98.696712146765265</v>
          </cell>
        </row>
        <row r="654">
          <cell r="AU654">
            <v>97.927386788830631</v>
          </cell>
        </row>
        <row r="655">
          <cell r="AU655">
            <v>111.54257690015881</v>
          </cell>
        </row>
        <row r="656">
          <cell r="AU656">
            <v>100.80384590106561</v>
          </cell>
        </row>
        <row r="657">
          <cell r="AU657">
            <v>97.823276952751186</v>
          </cell>
        </row>
        <row r="658">
          <cell r="AU658">
            <v>98.621300517774969</v>
          </cell>
        </row>
        <row r="659">
          <cell r="AU659">
            <v>92.983027682827753</v>
          </cell>
        </row>
        <row r="660">
          <cell r="AU660">
            <v>96.583285401532947</v>
          </cell>
        </row>
        <row r="661">
          <cell r="AU661">
            <v>96.846117108455005</v>
          </cell>
        </row>
        <row r="662">
          <cell r="AU662">
            <v>97.786680935858953</v>
          </cell>
        </row>
        <row r="663">
          <cell r="AU663">
            <v>97.163447975823857</v>
          </cell>
        </row>
        <row r="664">
          <cell r="AU664">
            <v>96.892783901710104</v>
          </cell>
        </row>
        <row r="665">
          <cell r="AU665">
            <v>101.21304317252451</v>
          </cell>
        </row>
        <row r="666">
          <cell r="AU666">
            <v>96.229472441397689</v>
          </cell>
        </row>
        <row r="667">
          <cell r="AU667">
            <v>98.804416600284995</v>
          </cell>
        </row>
        <row r="668">
          <cell r="AU668">
            <v>98.607570442650825</v>
          </cell>
        </row>
        <row r="669">
          <cell r="AU669">
            <v>105.37379988612518</v>
          </cell>
        </row>
        <row r="670">
          <cell r="AU670">
            <v>98.77626010729989</v>
          </cell>
        </row>
        <row r="671">
          <cell r="AU671">
            <v>98.182414856153798</v>
          </cell>
        </row>
        <row r="672">
          <cell r="AU672">
            <v>97.511963448181888</v>
          </cell>
        </row>
        <row r="673">
          <cell r="AU673">
            <v>97.970030213156235</v>
          </cell>
        </row>
        <row r="674">
          <cell r="AU674">
            <v>104.5660106879633</v>
          </cell>
        </row>
        <row r="675">
          <cell r="AU675">
            <v>99.53755069656674</v>
          </cell>
        </row>
        <row r="676">
          <cell r="AU676">
            <v>96.929373997463372</v>
          </cell>
        </row>
        <row r="677">
          <cell r="AU677">
            <v>101.60245432656833</v>
          </cell>
        </row>
        <row r="678">
          <cell r="AU678">
            <v>98.410586861189657</v>
          </cell>
        </row>
        <row r="679">
          <cell r="AU679">
            <v>97.543754381397036</v>
          </cell>
        </row>
        <row r="680">
          <cell r="AU680">
            <v>99.05762276816165</v>
          </cell>
        </row>
        <row r="681">
          <cell r="AU681">
            <v>98.136125359421726</v>
          </cell>
        </row>
        <row r="682">
          <cell r="AU682">
            <v>98.060390142903103</v>
          </cell>
        </row>
        <row r="683">
          <cell r="AU683">
            <v>101.67116843535777</v>
          </cell>
        </row>
        <row r="684">
          <cell r="AU684">
            <v>99.954575891981591</v>
          </cell>
        </row>
        <row r="685">
          <cell r="AU685">
            <v>100.91536339258649</v>
          </cell>
        </row>
        <row r="686">
          <cell r="AU686">
            <v>99.843917256766318</v>
          </cell>
        </row>
        <row r="687">
          <cell r="AU687">
            <v>86.450506030661657</v>
          </cell>
        </row>
        <row r="688">
          <cell r="AU688">
            <v>102.11257164728424</v>
          </cell>
        </row>
        <row r="689">
          <cell r="AU689">
            <v>97.47721612822464</v>
          </cell>
        </row>
        <row r="690">
          <cell r="AU690">
            <v>98.974208524348597</v>
          </cell>
        </row>
        <row r="691">
          <cell r="AU691">
            <v>97.404095796574978</v>
          </cell>
        </row>
        <row r="692">
          <cell r="AU692">
            <v>97.613140533184307</v>
          </cell>
        </row>
        <row r="693">
          <cell r="AU693">
            <v>98.455794941866429</v>
          </cell>
        </row>
        <row r="694">
          <cell r="AU694">
            <v>97.298899458351812</v>
          </cell>
        </row>
        <row r="696">
          <cell r="AU696">
            <v>97.633608454436768</v>
          </cell>
        </row>
        <row r="697">
          <cell r="AU697">
            <v>99.296130618355448</v>
          </cell>
        </row>
        <row r="698">
          <cell r="AU698">
            <v>98.221285990904661</v>
          </cell>
        </row>
        <row r="699">
          <cell r="AU699">
            <v>96.173272580659344</v>
          </cell>
        </row>
        <row r="700">
          <cell r="AU700">
            <v>96.130103634337729</v>
          </cell>
        </row>
        <row r="701">
          <cell r="AU701">
            <v>102.43572492564348</v>
          </cell>
        </row>
        <row r="702">
          <cell r="AU702">
            <v>96.684179403949585</v>
          </cell>
        </row>
        <row r="703">
          <cell r="AU703">
            <v>98.126698757069292</v>
          </cell>
        </row>
        <row r="704">
          <cell r="AU704">
            <v>99.408785613934398</v>
          </cell>
        </row>
        <row r="705">
          <cell r="AU705">
            <v>96.544010067439146</v>
          </cell>
        </row>
        <row r="706">
          <cell r="AU706">
            <v>98.726419047556874</v>
          </cell>
        </row>
        <row r="707">
          <cell r="AU707">
            <v>95.56863040279265</v>
          </cell>
        </row>
        <row r="708">
          <cell r="AU708">
            <v>96.692705408905809</v>
          </cell>
        </row>
        <row r="709">
          <cell r="AU709">
            <v>101.00946443477108</v>
          </cell>
        </row>
        <row r="710">
          <cell r="AU710">
            <v>95.236770396091657</v>
          </cell>
        </row>
        <row r="711">
          <cell r="AU711">
            <v>97.941168938335963</v>
          </cell>
        </row>
        <row r="712">
          <cell r="AU712">
            <v>98.62449539212821</v>
          </cell>
        </row>
        <row r="713">
          <cell r="AU713">
            <v>99.291911621355354</v>
          </cell>
        </row>
        <row r="714">
          <cell r="AU714">
            <v>102.67692873975598</v>
          </cell>
        </row>
        <row r="715">
          <cell r="AU715">
            <v>102.38450698329868</v>
          </cell>
        </row>
        <row r="716">
          <cell r="AU716">
            <v>97.406889141099541</v>
          </cell>
        </row>
        <row r="717">
          <cell r="AU717">
            <v>98.502058292495235</v>
          </cell>
        </row>
        <row r="718">
          <cell r="AU718">
            <v>98.31722610678014</v>
          </cell>
        </row>
        <row r="719">
          <cell r="AU719">
            <v>101.29884115103513</v>
          </cell>
        </row>
        <row r="720">
          <cell r="AU720">
            <v>100.09020957845156</v>
          </cell>
        </row>
        <row r="721">
          <cell r="AU721">
            <v>99.733387411391178</v>
          </cell>
        </row>
        <row r="722">
          <cell r="AU722">
            <v>98.19754764179018</v>
          </cell>
        </row>
        <row r="723">
          <cell r="AU723">
            <v>101.48311507954335</v>
          </cell>
        </row>
        <row r="724">
          <cell r="AU724">
            <v>99.282975850914454</v>
          </cell>
        </row>
        <row r="725">
          <cell r="AU725">
            <v>97.081866203837734</v>
          </cell>
        </row>
        <row r="726">
          <cell r="AU726">
            <v>98.865119442395837</v>
          </cell>
        </row>
        <row r="727">
          <cell r="AU727">
            <v>96.958974493352486</v>
          </cell>
        </row>
        <row r="728">
          <cell r="AU728">
            <v>98.55311063729188</v>
          </cell>
        </row>
        <row r="729">
          <cell r="AU729">
            <v>99.126741243313148</v>
          </cell>
        </row>
        <row r="730">
          <cell r="AU730">
            <v>97.011094633845403</v>
          </cell>
        </row>
        <row r="731">
          <cell r="AU731">
            <v>108.52324334564575</v>
          </cell>
        </row>
        <row r="732">
          <cell r="AU732">
            <v>96.180187549630773</v>
          </cell>
        </row>
        <row r="733">
          <cell r="AU733">
            <v>97.102481872305134</v>
          </cell>
        </row>
        <row r="734">
          <cell r="AU734">
            <v>98.17458240291262</v>
          </cell>
        </row>
        <row r="735">
          <cell r="AU735">
            <v>98.18822759357343</v>
          </cell>
        </row>
        <row r="736">
          <cell r="AU736">
            <v>99.836488721311795</v>
          </cell>
        </row>
        <row r="737">
          <cell r="AU737">
            <v>96.129104901277245</v>
          </cell>
        </row>
        <row r="738">
          <cell r="AU738">
            <v>96.773121785755123</v>
          </cell>
        </row>
        <row r="739">
          <cell r="AU739">
            <v>100.67902306542751</v>
          </cell>
        </row>
        <row r="740">
          <cell r="AU740">
            <v>99.289141660170145</v>
          </cell>
        </row>
        <row r="741">
          <cell r="AU741">
            <v>99.330638505114962</v>
          </cell>
        </row>
        <row r="742">
          <cell r="AU742">
            <v>100.92529729319159</v>
          </cell>
        </row>
        <row r="743">
          <cell r="AU743">
            <v>101.94859726081698</v>
          </cell>
        </row>
        <row r="744">
          <cell r="AU744">
            <v>98.546964828545995</v>
          </cell>
        </row>
        <row r="745">
          <cell r="AU745">
            <v>101.75420442737169</v>
          </cell>
        </row>
        <row r="746">
          <cell r="AU746">
            <v>100.59914666956269</v>
          </cell>
        </row>
        <row r="747">
          <cell r="AU747">
            <v>96.83330789221209</v>
          </cell>
        </row>
        <row r="748">
          <cell r="AU748">
            <v>96.27440025962683</v>
          </cell>
        </row>
        <row r="749">
          <cell r="AU749">
            <v>98.200690439983745</v>
          </cell>
        </row>
        <row r="750">
          <cell r="AU750">
            <v>95.935798235039968</v>
          </cell>
        </row>
        <row r="751">
          <cell r="AU751">
            <v>103.87449734934009</v>
          </cell>
        </row>
        <row r="752">
          <cell r="AU752">
            <v>93.602427745802785</v>
          </cell>
        </row>
        <row r="753">
          <cell r="AU753">
            <v>94.459604984803278</v>
          </cell>
        </row>
        <row r="754">
          <cell r="AU754">
            <v>99.279364994320531</v>
          </cell>
        </row>
        <row r="755">
          <cell r="AU755">
            <v>98.854256189992114</v>
          </cell>
        </row>
        <row r="756">
          <cell r="AU756">
            <v>98.732110806844759</v>
          </cell>
        </row>
        <row r="757">
          <cell r="AU757">
            <v>100.95300549069179</v>
          </cell>
        </row>
        <row r="758">
          <cell r="AU758">
            <v>98.368022017893821</v>
          </cell>
        </row>
        <row r="759">
          <cell r="AU759">
            <v>101.37277811430624</v>
          </cell>
        </row>
        <row r="760">
          <cell r="AU760">
            <v>95.073465016717392</v>
          </cell>
        </row>
        <row r="761">
          <cell r="AU761">
            <v>95.845344590065395</v>
          </cell>
        </row>
        <row r="762">
          <cell r="AU762">
            <v>98.85722005187705</v>
          </cell>
        </row>
        <row r="763">
          <cell r="AU763">
            <v>97.25721435799521</v>
          </cell>
        </row>
        <row r="764">
          <cell r="AU764">
            <v>96.785999739603284</v>
          </cell>
        </row>
        <row r="765">
          <cell r="AU765">
            <v>99.364558642314563</v>
          </cell>
        </row>
        <row r="766">
          <cell r="AU766">
            <v>98.321101532359165</v>
          </cell>
        </row>
        <row r="767">
          <cell r="AU767">
            <v>98.372755741557143</v>
          </cell>
        </row>
        <row r="768">
          <cell r="AU768">
            <v>99.594791192420629</v>
          </cell>
        </row>
        <row r="769">
          <cell r="AU769">
            <v>98.344995127617665</v>
          </cell>
        </row>
        <row r="770">
          <cell r="AU770">
            <v>99.451654839471487</v>
          </cell>
        </row>
        <row r="771">
          <cell r="AU771">
            <v>100.31189503016999</v>
          </cell>
        </row>
        <row r="772">
          <cell r="AU772">
            <v>96.86810648616374</v>
          </cell>
        </row>
        <row r="773">
          <cell r="AU773">
            <v>99.961185685422222</v>
          </cell>
        </row>
        <row r="774">
          <cell r="AU774">
            <v>99.939323457500208</v>
          </cell>
        </row>
        <row r="775">
          <cell r="AU775">
            <v>99.86775451447069</v>
          </cell>
        </row>
        <row r="776">
          <cell r="AU776">
            <v>98.790918499925468</v>
          </cell>
        </row>
        <row r="777">
          <cell r="AU777">
            <v>99.497291062726106</v>
          </cell>
        </row>
        <row r="778">
          <cell r="AU778">
            <v>99.057786899513189</v>
          </cell>
        </row>
        <row r="779">
          <cell r="AU779">
            <v>99.939323457500208</v>
          </cell>
        </row>
        <row r="780">
          <cell r="AU780">
            <v>93.69311574140643</v>
          </cell>
        </row>
        <row r="781">
          <cell r="AU781">
            <v>95.585249587972541</v>
          </cell>
        </row>
        <row r="782">
          <cell r="AU782">
            <v>98.669450209068287</v>
          </cell>
        </row>
        <row r="783">
          <cell r="AU783">
            <v>97.139339188871205</v>
          </cell>
        </row>
        <row r="784">
          <cell r="AU784">
            <v>98.695390021115415</v>
          </cell>
        </row>
        <row r="785">
          <cell r="AU785">
            <v>99.343880186051692</v>
          </cell>
        </row>
        <row r="786">
          <cell r="AU786">
            <v>100.18153216864758</v>
          </cell>
        </row>
        <row r="787">
          <cell r="AU787">
            <v>99.81550952865841</v>
          </cell>
        </row>
        <row r="789">
          <cell r="A789" t="str">
            <v>CA739</v>
          </cell>
          <cell r="P789">
            <v>63</v>
          </cell>
          <cell r="Q789">
            <v>15.037037037037033</v>
          </cell>
          <cell r="T789">
            <v>0.70277777777777772</v>
          </cell>
          <cell r="U789">
            <v>0.81458333333333333</v>
          </cell>
          <cell r="V789">
            <v>55</v>
          </cell>
          <cell r="Z789">
            <v>0.24861111111111112</v>
          </cell>
          <cell r="AF789">
            <v>47.4</v>
          </cell>
          <cell r="AG789">
            <v>11.8</v>
          </cell>
          <cell r="AI789">
            <v>47.9</v>
          </cell>
          <cell r="AU789">
            <v>94.056577044182816</v>
          </cell>
          <cell r="AV789">
            <v>94.785536062602233</v>
          </cell>
          <cell r="AX789" t="str">
            <v>R. Sookram</v>
          </cell>
        </row>
        <row r="790">
          <cell r="A790" t="str">
            <v>CA740</v>
          </cell>
          <cell r="P790">
            <v>61</v>
          </cell>
          <cell r="Q790">
            <v>12.074074074074066</v>
          </cell>
          <cell r="T790">
            <v>0.79305555555555551</v>
          </cell>
          <cell r="U790">
            <v>0.90277777777777779</v>
          </cell>
          <cell r="V790">
            <v>55</v>
          </cell>
          <cell r="Z790">
            <v>0.24305555555555558</v>
          </cell>
          <cell r="AF790">
            <v>49.8</v>
          </cell>
          <cell r="AG790">
            <v>11.9</v>
          </cell>
          <cell r="AI790">
            <v>50.3</v>
          </cell>
          <cell r="AU790">
            <v>99.034024996783444</v>
          </cell>
          <cell r="AV790">
            <v>99.801812518911376</v>
          </cell>
          <cell r="AX790" t="str">
            <v>K. Benjamin</v>
          </cell>
        </row>
        <row r="791">
          <cell r="A791" t="str">
            <v>CA741</v>
          </cell>
          <cell r="P791">
            <v>60</v>
          </cell>
          <cell r="Q791">
            <v>12.259259259259254</v>
          </cell>
          <cell r="T791">
            <v>0.88263888888888886</v>
          </cell>
          <cell r="U791">
            <v>0.99513888888888891</v>
          </cell>
          <cell r="V791">
            <v>58</v>
          </cell>
          <cell r="Z791">
            <v>0.24513888888888891</v>
          </cell>
          <cell r="AF791">
            <v>48.5</v>
          </cell>
          <cell r="AG791">
            <v>11.8</v>
          </cell>
          <cell r="AI791">
            <v>49.1</v>
          </cell>
          <cell r="AU791">
            <v>96.894771830654662</v>
          </cell>
          <cell r="AV791">
            <v>97.645527862092081</v>
          </cell>
          <cell r="AX791" t="str">
            <v>K. Benjamin</v>
          </cell>
        </row>
        <row r="792">
          <cell r="A792" t="str">
            <v>CA742</v>
          </cell>
          <cell r="P792">
            <v>60</v>
          </cell>
          <cell r="Q792">
            <v>10.573012939001845</v>
          </cell>
          <cell r="T792">
            <v>0.97152777777777777</v>
          </cell>
          <cell r="U792">
            <v>1.086111111111111</v>
          </cell>
          <cell r="V792">
            <v>64</v>
          </cell>
          <cell r="Z792">
            <v>0.24236111111111103</v>
          </cell>
          <cell r="AF792">
            <v>51.2</v>
          </cell>
          <cell r="AG792">
            <v>11.6</v>
          </cell>
          <cell r="AI792">
            <v>51.7</v>
          </cell>
          <cell r="AU792">
            <v>99.461062893244474</v>
          </cell>
          <cell r="AV792">
            <v>100.23200954727312</v>
          </cell>
          <cell r="AX792" t="str">
            <v>K. Benjamin</v>
          </cell>
        </row>
        <row r="793">
          <cell r="A793" t="str">
            <v>CA743</v>
          </cell>
          <cell r="P793">
            <v>60</v>
          </cell>
          <cell r="Q793">
            <v>10.388170055452859</v>
          </cell>
          <cell r="V793">
            <v>59</v>
          </cell>
          <cell r="AF793">
            <v>50.4</v>
          </cell>
          <cell r="AG793">
            <v>11.7</v>
          </cell>
          <cell r="AI793">
            <v>50.3</v>
          </cell>
          <cell r="AU793">
            <v>98.010640304902878</v>
          </cell>
          <cell r="AV793">
            <v>98.770193886926663</v>
          </cell>
          <cell r="AX793" t="str">
            <v>K. Benjamin</v>
          </cell>
        </row>
        <row r="794">
          <cell r="A794" t="str">
            <v>CA744</v>
          </cell>
          <cell r="P794">
            <v>59</v>
          </cell>
          <cell r="Q794">
            <v>10.203327171903888</v>
          </cell>
          <cell r="T794">
            <v>1.1513888888888888</v>
          </cell>
          <cell r="U794">
            <v>1.2680555555555555</v>
          </cell>
          <cell r="V794">
            <v>64</v>
          </cell>
          <cell r="Z794">
            <v>0.24722222222222223</v>
          </cell>
          <cell r="AF794">
            <v>50.5</v>
          </cell>
          <cell r="AG794">
            <v>11.7</v>
          </cell>
          <cell r="AI794">
            <v>51.1</v>
          </cell>
          <cell r="AU794">
            <v>99.322178612780704</v>
          </cell>
          <cell r="AV794">
            <v>100.09199803047697</v>
          </cell>
          <cell r="AX794" t="str">
            <v>R. Sookram</v>
          </cell>
        </row>
        <row r="795">
          <cell r="A795" t="str">
            <v>CA745</v>
          </cell>
          <cell r="P795">
            <v>59</v>
          </cell>
          <cell r="Q795">
            <v>10.203327171903888</v>
          </cell>
          <cell r="T795">
            <v>0.24861111111111112</v>
          </cell>
          <cell r="U795">
            <v>0.36319444444444443</v>
          </cell>
          <cell r="V795">
            <v>59</v>
          </cell>
          <cell r="Z795">
            <v>0.25208333333333333</v>
          </cell>
          <cell r="AF795">
            <v>49.7</v>
          </cell>
          <cell r="AG795">
            <v>11.6</v>
          </cell>
          <cell r="AI795">
            <v>50.3</v>
          </cell>
          <cell r="AU795">
            <v>96.647863753507224</v>
          </cell>
          <cell r="AV795">
            <v>97.39705384664137</v>
          </cell>
          <cell r="AX795" t="str">
            <v>D. Gomaz</v>
          </cell>
        </row>
        <row r="796">
          <cell r="A796" t="str">
            <v>CA746</v>
          </cell>
          <cell r="P796">
            <v>58</v>
          </cell>
          <cell r="Q796">
            <v>10.018484288354902</v>
          </cell>
          <cell r="T796">
            <v>0.35555555555555557</v>
          </cell>
          <cell r="U796">
            <v>0.46527777777777779</v>
          </cell>
          <cell r="V796">
            <v>60</v>
          </cell>
          <cell r="Z796">
            <v>0.25694444444444442</v>
          </cell>
          <cell r="AF796">
            <v>49.4</v>
          </cell>
          <cell r="AG796">
            <v>11.8</v>
          </cell>
          <cell r="AI796">
            <v>49.8</v>
          </cell>
          <cell r="AU796">
            <v>99.393897008473871</v>
          </cell>
          <cell r="AV796">
            <v>100.16354837022554</v>
          </cell>
          <cell r="AX796" t="str">
            <v>D. Gomaz</v>
          </cell>
        </row>
        <row r="797">
          <cell r="A797" t="str">
            <v>CA747</v>
          </cell>
          <cell r="P797">
            <v>88</v>
          </cell>
          <cell r="Q797">
            <v>12.421441774491679</v>
          </cell>
          <cell r="T797">
            <v>0.27361111111111114</v>
          </cell>
          <cell r="U797">
            <v>0.42638888888888887</v>
          </cell>
          <cell r="V797">
            <v>61</v>
          </cell>
          <cell r="Z797">
            <v>0.32777777777777778</v>
          </cell>
          <cell r="AF797">
            <v>48.9</v>
          </cell>
          <cell r="AG797">
            <v>11.6</v>
          </cell>
          <cell r="AI797">
            <v>49.1</v>
          </cell>
          <cell r="AU797">
            <v>94.225435543653518</v>
          </cell>
          <cell r="AV797">
            <v>94.955895449291049</v>
          </cell>
          <cell r="AX797" t="str">
            <v>D. Gomaz</v>
          </cell>
        </row>
        <row r="798">
          <cell r="A798" t="str">
            <v>CA748</v>
          </cell>
          <cell r="P798">
            <v>60</v>
          </cell>
          <cell r="Q798">
            <v>10.388170055452859</v>
          </cell>
          <cell r="T798">
            <v>0.40416666666666667</v>
          </cell>
          <cell r="U798">
            <v>0.51597222222222228</v>
          </cell>
          <cell r="V798">
            <v>62</v>
          </cell>
          <cell r="Z798">
            <v>0.29236111111111118</v>
          </cell>
          <cell r="AF798">
            <v>49.2</v>
          </cell>
          <cell r="AG798">
            <v>11.6</v>
          </cell>
          <cell r="AI798">
            <v>49.6</v>
          </cell>
          <cell r="AU798">
            <v>96.984705758803429</v>
          </cell>
          <cell r="AV798">
            <v>97.735804113121233</v>
          </cell>
          <cell r="AX798" t="str">
            <v>D. Gomaz</v>
          </cell>
        </row>
        <row r="799">
          <cell r="A799" t="str">
            <v>CA749</v>
          </cell>
          <cell r="P799">
            <v>60</v>
          </cell>
          <cell r="Q799">
            <v>10.018484288354902</v>
          </cell>
          <cell r="T799">
            <v>0.49375000000000002</v>
          </cell>
          <cell r="U799">
            <v>0.60624999999999996</v>
          </cell>
          <cell r="V799">
            <v>58</v>
          </cell>
          <cell r="Z799">
            <v>0.28680555555555554</v>
          </cell>
          <cell r="AF799">
            <v>50.8</v>
          </cell>
          <cell r="AG799">
            <v>11.7</v>
          </cell>
          <cell r="AI799">
            <v>51.8</v>
          </cell>
          <cell r="AU799">
            <v>100.30908258387295</v>
          </cell>
          <cell r="AV799">
            <v>101.086704492183</v>
          </cell>
          <cell r="AX799" t="str">
            <v>D. Gomaz</v>
          </cell>
        </row>
        <row r="800">
          <cell r="A800" t="str">
            <v>CA750</v>
          </cell>
          <cell r="P800">
            <v>60</v>
          </cell>
          <cell r="Q800">
            <v>9.8336414048059151</v>
          </cell>
          <cell r="T800">
            <v>0.58888888888888891</v>
          </cell>
          <cell r="U800">
            <v>0.69861111111111107</v>
          </cell>
          <cell r="V800">
            <v>62</v>
          </cell>
          <cell r="Z800">
            <v>0.26111111111111107</v>
          </cell>
          <cell r="AF800">
            <v>49.5</v>
          </cell>
          <cell r="AG800">
            <v>11.9</v>
          </cell>
          <cell r="AI800">
            <v>49.8</v>
          </cell>
          <cell r="AU800">
            <v>98.292492578870025</v>
          </cell>
          <cell r="AV800">
            <v>99.05443142376123</v>
          </cell>
          <cell r="AX800" t="str">
            <v>D. Gomaz</v>
          </cell>
        </row>
        <row r="801">
          <cell r="A801" t="str">
            <v>CA751</v>
          </cell>
          <cell r="P801">
            <v>58</v>
          </cell>
          <cell r="Q801">
            <v>10.222222222222214</v>
          </cell>
          <cell r="T801">
            <v>0.71666666666666667</v>
          </cell>
          <cell r="U801">
            <v>0.82777777777777772</v>
          </cell>
          <cell r="V801">
            <v>61</v>
          </cell>
          <cell r="Z801">
            <v>0.29999999999999993</v>
          </cell>
          <cell r="AF801">
            <v>49.2</v>
          </cell>
          <cell r="AG801">
            <v>12</v>
          </cell>
          <cell r="AI801">
            <v>49.6</v>
          </cell>
          <cell r="AU801">
            <v>98.762703596416429</v>
          </cell>
          <cell r="AV801">
            <v>99.52828739963725</v>
          </cell>
          <cell r="AX801" t="str">
            <v>D. Gomaz</v>
          </cell>
        </row>
        <row r="802">
          <cell r="A802" t="str">
            <v>CA752</v>
          </cell>
          <cell r="P802">
            <v>58</v>
          </cell>
          <cell r="Q802">
            <v>11.127541589648803</v>
          </cell>
          <cell r="T802">
            <v>0.86805555555555558</v>
          </cell>
          <cell r="U802">
            <v>0.97291666666666665</v>
          </cell>
          <cell r="V802">
            <v>58</v>
          </cell>
          <cell r="Z802">
            <v>0.24375000000000002</v>
          </cell>
          <cell r="AF802">
            <v>48.8</v>
          </cell>
          <cell r="AG802">
            <v>12</v>
          </cell>
          <cell r="AI802">
            <v>49.3</v>
          </cell>
          <cell r="AU802">
            <v>98.40914048650491</v>
          </cell>
          <cell r="AV802">
            <v>99.171883191944957</v>
          </cell>
          <cell r="AX802" t="str">
            <v>R. Sookram</v>
          </cell>
        </row>
        <row r="803">
          <cell r="A803" t="str">
            <v>CA753</v>
          </cell>
          <cell r="P803">
            <v>60</v>
          </cell>
          <cell r="Q803">
            <v>11.682070240295749</v>
          </cell>
          <cell r="T803">
            <v>0.9770833333333333</v>
          </cell>
          <cell r="U803">
            <v>1.0909722222222222</v>
          </cell>
          <cell r="V803">
            <v>62</v>
          </cell>
          <cell r="Z803">
            <v>0.27152777777777781</v>
          </cell>
          <cell r="AF803">
            <v>48.5</v>
          </cell>
          <cell r="AG803">
            <v>11.8</v>
          </cell>
          <cell r="AI803">
            <v>49</v>
          </cell>
          <cell r="AU803">
            <v>95.977884419871557</v>
          </cell>
          <cell r="AV803">
            <v>96.721832118617428</v>
          </cell>
          <cell r="AX803" t="str">
            <v>R. Sookram</v>
          </cell>
        </row>
        <row r="804">
          <cell r="A804" t="str">
            <v>CA754</v>
          </cell>
          <cell r="P804">
            <v>61</v>
          </cell>
          <cell r="Q804">
            <v>10.407407407407403</v>
          </cell>
          <cell r="T804">
            <v>1.0784722222222223</v>
          </cell>
          <cell r="U804">
            <v>1.1958333333333333</v>
          </cell>
          <cell r="V804">
            <v>58</v>
          </cell>
          <cell r="Z804">
            <v>0.28611111111111109</v>
          </cell>
          <cell r="AF804">
            <v>49.1</v>
          </cell>
          <cell r="AG804">
            <v>12</v>
          </cell>
          <cell r="AI804">
            <v>49.6</v>
          </cell>
          <cell r="AU804">
            <v>98.275780445846266</v>
          </cell>
          <cell r="AV804">
            <v>99.037788718358144</v>
          </cell>
          <cell r="AX804" t="str">
            <v>R. Sookram</v>
          </cell>
        </row>
        <row r="805">
          <cell r="A805" t="str">
            <v>CA755</v>
          </cell>
          <cell r="P805">
            <v>60</v>
          </cell>
          <cell r="Q805">
            <v>14.296296296296292</v>
          </cell>
          <cell r="T805">
            <v>0.21041666666666667</v>
          </cell>
          <cell r="U805">
            <v>0.32916666666666666</v>
          </cell>
          <cell r="V805">
            <v>60</v>
          </cell>
          <cell r="Z805">
            <v>0.26666666666666666</v>
          </cell>
          <cell r="AF805">
            <v>47</v>
          </cell>
          <cell r="AG805">
            <v>11.9</v>
          </cell>
          <cell r="AI805">
            <v>48.3</v>
          </cell>
          <cell r="AU805">
            <v>95.339517540422776</v>
          </cell>
          <cell r="AV805">
            <v>96.189962817201078</v>
          </cell>
          <cell r="AX805" t="str">
            <v>K. Benjamin</v>
          </cell>
        </row>
        <row r="806">
          <cell r="A806" t="str">
            <v>CA756</v>
          </cell>
          <cell r="P806">
            <v>57</v>
          </cell>
          <cell r="Q806">
            <v>9.0942698706099847</v>
          </cell>
          <cell r="T806">
            <v>0.31666666666666665</v>
          </cell>
          <cell r="U806">
            <v>0.42777777777777776</v>
          </cell>
          <cell r="V806">
            <v>63</v>
          </cell>
          <cell r="Z806">
            <v>0.27499999999999997</v>
          </cell>
          <cell r="AF806">
            <v>49.9</v>
          </cell>
          <cell r="AG806">
            <v>11.6</v>
          </cell>
          <cell r="AI806">
            <v>50.4</v>
          </cell>
          <cell r="AU806">
            <v>96.968036957171023</v>
          </cell>
          <cell r="AV806">
            <v>97.83295193865905</v>
          </cell>
          <cell r="AX806" t="str">
            <v>K. Benjamin</v>
          </cell>
        </row>
        <row r="807">
          <cell r="A807" t="str">
            <v>CA757</v>
          </cell>
          <cell r="P807">
            <v>59</v>
          </cell>
          <cell r="Q807">
            <v>9.0942698706099847</v>
          </cell>
          <cell r="T807">
            <v>0.41458333333333336</v>
          </cell>
          <cell r="U807">
            <v>0.52083333333333337</v>
          </cell>
          <cell r="V807">
            <v>61</v>
          </cell>
          <cell r="Z807">
            <v>0.26388888888888895</v>
          </cell>
          <cell r="AF807">
            <v>49.9</v>
          </cell>
          <cell r="AG807">
            <v>11.8</v>
          </cell>
          <cell r="AI807">
            <v>50.4</v>
          </cell>
          <cell r="AU807">
            <v>98.118953814827094</v>
          </cell>
          <cell r="AV807">
            <v>98.994421335445963</v>
          </cell>
          <cell r="AX807" t="str">
            <v>K. Benjamin</v>
          </cell>
        </row>
        <row r="808">
          <cell r="A808" t="str">
            <v>CA758</v>
          </cell>
          <cell r="P808">
            <v>59</v>
          </cell>
          <cell r="Q808">
            <v>8.7245841035120115</v>
          </cell>
          <cell r="T808">
            <v>0.51180555555555551</v>
          </cell>
          <cell r="U808">
            <v>0.62916666666666665</v>
          </cell>
          <cell r="V808">
            <v>61</v>
          </cell>
          <cell r="Z808">
            <v>0.27847222222222223</v>
          </cell>
          <cell r="AF808">
            <v>50.1</v>
          </cell>
          <cell r="AG808">
            <v>11.6</v>
          </cell>
          <cell r="AI808">
            <v>50.7</v>
          </cell>
          <cell r="AU808">
            <v>97.30356117947872</v>
          </cell>
          <cell r="AV808">
            <v>98.171583101883058</v>
          </cell>
          <cell r="AX808" t="str">
            <v>D. Gomaz</v>
          </cell>
        </row>
        <row r="809">
          <cell r="A809" t="str">
            <v>CA759</v>
          </cell>
          <cell r="P809">
            <v>60</v>
          </cell>
          <cell r="Q809">
            <v>13.16081330868761</v>
          </cell>
          <cell r="T809">
            <v>0.65486111111111112</v>
          </cell>
          <cell r="U809">
            <v>0.77430555555555558</v>
          </cell>
          <cell r="V809">
            <v>59</v>
          </cell>
          <cell r="Z809">
            <v>0.25347222222222221</v>
          </cell>
          <cell r="AF809">
            <v>48.4</v>
          </cell>
          <cell r="AG809">
            <v>11.7</v>
          </cell>
          <cell r="AI809">
            <v>48.6</v>
          </cell>
          <cell r="AU809">
            <v>94.236510026260618</v>
          </cell>
          <cell r="AV809">
            <v>95.077116281876755</v>
          </cell>
          <cell r="AX809" t="str">
            <v>D. Gomaz</v>
          </cell>
        </row>
        <row r="810">
          <cell r="A810" t="str">
            <v>CA760</v>
          </cell>
          <cell r="P810">
            <v>60</v>
          </cell>
          <cell r="Q810">
            <v>12.05175600739372</v>
          </cell>
          <cell r="T810">
            <v>0.76875000000000004</v>
          </cell>
          <cell r="U810">
            <v>0.875</v>
          </cell>
          <cell r="V810">
            <v>57</v>
          </cell>
          <cell r="Z810">
            <v>0.25694444444444442</v>
          </cell>
          <cell r="AF810">
            <v>48.3</v>
          </cell>
          <cell r="AG810">
            <v>12</v>
          </cell>
          <cell r="AI810">
            <v>48.9</v>
          </cell>
          <cell r="AU810">
            <v>97.015701586864395</v>
          </cell>
          <cell r="AV810">
            <v>97.881268884867609</v>
          </cell>
          <cell r="AX810" t="str">
            <v>D. Gomaz</v>
          </cell>
        </row>
        <row r="811">
          <cell r="A811" t="str">
            <v>CA761</v>
          </cell>
          <cell r="P811">
            <v>60</v>
          </cell>
          <cell r="Q811">
            <v>11.127541589648803</v>
          </cell>
          <cell r="T811">
            <v>0.86250000000000004</v>
          </cell>
          <cell r="U811">
            <v>0.97361111111111109</v>
          </cell>
          <cell r="V811">
            <v>62</v>
          </cell>
          <cell r="Z811">
            <v>0.2583333333333333</v>
          </cell>
          <cell r="AF811">
            <v>48.8</v>
          </cell>
          <cell r="AG811">
            <v>12</v>
          </cell>
          <cell r="AI811">
            <v>49.5</v>
          </cell>
          <cell r="AU811">
            <v>97.963974191260846</v>
          </cell>
          <cell r="AV811">
            <v>98.83811575723243</v>
          </cell>
          <cell r="AX811" t="str">
            <v>R. Sookram</v>
          </cell>
        </row>
        <row r="812">
          <cell r="A812" t="str">
            <v>CA762</v>
          </cell>
          <cell r="P812">
            <v>60</v>
          </cell>
          <cell r="Q812">
            <v>11.127541589648803</v>
          </cell>
          <cell r="T812">
            <v>0.95625000000000004</v>
          </cell>
          <cell r="U812">
            <v>1.0645833333333334</v>
          </cell>
          <cell r="V812">
            <v>59</v>
          </cell>
          <cell r="Z812">
            <v>0.25208333333333344</v>
          </cell>
          <cell r="AF812">
            <v>48.8</v>
          </cell>
          <cell r="AG812">
            <v>11.8</v>
          </cell>
          <cell r="AI812">
            <v>49.3</v>
          </cell>
          <cell r="AU812">
            <v>96.693476697667123</v>
          </cell>
          <cell r="AV812">
            <v>97.555885759630257</v>
          </cell>
          <cell r="AX812" t="str">
            <v>R. Sookram</v>
          </cell>
        </row>
        <row r="813">
          <cell r="A813" t="str">
            <v>CA763</v>
          </cell>
          <cell r="P813">
            <v>61</v>
          </cell>
          <cell r="Q813">
            <v>9.2962962962962887</v>
          </cell>
          <cell r="T813">
            <v>1.0486111111111112</v>
          </cell>
          <cell r="U813">
            <v>1.1708333333333334</v>
          </cell>
          <cell r="V813">
            <v>58</v>
          </cell>
          <cell r="Z813">
            <v>0.26111111111111118</v>
          </cell>
          <cell r="AF813">
            <v>49.7</v>
          </cell>
          <cell r="AG813">
            <v>11.7</v>
          </cell>
          <cell r="AI813">
            <v>50.1</v>
          </cell>
          <cell r="AU813">
            <v>97.50785453814089</v>
          </cell>
          <cell r="AV813">
            <v>98.377469457952813</v>
          </cell>
          <cell r="AX813" t="str">
            <v>R. Sookram</v>
          </cell>
        </row>
        <row r="814">
          <cell r="A814" t="str">
            <v>CA764</v>
          </cell>
          <cell r="P814">
            <v>62</v>
          </cell>
          <cell r="Q814">
            <v>10.407407407407403</v>
          </cell>
          <cell r="T814">
            <v>1.15625</v>
          </cell>
          <cell r="U814">
            <v>1.2722222222222221</v>
          </cell>
          <cell r="V814">
            <v>60</v>
          </cell>
          <cell r="Z814">
            <v>0.27222222222222214</v>
          </cell>
          <cell r="AF814">
            <v>49.1</v>
          </cell>
          <cell r="AG814">
            <v>12</v>
          </cell>
          <cell r="AI814">
            <v>49.5</v>
          </cell>
          <cell r="AU814">
            <v>98.693894286323896</v>
          </cell>
          <cell r="AV814">
            <v>99.574203204894033</v>
          </cell>
          <cell r="AX814" t="str">
            <v>K. Benjamin</v>
          </cell>
        </row>
        <row r="815">
          <cell r="A815" t="str">
            <v>CA765</v>
          </cell>
          <cell r="P815">
            <v>59</v>
          </cell>
          <cell r="Q815">
            <v>9.1111111111111143</v>
          </cell>
          <cell r="T815">
            <v>0.25763888888888886</v>
          </cell>
          <cell r="U815">
            <v>0.38472222222222224</v>
          </cell>
          <cell r="V815">
            <v>63</v>
          </cell>
          <cell r="Z815">
            <v>0.29097222222222224</v>
          </cell>
          <cell r="AF815">
            <v>49.8</v>
          </cell>
          <cell r="AG815">
            <v>11.8</v>
          </cell>
          <cell r="AI815">
            <v>50.1</v>
          </cell>
          <cell r="AU815">
            <v>98.262539199860527</v>
          </cell>
          <cell r="AV815">
            <v>99.138942729360579</v>
          </cell>
          <cell r="AX815" t="str">
            <v>K. Benjamin</v>
          </cell>
        </row>
        <row r="816">
          <cell r="A816" t="str">
            <v>CA766</v>
          </cell>
          <cell r="P816">
            <v>60</v>
          </cell>
          <cell r="Q816">
            <v>12.074074074074066</v>
          </cell>
          <cell r="T816">
            <v>0.36041666666666666</v>
          </cell>
          <cell r="U816">
            <v>0.48333333333333334</v>
          </cell>
          <cell r="V816">
            <v>63</v>
          </cell>
          <cell r="Z816">
            <v>0.29583333333333334</v>
          </cell>
          <cell r="AF816">
            <v>48.2</v>
          </cell>
          <cell r="AG816">
            <v>11.7</v>
          </cell>
          <cell r="AI816">
            <v>49.9</v>
          </cell>
          <cell r="AU816">
            <v>97.239656159599406</v>
          </cell>
          <cell r="AV816">
            <v>98.106821614261435</v>
          </cell>
          <cell r="AX816" t="str">
            <v>K. Benjamin</v>
          </cell>
        </row>
        <row r="817">
          <cell r="A817" t="str">
            <v>CA767</v>
          </cell>
          <cell r="P817">
            <v>60</v>
          </cell>
          <cell r="Q817">
            <v>22.402957486136778</v>
          </cell>
          <cell r="T817">
            <v>0.61527777777777781</v>
          </cell>
          <cell r="U817">
            <v>0.7270833333333333</v>
          </cell>
          <cell r="V817">
            <v>56</v>
          </cell>
          <cell r="Z817">
            <v>0.25486111111111109</v>
          </cell>
          <cell r="AF817">
            <v>42.7</v>
          </cell>
          <cell r="AG817">
            <v>11.7</v>
          </cell>
          <cell r="AI817">
            <v>43.2</v>
          </cell>
          <cell r="AU817">
            <v>83.765786690009421</v>
          </cell>
          <cell r="AV817">
            <v>84.512992250557105</v>
          </cell>
          <cell r="AX817" t="str">
            <v>D. Gomaz</v>
          </cell>
        </row>
        <row r="818">
          <cell r="A818" t="str">
            <v>CA768</v>
          </cell>
          <cell r="P818">
            <v>58</v>
          </cell>
          <cell r="Q818">
            <v>17.412199630314234</v>
          </cell>
          <cell r="T818">
            <v>0.75347222222222221</v>
          </cell>
          <cell r="U818">
            <v>0.86111111111111116</v>
          </cell>
          <cell r="V818">
            <v>56</v>
          </cell>
          <cell r="Z818">
            <v>0.29166666666666674</v>
          </cell>
          <cell r="AF818">
            <v>45.4</v>
          </cell>
          <cell r="AG818">
            <v>12</v>
          </cell>
          <cell r="AI818">
            <v>50.1</v>
          </cell>
          <cell r="AU818">
            <v>99.766292415070296</v>
          </cell>
          <cell r="AV818">
            <v>100.65622530286895</v>
          </cell>
          <cell r="AX818" t="str">
            <v>D. Gomaz</v>
          </cell>
        </row>
        <row r="819">
          <cell r="A819" t="str">
            <v>CA769</v>
          </cell>
          <cell r="P819">
            <v>58</v>
          </cell>
          <cell r="Q819">
            <v>11.312384473197778</v>
          </cell>
          <cell r="T819">
            <v>0.84930555555555554</v>
          </cell>
          <cell r="U819">
            <v>0.96458333333333335</v>
          </cell>
          <cell r="V819">
            <v>63</v>
          </cell>
          <cell r="Z819">
            <v>0.29791666666666672</v>
          </cell>
          <cell r="AF819">
            <v>50.3</v>
          </cell>
          <cell r="AG819">
            <v>11.8</v>
          </cell>
          <cell r="AI819">
            <v>50.8</v>
          </cell>
          <cell r="AU819">
            <v>99.511739849218969</v>
          </cell>
          <cell r="AV819">
            <v>100.39934361361757</v>
          </cell>
          <cell r="AX819" t="str">
            <v>R. Sookram</v>
          </cell>
        </row>
        <row r="820">
          <cell r="A820" t="str">
            <v>CA770</v>
          </cell>
          <cell r="P820">
            <v>60</v>
          </cell>
          <cell r="Q820">
            <v>9.8336414048059151</v>
          </cell>
          <cell r="T820">
            <v>0.9458333333333333</v>
          </cell>
          <cell r="U820">
            <v>1.0576388888888888</v>
          </cell>
          <cell r="V820">
            <v>59</v>
          </cell>
          <cell r="Z820">
            <v>0.26597222222222217</v>
          </cell>
          <cell r="AF820">
            <v>49.5</v>
          </cell>
          <cell r="AG820">
            <v>11.7</v>
          </cell>
          <cell r="AI820">
            <v>50.3</v>
          </cell>
          <cell r="AU820">
            <v>97.807901274623262</v>
          </cell>
          <cell r="AV820">
            <v>98.52500001825814</v>
          </cell>
          <cell r="AX820" t="str">
            <v>R. Sookram</v>
          </cell>
        </row>
      </sheetData>
      <sheetData sheetId="6"/>
      <sheetData sheetId="7">
        <row r="14">
          <cell r="D14">
            <v>11.6</v>
          </cell>
        </row>
        <row r="727">
          <cell r="D727">
            <v>11.6</v>
          </cell>
        </row>
        <row r="728">
          <cell r="D728">
            <v>11.6</v>
          </cell>
        </row>
        <row r="729">
          <cell r="D729">
            <v>11.8</v>
          </cell>
        </row>
        <row r="730">
          <cell r="D730">
            <v>11.6</v>
          </cell>
        </row>
        <row r="731">
          <cell r="D731">
            <v>11.7</v>
          </cell>
        </row>
        <row r="732">
          <cell r="D732">
            <v>11.7</v>
          </cell>
        </row>
        <row r="733">
          <cell r="D733">
            <v>11.3</v>
          </cell>
        </row>
        <row r="734">
          <cell r="D734">
            <v>12.5</v>
          </cell>
        </row>
        <row r="755">
          <cell r="D755">
            <v>11.9</v>
          </cell>
        </row>
        <row r="756">
          <cell r="D756">
            <v>11.7</v>
          </cell>
        </row>
        <row r="757">
          <cell r="D757">
            <v>11.9</v>
          </cell>
        </row>
        <row r="758">
          <cell r="D758">
            <v>12</v>
          </cell>
        </row>
        <row r="759">
          <cell r="D759">
            <v>11.9</v>
          </cell>
        </row>
        <row r="760">
          <cell r="D760">
            <v>12</v>
          </cell>
        </row>
        <row r="761">
          <cell r="D761">
            <v>11.9</v>
          </cell>
        </row>
        <row r="762">
          <cell r="D762">
            <v>12</v>
          </cell>
        </row>
        <row r="767">
          <cell r="D767">
            <v>11.8</v>
          </cell>
        </row>
        <row r="768">
          <cell r="D768">
            <v>12</v>
          </cell>
        </row>
        <row r="769">
          <cell r="D769">
            <v>11.9</v>
          </cell>
        </row>
        <row r="770">
          <cell r="D770">
            <v>11.9</v>
          </cell>
        </row>
        <row r="771">
          <cell r="D771">
            <v>11.9</v>
          </cell>
        </row>
        <row r="772">
          <cell r="D772">
            <v>11.9</v>
          </cell>
        </row>
        <row r="773">
          <cell r="D773">
            <v>11.9</v>
          </cell>
        </row>
        <row r="774">
          <cell r="D774">
            <v>11.9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wMaterials"/>
      <sheetName val="Brewhouse"/>
      <sheetName val="Process"/>
      <sheetName val="Summary September '26 "/>
      <sheetName val="Summary August '26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  <sheetName val="Summary December '25"/>
      <sheetName val="Guinnbottling"/>
    </sheetNames>
    <sheetDataSet>
      <sheetData sheetId="0"/>
      <sheetData sheetId="1">
        <row r="16">
          <cell r="AU16">
            <v>96.003306141833193</v>
          </cell>
        </row>
        <row r="17">
          <cell r="AU17">
            <v>97.325117100528743</v>
          </cell>
        </row>
        <row r="18">
          <cell r="AU18">
            <v>99.121575646105413</v>
          </cell>
        </row>
        <row r="19">
          <cell r="AU19">
            <v>98.312989092995309</v>
          </cell>
        </row>
        <row r="20">
          <cell r="AU20">
            <v>97.776942468215154</v>
          </cell>
        </row>
        <row r="21">
          <cell r="AU21">
            <v>100.27176158202545</v>
          </cell>
        </row>
        <row r="22">
          <cell r="AU22">
            <v>99.294375681877099</v>
          </cell>
        </row>
        <row r="23">
          <cell r="AU23">
            <v>94.0155703648322</v>
          </cell>
        </row>
        <row r="25">
          <cell r="AU25">
            <v>103.50405139576692</v>
          </cell>
        </row>
        <row r="26">
          <cell r="AU26">
            <v>95.716844988758396</v>
          </cell>
        </row>
        <row r="27">
          <cell r="AU27">
            <v>95.930260280243118</v>
          </cell>
        </row>
        <row r="28">
          <cell r="AU28">
            <v>91.893952811328091</v>
          </cell>
        </row>
        <row r="29">
          <cell r="AU29">
            <v>113.58212162131902</v>
          </cell>
        </row>
        <row r="30">
          <cell r="AU30">
            <v>90.487433811004081</v>
          </cell>
        </row>
        <row r="31">
          <cell r="AU31">
            <v>102.62581305950147</v>
          </cell>
        </row>
        <row r="32">
          <cell r="AU32">
            <v>97.191888885824653</v>
          </cell>
        </row>
        <row r="34">
          <cell r="AU34">
            <v>90.907169651305182</v>
          </cell>
        </row>
        <row r="35">
          <cell r="AU35">
            <v>91.553613748299583</v>
          </cell>
        </row>
        <row r="36">
          <cell r="AU36">
            <v>95.905976258581575</v>
          </cell>
        </row>
        <row r="37">
          <cell r="AU37">
            <v>96.879053203911113</v>
          </cell>
        </row>
        <row r="38">
          <cell r="AU38">
            <v>95.469150075246716</v>
          </cell>
        </row>
        <row r="39">
          <cell r="AU39">
            <v>94.854987439727708</v>
          </cell>
        </row>
        <row r="40">
          <cell r="AU40">
            <v>96.379391191673903</v>
          </cell>
        </row>
        <row r="41">
          <cell r="AU41">
            <v>96.151545309064119</v>
          </cell>
        </row>
        <row r="43">
          <cell r="AU43">
            <v>91.8653198132276</v>
          </cell>
        </row>
        <row r="44">
          <cell r="AU44">
            <v>96.795098985422072</v>
          </cell>
        </row>
        <row r="45">
          <cell r="AU45">
            <v>98.720710514490094</v>
          </cell>
        </row>
        <row r="46">
          <cell r="AU46">
            <v>95.915862303234761</v>
          </cell>
        </row>
        <row r="47">
          <cell r="AU47">
            <v>95.695713342598523</v>
          </cell>
        </row>
        <row r="48">
          <cell r="AU48">
            <v>96.347140813579983</v>
          </cell>
        </row>
        <row r="49">
          <cell r="AU49">
            <v>96.451268893467329</v>
          </cell>
        </row>
        <row r="50">
          <cell r="AU50">
            <v>97.996131903201018</v>
          </cell>
        </row>
        <row r="51">
          <cell r="AU51">
            <v>96.505256206141482</v>
          </cell>
        </row>
        <row r="52">
          <cell r="AU52">
            <v>94.58580500070201</v>
          </cell>
        </row>
        <row r="53">
          <cell r="AU53">
            <v>98.906990347725127</v>
          </cell>
        </row>
        <row r="54">
          <cell r="AU54">
            <v>94.944884823994201</v>
          </cell>
        </row>
        <row r="55">
          <cell r="AU55">
            <v>95.472821437606697</v>
          </cell>
        </row>
        <row r="56">
          <cell r="AU56">
            <v>95.226977398578171</v>
          </cell>
        </row>
        <row r="57">
          <cell r="AU57">
            <v>94.66429901148345</v>
          </cell>
        </row>
        <row r="58">
          <cell r="AU58">
            <v>100.57784401994616</v>
          </cell>
        </row>
        <row r="59">
          <cell r="AU59">
            <v>98.401209978530773</v>
          </cell>
        </row>
        <row r="60">
          <cell r="AU60">
            <v>99.190946222442903</v>
          </cell>
        </row>
        <row r="62">
          <cell r="AU62">
            <v>93.161813188441059</v>
          </cell>
        </row>
        <row r="63">
          <cell r="AU63">
            <v>94.223463593248454</v>
          </cell>
        </row>
        <row r="64">
          <cell r="AU64">
            <v>96.163448111596551</v>
          </cell>
        </row>
        <row r="65">
          <cell r="AU65">
            <v>94.716056167153823</v>
          </cell>
        </row>
        <row r="66">
          <cell r="AU66">
            <v>94.701980871315456</v>
          </cell>
        </row>
        <row r="67">
          <cell r="AU67">
            <v>95.107716330527765</v>
          </cell>
        </row>
        <row r="68">
          <cell r="AU68">
            <v>99.423613630730074</v>
          </cell>
        </row>
        <row r="69">
          <cell r="AU69">
            <v>99.424512800846912</v>
          </cell>
        </row>
        <row r="71">
          <cell r="AU71">
            <v>90.115532940848027</v>
          </cell>
        </row>
        <row r="72">
          <cell r="AU72">
            <v>93.319538123450741</v>
          </cell>
        </row>
        <row r="73">
          <cell r="AU73">
            <v>96.501709911750197</v>
          </cell>
        </row>
        <row r="74">
          <cell r="AU74">
            <v>95.68627961946747</v>
          </cell>
        </row>
        <row r="75">
          <cell r="AU75">
            <v>97.397906496405696</v>
          </cell>
        </row>
        <row r="76">
          <cell r="AU76">
            <v>96.111036489762782</v>
          </cell>
        </row>
        <row r="77">
          <cell r="AU77">
            <v>95.790840926804705</v>
          </cell>
        </row>
        <row r="78">
          <cell r="AU78">
            <v>96.182715916625327</v>
          </cell>
        </row>
        <row r="79">
          <cell r="AU79">
            <v>96.174717353971133</v>
          </cell>
        </row>
        <row r="80">
          <cell r="AU80">
            <v>98.290298755105752</v>
          </cell>
        </row>
        <row r="81">
          <cell r="AU81">
            <v>93.857635635262497</v>
          </cell>
        </row>
        <row r="82">
          <cell r="AU82">
            <v>96.686192958400923</v>
          </cell>
        </row>
        <row r="83">
          <cell r="AU83">
            <v>98.754274807353042</v>
          </cell>
        </row>
        <row r="84">
          <cell r="AU84">
            <v>98.83341801627445</v>
          </cell>
        </row>
        <row r="85">
          <cell r="AU85">
            <v>93.739995346186404</v>
          </cell>
        </row>
        <row r="86">
          <cell r="AU86">
            <v>96.883913162140757</v>
          </cell>
        </row>
        <row r="87">
          <cell r="AU87">
            <v>96.114279340546588</v>
          </cell>
        </row>
        <row r="88">
          <cell r="AU88">
            <v>96.644961994715146</v>
          </cell>
        </row>
        <row r="90">
          <cell r="AU90">
            <v>96.199574054545806</v>
          </cell>
        </row>
        <row r="91">
          <cell r="AU91">
            <v>96.990520431357425</v>
          </cell>
        </row>
        <row r="92">
          <cell r="AU92">
            <v>96.576570379573766</v>
          </cell>
        </row>
        <row r="93">
          <cell r="AU93">
            <v>97.958929323440969</v>
          </cell>
        </row>
        <row r="94">
          <cell r="AU94">
            <v>94.968203123829284</v>
          </cell>
        </row>
        <row r="95">
          <cell r="AU95">
            <v>96.13948802609309</v>
          </cell>
        </row>
        <row r="96">
          <cell r="AU96">
            <v>96.966158594827462</v>
          </cell>
        </row>
        <row r="97">
          <cell r="AU97">
            <v>94.938560144721919</v>
          </cell>
        </row>
        <row r="99">
          <cell r="AU99">
            <v>95.02973839984999</v>
          </cell>
        </row>
        <row r="100">
          <cell r="AU100">
            <v>96.659796680203456</v>
          </cell>
        </row>
        <row r="101">
          <cell r="AU101">
            <v>95.899301321002682</v>
          </cell>
        </row>
        <row r="102">
          <cell r="AU102">
            <v>96.739594506578101</v>
          </cell>
        </row>
        <row r="103">
          <cell r="AU103">
            <v>93.592658671733744</v>
          </cell>
        </row>
        <row r="104">
          <cell r="AU104">
            <v>99.414523178212718</v>
          </cell>
        </row>
        <row r="105">
          <cell r="AU105">
            <v>97.989371573302947</v>
          </cell>
        </row>
        <row r="106">
          <cell r="AU106">
            <v>96.371888664415408</v>
          </cell>
        </row>
        <row r="108">
          <cell r="A108" t="str">
            <v>GU085</v>
          </cell>
          <cell r="O108">
            <v>58</v>
          </cell>
          <cell r="R108">
            <v>9.9642857142857117</v>
          </cell>
          <cell r="T108">
            <v>1.1659722222222222</v>
          </cell>
          <cell r="U108">
            <v>1.2798611111111111</v>
          </cell>
          <cell r="V108">
            <v>56</v>
          </cell>
          <cell r="Z108">
            <v>0.27986111111111112</v>
          </cell>
          <cell r="AF108">
            <v>51.5</v>
          </cell>
          <cell r="AG108">
            <v>16.7</v>
          </cell>
          <cell r="AI108">
            <v>50.3</v>
          </cell>
          <cell r="AU108">
            <v>91.724977525489862</v>
          </cell>
          <cell r="AV108">
            <v>92.431180354931882</v>
          </cell>
          <cell r="AW108" t="str">
            <v>R. Sookram</v>
          </cell>
        </row>
        <row r="109">
          <cell r="A109" t="str">
            <v>GU086</v>
          </cell>
          <cell r="O109">
            <v>55</v>
          </cell>
          <cell r="R109">
            <v>7.2857142857142829</v>
          </cell>
          <cell r="T109">
            <v>0.27986111111111112</v>
          </cell>
          <cell r="U109">
            <v>0.42499999999999999</v>
          </cell>
          <cell r="V109">
            <v>79</v>
          </cell>
          <cell r="Z109">
            <v>0.3208333333333333</v>
          </cell>
          <cell r="AF109">
            <v>53</v>
          </cell>
          <cell r="AG109">
            <v>17</v>
          </cell>
          <cell r="AI109">
            <v>51.6</v>
          </cell>
          <cell r="AU109">
            <v>95.891925763467796</v>
          </cell>
          <cell r="AV109">
            <v>96.630210482872457</v>
          </cell>
          <cell r="AW109" t="str">
            <v>R. Sookram</v>
          </cell>
        </row>
        <row r="110">
          <cell r="A110" t="str">
            <v>GU087</v>
          </cell>
          <cell r="O110">
            <v>60</v>
          </cell>
          <cell r="R110">
            <v>7.4509803921568629</v>
          </cell>
          <cell r="T110">
            <v>0.39652777777777776</v>
          </cell>
          <cell r="U110">
            <v>0.55972222222222223</v>
          </cell>
          <cell r="V110">
            <v>72</v>
          </cell>
          <cell r="Z110">
            <v>0.3305555555555556</v>
          </cell>
          <cell r="AF110">
            <v>54.6</v>
          </cell>
          <cell r="AG110">
            <v>17.600000000000001</v>
          </cell>
          <cell r="AI110">
            <v>53.1</v>
          </cell>
          <cell r="AU110">
            <v>102.51304330824706</v>
          </cell>
          <cell r="AV110">
            <v>103.30216588791079</v>
          </cell>
          <cell r="AW110" t="str">
            <v>R. Sookram</v>
          </cell>
        </row>
        <row r="111">
          <cell r="A111" t="str">
            <v>GU088</v>
          </cell>
          <cell r="O111">
            <v>59</v>
          </cell>
          <cell r="R111">
            <v>5.8571428571428594</v>
          </cell>
          <cell r="T111">
            <v>0.53749999999999998</v>
          </cell>
          <cell r="U111">
            <v>0.68472222222222223</v>
          </cell>
          <cell r="V111">
            <v>81</v>
          </cell>
          <cell r="Z111">
            <v>0.33055555555555555</v>
          </cell>
          <cell r="AF111">
            <v>53.8</v>
          </cell>
          <cell r="AG111">
            <v>17.100000000000001</v>
          </cell>
          <cell r="AI111">
            <v>52.2</v>
          </cell>
          <cell r="AU111">
            <v>97.414237853051461</v>
          </cell>
          <cell r="AV111">
            <v>98.164638069015211</v>
          </cell>
          <cell r="AW111" t="str">
            <v>R. Sookram</v>
          </cell>
        </row>
        <row r="112">
          <cell r="A112" t="str">
            <v>GU089</v>
          </cell>
          <cell r="O112">
            <v>58</v>
          </cell>
          <cell r="R112">
            <v>5.4901960784313699</v>
          </cell>
          <cell r="T112">
            <v>0.66388888888888886</v>
          </cell>
          <cell r="U112">
            <v>0.79652777777777772</v>
          </cell>
          <cell r="V112">
            <v>81</v>
          </cell>
          <cell r="Z112">
            <v>0.31736111111111104</v>
          </cell>
          <cell r="AF112">
            <v>54.1</v>
          </cell>
          <cell r="AG112">
            <v>17.3</v>
          </cell>
          <cell r="AI112">
            <v>52.4</v>
          </cell>
          <cell r="AU112">
            <v>98.546052316710544</v>
          </cell>
          <cell r="AV112">
            <v>99.305964606755964</v>
          </cell>
          <cell r="AW112" t="str">
            <v>D. Gomaz</v>
          </cell>
        </row>
        <row r="113">
          <cell r="A113" t="str">
            <v>GU090</v>
          </cell>
          <cell r="O113">
            <v>60</v>
          </cell>
          <cell r="R113">
            <v>6.3928571428571406</v>
          </cell>
          <cell r="T113">
            <v>0.77777777777777779</v>
          </cell>
          <cell r="U113">
            <v>0.90763888888888888</v>
          </cell>
          <cell r="V113">
            <v>61</v>
          </cell>
          <cell r="Z113">
            <v>0.30347222222222225</v>
          </cell>
          <cell r="AF113">
            <v>53.5</v>
          </cell>
          <cell r="AG113">
            <v>17</v>
          </cell>
          <cell r="AI113">
            <v>52</v>
          </cell>
          <cell r="AU113">
            <v>96.480717105043638</v>
          </cell>
          <cell r="AV113">
            <v>97.223796033994319</v>
          </cell>
          <cell r="AW113" t="str">
            <v>D. Gomaz</v>
          </cell>
        </row>
        <row r="114">
          <cell r="A114" t="str">
            <v>GU091</v>
          </cell>
          <cell r="O114">
            <v>60</v>
          </cell>
          <cell r="R114">
            <v>6.0357142857142776</v>
          </cell>
          <cell r="T114">
            <v>0.90347222222222223</v>
          </cell>
          <cell r="U114">
            <v>1.0416666666666667</v>
          </cell>
          <cell r="V114">
            <v>63</v>
          </cell>
          <cell r="Z114">
            <v>0.30555555555555558</v>
          </cell>
          <cell r="AF114">
            <v>53.7</v>
          </cell>
          <cell r="AG114">
            <v>17</v>
          </cell>
          <cell r="AI114">
            <v>52.4</v>
          </cell>
          <cell r="AU114">
            <v>97.067628047088249</v>
          </cell>
          <cell r="AV114">
            <v>97.815489046590557</v>
          </cell>
          <cell r="AW114" t="str">
            <v>D. Gomaz</v>
          </cell>
        </row>
        <row r="115">
          <cell r="A115" t="str">
            <v>GU092</v>
          </cell>
          <cell r="O115">
            <v>62</v>
          </cell>
          <cell r="R115">
            <v>6.0357142857142776</v>
          </cell>
          <cell r="T115">
            <v>1.0201388888888889</v>
          </cell>
          <cell r="U115">
            <v>1.1868055555555554</v>
          </cell>
          <cell r="V115">
            <v>63</v>
          </cell>
          <cell r="Z115">
            <v>0.32569444444444429</v>
          </cell>
          <cell r="AF115">
            <v>53.7</v>
          </cell>
          <cell r="AG115">
            <v>17.100000000000001</v>
          </cell>
          <cell r="AI115">
            <v>51.9</v>
          </cell>
          <cell r="AU115">
            <v>97.164945696381523</v>
          </cell>
          <cell r="AV115">
            <v>97.912899811549678</v>
          </cell>
          <cell r="AW115" t="str">
            <v>K. Benjamin</v>
          </cell>
        </row>
      </sheetData>
      <sheetData sheetId="2">
        <row r="17">
          <cell r="D17">
            <v>17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VitaMalt - Operator Performance"/>
      <sheetName val="BrewMaterials"/>
      <sheetName val="Brewhouse"/>
      <sheetName val="Process"/>
      <sheetName val="Summary September '26"/>
      <sheetName val="Summary August '26 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Packaging"/>
      <sheetName val="Summary January '26 "/>
      <sheetName val="Summary December '25"/>
      <sheetName val="Summary November '25"/>
      <sheetName val="Summary October '25"/>
      <sheetName val="Summary September '25"/>
      <sheetName val="Summary August '25"/>
      <sheetName val="Summary July '25"/>
      <sheetName val="Summary June '25"/>
      <sheetName val="Summary May '25"/>
      <sheetName val="Summary April '25"/>
      <sheetName val="Summary March '25"/>
      <sheetName val="Summary February '25"/>
      <sheetName val="Summary January '25"/>
      <sheetName val="Summary December '24 "/>
      <sheetName val="Summary January '25 "/>
      <sheetName val="Summary December '25 (2)"/>
    </sheetNames>
    <sheetDataSet>
      <sheetData sheetId="0"/>
      <sheetData sheetId="1"/>
      <sheetData sheetId="2">
        <row r="23">
          <cell r="AV23">
            <v>97.339468430709204</v>
          </cell>
        </row>
        <row r="24">
          <cell r="AV24">
            <v>103.731151868401</v>
          </cell>
        </row>
        <row r="25">
          <cell r="AV25">
            <v>94.959846867032411</v>
          </cell>
        </row>
        <row r="26">
          <cell r="AV26">
            <v>97.339468430709204</v>
          </cell>
        </row>
        <row r="27">
          <cell r="AV27">
            <v>97.058295684709279</v>
          </cell>
        </row>
        <row r="28">
          <cell r="AV28">
            <v>97.867114815415192</v>
          </cell>
        </row>
        <row r="29">
          <cell r="AV29">
            <v>98.093597805251179</v>
          </cell>
        </row>
        <row r="30">
          <cell r="AV30">
            <v>102.88783663744221</v>
          </cell>
        </row>
        <row r="31">
          <cell r="AV31">
            <v>96.899121806418265</v>
          </cell>
        </row>
        <row r="32">
          <cell r="AV32">
            <v>98.250925468415389</v>
          </cell>
        </row>
        <row r="33">
          <cell r="AV33">
            <v>96.894670333550806</v>
          </cell>
        </row>
        <row r="34">
          <cell r="AV34">
            <v>98.444969429182507</v>
          </cell>
        </row>
        <row r="36">
          <cell r="AV36">
            <v>96.535163112888242</v>
          </cell>
        </row>
        <row r="38">
          <cell r="AV38">
            <v>96.780047980030858</v>
          </cell>
        </row>
        <row r="39">
          <cell r="AV39">
            <v>97.023341517405328</v>
          </cell>
        </row>
        <row r="40">
          <cell r="AV40">
            <v>96.378271472837781</v>
          </cell>
        </row>
        <row r="41">
          <cell r="AV41">
            <v>96.736022639137431</v>
          </cell>
        </row>
        <row r="42">
          <cell r="AV42">
            <v>97.949689692825132</v>
          </cell>
        </row>
        <row r="43">
          <cell r="AV43">
            <v>95.818529932594828</v>
          </cell>
        </row>
        <row r="44">
          <cell r="AV44">
            <v>97.823512224151031</v>
          </cell>
        </row>
        <row r="45">
          <cell r="AV45">
            <v>95.481796103254354</v>
          </cell>
        </row>
        <row r="46">
          <cell r="AV46">
            <v>98.065568882791581</v>
          </cell>
        </row>
        <row r="47">
          <cell r="AV47">
            <v>97.055454228278464</v>
          </cell>
        </row>
        <row r="48">
          <cell r="AV48">
            <v>99.652179089121645</v>
          </cell>
        </row>
        <row r="49">
          <cell r="AV49">
            <v>99.135667211498472</v>
          </cell>
        </row>
        <row r="50">
          <cell r="AV50">
            <v>99.232905943935492</v>
          </cell>
        </row>
        <row r="51">
          <cell r="AV51">
            <v>98.11852940599799</v>
          </cell>
        </row>
        <row r="52">
          <cell r="AV52">
            <v>92.3621562467644</v>
          </cell>
        </row>
        <row r="54">
          <cell r="AV54">
            <v>97.205782019322555</v>
          </cell>
        </row>
        <row r="55">
          <cell r="AV55">
            <v>100.49327592303123</v>
          </cell>
        </row>
        <row r="56">
          <cell r="AV56">
            <v>95.451783031665798</v>
          </cell>
        </row>
        <row r="57">
          <cell r="AV57">
            <v>97.260343131213148</v>
          </cell>
        </row>
        <row r="58">
          <cell r="AV58">
            <v>96.759736809930104</v>
          </cell>
        </row>
        <row r="59">
          <cell r="AV59">
            <v>97.064501819306201</v>
          </cell>
        </row>
        <row r="60">
          <cell r="AV60">
            <v>92.16222714184731</v>
          </cell>
        </row>
        <row r="62">
          <cell r="AV62">
            <v>94.315096961978696</v>
          </cell>
        </row>
        <row r="63">
          <cell r="AV63">
            <v>103.32629416839619</v>
          </cell>
        </row>
        <row r="64">
          <cell r="AV64">
            <v>94.325329127415785</v>
          </cell>
        </row>
        <row r="65">
          <cell r="AV65">
            <v>99.559385897285338</v>
          </cell>
        </row>
        <row r="66">
          <cell r="AV66">
            <v>98.574517909783509</v>
          </cell>
        </row>
        <row r="67">
          <cell r="AV67">
            <v>98.349199351665135</v>
          </cell>
        </row>
        <row r="68">
          <cell r="AV68">
            <v>99.563420889013372</v>
          </cell>
        </row>
        <row r="69">
          <cell r="AV69">
            <v>94.282423715374435</v>
          </cell>
        </row>
        <row r="71">
          <cell r="AV71">
            <v>97.883898930705087</v>
          </cell>
        </row>
        <row r="72">
          <cell r="AV72">
            <v>95.141628345733025</v>
          </cell>
        </row>
        <row r="73">
          <cell r="AV73">
            <v>95.141628345733025</v>
          </cell>
        </row>
        <row r="74">
          <cell r="AV74">
            <v>96.552234033434374</v>
          </cell>
        </row>
        <row r="75">
          <cell r="AV75">
            <v>101.51532621901858</v>
          </cell>
        </row>
        <row r="76">
          <cell r="AV76">
            <v>99.061358902734597</v>
          </cell>
        </row>
        <row r="77">
          <cell r="AV77">
            <v>98.035869286989112</v>
          </cell>
        </row>
        <row r="78">
          <cell r="AV78">
            <v>100.45103223776147</v>
          </cell>
        </row>
        <row r="80">
          <cell r="AV80">
            <v>92.087638309893123</v>
          </cell>
        </row>
        <row r="81">
          <cell r="AV81">
            <v>97.080324236401211</v>
          </cell>
        </row>
        <row r="82">
          <cell r="AV82">
            <v>98.952684690449885</v>
          </cell>
        </row>
        <row r="83">
          <cell r="AV83">
            <v>95.698441661092332</v>
          </cell>
        </row>
        <row r="84">
          <cell r="AV84">
            <v>98.454113654549573</v>
          </cell>
        </row>
        <row r="85">
          <cell r="AV85">
            <v>101.44729018684779</v>
          </cell>
        </row>
        <row r="86">
          <cell r="AV86">
            <v>94.795008863120074</v>
          </cell>
        </row>
        <row r="87">
          <cell r="AV87">
            <v>98.362423977139869</v>
          </cell>
        </row>
        <row r="89">
          <cell r="AV89">
            <v>98.966709364408175</v>
          </cell>
        </row>
        <row r="90">
          <cell r="AV90">
            <v>96.872876691950268</v>
          </cell>
        </row>
        <row r="91">
          <cell r="AV91">
            <v>98.438453135356141</v>
          </cell>
        </row>
        <row r="92">
          <cell r="AV92">
            <v>98.648257968141067</v>
          </cell>
        </row>
        <row r="93">
          <cell r="AV93">
            <v>97.15488267089502</v>
          </cell>
        </row>
        <row r="94">
          <cell r="AV94">
            <v>97.674325034697105</v>
          </cell>
        </row>
        <row r="95">
          <cell r="AV95">
            <v>97.88449261906382</v>
          </cell>
        </row>
        <row r="96">
          <cell r="AV96">
            <v>97.580137789132138</v>
          </cell>
        </row>
        <row r="98">
          <cell r="AV98">
            <v>92.192234749793755</v>
          </cell>
        </row>
        <row r="99">
          <cell r="AV99">
            <v>97.908198253585468</v>
          </cell>
        </row>
        <row r="100">
          <cell r="AV100">
            <v>97.339468430709204</v>
          </cell>
        </row>
        <row r="101">
          <cell r="AV101">
            <v>98.522684853503378</v>
          </cell>
        </row>
        <row r="102">
          <cell r="AV102">
            <v>98.512227862178662</v>
          </cell>
        </row>
        <row r="103">
          <cell r="AV103">
            <v>98.875374733462692</v>
          </cell>
        </row>
        <row r="104">
          <cell r="AV104">
            <v>97.703049180207884</v>
          </cell>
        </row>
        <row r="105">
          <cell r="AV105">
            <v>99.954741113141679</v>
          </cell>
        </row>
      </sheetData>
      <sheetData sheetId="3">
        <row r="23">
          <cell r="D23">
            <v>14.3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Summary September '26"/>
      <sheetName val="Summary July '26"/>
      <sheetName val="Summary May '26 "/>
      <sheetName val="Packaging"/>
      <sheetName val="Summary January'26"/>
      <sheetName val="Summary October'25"/>
      <sheetName val="Summary September'25"/>
      <sheetName val="Summary August'25"/>
      <sheetName val="Summary July'25"/>
      <sheetName val="Summary June'25"/>
      <sheetName val="Summary May'25"/>
      <sheetName val="Summary April'25"/>
      <sheetName val="Summary March'25 "/>
      <sheetName val="Summary February'25"/>
      <sheetName val="Summary January'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">
          <cell r="AT4">
            <v>95.757584041187528</v>
          </cell>
        </row>
        <row r="5">
          <cell r="AT5">
            <v>95.858102632741591</v>
          </cell>
        </row>
        <row r="6">
          <cell r="AT6">
            <v>91.101781537342561</v>
          </cell>
        </row>
        <row r="7">
          <cell r="AT7">
            <v>96.220044255599106</v>
          </cell>
        </row>
        <row r="8">
          <cell r="AT8">
            <v>91.159176033097395</v>
          </cell>
        </row>
        <row r="9">
          <cell r="AT9">
            <v>86.497061610388243</v>
          </cell>
        </row>
        <row r="10">
          <cell r="AT10">
            <v>90.533857449292626</v>
          </cell>
        </row>
        <row r="11">
          <cell r="AT11">
            <v>95.482188504770065</v>
          </cell>
        </row>
        <row r="13">
          <cell r="AT13">
            <v>90.128375863432225</v>
          </cell>
        </row>
        <row r="14">
          <cell r="AT14">
            <v>88.195975747735361</v>
          </cell>
        </row>
        <row r="15">
          <cell r="AT15">
            <v>88.458193469652173</v>
          </cell>
        </row>
        <row r="16">
          <cell r="AT16">
            <v>89.068163344426111</v>
          </cell>
        </row>
        <row r="18">
          <cell r="AT18">
            <v>88.337016760508519</v>
          </cell>
        </row>
        <row r="19">
          <cell r="AT19">
            <v>94.828774942397658</v>
          </cell>
        </row>
        <row r="20">
          <cell r="AT20">
            <v>94.949182103443249</v>
          </cell>
        </row>
        <row r="21">
          <cell r="AT21">
            <v>92.747327972203848</v>
          </cell>
        </row>
        <row r="22">
          <cell r="AT22">
            <v>92.715575444638318</v>
          </cell>
        </row>
        <row r="23">
          <cell r="AT23">
            <v>91.951723879434397</v>
          </cell>
        </row>
        <row r="24">
          <cell r="AT24">
            <v>96.150583729382561</v>
          </cell>
        </row>
        <row r="25">
          <cell r="AT25">
            <v>96.730919507263621</v>
          </cell>
        </row>
        <row r="26">
          <cell r="AT26">
            <v>97.686758632829481</v>
          </cell>
        </row>
        <row r="27">
          <cell r="AT27">
            <v>97.217049049093575</v>
          </cell>
        </row>
        <row r="28">
          <cell r="AT28">
            <v>95.303327611119286</v>
          </cell>
        </row>
        <row r="29">
          <cell r="AT29">
            <v>97.085382097037311</v>
          </cell>
        </row>
        <row r="30">
          <cell r="AT30">
            <v>96.401573752548614</v>
          </cell>
        </row>
      </sheetData>
      <sheetData sheetId="8">
        <row r="4">
          <cell r="D4">
            <v>13.3</v>
          </cell>
        </row>
      </sheetData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 Apr'14"/>
      <sheetName val="Summary May'14"/>
      <sheetName val="BrewMaterials"/>
      <sheetName val="Brewhouse"/>
      <sheetName val="Process"/>
      <sheetName val="Summary September ' 26 "/>
      <sheetName val="Summary August ' 26 "/>
      <sheetName val="Summary July ' 26"/>
      <sheetName val="Summary June ' 26"/>
      <sheetName val="Summary May ' 26"/>
      <sheetName val="Summary April ' 26"/>
      <sheetName val="Summary March ' 26"/>
      <sheetName val="Summary February ' 26"/>
      <sheetName val="Summary January ' 26"/>
      <sheetName val="Summary December ' 25"/>
      <sheetName val="Packaging"/>
    </sheetNames>
    <sheetDataSet>
      <sheetData sheetId="0" refreshError="1"/>
      <sheetData sheetId="1" refreshError="1"/>
      <sheetData sheetId="2" refreshError="1"/>
      <sheetData sheetId="3">
        <row r="5">
          <cell r="AY5">
            <v>97.569471586586559</v>
          </cell>
        </row>
        <row r="6">
          <cell r="AY6">
            <v>98.85391885240027</v>
          </cell>
        </row>
        <row r="7">
          <cell r="AY7">
            <v>97.962509317492206</v>
          </cell>
        </row>
        <row r="8">
          <cell r="AY8">
            <v>98.851728693915732</v>
          </cell>
        </row>
        <row r="9">
          <cell r="AY9">
            <v>96.643783230525969</v>
          </cell>
        </row>
        <row r="10">
          <cell r="AY10">
            <v>94.324644249999125</v>
          </cell>
        </row>
        <row r="11">
          <cell r="AY11">
            <v>92.117541140378776</v>
          </cell>
        </row>
        <row r="12">
          <cell r="AY12">
            <v>97.208951553511497</v>
          </cell>
        </row>
        <row r="13">
          <cell r="AY13">
            <v>98.512076526938472</v>
          </cell>
        </row>
        <row r="14">
          <cell r="AY14">
            <v>95.253677266359389</v>
          </cell>
        </row>
        <row r="16">
          <cell r="AY16">
            <v>93.855429141534003</v>
          </cell>
        </row>
        <row r="17">
          <cell r="AY17">
            <v>105.14531945603353</v>
          </cell>
        </row>
        <row r="18">
          <cell r="AY18">
            <v>93.755977480319771</v>
          </cell>
        </row>
        <row r="19">
          <cell r="AY19">
            <v>98.497810820823545</v>
          </cell>
        </row>
        <row r="20">
          <cell r="AY20">
            <v>97.678395385249857</v>
          </cell>
        </row>
        <row r="21">
          <cell r="AY21">
            <v>97.894369029995005</v>
          </cell>
        </row>
        <row r="22">
          <cell r="AY22">
            <v>96.582095881806836</v>
          </cell>
        </row>
        <row r="23">
          <cell r="AY23">
            <v>100.57737346889346</v>
          </cell>
        </row>
        <row r="42">
          <cell r="AY42">
            <v>99.134494554521325</v>
          </cell>
        </row>
        <row r="44">
          <cell r="AY44">
            <v>95.995406818829039</v>
          </cell>
        </row>
        <row r="45">
          <cell r="AY45">
            <v>95.617602987606631</v>
          </cell>
        </row>
        <row r="46">
          <cell r="AY46">
            <v>99.335814172293396</v>
          </cell>
        </row>
        <row r="47">
          <cell r="AY47">
            <v>98.909684358674781</v>
          </cell>
        </row>
        <row r="48">
          <cell r="AY48">
            <v>97.845022110433561</v>
          </cell>
        </row>
        <row r="49">
          <cell r="AY49">
            <v>98.722709530019429</v>
          </cell>
        </row>
        <row r="50">
          <cell r="AY50">
            <v>97.591251769129457</v>
          </cell>
        </row>
        <row r="51">
          <cell r="AY51">
            <v>89.186993268597121</v>
          </cell>
        </row>
        <row r="53">
          <cell r="AY53">
            <v>92.54924279225061</v>
          </cell>
        </row>
        <row r="54">
          <cell r="AY54">
            <v>97.936724701155001</v>
          </cell>
        </row>
        <row r="55">
          <cell r="AY55">
            <v>96.903024614311789</v>
          </cell>
        </row>
        <row r="56">
          <cell r="AY56">
            <v>99.751161565178876</v>
          </cell>
        </row>
        <row r="57">
          <cell r="AY57">
            <v>96.946934866926995</v>
          </cell>
        </row>
        <row r="58">
          <cell r="AY58">
            <v>101.1402395567615</v>
          </cell>
        </row>
        <row r="59">
          <cell r="AY59">
            <v>94.521368448030842</v>
          </cell>
        </row>
        <row r="60">
          <cell r="AY60">
            <v>96.447094164922959</v>
          </cell>
        </row>
        <row r="61">
          <cell r="AY61">
            <v>95.483117660591859</v>
          </cell>
        </row>
        <row r="62">
          <cell r="AY62">
            <v>101.54786093894572</v>
          </cell>
        </row>
        <row r="63">
          <cell r="AY63">
            <v>99.781002552645404</v>
          </cell>
        </row>
        <row r="64">
          <cell r="AY64">
            <v>100.38282881101692</v>
          </cell>
        </row>
        <row r="66">
          <cell r="AY66">
            <v>96.052076380873814</v>
          </cell>
        </row>
        <row r="67">
          <cell r="AY67">
            <v>96.965481413861383</v>
          </cell>
        </row>
        <row r="68">
          <cell r="AY68">
            <v>98.929902201837479</v>
          </cell>
        </row>
        <row r="69">
          <cell r="AY69">
            <v>98.81732361471613</v>
          </cell>
        </row>
        <row r="70">
          <cell r="AY70">
            <v>93.747141074419659</v>
          </cell>
        </row>
        <row r="71">
          <cell r="AY71">
            <v>100.25759492531388</v>
          </cell>
        </row>
        <row r="72">
          <cell r="AY72">
            <v>99.848562971423902</v>
          </cell>
        </row>
        <row r="73">
          <cell r="AY73">
            <v>101.18742532014767</v>
          </cell>
        </row>
        <row r="75">
          <cell r="AY75">
            <v>96.375149333771006</v>
          </cell>
        </row>
        <row r="76">
          <cell r="AY76">
            <v>102.19654877418134</v>
          </cell>
        </row>
        <row r="77">
          <cell r="AY77">
            <v>104.26201828517443</v>
          </cell>
        </row>
        <row r="78">
          <cell r="AY78">
            <v>103.36709256474418</v>
          </cell>
        </row>
        <row r="79">
          <cell r="AY79">
            <v>94.941667422792506</v>
          </cell>
        </row>
        <row r="80">
          <cell r="AY80">
            <v>101.53837862772018</v>
          </cell>
        </row>
        <row r="81">
          <cell r="AY81">
            <v>100.62632852508888</v>
          </cell>
        </row>
        <row r="82">
          <cell r="AY82">
            <v>99.134826074447517</v>
          </cell>
        </row>
        <row r="84">
          <cell r="AY84">
            <v>89.865899111082911</v>
          </cell>
        </row>
        <row r="85">
          <cell r="AY85">
            <v>97.693621175915609</v>
          </cell>
        </row>
        <row r="86">
          <cell r="AY86">
            <v>98.098376729140924</v>
          </cell>
        </row>
        <row r="87">
          <cell r="AY87">
            <v>98.701099186405543</v>
          </cell>
        </row>
        <row r="88">
          <cell r="AY88">
            <v>98.149643000896063</v>
          </cell>
        </row>
        <row r="89">
          <cell r="AY89">
            <v>100.11673997026169</v>
          </cell>
        </row>
        <row r="90">
          <cell r="AY90">
            <v>99.269060038965534</v>
          </cell>
        </row>
        <row r="91">
          <cell r="AY91">
            <v>98.24191438139087</v>
          </cell>
        </row>
        <row r="92">
          <cell r="AY92">
            <v>96.193227678250963</v>
          </cell>
        </row>
        <row r="93">
          <cell r="AY93">
            <v>97.280253560904981</v>
          </cell>
        </row>
        <row r="94">
          <cell r="AY94">
            <v>99.077497022970533</v>
          </cell>
        </row>
        <row r="95">
          <cell r="AY95">
            <v>95.794055097674445</v>
          </cell>
        </row>
        <row r="96">
          <cell r="AY96">
            <v>98.473163790154686</v>
          </cell>
        </row>
        <row r="97">
          <cell r="AY97">
            <v>90.794605311533076</v>
          </cell>
        </row>
        <row r="98">
          <cell r="AY98">
            <v>98.854819757121476</v>
          </cell>
        </row>
        <row r="99">
          <cell r="AY99">
            <v>99.2047479604514</v>
          </cell>
        </row>
        <row r="100">
          <cell r="AY100">
            <v>97.580117216650279</v>
          </cell>
        </row>
        <row r="101">
          <cell r="AY101">
            <v>99.629199564339515</v>
          </cell>
        </row>
        <row r="103">
          <cell r="AY103">
            <v>91.518291197933038</v>
          </cell>
        </row>
        <row r="104">
          <cell r="AY104">
            <v>99.384605447346843</v>
          </cell>
        </row>
        <row r="105">
          <cell r="AY105">
            <v>99.466650911889417</v>
          </cell>
        </row>
        <row r="106">
          <cell r="AY106">
            <v>98.400502643916937</v>
          </cell>
        </row>
        <row r="107">
          <cell r="AY107">
            <v>99.738369220600319</v>
          </cell>
        </row>
        <row r="108">
          <cell r="AY108">
            <v>99.055708807837178</v>
          </cell>
        </row>
        <row r="109">
          <cell r="AY109">
            <v>98.875386413170901</v>
          </cell>
        </row>
        <row r="110">
          <cell r="AY110">
            <v>96.509894208472375</v>
          </cell>
        </row>
        <row r="112">
          <cell r="A112" t="str">
            <v>SM099</v>
          </cell>
          <cell r="T112">
            <v>60</v>
          </cell>
          <cell r="U112">
            <v>6.754716981132086</v>
          </cell>
          <cell r="X112">
            <v>0.80208333333333337</v>
          </cell>
          <cell r="Y112">
            <v>0.97499999999999998</v>
          </cell>
          <cell r="Z112">
            <v>90</v>
          </cell>
          <cell r="AD112">
            <v>0.33958333333333335</v>
          </cell>
          <cell r="AH112">
            <v>53</v>
          </cell>
          <cell r="AK112">
            <v>17</v>
          </cell>
          <cell r="AM112">
            <v>51.1</v>
          </cell>
          <cell r="AY112">
            <v>97.214271955083348</v>
          </cell>
          <cell r="AZ112">
            <v>97.481077972249778</v>
          </cell>
          <cell r="BC112" t="str">
            <v>D. Gomaz</v>
          </cell>
        </row>
        <row r="113">
          <cell r="A113" t="str">
            <v>SM100</v>
          </cell>
          <cell r="T113">
            <v>61</v>
          </cell>
          <cell r="U113">
            <v>7.8867924528301883</v>
          </cell>
          <cell r="X113">
            <v>0.93333333333333335</v>
          </cell>
          <cell r="Y113">
            <v>1.0715277777777779</v>
          </cell>
          <cell r="Z113">
            <v>69</v>
          </cell>
          <cell r="AD113">
            <v>0.32152777777777786</v>
          </cell>
          <cell r="AH113">
            <v>53</v>
          </cell>
          <cell r="AK113">
            <v>17.3</v>
          </cell>
          <cell r="AM113">
            <v>51.4</v>
          </cell>
          <cell r="AY113">
            <v>98.862710164301788</v>
          </cell>
          <cell r="AZ113">
            <v>99.136679966905078</v>
          </cell>
          <cell r="BC113" t="str">
            <v>D. Gomaz</v>
          </cell>
        </row>
        <row r="114">
          <cell r="A114" t="str">
            <v>SM101</v>
          </cell>
          <cell r="T114">
            <v>57</v>
          </cell>
          <cell r="U114">
            <v>4.1132075471698109</v>
          </cell>
          <cell r="X114">
            <v>1.0604166666666666</v>
          </cell>
          <cell r="Y114">
            <v>1.2090277777777778</v>
          </cell>
          <cell r="Z114">
            <v>70</v>
          </cell>
          <cell r="AD114">
            <v>0.34444444444444444</v>
          </cell>
          <cell r="AH114">
            <v>53</v>
          </cell>
          <cell r="AK114">
            <v>17.3</v>
          </cell>
          <cell r="AM114">
            <v>51.7</v>
          </cell>
          <cell r="AY114">
            <v>99.439729873431943</v>
          </cell>
          <cell r="AZ114">
            <v>99.715298721575735</v>
          </cell>
          <cell r="BC114" t="str">
            <v>D. Gomaz</v>
          </cell>
        </row>
        <row r="115">
          <cell r="A115" t="str">
            <v>SM102</v>
          </cell>
          <cell r="T115">
            <v>60</v>
          </cell>
          <cell r="U115">
            <v>7.3207547169811367</v>
          </cell>
          <cell r="X115">
            <v>1.1868055555555554</v>
          </cell>
          <cell r="Y115">
            <v>1.3430555555555554</v>
          </cell>
          <cell r="Z115">
            <v>67</v>
          </cell>
          <cell r="AD115">
            <v>0.35694444444444429</v>
          </cell>
          <cell r="AH115">
            <v>53</v>
          </cell>
          <cell r="AK115">
            <v>17.3</v>
          </cell>
          <cell r="AM115">
            <v>51</v>
          </cell>
          <cell r="AY115">
            <v>98.013898306372198</v>
          </cell>
          <cell r="AZ115">
            <v>98.285775240901714</v>
          </cell>
          <cell r="BC115" t="str">
            <v>R.Sookram</v>
          </cell>
        </row>
        <row r="116">
          <cell r="A116" t="str">
            <v>SM103</v>
          </cell>
          <cell r="T116">
            <v>60</v>
          </cell>
          <cell r="U116">
            <v>5.0566037735849045</v>
          </cell>
          <cell r="X116">
            <v>0.35347222222222224</v>
          </cell>
          <cell r="Y116">
            <v>0.50208333333333333</v>
          </cell>
          <cell r="Z116">
            <v>65</v>
          </cell>
          <cell r="AD116">
            <v>0.39444444444444443</v>
          </cell>
          <cell r="AH116">
            <v>53</v>
          </cell>
          <cell r="AK116">
            <v>17.36</v>
          </cell>
          <cell r="AM116">
            <v>51.9</v>
          </cell>
          <cell r="AY116">
            <v>95.022046186828362</v>
          </cell>
          <cell r="AZ116">
            <v>95.285372684690913</v>
          </cell>
          <cell r="BC116" t="str">
            <v>R.Sookram</v>
          </cell>
        </row>
        <row r="117">
          <cell r="A117" t="str">
            <v>SM104</v>
          </cell>
          <cell r="T117">
            <v>60</v>
          </cell>
          <cell r="U117">
            <v>6.754716981132086</v>
          </cell>
          <cell r="X117">
            <v>0.3923611111111111</v>
          </cell>
          <cell r="Y117">
            <v>0.65694444444444444</v>
          </cell>
          <cell r="Z117">
            <v>73</v>
          </cell>
          <cell r="AD117">
            <v>0.42083333333333334</v>
          </cell>
          <cell r="AH117">
            <v>53</v>
          </cell>
          <cell r="AK117">
            <v>17.399999999999999</v>
          </cell>
          <cell r="AM117">
            <v>51.9</v>
          </cell>
          <cell r="AY117">
            <v>95.022046186828362</v>
          </cell>
          <cell r="AZ117">
            <v>95.285372684690913</v>
          </cell>
          <cell r="BC117" t="str">
            <v>R.Sookram</v>
          </cell>
        </row>
        <row r="118">
          <cell r="A118" t="str">
            <v>SM105</v>
          </cell>
          <cell r="T118">
            <v>57</v>
          </cell>
          <cell r="U118">
            <v>2.960000000000008</v>
          </cell>
          <cell r="X118">
            <v>0.63680555555555551</v>
          </cell>
          <cell r="Y118">
            <v>0.79236111111111107</v>
          </cell>
          <cell r="Z118">
            <v>70</v>
          </cell>
          <cell r="AD118">
            <v>0.36180555555555549</v>
          </cell>
          <cell r="AH118">
            <v>50</v>
          </cell>
          <cell r="AK118">
            <v>17.399999999999999</v>
          </cell>
          <cell r="AM118">
            <v>49.3</v>
          </cell>
          <cell r="AY118">
            <v>90.335017111661628</v>
          </cell>
          <cell r="AZ118">
            <v>90.585115407273193</v>
          </cell>
          <cell r="BC118" t="str">
            <v>K. Benjamin</v>
          </cell>
        </row>
        <row r="119">
          <cell r="A119" t="str">
            <v>SM106</v>
          </cell>
          <cell r="T119">
            <v>60</v>
          </cell>
          <cell r="U119">
            <v>-0.41509433962263936</v>
          </cell>
          <cell r="X119">
            <v>0.77500000000000002</v>
          </cell>
          <cell r="Y119">
            <v>0.95277777777777772</v>
          </cell>
          <cell r="Z119">
            <v>104</v>
          </cell>
          <cell r="AD119">
            <v>0.39027777777777772</v>
          </cell>
          <cell r="AH119">
            <v>53</v>
          </cell>
          <cell r="AK119">
            <v>17.399999999999999</v>
          </cell>
          <cell r="AM119">
            <v>55.3</v>
          </cell>
          <cell r="AY119">
            <v>100.75694228020136</v>
          </cell>
          <cell r="AZ119">
            <v>101.03775475944533</v>
          </cell>
          <cell r="BC119" t="str">
            <v>K. Benjamin</v>
          </cell>
        </row>
      </sheetData>
      <sheetData sheetId="4">
        <row r="112">
          <cell r="B112">
            <v>46308</v>
          </cell>
          <cell r="D112">
            <v>17</v>
          </cell>
        </row>
        <row r="113">
          <cell r="D113">
            <v>17.3</v>
          </cell>
        </row>
        <row r="114">
          <cell r="D114">
            <v>17.3</v>
          </cell>
        </row>
        <row r="115">
          <cell r="D115">
            <v>17.3</v>
          </cell>
        </row>
        <row r="116">
          <cell r="D116">
            <v>17.36</v>
          </cell>
        </row>
        <row r="117">
          <cell r="D117">
            <v>17.399999999999999</v>
          </cell>
        </row>
        <row r="118">
          <cell r="D118">
            <v>17.399999999999999</v>
          </cell>
        </row>
        <row r="119">
          <cell r="D119">
            <v>17.399999999999999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an 2nd"/>
      <sheetName val="Jan 5th"/>
      <sheetName val="Jan 6th"/>
      <sheetName val="Jan 7th"/>
      <sheetName val="Jan 8th "/>
      <sheetName val="Jan 9th-10th"/>
      <sheetName val="Jan12th "/>
      <sheetName val="Jan13th"/>
      <sheetName val="Jan14th"/>
      <sheetName val="Jan15th"/>
      <sheetName val="Jan16-18th"/>
      <sheetName val="Jan19th "/>
      <sheetName val="Jan20th"/>
      <sheetName val="Jan21st"/>
      <sheetName val="Jan22nd"/>
      <sheetName val="Jan23rd"/>
      <sheetName val="Jan26th"/>
      <sheetName val="Jan27th"/>
      <sheetName val="Jan28th"/>
      <sheetName val="Jan29th"/>
      <sheetName val="Jan30th-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2">
          <cell r="L42">
            <v>97.828041735841467</v>
          </cell>
        </row>
        <row r="47">
          <cell r="L47">
            <v>6.0869565217391308</v>
          </cell>
        </row>
      </sheetData>
      <sheetData sheetId="22"/>
      <sheetData sheetId="23"/>
      <sheetData sheetId="24"/>
      <sheetData sheetId="2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Feb 2nd"/>
      <sheetName val="Feb 3rd"/>
      <sheetName val="Feb 4th"/>
      <sheetName val="Feb 5th"/>
      <sheetName val="Feb 6th"/>
      <sheetName val="Feb 9th"/>
      <sheetName val="Feb 10th"/>
      <sheetName val="Feb 11th"/>
      <sheetName val="Feb 12th"/>
      <sheetName val="Feb 13th"/>
      <sheetName val="Feb 16th"/>
      <sheetName val="Feb 17th"/>
      <sheetName val="Feb 18th "/>
      <sheetName val="Feb 19th"/>
      <sheetName val="Feb 20th"/>
      <sheetName val="Feb 23rd"/>
      <sheetName val="Feb 24th"/>
      <sheetName val="Feb 25th"/>
      <sheetName val="Feb 26th "/>
      <sheetName val="Feb 27th-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39">
          <cell r="L39">
            <v>6.1</v>
          </cell>
        </row>
      </sheetData>
      <sheetData sheetId="20">
        <row r="45">
          <cell r="L45">
            <v>97.514550407372639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Mar 1st"/>
      <sheetName val="Mar 2nd"/>
      <sheetName val="Mar 3rd"/>
      <sheetName val="Mar 4th"/>
      <sheetName val="Mar 5th"/>
      <sheetName val="Mar 6th "/>
      <sheetName val="Mar 9th"/>
      <sheetName val="Mar 10th"/>
      <sheetName val="Mar 11th"/>
      <sheetName val="Mar 12th"/>
      <sheetName val="Mar 13th-15th"/>
      <sheetName val="Mar 16th"/>
      <sheetName val="Mar 18th"/>
      <sheetName val="Mar 19th"/>
      <sheetName val="Mar 20th -22nd"/>
      <sheetName val="Mar 23rd "/>
      <sheetName val="Mar 24th"/>
      <sheetName val="Mar 25th "/>
      <sheetName val="Mar 26th"/>
      <sheetName val="Mar 27th"/>
      <sheetName val="Mar 30th "/>
      <sheetName val="Mar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42">
          <cell r="L42">
            <v>98.106733433542104</v>
          </cell>
        </row>
        <row r="47">
          <cell r="L47">
            <v>7</v>
          </cell>
        </row>
      </sheetData>
      <sheetData sheetId="23"/>
      <sheetData sheetId="24"/>
      <sheetData sheetId="25"/>
      <sheetData sheetId="26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Apr 1st"/>
      <sheetName val="Apr 2nd"/>
      <sheetName val="Apr 7th"/>
      <sheetName val="Apr 8th"/>
      <sheetName val="Apr 9th "/>
      <sheetName val="Apr 10th"/>
      <sheetName val="Apr 13th"/>
      <sheetName val="Apr 14th"/>
      <sheetName val="Apr 15th"/>
      <sheetName val="Apr 16th "/>
      <sheetName val="Apr 20th "/>
      <sheetName val="Apr 21st"/>
      <sheetName val="Apr 22nd"/>
      <sheetName val="Apr 23rd"/>
      <sheetName val="Apr 24th-26th"/>
      <sheetName val="Apr 27th"/>
      <sheetName val="Apr 28th"/>
      <sheetName val="Apr 29th "/>
      <sheetName val="Apr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1">
          <cell r="L41">
            <v>98.132364963553755</v>
          </cell>
        </row>
        <row r="46">
          <cell r="L46">
            <v>6.85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May 2nd-23rd"/>
      <sheetName val="May 4th"/>
      <sheetName val="May 5th"/>
      <sheetName val="May 6th"/>
      <sheetName val="May 7th"/>
      <sheetName val="May 8th -9th"/>
      <sheetName val="May 11th"/>
      <sheetName val="May 12th "/>
      <sheetName val="May 13th"/>
      <sheetName val="May 14th"/>
      <sheetName val="May 15th-16th"/>
      <sheetName val="May 18th"/>
      <sheetName val="May 19th "/>
      <sheetName val="May 20th"/>
      <sheetName val="May 21st"/>
      <sheetName val="May 22nd -23rd"/>
      <sheetName val="May 26th"/>
      <sheetName val="May 27th"/>
      <sheetName val="May 28th"/>
      <sheetName val="May 29th 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5">
          <cell r="L35">
            <v>97.796542845425648</v>
          </cell>
        </row>
        <row r="40">
          <cell r="L40">
            <v>5.5909090909090908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une 2nd"/>
      <sheetName val="June 3rd"/>
      <sheetName val="June 4th"/>
      <sheetName val="June 5th"/>
      <sheetName val="June 8th"/>
      <sheetName val="June 9th"/>
      <sheetName val="June 12th "/>
      <sheetName val="June 15th "/>
      <sheetName val="June 16th"/>
      <sheetName val="June 17th "/>
      <sheetName val="June 18th "/>
      <sheetName val="June 21st"/>
      <sheetName val="June 22nd"/>
      <sheetName val="June 23rd"/>
      <sheetName val="June 24th"/>
      <sheetName val="June 25th "/>
      <sheetName val="June 26th "/>
      <sheetName val="June 27th-28th"/>
      <sheetName val="June 29th"/>
      <sheetName val="June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L32"/>
        </row>
        <row r="39">
          <cell r="L39">
            <v>6.4318181818181817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uly 1st"/>
      <sheetName val="July 2nd"/>
      <sheetName val="July 3rd"/>
      <sheetName val="July 6th"/>
      <sheetName val="July 7th"/>
      <sheetName val="July 8th"/>
      <sheetName val="July 9th"/>
      <sheetName val="July 10th-12th"/>
      <sheetName val="July 13th"/>
      <sheetName val="July 14th "/>
      <sheetName val="July 15th "/>
      <sheetName val="July 16th"/>
      <sheetName val="July 17th-19th"/>
      <sheetName val="July20th "/>
      <sheetName val="July21st"/>
      <sheetName val="July22nd"/>
      <sheetName val="July23rd"/>
      <sheetName val="July24th"/>
      <sheetName val="July27th"/>
      <sheetName val="July28th "/>
      <sheetName val="July29th"/>
      <sheetName val="July30th"/>
      <sheetName val="July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36">
          <cell r="L36">
            <v>97.851192921999655</v>
          </cell>
        </row>
        <row r="41">
          <cell r="L41">
            <v>6.3076923076923075</v>
          </cell>
        </row>
      </sheetData>
      <sheetData sheetId="24"/>
      <sheetData sheetId="25"/>
      <sheetData sheetId="26"/>
      <sheetData sheetId="2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Aug 2nd"/>
      <sheetName val="Aug 3rd "/>
      <sheetName val="Aug 4th"/>
      <sheetName val="Aug 5th"/>
      <sheetName val="Aug 6th"/>
      <sheetName val="Aug 7th"/>
      <sheetName val="Aug 12th"/>
      <sheetName val="Aug 13th "/>
      <sheetName val="Aug 14th&amp;15th"/>
      <sheetName val="Aug 17th "/>
      <sheetName val="Aug 18th"/>
      <sheetName val="Aug 19th "/>
      <sheetName val="Aug 20th "/>
      <sheetName val="Aug 21st-22nd"/>
      <sheetName val="Aug 24th"/>
      <sheetName val="Aug 25th "/>
      <sheetName val="Aug 26th"/>
      <sheetName val="Aug 27th "/>
      <sheetName val="Aug 28th "/>
      <sheetName val="Aug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L32">
            <v>98.65439164340431</v>
          </cell>
        </row>
        <row r="37">
          <cell r="L37">
            <v>7.2727272727272725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Sept 1st"/>
      <sheetName val="Sept 2nd"/>
      <sheetName val="Sept 3rd"/>
      <sheetName val="Sept 4th"/>
      <sheetName val="Sept 7th"/>
      <sheetName val="Sept 8th"/>
      <sheetName val="Sept 9th"/>
      <sheetName val="Sept 10th"/>
      <sheetName val="Sept 11th "/>
      <sheetName val="Sept 14th"/>
      <sheetName val="Sept 15th"/>
      <sheetName val="Sept 16th"/>
      <sheetName val="Sept 17th "/>
      <sheetName val="Sept 18th"/>
      <sheetName val="Sept 21st"/>
      <sheetName val="Sept 22nd"/>
      <sheetName val="Sept 23rd "/>
      <sheetName val="Sept 24th"/>
      <sheetName val="Sept 25th "/>
      <sheetName val="Sept 28th"/>
      <sheetName val="Sept 29th"/>
      <sheetName val="Sept 30th"/>
      <sheetName val="MTD_Links"/>
      <sheetName val="YTD_Links"/>
      <sheetName val="KPIs"/>
      <sheetName val="Brewer Perform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37">
          <cell r="L37">
            <v>7.0952380952380949</v>
          </cell>
        </row>
      </sheetData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6"/>
      <sheetName val="February_2026"/>
      <sheetName val="March_2026"/>
      <sheetName val="April_2026"/>
      <sheetName val="May_2026"/>
      <sheetName val="June_2026"/>
      <sheetName val="July_2026"/>
      <sheetName val="August_2026"/>
      <sheetName val="September_2026"/>
      <sheetName val="October_2026"/>
      <sheetName val="November_2025"/>
      <sheetName val="December_2025"/>
    </sheetNames>
    <sheetDataSet>
      <sheetData sheetId="0">
        <row r="7">
          <cell r="E7">
            <v>204.5</v>
          </cell>
        </row>
      </sheetData>
      <sheetData sheetId="1">
        <row r="7">
          <cell r="D7">
            <v>382</v>
          </cell>
        </row>
      </sheetData>
      <sheetData sheetId="2">
        <row r="7">
          <cell r="G7">
            <v>286.8</v>
          </cell>
        </row>
      </sheetData>
      <sheetData sheetId="3">
        <row r="7">
          <cell r="E7">
            <v>372.4</v>
          </cell>
        </row>
      </sheetData>
      <sheetData sheetId="4">
        <row r="7">
          <cell r="G7">
            <v>386.3</v>
          </cell>
        </row>
      </sheetData>
      <sheetData sheetId="5">
        <row r="7">
          <cell r="Y7">
            <v>379.8</v>
          </cell>
        </row>
      </sheetData>
      <sheetData sheetId="6">
        <row r="7">
          <cell r="D7">
            <v>378.6</v>
          </cell>
        </row>
      </sheetData>
      <sheetData sheetId="7">
        <row r="3">
          <cell r="G3">
            <v>993.69999999999982</v>
          </cell>
        </row>
      </sheetData>
      <sheetData sheetId="8">
        <row r="3">
          <cell r="T3">
            <v>389.1</v>
          </cell>
        </row>
        <row r="13">
          <cell r="Y13">
            <v>190.70000000000002</v>
          </cell>
        </row>
        <row r="17">
          <cell r="Y17">
            <v>184.3</v>
          </cell>
        </row>
      </sheetData>
      <sheetData sheetId="9">
        <row r="3">
          <cell r="E3">
            <v>178.8</v>
          </cell>
          <cell r="G3">
            <v>198.2</v>
          </cell>
          <cell r="H3">
            <v>324.89999999999998</v>
          </cell>
          <cell r="I3">
            <v>399.7</v>
          </cell>
          <cell r="J3">
            <v>102.69999999999999</v>
          </cell>
          <cell r="K3">
            <v>302.39999999999998</v>
          </cell>
          <cell r="O3">
            <v>405.7</v>
          </cell>
          <cell r="P3">
            <v>403.29999999999995</v>
          </cell>
          <cell r="Q3">
            <v>399.1</v>
          </cell>
          <cell r="R3">
            <v>402.4</v>
          </cell>
          <cell r="AN3">
            <v>6.3592167646860949</v>
          </cell>
          <cell r="AQ3">
            <v>6.5119919624520195</v>
          </cell>
        </row>
        <row r="4">
          <cell r="AN4">
            <v>5.6760230336831157</v>
          </cell>
          <cell r="AQ4">
            <v>5.9217471497494181</v>
          </cell>
        </row>
        <row r="5">
          <cell r="AN5" t="e">
            <v>#DIV/0!</v>
          </cell>
          <cell r="AQ5">
            <v>11.797659278069149</v>
          </cell>
        </row>
        <row r="6">
          <cell r="AN6">
            <v>4.0562064167659644</v>
          </cell>
          <cell r="AQ6">
            <v>4.7835858167498584</v>
          </cell>
        </row>
        <row r="7">
          <cell r="E7">
            <v>172.9</v>
          </cell>
          <cell r="G7">
            <v>189.1</v>
          </cell>
          <cell r="H7">
            <v>302.39999999999998</v>
          </cell>
          <cell r="I7">
            <v>379.9</v>
          </cell>
          <cell r="J7">
            <v>96.8</v>
          </cell>
          <cell r="K7">
            <v>292.2</v>
          </cell>
          <cell r="O7">
            <v>382.3</v>
          </cell>
          <cell r="P7">
            <v>381.9</v>
          </cell>
          <cell r="Q7">
            <v>384.7</v>
          </cell>
          <cell r="R7">
            <v>374.8</v>
          </cell>
          <cell r="AN7" t="e">
            <v>#DIV/0!</v>
          </cell>
          <cell r="AQ7" t="e">
            <v>#DIV/0!</v>
          </cell>
        </row>
        <row r="8">
          <cell r="AN8" t="e">
            <v>#DIV/0!</v>
          </cell>
          <cell r="AQ8">
            <v>7.9667553186446929</v>
          </cell>
        </row>
        <row r="9">
          <cell r="AN9">
            <v>4.0067212349015007</v>
          </cell>
          <cell r="AQ9">
            <v>5.0257518320273871</v>
          </cell>
        </row>
        <row r="10">
          <cell r="AN10" t="e">
            <v>#DIV/0!</v>
          </cell>
          <cell r="AQ10" t="e">
            <v>#DIV/0!</v>
          </cell>
        </row>
        <row r="11">
          <cell r="E11">
            <v>4.7276713042744225</v>
          </cell>
          <cell r="G11">
            <v>4.4356796815713411</v>
          </cell>
          <cell r="H11">
            <v>7.9854576271950357</v>
          </cell>
          <cell r="I11">
            <v>5.5779930185734461</v>
          </cell>
          <cell r="J11">
            <v>6.1252557068905515</v>
          </cell>
          <cell r="O11">
            <v>6.8300073390577118</v>
          </cell>
          <cell r="P11">
            <v>5.6924136073155003</v>
          </cell>
          <cell r="Q11">
            <v>6.0063111503290374</v>
          </cell>
          <cell r="R11">
            <v>10.000958106780985</v>
          </cell>
          <cell r="AN11" t="e">
            <v>#DIV/0!</v>
          </cell>
          <cell r="AQ11" t="e">
            <v>#DIV/0!</v>
          </cell>
        </row>
        <row r="12">
          <cell r="AN12">
            <v>5.713113691210312</v>
          </cell>
          <cell r="AQ12">
            <v>6.5941177554311183</v>
          </cell>
        </row>
        <row r="13">
          <cell r="K13">
            <v>292</v>
          </cell>
          <cell r="L13">
            <v>101.1</v>
          </cell>
        </row>
        <row r="17">
          <cell r="K17">
            <v>278</v>
          </cell>
          <cell r="L17">
            <v>95.2</v>
          </cell>
        </row>
        <row r="21">
          <cell r="L21">
            <v>6.6677789297645509</v>
          </cell>
        </row>
        <row r="55">
          <cell r="R55">
            <v>413.59999999999997</v>
          </cell>
        </row>
        <row r="59">
          <cell r="R59">
            <v>410.1</v>
          </cell>
        </row>
        <row r="63">
          <cell r="R63">
            <v>4.0067212349015007</v>
          </cell>
        </row>
        <row r="65">
          <cell r="D65">
            <v>383.05</v>
          </cell>
        </row>
        <row r="70">
          <cell r="D70">
            <v>389</v>
          </cell>
        </row>
        <row r="74">
          <cell r="D74">
            <v>4.0562064167659644</v>
          </cell>
        </row>
      </sheetData>
      <sheetData sheetId="10" refreshError="1"/>
      <sheetData sheetId="1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6"/>
      <sheetName val="February_2026"/>
      <sheetName val="March_2026"/>
      <sheetName val="April_2026"/>
      <sheetName val="May_2026"/>
      <sheetName val="June_2026"/>
      <sheetName val="July_2026"/>
      <sheetName val="August_2026"/>
      <sheetName val="August_2018 (2)"/>
      <sheetName val="September_2026"/>
      <sheetName val="October_2026"/>
      <sheetName val="November_2025"/>
      <sheetName val="December_202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25">
          <cell r="Y25">
            <v>0.64666666666666672</v>
          </cell>
        </row>
      </sheetData>
      <sheetData sheetId="10">
        <row r="13">
          <cell r="AN13">
            <v>0.84962573099415206</v>
          </cell>
          <cell r="AQ13">
            <v>0.56616961200619287</v>
          </cell>
        </row>
        <row r="14">
          <cell r="AN14">
            <v>0.65473684210526317</v>
          </cell>
          <cell r="AQ14">
            <v>0.68123957181115813</v>
          </cell>
        </row>
        <row r="15">
          <cell r="AN15" t="e">
            <v>#DIV/0!</v>
          </cell>
          <cell r="AQ15">
            <v>0.35370190356844494</v>
          </cell>
        </row>
        <row r="16">
          <cell r="AN16">
            <v>1.3649122807017544</v>
          </cell>
          <cell r="AQ16">
            <v>0.83244019138755987</v>
          </cell>
        </row>
        <row r="17">
          <cell r="AN17" t="e">
            <v>#DIV/0!</v>
          </cell>
          <cell r="AQ17" t="e">
            <v>#DIV/0!</v>
          </cell>
        </row>
        <row r="18">
          <cell r="E18">
            <v>0.60666666666666669</v>
          </cell>
          <cell r="G18">
            <v>0.33175438596491225</v>
          </cell>
          <cell r="H18">
            <v>1.0610526315789472</v>
          </cell>
          <cell r="I18">
            <v>1.3329824561403507</v>
          </cell>
          <cell r="J18">
            <v>0.33964912280701753</v>
          </cell>
          <cell r="K18">
            <v>1.0252631578947369</v>
          </cell>
          <cell r="O18">
            <v>0.67070175438596491</v>
          </cell>
          <cell r="P18">
            <v>1.3399999999999999</v>
          </cell>
          <cell r="Q18">
            <v>1.3498245614035087</v>
          </cell>
          <cell r="R18">
            <v>0.43836257309941523</v>
          </cell>
          <cell r="AN18" t="e">
            <v>#DIV/0!</v>
          </cell>
          <cell r="AQ18">
            <v>0.5883625730994152</v>
          </cell>
        </row>
        <row r="19">
          <cell r="AN19">
            <v>0.71947368421052638</v>
          </cell>
          <cell r="AQ19">
            <v>0.87835004177109433</v>
          </cell>
        </row>
        <row r="20">
          <cell r="AN20" t="e">
            <v>#DIV/0!</v>
          </cell>
          <cell r="AQ20" t="e">
            <v>#DIV/0!</v>
          </cell>
        </row>
        <row r="21">
          <cell r="AN21">
            <v>0</v>
          </cell>
          <cell r="AQ21" t="e">
            <v>#DIV/0!</v>
          </cell>
        </row>
        <row r="22">
          <cell r="AN22">
            <v>0.84929406850459488</v>
          </cell>
          <cell r="AQ22">
            <v>0.61301750438848246</v>
          </cell>
        </row>
        <row r="25">
          <cell r="K25">
            <v>0.9754385964912281</v>
          </cell>
          <cell r="L25">
            <v>0.33403508771929824</v>
          </cell>
        </row>
        <row r="53">
          <cell r="R53">
            <v>0.71947368421052638</v>
          </cell>
        </row>
        <row r="60">
          <cell r="D60">
            <v>1.3649122807017544</v>
          </cell>
        </row>
      </sheetData>
      <sheetData sheetId="11" refreshError="1"/>
      <sheetData sheetId="1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anuary_2019"/>
      <sheetName val="February_2019"/>
      <sheetName val="March_2019"/>
      <sheetName val="April_2019"/>
      <sheetName val="May_2019"/>
      <sheetName val="June_2019"/>
      <sheetName val="July_2019"/>
      <sheetName val="August_2019"/>
      <sheetName val="August_2018 (2)"/>
      <sheetName val="September_2019"/>
      <sheetName val="October_2019"/>
      <sheetName val="November_2019"/>
      <sheetName val="December_2019"/>
    </sheetNames>
    <sheetDataSet>
      <sheetData sheetId="0">
        <row r="7">
          <cell r="D7">
            <v>0</v>
          </cell>
          <cell r="L7">
            <v>285.8</v>
          </cell>
          <cell r="M7">
            <v>508.1</v>
          </cell>
          <cell r="N7">
            <v>0</v>
          </cell>
          <cell r="O7">
            <v>0</v>
          </cell>
          <cell r="P7">
            <v>109.56666666666666</v>
          </cell>
          <cell r="Q7">
            <v>297.64999999999998</v>
          </cell>
          <cell r="R7">
            <v>122.3</v>
          </cell>
          <cell r="S7">
            <v>0</v>
          </cell>
          <cell r="T7">
            <v>294.7</v>
          </cell>
          <cell r="U7">
            <v>280.5</v>
          </cell>
          <cell r="V7">
            <v>0</v>
          </cell>
          <cell r="W7">
            <v>0</v>
          </cell>
          <cell r="X7">
            <v>188.25</v>
          </cell>
          <cell r="Y7">
            <v>295.7</v>
          </cell>
          <cell r="Z7">
            <v>257.8</v>
          </cell>
          <cell r="AA7">
            <v>291.2</v>
          </cell>
          <cell r="AB7">
            <v>187</v>
          </cell>
          <cell r="AC7">
            <v>0</v>
          </cell>
          <cell r="AD7">
            <v>0</v>
          </cell>
          <cell r="AE7">
            <v>485.1</v>
          </cell>
          <cell r="AF7">
            <v>171.55</v>
          </cell>
          <cell r="AG7">
            <v>423.8</v>
          </cell>
          <cell r="AH7">
            <v>0</v>
          </cell>
        </row>
        <row r="8">
          <cell r="D8" t="e">
            <v>#DIV/0!</v>
          </cell>
          <cell r="E8">
            <v>1.0319298245614037</v>
          </cell>
          <cell r="F8">
            <v>1.7789473684210526</v>
          </cell>
          <cell r="G8">
            <v>0.51929824561403504</v>
          </cell>
          <cell r="H8" t="e">
            <v>#DIV/0!</v>
          </cell>
          <cell r="I8" t="e">
            <v>#DIV/0!</v>
          </cell>
          <cell r="J8">
            <v>1.365263157894737</v>
          </cell>
          <cell r="K8" t="e">
            <v>#DIV/0!</v>
          </cell>
          <cell r="L8">
            <v>1.0028070175438597</v>
          </cell>
          <cell r="M8">
            <v>1.7828070175438597</v>
          </cell>
          <cell r="N8" t="e">
            <v>#DIV/0!</v>
          </cell>
          <cell r="O8" t="e">
            <v>#DIV/0!</v>
          </cell>
          <cell r="P8">
            <v>0.19222222222222221</v>
          </cell>
          <cell r="Q8">
            <v>0.52219298245614032</v>
          </cell>
          <cell r="R8">
            <v>0.42912280701754385</v>
          </cell>
          <cell r="S8" t="e">
            <v>#DIV/0!</v>
          </cell>
          <cell r="T8">
            <v>1.0340350877192983</v>
          </cell>
          <cell r="U8">
            <v>0.98421052631578942</v>
          </cell>
          <cell r="V8" t="e">
            <v>#DIV/0!</v>
          </cell>
          <cell r="W8" t="e">
            <v>#DIV/0!</v>
          </cell>
          <cell r="X8">
            <v>0.66052631578947374</v>
          </cell>
          <cell r="Y8">
            <v>1.0375438596491227</v>
          </cell>
          <cell r="Z8">
            <v>0.90456140350877201</v>
          </cell>
          <cell r="AA8">
            <v>1.0217543859649123</v>
          </cell>
          <cell r="AB8">
            <v>0.65614035087719302</v>
          </cell>
          <cell r="AC8" t="e">
            <v>#DIV/0!</v>
          </cell>
          <cell r="AD8" t="e">
            <v>#DIV/0!</v>
          </cell>
          <cell r="AE8">
            <v>1.7021052631578948</v>
          </cell>
          <cell r="AF8">
            <v>0.60192982456140354</v>
          </cell>
          <cell r="AG8">
            <v>1.4870175438596491</v>
          </cell>
          <cell r="AH8" t="e">
            <v>#DIV/0!</v>
          </cell>
        </row>
      </sheetData>
      <sheetData sheetId="1">
        <row r="13">
          <cell r="AN13">
            <v>0.94034030952171987</v>
          </cell>
        </row>
      </sheetData>
      <sheetData sheetId="2">
        <row r="13">
          <cell r="AQ13">
            <v>0.93551267438402086</v>
          </cell>
        </row>
      </sheetData>
      <sheetData sheetId="3">
        <row r="18">
          <cell r="G18">
            <v>1.0103508771929826</v>
          </cell>
        </row>
      </sheetData>
      <sheetData sheetId="4">
        <row r="13">
          <cell r="AN13">
            <v>0.87062818515015106</v>
          </cell>
        </row>
      </sheetData>
      <sheetData sheetId="5">
        <row r="13">
          <cell r="AN13">
            <v>0.94807447713221704</v>
          </cell>
        </row>
      </sheetData>
      <sheetData sheetId="6">
        <row r="13">
          <cell r="AN13">
            <v>1.0800362929336174</v>
          </cell>
        </row>
      </sheetData>
      <sheetData sheetId="7">
        <row r="13">
          <cell r="AN13">
            <v>1.1456090225563909</v>
          </cell>
        </row>
      </sheetData>
      <sheetData sheetId="8"/>
      <sheetData sheetId="9">
        <row r="13">
          <cell r="AM13">
            <v>1.1586666666666667</v>
          </cell>
        </row>
      </sheetData>
      <sheetData sheetId="10">
        <row r="13">
          <cell r="AN13">
            <v>0.7340526315789474</v>
          </cell>
        </row>
      </sheetData>
      <sheetData sheetId="11">
        <row r="13">
          <cell r="AN13">
            <v>0.98266798418972334</v>
          </cell>
        </row>
      </sheetData>
      <sheetData sheetId="12">
        <row r="13">
          <cell r="AN13">
            <v>0.83754385964912292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21"/>
      <sheetName val="Brew Times"/>
      <sheetName val="BrewMaterials"/>
      <sheetName val="Brewhouse"/>
      <sheetName val="Process"/>
      <sheetName val="Packaging"/>
      <sheetName val="Summary December '23 "/>
      <sheetName val="Summary November '23"/>
      <sheetName val="Summary October '23"/>
      <sheetName val="Summary September '23"/>
      <sheetName val="Summary August '23"/>
      <sheetName val="Summary July '23 "/>
      <sheetName val="Summary June '23"/>
      <sheetName val="Summary May '23 "/>
      <sheetName val="Summary April '23 "/>
      <sheetName val="Summary March '23 "/>
      <sheetName val="Summary February '23"/>
      <sheetName val="Summary January '23"/>
      <sheetName val="Summary December '22  "/>
      <sheetName val="Summary November '22   "/>
      <sheetName val="Summary October '22  "/>
      <sheetName val="Summary September '22  "/>
      <sheetName val="Summary August '22 "/>
      <sheetName val="Summary July '22 "/>
      <sheetName val="Summary June '22"/>
      <sheetName val="Summary May '22"/>
      <sheetName val="Summary April '22"/>
      <sheetName val="Summary March '22"/>
      <sheetName val="Summary February '22"/>
      <sheetName val="Summary January '22"/>
      <sheetName val="Summary December '21  "/>
    </sheetNames>
    <sheetDataSet>
      <sheetData sheetId="0"/>
      <sheetData sheetId="1"/>
      <sheetData sheetId="2"/>
      <sheetData sheetId="3"/>
      <sheetData sheetId="4"/>
      <sheetData sheetId="5">
        <row r="39">
          <cell r="AI39">
            <v>53</v>
          </cell>
        </row>
        <row r="849">
          <cell r="AU849">
            <v>95.663863833483461</v>
          </cell>
        </row>
        <row r="850">
          <cell r="AU850">
            <v>98.161203140703776</v>
          </cell>
        </row>
        <row r="851">
          <cell r="AU851">
            <v>99.759332436323248</v>
          </cell>
        </row>
        <row r="852">
          <cell r="AU852">
            <v>98.333283107625732</v>
          </cell>
        </row>
        <row r="853">
          <cell r="AU853">
            <v>98.502602722865149</v>
          </cell>
        </row>
        <row r="854">
          <cell r="AU854">
            <v>98.818687834716542</v>
          </cell>
        </row>
        <row r="855">
          <cell r="AU855">
            <v>97.298297014350211</v>
          </cell>
        </row>
        <row r="856">
          <cell r="AU856">
            <v>99.281443283645203</v>
          </cell>
        </row>
        <row r="857">
          <cell r="AU857">
            <v>96.092752278453332</v>
          </cell>
        </row>
        <row r="858">
          <cell r="AU858">
            <v>98.055003537976447</v>
          </cell>
        </row>
        <row r="859">
          <cell r="AU859">
            <v>100.91885920195962</v>
          </cell>
        </row>
        <row r="860">
          <cell r="AU860">
            <v>99.63105429686064</v>
          </cell>
        </row>
        <row r="861">
          <cell r="AU861">
            <v>96.873994166896026</v>
          </cell>
        </row>
        <row r="862">
          <cell r="AU862">
            <v>98.919847621112098</v>
          </cell>
        </row>
        <row r="863">
          <cell r="AU863">
            <v>98.631788415892132</v>
          </cell>
        </row>
        <row r="864">
          <cell r="AU864">
            <v>98.525744642541923</v>
          </cell>
        </row>
        <row r="865">
          <cell r="AU865">
            <v>97.946144197753199</v>
          </cell>
        </row>
        <row r="866">
          <cell r="AU866">
            <v>99.535261451801944</v>
          </cell>
        </row>
        <row r="867">
          <cell r="AU867">
            <v>99.041877420655766</v>
          </cell>
        </row>
        <row r="868">
          <cell r="AU868">
            <v>98.619710487506779</v>
          </cell>
        </row>
        <row r="869">
          <cell r="AU869">
            <v>94.871478991746045</v>
          </cell>
        </row>
        <row r="870">
          <cell r="AU870">
            <v>99.145590755635325</v>
          </cell>
        </row>
        <row r="871">
          <cell r="AU871">
            <v>97.414766781431112</v>
          </cell>
        </row>
        <row r="872">
          <cell r="AU872">
            <v>98.168689841970789</v>
          </cell>
        </row>
        <row r="873">
          <cell r="AU873">
            <v>94.708468285483022</v>
          </cell>
        </row>
        <row r="874">
          <cell r="AU874">
            <v>98.19572334957715</v>
          </cell>
        </row>
        <row r="875">
          <cell r="AU875">
            <v>98.090148410725448</v>
          </cell>
        </row>
        <row r="876">
          <cell r="AU876">
            <v>95.118761951292143</v>
          </cell>
        </row>
        <row r="877">
          <cell r="AU877">
            <v>100.60583188656503</v>
          </cell>
        </row>
        <row r="878">
          <cell r="AU878">
            <v>97.290406760145842</v>
          </cell>
        </row>
        <row r="879">
          <cell r="AU879">
            <v>104.72566854096057</v>
          </cell>
        </row>
        <row r="880">
          <cell r="AU880">
            <v>103.17490716902564</v>
          </cell>
        </row>
        <row r="881">
          <cell r="AU881">
            <v>97.832871362942271</v>
          </cell>
        </row>
        <row r="882">
          <cell r="AU882">
            <v>98.196537042622353</v>
          </cell>
        </row>
        <row r="883">
          <cell r="AU883">
            <v>92.067139526743475</v>
          </cell>
        </row>
        <row r="884">
          <cell r="AU884">
            <v>98.407062059761429</v>
          </cell>
        </row>
        <row r="885">
          <cell r="AU885">
            <v>99.192747185987045</v>
          </cell>
        </row>
        <row r="886">
          <cell r="AU886">
            <v>97.51961651056078</v>
          </cell>
        </row>
        <row r="887">
          <cell r="AU887">
            <v>95.491313123678665</v>
          </cell>
        </row>
        <row r="888">
          <cell r="AU888">
            <v>100.23142048831002</v>
          </cell>
        </row>
        <row r="889">
          <cell r="AU889">
            <v>98.187310276793937</v>
          </cell>
        </row>
        <row r="890">
          <cell r="AU890">
            <v>101.25839273474642</v>
          </cell>
        </row>
        <row r="891">
          <cell r="AU891">
            <v>95.290840272543946</v>
          </cell>
        </row>
        <row r="892">
          <cell r="AU892">
            <v>102.08768838931368</v>
          </cell>
        </row>
        <row r="893">
          <cell r="AU893">
            <v>97.360408780157954</v>
          </cell>
        </row>
        <row r="894">
          <cell r="AU894">
            <v>99.045402987088693</v>
          </cell>
        </row>
        <row r="895">
          <cell r="AU895">
            <v>98.034529195153198</v>
          </cell>
        </row>
        <row r="896">
          <cell r="AU896">
            <v>99.66368637303772</v>
          </cell>
        </row>
        <row r="897">
          <cell r="AU897">
            <v>96.39159653002244</v>
          </cell>
        </row>
        <row r="898">
          <cell r="AU898">
            <v>99.215504360195723</v>
          </cell>
        </row>
        <row r="899">
          <cell r="AU899">
            <v>100.22728441960062</v>
          </cell>
        </row>
        <row r="900">
          <cell r="AU900">
            <v>98.989483943049265</v>
          </cell>
        </row>
        <row r="901">
          <cell r="AU901">
            <v>96.280432251303537</v>
          </cell>
        </row>
        <row r="902">
          <cell r="AU902">
            <v>99.202811624094949</v>
          </cell>
        </row>
        <row r="903">
          <cell r="AU903">
            <v>98.506489670004697</v>
          </cell>
        </row>
        <row r="904">
          <cell r="AU904">
            <v>99.769040261812833</v>
          </cell>
        </row>
        <row r="905">
          <cell r="AU905">
            <v>98.326320918982461</v>
          </cell>
        </row>
        <row r="906">
          <cell r="AU906">
            <v>98.719626202658404</v>
          </cell>
        </row>
        <row r="907">
          <cell r="AU907">
            <v>99.117823502588735</v>
          </cell>
        </row>
        <row r="908">
          <cell r="AU908">
            <v>98.631008731909759</v>
          </cell>
        </row>
        <row r="909">
          <cell r="AU909">
            <v>93.901686844433655</v>
          </cell>
        </row>
        <row r="910">
          <cell r="AU910">
            <v>98.42963897912486</v>
          </cell>
        </row>
        <row r="911">
          <cell r="AU911">
            <v>99.240374252811307</v>
          </cell>
        </row>
        <row r="912">
          <cell r="AU912">
            <v>99.893905017469535</v>
          </cell>
        </row>
        <row r="913">
          <cell r="AU913">
            <v>99.245314300729845</v>
          </cell>
        </row>
        <row r="914">
          <cell r="AU914">
            <v>98.818173928722587</v>
          </cell>
        </row>
        <row r="915">
          <cell r="AU915">
            <v>98.331257677886271</v>
          </cell>
        </row>
        <row r="916">
          <cell r="AU916">
            <v>98.612545635425107</v>
          </cell>
        </row>
        <row r="917">
          <cell r="AU917">
            <v>98.631417127445459</v>
          </cell>
        </row>
        <row r="918">
          <cell r="AU918">
            <v>98.07782155982369</v>
          </cell>
        </row>
        <row r="919">
          <cell r="AU919">
            <v>98.33388042408815</v>
          </cell>
        </row>
        <row r="920">
          <cell r="AU920">
            <v>95.468071678126762</v>
          </cell>
        </row>
        <row r="921">
          <cell r="AU921">
            <v>101.41851984313148</v>
          </cell>
        </row>
        <row r="922">
          <cell r="AU922">
            <v>98.594095369450585</v>
          </cell>
        </row>
        <row r="923">
          <cell r="AU923">
            <v>101.0306887695094</v>
          </cell>
        </row>
        <row r="924">
          <cell r="AU924">
            <v>97.117338355034519</v>
          </cell>
        </row>
        <row r="926">
          <cell r="AU926">
            <v>93.014529112498508</v>
          </cell>
        </row>
        <row r="927">
          <cell r="AU927">
            <v>94.905180294691831</v>
          </cell>
        </row>
        <row r="928">
          <cell r="AU928">
            <v>98.612734606795939</v>
          </cell>
        </row>
        <row r="929">
          <cell r="AU929">
            <v>98.193089516568449</v>
          </cell>
        </row>
        <row r="930">
          <cell r="AU930">
            <v>99.166902562351495</v>
          </cell>
        </row>
        <row r="931">
          <cell r="AU931">
            <v>98.545871344503041</v>
          </cell>
        </row>
        <row r="932">
          <cell r="AU932">
            <v>96.633045006550262</v>
          </cell>
        </row>
        <row r="933">
          <cell r="AU933">
            <v>97.21114174432509</v>
          </cell>
        </row>
        <row r="934">
          <cell r="AU934">
            <v>99.369101617770809</v>
          </cell>
        </row>
        <row r="935">
          <cell r="AU935">
            <v>98.036954958046238</v>
          </cell>
        </row>
        <row r="936">
          <cell r="AU936">
            <v>91.207086008373878</v>
          </cell>
        </row>
        <row r="937">
          <cell r="AU937">
            <v>95.860786445249929</v>
          </cell>
        </row>
        <row r="938">
          <cell r="AU938">
            <v>97.986863363409327</v>
          </cell>
        </row>
        <row r="939">
          <cell r="AU939">
            <v>95.87755710705413</v>
          </cell>
        </row>
        <row r="940">
          <cell r="AU940">
            <v>96.069312221268248</v>
          </cell>
        </row>
        <row r="941">
          <cell r="AU941">
            <v>94.699654196675027</v>
          </cell>
        </row>
        <row r="942">
          <cell r="AU942">
            <v>101.67252999852943</v>
          </cell>
        </row>
        <row r="943">
          <cell r="AU943">
            <v>101.17913775574701</v>
          </cell>
        </row>
        <row r="944">
          <cell r="AU944">
            <v>100.86273713130642</v>
          </cell>
        </row>
        <row r="945">
          <cell r="AU945">
            <v>100.10873722587988</v>
          </cell>
        </row>
        <row r="946">
          <cell r="AU946">
            <v>95.50082306179263</v>
          </cell>
        </row>
        <row r="947">
          <cell r="AU947">
            <v>98.277382858959044</v>
          </cell>
        </row>
        <row r="948">
          <cell r="AU948">
            <v>93.3808876329188</v>
          </cell>
        </row>
        <row r="949">
          <cell r="AU949">
            <v>96.175569134464126</v>
          </cell>
        </row>
        <row r="950">
          <cell r="AU950">
            <v>97.078303486097681</v>
          </cell>
        </row>
        <row r="951">
          <cell r="AU951">
            <v>101.56030805211434</v>
          </cell>
        </row>
        <row r="952">
          <cell r="AU952">
            <v>91.935041652671885</v>
          </cell>
        </row>
        <row r="953">
          <cell r="AU953">
            <v>97.123997414216163</v>
          </cell>
        </row>
        <row r="954">
          <cell r="AU954">
            <v>95.617584994183886</v>
          </cell>
        </row>
        <row r="955">
          <cell r="AU955">
            <v>96.610674074757526</v>
          </cell>
        </row>
        <row r="956">
          <cell r="AU956">
            <v>97.487635532948119</v>
          </cell>
        </row>
        <row r="957">
          <cell r="AU957">
            <v>97.412227635198136</v>
          </cell>
        </row>
        <row r="958">
          <cell r="AU958">
            <v>97.20950210143495</v>
          </cell>
        </row>
        <row r="959">
          <cell r="AU959">
            <v>99.297987498145474</v>
          </cell>
        </row>
        <row r="960">
          <cell r="AU960">
            <v>97.024782991571257</v>
          </cell>
        </row>
        <row r="961">
          <cell r="AU961">
            <v>97.243298870014883</v>
          </cell>
        </row>
        <row r="962">
          <cell r="AU962">
            <v>97.023260123118732</v>
          </cell>
        </row>
        <row r="963">
          <cell r="AU963">
            <v>100.22026650558166</v>
          </cell>
        </row>
        <row r="964">
          <cell r="AU964">
            <v>100.00923853982306</v>
          </cell>
        </row>
        <row r="965">
          <cell r="AU965">
            <v>99.906331130627905</v>
          </cell>
        </row>
        <row r="966">
          <cell r="AU966">
            <v>98.850227095727348</v>
          </cell>
        </row>
        <row r="967">
          <cell r="AU967">
            <v>99.441114455440584</v>
          </cell>
        </row>
        <row r="968">
          <cell r="AU968">
            <v>98.304977340690357</v>
          </cell>
        </row>
        <row r="969">
          <cell r="AU969">
            <v>98.86983616014237</v>
          </cell>
        </row>
        <row r="970">
          <cell r="AU970">
            <v>98.488143394733228</v>
          </cell>
        </row>
        <row r="971">
          <cell r="AU971">
            <v>99.471038525077589</v>
          </cell>
        </row>
        <row r="973">
          <cell r="AU973">
            <v>95.888708244918675</v>
          </cell>
        </row>
        <row r="974">
          <cell r="AU974">
            <v>96.395259825577298</v>
          </cell>
        </row>
        <row r="975">
          <cell r="AU975">
            <v>99.192144221194894</v>
          </cell>
        </row>
        <row r="976">
          <cell r="AU976">
            <v>100.49472440540761</v>
          </cell>
        </row>
        <row r="977">
          <cell r="AU977">
            <v>99.145148742060812</v>
          </cell>
        </row>
        <row r="978">
          <cell r="AU978">
            <v>98.313224898090724</v>
          </cell>
        </row>
        <row r="979">
          <cell r="AU979">
            <v>98.891816600796247</v>
          </cell>
        </row>
        <row r="980">
          <cell r="AU980">
            <v>97.007802280437417</v>
          </cell>
        </row>
        <row r="981">
          <cell r="AU981">
            <v>100.03609063865832</v>
          </cell>
        </row>
        <row r="982">
          <cell r="AU982">
            <v>99.262117016695768</v>
          </cell>
        </row>
        <row r="983">
          <cell r="AU983">
            <v>98.760316095676714</v>
          </cell>
        </row>
        <row r="984">
          <cell r="AU984">
            <v>99.083839545652168</v>
          </cell>
        </row>
        <row r="985">
          <cell r="AU985">
            <v>98.648533109164021</v>
          </cell>
        </row>
        <row r="986">
          <cell r="AU986">
            <v>98.395181345142205</v>
          </cell>
        </row>
        <row r="987">
          <cell r="AU987">
            <v>99.66128871437337</v>
          </cell>
        </row>
        <row r="988">
          <cell r="AU988">
            <v>98.814121830608798</v>
          </cell>
        </row>
        <row r="989">
          <cell r="AU989">
            <v>98.703252611359233</v>
          </cell>
        </row>
        <row r="990">
          <cell r="AU990">
            <v>101.08312040923842</v>
          </cell>
        </row>
        <row r="991">
          <cell r="AU991">
            <v>96.089556432038236</v>
          </cell>
        </row>
        <row r="992">
          <cell r="AU992">
            <v>96.950696980249873</v>
          </cell>
        </row>
        <row r="993">
          <cell r="AU993">
            <v>98.421661720388187</v>
          </cell>
        </row>
        <row r="994">
          <cell r="AU994">
            <v>97.938417583872493</v>
          </cell>
        </row>
        <row r="995">
          <cell r="AU995">
            <v>97.650858846700444</v>
          </cell>
        </row>
        <row r="996">
          <cell r="AU996">
            <v>98.704675821172387</v>
          </cell>
        </row>
        <row r="997">
          <cell r="AU997">
            <v>98.77401974110343</v>
          </cell>
        </row>
        <row r="998">
          <cell r="AU998">
            <v>100.39222978751012</v>
          </cell>
        </row>
        <row r="999">
          <cell r="AU999">
            <v>97.59336349013391</v>
          </cell>
        </row>
        <row r="1000">
          <cell r="AU1000">
            <v>101.5239334145885</v>
          </cell>
        </row>
        <row r="1001">
          <cell r="AU1001">
            <v>98.465315588133734</v>
          </cell>
        </row>
        <row r="1002">
          <cell r="AU1002">
            <v>96.186092769917465</v>
          </cell>
        </row>
        <row r="1003">
          <cell r="AU1003">
            <v>94.13399521979872</v>
          </cell>
        </row>
        <row r="1004">
          <cell r="AU1004">
            <v>97.393648773101731</v>
          </cell>
        </row>
        <row r="1005">
          <cell r="AU1005">
            <v>100.84475180839827</v>
          </cell>
        </row>
        <row r="1006">
          <cell r="AU1006">
            <v>96.923784228632613</v>
          </cell>
        </row>
        <row r="1007">
          <cell r="AU1007">
            <v>98.943374580547371</v>
          </cell>
        </row>
        <row r="1008">
          <cell r="AU1008">
            <v>97.616244018038586</v>
          </cell>
        </row>
        <row r="1009">
          <cell r="AU1009">
            <v>97.200120753042128</v>
          </cell>
        </row>
        <row r="1010">
          <cell r="AU1010">
            <v>98.309661023974598</v>
          </cell>
        </row>
        <row r="1011">
          <cell r="AU1011">
            <v>98.11180818418508</v>
          </cell>
        </row>
        <row r="1012">
          <cell r="AU1012">
            <v>95.802126010985702</v>
          </cell>
        </row>
        <row r="1013">
          <cell r="AU1013">
            <v>97.933739877262411</v>
          </cell>
        </row>
        <row r="1014">
          <cell r="AU1014">
            <v>98.390432949172776</v>
          </cell>
        </row>
        <row r="1015">
          <cell r="AU1015">
            <v>97.811665696530596</v>
          </cell>
        </row>
        <row r="1016">
          <cell r="AU1016">
            <v>95.923441158121605</v>
          </cell>
        </row>
        <row r="1017">
          <cell r="AU1017">
            <v>100.63802460760101</v>
          </cell>
        </row>
        <row r="1018">
          <cell r="AU1018">
            <v>97.734702345258398</v>
          </cell>
        </row>
        <row r="1019">
          <cell r="AU1019">
            <v>93.252429030364738</v>
          </cell>
        </row>
        <row r="1020">
          <cell r="AU1020">
            <v>99.384746343388471</v>
          </cell>
        </row>
        <row r="1021">
          <cell r="AU1021">
            <v>98.117256569111035</v>
          </cell>
        </row>
        <row r="1022">
          <cell r="AU1022">
            <v>98.116637806062727</v>
          </cell>
        </row>
        <row r="1023">
          <cell r="AU1023">
            <v>97.657860016366371</v>
          </cell>
        </row>
        <row r="1024">
          <cell r="AU1024">
            <v>97.972529900423893</v>
          </cell>
        </row>
        <row r="1025">
          <cell r="AU1025">
            <v>98.310667164973324</v>
          </cell>
        </row>
        <row r="1026">
          <cell r="AU1026">
            <v>99.134259503986243</v>
          </cell>
        </row>
        <row r="1027">
          <cell r="AU1027">
            <v>97.265959206532798</v>
          </cell>
        </row>
        <row r="1028">
          <cell r="AU1028">
            <v>98.760591325256911</v>
          </cell>
        </row>
        <row r="1029">
          <cell r="AU1029">
            <v>98.74404787856021</v>
          </cell>
        </row>
        <row r="1030">
          <cell r="AU1030">
            <v>98.23571717622653</v>
          </cell>
        </row>
        <row r="1031">
          <cell r="AU1031">
            <v>95.983832685957111</v>
          </cell>
        </row>
        <row r="1032">
          <cell r="AU1032">
            <v>96.780419003256441</v>
          </cell>
        </row>
        <row r="1033">
          <cell r="AU1033">
            <v>98.118278383828581</v>
          </cell>
        </row>
        <row r="1034">
          <cell r="AU1034">
            <v>98.40572115021881</v>
          </cell>
        </row>
        <row r="1035">
          <cell r="AU1035">
            <v>98.528391993821813</v>
          </cell>
        </row>
        <row r="1036">
          <cell r="AU1036">
            <v>97.465240963079651</v>
          </cell>
        </row>
        <row r="1037">
          <cell r="AU1037">
            <v>97.173958918165667</v>
          </cell>
        </row>
        <row r="1038">
          <cell r="AU1038">
            <v>98.211277757924051</v>
          </cell>
        </row>
        <row r="1039">
          <cell r="AU1039">
            <v>94.563206145249396</v>
          </cell>
        </row>
        <row r="1040">
          <cell r="AU1040">
            <v>95.635088600851034</v>
          </cell>
        </row>
        <row r="1041">
          <cell r="AU1041">
            <v>98.498414606864543</v>
          </cell>
        </row>
        <row r="1042">
          <cell r="AU1042">
            <v>91.938484218600379</v>
          </cell>
        </row>
        <row r="1043">
          <cell r="AU1043">
            <v>91.492245116111022</v>
          </cell>
        </row>
        <row r="1044">
          <cell r="AU1044">
            <v>101.15378252437304</v>
          </cell>
        </row>
        <row r="1045">
          <cell r="AU1045">
            <v>101.1444879830546</v>
          </cell>
        </row>
        <row r="1046">
          <cell r="AU1046">
            <v>101.75764547610389</v>
          </cell>
        </row>
        <row r="1047">
          <cell r="AU1047">
            <v>102.02807739161611</v>
          </cell>
        </row>
        <row r="1048">
          <cell r="AU1048">
            <v>102.33822588732673</v>
          </cell>
        </row>
        <row r="1049">
          <cell r="AU1049">
            <v>98.392068701489933</v>
          </cell>
        </row>
        <row r="1050">
          <cell r="AU1050">
            <v>102.06536408817584</v>
          </cell>
        </row>
        <row r="1051">
          <cell r="AU1051">
            <v>101.99297305280595</v>
          </cell>
        </row>
        <row r="1052">
          <cell r="AU1052">
            <v>102.04523247984621</v>
          </cell>
        </row>
        <row r="1053">
          <cell r="AU1053">
            <v>102.06637748595027</v>
          </cell>
        </row>
        <row r="1054">
          <cell r="AU1054">
            <v>100.85142188790077</v>
          </cell>
        </row>
        <row r="1055">
          <cell r="AU1055">
            <v>98.583226688478646</v>
          </cell>
        </row>
        <row r="1056">
          <cell r="AU1056">
            <v>101.06682882622262</v>
          </cell>
        </row>
        <row r="1057">
          <cell r="AU1057">
            <v>102.15521087119062</v>
          </cell>
        </row>
        <row r="1058">
          <cell r="AU1058">
            <v>99.285782200097586</v>
          </cell>
        </row>
        <row r="1059">
          <cell r="AU1059">
            <v>105.62916732880055</v>
          </cell>
        </row>
        <row r="1060">
          <cell r="AU1060">
            <v>101.36255994882586</v>
          </cell>
        </row>
        <row r="1061">
          <cell r="AU1061">
            <v>102.6647233531194</v>
          </cell>
        </row>
        <row r="1062">
          <cell r="AU1062">
            <v>101.83246684789979</v>
          </cell>
        </row>
        <row r="1063">
          <cell r="AU1063">
            <v>101.53192838019653</v>
          </cell>
        </row>
        <row r="1064">
          <cell r="AU1064">
            <v>102.44706710711155</v>
          </cell>
        </row>
        <row r="1065">
          <cell r="AU1065">
            <v>101.93933661160513</v>
          </cell>
        </row>
        <row r="1066">
          <cell r="AU1066">
            <v>105.97819225470263</v>
          </cell>
        </row>
        <row r="1068">
          <cell r="AU1068">
            <v>98.849674543469746</v>
          </cell>
        </row>
        <row r="1069">
          <cell r="AU1069">
            <v>100.1446862302372</v>
          </cell>
        </row>
        <row r="1070">
          <cell r="AU1070">
            <v>101.6362578559</v>
          </cell>
        </row>
        <row r="1071">
          <cell r="AU1071">
            <v>99.778769949625442</v>
          </cell>
        </row>
        <row r="1072">
          <cell r="AU1072">
            <v>103.16967203867529</v>
          </cell>
        </row>
        <row r="1073">
          <cell r="AU1073">
            <v>102.73418524015567</v>
          </cell>
        </row>
        <row r="1074">
          <cell r="AU1074">
            <v>101.54191229732984</v>
          </cell>
        </row>
        <row r="1075">
          <cell r="AU1075">
            <v>102.73418524015567</v>
          </cell>
        </row>
        <row r="1076">
          <cell r="AU1076">
            <v>101.80414267915592</v>
          </cell>
        </row>
        <row r="1077">
          <cell r="AU1077">
            <v>101.43225651769654</v>
          </cell>
        </row>
        <row r="1078">
          <cell r="AU1078">
            <v>97.320280453397089</v>
          </cell>
        </row>
        <row r="1079">
          <cell r="AU1079">
            <v>97.857959507039951</v>
          </cell>
        </row>
        <row r="1080">
          <cell r="AU1080">
            <v>95.535610244737128</v>
          </cell>
        </row>
        <row r="1081">
          <cell r="AU1081">
            <v>100.5392960523547</v>
          </cell>
        </row>
        <row r="1082">
          <cell r="AU1082">
            <v>99.599362260640163</v>
          </cell>
        </row>
        <row r="1083">
          <cell r="AU1083">
            <v>99.529676899631809</v>
          </cell>
        </row>
        <row r="1084">
          <cell r="AU1084">
            <v>98.65805869904662</v>
          </cell>
        </row>
        <row r="1085">
          <cell r="AU1085">
            <v>97.900683336699984</v>
          </cell>
        </row>
        <row r="1086">
          <cell r="AU1086">
            <v>96.022081664943912</v>
          </cell>
        </row>
        <row r="1087">
          <cell r="AU1087">
            <v>97.304624413158848</v>
          </cell>
        </row>
        <row r="1088">
          <cell r="AU1088">
            <v>95.35734626639821</v>
          </cell>
        </row>
        <row r="1089">
          <cell r="AU1089">
            <v>97.495031010465411</v>
          </cell>
        </row>
        <row r="1090">
          <cell r="AU1090">
            <v>99.297715486103399</v>
          </cell>
        </row>
        <row r="1091">
          <cell r="AU1091">
            <v>105.06246935933015</v>
          </cell>
        </row>
        <row r="1092">
          <cell r="AU1092">
            <v>97.34355913227499</v>
          </cell>
        </row>
        <row r="1093">
          <cell r="AU1093">
            <v>97.997395733282133</v>
          </cell>
        </row>
        <row r="1094">
          <cell r="AU1094">
            <v>96.614488908385596</v>
          </cell>
        </row>
        <row r="1095">
          <cell r="AU1095">
            <v>99.082583941163421</v>
          </cell>
        </row>
        <row r="1096">
          <cell r="AU1096">
            <v>98.29841509955078</v>
          </cell>
        </row>
        <row r="1097">
          <cell r="AU1097">
            <v>96.453761885803175</v>
          </cell>
        </row>
        <row r="1098">
          <cell r="AU1098">
            <v>98.75856341553218</v>
          </cell>
        </row>
        <row r="1099">
          <cell r="AU1099">
            <v>97.435426934039398</v>
          </cell>
        </row>
        <row r="1100">
          <cell r="AU1100">
            <v>97.927954392332211</v>
          </cell>
        </row>
        <row r="1101">
          <cell r="AU1101">
            <v>96.858355595507177</v>
          </cell>
        </row>
        <row r="1102">
          <cell r="AU1102">
            <v>98.313322709326911</v>
          </cell>
        </row>
        <row r="1103">
          <cell r="AU1103">
            <v>96.213262583906172</v>
          </cell>
        </row>
        <row r="1104">
          <cell r="AU1104">
            <v>99.205057766702964</v>
          </cell>
        </row>
        <row r="1105">
          <cell r="AU1105">
            <v>98.616510565062583</v>
          </cell>
        </row>
        <row r="1106">
          <cell r="AU1106">
            <v>99.62335715244869</v>
          </cell>
        </row>
        <row r="1107">
          <cell r="AU1107">
            <v>98.353854199762637</v>
          </cell>
        </row>
        <row r="1108">
          <cell r="AU1108">
            <v>97.851876301229794</v>
          </cell>
        </row>
        <row r="1109">
          <cell r="AU1109">
            <v>96.784826520048185</v>
          </cell>
        </row>
        <row r="1110">
          <cell r="AU1110">
            <v>99.306008905273842</v>
          </cell>
        </row>
        <row r="1111">
          <cell r="AU1111">
            <v>103.8755853825819</v>
          </cell>
        </row>
        <row r="1113">
          <cell r="AU1113">
            <v>94.594411695767121</v>
          </cell>
        </row>
        <row r="1114">
          <cell r="AU1114">
            <v>95.442259414411609</v>
          </cell>
        </row>
        <row r="1115">
          <cell r="AU1115">
            <v>97.799087255527326</v>
          </cell>
        </row>
        <row r="1116">
          <cell r="AU1116">
            <v>99.719532753381543</v>
          </cell>
        </row>
        <row r="1117">
          <cell r="AU1117">
            <v>97.267166338056526</v>
          </cell>
        </row>
        <row r="1118">
          <cell r="AU1118">
            <v>100.44764077118069</v>
          </cell>
        </row>
        <row r="1119">
          <cell r="AU1119">
            <v>93.827567421687206</v>
          </cell>
        </row>
        <row r="1120">
          <cell r="AU1120">
            <v>96.394036031473647</v>
          </cell>
        </row>
        <row r="1121">
          <cell r="AU1121">
            <v>97.578305165931454</v>
          </cell>
        </row>
        <row r="1122">
          <cell r="AU1122">
            <v>96.932364975155807</v>
          </cell>
        </row>
        <row r="1123">
          <cell r="AU1123">
            <v>97.997104085958256</v>
          </cell>
        </row>
        <row r="1124">
          <cell r="AU1124">
            <v>97.759544843715418</v>
          </cell>
        </row>
        <row r="1125">
          <cell r="AU1125">
            <v>94.633810861424649</v>
          </cell>
        </row>
        <row r="1126">
          <cell r="AU1126">
            <v>96.862779824852581</v>
          </cell>
        </row>
        <row r="1127">
          <cell r="AU1127">
            <v>97.346818027874249</v>
          </cell>
        </row>
        <row r="1128">
          <cell r="AU1128">
            <v>97.629135536293958</v>
          </cell>
        </row>
        <row r="1129">
          <cell r="AU1129">
            <v>96.246567851915756</v>
          </cell>
        </row>
        <row r="1130">
          <cell r="AU1130">
            <v>99.254098267973902</v>
          </cell>
        </row>
        <row r="1131">
          <cell r="AU1131">
            <v>99.144169147157214</v>
          </cell>
        </row>
        <row r="1132">
          <cell r="AU1132">
            <v>99.23496199785825</v>
          </cell>
        </row>
        <row r="1134">
          <cell r="AU1134">
            <v>99.19314463412546</v>
          </cell>
        </row>
        <row r="1135">
          <cell r="AU1135">
            <v>102.92280154888711</v>
          </cell>
        </row>
        <row r="1136">
          <cell r="AU1136">
            <v>99.829359344619434</v>
          </cell>
        </row>
        <row r="1137">
          <cell r="AU1137">
            <v>99.761609789296614</v>
          </cell>
        </row>
        <row r="1138">
          <cell r="AU1138">
            <v>99.596399217459179</v>
          </cell>
        </row>
        <row r="1139">
          <cell r="AU1139">
            <v>100.37908211897162</v>
          </cell>
        </row>
        <row r="1140">
          <cell r="AU1140">
            <v>97.418312766765041</v>
          </cell>
        </row>
        <row r="1141">
          <cell r="AU1141">
            <v>97.968907607982743</v>
          </cell>
        </row>
        <row r="1142">
          <cell r="AU1142">
            <v>100.17029027008138</v>
          </cell>
        </row>
        <row r="1143">
          <cell r="AU1143">
            <v>99.993228708722555</v>
          </cell>
        </row>
        <row r="1144">
          <cell r="AU1144">
            <v>97.765751264487974</v>
          </cell>
        </row>
        <row r="1145">
          <cell r="AU1145">
            <v>100.62180093955595</v>
          </cell>
        </row>
        <row r="1146">
          <cell r="AU1146">
            <v>99.629475486503139</v>
          </cell>
        </row>
        <row r="1147">
          <cell r="AU1147">
            <v>102.31969069772103</v>
          </cell>
        </row>
        <row r="1148">
          <cell r="AU1148">
            <v>99.701418936924441</v>
          </cell>
        </row>
        <row r="1149">
          <cell r="AU1149">
            <v>102.89444634839793</v>
          </cell>
        </row>
        <row r="1150">
          <cell r="AU1150">
            <v>98.3471950616252</v>
          </cell>
        </row>
        <row r="1151">
          <cell r="AU1151">
            <v>105.60928359110704</v>
          </cell>
        </row>
        <row r="1152">
          <cell r="AU1152">
            <v>99.212780781016363</v>
          </cell>
        </row>
        <row r="1153">
          <cell r="AU1153">
            <v>100.63709509811707</v>
          </cell>
        </row>
        <row r="1154">
          <cell r="AU1154">
            <v>103.96526783220462</v>
          </cell>
        </row>
        <row r="1155">
          <cell r="AU1155">
            <v>102.33610142522622</v>
          </cell>
        </row>
        <row r="1156">
          <cell r="AU1156">
            <v>99.64102382490708</v>
          </cell>
        </row>
        <row r="1157">
          <cell r="AU1157">
            <v>97.359035191556657</v>
          </cell>
        </row>
        <row r="1158">
          <cell r="AU1158">
            <v>97.039812457212648</v>
          </cell>
        </row>
        <row r="1159">
          <cell r="AU1159">
            <v>99.191907080373852</v>
          </cell>
        </row>
        <row r="1160">
          <cell r="AU1160">
            <v>97.085988871154981</v>
          </cell>
        </row>
        <row r="1161">
          <cell r="AU1161">
            <v>98.839848274994736</v>
          </cell>
        </row>
        <row r="1162">
          <cell r="AU1162">
            <v>97.093900728710452</v>
          </cell>
        </row>
        <row r="1163">
          <cell r="AU1163">
            <v>98.663229460189456</v>
          </cell>
        </row>
        <row r="1164">
          <cell r="AU1164">
            <v>98.007580302489345</v>
          </cell>
        </row>
        <row r="1165">
          <cell r="AU1165">
            <v>96.82899132340151</v>
          </cell>
        </row>
        <row r="1166">
          <cell r="AU1166">
            <v>98.296064945454376</v>
          </cell>
        </row>
        <row r="1167">
          <cell r="AU1167">
            <v>101.25530046681963</v>
          </cell>
        </row>
        <row r="1169">
          <cell r="AU1169">
            <v>98.660529574241494</v>
          </cell>
        </row>
        <row r="1170">
          <cell r="AU1170">
            <v>98.683683341984477</v>
          </cell>
        </row>
        <row r="1171">
          <cell r="AU1171">
            <v>96.46565272128187</v>
          </cell>
        </row>
        <row r="1172">
          <cell r="AU1172">
            <v>98.213482405754576</v>
          </cell>
        </row>
        <row r="1173">
          <cell r="AU1173">
            <v>98.248215187248647</v>
          </cell>
        </row>
        <row r="1174">
          <cell r="AU1174">
            <v>99.347419892330862</v>
          </cell>
        </row>
        <row r="1175">
          <cell r="AU1175">
            <v>95.129579928527363</v>
          </cell>
        </row>
        <row r="1176">
          <cell r="AU1176">
            <v>97.379668362256893</v>
          </cell>
        </row>
        <row r="1177">
          <cell r="AU1177">
            <v>99.069063562092396</v>
          </cell>
        </row>
        <row r="1178">
          <cell r="AU1178">
            <v>98.284977928895344</v>
          </cell>
        </row>
        <row r="1179">
          <cell r="AU1179">
            <v>97.697220967368324</v>
          </cell>
        </row>
        <row r="1180">
          <cell r="AU1180">
            <v>101.77283360791213</v>
          </cell>
        </row>
        <row r="1181">
          <cell r="AU1181">
            <v>100.11664075277199</v>
          </cell>
        </row>
        <row r="1182">
          <cell r="AU1182">
            <v>98.96717887047059</v>
          </cell>
        </row>
        <row r="1183">
          <cell r="AU1183">
            <v>101.63639408836093</v>
          </cell>
        </row>
        <row r="1184">
          <cell r="AU1184">
            <v>98.708712830779419</v>
          </cell>
        </row>
        <row r="1185">
          <cell r="AU1185">
            <v>101.97508681628864</v>
          </cell>
        </row>
        <row r="1186">
          <cell r="AU1186">
            <v>100.72072842071967</v>
          </cell>
        </row>
        <row r="1187">
          <cell r="AU1187">
            <v>97.365017903467503</v>
          </cell>
        </row>
        <row r="1188">
          <cell r="AU1188">
            <v>101.01311282542125</v>
          </cell>
        </row>
        <row r="1189">
          <cell r="AU1189">
            <v>100.53358360397915</v>
          </cell>
        </row>
        <row r="1190">
          <cell r="AU1190">
            <v>100.26027269838312</v>
          </cell>
        </row>
        <row r="1191">
          <cell r="AU1191">
            <v>100.63192255012645</v>
          </cell>
        </row>
        <row r="1192">
          <cell r="AU1192">
            <v>99.244367423501714</v>
          </cell>
        </row>
        <row r="1193">
          <cell r="AU1193">
            <v>100.38350189359957</v>
          </cell>
        </row>
        <row r="1194">
          <cell r="AU1194">
            <v>99.785915212785909</v>
          </cell>
        </row>
        <row r="1195">
          <cell r="AU1195">
            <v>97.50865977837762</v>
          </cell>
        </row>
        <row r="1196">
          <cell r="AU1196">
            <v>100.0636839283863</v>
          </cell>
        </row>
        <row r="1197">
          <cell r="AU1197">
            <v>99.399695194472216</v>
          </cell>
        </row>
        <row r="1198">
          <cell r="AU1198">
            <v>100.80828631126168</v>
          </cell>
        </row>
        <row r="1199">
          <cell r="AU1199">
            <v>104.29383532084293</v>
          </cell>
        </row>
        <row r="1200">
          <cell r="AU1200">
            <v>102.06806155794258</v>
          </cell>
        </row>
        <row r="1201">
          <cell r="AU1201">
            <v>98.068435070509224</v>
          </cell>
        </row>
        <row r="1202">
          <cell r="AU1202">
            <v>99.818028096023355</v>
          </cell>
        </row>
        <row r="1203">
          <cell r="AU1203">
            <v>105.43737145342024</v>
          </cell>
        </row>
        <row r="1204">
          <cell r="AU1204">
            <v>97.871405694667857</v>
          </cell>
        </row>
        <row r="1205">
          <cell r="AU1205">
            <v>96.721541095846874</v>
          </cell>
        </row>
        <row r="1206">
          <cell r="AU1206">
            <v>102.17987166054657</v>
          </cell>
        </row>
        <row r="1207">
          <cell r="AU1207">
            <v>96.176672749058383</v>
          </cell>
        </row>
        <row r="1208">
          <cell r="AU1208">
            <v>99.766559934627637</v>
          </cell>
        </row>
        <row r="1209">
          <cell r="AU1209">
            <v>100.49829989218999</v>
          </cell>
        </row>
        <row r="1210">
          <cell r="AU1210">
            <v>99.790091501759747</v>
          </cell>
        </row>
        <row r="1211">
          <cell r="AU1211">
            <v>100.55981487206185</v>
          </cell>
        </row>
        <row r="1212">
          <cell r="AU1212">
            <v>97.788116609006309</v>
          </cell>
        </row>
        <row r="1213">
          <cell r="AU1213">
            <v>101.98103091751247</v>
          </cell>
        </row>
        <row r="1214">
          <cell r="AU1214">
            <v>99.012001119679738</v>
          </cell>
        </row>
        <row r="1215">
          <cell r="AU1215">
            <v>91.261489968985217</v>
          </cell>
        </row>
        <row r="1216">
          <cell r="AU1216">
            <v>99.707698219426462</v>
          </cell>
        </row>
        <row r="1217">
          <cell r="AU1217">
            <v>99.614769231653739</v>
          </cell>
        </row>
        <row r="1218">
          <cell r="AU1218">
            <v>99.614769231653739</v>
          </cell>
        </row>
        <row r="1219">
          <cell r="AU1219">
            <v>97.686659012038731</v>
          </cell>
        </row>
        <row r="1220">
          <cell r="AU1220">
            <v>99.41593735693985</v>
          </cell>
        </row>
        <row r="1221">
          <cell r="AU1221">
            <v>100.33556993750601</v>
          </cell>
        </row>
        <row r="1222">
          <cell r="AU1222">
            <v>100.36284236973283</v>
          </cell>
        </row>
        <row r="1223">
          <cell r="AU1223">
            <v>96.707064243265734</v>
          </cell>
        </row>
        <row r="1224">
          <cell r="AU1224">
            <v>98.684983751011956</v>
          </cell>
        </row>
        <row r="1225">
          <cell r="AU1225">
            <v>100.32666613792978</v>
          </cell>
        </row>
        <row r="1226">
          <cell r="AU1226">
            <v>99.075472038593162</v>
          </cell>
        </row>
        <row r="1227">
          <cell r="AU1227">
            <v>100.36025727184756</v>
          </cell>
        </row>
        <row r="1228">
          <cell r="AU1228">
            <v>98.501847436225248</v>
          </cell>
        </row>
        <row r="1229">
          <cell r="AU1229">
            <v>98.135747551553138</v>
          </cell>
        </row>
        <row r="1230">
          <cell r="AU1230">
            <v>96.024350814782196</v>
          </cell>
        </row>
        <row r="1232">
          <cell r="AU1232">
            <v>98.179789785028689</v>
          </cell>
        </row>
        <row r="1233">
          <cell r="AU1233">
            <v>98.291928859171279</v>
          </cell>
        </row>
        <row r="1234">
          <cell r="AU1234">
            <v>97.797767256682306</v>
          </cell>
        </row>
        <row r="1235">
          <cell r="AU1235">
            <v>100.58641598521527</v>
          </cell>
        </row>
        <row r="1236">
          <cell r="AU1236">
            <v>96.111582389487964</v>
          </cell>
        </row>
        <row r="1237">
          <cell r="AU1237">
            <v>98.073236826407097</v>
          </cell>
        </row>
        <row r="1238">
          <cell r="AU1238">
            <v>97.333813603818271</v>
          </cell>
        </row>
        <row r="1239">
          <cell r="AU1239">
            <v>97.488035418419599</v>
          </cell>
        </row>
        <row r="1240">
          <cell r="AU1240">
            <v>96.443069000306991</v>
          </cell>
        </row>
        <row r="1241">
          <cell r="AU1241">
            <v>97.660098295963977</v>
          </cell>
        </row>
        <row r="1242">
          <cell r="AU1242">
            <v>100.1925094291288</v>
          </cell>
        </row>
        <row r="1243">
          <cell r="AU1243">
            <v>102.02975819555886</v>
          </cell>
        </row>
        <row r="1244">
          <cell r="AU1244">
            <v>99.251334851868066</v>
          </cell>
        </row>
        <row r="1245">
          <cell r="AU1245">
            <v>98.988031079610636</v>
          </cell>
        </row>
        <row r="1246">
          <cell r="AU1246">
            <v>93.84492272914629</v>
          </cell>
        </row>
        <row r="1247">
          <cell r="AU1247">
            <v>97.675973893190388</v>
          </cell>
        </row>
        <row r="1248">
          <cell r="AU1248">
            <v>96.128859563942299</v>
          </cell>
        </row>
        <row r="1249">
          <cell r="AU1249">
            <v>96.23019957287525</v>
          </cell>
        </row>
        <row r="1250">
          <cell r="AU1250">
            <v>95.554648042025462</v>
          </cell>
        </row>
        <row r="1251">
          <cell r="AU1251">
            <v>98.040839419924865</v>
          </cell>
        </row>
        <row r="1252">
          <cell r="AU1252">
            <v>96.199420039592823</v>
          </cell>
        </row>
        <row r="1253">
          <cell r="AU1253">
            <v>97.234243270288488</v>
          </cell>
        </row>
        <row r="1254">
          <cell r="AU1254">
            <v>98.44605815756691</v>
          </cell>
        </row>
        <row r="1255">
          <cell r="AU1255">
            <v>97.382459789895933</v>
          </cell>
        </row>
        <row r="1256">
          <cell r="AU1256">
            <v>98.328884904956453</v>
          </cell>
        </row>
        <row r="1257">
          <cell r="AU1257">
            <v>99.176349471390083</v>
          </cell>
        </row>
        <row r="1258">
          <cell r="AU1258">
            <v>99.725213620870562</v>
          </cell>
        </row>
        <row r="1259">
          <cell r="AU1259">
            <v>100.48066422868867</v>
          </cell>
        </row>
        <row r="1260">
          <cell r="AU1260">
            <v>101.04881107834257</v>
          </cell>
        </row>
        <row r="1261">
          <cell r="AU1261">
            <v>96.684054663353407</v>
          </cell>
        </row>
        <row r="1262">
          <cell r="AU1262">
            <v>100.11748114942228</v>
          </cell>
        </row>
        <row r="1263">
          <cell r="AU1263">
            <v>100.51795107401998</v>
          </cell>
        </row>
        <row r="1264">
          <cell r="AU1264">
            <v>99.207896402187785</v>
          </cell>
        </row>
        <row r="1265">
          <cell r="AU1265">
            <v>100.95368553039596</v>
          </cell>
        </row>
        <row r="1266">
          <cell r="AU1266">
            <v>97.17675724343205</v>
          </cell>
        </row>
        <row r="1267">
          <cell r="AU1267">
            <v>100.27568850272728</v>
          </cell>
        </row>
        <row r="1268">
          <cell r="AU1268">
            <v>95.840653755436676</v>
          </cell>
        </row>
        <row r="1269">
          <cell r="AU1269">
            <v>97.856182069825209</v>
          </cell>
        </row>
        <row r="1270">
          <cell r="AU1270">
            <v>96.19901229369458</v>
          </cell>
        </row>
        <row r="1271">
          <cell r="AU1271">
            <v>99.768698757120475</v>
          </cell>
        </row>
        <row r="1272">
          <cell r="AU1272">
            <v>96.963110760980143</v>
          </cell>
        </row>
        <row r="1273">
          <cell r="AU1273">
            <v>95.387189095245446</v>
          </cell>
        </row>
        <row r="1274">
          <cell r="AU1274">
            <v>97.66276675900059</v>
          </cell>
        </row>
        <row r="1275">
          <cell r="AU1275">
            <v>96.722609742578882</v>
          </cell>
        </row>
        <row r="1276">
          <cell r="AU1276">
            <v>95.21341030938089</v>
          </cell>
        </row>
        <row r="1277">
          <cell r="AU1277">
            <v>100.58641598521527</v>
          </cell>
        </row>
        <row r="1278">
          <cell r="AU1278">
            <v>98.728481909993832</v>
          </cell>
        </row>
        <row r="1279">
          <cell r="AU1279">
            <v>97.363389883580609</v>
          </cell>
        </row>
        <row r="1280">
          <cell r="AU1280">
            <v>96.368222565528768</v>
          </cell>
        </row>
        <row r="1281">
          <cell r="AU1281">
            <v>99.403685713959135</v>
          </cell>
        </row>
        <row r="1282">
          <cell r="AU1282">
            <v>99.376781450914166</v>
          </cell>
        </row>
        <row r="1283">
          <cell r="AU1283">
            <v>100.1873369871003</v>
          </cell>
        </row>
        <row r="1284">
          <cell r="AU1284">
            <v>99.697907762622791</v>
          </cell>
        </row>
        <row r="1285">
          <cell r="AU1285">
            <v>100.26548026974599</v>
          </cell>
        </row>
        <row r="1286">
          <cell r="AU1286">
            <v>102.4523707111142</v>
          </cell>
        </row>
        <row r="1287">
          <cell r="AU1287">
            <v>100.73490880151181</v>
          </cell>
        </row>
        <row r="1288">
          <cell r="AU1288">
            <v>99.528027585112525</v>
          </cell>
        </row>
        <row r="1289">
          <cell r="AU1289">
            <v>100.40167185692117</v>
          </cell>
        </row>
        <row r="1290">
          <cell r="AU1290">
            <v>95.757943444168916</v>
          </cell>
        </row>
        <row r="1291">
          <cell r="AU1291">
            <v>100.64852804849632</v>
          </cell>
        </row>
        <row r="1292">
          <cell r="AU1292">
            <v>98.923494874166224</v>
          </cell>
        </row>
        <row r="1293">
          <cell r="AU1293">
            <v>100.60809464584524</v>
          </cell>
        </row>
        <row r="1294">
          <cell r="AU1294">
            <v>101.56245729868796</v>
          </cell>
        </row>
        <row r="1295">
          <cell r="AU1295">
            <v>100.73265147899326</v>
          </cell>
        </row>
        <row r="1296">
          <cell r="AU1296">
            <v>96.496722132654568</v>
          </cell>
        </row>
        <row r="1297">
          <cell r="AU1297">
            <v>104.73769347324765</v>
          </cell>
        </row>
        <row r="1298">
          <cell r="AU1298">
            <v>106.35297340389174</v>
          </cell>
        </row>
        <row r="1299">
          <cell r="AU1299">
            <v>97.675981598068034</v>
          </cell>
        </row>
        <row r="1301">
          <cell r="AU1301">
            <v>100.69636349625802</v>
          </cell>
        </row>
        <row r="1302">
          <cell r="AU1302">
            <v>98.184391941531558</v>
          </cell>
        </row>
        <row r="1303">
          <cell r="AU1303">
            <v>100.28460594143462</v>
          </cell>
        </row>
        <row r="1304">
          <cell r="AU1304">
            <v>99.054172804783235</v>
          </cell>
        </row>
        <row r="1305">
          <cell r="AU1305">
            <v>97.279357172003117</v>
          </cell>
        </row>
        <row r="1306">
          <cell r="AU1306">
            <v>99.364064980818199</v>
          </cell>
        </row>
        <row r="1307">
          <cell r="AU1307">
            <v>96.124556479651858</v>
          </cell>
        </row>
        <row r="1308">
          <cell r="AU1308">
            <v>94.991504047027817</v>
          </cell>
        </row>
        <row r="1309">
          <cell r="AU1309">
            <v>99.356858720757813</v>
          </cell>
        </row>
        <row r="1310">
          <cell r="AU1310">
            <v>99.85019705163522</v>
          </cell>
        </row>
        <row r="1311">
          <cell r="AU1311">
            <v>99.172910782795725</v>
          </cell>
        </row>
        <row r="1312">
          <cell r="AU1312">
            <v>96.169426096286429</v>
          </cell>
        </row>
        <row r="1313">
          <cell r="AU1313">
            <v>98.505525515629415</v>
          </cell>
        </row>
        <row r="1314">
          <cell r="AU1314">
            <v>96.258588846991714</v>
          </cell>
        </row>
        <row r="1315">
          <cell r="AU1315">
            <v>94.232141766092681</v>
          </cell>
        </row>
        <row r="1316">
          <cell r="AU1316">
            <v>95.570750074834052</v>
          </cell>
        </row>
        <row r="1317">
          <cell r="AU1317">
            <v>96.288795653844687</v>
          </cell>
        </row>
        <row r="1318">
          <cell r="AU1318">
            <v>95.645642237820567</v>
          </cell>
        </row>
        <row r="1319">
          <cell r="AU1319">
            <v>96.403544949878381</v>
          </cell>
        </row>
        <row r="1320">
          <cell r="AU1320">
            <v>97.131757704740778</v>
          </cell>
        </row>
        <row r="1321">
          <cell r="AU1321">
            <v>99.958438788996091</v>
          </cell>
        </row>
        <row r="1322">
          <cell r="AU1322">
            <v>97.297010458054217</v>
          </cell>
        </row>
        <row r="1323">
          <cell r="AU1323">
            <v>98.657901147288669</v>
          </cell>
        </row>
        <row r="1324">
          <cell r="AU1324">
            <v>99.981282874675273</v>
          </cell>
        </row>
        <row r="1325">
          <cell r="AU1325">
            <v>99.580050341134651</v>
          </cell>
        </row>
        <row r="1326">
          <cell r="AU1326">
            <v>96.929558501285911</v>
          </cell>
        </row>
        <row r="1327">
          <cell r="AU1327">
            <v>100.30553206082334</v>
          </cell>
        </row>
        <row r="1328">
          <cell r="AU1328">
            <v>99.722360362795285</v>
          </cell>
        </row>
        <row r="1329">
          <cell r="AU1329">
            <v>98.944798098757886</v>
          </cell>
        </row>
        <row r="1330">
          <cell r="AU1330">
            <v>95.580638204051326</v>
          </cell>
        </row>
        <row r="1331">
          <cell r="AU1331">
            <v>98.735458005641846</v>
          </cell>
        </row>
        <row r="1332">
          <cell r="AU1332">
            <v>99.650000628755876</v>
          </cell>
        </row>
        <row r="1333">
          <cell r="AU1333">
            <v>101.84109606479639</v>
          </cell>
        </row>
        <row r="1334">
          <cell r="AU1334">
            <v>96.796751766607542</v>
          </cell>
        </row>
        <row r="1335">
          <cell r="AU1335">
            <v>98.193610604613141</v>
          </cell>
        </row>
        <row r="1336">
          <cell r="AU1336">
            <v>98.093894811424491</v>
          </cell>
        </row>
        <row r="1337">
          <cell r="AU1337">
            <v>99.544408891882213</v>
          </cell>
        </row>
        <row r="1338">
          <cell r="AU1338">
            <v>95.943650597628519</v>
          </cell>
        </row>
        <row r="1339">
          <cell r="AU1339">
            <v>98.489487551374054</v>
          </cell>
        </row>
        <row r="1340">
          <cell r="AU1340">
            <v>99.461015338477637</v>
          </cell>
        </row>
        <row r="1341">
          <cell r="AU1341">
            <v>98.205094303313913</v>
          </cell>
        </row>
        <row r="1342">
          <cell r="AU1342">
            <v>96.57736653253302</v>
          </cell>
        </row>
        <row r="1343">
          <cell r="AU1343">
            <v>99.162258965139586</v>
          </cell>
        </row>
        <row r="1344">
          <cell r="AU1344">
            <v>97.752006327292591</v>
          </cell>
        </row>
        <row r="1345">
          <cell r="AU1345">
            <v>98.25226189331751</v>
          </cell>
        </row>
        <row r="1346">
          <cell r="AU1346">
            <v>92.330641979085215</v>
          </cell>
        </row>
        <row r="1347">
          <cell r="AU1347">
            <v>96.92616235214588</v>
          </cell>
        </row>
        <row r="1348">
          <cell r="AU1348">
            <v>98.250904314108695</v>
          </cell>
        </row>
        <row r="1349">
          <cell r="AU1349">
            <v>97.226742284610296</v>
          </cell>
        </row>
        <row r="1350">
          <cell r="AU1350">
            <v>97.131846766978995</v>
          </cell>
        </row>
        <row r="1351">
          <cell r="AU1351">
            <v>96.993217019795154</v>
          </cell>
        </row>
        <row r="1352">
          <cell r="AU1352">
            <v>98.417594218830985</v>
          </cell>
        </row>
        <row r="1353">
          <cell r="AU1353">
            <v>102.82252082705443</v>
          </cell>
        </row>
        <row r="1354">
          <cell r="AU1354">
            <v>98.816203939292336</v>
          </cell>
        </row>
        <row r="1355">
          <cell r="AU1355">
            <v>96.798324627985608</v>
          </cell>
        </row>
        <row r="1356">
          <cell r="AU1356">
            <v>94.452452072698932</v>
          </cell>
        </row>
        <row r="1357">
          <cell r="AU1357">
            <v>97.56033572665082</v>
          </cell>
        </row>
        <row r="1358">
          <cell r="AU1358">
            <v>98.27460163662704</v>
          </cell>
        </row>
        <row r="1359">
          <cell r="AU1359">
            <v>97.762952703699071</v>
          </cell>
        </row>
        <row r="1360">
          <cell r="AU1360">
            <v>98.536776457125086</v>
          </cell>
        </row>
        <row r="1361">
          <cell r="AU1361">
            <v>98.239874351747247</v>
          </cell>
        </row>
        <row r="1362">
          <cell r="AU1362">
            <v>98.540391691402434</v>
          </cell>
        </row>
        <row r="1363">
          <cell r="AU1363">
            <v>98.858098536373518</v>
          </cell>
        </row>
        <row r="1365">
          <cell r="AU1365">
            <v>100.41719648574204</v>
          </cell>
        </row>
        <row r="1366">
          <cell r="AU1366">
            <v>99.322262234372474</v>
          </cell>
        </row>
        <row r="1367">
          <cell r="AU1367">
            <v>101.39091759147669</v>
          </cell>
        </row>
        <row r="1368">
          <cell r="AU1368">
            <v>97.734817712523011</v>
          </cell>
        </row>
        <row r="1369">
          <cell r="AU1369">
            <v>99.071270960746133</v>
          </cell>
        </row>
        <row r="1370">
          <cell r="AU1370">
            <v>99.447784717664206</v>
          </cell>
        </row>
        <row r="1371">
          <cell r="AU1371">
            <v>93.59468551560397</v>
          </cell>
        </row>
        <row r="1372">
          <cell r="AU1372">
            <v>94.563283703778581</v>
          </cell>
        </row>
        <row r="1373">
          <cell r="AU1373">
            <v>98.67921311815266</v>
          </cell>
        </row>
        <row r="1374">
          <cell r="AU1374">
            <v>96.36809033051874</v>
          </cell>
        </row>
        <row r="1375">
          <cell r="AU1375">
            <v>96.920303781973502</v>
          </cell>
        </row>
        <row r="1376">
          <cell r="AU1376">
            <v>102.56831615190862</v>
          </cell>
        </row>
        <row r="1377">
          <cell r="AU1377">
            <v>98.929739255873997</v>
          </cell>
        </row>
        <row r="1378">
          <cell r="AU1378">
            <v>99.322262234372474</v>
          </cell>
        </row>
        <row r="1379">
          <cell r="AU1379">
            <v>95.465966670266354</v>
          </cell>
        </row>
        <row r="1380">
          <cell r="AU1380">
            <v>97.114144389537444</v>
          </cell>
        </row>
        <row r="1381">
          <cell r="AU1381">
            <v>97.159907020096412</v>
          </cell>
        </row>
        <row r="1382">
          <cell r="AU1382">
            <v>98.101341699400351</v>
          </cell>
        </row>
        <row r="1383">
          <cell r="AU1383">
            <v>97.478202149506544</v>
          </cell>
        </row>
        <row r="1384">
          <cell r="AU1384">
            <v>98.929739255873997</v>
          </cell>
        </row>
        <row r="1385">
          <cell r="AU1385">
            <v>98.623493119770274</v>
          </cell>
        </row>
        <row r="1386">
          <cell r="AU1386">
            <v>98.431618619537275</v>
          </cell>
        </row>
        <row r="1387">
          <cell r="AU1387">
            <v>99.671010145829698</v>
          </cell>
        </row>
        <row r="1388">
          <cell r="AU1388">
            <v>101.88601915572946</v>
          </cell>
        </row>
        <row r="1389">
          <cell r="AU1389">
            <v>94.965720341288431</v>
          </cell>
        </row>
        <row r="1390">
          <cell r="AU1390">
            <v>96.435091480311513</v>
          </cell>
        </row>
        <row r="1391">
          <cell r="AU1391">
            <v>97.482674355194135</v>
          </cell>
        </row>
        <row r="1392">
          <cell r="AU1392">
            <v>98.364442828340316</v>
          </cell>
        </row>
        <row r="1393">
          <cell r="AU1393">
            <v>98.267944863963734</v>
          </cell>
        </row>
        <row r="1394">
          <cell r="AU1394">
            <v>97.750930172236252</v>
          </cell>
        </row>
        <row r="1395">
          <cell r="AU1395">
            <v>97.737910056068699</v>
          </cell>
        </row>
        <row r="1396">
          <cell r="AU1396">
            <v>96.540559150897863</v>
          </cell>
        </row>
        <row r="1397">
          <cell r="AU1397">
            <v>97.822972408587717</v>
          </cell>
        </row>
        <row r="1398">
          <cell r="AU1398">
            <v>98.261703641432518</v>
          </cell>
        </row>
        <row r="1399">
          <cell r="AU1399">
            <v>95.461164108361956</v>
          </cell>
        </row>
        <row r="1400">
          <cell r="AU1400">
            <v>96.415086891174909</v>
          </cell>
        </row>
        <row r="1401">
          <cell r="AU1401">
            <v>99.640125910776376</v>
          </cell>
        </row>
        <row r="1402">
          <cell r="AU1402">
            <v>96.114626501610672</v>
          </cell>
        </row>
        <row r="1403">
          <cell r="AU1403">
            <v>97.097205687046483</v>
          </cell>
        </row>
        <row r="1404">
          <cell r="AU1404">
            <v>97.933176072044361</v>
          </cell>
        </row>
        <row r="1405">
          <cell r="AU1405">
            <v>97.359348868497207</v>
          </cell>
        </row>
        <row r="1406">
          <cell r="AU1406">
            <v>95.274933067771656</v>
          </cell>
        </row>
        <row r="1407">
          <cell r="AU1407">
            <v>96.905759405529636</v>
          </cell>
        </row>
        <row r="1408">
          <cell r="AU1408">
            <v>98.743467786078526</v>
          </cell>
        </row>
        <row r="1409">
          <cell r="AU1409">
            <v>98.336500376686118</v>
          </cell>
        </row>
        <row r="1410">
          <cell r="AU1410">
            <v>97.914891452662474</v>
          </cell>
        </row>
        <row r="1411">
          <cell r="AU1411">
            <v>99.253173965491797</v>
          </cell>
        </row>
        <row r="1412">
          <cell r="AU1412">
            <v>99.409086961911157</v>
          </cell>
        </row>
        <row r="1413">
          <cell r="AU1413">
            <v>95.652853192916908</v>
          </cell>
        </row>
        <row r="1414">
          <cell r="AU1414">
            <v>98.479270074922681</v>
          </cell>
        </row>
        <row r="1415">
          <cell r="AU1415">
            <v>98.176669890806309</v>
          </cell>
        </row>
        <row r="1416">
          <cell r="AU1416">
            <v>96.714179234632098</v>
          </cell>
        </row>
        <row r="1417">
          <cell r="AU1417">
            <v>99.115564785646797</v>
          </cell>
        </row>
        <row r="1418">
          <cell r="AU1418">
            <v>98.541044413027265</v>
          </cell>
        </row>
        <row r="1419">
          <cell r="AU1419">
            <v>97.452215171322351</v>
          </cell>
        </row>
        <row r="1420">
          <cell r="AU1420">
            <v>98.648885620396499</v>
          </cell>
        </row>
        <row r="1421">
          <cell r="AU1421">
            <v>98.936703535170665</v>
          </cell>
        </row>
        <row r="1422">
          <cell r="AU1422">
            <v>99.623676980281815</v>
          </cell>
        </row>
        <row r="1423">
          <cell r="AU1423">
            <v>98.120445907560153</v>
          </cell>
        </row>
        <row r="1424">
          <cell r="AU1424">
            <v>98.572209097474968</v>
          </cell>
        </row>
        <row r="1425">
          <cell r="AU1425">
            <v>95.646266460157364</v>
          </cell>
        </row>
        <row r="1426">
          <cell r="AU1426">
            <v>97.742482894211975</v>
          </cell>
        </row>
        <row r="1427">
          <cell r="AU1427">
            <v>98.330113051892596</v>
          </cell>
        </row>
        <row r="1428">
          <cell r="AU1428">
            <v>97.169799152857877</v>
          </cell>
        </row>
        <row r="1429">
          <cell r="AU1429">
            <v>99.208647670497314</v>
          </cell>
        </row>
        <row r="1430">
          <cell r="AU1430">
            <v>98.525989771119455</v>
          </cell>
        </row>
        <row r="1431">
          <cell r="AU1431">
            <v>98.461659837743611</v>
          </cell>
        </row>
        <row r="1432">
          <cell r="AU1432">
            <v>98.62620942585643</v>
          </cell>
        </row>
        <row r="1433">
          <cell r="AU1433">
            <v>100.21609106830478</v>
          </cell>
        </row>
        <row r="1434">
          <cell r="AU1434">
            <v>89.640220918832952</v>
          </cell>
        </row>
        <row r="1435">
          <cell r="AU1435">
            <v>93.282679447096996</v>
          </cell>
        </row>
        <row r="1436">
          <cell r="AU1436">
            <v>107.10597490816951</v>
          </cell>
        </row>
        <row r="1437">
          <cell r="AU1437">
            <v>96.299726205571716</v>
          </cell>
        </row>
        <row r="1438">
          <cell r="AU1438">
            <v>98.309867057290148</v>
          </cell>
        </row>
        <row r="1439">
          <cell r="AU1439">
            <v>99.629209558382172</v>
          </cell>
        </row>
        <row r="1440">
          <cell r="AU1440">
            <v>98.060245628328929</v>
          </cell>
        </row>
        <row r="1441">
          <cell r="AU1441">
            <v>98.94333918173038</v>
          </cell>
        </row>
        <row r="1442">
          <cell r="AU1442">
            <v>98.871999428059297</v>
          </cell>
        </row>
        <row r="1443">
          <cell r="AU1443">
            <v>98.554563782195103</v>
          </cell>
        </row>
        <row r="1444">
          <cell r="AU1444">
            <v>98.69767718374888</v>
          </cell>
        </row>
        <row r="1446">
          <cell r="AU1446">
            <v>98.403676881234972</v>
          </cell>
        </row>
        <row r="1447">
          <cell r="AU1447">
            <v>98.208043328787198</v>
          </cell>
        </row>
        <row r="1448">
          <cell r="AU1448">
            <v>97.971400682892167</v>
          </cell>
        </row>
        <row r="1449">
          <cell r="AU1449">
            <v>97.602470858445898</v>
          </cell>
        </row>
        <row r="1450">
          <cell r="AU1450">
            <v>94.959570970106483</v>
          </cell>
        </row>
        <row r="1451">
          <cell r="AU1451">
            <v>95.939132123377576</v>
          </cell>
        </row>
        <row r="1452">
          <cell r="AU1452">
            <v>97.349907896919447</v>
          </cell>
        </row>
        <row r="1453">
          <cell r="AU1453">
            <v>102.89636630362016</v>
          </cell>
        </row>
        <row r="1454">
          <cell r="AU1454">
            <v>95.461604124855526</v>
          </cell>
        </row>
        <row r="1455">
          <cell r="AU1455">
            <v>97.647870047840527</v>
          </cell>
        </row>
        <row r="1456">
          <cell r="AU1456">
            <v>98.432063344309483</v>
          </cell>
        </row>
        <row r="1457">
          <cell r="AU1457">
            <v>96.068380428080829</v>
          </cell>
        </row>
        <row r="1458">
          <cell r="AU1458">
            <v>99.788621268905345</v>
          </cell>
        </row>
        <row r="1459">
          <cell r="AU1459">
            <v>99.171782801163587</v>
          </cell>
        </row>
        <row r="1460">
          <cell r="AU1460">
            <v>97.849625099668586</v>
          </cell>
        </row>
        <row r="1461">
          <cell r="AU1461">
            <v>98.820355507403406</v>
          </cell>
        </row>
        <row r="1462">
          <cell r="AU1462">
            <v>98.013249025769767</v>
          </cell>
        </row>
        <row r="1463">
          <cell r="AU1463">
            <v>97.816776223891637</v>
          </cell>
        </row>
        <row r="1464">
          <cell r="AU1464">
            <v>95.104846006797871</v>
          </cell>
        </row>
        <row r="1465">
          <cell r="AU1465">
            <v>97.801074685859348</v>
          </cell>
        </row>
        <row r="1466">
          <cell r="AU1466">
            <v>96.232788591939283</v>
          </cell>
        </row>
        <row r="1467">
          <cell r="AU1467">
            <v>98.97820607044973</v>
          </cell>
        </row>
        <row r="1468">
          <cell r="AU1468">
            <v>97.713592048259329</v>
          </cell>
        </row>
        <row r="1469">
          <cell r="AU1469">
            <v>98.768967717547937</v>
          </cell>
        </row>
        <row r="1470">
          <cell r="AU1470">
            <v>97.849625099668586</v>
          </cell>
        </row>
        <row r="1471">
          <cell r="AU1471">
            <v>94.116046142772348</v>
          </cell>
        </row>
        <row r="1472">
          <cell r="AU1472">
            <v>98.888478397355001</v>
          </cell>
        </row>
        <row r="1473">
          <cell r="AU1473">
            <v>96.988435329123845</v>
          </cell>
        </row>
        <row r="1474">
          <cell r="AU1474">
            <v>95.732299004591454</v>
          </cell>
        </row>
        <row r="1475">
          <cell r="AU1475">
            <v>98.377484500921341</v>
          </cell>
        </row>
        <row r="1476">
          <cell r="AU1476">
            <v>100.05551202869533</v>
          </cell>
        </row>
        <row r="1477">
          <cell r="AU1477">
            <v>98.424375293096418</v>
          </cell>
        </row>
        <row r="1478">
          <cell r="AU1478">
            <v>97.811296698949192</v>
          </cell>
        </row>
        <row r="1479">
          <cell r="AU1479">
            <v>98.634699122165827</v>
          </cell>
        </row>
        <row r="1480">
          <cell r="AU1480">
            <v>98.235349044445485</v>
          </cell>
        </row>
        <row r="1481">
          <cell r="AU1481">
            <v>98.200208415446014</v>
          </cell>
        </row>
        <row r="1482">
          <cell r="AU1482">
            <v>98.22247134082383</v>
          </cell>
        </row>
        <row r="1483">
          <cell r="AU1483">
            <v>98.022782936884127</v>
          </cell>
        </row>
        <row r="1484">
          <cell r="AU1484">
            <v>107.52183094840358</v>
          </cell>
        </row>
        <row r="1485">
          <cell r="AU1485">
            <v>98.538852324222177</v>
          </cell>
        </row>
        <row r="1486">
          <cell r="AU1486">
            <v>98.214233684807724</v>
          </cell>
        </row>
        <row r="1487">
          <cell r="AU1487">
            <v>98.825308599286103</v>
          </cell>
        </row>
        <row r="1488">
          <cell r="AU1488">
            <v>97.839545060236915</v>
          </cell>
        </row>
        <row r="1489">
          <cell r="AU1489">
            <v>97.92367945623333</v>
          </cell>
        </row>
        <row r="1490">
          <cell r="AU1490">
            <v>96.732530464388148</v>
          </cell>
        </row>
        <row r="1491">
          <cell r="AU1491">
            <v>98.003054578841031</v>
          </cell>
        </row>
        <row r="1492">
          <cell r="AU1492">
            <v>99.071222574861054</v>
          </cell>
        </row>
        <row r="1493">
          <cell r="AU1493">
            <v>99.190386905250023</v>
          </cell>
        </row>
        <row r="1494">
          <cell r="AU1494">
            <v>94.679848778277758</v>
          </cell>
        </row>
        <row r="1495">
          <cell r="AU1495">
            <v>97.590582017147952</v>
          </cell>
        </row>
        <row r="1496">
          <cell r="AU1496">
            <v>99.140905281436531</v>
          </cell>
        </row>
        <row r="1497">
          <cell r="AU1497">
            <v>102.13728013602423</v>
          </cell>
        </row>
        <row r="1498">
          <cell r="AU1498">
            <v>95.017154952630335</v>
          </cell>
        </row>
        <row r="1499">
          <cell r="AU1499">
            <v>99.494185297436474</v>
          </cell>
        </row>
        <row r="1500">
          <cell r="AU1500">
            <v>98.303188897575154</v>
          </cell>
        </row>
        <row r="1501">
          <cell r="AU1501">
            <v>97.497104151681953</v>
          </cell>
        </row>
        <row r="1502">
          <cell r="AU1502">
            <v>98.154558638154512</v>
          </cell>
        </row>
        <row r="1503">
          <cell r="AU1503">
            <v>97.859878257858369</v>
          </cell>
        </row>
        <row r="1504">
          <cell r="AU1504">
            <v>98.978031848439642</v>
          </cell>
        </row>
        <row r="1505">
          <cell r="AU1505">
            <v>97.469998264799159</v>
          </cell>
        </row>
        <row r="1506">
          <cell r="AU1506">
            <v>93.791761347926894</v>
          </cell>
        </row>
        <row r="1507">
          <cell r="AU1507">
            <v>95.268532624941997</v>
          </cell>
        </row>
        <row r="1508">
          <cell r="AU1508">
            <v>96.513617944475655</v>
          </cell>
        </row>
        <row r="1509">
          <cell r="AU1509">
            <v>97.248358280048336</v>
          </cell>
        </row>
        <row r="1510">
          <cell r="AU1510">
            <v>93.198485438419098</v>
          </cell>
        </row>
        <row r="1511">
          <cell r="AU1511">
            <v>96.777213485441976</v>
          </cell>
        </row>
        <row r="1512">
          <cell r="AU1512">
            <v>97.664938261328771</v>
          </cell>
        </row>
        <row r="1513">
          <cell r="AU1513">
            <v>98.18014861875028</v>
          </cell>
        </row>
        <row r="1514">
          <cell r="AU1514">
            <v>96.846983069370367</v>
          </cell>
        </row>
        <row r="1515">
          <cell r="AU1515">
            <v>101.76554486222224</v>
          </cell>
        </row>
        <row r="1516">
          <cell r="AU1516">
            <v>96.733120964420081</v>
          </cell>
        </row>
        <row r="1517">
          <cell r="AU1517">
            <v>96.375325079354994</v>
          </cell>
        </row>
        <row r="1518">
          <cell r="AU1518">
            <v>93.164094726996794</v>
          </cell>
        </row>
        <row r="1519">
          <cell r="AU1519">
            <v>98.762583234484524</v>
          </cell>
        </row>
        <row r="1520">
          <cell r="AU1520">
            <v>96.244744743561299</v>
          </cell>
        </row>
        <row r="1521">
          <cell r="AU1521">
            <v>97.139838277575777</v>
          </cell>
        </row>
        <row r="1522">
          <cell r="AU1522">
            <v>96.354517751252075</v>
          </cell>
        </row>
        <row r="1523">
          <cell r="AU1523">
            <v>95.509845236065445</v>
          </cell>
        </row>
        <row r="1524">
          <cell r="AU1524">
            <v>97.067635434515111</v>
          </cell>
        </row>
        <row r="1525">
          <cell r="AU1525">
            <v>95.891884617009708</v>
          </cell>
        </row>
        <row r="1526">
          <cell r="AU1526">
            <v>96.657398300051142</v>
          </cell>
        </row>
        <row r="1527">
          <cell r="AU1527">
            <v>96.623887599326139</v>
          </cell>
        </row>
        <row r="1529">
          <cell r="AU1529">
            <v>95.888750997466246</v>
          </cell>
        </row>
        <row r="1531">
          <cell r="AU1531">
            <v>97.358845453483937</v>
          </cell>
        </row>
        <row r="1532">
          <cell r="AU1532">
            <v>97.787993076807993</v>
          </cell>
        </row>
        <row r="1533">
          <cell r="AU1533">
            <v>100.77221550889792</v>
          </cell>
        </row>
        <row r="1534">
          <cell r="AU1534">
            <v>100.09537521022919</v>
          </cell>
        </row>
        <row r="1535">
          <cell r="AU1535">
            <v>98.57435184706199</v>
          </cell>
        </row>
        <row r="1536">
          <cell r="AU1536">
            <v>99.846927004097182</v>
          </cell>
        </row>
        <row r="1537">
          <cell r="AU1537">
            <v>96.692192927553478</v>
          </cell>
        </row>
        <row r="1538">
          <cell r="AU1538">
            <v>99.379452386908071</v>
          </cell>
        </row>
        <row r="1539">
          <cell r="AU1539">
            <v>96.468737875235774</v>
          </cell>
        </row>
        <row r="1540">
          <cell r="AU1540">
            <v>98.530094641761735</v>
          </cell>
        </row>
        <row r="1541">
          <cell r="AU1541">
            <v>99.945184755444359</v>
          </cell>
        </row>
        <row r="1542">
          <cell r="AU1542">
            <v>98.272858173411109</v>
          </cell>
        </row>
        <row r="1543">
          <cell r="AU1543">
            <v>98.746806466395398</v>
          </cell>
        </row>
        <row r="1544">
          <cell r="AU1544">
            <v>96.892528769528354</v>
          </cell>
        </row>
        <row r="1545">
          <cell r="AU1545">
            <v>99.329779569836703</v>
          </cell>
        </row>
        <row r="1546">
          <cell r="AU1546">
            <v>99.358891682499532</v>
          </cell>
        </row>
        <row r="1547">
          <cell r="AU1547">
            <v>98.070660675032357</v>
          </cell>
        </row>
        <row r="1548">
          <cell r="AU1548">
            <v>88.286344931162546</v>
          </cell>
        </row>
        <row r="1549">
          <cell r="AU1549">
            <v>98.933858232911817</v>
          </cell>
        </row>
        <row r="1550">
          <cell r="AU1550">
            <v>98.78625201233416</v>
          </cell>
        </row>
        <row r="1551">
          <cell r="AU1551">
            <v>99.187212042641292</v>
          </cell>
        </row>
        <row r="1552">
          <cell r="AU1552">
            <v>99.413670162626218</v>
          </cell>
        </row>
        <row r="1553">
          <cell r="AU1553">
            <v>99.773815293205345</v>
          </cell>
        </row>
        <row r="1554">
          <cell r="AU1554">
            <v>98.936394304213565</v>
          </cell>
        </row>
        <row r="1555">
          <cell r="AU1555">
            <v>97.793709002359662</v>
          </cell>
        </row>
        <row r="1556">
          <cell r="AU1556">
            <v>99.385581117917994</v>
          </cell>
        </row>
        <row r="1557">
          <cell r="AU1557">
            <v>99.648210827388539</v>
          </cell>
        </row>
        <row r="1558">
          <cell r="AU1558">
            <v>99.453053524791059</v>
          </cell>
        </row>
        <row r="1559">
          <cell r="AU1559">
            <v>99.231986204607509</v>
          </cell>
        </row>
        <row r="1560">
          <cell r="AU1560">
            <v>96.222035971414087</v>
          </cell>
        </row>
        <row r="1561">
          <cell r="AU1561">
            <v>94.663130443127486</v>
          </cell>
        </row>
        <row r="1562">
          <cell r="AU1562">
            <v>96.516010017933652</v>
          </cell>
        </row>
        <row r="1563">
          <cell r="AU1563">
            <v>102.73678009446101</v>
          </cell>
        </row>
        <row r="1564">
          <cell r="AU1564">
            <v>95.090687552741997</v>
          </cell>
        </row>
        <row r="1565">
          <cell r="AU1565">
            <v>100.06817952322191</v>
          </cell>
        </row>
        <row r="1566">
          <cell r="AU1566">
            <v>98.700115637317481</v>
          </cell>
        </row>
        <row r="1567">
          <cell r="AU1567">
            <v>93.610559392957626</v>
          </cell>
        </row>
        <row r="1568">
          <cell r="AU1568">
            <v>95.294477877540658</v>
          </cell>
        </row>
        <row r="1569">
          <cell r="AU1569">
            <v>97.613203013475982</v>
          </cell>
        </row>
        <row r="1570">
          <cell r="AU1570">
            <v>99.916594677284749</v>
          </cell>
        </row>
        <row r="1571">
          <cell r="AU1571">
            <v>91.390694141109606</v>
          </cell>
        </row>
        <row r="1572">
          <cell r="AU1572">
            <v>101.32228077167503</v>
          </cell>
        </row>
        <row r="1573">
          <cell r="AU1573">
            <v>90.434272634553253</v>
          </cell>
        </row>
        <row r="1574">
          <cell r="AU1574">
            <v>97.259954723457597</v>
          </cell>
        </row>
        <row r="1575">
          <cell r="AU1575">
            <v>98.9853434339648</v>
          </cell>
        </row>
        <row r="1576">
          <cell r="AU1576">
            <v>98.86278199656256</v>
          </cell>
        </row>
        <row r="1577">
          <cell r="AU1577">
            <v>98.499331655873206</v>
          </cell>
        </row>
        <row r="1578">
          <cell r="AU1578">
            <v>98.499331655873206</v>
          </cell>
        </row>
        <row r="1579">
          <cell r="AU1579">
            <v>98.312959470172288</v>
          </cell>
        </row>
        <row r="1580">
          <cell r="AU1580">
            <v>99.490286512588028</v>
          </cell>
        </row>
        <row r="1581">
          <cell r="AU1581">
            <v>99.391995087405974</v>
          </cell>
        </row>
        <row r="1582">
          <cell r="AU1582">
            <v>99.223765625776068</v>
          </cell>
        </row>
        <row r="1583">
          <cell r="AU1583">
            <v>99.509173515320853</v>
          </cell>
        </row>
        <row r="1584">
          <cell r="AU1584">
            <v>98.814760108037234</v>
          </cell>
        </row>
        <row r="1585">
          <cell r="AU1585">
            <v>95.512404307838978</v>
          </cell>
        </row>
        <row r="1586">
          <cell r="AU1586">
            <v>99.394444364848241</v>
          </cell>
        </row>
        <row r="1587">
          <cell r="AU1587">
            <v>95.108679119700511</v>
          </cell>
        </row>
        <row r="1588">
          <cell r="AU1588">
            <v>99.050098791613507</v>
          </cell>
        </row>
        <row r="1589">
          <cell r="AU1589">
            <v>99.897881224365065</v>
          </cell>
        </row>
        <row r="1590">
          <cell r="AU1590">
            <v>100.71733673028096</v>
          </cell>
        </row>
        <row r="1591">
          <cell r="AU1591">
            <v>97.993617253854779</v>
          </cell>
        </row>
        <row r="1592">
          <cell r="AU1592">
            <v>99.123599290834477</v>
          </cell>
        </row>
        <row r="1593">
          <cell r="AU1593">
            <v>100.91355866471055</v>
          </cell>
        </row>
        <row r="1594">
          <cell r="AU1594">
            <v>98.239258499914229</v>
          </cell>
        </row>
        <row r="1596">
          <cell r="A1596" t="str">
            <v>CA737</v>
          </cell>
          <cell r="AU1596">
            <v>96.140007674122913</v>
          </cell>
        </row>
        <row r="1597">
          <cell r="A1597" t="str">
            <v>CA738</v>
          </cell>
          <cell r="AU1597">
            <v>98.862127909667777</v>
          </cell>
        </row>
        <row r="1598">
          <cell r="A1598" t="str">
            <v>CA739</v>
          </cell>
          <cell r="AU1598">
            <v>99.196916635814219</v>
          </cell>
        </row>
        <row r="1599">
          <cell r="A1599" t="str">
            <v>CA740</v>
          </cell>
          <cell r="AU1599">
            <v>102.87694546953874</v>
          </cell>
        </row>
        <row r="1600">
          <cell r="A1600" t="str">
            <v>CA741</v>
          </cell>
          <cell r="AU1600">
            <v>96.591695445097898</v>
          </cell>
        </row>
        <row r="1601">
          <cell r="A1601" t="str">
            <v>CA742</v>
          </cell>
          <cell r="AU1601">
            <v>97.778380143088455</v>
          </cell>
        </row>
        <row r="1602">
          <cell r="A1602" t="str">
            <v>CA743</v>
          </cell>
          <cell r="AU1602">
            <v>98.483754072592433</v>
          </cell>
        </row>
        <row r="1603">
          <cell r="A1603" t="str">
            <v>CA744</v>
          </cell>
          <cell r="AU1603">
            <v>102.64449836329833</v>
          </cell>
        </row>
        <row r="1604">
          <cell r="A1604" t="str">
            <v>CA745</v>
          </cell>
          <cell r="AU1604">
            <v>97.459769969122391</v>
          </cell>
        </row>
        <row r="1605">
          <cell r="A1605" t="str">
            <v>CA746</v>
          </cell>
          <cell r="AU1605">
            <v>98.47106395112759</v>
          </cell>
        </row>
        <row r="1606">
          <cell r="A1606" t="str">
            <v>CA747</v>
          </cell>
          <cell r="AU1606">
            <v>98.368893630377599</v>
          </cell>
        </row>
        <row r="1607">
          <cell r="A1607" t="str">
            <v>CA748</v>
          </cell>
          <cell r="AU1607">
            <v>98.0656739447262</v>
          </cell>
        </row>
        <row r="1608">
          <cell r="A1608" t="str">
            <v>CA749</v>
          </cell>
          <cell r="AU1608">
            <v>98.328536151991386</v>
          </cell>
        </row>
        <row r="1609">
          <cell r="A1609" t="str">
            <v>CA750</v>
          </cell>
          <cell r="AU1609">
            <v>98.610869614426989</v>
          </cell>
        </row>
        <row r="1610">
          <cell r="A1610" t="str">
            <v>CA751</v>
          </cell>
          <cell r="AU1610">
            <v>98.181504213358579</v>
          </cell>
        </row>
        <row r="1611">
          <cell r="A1611" t="str">
            <v>CA752</v>
          </cell>
          <cell r="AU1611">
            <v>97.771873602277154</v>
          </cell>
        </row>
        <row r="1612">
          <cell r="A1612" t="str">
            <v>CA753</v>
          </cell>
          <cell r="AU1612">
            <v>98.518334591745614</v>
          </cell>
        </row>
        <row r="1613">
          <cell r="A1613" t="str">
            <v>CA754</v>
          </cell>
          <cell r="AU1613">
            <v>98.060255244619768</v>
          </cell>
        </row>
        <row r="1614">
          <cell r="A1614" t="str">
            <v>CA755</v>
          </cell>
          <cell r="AU1614">
            <v>98.789089698523057</v>
          </cell>
        </row>
        <row r="1615">
          <cell r="A1615" t="str">
            <v>CA756</v>
          </cell>
          <cell r="AU1615">
            <v>98.004244968244933</v>
          </cell>
        </row>
        <row r="1616">
          <cell r="A1616" t="str">
            <v>CA757</v>
          </cell>
          <cell r="AU1616">
            <v>95.930243309637774</v>
          </cell>
        </row>
        <row r="1617">
          <cell r="A1617" t="str">
            <v>CA758</v>
          </cell>
          <cell r="AU1617">
            <v>98.685384517162291</v>
          </cell>
        </row>
        <row r="1618">
          <cell r="A1618" t="str">
            <v>CA759</v>
          </cell>
          <cell r="AU1618">
            <v>98.743419762147283</v>
          </cell>
        </row>
        <row r="1619">
          <cell r="A1619" t="str">
            <v>CA760</v>
          </cell>
          <cell r="AU1619">
            <v>98.527956697616446</v>
          </cell>
        </row>
      </sheetData>
      <sheetData sheetId="6">
        <row r="6">
          <cell r="D6">
            <v>11.6</v>
          </cell>
        </row>
      </sheetData>
      <sheetData sheetId="7"/>
      <sheetData sheetId="8"/>
      <sheetData sheetId="9">
        <row r="6">
          <cell r="H6">
            <v>2008.7500000000005</v>
          </cell>
        </row>
      </sheetData>
      <sheetData sheetId="10">
        <row r="6">
          <cell r="P6"/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Chart1"/>
      <sheetName val="BrewMaterials"/>
      <sheetName val="Brewhouse"/>
      <sheetName val="Process"/>
      <sheetName val="Packaging"/>
      <sheetName val="Summary December '23 "/>
      <sheetName val="Summary November '23"/>
      <sheetName val="Summary October '23 "/>
      <sheetName val="Summary September '23 "/>
      <sheetName val="Summary August '23"/>
      <sheetName val="Summary July '23"/>
      <sheetName val="Summary June '23 "/>
      <sheetName val="Summary May '23"/>
      <sheetName val="Summary April '23   "/>
      <sheetName val="Summary March '23  "/>
      <sheetName val="Summary February '23 "/>
      <sheetName val="Summary January '23"/>
      <sheetName val="Summary December '22   "/>
      <sheetName val="Summary November '22  "/>
      <sheetName val="Summary October '22 "/>
      <sheetName val="Summary September '22 "/>
      <sheetName val="Summary August '22 "/>
      <sheetName val="Summary July '22"/>
      <sheetName val="Summary June '22 "/>
      <sheetName val="Summary May '22"/>
      <sheetName val="Summary April '22"/>
      <sheetName val="Summary March '22"/>
      <sheetName val="Summary February '22"/>
      <sheetName val="Summary January '22"/>
      <sheetName val="Summary December '21"/>
    </sheetNames>
    <sheetDataSet>
      <sheetData sheetId="0"/>
      <sheetData sheetId="1"/>
      <sheetData sheetId="2"/>
      <sheetData sheetId="3"/>
      <sheetData sheetId="4" refreshError="1"/>
      <sheetData sheetId="5"/>
      <sheetData sheetId="6">
        <row r="76">
          <cell r="AS76">
            <v>93.401228986840337</v>
          </cell>
        </row>
        <row r="577">
          <cell r="AS577">
            <v>96.252483291748931</v>
          </cell>
        </row>
        <row r="578">
          <cell r="AS578">
            <v>96.763055268385216</v>
          </cell>
        </row>
        <row r="579">
          <cell r="AS579">
            <v>99.07159368104702</v>
          </cell>
        </row>
        <row r="580">
          <cell r="AS580">
            <v>99.474323736661034</v>
          </cell>
        </row>
        <row r="581">
          <cell r="AS581">
            <v>99.055509044316352</v>
          </cell>
        </row>
        <row r="582">
          <cell r="AS582">
            <v>93.192210426599971</v>
          </cell>
        </row>
        <row r="583">
          <cell r="AS583">
            <v>99.214524668093944</v>
          </cell>
        </row>
        <row r="584">
          <cell r="AS584">
            <v>100.47597500168524</v>
          </cell>
        </row>
        <row r="585">
          <cell r="AS585">
            <v>99.267847045753157</v>
          </cell>
        </row>
        <row r="586">
          <cell r="AS586">
            <v>99.258908446871416</v>
          </cell>
        </row>
        <row r="587">
          <cell r="AS587">
            <v>97.107849520154573</v>
          </cell>
        </row>
        <row r="588">
          <cell r="AS588">
            <v>98.668863625433005</v>
          </cell>
        </row>
        <row r="589">
          <cell r="AS589">
            <v>98.142973914193277</v>
          </cell>
        </row>
        <row r="590">
          <cell r="AS590">
            <v>98.888083030736681</v>
          </cell>
        </row>
        <row r="591">
          <cell r="AS591">
            <v>98.795858839752356</v>
          </cell>
        </row>
        <row r="592">
          <cell r="AS592">
            <v>91.889557472352934</v>
          </cell>
        </row>
        <row r="593">
          <cell r="AS593">
            <v>98.277925070817602</v>
          </cell>
        </row>
        <row r="594">
          <cell r="AS594">
            <v>107.23727799236048</v>
          </cell>
        </row>
        <row r="595">
          <cell r="AS595">
            <v>96.947059611002658</v>
          </cell>
        </row>
        <row r="596">
          <cell r="AS596">
            <v>99.069170741587214</v>
          </cell>
        </row>
        <row r="597">
          <cell r="AS597">
            <v>98.950757400048701</v>
          </cell>
        </row>
        <row r="598">
          <cell r="AS598">
            <v>98.750452223125535</v>
          </cell>
        </row>
        <row r="599">
          <cell r="AS599">
            <v>98.797669427914244</v>
          </cell>
        </row>
        <row r="600">
          <cell r="AS600">
            <v>98.951450980542759</v>
          </cell>
        </row>
        <row r="601">
          <cell r="AS601">
            <v>98.358927321976608</v>
          </cell>
        </row>
        <row r="602">
          <cell r="AS602">
            <v>99.324019004612524</v>
          </cell>
        </row>
        <row r="603">
          <cell r="AS603">
            <v>95.711826504698735</v>
          </cell>
        </row>
        <row r="604">
          <cell r="AS604">
            <v>97.25483690737326</v>
          </cell>
        </row>
        <row r="605">
          <cell r="AS605">
            <v>99.197396562770763</v>
          </cell>
        </row>
        <row r="606">
          <cell r="AS606">
            <v>98.964857855624871</v>
          </cell>
        </row>
        <row r="607">
          <cell r="AS607">
            <v>98.670900841589486</v>
          </cell>
        </row>
        <row r="608">
          <cell r="AS608">
            <v>99.087053728189062</v>
          </cell>
        </row>
        <row r="609">
          <cell r="AS609">
            <v>98.611632976203893</v>
          </cell>
        </row>
        <row r="610">
          <cell r="AS610">
            <v>99.407921699666332</v>
          </cell>
        </row>
        <row r="611">
          <cell r="AS611">
            <v>94.124926180840106</v>
          </cell>
        </row>
        <row r="612">
          <cell r="AS612">
            <v>98.397610268960591</v>
          </cell>
        </row>
        <row r="613">
          <cell r="AS613">
            <v>98.595593388214027</v>
          </cell>
        </row>
        <row r="614">
          <cell r="AS614">
            <v>99.479970950945599</v>
          </cell>
        </row>
        <row r="615">
          <cell r="AS615">
            <v>99.087084140183208</v>
          </cell>
        </row>
        <row r="616">
          <cell r="AS616">
            <v>98.153313875331278</v>
          </cell>
        </row>
        <row r="617">
          <cell r="AS617">
            <v>99.059044031723758</v>
          </cell>
        </row>
        <row r="618">
          <cell r="AS618">
            <v>101.95499860919848</v>
          </cell>
        </row>
        <row r="620">
          <cell r="AS620">
            <v>96.869096710983925</v>
          </cell>
        </row>
        <row r="621">
          <cell r="AS621">
            <v>99.547292209557895</v>
          </cell>
        </row>
        <row r="622">
          <cell r="AS622">
            <v>99.147503887431171</v>
          </cell>
        </row>
        <row r="623">
          <cell r="AS623">
            <v>99.620723106468503</v>
          </cell>
        </row>
        <row r="624">
          <cell r="AS624">
            <v>98.668324843238935</v>
          </cell>
        </row>
        <row r="625">
          <cell r="AS625">
            <v>98.878395024922369</v>
          </cell>
        </row>
        <row r="626">
          <cell r="AS626">
            <v>98.954136148816616</v>
          </cell>
        </row>
        <row r="627">
          <cell r="AS627">
            <v>99.271695094228932</v>
          </cell>
        </row>
        <row r="628">
          <cell r="AS628">
            <v>101.89668600638116</v>
          </cell>
        </row>
        <row r="629">
          <cell r="AS629">
            <v>95.119246955670206</v>
          </cell>
        </row>
        <row r="630">
          <cell r="AS630">
            <v>98.490589508289219</v>
          </cell>
        </row>
        <row r="631">
          <cell r="AS631">
            <v>96.628314379016032</v>
          </cell>
        </row>
        <row r="632">
          <cell r="AS632">
            <v>94.847826299850496</v>
          </cell>
        </row>
        <row r="633">
          <cell r="AS633">
            <v>96.093928131654877</v>
          </cell>
        </row>
        <row r="634">
          <cell r="AS634">
            <v>99.093782747396475</v>
          </cell>
        </row>
        <row r="635">
          <cell r="AS635">
            <v>96.829566042226901</v>
          </cell>
        </row>
        <row r="636">
          <cell r="AS636">
            <v>92.651350322380281</v>
          </cell>
        </row>
        <row r="637">
          <cell r="AS637">
            <v>97.966465095398789</v>
          </cell>
        </row>
        <row r="638">
          <cell r="AS638">
            <v>96.902732836089029</v>
          </cell>
        </row>
        <row r="639">
          <cell r="AS639">
            <v>98.199317114722348</v>
          </cell>
        </row>
        <row r="640">
          <cell r="AS640">
            <v>97.961385739540034</v>
          </cell>
        </row>
        <row r="641">
          <cell r="AS641">
            <v>98.446315281893988</v>
          </cell>
        </row>
        <row r="642">
          <cell r="AS642">
            <v>97.257828578289633</v>
          </cell>
        </row>
        <row r="643">
          <cell r="AS643">
            <v>96.848003938337612</v>
          </cell>
        </row>
        <row r="644">
          <cell r="AS644">
            <v>94.268489640003139</v>
          </cell>
        </row>
        <row r="645">
          <cell r="AS645">
            <v>95.831746861950919</v>
          </cell>
        </row>
        <row r="646">
          <cell r="AS646">
            <v>94.58421149597136</v>
          </cell>
        </row>
        <row r="647">
          <cell r="AS647">
            <v>94.58421149597136</v>
          </cell>
        </row>
        <row r="648">
          <cell r="AS648">
            <v>96.15161614729854</v>
          </cell>
        </row>
        <row r="649">
          <cell r="AS649">
            <v>96.847824985200191</v>
          </cell>
        </row>
        <row r="650">
          <cell r="AS650">
            <v>99.045523542150946</v>
          </cell>
        </row>
        <row r="651">
          <cell r="AS651">
            <v>98.806499870618765</v>
          </cell>
        </row>
        <row r="653">
          <cell r="AS653">
            <v>94.97910754548144</v>
          </cell>
        </row>
        <row r="654">
          <cell r="AS654">
            <v>100.24919512912089</v>
          </cell>
        </row>
        <row r="655">
          <cell r="AS655">
            <v>99.670803955960778</v>
          </cell>
        </row>
        <row r="656">
          <cell r="AS656">
            <v>98.879686910798952</v>
          </cell>
        </row>
        <row r="657">
          <cell r="AS657">
            <v>99.590889443663684</v>
          </cell>
        </row>
        <row r="658">
          <cell r="AS658">
            <v>100.09856640654033</v>
          </cell>
        </row>
        <row r="659">
          <cell r="AS659">
            <v>99.619880103820094</v>
          </cell>
        </row>
        <row r="660">
          <cell r="AS660">
            <v>97.647209210675157</v>
          </cell>
        </row>
        <row r="661">
          <cell r="AS661">
            <v>99.625318640384748</v>
          </cell>
        </row>
        <row r="662">
          <cell r="AS662">
            <v>99.822596499078585</v>
          </cell>
        </row>
        <row r="663">
          <cell r="AS663">
            <v>96.66615075997727</v>
          </cell>
        </row>
        <row r="664">
          <cell r="AS664">
            <v>99.42804078169091</v>
          </cell>
        </row>
        <row r="665">
          <cell r="AS665">
            <v>98.619884998487549</v>
          </cell>
        </row>
        <row r="666">
          <cell r="AS666">
            <v>99.696020271350051</v>
          </cell>
        </row>
        <row r="667">
          <cell r="AS667">
            <v>99.401032602435976</v>
          </cell>
        </row>
        <row r="668">
          <cell r="AS668">
            <v>100.09007568744232</v>
          </cell>
        </row>
        <row r="669">
          <cell r="AS669">
            <v>99.596319503423089</v>
          </cell>
        </row>
        <row r="670">
          <cell r="AS670">
            <v>99.401032602435976</v>
          </cell>
        </row>
        <row r="671">
          <cell r="AS671">
            <v>97.07287270411102</v>
          </cell>
        </row>
        <row r="672">
          <cell r="AS672">
            <v>97.985891681833053</v>
          </cell>
        </row>
        <row r="673">
          <cell r="AS673">
            <v>98.776100485718814</v>
          </cell>
        </row>
        <row r="674">
          <cell r="AS674">
            <v>98.973652686690244</v>
          </cell>
        </row>
        <row r="675">
          <cell r="AS675">
            <v>99.278502850194101</v>
          </cell>
        </row>
        <row r="676">
          <cell r="AS676">
            <v>98.561912949528178</v>
          </cell>
        </row>
        <row r="677">
          <cell r="AS677">
            <v>99.861447517561885</v>
          </cell>
        </row>
        <row r="678">
          <cell r="AS678">
            <v>99.861447517561885</v>
          </cell>
        </row>
        <row r="679">
          <cell r="AS679">
            <v>101.21133303492269</v>
          </cell>
        </row>
        <row r="680">
          <cell r="AS680">
            <v>96.698904908769507</v>
          </cell>
        </row>
        <row r="681">
          <cell r="AS681">
            <v>102.00606382936222</v>
          </cell>
        </row>
        <row r="682">
          <cell r="AS682">
            <v>97.427677408967256</v>
          </cell>
        </row>
        <row r="683">
          <cell r="AS683">
            <v>98.108921308356997</v>
          </cell>
        </row>
        <row r="684">
          <cell r="AS684">
            <v>98.694063980176225</v>
          </cell>
        </row>
        <row r="685">
          <cell r="AS685">
            <v>100.2652450226567</v>
          </cell>
        </row>
        <row r="686">
          <cell r="AS686">
            <v>100.74539413116692</v>
          </cell>
        </row>
        <row r="687">
          <cell r="AS687">
            <v>101.27598337973996</v>
          </cell>
        </row>
        <row r="688">
          <cell r="AS688">
            <v>102.20244053927394</v>
          </cell>
        </row>
        <row r="689">
          <cell r="AS689">
            <v>99.163481197267728</v>
          </cell>
        </row>
        <row r="690">
          <cell r="AS690">
            <v>101.59733613737035</v>
          </cell>
        </row>
        <row r="691">
          <cell r="AS691">
            <v>102.18443014405814</v>
          </cell>
        </row>
        <row r="692">
          <cell r="AS692">
            <v>99.719071879528798</v>
          </cell>
        </row>
        <row r="693">
          <cell r="AS693">
            <v>100.84603073482505</v>
          </cell>
        </row>
        <row r="694">
          <cell r="AS694">
            <v>103.38659991045883</v>
          </cell>
        </row>
        <row r="695">
          <cell r="AS695">
            <v>103.24183379000793</v>
          </cell>
        </row>
        <row r="696">
          <cell r="AS696">
            <v>102.1830837779485</v>
          </cell>
        </row>
        <row r="698">
          <cell r="AS698">
            <v>96.429908671540403</v>
          </cell>
        </row>
        <row r="699">
          <cell r="AS699">
            <v>95.810688139372886</v>
          </cell>
        </row>
        <row r="700">
          <cell r="AS700">
            <v>96.451517171751576</v>
          </cell>
        </row>
        <row r="701">
          <cell r="AS701">
            <v>98.91585168536264</v>
          </cell>
        </row>
        <row r="702">
          <cell r="AS702">
            <v>98.741297270858453</v>
          </cell>
        </row>
        <row r="703">
          <cell r="AS703">
            <v>98.639026691655275</v>
          </cell>
        </row>
        <row r="704">
          <cell r="AS704">
            <v>99.708764324123052</v>
          </cell>
        </row>
        <row r="705">
          <cell r="AS705">
            <v>96.393313724689648</v>
          </cell>
        </row>
        <row r="706">
          <cell r="AS706">
            <v>99.872119258602709</v>
          </cell>
        </row>
        <row r="707">
          <cell r="AS707">
            <v>95.475287240863395</v>
          </cell>
        </row>
        <row r="708">
          <cell r="AS708">
            <v>100.07702758723762</v>
          </cell>
        </row>
        <row r="710">
          <cell r="AS710">
            <v>98.599223019705548</v>
          </cell>
        </row>
        <row r="711">
          <cell r="AS711">
            <v>95.550338344212662</v>
          </cell>
        </row>
        <row r="712">
          <cell r="AS712">
            <v>101.78290005234547</v>
          </cell>
        </row>
        <row r="713">
          <cell r="AS713">
            <v>99.28115997304883</v>
          </cell>
        </row>
        <row r="714">
          <cell r="AS714">
            <v>99.405266910839558</v>
          </cell>
        </row>
        <row r="715">
          <cell r="AS715">
            <v>100.88361338521632</v>
          </cell>
        </row>
        <row r="716">
          <cell r="AS716">
            <v>97.505342034239277</v>
          </cell>
        </row>
        <row r="717">
          <cell r="AS717">
            <v>99.114393178251547</v>
          </cell>
        </row>
        <row r="718">
          <cell r="AS718">
            <v>100.25044099616535</v>
          </cell>
        </row>
        <row r="719">
          <cell r="AS719">
            <v>98.090470150181261</v>
          </cell>
        </row>
        <row r="720">
          <cell r="AS720">
            <v>100.10522064350327</v>
          </cell>
        </row>
        <row r="721">
          <cell r="AS721">
            <v>99.700868877531136</v>
          </cell>
        </row>
        <row r="722">
          <cell r="AS722">
            <v>99.158966709289359</v>
          </cell>
        </row>
        <row r="723">
          <cell r="AS723">
            <v>101.64126027501119</v>
          </cell>
        </row>
        <row r="724">
          <cell r="AS724">
            <v>98.030709113713215</v>
          </cell>
        </row>
        <row r="725">
          <cell r="AS725">
            <v>103.30273119645332</v>
          </cell>
        </row>
        <row r="726">
          <cell r="AS726">
            <v>101.15019753270298</v>
          </cell>
        </row>
        <row r="727">
          <cell r="AS727">
            <v>105.78508118562733</v>
          </cell>
        </row>
        <row r="728">
          <cell r="AS728">
            <v>104.23720728533692</v>
          </cell>
        </row>
        <row r="729">
          <cell r="AS729">
            <v>103.57495308095812</v>
          </cell>
        </row>
        <row r="730">
          <cell r="AS730">
            <v>96.457778749263497</v>
          </cell>
        </row>
        <row r="731">
          <cell r="AS731">
            <v>98.26394823520674</v>
          </cell>
        </row>
        <row r="732">
          <cell r="AS732">
            <v>96.781019314036527</v>
          </cell>
        </row>
        <row r="733">
          <cell r="AS733">
            <v>98.535206939635856</v>
          </cell>
        </row>
        <row r="735">
          <cell r="AS735">
            <v>98.95536987190583</v>
          </cell>
        </row>
        <row r="736">
          <cell r="AS736">
            <v>100.69991425551854</v>
          </cell>
        </row>
        <row r="737">
          <cell r="AS737">
            <v>97.491795209253013</v>
          </cell>
        </row>
        <row r="738">
          <cell r="AS738">
            <v>99.907901362483045</v>
          </cell>
        </row>
        <row r="739">
          <cell r="AS739">
            <v>95.681008986054323</v>
          </cell>
        </row>
        <row r="740">
          <cell r="AS740">
            <v>101.34178018250964</v>
          </cell>
        </row>
        <row r="741">
          <cell r="AS741">
            <v>97.155168767938704</v>
          </cell>
        </row>
        <row r="742">
          <cell r="AS742">
            <v>98.829691341458499</v>
          </cell>
        </row>
        <row r="743">
          <cell r="AS743">
            <v>97.46378758207527</v>
          </cell>
        </row>
        <row r="744">
          <cell r="AS744">
            <v>95.215943842430946</v>
          </cell>
        </row>
        <row r="745">
          <cell r="AS745">
            <v>97.760584286850658</v>
          </cell>
        </row>
        <row r="746">
          <cell r="AS746">
            <v>100.17576788642711</v>
          </cell>
        </row>
        <row r="747">
          <cell r="AS747">
            <v>99.164002830183804</v>
          </cell>
        </row>
        <row r="748">
          <cell r="AS748">
            <v>98.282647159217547</v>
          </cell>
        </row>
        <row r="749">
          <cell r="AS749">
            <v>0</v>
          </cell>
        </row>
        <row r="750">
          <cell r="AS750">
            <v>98.310617012597305</v>
          </cell>
        </row>
        <row r="751">
          <cell r="AS751">
            <v>102.08679626615999</v>
          </cell>
        </row>
        <row r="752">
          <cell r="AS752">
            <v>100.5755863884288</v>
          </cell>
        </row>
        <row r="753">
          <cell r="AS753">
            <v>100.22177492564568</v>
          </cell>
        </row>
        <row r="754">
          <cell r="AS754">
            <v>101.02676910175529</v>
          </cell>
        </row>
        <row r="755">
          <cell r="AS755">
            <v>97.404295309262068</v>
          </cell>
        </row>
        <row r="756">
          <cell r="AS756">
            <v>96.82326614378033</v>
          </cell>
        </row>
        <row r="757">
          <cell r="AS757">
            <v>99.687040472011219</v>
          </cell>
        </row>
        <row r="758">
          <cell r="AS758">
            <v>98.111807696210434</v>
          </cell>
        </row>
        <row r="759">
          <cell r="AS759">
            <v>100.85106845139266</v>
          </cell>
        </row>
        <row r="760">
          <cell r="AS760">
            <v>100.21828140142605</v>
          </cell>
        </row>
        <row r="761">
          <cell r="AS761">
            <v>100.80172659044324</v>
          </cell>
        </row>
        <row r="762">
          <cell r="AS762">
            <v>101.5570974757542</v>
          </cell>
        </row>
        <row r="763">
          <cell r="AS763">
            <v>100.90521204600731</v>
          </cell>
        </row>
        <row r="764">
          <cell r="AS764">
            <v>100.54979181092753</v>
          </cell>
        </row>
        <row r="765">
          <cell r="AS765">
            <v>100.16529365581646</v>
          </cell>
        </row>
        <row r="766">
          <cell r="AS766">
            <v>98.790466396560987</v>
          </cell>
        </row>
        <row r="767">
          <cell r="AS767">
            <v>99.598542228550073</v>
          </cell>
        </row>
        <row r="768">
          <cell r="AS768">
            <v>97.527184757292375</v>
          </cell>
        </row>
        <row r="769">
          <cell r="AS769">
            <v>98.373863755008472</v>
          </cell>
        </row>
        <row r="770">
          <cell r="AS770">
            <v>99.931009421690447</v>
          </cell>
        </row>
        <row r="771">
          <cell r="AS771">
            <v>95.744176615880463</v>
          </cell>
        </row>
        <row r="772">
          <cell r="AS772">
            <v>101.39705127935868</v>
          </cell>
        </row>
        <row r="773">
          <cell r="AS773">
            <v>99.847915705494756</v>
          </cell>
        </row>
        <row r="774">
          <cell r="AS774">
            <v>93.951214784385911</v>
          </cell>
        </row>
        <row r="775">
          <cell r="AS775">
            <v>104.00634438574011</v>
          </cell>
        </row>
        <row r="776">
          <cell r="AS776">
            <v>96.391641700304547</v>
          </cell>
        </row>
        <row r="777">
          <cell r="AS777">
            <v>99.213409957842245</v>
          </cell>
        </row>
        <row r="779">
          <cell r="AS779">
            <v>97.077069258769328</v>
          </cell>
        </row>
        <row r="780">
          <cell r="AS780">
            <v>98.5575805155583</v>
          </cell>
        </row>
        <row r="781">
          <cell r="AS781">
            <v>97.286594404390684</v>
          </cell>
        </row>
        <row r="782">
          <cell r="AS782">
            <v>98.856766711971432</v>
          </cell>
        </row>
        <row r="783">
          <cell r="AS783">
            <v>101.26297533851098</v>
          </cell>
        </row>
        <row r="784">
          <cell r="AS784">
            <v>101.14713620940017</v>
          </cell>
        </row>
        <row r="785">
          <cell r="AS785">
            <v>97.0937677333973</v>
          </cell>
        </row>
        <row r="786">
          <cell r="AS786">
            <v>100.28174495732387</v>
          </cell>
        </row>
        <row r="787">
          <cell r="AS787">
            <v>95.812766380910489</v>
          </cell>
        </row>
        <row r="788">
          <cell r="AS788">
            <v>101.65546749098584</v>
          </cell>
        </row>
        <row r="789">
          <cell r="AS789">
            <v>97.853490599541431</v>
          </cell>
        </row>
        <row r="790">
          <cell r="AS790">
            <v>98.55010674540874</v>
          </cell>
        </row>
        <row r="791">
          <cell r="AS791">
            <v>97.613412018070761</v>
          </cell>
        </row>
        <row r="792">
          <cell r="AS792">
            <v>99.561158181986798</v>
          </cell>
        </row>
        <row r="793">
          <cell r="AS793">
            <v>100.24613889822621</v>
          </cell>
        </row>
        <row r="794">
          <cell r="AS794">
            <v>100.37170454522671</v>
          </cell>
        </row>
        <row r="795">
          <cell r="AS795">
            <v>100.70061057164963</v>
          </cell>
        </row>
        <row r="796">
          <cell r="AS796">
            <v>100.47480022325537</v>
          </cell>
        </row>
        <row r="797">
          <cell r="AS797">
            <v>99.841103993586884</v>
          </cell>
        </row>
        <row r="798">
          <cell r="AS798">
            <v>100.27740375916254</v>
          </cell>
        </row>
        <row r="799">
          <cell r="AS799">
            <v>97.48002702939435</v>
          </cell>
        </row>
        <row r="800">
          <cell r="AS800">
            <v>98.598067999045995</v>
          </cell>
        </row>
        <row r="801">
          <cell r="AS801">
            <v>100.85369125518513</v>
          </cell>
        </row>
        <row r="802">
          <cell r="AS802">
            <v>100.51892746653148</v>
          </cell>
        </row>
        <row r="803">
          <cell r="AS803">
            <v>101.64201292749718</v>
          </cell>
        </row>
        <row r="804">
          <cell r="AS804">
            <v>98.677122821490286</v>
          </cell>
        </row>
        <row r="805">
          <cell r="AS805">
            <v>94.602663444886986</v>
          </cell>
        </row>
        <row r="806">
          <cell r="AS806">
            <v>98.947982015755926</v>
          </cell>
        </row>
        <row r="807">
          <cell r="AS807">
            <v>99.1420270769014</v>
          </cell>
        </row>
        <row r="808">
          <cell r="AS808">
            <v>97.516997840525605</v>
          </cell>
        </row>
        <row r="809">
          <cell r="AS809">
            <v>99.751255694747158</v>
          </cell>
        </row>
        <row r="810">
          <cell r="AS810">
            <v>96.891431370869441</v>
          </cell>
        </row>
        <row r="811">
          <cell r="AS811">
            <v>100.18085577032127</v>
          </cell>
        </row>
        <row r="812">
          <cell r="AS812">
            <v>99.659757981465702</v>
          </cell>
        </row>
        <row r="813">
          <cell r="AS813">
            <v>107.34365755487836</v>
          </cell>
        </row>
        <row r="814">
          <cell r="AS814">
            <v>99.968736134069019</v>
          </cell>
        </row>
        <row r="815">
          <cell r="AS815">
            <v>99.217726998153125</v>
          </cell>
        </row>
        <row r="816">
          <cell r="AS816">
            <v>99.27225455813722</v>
          </cell>
        </row>
        <row r="817">
          <cell r="AS817">
            <v>97.215757839186651</v>
          </cell>
        </row>
        <row r="818">
          <cell r="AS818">
            <v>97.999909522417397</v>
          </cell>
        </row>
        <row r="819">
          <cell r="AS819">
            <v>99.644096363428588</v>
          </cell>
        </row>
        <row r="820">
          <cell r="AS820">
            <v>100.2807941835346</v>
          </cell>
        </row>
        <row r="821">
          <cell r="AS821">
            <v>98.168564653147371</v>
          </cell>
        </row>
        <row r="822">
          <cell r="AS822">
            <v>99.822806736202935</v>
          </cell>
        </row>
        <row r="824">
          <cell r="AS824">
            <v>99.414978940495374</v>
          </cell>
        </row>
        <row r="825">
          <cell r="AS825">
            <v>94.676492860195467</v>
          </cell>
        </row>
        <row r="826">
          <cell r="AS826">
            <v>101.52790626522442</v>
          </cell>
        </row>
        <row r="827">
          <cell r="AS827">
            <v>98.660106268344649</v>
          </cell>
        </row>
        <row r="828">
          <cell r="AS828">
            <v>97.981976311886754</v>
          </cell>
        </row>
        <row r="829">
          <cell r="AS829">
            <v>100.54504817750203</v>
          </cell>
        </row>
        <row r="830">
          <cell r="AS830">
            <v>99.549781561862332</v>
          </cell>
        </row>
        <row r="831">
          <cell r="AS831">
            <v>97.870128246333465</v>
          </cell>
        </row>
        <row r="832">
          <cell r="AS832">
            <v>98.918044513526468</v>
          </cell>
        </row>
        <row r="833">
          <cell r="AS833">
            <v>100.23810470072885</v>
          </cell>
        </row>
        <row r="834">
          <cell r="AS834">
            <v>98.141058126939669</v>
          </cell>
        </row>
        <row r="835">
          <cell r="AS835">
            <v>99.464351820346025</v>
          </cell>
        </row>
        <row r="836">
          <cell r="AS836">
            <v>99.891260601944538</v>
          </cell>
        </row>
        <row r="837">
          <cell r="AS837">
            <v>98.825303504106472</v>
          </cell>
        </row>
        <row r="838">
          <cell r="AS838">
            <v>99.811583978199351</v>
          </cell>
        </row>
        <row r="839">
          <cell r="AS839">
            <v>100.14229891746602</v>
          </cell>
        </row>
        <row r="840">
          <cell r="AS840">
            <v>96.508807516019175</v>
          </cell>
        </row>
        <row r="841">
          <cell r="AS841">
            <v>101.43378785819282</v>
          </cell>
        </row>
        <row r="842">
          <cell r="AS842">
            <v>97.423134038373789</v>
          </cell>
        </row>
        <row r="843">
          <cell r="AS843">
            <v>98.971240412158565</v>
          </cell>
        </row>
        <row r="844">
          <cell r="AS844">
            <v>99.48938955321573</v>
          </cell>
        </row>
        <row r="845">
          <cell r="AS845">
            <v>102.57854383778138</v>
          </cell>
        </row>
        <row r="846">
          <cell r="AS846">
            <v>98.992760119033306</v>
          </cell>
        </row>
        <row r="847">
          <cell r="AS847">
            <v>98.504346092292792</v>
          </cell>
        </row>
        <row r="848">
          <cell r="AS848">
            <v>96.413335590373151</v>
          </cell>
        </row>
        <row r="849">
          <cell r="AS849">
            <v>98.159547445229293</v>
          </cell>
        </row>
        <row r="850">
          <cell r="AS850">
            <v>99.986663333079832</v>
          </cell>
        </row>
        <row r="851">
          <cell r="AS851">
            <v>99.625287378566313</v>
          </cell>
        </row>
        <row r="852">
          <cell r="AS852">
            <v>95.365817891823511</v>
          </cell>
        </row>
        <row r="853">
          <cell r="AS853">
            <v>98.859846723026621</v>
          </cell>
        </row>
        <row r="854">
          <cell r="AS854">
            <v>98.241036026878831</v>
          </cell>
        </row>
        <row r="855">
          <cell r="AS855">
            <v>99.825568866022024</v>
          </cell>
        </row>
        <row r="856">
          <cell r="AS856">
            <v>98.645282808431347</v>
          </cell>
        </row>
        <row r="857">
          <cell r="AS857">
            <v>98.914939752442152</v>
          </cell>
        </row>
        <row r="858">
          <cell r="AS858">
            <v>97.758039872296649</v>
          </cell>
        </row>
        <row r="859">
          <cell r="AS859">
            <v>99.744802672280059</v>
          </cell>
        </row>
        <row r="860">
          <cell r="AS860">
            <v>94.213153736760106</v>
          </cell>
        </row>
        <row r="861">
          <cell r="AS861">
            <v>97.33408636572112</v>
          </cell>
        </row>
        <row r="862">
          <cell r="AS862">
            <v>98.687851500360367</v>
          </cell>
        </row>
        <row r="863">
          <cell r="AS863">
            <v>98.15830941278702</v>
          </cell>
        </row>
        <row r="865">
          <cell r="AS865">
            <v>95.322225589235501</v>
          </cell>
        </row>
        <row r="866">
          <cell r="AS866">
            <v>98.967121553081768</v>
          </cell>
        </row>
        <row r="867">
          <cell r="AS867">
            <v>99.238723942766654</v>
          </cell>
        </row>
        <row r="868">
          <cell r="AS868">
            <v>98.002274187869418</v>
          </cell>
        </row>
        <row r="869">
          <cell r="AS869">
            <v>99.648174106091631</v>
          </cell>
        </row>
        <row r="870">
          <cell r="AS870">
            <v>98.585621058035315</v>
          </cell>
        </row>
        <row r="871">
          <cell r="AS871">
            <v>98.936161390139659</v>
          </cell>
        </row>
        <row r="872">
          <cell r="AS872">
            <v>99.298623297788069</v>
          </cell>
        </row>
        <row r="873">
          <cell r="AS873">
            <v>95.78908667395234</v>
          </cell>
        </row>
        <row r="874">
          <cell r="AS874">
            <v>97.043689776083454</v>
          </cell>
        </row>
        <row r="875">
          <cell r="AS875">
            <v>99.899219809669859</v>
          </cell>
        </row>
        <row r="876">
          <cell r="AS876">
            <v>99.613745193751541</v>
          </cell>
        </row>
        <row r="877">
          <cell r="AS877">
            <v>97.024100682701572</v>
          </cell>
        </row>
        <row r="878">
          <cell r="AS878">
            <v>99.401026369834483</v>
          </cell>
        </row>
        <row r="879">
          <cell r="AS879">
            <v>99.42119726743698</v>
          </cell>
        </row>
        <row r="880">
          <cell r="AS880">
            <v>99.42119726743698</v>
          </cell>
        </row>
        <row r="881">
          <cell r="AS881">
            <v>99.934567640109535</v>
          </cell>
        </row>
        <row r="882">
          <cell r="AS882">
            <v>98.222358072958968</v>
          </cell>
        </row>
        <row r="883">
          <cell r="AS883">
            <v>99.47232737989826</v>
          </cell>
        </row>
        <row r="884">
          <cell r="AS884">
            <v>100.16108688972618</v>
          </cell>
        </row>
        <row r="885">
          <cell r="AS885">
            <v>97.436742232158792</v>
          </cell>
        </row>
        <row r="886">
          <cell r="AS886">
            <v>97.469417997799923</v>
          </cell>
        </row>
        <row r="887">
          <cell r="AS887">
            <v>100.01653377802042</v>
          </cell>
        </row>
        <row r="888">
          <cell r="AS888">
            <v>97.541487691308987</v>
          </cell>
        </row>
        <row r="889">
          <cell r="AS889">
            <v>99.793915802126293</v>
          </cell>
        </row>
        <row r="890">
          <cell r="AS890">
            <v>99.544198235265355</v>
          </cell>
        </row>
        <row r="891">
          <cell r="AS891">
            <v>99.434422211804062</v>
          </cell>
        </row>
        <row r="892">
          <cell r="AS892">
            <v>99.320165825298616</v>
          </cell>
        </row>
        <row r="893">
          <cell r="AS893">
            <v>96.667344780276736</v>
          </cell>
        </row>
        <row r="894">
          <cell r="AS894">
            <v>97.898322636248054</v>
          </cell>
        </row>
        <row r="895">
          <cell r="AS895">
            <v>98.729354665356169</v>
          </cell>
        </row>
        <row r="896">
          <cell r="AS896">
            <v>96.885068018319615</v>
          </cell>
        </row>
        <row r="897">
          <cell r="AS897">
            <v>99.160395090357554</v>
          </cell>
        </row>
        <row r="898">
          <cell r="AS898">
            <v>98.888094805680922</v>
          </cell>
        </row>
        <row r="899">
          <cell r="AS899">
            <v>99.712714771584814</v>
          </cell>
        </row>
        <row r="900">
          <cell r="AS900">
            <v>99.287176443605802</v>
          </cell>
        </row>
        <row r="901">
          <cell r="AS901">
            <v>97.739565481027867</v>
          </cell>
        </row>
        <row r="902">
          <cell r="AS902">
            <v>98.776041662093803</v>
          </cell>
        </row>
        <row r="903">
          <cell r="AS903">
            <v>100.04976276206206</v>
          </cell>
        </row>
        <row r="904">
          <cell r="AS904">
            <v>98.960447208711898</v>
          </cell>
        </row>
        <row r="905">
          <cell r="AS905">
            <v>91.188634381833737</v>
          </cell>
        </row>
        <row r="906">
          <cell r="AS906">
            <v>97.51764886680489</v>
          </cell>
        </row>
        <row r="907">
          <cell r="AS907">
            <v>93.374743432540484</v>
          </cell>
        </row>
        <row r="908">
          <cell r="AS908">
            <v>96.532622110574522</v>
          </cell>
        </row>
        <row r="909">
          <cell r="AS909">
            <v>98.302894296350672</v>
          </cell>
        </row>
        <row r="910">
          <cell r="AS910">
            <v>95.819139923451573</v>
          </cell>
        </row>
        <row r="911">
          <cell r="AS911">
            <v>98.815899469497609</v>
          </cell>
        </row>
        <row r="912">
          <cell r="AS912">
            <v>98.646048448871909</v>
          </cell>
        </row>
        <row r="913">
          <cell r="AS913">
            <v>99.820406168501322</v>
          </cell>
        </row>
        <row r="914">
          <cell r="AS914">
            <v>98.912440266800218</v>
          </cell>
        </row>
        <row r="915">
          <cell r="AS915">
            <v>99.698457329259341</v>
          </cell>
        </row>
        <row r="916">
          <cell r="AS916">
            <v>98.111238801725193</v>
          </cell>
        </row>
        <row r="917">
          <cell r="AS917">
            <v>99.424312497735059</v>
          </cell>
        </row>
        <row r="918">
          <cell r="AS918">
            <v>97.398766236179426</v>
          </cell>
        </row>
        <row r="919">
          <cell r="AS919">
            <v>99.073036673111616</v>
          </cell>
        </row>
        <row r="920">
          <cell r="AS920">
            <v>96.99725046263336</v>
          </cell>
        </row>
        <row r="921">
          <cell r="AS921">
            <v>99.014735311838592</v>
          </cell>
        </row>
        <row r="922">
          <cell r="AS922">
            <v>99.905301205894347</v>
          </cell>
        </row>
        <row r="923">
          <cell r="AS923">
            <v>99.584353447659552</v>
          </cell>
        </row>
        <row r="924">
          <cell r="AS924">
            <v>99.150286529956631</v>
          </cell>
        </row>
        <row r="925">
          <cell r="AS925">
            <v>94.442580550045619</v>
          </cell>
        </row>
        <row r="926">
          <cell r="AS926">
            <v>98.425890832697604</v>
          </cell>
        </row>
        <row r="927">
          <cell r="AS927">
            <v>96.309744781187845</v>
          </cell>
        </row>
        <row r="928">
          <cell r="AS928">
            <v>98.046206145005172</v>
          </cell>
        </row>
        <row r="929">
          <cell r="AS929">
            <v>98.295512714820589</v>
          </cell>
        </row>
        <row r="930">
          <cell r="AS930">
            <v>98.418510288190774</v>
          </cell>
        </row>
        <row r="931">
          <cell r="AS931">
            <v>98.353066766503787</v>
          </cell>
        </row>
        <row r="932">
          <cell r="AS932">
            <v>99.738823521857796</v>
          </cell>
        </row>
        <row r="933">
          <cell r="AS933">
            <v>95.285092230611866</v>
          </cell>
        </row>
        <row r="934">
          <cell r="AS934">
            <v>93.46325576838143</v>
          </cell>
        </row>
        <row r="935">
          <cell r="AS935">
            <v>97.692294560648392</v>
          </cell>
        </row>
        <row r="936">
          <cell r="AS936">
            <v>99.372075719358918</v>
          </cell>
        </row>
        <row r="937">
          <cell r="AS937">
            <v>98.77103493879828</v>
          </cell>
        </row>
        <row r="938">
          <cell r="AS938">
            <v>98.026774266751971</v>
          </cell>
        </row>
        <row r="939">
          <cell r="AS939">
            <v>99.321626062749729</v>
          </cell>
        </row>
        <row r="940">
          <cell r="AS940">
            <v>99.884127061726787</v>
          </cell>
        </row>
        <row r="941">
          <cell r="AS941">
            <v>94.752766498544304</v>
          </cell>
        </row>
        <row r="942">
          <cell r="AS942">
            <v>98.508753446513779</v>
          </cell>
        </row>
        <row r="943">
          <cell r="AS943">
            <v>101.68061311991168</v>
          </cell>
        </row>
        <row r="944">
          <cell r="AS944">
            <v>98.570688011944725</v>
          </cell>
        </row>
        <row r="945">
          <cell r="AS945">
            <v>99.162557027956495</v>
          </cell>
        </row>
        <row r="946">
          <cell r="AS946">
            <v>99.897543560915992</v>
          </cell>
        </row>
        <row r="947">
          <cell r="AS947">
            <v>97.786032279928818</v>
          </cell>
        </row>
        <row r="948">
          <cell r="AS948">
            <v>99.458598669556125</v>
          </cell>
        </row>
        <row r="949">
          <cell r="AS949">
            <v>98.98951864826472</v>
          </cell>
        </row>
        <row r="950">
          <cell r="AS950">
            <v>99.795950572079505</v>
          </cell>
        </row>
        <row r="951">
          <cell r="AS951">
            <v>100.03354018722838</v>
          </cell>
        </row>
        <row r="952">
          <cell r="AS952">
            <v>95.509530117217736</v>
          </cell>
        </row>
        <row r="953">
          <cell r="AS953">
            <v>98.628019884552387</v>
          </cell>
        </row>
        <row r="954">
          <cell r="AS954">
            <v>99.50828870315982</v>
          </cell>
        </row>
        <row r="955">
          <cell r="AS955">
            <v>97.44554981572918</v>
          </cell>
        </row>
        <row r="956">
          <cell r="AS956">
            <v>99.235165302311827</v>
          </cell>
        </row>
        <row r="957">
          <cell r="AS957">
            <v>99.345922764916011</v>
          </cell>
        </row>
        <row r="958">
          <cell r="AS958">
            <v>99.812648191819761</v>
          </cell>
        </row>
        <row r="959">
          <cell r="AS959">
            <v>99.110255548347155</v>
          </cell>
        </row>
        <row r="960">
          <cell r="AS960">
            <v>99.313907853259352</v>
          </cell>
        </row>
        <row r="961">
          <cell r="AS961">
            <v>99.459186839916782</v>
          </cell>
        </row>
        <row r="962">
          <cell r="AS962">
            <v>100.26127705636773</v>
          </cell>
        </row>
        <row r="963">
          <cell r="AS963">
            <v>95.275709637646131</v>
          </cell>
        </row>
        <row r="964">
          <cell r="AS964">
            <v>97.991827926819525</v>
          </cell>
        </row>
        <row r="965">
          <cell r="AS965">
            <v>99.059893854825532</v>
          </cell>
        </row>
        <row r="966">
          <cell r="AS966">
            <v>99.584378575324806</v>
          </cell>
        </row>
        <row r="967">
          <cell r="AS967">
            <v>98.761833735786624</v>
          </cell>
        </row>
        <row r="968">
          <cell r="AS968">
            <v>97.606431269436612</v>
          </cell>
        </row>
        <row r="969">
          <cell r="AS969">
            <v>96.421062953071228</v>
          </cell>
        </row>
        <row r="970">
          <cell r="AS970">
            <v>94.252076084576643</v>
          </cell>
        </row>
        <row r="971">
          <cell r="AS971">
            <v>97.076888940242085</v>
          </cell>
        </row>
        <row r="972">
          <cell r="AS972">
            <v>99.141534843347159</v>
          </cell>
        </row>
        <row r="973">
          <cell r="AS973">
            <v>99.634376452290198</v>
          </cell>
        </row>
        <row r="974">
          <cell r="AS974">
            <v>100.5587546462191</v>
          </cell>
        </row>
        <row r="976">
          <cell r="A976" t="str">
            <v>ST389</v>
          </cell>
          <cell r="AS976">
            <v>95.84769954565148</v>
          </cell>
        </row>
        <row r="977">
          <cell r="A977" t="str">
            <v>ST390</v>
          </cell>
          <cell r="AS977">
            <v>100.26238441701008</v>
          </cell>
        </row>
        <row r="978">
          <cell r="A978" t="str">
            <v>ST391</v>
          </cell>
          <cell r="AS978">
            <v>98.835712833337951</v>
          </cell>
        </row>
        <row r="979">
          <cell r="A979" t="str">
            <v>ST392</v>
          </cell>
          <cell r="AS979">
            <v>99.563123412098136</v>
          </cell>
        </row>
        <row r="980">
          <cell r="A980" t="str">
            <v>ST393</v>
          </cell>
        </row>
        <row r="981">
          <cell r="A981" t="str">
            <v>ST394</v>
          </cell>
          <cell r="AS981">
            <v>99.438369618907075</v>
          </cell>
        </row>
        <row r="982">
          <cell r="A982" t="str">
            <v>ST395</v>
          </cell>
          <cell r="AS982">
            <v>98.642275622859415</v>
          </cell>
        </row>
        <row r="983">
          <cell r="A983" t="str">
            <v>ST396</v>
          </cell>
          <cell r="AS983">
            <v>99.614073029250193</v>
          </cell>
        </row>
        <row r="984">
          <cell r="A984" t="str">
            <v>ST397</v>
          </cell>
          <cell r="AS984">
            <v>99.740392122501049</v>
          </cell>
        </row>
        <row r="985">
          <cell r="A985" t="str">
            <v>ST398</v>
          </cell>
          <cell r="AS985">
            <v>100.69666248352205</v>
          </cell>
        </row>
        <row r="986">
          <cell r="A986" t="str">
            <v>ST399</v>
          </cell>
          <cell r="AS986">
            <v>100.31792758418116</v>
          </cell>
        </row>
        <row r="987">
          <cell r="A987" t="str">
            <v>ST400</v>
          </cell>
          <cell r="AS987">
            <v>100.84109483792494</v>
          </cell>
        </row>
        <row r="988">
          <cell r="A988" t="str">
            <v>ST401</v>
          </cell>
          <cell r="AS988">
            <v>95.905620939078773</v>
          </cell>
        </row>
        <row r="989">
          <cell r="A989" t="str">
            <v>ST402</v>
          </cell>
          <cell r="AS989">
            <v>96.760533281323376</v>
          </cell>
        </row>
        <row r="990">
          <cell r="A990" t="str">
            <v>ST403</v>
          </cell>
          <cell r="AS990">
            <v>99.090851111924238</v>
          </cell>
        </row>
        <row r="991">
          <cell r="A991" t="str">
            <v>ST404</v>
          </cell>
          <cell r="AS991">
            <v>100.28953076247171</v>
          </cell>
        </row>
        <row r="992">
          <cell r="A992" t="str">
            <v>ST405</v>
          </cell>
          <cell r="AS992">
            <v>98.68100870163795</v>
          </cell>
        </row>
        <row r="993">
          <cell r="A993" t="str">
            <v>ST406</v>
          </cell>
          <cell r="AS993">
            <v>98.657011703724478</v>
          </cell>
        </row>
        <row r="994">
          <cell r="A994" t="str">
            <v>ST407</v>
          </cell>
          <cell r="AS994">
            <v>98.539725565001788</v>
          </cell>
        </row>
        <row r="995">
          <cell r="A995" t="str">
            <v>ST408</v>
          </cell>
          <cell r="AS995">
            <v>98.853539615484877</v>
          </cell>
        </row>
        <row r="996">
          <cell r="A996" t="str">
            <v>ST409</v>
          </cell>
          <cell r="AS996">
            <v>97.026739234878065</v>
          </cell>
        </row>
        <row r="997">
          <cell r="A997" t="str">
            <v>ST410</v>
          </cell>
          <cell r="AS997">
            <v>99.348173755912001</v>
          </cell>
        </row>
        <row r="998">
          <cell r="A998" t="str">
            <v>ST411</v>
          </cell>
          <cell r="AS998">
            <v>97.865007404547399</v>
          </cell>
        </row>
        <row r="999">
          <cell r="A999" t="str">
            <v>ST412</v>
          </cell>
          <cell r="AS999">
            <v>99.015667179643799</v>
          </cell>
        </row>
        <row r="1000">
          <cell r="A1000" t="str">
            <v>ST413</v>
          </cell>
          <cell r="AS1000">
            <v>92.840729271609433</v>
          </cell>
        </row>
        <row r="1001">
          <cell r="A1001" t="str">
            <v>ST414</v>
          </cell>
          <cell r="AS1001">
            <v>96.937453604595234</v>
          </cell>
        </row>
        <row r="1002">
          <cell r="A1002" t="str">
            <v>ST415</v>
          </cell>
          <cell r="AS1002">
            <v>96.267168950908413</v>
          </cell>
        </row>
        <row r="1003">
          <cell r="A1003" t="str">
            <v>ST416</v>
          </cell>
          <cell r="AS1003">
            <v>102.55783677768659</v>
          </cell>
        </row>
        <row r="1004">
          <cell r="A1004" t="str">
            <v>ST417</v>
          </cell>
          <cell r="AS1004">
            <v>101.12268847023552</v>
          </cell>
        </row>
        <row r="1005">
          <cell r="A1005" t="str">
            <v>ST418</v>
          </cell>
          <cell r="AS1005">
            <v>98.872876183901013</v>
          </cell>
        </row>
        <row r="1006">
          <cell r="A1006" t="str">
            <v>ST419</v>
          </cell>
          <cell r="AS1006">
            <v>97.893936815743572</v>
          </cell>
        </row>
        <row r="1007">
          <cell r="A1007" t="str">
            <v>ST420</v>
          </cell>
          <cell r="AS1007">
            <v>94.369755090376813</v>
          </cell>
        </row>
      </sheetData>
      <sheetData sheetId="7">
        <row r="16">
          <cell r="D16">
            <v>11.8</v>
          </cell>
        </row>
      </sheetData>
      <sheetData sheetId="8"/>
      <sheetData sheetId="9"/>
      <sheetData sheetId="10">
        <row r="6">
          <cell r="H6">
            <v>1387.6999999999996</v>
          </cell>
        </row>
      </sheetData>
      <sheetData sheetId="11">
        <row r="18">
          <cell r="E18">
            <v>26275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wMaterials"/>
      <sheetName val="Brewhouse"/>
      <sheetName val="Process"/>
      <sheetName val="Guinnbottling"/>
      <sheetName val="Summary December '23"/>
      <sheetName val="Summary November '23"/>
      <sheetName val="Summary October '23"/>
      <sheetName val="Summary August '23"/>
      <sheetName val="Summary July '23  "/>
      <sheetName val="Summary June '23 "/>
      <sheetName val="Summary May '23 "/>
      <sheetName val="Summary April '23"/>
      <sheetName val="Summary March '23 "/>
      <sheetName val="Summary February '23 "/>
      <sheetName val="Summary January '23"/>
      <sheetName val="Summary December '22  "/>
      <sheetName val="Summary November '22 "/>
      <sheetName val="Summary October '22  "/>
      <sheetName val="Summary September '22 "/>
      <sheetName val="Summary August '22"/>
      <sheetName val="Summary July '22"/>
      <sheetName val="Summary June '22 "/>
      <sheetName val="Summary May '22"/>
      <sheetName val="Summary April '22"/>
      <sheetName val="Summary March '22 "/>
      <sheetName val="Summary February '22"/>
      <sheetName val="Summary January '22  "/>
      <sheetName val="Summary December '21  "/>
      <sheetName val="Brew Time"/>
    </sheetNames>
    <sheetDataSet>
      <sheetData sheetId="0"/>
      <sheetData sheetId="1">
        <row r="15">
          <cell r="A15" t="str">
            <v>GU001</v>
          </cell>
        </row>
        <row r="161">
          <cell r="AU161">
            <v>93.965368107965062</v>
          </cell>
        </row>
        <row r="162">
          <cell r="AU162">
            <v>96.592804250515826</v>
          </cell>
        </row>
        <row r="163">
          <cell r="AU163">
            <v>96.855226146869683</v>
          </cell>
        </row>
        <row r="164">
          <cell r="AU164">
            <v>99.719563433141545</v>
          </cell>
        </row>
        <row r="165">
          <cell r="AU165">
            <v>93.977747984844711</v>
          </cell>
        </row>
        <row r="166">
          <cell r="AU166">
            <v>96.800755402267797</v>
          </cell>
        </row>
        <row r="167">
          <cell r="AU167">
            <v>99.262577009986543</v>
          </cell>
        </row>
        <row r="168">
          <cell r="AU168">
            <v>97.617284872705341</v>
          </cell>
        </row>
        <row r="169">
          <cell r="AU169">
            <v>93.882081223571518</v>
          </cell>
        </row>
        <row r="170">
          <cell r="AU170">
            <v>96.880311362448069</v>
          </cell>
        </row>
        <row r="171">
          <cell r="AU171">
            <v>96.195289997407556</v>
          </cell>
        </row>
        <row r="172">
          <cell r="AU172">
            <v>94.522516586223233</v>
          </cell>
        </row>
        <row r="173">
          <cell r="AU173">
            <v>96.272098390562704</v>
          </cell>
        </row>
        <row r="174">
          <cell r="AU174">
            <v>97.145205727107424</v>
          </cell>
        </row>
        <row r="175">
          <cell r="AU175">
            <v>96.638158603901061</v>
          </cell>
        </row>
        <row r="176">
          <cell r="AU176">
            <v>97.558522019176309</v>
          </cell>
        </row>
        <row r="178">
          <cell r="AU178">
            <v>95.219650212398349</v>
          </cell>
        </row>
        <row r="179">
          <cell r="AU179">
            <v>96.915732176693737</v>
          </cell>
        </row>
        <row r="180">
          <cell r="AU180">
            <v>97.113229437227318</v>
          </cell>
        </row>
        <row r="181">
          <cell r="AU181">
            <v>96.11289270970039</v>
          </cell>
        </row>
        <row r="182">
          <cell r="AU182">
            <v>97.124856870387418</v>
          </cell>
        </row>
        <row r="183">
          <cell r="AU183">
            <v>95.95234352237965</v>
          </cell>
        </row>
        <row r="184">
          <cell r="AU184">
            <v>96.235994895137281</v>
          </cell>
        </row>
        <row r="185">
          <cell r="AU185">
            <v>96.793019114599005</v>
          </cell>
        </row>
        <row r="186">
          <cell r="AU186">
            <v>92.695309482159786</v>
          </cell>
        </row>
        <row r="187">
          <cell r="AU187">
            <v>97.112578466227518</v>
          </cell>
        </row>
        <row r="188">
          <cell r="AU188">
            <v>95.415425829106212</v>
          </cell>
        </row>
        <row r="189">
          <cell r="AU189">
            <v>94.650398073167125</v>
          </cell>
        </row>
        <row r="190">
          <cell r="AU190">
            <v>94.570799056132827</v>
          </cell>
        </row>
        <row r="191">
          <cell r="AU191">
            <v>94.719124067077729</v>
          </cell>
        </row>
        <row r="192">
          <cell r="AU192">
            <v>98.306178948356205</v>
          </cell>
        </row>
        <row r="193">
          <cell r="AU193">
            <v>97.925390388444455</v>
          </cell>
        </row>
        <row r="194">
          <cell r="AU194">
            <v>97.460735039452615</v>
          </cell>
        </row>
        <row r="195">
          <cell r="AU195">
            <v>98.199690790562769</v>
          </cell>
        </row>
        <row r="197">
          <cell r="AU197">
            <v>94.088744814062039</v>
          </cell>
        </row>
        <row r="198">
          <cell r="AU198">
            <v>96.46704124616916</v>
          </cell>
        </row>
        <row r="199">
          <cell r="AU199">
            <v>98.170890958243888</v>
          </cell>
        </row>
        <row r="200">
          <cell r="AU200">
            <v>94.209226425483408</v>
          </cell>
        </row>
        <row r="201">
          <cell r="AU201">
            <v>96.562972599320716</v>
          </cell>
        </row>
        <row r="202">
          <cell r="AU202">
            <v>97.230417534132712</v>
          </cell>
        </row>
        <row r="203">
          <cell r="AU203">
            <v>96.409854967197631</v>
          </cell>
        </row>
        <row r="204">
          <cell r="AU204">
            <v>96.223735556064042</v>
          </cell>
        </row>
        <row r="205">
          <cell r="AU205">
            <v>92.795938408997429</v>
          </cell>
        </row>
        <row r="206">
          <cell r="AU206">
            <v>98.244249996615551</v>
          </cell>
        </row>
        <row r="207">
          <cell r="AU207">
            <v>95.836438954768568</v>
          </cell>
        </row>
        <row r="208">
          <cell r="AU208">
            <v>95.89152658101861</v>
          </cell>
        </row>
        <row r="210">
          <cell r="AU210">
            <v>98.635700007401397</v>
          </cell>
        </row>
        <row r="211">
          <cell r="AU211">
            <v>99.515247118434473</v>
          </cell>
        </row>
        <row r="212">
          <cell r="AU212">
            <v>100.24798044319473</v>
          </cell>
        </row>
        <row r="213">
          <cell r="AU213">
            <v>98.642482588617568</v>
          </cell>
        </row>
        <row r="214">
          <cell r="AU214">
            <v>96.251461303435718</v>
          </cell>
        </row>
        <row r="215">
          <cell r="AU215">
            <v>98.419763453677945</v>
          </cell>
        </row>
        <row r="216">
          <cell r="AU216">
            <v>99.357094534189159</v>
          </cell>
        </row>
        <row r="217">
          <cell r="AU217">
            <v>99.078260666012184</v>
          </cell>
        </row>
        <row r="218">
          <cell r="AU218">
            <v>98.607229669780182</v>
          </cell>
        </row>
        <row r="219">
          <cell r="AU219">
            <v>100.06017468228244</v>
          </cell>
        </row>
        <row r="220">
          <cell r="AU220">
            <v>98.260147384785725</v>
          </cell>
        </row>
        <row r="221">
          <cell r="AU221">
            <v>99.115469296800924</v>
          </cell>
        </row>
        <row r="223">
          <cell r="AU223">
            <v>94.742021388622192</v>
          </cell>
        </row>
        <row r="224">
          <cell r="AU224">
            <v>95.167484764134443</v>
          </cell>
        </row>
        <row r="225">
          <cell r="AU225">
            <v>94.895677912202714</v>
          </cell>
        </row>
        <row r="226">
          <cell r="AU226">
            <v>96.401077155647016</v>
          </cell>
        </row>
        <row r="227">
          <cell r="AU227">
            <v>97.302930067568894</v>
          </cell>
        </row>
        <row r="228">
          <cell r="AU228">
            <v>96.314203603781138</v>
          </cell>
        </row>
        <row r="229">
          <cell r="AU229">
            <v>95.483762066712103</v>
          </cell>
        </row>
        <row r="230">
          <cell r="AU230">
            <v>96.625516268419005</v>
          </cell>
        </row>
        <row r="231">
          <cell r="AU231">
            <v>98.898456815142168</v>
          </cell>
        </row>
        <row r="232">
          <cell r="AU232">
            <v>98.225452926077566</v>
          </cell>
        </row>
        <row r="234">
          <cell r="AU234">
            <v>95.896677174536023</v>
          </cell>
        </row>
        <row r="235">
          <cell r="AU235">
            <v>97.936062938846518</v>
          </cell>
        </row>
        <row r="236">
          <cell r="AU236">
            <v>97.583693826153464</v>
          </cell>
        </row>
        <row r="237">
          <cell r="AU237">
            <v>98.994098566320872</v>
          </cell>
        </row>
        <row r="238">
          <cell r="AU238">
            <v>95.502837408186139</v>
          </cell>
        </row>
        <row r="239">
          <cell r="AU239">
            <v>98.869439166620126</v>
          </cell>
        </row>
        <row r="240">
          <cell r="AU240">
            <v>88.436653657881806</v>
          </cell>
        </row>
        <row r="241">
          <cell r="AU241">
            <v>102.62330939701198</v>
          </cell>
        </row>
        <row r="242">
          <cell r="AU242">
            <v>96.980346516944635</v>
          </cell>
        </row>
        <row r="243">
          <cell r="AU243">
            <v>94.08944508824446</v>
          </cell>
        </row>
        <row r="244">
          <cell r="AU244">
            <v>96.737333077403832</v>
          </cell>
        </row>
        <row r="245">
          <cell r="AU245">
            <v>94.446876631568699</v>
          </cell>
        </row>
        <row r="246">
          <cell r="AU246">
            <v>97.049787257774071</v>
          </cell>
        </row>
        <row r="247">
          <cell r="AU247">
            <v>97.142174485894344</v>
          </cell>
        </row>
        <row r="248">
          <cell r="AU248">
            <v>95.941599519115414</v>
          </cell>
        </row>
        <row r="249">
          <cell r="AU249">
            <v>96.627463359556657</v>
          </cell>
        </row>
        <row r="250">
          <cell r="AU250">
            <v>97.242672763693818</v>
          </cell>
        </row>
        <row r="251">
          <cell r="AU251">
            <v>98.084098750403911</v>
          </cell>
        </row>
        <row r="252">
          <cell r="AU252">
            <v>97.275212826418226</v>
          </cell>
        </row>
        <row r="253">
          <cell r="AU253">
            <v>96.463666376007339</v>
          </cell>
        </row>
        <row r="254">
          <cell r="AU254">
            <v>94.809860277644958</v>
          </cell>
        </row>
        <row r="255">
          <cell r="AU255">
            <v>95.372531830954301</v>
          </cell>
        </row>
        <row r="256">
          <cell r="AU256">
            <v>97.104793218026899</v>
          </cell>
        </row>
        <row r="257">
          <cell r="AU257">
            <v>101.15481250823689</v>
          </cell>
        </row>
        <row r="258">
          <cell r="AU258">
            <v>97.136421299139741</v>
          </cell>
        </row>
        <row r="259">
          <cell r="AU259">
            <v>97.470434535510464</v>
          </cell>
        </row>
        <row r="260">
          <cell r="AU260">
            <v>93.220228527399556</v>
          </cell>
        </row>
        <row r="261">
          <cell r="AU261">
            <v>97.417353739920216</v>
          </cell>
        </row>
        <row r="262">
          <cell r="AU262">
            <v>102.56453826919012</v>
          </cell>
        </row>
        <row r="263">
          <cell r="AU263">
            <v>94.2191347002763</v>
          </cell>
        </row>
        <row r="264">
          <cell r="AU264">
            <v>97.225537612550042</v>
          </cell>
        </row>
        <row r="265">
          <cell r="AU265">
            <v>95.46204926037683</v>
          </cell>
        </row>
        <row r="266">
          <cell r="AU266">
            <v>96.295198372398715</v>
          </cell>
        </row>
        <row r="267">
          <cell r="AU267">
            <v>94.766322071054688</v>
          </cell>
        </row>
        <row r="268">
          <cell r="AU268">
            <v>96.729944015905701</v>
          </cell>
        </row>
        <row r="269">
          <cell r="AU269">
            <v>93.515968326362071</v>
          </cell>
        </row>
        <row r="270">
          <cell r="AU270">
            <v>95.326405402124465</v>
          </cell>
        </row>
        <row r="271">
          <cell r="AU271">
            <v>96.578493608349746</v>
          </cell>
        </row>
        <row r="272">
          <cell r="AU272">
            <v>96.612052964288281</v>
          </cell>
        </row>
        <row r="273">
          <cell r="AU273">
            <v>95.101201382387686</v>
          </cell>
        </row>
        <row r="274">
          <cell r="AU274">
            <v>97.42245815143751</v>
          </cell>
        </row>
        <row r="275">
          <cell r="AU275">
            <v>96.319562398779738</v>
          </cell>
        </row>
        <row r="276">
          <cell r="AU276">
            <v>96.224117927496195</v>
          </cell>
        </row>
        <row r="277">
          <cell r="AU277">
            <v>94.401983484097656</v>
          </cell>
        </row>
        <row r="278">
          <cell r="AU278">
            <v>99.387627351361019</v>
          </cell>
        </row>
        <row r="279">
          <cell r="AU279">
            <v>96.627570521050842</v>
          </cell>
        </row>
        <row r="282">
          <cell r="A282" t="str">
            <v>GU113</v>
          </cell>
          <cell r="AU282">
            <v>93.663100829572898</v>
          </cell>
        </row>
        <row r="283">
          <cell r="A283" t="str">
            <v>GU114</v>
          </cell>
          <cell r="AU283">
            <v>97.254070900973858</v>
          </cell>
        </row>
        <row r="284">
          <cell r="A284" t="str">
            <v>GU115</v>
          </cell>
          <cell r="AU284">
            <v>99.149861756743334</v>
          </cell>
        </row>
        <row r="285">
          <cell r="A285" t="str">
            <v>GU116</v>
          </cell>
          <cell r="AU285">
            <v>94.471130452224315</v>
          </cell>
        </row>
        <row r="286">
          <cell r="A286" t="str">
            <v>GU117</v>
          </cell>
          <cell r="AU286">
            <v>97.247994648231</v>
          </cell>
        </row>
        <row r="287">
          <cell r="A287" t="str">
            <v>GU118</v>
          </cell>
          <cell r="AU287">
            <v>94.48140281101675</v>
          </cell>
        </row>
        <row r="288">
          <cell r="A288" t="str">
            <v>GU119</v>
          </cell>
          <cell r="AU288">
            <v>97.045557790227846</v>
          </cell>
        </row>
        <row r="289">
          <cell r="A289" t="str">
            <v>GU120</v>
          </cell>
          <cell r="AU289">
            <v>96.706799632100712</v>
          </cell>
        </row>
      </sheetData>
      <sheetData sheetId="2">
        <row r="5">
          <cell r="D5">
            <v>17.2</v>
          </cell>
        </row>
      </sheetData>
      <sheetData sheetId="3"/>
      <sheetData sheetId="4"/>
      <sheetData sheetId="5">
        <row r="7">
          <cell r="H7">
            <v>313.3</v>
          </cell>
        </row>
      </sheetData>
      <sheetData sheetId="6">
        <row r="19">
          <cell r="E19">
            <v>4299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>
        <row r="19">
          <cell r="E19">
            <v>5839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VitaMalt - Operator Performance"/>
      <sheetName val="BrewMaterials"/>
      <sheetName val="Brewhouse"/>
      <sheetName val="Process"/>
      <sheetName val="Packaging"/>
      <sheetName val="Summary December '23"/>
      <sheetName val="Summary September '23"/>
      <sheetName val="Summary August '23"/>
      <sheetName val="Summary July '23"/>
      <sheetName val="Summary June '23 "/>
      <sheetName val="Summary May '23 "/>
      <sheetName val="Summary April '23"/>
      <sheetName val="Summary March '23"/>
      <sheetName val="Summary August '22"/>
      <sheetName val="Summary July '22 "/>
      <sheetName val="Summary June '22 "/>
      <sheetName val="Summary May '22"/>
      <sheetName val="Summary April '22"/>
      <sheetName val="Summary March '22"/>
      <sheetName val="Summary February '22"/>
      <sheetName val="Summary January '22"/>
      <sheetName val="Summary December '21 "/>
      <sheetName val="Summary January '22 "/>
      <sheetName val="Summary December '21  "/>
    </sheetNames>
    <sheetDataSet>
      <sheetData sheetId="0" refreshError="1"/>
      <sheetData sheetId="1"/>
      <sheetData sheetId="2"/>
      <sheetData sheetId="3">
        <row r="5">
          <cell r="B5">
            <v>44558</v>
          </cell>
        </row>
        <row r="92">
          <cell r="AU92">
            <v>92.976230173617424</v>
          </cell>
        </row>
        <row r="93">
          <cell r="AU93">
            <v>97.891128934292908</v>
          </cell>
        </row>
        <row r="94">
          <cell r="AU94">
            <v>97.973301157018028</v>
          </cell>
        </row>
        <row r="95">
          <cell r="AU95">
            <v>98.096408180762808</v>
          </cell>
        </row>
        <row r="96">
          <cell r="AU96">
            <v>96.60797006312923</v>
          </cell>
        </row>
        <row r="97">
          <cell r="AU97">
            <v>95.944323197552052</v>
          </cell>
        </row>
        <row r="98">
          <cell r="AU98">
            <v>97.96934029451829</v>
          </cell>
        </row>
        <row r="99">
          <cell r="AU99">
            <v>97.61931982421288</v>
          </cell>
        </row>
        <row r="100">
          <cell r="AU100">
            <v>96.832510902681079</v>
          </cell>
        </row>
        <row r="101">
          <cell r="AU101">
            <v>97.477315897621679</v>
          </cell>
        </row>
        <row r="103">
          <cell r="AU103">
            <v>97.93333635326627</v>
          </cell>
        </row>
        <row r="104">
          <cell r="AU104">
            <v>97.891046918081088</v>
          </cell>
        </row>
        <row r="105">
          <cell r="AU105">
            <v>99.033412354868091</v>
          </cell>
        </row>
        <row r="106">
          <cell r="AU106">
            <v>97.512358148572076</v>
          </cell>
        </row>
        <row r="107">
          <cell r="AU107">
            <v>95.87273211620672</v>
          </cell>
        </row>
        <row r="108">
          <cell r="AU108">
            <v>98.818321955908743</v>
          </cell>
        </row>
        <row r="109">
          <cell r="AU109">
            <v>98.005339225475495</v>
          </cell>
        </row>
        <row r="110">
          <cell r="AU110">
            <v>97.743136116212952</v>
          </cell>
        </row>
        <row r="111">
          <cell r="AU111">
            <v>96.815316848596865</v>
          </cell>
        </row>
        <row r="112">
          <cell r="AU112">
            <v>95.263079291761272</v>
          </cell>
        </row>
        <row r="114">
          <cell r="AU114">
            <v>98.814785799478145</v>
          </cell>
        </row>
        <row r="115">
          <cell r="AU115">
            <v>95.902564497676096</v>
          </cell>
        </row>
        <row r="116">
          <cell r="AU116">
            <v>98.175518315541183</v>
          </cell>
        </row>
        <row r="117">
          <cell r="AU117">
            <v>96.874026079753961</v>
          </cell>
        </row>
        <row r="118">
          <cell r="AU118">
            <v>96.210568758972599</v>
          </cell>
        </row>
        <row r="119">
          <cell r="AU119">
            <v>98.185551655182479</v>
          </cell>
        </row>
        <row r="120">
          <cell r="AU120">
            <v>98.090666634651427</v>
          </cell>
        </row>
        <row r="121">
          <cell r="AU121">
            <v>97.545012872669332</v>
          </cell>
        </row>
        <row r="122">
          <cell r="AU122">
            <v>95.071812655510129</v>
          </cell>
        </row>
        <row r="123">
          <cell r="AU123">
            <v>99.43552908729977</v>
          </cell>
        </row>
        <row r="125">
          <cell r="AU125">
            <v>89.924292290392472</v>
          </cell>
        </row>
        <row r="126">
          <cell r="AU126">
            <v>94.537695289743212</v>
          </cell>
        </row>
        <row r="127">
          <cell r="AU127">
            <v>98.000013979580487</v>
          </cell>
        </row>
        <row r="128">
          <cell r="AU128">
            <v>95.186842986970504</v>
          </cell>
        </row>
        <row r="129">
          <cell r="AU129">
            <v>96.696641173491798</v>
          </cell>
        </row>
        <row r="130">
          <cell r="AU130">
            <v>95.944138129340132</v>
          </cell>
        </row>
        <row r="131">
          <cell r="AU131">
            <v>93.413051544866548</v>
          </cell>
        </row>
        <row r="132">
          <cell r="AU132">
            <v>96.069102087559131</v>
          </cell>
        </row>
        <row r="133">
          <cell r="AU133">
            <v>98.137125811557496</v>
          </cell>
        </row>
        <row r="134">
          <cell r="AU134">
            <v>97.168379942866267</v>
          </cell>
        </row>
        <row r="136">
          <cell r="AU136">
            <v>94.124868174530278</v>
          </cell>
        </row>
        <row r="137">
          <cell r="AU137">
            <v>95.154601054457146</v>
          </cell>
        </row>
        <row r="138">
          <cell r="AU138">
            <v>96.220811022939529</v>
          </cell>
        </row>
        <row r="139">
          <cell r="AU139">
            <v>97.517216436709603</v>
          </cell>
        </row>
        <row r="140">
          <cell r="AU140">
            <v>96.281980045545069</v>
          </cell>
        </row>
        <row r="141">
          <cell r="AU141">
            <v>95.840387117370994</v>
          </cell>
        </row>
        <row r="142">
          <cell r="AU142">
            <v>95.62272817509934</v>
          </cell>
        </row>
        <row r="143">
          <cell r="AU143">
            <v>97.419625508620229</v>
          </cell>
        </row>
        <row r="144">
          <cell r="AU144">
            <v>96.095204819099521</v>
          </cell>
        </row>
        <row r="145">
          <cell r="AU145">
            <v>95.427155830154973</v>
          </cell>
        </row>
        <row r="147">
          <cell r="AU147">
            <v>91.160130162104309</v>
          </cell>
        </row>
        <row r="148">
          <cell r="AU148">
            <v>96.404323693454927</v>
          </cell>
        </row>
        <row r="149">
          <cell r="AU149">
            <v>95.683417143594824</v>
          </cell>
        </row>
        <row r="150">
          <cell r="AU150">
            <v>95.809489237012428</v>
          </cell>
        </row>
        <row r="151">
          <cell r="AU151">
            <v>97.090758279891048</v>
          </cell>
        </row>
        <row r="152">
          <cell r="AU152">
            <v>94.091899893433379</v>
          </cell>
        </row>
        <row r="153">
          <cell r="AU153">
            <v>96.193480056158236</v>
          </cell>
        </row>
        <row r="154">
          <cell r="AU154">
            <v>94.865416286743525</v>
          </cell>
        </row>
        <row r="155">
          <cell r="AU155">
            <v>94.951993001600584</v>
          </cell>
        </row>
        <row r="156">
          <cell r="AU156">
            <v>94.607872565715482</v>
          </cell>
        </row>
        <row r="158">
          <cell r="A158" t="str">
            <v>VM061</v>
          </cell>
          <cell r="AU158">
            <v>93.00523973792491</v>
          </cell>
        </row>
        <row r="159">
          <cell r="A159" t="str">
            <v>VM062</v>
          </cell>
          <cell r="AU159">
            <v>95.154968494234055</v>
          </cell>
        </row>
        <row r="160">
          <cell r="A160" t="str">
            <v>VM063</v>
          </cell>
          <cell r="AU160">
            <v>97.138427856424443</v>
          </cell>
        </row>
        <row r="161">
          <cell r="A161" t="str">
            <v>VM064</v>
          </cell>
          <cell r="AU161">
            <v>95.267023489278699</v>
          </cell>
        </row>
        <row r="162">
          <cell r="A162" t="str">
            <v>VM065</v>
          </cell>
          <cell r="AU162">
            <v>98.162235648460509</v>
          </cell>
        </row>
        <row r="163">
          <cell r="A163" t="str">
            <v>VM066</v>
          </cell>
          <cell r="AU163">
            <v>88.890405461826575</v>
          </cell>
        </row>
      </sheetData>
      <sheetData sheetId="4">
        <row r="5">
          <cell r="C5" t="str">
            <v>DPV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8">
          <cell r="H8">
            <v>403.40000000000003</v>
          </cell>
        </row>
      </sheetData>
      <sheetData sheetId="23" refreshError="1"/>
      <sheetData sheetId="24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September '23 "/>
      <sheetName val="Summary August '23 "/>
      <sheetName val="Summary July '23"/>
      <sheetName val="Summary January '23"/>
      <sheetName val="Summary December '22  "/>
      <sheetName val="Summary November '22  "/>
      <sheetName val="Summary October '22 "/>
      <sheetName val="Summary September '22 "/>
      <sheetName val="Summary August '22 "/>
      <sheetName val="Summary July '22 "/>
      <sheetName val="Summary June '22 "/>
      <sheetName val="Summary May '22 "/>
      <sheetName val="Summary April '22 "/>
      <sheetName val="Summary March '22 "/>
      <sheetName val="Summary February '22 "/>
      <sheetName val="Summary January '22 "/>
      <sheetName val="Summary December '21 "/>
      <sheetName val="Summary November '21 "/>
      <sheetName val="Summary September '21 "/>
      <sheetName val="Summary August '21"/>
      <sheetName val="Summary July'21"/>
      <sheetName val="Summary June '21 "/>
      <sheetName val="Summary May '21"/>
      <sheetName val="Summary April '21 "/>
      <sheetName val="Summary March '21"/>
      <sheetName val="Summary February '21"/>
      <sheetName val="Summary January '21"/>
      <sheetName val="Summary December '20 "/>
      <sheetName val="Summary November '20  "/>
      <sheetName val="Summary October '20 "/>
      <sheetName val="Summary September '20 "/>
      <sheetName val="Summary August '20  "/>
      <sheetName val="Summary July'20  "/>
      <sheetName val="Summary June'20 "/>
      <sheetName val="Summary May'20 "/>
      <sheetName val="Summary March'20 "/>
      <sheetName val="Summary February'20"/>
      <sheetName val="Summary January'20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1">
          <cell r="AT11">
            <v>90.812413514896079</v>
          </cell>
        </row>
        <row r="74">
          <cell r="AT74">
            <v>97.150248014703294</v>
          </cell>
        </row>
        <row r="75">
          <cell r="AT75">
            <v>95.674742958147831</v>
          </cell>
        </row>
        <row r="76">
          <cell r="AT76">
            <v>100.84803557336481</v>
          </cell>
        </row>
        <row r="77">
          <cell r="AT77">
            <v>88.652151049519262</v>
          </cell>
        </row>
        <row r="78">
          <cell r="AT78">
            <v>91.164092280279334</v>
          </cell>
        </row>
        <row r="79">
          <cell r="AT79">
            <v>90.269749115607993</v>
          </cell>
        </row>
      </sheetData>
      <sheetData sheetId="8">
        <row r="4">
          <cell r="D4">
            <v>13.5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 Apr'14"/>
      <sheetName val="Summary May'14"/>
      <sheetName val="BrewMaterials"/>
      <sheetName val="Brewhouse"/>
      <sheetName val="Process"/>
      <sheetName val="Packaging"/>
      <sheetName val="Summary December ' 23 "/>
      <sheetName val="Summary November ' 23 "/>
      <sheetName val="Summary October ' 23  "/>
      <sheetName val="Summary September ' 23  "/>
      <sheetName val="Summary August ' 23 "/>
      <sheetName val="Summary July ' 23 "/>
      <sheetName val="Summary June ' 23"/>
      <sheetName val="Summary May ' 23 "/>
      <sheetName val="Summary April ' 23"/>
      <sheetName val="Summary March ' 23 "/>
      <sheetName val="Summary February ' 23 "/>
      <sheetName val="Summary January ' 23"/>
      <sheetName val="Summary December ' 22"/>
      <sheetName val="Summary November ' 22"/>
      <sheetName val="Summary October ' 22"/>
      <sheetName val="Summary September ' 22"/>
      <sheetName val="Summary August' 22"/>
      <sheetName val="Summary July' 22"/>
      <sheetName val="Summary June' 22"/>
      <sheetName val="Summary May' 22 "/>
      <sheetName val="Summary April' 22 "/>
      <sheetName val="Summary March' 22"/>
      <sheetName val="Summary February' 22"/>
      <sheetName val="Summary January' 22"/>
      <sheetName val="Summary December' 21 "/>
      <sheetName val="Summary November' 21"/>
      <sheetName val="Summary October' 21  "/>
      <sheetName val="Summary August' 21 "/>
      <sheetName val="Summary July' 21"/>
      <sheetName val="Summary April' 21"/>
      <sheetName val="Summary March' 21  "/>
      <sheetName val="Summary February' 21 "/>
      <sheetName val="Summary January' 21  "/>
      <sheetName val="Summary December' 20  "/>
      <sheetName val="Summary November' 20  "/>
      <sheetName val="Summary September' 20  "/>
      <sheetName val="Summary August' 20  "/>
      <sheetName val="Summary July' 20 "/>
      <sheetName val="Summary June' 20 "/>
      <sheetName val="Summary May' 20 "/>
      <sheetName val="Summary March' 20 "/>
      <sheetName val="Summary February' 20"/>
      <sheetName val="Summary January' 20   "/>
    </sheetNames>
    <sheetDataSet>
      <sheetData sheetId="0"/>
      <sheetData sheetId="1"/>
      <sheetData sheetId="2"/>
      <sheetData sheetId="3">
        <row r="11">
          <cell r="A11">
            <v>6</v>
          </cell>
        </row>
        <row r="138">
          <cell r="AY138">
            <v>96.857330707129194</v>
          </cell>
        </row>
        <row r="139">
          <cell r="AY139">
            <v>98.558634236722384</v>
          </cell>
        </row>
        <row r="140">
          <cell r="AY140">
            <v>99.06939404796357</v>
          </cell>
        </row>
        <row r="141">
          <cell r="AY141">
            <v>97.738542500229343</v>
          </cell>
        </row>
        <row r="142">
          <cell r="AY142">
            <v>98.88256763553963</v>
          </cell>
        </row>
        <row r="143">
          <cell r="AY143">
            <v>97.355423733832453</v>
          </cell>
        </row>
        <row r="145">
          <cell r="AY145">
            <v>93.537197811356393</v>
          </cell>
        </row>
        <row r="146">
          <cell r="AY146">
            <v>97.637568539650758</v>
          </cell>
        </row>
        <row r="147">
          <cell r="AY147">
            <v>97.44649697695084</v>
          </cell>
        </row>
        <row r="148">
          <cell r="AY148">
            <v>98.773382829033523</v>
          </cell>
        </row>
        <row r="149">
          <cell r="AY149">
            <v>98.071154008854393</v>
          </cell>
        </row>
        <row r="150">
          <cell r="AY150">
            <v>97.063843510838709</v>
          </cell>
        </row>
        <row r="151">
          <cell r="AY151">
            <v>97.828640102350647</v>
          </cell>
        </row>
        <row r="152">
          <cell r="AY152">
            <v>98.087689047934177</v>
          </cell>
        </row>
        <row r="153">
          <cell r="AY153">
            <v>97.828640102350647</v>
          </cell>
        </row>
        <row r="155">
          <cell r="AY155">
            <v>99.698842686065035</v>
          </cell>
        </row>
        <row r="156">
          <cell r="AY156">
            <v>97.271717302321889</v>
          </cell>
        </row>
        <row r="157">
          <cell r="AY157">
            <v>98.289192483980855</v>
          </cell>
        </row>
        <row r="158">
          <cell r="AY158">
            <v>99.439999141619637</v>
          </cell>
        </row>
        <row r="159">
          <cell r="AY159">
            <v>96.974002051291038</v>
          </cell>
        </row>
        <row r="160">
          <cell r="AY160">
            <v>98.975628221718509</v>
          </cell>
        </row>
        <row r="161">
          <cell r="AY161">
            <v>101.59530290991161</v>
          </cell>
        </row>
        <row r="162">
          <cell r="AY162">
            <v>100.37351945912778</v>
          </cell>
        </row>
        <row r="163">
          <cell r="AY163">
            <v>99.626623297989596</v>
          </cell>
        </row>
        <row r="164">
          <cell r="AY164">
            <v>99.801046914684065</v>
          </cell>
        </row>
        <row r="165">
          <cell r="AY165">
            <v>100.42261588043316</v>
          </cell>
        </row>
        <row r="166">
          <cell r="AY166">
            <v>100.59254189240451</v>
          </cell>
        </row>
        <row r="167">
          <cell r="AY167">
            <v>102.82818274430574</v>
          </cell>
        </row>
        <row r="168">
          <cell r="AY168">
            <v>100.73932467067223</v>
          </cell>
        </row>
        <row r="169">
          <cell r="AY169">
            <v>102.03003131939195</v>
          </cell>
        </row>
        <row r="170">
          <cell r="AY170">
            <v>100.72183263222499</v>
          </cell>
        </row>
        <row r="171">
          <cell r="AY171">
            <v>99.794955739547987</v>
          </cell>
        </row>
        <row r="172">
          <cell r="AY172">
            <v>99.174713278737329</v>
          </cell>
        </row>
        <row r="173">
          <cell r="AY173">
            <v>99.745776886868242</v>
          </cell>
        </row>
        <row r="174">
          <cell r="AY174">
            <v>101.45896771126101</v>
          </cell>
        </row>
        <row r="176">
          <cell r="AY176">
            <v>98.50164878062526</v>
          </cell>
        </row>
        <row r="177">
          <cell r="AY177">
            <v>97.864376229539815</v>
          </cell>
        </row>
        <row r="178">
          <cell r="AY178">
            <v>96.213174293907031</v>
          </cell>
        </row>
        <row r="179">
          <cell r="AY179">
            <v>96.737733426605146</v>
          </cell>
        </row>
        <row r="180">
          <cell r="AY180">
            <v>98.671919625154061</v>
          </cell>
        </row>
        <row r="181">
          <cell r="AY181">
            <v>98.678382046481531</v>
          </cell>
        </row>
        <row r="182">
          <cell r="AY182">
            <v>97.166069677953075</v>
          </cell>
        </row>
        <row r="183">
          <cell r="AY183">
            <v>98.512845152088531</v>
          </cell>
        </row>
        <row r="184">
          <cell r="AY184">
            <v>98.221762980912644</v>
          </cell>
        </row>
        <row r="185">
          <cell r="AY185">
            <v>96.458672125242785</v>
          </cell>
        </row>
        <row r="187">
          <cell r="AY187">
            <v>99.38661333018382</v>
          </cell>
        </row>
        <row r="188">
          <cell r="AY188">
            <v>99.646849535565863</v>
          </cell>
        </row>
        <row r="189">
          <cell r="AY189">
            <v>96.44315275935341</v>
          </cell>
        </row>
        <row r="190">
          <cell r="AY190">
            <v>95.740088181090002</v>
          </cell>
        </row>
        <row r="191">
          <cell r="AY191">
            <v>101.96087155142641</v>
          </cell>
        </row>
        <row r="192">
          <cell r="AY192">
            <v>100.87431145241574</v>
          </cell>
        </row>
        <row r="193">
          <cell r="AY193">
            <v>100.77276941900652</v>
          </cell>
        </row>
        <row r="194">
          <cell r="AY194">
            <v>99.308077161646651</v>
          </cell>
        </row>
        <row r="195">
          <cell r="AY195">
            <v>97.966049625236295</v>
          </cell>
        </row>
        <row r="196">
          <cell r="AY196">
            <v>99.036532823513113</v>
          </cell>
        </row>
        <row r="197">
          <cell r="AY197">
            <v>99.829910580594287</v>
          </cell>
        </row>
        <row r="198">
          <cell r="AY198">
            <v>101.34551268586694</v>
          </cell>
        </row>
        <row r="200">
          <cell r="AY200">
            <v>95.787719035267713</v>
          </cell>
        </row>
        <row r="201">
          <cell r="AY201">
            <v>98.6328988085925</v>
          </cell>
        </row>
        <row r="202">
          <cell r="AY202">
            <v>94.459968474382819</v>
          </cell>
        </row>
        <row r="203">
          <cell r="AY203">
            <v>106.3879873741687</v>
          </cell>
        </row>
        <row r="204">
          <cell r="AY204">
            <v>98.690694600233016</v>
          </cell>
        </row>
        <row r="205">
          <cell r="AY205">
            <v>98.776855194864339</v>
          </cell>
        </row>
        <row r="206">
          <cell r="AY206">
            <v>97.717380143030724</v>
          </cell>
        </row>
        <row r="207">
          <cell r="AY207">
            <v>98.298402403340631</v>
          </cell>
        </row>
        <row r="208">
          <cell r="AY208">
            <v>99.150475857619696</v>
          </cell>
        </row>
        <row r="209">
          <cell r="AY209">
            <v>98.480851582747462</v>
          </cell>
        </row>
        <row r="210">
          <cell r="AY210">
            <v>98.900294442784613</v>
          </cell>
        </row>
        <row r="211">
          <cell r="AY211">
            <v>99.774000543159772</v>
          </cell>
        </row>
        <row r="212">
          <cell r="AY212">
            <v>100.01290942200356</v>
          </cell>
        </row>
        <row r="213">
          <cell r="AY213">
            <v>98.851572144784257</v>
          </cell>
        </row>
        <row r="214">
          <cell r="AY214">
            <v>95.961586054602336</v>
          </cell>
        </row>
        <row r="215">
          <cell r="AY215">
            <v>97.742034692393759</v>
          </cell>
        </row>
        <row r="216">
          <cell r="AY216">
            <v>98.204218222146736</v>
          </cell>
        </row>
        <row r="217">
          <cell r="AY217">
            <v>97.636227486705479</v>
          </cell>
        </row>
        <row r="218">
          <cell r="AY218">
            <v>97.478600605828163</v>
          </cell>
        </row>
        <row r="219">
          <cell r="AY219">
            <v>98.717661711315671</v>
          </cell>
        </row>
        <row r="220">
          <cell r="AY220">
            <v>98.398499623008561</v>
          </cell>
        </row>
        <row r="221">
          <cell r="AY221">
            <v>98.42316068921798</v>
          </cell>
        </row>
        <row r="222">
          <cell r="AY222">
            <v>95.64281835332649</v>
          </cell>
        </row>
        <row r="223">
          <cell r="AY223">
            <v>100.30596808204508</v>
          </cell>
        </row>
        <row r="224">
          <cell r="AY224">
            <v>97.851077552059024</v>
          </cell>
        </row>
        <row r="225">
          <cell r="AY225">
            <v>96.158768386089662</v>
          </cell>
        </row>
        <row r="226">
          <cell r="AY226">
            <v>102.14052505286946</v>
          </cell>
        </row>
        <row r="227">
          <cell r="AY227">
            <v>97.431150141503139</v>
          </cell>
        </row>
        <row r="228">
          <cell r="AY228">
            <v>100.92420324719012</v>
          </cell>
        </row>
        <row r="229">
          <cell r="AY229">
            <v>99.872915840059974</v>
          </cell>
        </row>
        <row r="230">
          <cell r="AY230">
            <v>98.084502197854505</v>
          </cell>
        </row>
        <row r="231">
          <cell r="AY231">
            <v>93.702421135620355</v>
          </cell>
        </row>
        <row r="232">
          <cell r="AY232">
            <v>98.855100098271564</v>
          </cell>
        </row>
        <row r="233">
          <cell r="AY233">
            <v>98.396198262432364</v>
          </cell>
        </row>
        <row r="234">
          <cell r="AY234">
            <v>97.777907843168137</v>
          </cell>
        </row>
        <row r="235">
          <cell r="AY235">
            <v>99.308677437581736</v>
          </cell>
        </row>
        <row r="236">
          <cell r="AY236">
            <v>98.038546530836541</v>
          </cell>
        </row>
        <row r="237">
          <cell r="AY237">
            <v>99.401997081305353</v>
          </cell>
        </row>
        <row r="238">
          <cell r="AY238">
            <v>97.48935368165435</v>
          </cell>
        </row>
        <row r="239">
          <cell r="AY239">
            <v>99.898950116799284</v>
          </cell>
        </row>
        <row r="240">
          <cell r="AY240">
            <v>99.398999137874881</v>
          </cell>
        </row>
        <row r="241">
          <cell r="AY241">
            <v>100.7519165779202</v>
          </cell>
        </row>
        <row r="242">
          <cell r="AY242">
            <v>93.544301682511559</v>
          </cell>
        </row>
        <row r="243">
          <cell r="AY243">
            <v>101.0188654292426</v>
          </cell>
        </row>
        <row r="244">
          <cell r="AY244">
            <v>99.528763203902798</v>
          </cell>
        </row>
        <row r="245">
          <cell r="AY245">
            <v>100.66092013193017</v>
          </cell>
        </row>
        <row r="246">
          <cell r="AY246">
            <v>100.08424635979156</v>
          </cell>
        </row>
        <row r="247">
          <cell r="AY247">
            <v>99.518279181903651</v>
          </cell>
        </row>
        <row r="249">
          <cell r="A249" t="str">
            <v>SM103</v>
          </cell>
          <cell r="AY249">
            <v>99.163679317628919</v>
          </cell>
        </row>
        <row r="250">
          <cell r="A250" t="str">
            <v>SM104</v>
          </cell>
          <cell r="AY250">
            <v>100.11534610570595</v>
          </cell>
        </row>
        <row r="251">
          <cell r="A251" t="str">
            <v>SM105</v>
          </cell>
          <cell r="AY251">
            <v>100.73961911513112</v>
          </cell>
        </row>
        <row r="252">
          <cell r="A252" t="str">
            <v>SM106</v>
          </cell>
          <cell r="AY252">
            <v>99.354012675244334</v>
          </cell>
        </row>
        <row r="253">
          <cell r="A253" t="str">
            <v>SM107</v>
          </cell>
          <cell r="AY253">
            <v>99.145167583223554</v>
          </cell>
        </row>
        <row r="254">
          <cell r="A254" t="str">
            <v>SM108</v>
          </cell>
          <cell r="AY254">
            <v>99.57415406203171</v>
          </cell>
        </row>
      </sheetData>
      <sheetData sheetId="4">
        <row r="5">
          <cell r="D5">
            <v>17.260000000000002</v>
          </cell>
        </row>
      </sheetData>
      <sheetData sheetId="5"/>
      <sheetData sheetId="6"/>
      <sheetData sheetId="7">
        <row r="10">
          <cell r="H10">
            <v>306.60000000000002</v>
          </cell>
        </row>
      </sheetData>
      <sheetData sheetId="8">
        <row r="22">
          <cell r="E22">
            <v>5897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22">
          <cell r="E22">
            <v>7513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Operator Performance '18"/>
      <sheetName val="BrewMaterials"/>
      <sheetName val="Brewhouse"/>
      <sheetName val="Process"/>
      <sheetName val="Packaging"/>
      <sheetName val="Summary July '23"/>
      <sheetName val="Summary March '23"/>
      <sheetName val="Summary February '23"/>
      <sheetName val="Summary November '22 "/>
      <sheetName val="Summary October '22 "/>
      <sheetName val="Summary March '22"/>
      <sheetName val="Summary February '22 "/>
      <sheetName val="Summary August '21 "/>
      <sheetName val="Summary July '21"/>
      <sheetName val="Summary October '20 "/>
      <sheetName val="Summary September '20  "/>
      <sheetName val="Summary August '20 "/>
      <sheetName val="Summary July '20"/>
      <sheetName val="Summary June '20 "/>
    </sheetNames>
    <sheetDataSet>
      <sheetData sheetId="0"/>
      <sheetData sheetId="1"/>
      <sheetData sheetId="2"/>
      <sheetData sheetId="3">
        <row r="5">
          <cell r="A5" t="str">
            <v>HR001</v>
          </cell>
        </row>
        <row r="13">
          <cell r="AW13">
            <v>84.648574567528044</v>
          </cell>
        </row>
        <row r="14">
          <cell r="AW14">
            <v>92.105311967909813</v>
          </cell>
        </row>
        <row r="16">
          <cell r="AW16">
            <v>95.019583228533136</v>
          </cell>
        </row>
        <row r="17">
          <cell r="AW17">
            <v>96.397043172756128</v>
          </cell>
        </row>
      </sheetData>
      <sheetData sheetId="4">
        <row r="4">
          <cell r="C4" t="str">
            <v>FV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. 3rd  "/>
      <sheetName val="Jan. 4th"/>
      <sheetName val="Jan.5th"/>
      <sheetName val="Jan.6th"/>
      <sheetName val="Jan.7th "/>
      <sheetName val="Jan.8th "/>
      <sheetName val="Jan.9th  "/>
      <sheetName val="Jan.10th  "/>
      <sheetName val="Jan.11th "/>
      <sheetName val="Jan.12th "/>
      <sheetName val="Jan.13th "/>
      <sheetName val="Jan.14th  "/>
      <sheetName val="Jan.16th &amp;17th  "/>
      <sheetName val="Closing- January 2023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42">
          <cell r="L42">
            <v>98.191435797113996</v>
          </cell>
        </row>
      </sheetData>
      <sheetData sheetId="14"/>
      <sheetData sheetId="15"/>
      <sheetData sheetId="16"/>
      <sheetData sheetId="17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. 6th"/>
      <sheetName val="Feb. 8th"/>
      <sheetName val="Feb Summ. to 24th"/>
      <sheetName val="Feb. 27th"/>
      <sheetName val="Feb. 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>
        <row r="42">
          <cell r="L42">
            <v>97.281713730188258</v>
          </cell>
        </row>
      </sheetData>
      <sheetData sheetId="5"/>
      <sheetData sheetId="6"/>
      <sheetData sheetId="7"/>
      <sheetData sheetId="8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rch 1st"/>
      <sheetName val="March 2nd"/>
      <sheetName val="March 3rd"/>
      <sheetName val="March 6th"/>
      <sheetName val="March 7th "/>
      <sheetName val="March 8th"/>
      <sheetName val="March 9th"/>
      <sheetName val="March10th "/>
      <sheetName val="March11th  "/>
      <sheetName val="March13th"/>
      <sheetName val="March14th "/>
      <sheetName val="March15th"/>
      <sheetName val="March 16th &amp;18th "/>
      <sheetName val="March 20th"/>
      <sheetName val="March 21st"/>
      <sheetName val="March 22nd"/>
      <sheetName val="March 23"/>
      <sheetName val="March 24 &amp; 25th &amp; 26th"/>
      <sheetName val="March 27th"/>
      <sheetName val="March 28th "/>
      <sheetName val="March 29th "/>
      <sheetName val="March 30th "/>
      <sheetName val="March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75">
          <cell r="L75">
            <v>98.782352819681904</v>
          </cell>
        </row>
        <row r="80">
          <cell r="L80">
            <v>7.04</v>
          </cell>
        </row>
      </sheetData>
      <sheetData sheetId="23"/>
      <sheetData sheetId="24"/>
      <sheetData sheetId="25"/>
      <sheetData sheetId="26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pril 1  "/>
      <sheetName val="April 3th "/>
      <sheetName val="April 4th "/>
      <sheetName val="April 5th "/>
      <sheetName val="April 6th"/>
      <sheetName val="Apri 8th"/>
      <sheetName val="Apri 11th"/>
      <sheetName val="Apri 12th "/>
      <sheetName val="Apri 13th "/>
      <sheetName val="Apri 14th  "/>
      <sheetName val="Apri 15th"/>
      <sheetName val="Apri 16th "/>
      <sheetName val="Apri 17th  "/>
      <sheetName val="Apri 18th "/>
      <sheetName val="Apri 19th"/>
      <sheetName val="Apri 20th &amp; 24th "/>
      <sheetName val="Apri 26th - 27th"/>
      <sheetName val="Apri 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51">
          <cell r="L51">
            <v>98.125375133213936</v>
          </cell>
        </row>
      </sheetData>
      <sheetData sheetId="18"/>
      <sheetData sheetId="19"/>
      <sheetData sheetId="20"/>
      <sheetData sheetId="2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une 1st"/>
      <sheetName val="June 6th"/>
      <sheetName val="June 12th"/>
      <sheetName val="June 13th "/>
      <sheetName val="June 14th "/>
      <sheetName val="June 15th"/>
      <sheetName val="June 16th"/>
      <sheetName val="June 19th"/>
      <sheetName val="June 20th"/>
      <sheetName val="June 21st"/>
      <sheetName val="June 22nd"/>
      <sheetName val="June 23rd"/>
      <sheetName val="June 26th"/>
      <sheetName val="June 27th "/>
      <sheetName val="June 28th "/>
      <sheetName val="June 29th  "/>
      <sheetName val="June 30th  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65">
          <cell r="L65">
            <v>98.889709416663237</v>
          </cell>
        </row>
        <row r="71">
          <cell r="L71">
            <v>7.3888888888888893</v>
          </cell>
        </row>
      </sheetData>
      <sheetData sheetId="17"/>
      <sheetData sheetId="18"/>
      <sheetData sheetId="19"/>
      <sheetData sheetId="20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uly 3rd  "/>
      <sheetName val="July 5th"/>
      <sheetName val="July 6th"/>
      <sheetName val="July 7 &amp; 8th"/>
      <sheetName val="July 10th"/>
      <sheetName val="July 11th"/>
      <sheetName val="July 12th"/>
      <sheetName val="July 13th "/>
      <sheetName val="July 14th &amp; 15th  "/>
      <sheetName val="July 17th"/>
      <sheetName val="July 18th "/>
      <sheetName val="July 19th "/>
      <sheetName val="July 20th "/>
      <sheetName val="July 21st &amp;22nd"/>
      <sheetName val="July 24th"/>
      <sheetName val="July 25th"/>
      <sheetName val="July 26th "/>
      <sheetName val="July 27th"/>
      <sheetName val="July 28th "/>
      <sheetName val="July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102">
          <cell r="L102">
            <v>98.494349010083567</v>
          </cell>
        </row>
        <row r="108">
          <cell r="L108">
            <v>6.5909090909090908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ug 1st"/>
      <sheetName val="Aug 2nd"/>
      <sheetName val="Aug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>
        <row r="118">
          <cell r="L118">
            <v>97.795315149035787</v>
          </cell>
        </row>
        <row r="124">
          <cell r="L124">
            <v>4.5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ct.2nd "/>
      <sheetName val="Oct.3rd"/>
      <sheetName val="Oct. 4th"/>
      <sheetName val="Oct. 5th "/>
      <sheetName val="Oct. 6th &amp;7th"/>
      <sheetName val="Oct. 9th"/>
      <sheetName val="Oct. 10th"/>
      <sheetName val="Oct. 11th"/>
      <sheetName val="Oct. 12th"/>
      <sheetName val="Oct. 13th &amp; 14th"/>
      <sheetName val="Oct. 16th"/>
      <sheetName val="Oct. 17th"/>
      <sheetName val="Oct. 18th"/>
      <sheetName val="Oct. 20th"/>
      <sheetName val="Oct. 23th"/>
      <sheetName val="Oct. 24th "/>
      <sheetName val="Oct. 26th  "/>
      <sheetName val="Oct. 27th &amp; 28th "/>
      <sheetName val="Oct.30th"/>
      <sheetName val="Oct.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5">
          <cell r="L45">
            <v>97.702105534902586</v>
          </cell>
        </row>
        <row r="51">
          <cell r="L51">
            <v>5.291666666666667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3"/>
      <sheetName val="February_2023"/>
      <sheetName val="March_2023"/>
      <sheetName val="April_2023"/>
      <sheetName val="May_2023"/>
      <sheetName val="June_2023"/>
      <sheetName val="July_2023"/>
      <sheetName val="August_2018  (2)"/>
      <sheetName val="August_2023"/>
      <sheetName val="September_2023"/>
      <sheetName val="October_2023"/>
      <sheetName val="November_2023"/>
      <sheetName val="December_2023"/>
      <sheetName val="Average"/>
      <sheetName val="October_2022"/>
      <sheetName val="November_2022"/>
      <sheetName val="December_2022"/>
      <sheetName val="September_2022"/>
      <sheetName val="August_2022"/>
    </sheetNames>
    <sheetDataSet>
      <sheetData sheetId="0"/>
      <sheetData sheetId="1"/>
      <sheetData sheetId="2">
        <row r="7">
          <cell r="J7">
            <v>283.29999999999995</v>
          </cell>
        </row>
      </sheetData>
      <sheetData sheetId="3">
        <row r="7">
          <cell r="G7">
            <v>369.9</v>
          </cell>
        </row>
      </sheetData>
      <sheetData sheetId="4">
        <row r="7">
          <cell r="AA7">
            <v>264.39999999999998</v>
          </cell>
        </row>
      </sheetData>
      <sheetData sheetId="5">
        <row r="3">
          <cell r="O3">
            <v>317.7</v>
          </cell>
        </row>
      </sheetData>
      <sheetData sheetId="6">
        <row r="3">
          <cell r="F3">
            <v>406</v>
          </cell>
        </row>
      </sheetData>
      <sheetData sheetId="7"/>
      <sheetData sheetId="8">
        <row r="3">
          <cell r="D3">
            <v>208.10000000000002</v>
          </cell>
        </row>
      </sheetData>
      <sheetData sheetId="9">
        <row r="7">
          <cell r="I7">
            <v>278.8</v>
          </cell>
        </row>
      </sheetData>
      <sheetData sheetId="10">
        <row r="3">
          <cell r="G3">
            <v>304.60000000000002</v>
          </cell>
        </row>
      </sheetData>
      <sheetData sheetId="11">
        <row r="3">
          <cell r="D3">
            <v>212.5</v>
          </cell>
        </row>
      </sheetData>
      <sheetData sheetId="12">
        <row r="3">
          <cell r="I3">
            <v>305.05</v>
          </cell>
        </row>
        <row r="13">
          <cell r="U13">
            <v>150.4</v>
          </cell>
        </row>
        <row r="17">
          <cell r="U17">
            <v>120.8</v>
          </cell>
        </row>
        <row r="21">
          <cell r="U21">
            <v>19.680851063829799</v>
          </cell>
        </row>
      </sheetData>
      <sheetData sheetId="13"/>
      <sheetData sheetId="14"/>
      <sheetData sheetId="15"/>
      <sheetData sheetId="16"/>
      <sheetData sheetId="17" refreshError="1"/>
      <sheetData sheetId="18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3"/>
      <sheetName val="February_2023"/>
      <sheetName val="March_2023"/>
      <sheetName val="April_2023"/>
      <sheetName val="May_2023"/>
      <sheetName val="June_2023"/>
      <sheetName val="July_2023"/>
      <sheetName val="August_2023"/>
      <sheetName val="August_2018 (2)"/>
      <sheetName val="September_2023"/>
      <sheetName val="October_2023"/>
      <sheetName val="November_2023"/>
      <sheetName val="December_2023"/>
      <sheetName val="October_2022"/>
      <sheetName val="November_2022"/>
      <sheetName val="December_2022"/>
      <sheetName val="September_2022"/>
      <sheetName val="August_202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13">
          <cell r="AN13">
            <v>0.67939571150097466</v>
          </cell>
        </row>
        <row r="25">
          <cell r="U25">
            <v>0.42385964912280699</v>
          </cell>
        </row>
      </sheetData>
      <sheetData sheetId="13"/>
      <sheetData sheetId="14"/>
      <sheetData sheetId="15"/>
      <sheetData sheetId="16" refreshError="1"/>
      <sheetData sheetId="17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anuary_2022"/>
      <sheetName val="February_2022"/>
      <sheetName val="March_2022"/>
      <sheetName val="April_2022"/>
      <sheetName val="May_2022"/>
      <sheetName val="July_2022"/>
      <sheetName val="June_2022"/>
      <sheetName val="August_2018  (2)"/>
      <sheetName val="August_2022"/>
      <sheetName val="September_2022"/>
      <sheetName val="October_2022"/>
      <sheetName val="November_2022"/>
      <sheetName val="December_2022"/>
      <sheetName val="Average"/>
      <sheetName val="March_2021"/>
      <sheetName val="April_2021"/>
      <sheetName val="May_2021"/>
      <sheetName val="June_2021"/>
      <sheetName val="July_2021"/>
      <sheetName val="August_2021"/>
      <sheetName val="September_2021"/>
      <sheetName val="October_2021"/>
      <sheetName val="November_2021"/>
      <sheetName val="December_2021"/>
    </sheetNames>
    <sheetDataSet>
      <sheetData sheetId="0">
        <row r="7">
          <cell r="F7">
            <v>90.5</v>
          </cell>
        </row>
      </sheetData>
      <sheetData sheetId="1">
        <row r="3">
          <cell r="D3">
            <v>410.59999999999997</v>
          </cell>
        </row>
      </sheetData>
      <sheetData sheetId="2">
        <row r="7">
          <cell r="D7">
            <v>199.8</v>
          </cell>
        </row>
      </sheetData>
      <sheetData sheetId="3">
        <row r="7">
          <cell r="G7">
            <v>266.8</v>
          </cell>
        </row>
      </sheetData>
      <sheetData sheetId="4">
        <row r="7">
          <cell r="E7">
            <v>291.89999999999998</v>
          </cell>
        </row>
        <row r="43">
          <cell r="M43">
            <v>3.4878406700073312</v>
          </cell>
        </row>
      </sheetData>
      <sheetData sheetId="5">
        <row r="3">
          <cell r="G3">
            <v>319.81</v>
          </cell>
        </row>
      </sheetData>
      <sheetData sheetId="6">
        <row r="7">
          <cell r="D7">
            <v>190.7</v>
          </cell>
        </row>
      </sheetData>
      <sheetData sheetId="7"/>
      <sheetData sheetId="8">
        <row r="7">
          <cell r="E7">
            <v>293.3</v>
          </cell>
        </row>
      </sheetData>
      <sheetData sheetId="9">
        <row r="7">
          <cell r="E7">
            <v>374.7</v>
          </cell>
        </row>
      </sheetData>
      <sheetData sheetId="10">
        <row r="3">
          <cell r="G3">
            <v>207.23000000000002</v>
          </cell>
        </row>
      </sheetData>
      <sheetData sheetId="11">
        <row r="7">
          <cell r="E7">
            <v>572.10000000000014</v>
          </cell>
        </row>
      </sheetData>
      <sheetData sheetId="12">
        <row r="3">
          <cell r="D3">
            <v>315.21000000000004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AG"/>
      <sheetName val="GUINNESS"/>
      <sheetName val="CARIB"/>
      <sheetName val="VITAMALT"/>
      <sheetName val="STARMALT"/>
      <sheetName val="MACKESON"/>
      <sheetName val="HR Pilsener"/>
      <sheetName val="IPA"/>
      <sheetName val="APA"/>
      <sheetName val="CARIBE"/>
      <sheetName val="MTD"/>
      <sheetName val="YTD 2026"/>
    </sheetNames>
    <sheetDataSet>
      <sheetData sheetId="0"/>
      <sheetData sheetId="1"/>
      <sheetData sheetId="2"/>
      <sheetData sheetId="3">
        <row r="6">
          <cell r="J6">
            <v>4.0999999999999996</v>
          </cell>
        </row>
        <row r="8">
          <cell r="J8">
            <v>4.0999999999999996</v>
          </cell>
        </row>
        <row r="10">
          <cell r="J10">
            <v>4.0999999999999996</v>
          </cell>
        </row>
        <row r="12">
          <cell r="J12">
            <v>4.0999999999999996</v>
          </cell>
        </row>
      </sheetData>
      <sheetData sheetId="4"/>
      <sheetData sheetId="5"/>
      <sheetData sheetId="6"/>
      <sheetData sheetId="7"/>
      <sheetData sheetId="8"/>
      <sheetData sheetId="9"/>
      <sheetData sheetId="10">
        <row r="5">
          <cell r="E5">
            <v>5.1392275118696222</v>
          </cell>
        </row>
        <row r="6">
          <cell r="E6">
            <v>5.062325108114992</v>
          </cell>
        </row>
        <row r="7">
          <cell r="E7" t="e">
            <v>#DIV/0!</v>
          </cell>
        </row>
        <row r="8">
          <cell r="E8">
            <v>2.6160971335586405</v>
          </cell>
        </row>
        <row r="9">
          <cell r="E9" t="e">
            <v>#DIV/0!</v>
          </cell>
        </row>
        <row r="10">
          <cell r="E10" t="e">
            <v>#DIV/0!</v>
          </cell>
        </row>
        <row r="11">
          <cell r="E11">
            <v>0.84622823984524742</v>
          </cell>
        </row>
        <row r="12">
          <cell r="E12" t="e">
            <v>#DIV/0!</v>
          </cell>
        </row>
        <row r="13">
          <cell r="E13" t="e">
            <v>#DIV/0!</v>
          </cell>
        </row>
        <row r="14">
          <cell r="E14">
            <v>4.4884175465784679</v>
          </cell>
        </row>
      </sheetData>
      <sheetData sheetId="11">
        <row r="5">
          <cell r="E5">
            <v>6.3254052153133342</v>
          </cell>
        </row>
        <row r="6">
          <cell r="E6">
            <v>6.0120934601385283</v>
          </cell>
        </row>
        <row r="7">
          <cell r="E7">
            <v>10.890214570112384</v>
          </cell>
        </row>
        <row r="8">
          <cell r="E8">
            <v>4.6053599467161712</v>
          </cell>
        </row>
        <row r="9">
          <cell r="E9" t="e">
            <v>#DIV/0!</v>
          </cell>
        </row>
        <row r="10">
          <cell r="E10">
            <v>6.3233965672990236</v>
          </cell>
        </row>
        <row r="11">
          <cell r="E11">
            <v>3.7586797925639486</v>
          </cell>
        </row>
        <row r="12">
          <cell r="E12" t="e">
            <v>#DIV/0!</v>
          </cell>
        </row>
        <row r="13">
          <cell r="E13" t="e">
            <v>#DIV/0!</v>
          </cell>
        </row>
        <row r="14">
          <cell r="E14">
            <v>6.2445290482673048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cessMaterials"/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January'18"/>
      <sheetName val="Summary December'17"/>
      <sheetName val="Summary November'17"/>
      <sheetName val="Summary October'17"/>
      <sheetName val="Summary September'17"/>
      <sheetName val="Summary August'17"/>
      <sheetName val="Summary July'17 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%EFF."/>
      <sheetName val="Sheet1"/>
    </sheetNames>
    <sheetDataSet>
      <sheetData sheetId="0"/>
      <sheetData sheetId="1"/>
      <sheetData sheetId="2"/>
      <sheetData sheetId="3"/>
      <sheetData sheetId="4">
        <row r="7681">
          <cell r="A7681" t="str">
            <v>CA044</v>
          </cell>
        </row>
      </sheetData>
      <sheetData sheetId="5">
        <row r="5311">
          <cell r="AS5311">
            <v>85.152851511661666</v>
          </cell>
        </row>
        <row r="5347">
          <cell r="AS5347">
            <v>96.242731384136675</v>
          </cell>
        </row>
        <row r="5348">
          <cell r="AS5348">
            <v>96.696346841973863</v>
          </cell>
        </row>
        <row r="5349">
          <cell r="AS5349">
            <v>95.126289890925335</v>
          </cell>
        </row>
        <row r="5350">
          <cell r="AS5350">
            <v>99.660489230254768</v>
          </cell>
        </row>
        <row r="5351">
          <cell r="AS5351">
            <v>98.281898080887714</v>
          </cell>
        </row>
        <row r="5352">
          <cell r="AS5352">
            <v>96.026108173442964</v>
          </cell>
        </row>
        <row r="5353">
          <cell r="AS5353">
            <v>96.743154793507031</v>
          </cell>
        </row>
        <row r="5354">
          <cell r="AS5354">
            <v>97.324543944910317</v>
          </cell>
        </row>
        <row r="5355">
          <cell r="AS5355">
            <v>94.904027111234612</v>
          </cell>
        </row>
        <row r="5356">
          <cell r="AS5356">
            <v>95.53313194763814</v>
          </cell>
        </row>
        <row r="5357">
          <cell r="AS5357">
            <v>95.421463455983542</v>
          </cell>
        </row>
        <row r="5358">
          <cell r="AS5358">
            <v>97.128454670344638</v>
          </cell>
        </row>
        <row r="5359">
          <cell r="A5359" t="str">
            <v>CA236</v>
          </cell>
          <cell r="B5359">
            <v>41437</v>
          </cell>
          <cell r="I5359">
            <v>19.79</v>
          </cell>
          <cell r="N5359">
            <v>60</v>
          </cell>
          <cell r="R5359">
            <v>0.51041666666666663</v>
          </cell>
          <cell r="S5359">
            <v>0.61736111111111114</v>
          </cell>
          <cell r="T5359">
            <v>60</v>
          </cell>
          <cell r="AG5359">
            <v>49.011000000000003</v>
          </cell>
          <cell r="AS5359">
            <v>94.981545664755075</v>
          </cell>
          <cell r="AT5359">
            <v>97.074072469002047</v>
          </cell>
        </row>
        <row r="5360">
          <cell r="A5360" t="str">
            <v>CA237</v>
          </cell>
          <cell r="B5360">
            <v>41437</v>
          </cell>
          <cell r="I5360">
            <v>17.7</v>
          </cell>
          <cell r="N5360">
            <v>60</v>
          </cell>
          <cell r="R5360">
            <v>0.58680555555555558</v>
          </cell>
          <cell r="S5360">
            <v>0.69652777777777775</v>
          </cell>
          <cell r="T5360">
            <v>68</v>
          </cell>
          <cell r="AG5360">
            <v>48.531999999999996</v>
          </cell>
          <cell r="AS5360">
            <v>94.053260986347809</v>
          </cell>
          <cell r="AT5360">
            <v>96.1253368644918</v>
          </cell>
        </row>
        <row r="5361">
          <cell r="A5361" t="str">
            <v>CA238</v>
          </cell>
          <cell r="B5361">
            <v>41437</v>
          </cell>
          <cell r="I5361">
            <v>19.7</v>
          </cell>
          <cell r="N5361">
            <v>60</v>
          </cell>
          <cell r="R5361">
            <v>0.65972222222222221</v>
          </cell>
          <cell r="S5361">
            <v>0.76180555555555562</v>
          </cell>
          <cell r="T5361">
            <v>61</v>
          </cell>
          <cell r="AG5361">
            <v>50.466999999999999</v>
          </cell>
          <cell r="AS5361">
            <v>96.931393272913695</v>
          </cell>
          <cell r="AT5361">
            <v>99.066876931102286</v>
          </cell>
        </row>
        <row r="5362">
          <cell r="A5362" t="str">
            <v>CA239</v>
          </cell>
          <cell r="B5362">
            <v>41437</v>
          </cell>
          <cell r="I5362">
            <v>19</v>
          </cell>
          <cell r="N5362">
            <v>60</v>
          </cell>
          <cell r="R5362">
            <v>0.73263888888888884</v>
          </cell>
          <cell r="S5362">
            <v>0.83680555555555547</v>
          </cell>
          <cell r="T5362">
            <v>62</v>
          </cell>
          <cell r="AG5362">
            <v>49.374000000000002</v>
          </cell>
          <cell r="AS5362">
            <v>95.68502653795305</v>
          </cell>
          <cell r="AT5362">
            <v>97.793051643192499</v>
          </cell>
        </row>
      </sheetData>
      <sheetData sheetId="6">
        <row r="7086">
          <cell r="AD7086">
            <v>49.378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May '18 "/>
      <sheetName val="Summary April '18"/>
      <sheetName val="Summary March '18"/>
      <sheetName val="Summary February '18"/>
      <sheetName val="Summary January '18"/>
      <sheetName val="Summary December '17"/>
      <sheetName val="Summary November '17"/>
      <sheetName val="Summary October '17"/>
      <sheetName val="Summary September '17"/>
      <sheetName val="Summary August '17"/>
      <sheetName val="Summary July '17 "/>
      <sheetName val="Summary June '17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Summary May '14"/>
      <sheetName val="Summary Apr '14"/>
      <sheetName val="ProcessMaterials"/>
      <sheetName val="PackMaterials"/>
      <sheetName val="%EFF."/>
    </sheetNames>
    <sheetDataSet>
      <sheetData sheetId="0"/>
      <sheetData sheetId="1"/>
      <sheetData sheetId="2"/>
      <sheetData sheetId="3">
        <row r="2408">
          <cell r="A2408" t="str">
            <v>ST051</v>
          </cell>
        </row>
      </sheetData>
      <sheetData sheetId="4">
        <row r="620">
          <cell r="AQ620">
            <v>94.769044771084623</v>
          </cell>
        </row>
        <row r="641">
          <cell r="AQ641">
            <v>93.076170468981061</v>
          </cell>
        </row>
        <row r="642">
          <cell r="AQ642">
            <v>95.149436694787028</v>
          </cell>
        </row>
        <row r="643">
          <cell r="AQ643">
            <v>95.833974927594824</v>
          </cell>
        </row>
        <row r="644">
          <cell r="AQ644">
            <v>93.377483332023004</v>
          </cell>
        </row>
      </sheetData>
      <sheetData sheetId="5">
        <row r="1851">
          <cell r="Z1851">
            <v>49.381999999999998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VitaMalt - Operator Performance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December '19"/>
      <sheetName val="Summary November '19 "/>
      <sheetName val="Summary October '19  "/>
      <sheetName val="Summary September '19  "/>
      <sheetName val="Summary August '19 "/>
      <sheetName val="Summary July '19 "/>
      <sheetName val="Summary June '19  "/>
      <sheetName val="Summary May '19 "/>
      <sheetName val="Summary April '19 "/>
      <sheetName val="Summary March '19"/>
      <sheetName val="Summary February '19"/>
      <sheetName val="Summary January '19"/>
      <sheetName val="Summary December'18 "/>
      <sheetName val="Summary November'18 "/>
      <sheetName val="Summary October'18"/>
      <sheetName val="Summary September'18 "/>
      <sheetName val="Summary August'18   "/>
      <sheetName val="Summary July'18  "/>
      <sheetName val="Summary June'18 "/>
      <sheetName val="Summary May'18"/>
      <sheetName val="Summary April'18"/>
      <sheetName val="Summary March'18"/>
      <sheetName val="Summary February'18"/>
      <sheetName val="Summary December '17"/>
      <sheetName val="Summary November '17"/>
      <sheetName val="Summary October '17 "/>
      <sheetName val="Summary September '17"/>
      <sheetName val="Summary August '17"/>
      <sheetName val="Summary July '17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 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PackMaterials"/>
      <sheetName val="ProcessMaterials"/>
      <sheetName val="Sheet1"/>
      <sheetName val="Summary May '14"/>
      <sheetName val="Summary July '14)"/>
      <sheetName val="Summary Feb '14"/>
      <sheetName val="Summary Mar '14"/>
      <sheetName val="Summary Apr '14"/>
      <sheetName val="Summary Jan '14"/>
      <sheetName val="Summary Dec '13"/>
      <sheetName val="Summary Nov '13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>
        <row r="154">
          <cell r="AH154">
            <v>15.308000000000002</v>
          </cell>
        </row>
        <row r="708">
          <cell r="AU708">
            <v>93.632484874867401</v>
          </cell>
        </row>
        <row r="709">
          <cell r="AU709">
            <v>94.048293616380349</v>
          </cell>
        </row>
        <row r="710">
          <cell r="AU710">
            <v>96.982003109046275</v>
          </cell>
        </row>
        <row r="711">
          <cell r="AU711">
            <v>95.536254931189035</v>
          </cell>
        </row>
      </sheetData>
      <sheetData sheetId="8">
        <row r="917">
          <cell r="D917">
            <v>14.3</v>
          </cell>
        </row>
      </sheetData>
      <sheetData sheetId="9">
        <row r="769">
          <cell r="I769">
            <v>183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ckMaterials"/>
      <sheetName val="ProcessMaterials"/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July '17"/>
      <sheetName val="Summary May '17"/>
      <sheetName val="Summary January '17"/>
      <sheetName val="Summary December '16"/>
      <sheetName val="Summary November '16"/>
      <sheetName val="Summary October '16"/>
      <sheetName val="Summary August '16"/>
      <sheetName val="Summary May '16"/>
      <sheetName val="Summary March '16"/>
      <sheetName val="Summary February '16"/>
      <sheetName val="Summary Jaunary '16"/>
      <sheetName val="Summary November '15"/>
      <sheetName val="Summary August'15"/>
      <sheetName val="Summary June'15"/>
      <sheetName val="Summary May'15"/>
      <sheetName val="Summary April'15"/>
      <sheetName val="Summary March'15"/>
      <sheetName val="Summary February'15"/>
      <sheetName val="Summary Janaury'15"/>
      <sheetName val="Summary December'14"/>
      <sheetName val="Summary November'14"/>
      <sheetName val="Summary September'14"/>
      <sheetName val="Summary August'14"/>
      <sheetName val="Summary July'14"/>
      <sheetName val="Sheet1"/>
      <sheetName val="Summary Feb'14"/>
      <sheetName val="Summary Mar'14"/>
      <sheetName val="Summary Apr'14"/>
      <sheetName val="Summary Sept '12"/>
      <sheetName val="Summary Oct '12"/>
      <sheetName val="Summary Nov '12"/>
      <sheetName val="Summary Dec '12"/>
      <sheetName val="Summary May'14"/>
      <sheetName val="Summary Jan'14"/>
      <sheetName val="NewMMaltLog"/>
      <sheetName val="Summary Dec'13"/>
      <sheetName val="Summary Oct'13"/>
      <sheetName val="Summary Aug '13"/>
      <sheetName val="Summary Sept'13"/>
    </sheetNames>
    <sheetDataSet>
      <sheetData sheetId="0"/>
      <sheetData sheetId="1"/>
      <sheetData sheetId="2"/>
      <sheetData sheetId="3"/>
      <sheetData sheetId="4"/>
      <sheetData sheetId="5"/>
      <sheetData sheetId="6">
        <row r="938">
          <cell r="AY938">
            <v>97.175540388161437</v>
          </cell>
        </row>
        <row r="943">
          <cell r="AY943">
            <v>96.228364837670995</v>
          </cell>
        </row>
        <row r="944">
          <cell r="AY944">
            <v>96.553980410505062</v>
          </cell>
        </row>
        <row r="945">
          <cell r="AY945">
            <v>93.079827038319294</v>
          </cell>
        </row>
        <row r="946">
          <cell r="AY946">
            <v>95.367156437373168</v>
          </cell>
        </row>
      </sheetData>
      <sheetData sheetId="7">
        <row r="1029">
          <cell r="D1029">
            <v>17.3</v>
          </cell>
        </row>
      </sheetData>
      <sheetData sheetId="8">
        <row r="1001">
          <cell r="I1001">
            <v>100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. 3rd "/>
      <sheetName val="Jan. 4th"/>
      <sheetName val="Jan. 5th"/>
      <sheetName val="Jan. 6th"/>
      <sheetName val="Jan. 7th"/>
      <sheetName val="Jan. 8th "/>
      <sheetName val="Jan. 9th"/>
      <sheetName val="Jan. 10th"/>
      <sheetName val="Jan. 11th"/>
      <sheetName val="Jan. 12nd"/>
      <sheetName val="Jan. 13th"/>
      <sheetName val="Jan. 14th"/>
      <sheetName val="Jan. 17th"/>
      <sheetName val="Jan. 18th"/>
      <sheetName val="Jan. 19th "/>
      <sheetName val="Jan. 20th "/>
      <sheetName val="Jan. 21st "/>
      <sheetName val="Jan. 22nd "/>
      <sheetName val="Jan. 23rd"/>
      <sheetName val="Jan. 24th"/>
      <sheetName val="Jan. 25th "/>
      <sheetName val="Jan. 26th "/>
      <sheetName val="Jan. 27th"/>
      <sheetName val="Jan. 28th"/>
      <sheetName val="Jan. 29th"/>
      <sheetName val="Jan.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26">
          <cell r="M26"/>
        </row>
      </sheetData>
      <sheetData sheetId="26"/>
      <sheetData sheetId="27"/>
      <sheetData sheetId="28"/>
      <sheetData sheetId="29">
        <row r="40">
          <cell r="D40">
            <v>96.507822129582451</v>
          </cell>
        </row>
        <row r="41">
          <cell r="D41">
            <v>97.99738587335284</v>
          </cell>
        </row>
        <row r="43">
          <cell r="D43">
            <v>98.304611060419475</v>
          </cell>
        </row>
        <row r="44">
          <cell r="D44">
            <v>98.673584433402866</v>
          </cell>
        </row>
        <row r="45">
          <cell r="D45">
            <v>97.870850874189415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. 1"/>
      <sheetName val="Feb. 2"/>
      <sheetName val="Feb.3"/>
      <sheetName val="Feb.4"/>
      <sheetName val="Feb.5"/>
      <sheetName val="Feb.6"/>
      <sheetName val="Feb.8"/>
      <sheetName val="Feb.9"/>
      <sheetName val="Feb10"/>
      <sheetName val="Feb11"/>
      <sheetName val="Feb14"/>
      <sheetName val="Feb16"/>
      <sheetName val="Feb17"/>
      <sheetName val="Feb18"/>
      <sheetName val="Feb19"/>
      <sheetName val="Feb 20"/>
      <sheetName val="Feb 21"/>
      <sheetName val="Feb 22"/>
      <sheetName val="Feb 23"/>
      <sheetName val="Feb 24"/>
      <sheetName val="Feb 25"/>
      <sheetName val="Feb 28"/>
      <sheetName val="MTD_Links"/>
      <sheetName val="YTD_Links"/>
      <sheetName val="KPIs"/>
      <sheetName val="Brewer Performance"/>
    </sheetNames>
    <sheetDataSet>
      <sheetData sheetId="0">
        <row r="10">
          <cell r="I10">
            <v>98.123184148666738</v>
          </cell>
        </row>
        <row r="11">
          <cell r="I11">
            <v>98.683467559299089</v>
          </cell>
        </row>
        <row r="12">
          <cell r="I12">
            <v>98.314511323292791</v>
          </cell>
        </row>
        <row r="13">
          <cell r="I13">
            <v>97.922547536667238</v>
          </cell>
        </row>
      </sheetData>
      <sheetData sheetId="1">
        <row r="10">
          <cell r="I10">
            <v>96.654039768784585</v>
          </cell>
        </row>
        <row r="11">
          <cell r="I11">
            <v>97.626897597506286</v>
          </cell>
        </row>
        <row r="12">
          <cell r="I12">
            <v>96.897954070494137</v>
          </cell>
        </row>
        <row r="13">
          <cell r="I13">
            <v>97.197790342769324</v>
          </cell>
        </row>
        <row r="14">
          <cell r="I14">
            <v>126.64369016344237</v>
          </cell>
        </row>
        <row r="15">
          <cell r="I15">
            <v>96.838505772060998</v>
          </cell>
        </row>
      </sheetData>
      <sheetData sheetId="2">
        <row r="10">
          <cell r="I10">
            <v>93.401228986840337</v>
          </cell>
        </row>
        <row r="11">
          <cell r="I11">
            <v>98.002281531234885</v>
          </cell>
        </row>
        <row r="12">
          <cell r="I12">
            <v>98.835486091836955</v>
          </cell>
        </row>
        <row r="13">
          <cell r="I13">
            <v>98.759890407896819</v>
          </cell>
        </row>
      </sheetData>
      <sheetData sheetId="3">
        <row r="10">
          <cell r="I10">
            <v>99.702074763387657</v>
          </cell>
        </row>
        <row r="11">
          <cell r="I11">
            <v>100.90814824842866</v>
          </cell>
        </row>
        <row r="12">
          <cell r="I12">
            <v>99.144516581875834</v>
          </cell>
        </row>
        <row r="13">
          <cell r="I13">
            <v>98.812178600360937</v>
          </cell>
        </row>
        <row r="16">
          <cell r="I16">
            <v>93.753343561859964</v>
          </cell>
        </row>
        <row r="17">
          <cell r="I17">
            <v>97.360391272612617</v>
          </cell>
        </row>
      </sheetData>
      <sheetData sheetId="4"/>
      <sheetData sheetId="5"/>
      <sheetData sheetId="6">
        <row r="10">
          <cell r="I10">
            <v>94.68833319503716</v>
          </cell>
        </row>
        <row r="13">
          <cell r="I13">
            <v>98.850612416982429</v>
          </cell>
        </row>
        <row r="14">
          <cell r="I14">
            <v>98.168169114883824</v>
          </cell>
        </row>
        <row r="15">
          <cell r="I15">
            <v>98.688171350132521</v>
          </cell>
        </row>
        <row r="16">
          <cell r="I16">
            <v>100.71464055677211</v>
          </cell>
        </row>
        <row r="19">
          <cell r="I19">
            <v>96.029058348682</v>
          </cell>
        </row>
        <row r="20">
          <cell r="I20">
            <v>98.795135429785148</v>
          </cell>
        </row>
        <row r="21">
          <cell r="I21">
            <v>98.899033336355927</v>
          </cell>
        </row>
      </sheetData>
      <sheetData sheetId="7">
        <row r="10">
          <cell r="I10">
            <v>99.276637163611909</v>
          </cell>
        </row>
        <row r="11">
          <cell r="I11">
            <v>97.944376518529467</v>
          </cell>
        </row>
        <row r="12">
          <cell r="I12">
            <v>99.66217750211139</v>
          </cell>
        </row>
        <row r="13">
          <cell r="I13">
            <v>97.944376518529467</v>
          </cell>
        </row>
        <row r="14">
          <cell r="I14">
            <v>98.891096825112442</v>
          </cell>
        </row>
        <row r="17">
          <cell r="I17">
            <v>96.699606498403327</v>
          </cell>
        </row>
        <row r="18">
          <cell r="I18">
            <v>98.974669332616003</v>
          </cell>
        </row>
        <row r="19">
          <cell r="I19">
            <v>98.813320450261855</v>
          </cell>
        </row>
        <row r="20">
          <cell r="I20">
            <v>98.773909354253703</v>
          </cell>
        </row>
      </sheetData>
      <sheetData sheetId="8">
        <row r="10">
          <cell r="I10">
            <v>96.114465070299261</v>
          </cell>
        </row>
        <row r="11">
          <cell r="I11">
            <v>98.703671213689944</v>
          </cell>
        </row>
        <row r="12">
          <cell r="I12">
            <v>100.02066383926034</v>
          </cell>
        </row>
        <row r="13">
          <cell r="I13">
            <v>98.477044369894685</v>
          </cell>
        </row>
        <row r="14">
          <cell r="I14">
            <v>98.898737757590524</v>
          </cell>
        </row>
        <row r="15">
          <cell r="I15">
            <v>98.824177713880189</v>
          </cell>
        </row>
        <row r="16">
          <cell r="I16">
            <v>98.590372337038914</v>
          </cell>
        </row>
        <row r="17">
          <cell r="I17">
            <v>98.637973628130041</v>
          </cell>
        </row>
        <row r="18">
          <cell r="I18">
            <v>98.892528564617351</v>
          </cell>
        </row>
      </sheetData>
      <sheetData sheetId="9">
        <row r="10">
          <cell r="I10">
            <v>95.033114450535422</v>
          </cell>
        </row>
        <row r="11">
          <cell r="I11">
            <v>95.97632563766723</v>
          </cell>
        </row>
        <row r="12">
          <cell r="I12">
            <v>95.15577872519269</v>
          </cell>
        </row>
        <row r="13">
          <cell r="I13">
            <v>94.716849623972706</v>
          </cell>
        </row>
      </sheetData>
      <sheetData sheetId="10">
        <row r="10">
          <cell r="I10">
            <v>93.262012146617025</v>
          </cell>
        </row>
        <row r="11">
          <cell r="I11">
            <v>96.51966443717626</v>
          </cell>
        </row>
        <row r="12">
          <cell r="I12">
            <v>96.420162775074274</v>
          </cell>
        </row>
        <row r="13">
          <cell r="I13">
            <v>94.850777050345258</v>
          </cell>
        </row>
        <row r="14">
          <cell r="I14">
            <v>93.11184471354899</v>
          </cell>
        </row>
        <row r="15">
          <cell r="I15">
            <v>95.233332316878489</v>
          </cell>
        </row>
        <row r="16">
          <cell r="I16">
            <v>96.557005255666269</v>
          </cell>
        </row>
        <row r="17">
          <cell r="I17">
            <v>90.296683351916798</v>
          </cell>
        </row>
      </sheetData>
      <sheetData sheetId="11"/>
      <sheetData sheetId="12">
        <row r="10">
          <cell r="I10">
            <v>96.248353016017901</v>
          </cell>
        </row>
        <row r="11">
          <cell r="I11">
            <v>97.064511461322596</v>
          </cell>
        </row>
        <row r="12">
          <cell r="I12">
            <v>97.960588310011829</v>
          </cell>
        </row>
        <row r="13">
          <cell r="I13">
            <v>101.64563062243221</v>
          </cell>
        </row>
        <row r="16">
          <cell r="I16">
            <v>97.148656534767667</v>
          </cell>
        </row>
        <row r="17">
          <cell r="I17">
            <v>101.13282706862702</v>
          </cell>
        </row>
        <row r="18">
          <cell r="I18">
            <v>98.859340325604236</v>
          </cell>
        </row>
        <row r="19">
          <cell r="I19">
            <v>97.671892686767549</v>
          </cell>
        </row>
        <row r="20">
          <cell r="I20">
            <v>97.795650965100123</v>
          </cell>
        </row>
        <row r="21">
          <cell r="I21">
            <v>97.549177275509706</v>
          </cell>
        </row>
      </sheetData>
      <sheetData sheetId="13">
        <row r="10">
          <cell r="I10">
            <v>90.812413514896079</v>
          </cell>
        </row>
        <row r="11">
          <cell r="I11">
            <v>94.886065993628819</v>
          </cell>
        </row>
        <row r="12">
          <cell r="I12">
            <v>94.665038526850267</v>
          </cell>
        </row>
        <row r="13">
          <cell r="I13">
            <v>95.386395261799493</v>
          </cell>
        </row>
        <row r="14">
          <cell r="I14">
            <v>95.746555809018503</v>
          </cell>
        </row>
        <row r="15">
          <cell r="I15">
            <v>96.458811263569714</v>
          </cell>
        </row>
      </sheetData>
      <sheetData sheetId="14"/>
      <sheetData sheetId="15"/>
      <sheetData sheetId="16">
        <row r="10">
          <cell r="I10">
            <v>92.244154059965609</v>
          </cell>
        </row>
        <row r="11">
          <cell r="I11">
            <v>94.954580288699233</v>
          </cell>
        </row>
        <row r="12">
          <cell r="I12">
            <v>94.753648792324014</v>
          </cell>
        </row>
        <row r="13">
          <cell r="I13">
            <v>95.469672057516448</v>
          </cell>
        </row>
        <row r="16">
          <cell r="I16">
            <v>95.037629150459026</v>
          </cell>
        </row>
        <row r="17">
          <cell r="I17">
            <v>98.344635577363221</v>
          </cell>
        </row>
        <row r="18">
          <cell r="I18">
            <v>96.201930897199915</v>
          </cell>
        </row>
        <row r="19">
          <cell r="I19">
            <v>97.455737205534618</v>
          </cell>
        </row>
      </sheetData>
      <sheetData sheetId="17">
        <row r="10">
          <cell r="I10">
            <v>95.737170130083328</v>
          </cell>
        </row>
        <row r="11">
          <cell r="I11">
            <v>97.204145011682172</v>
          </cell>
        </row>
        <row r="12">
          <cell r="I12">
            <v>97.795650965100123</v>
          </cell>
        </row>
        <row r="13">
          <cell r="I13">
            <v>92.179060669436268</v>
          </cell>
        </row>
        <row r="16">
          <cell r="I16">
            <v>100.56180946337685</v>
          </cell>
        </row>
        <row r="17">
          <cell r="I17">
            <v>98.418170009595116</v>
          </cell>
        </row>
        <row r="18">
          <cell r="I18">
            <v>101.75209232957572</v>
          </cell>
        </row>
        <row r="19">
          <cell r="I19">
            <v>101.90982815614709</v>
          </cell>
        </row>
        <row r="20">
          <cell r="I20">
            <v>98.645399167542877</v>
          </cell>
        </row>
        <row r="21">
          <cell r="I21">
            <v>98.019248385454901</v>
          </cell>
        </row>
        <row r="22">
          <cell r="I22">
            <v>97.631897441591931</v>
          </cell>
        </row>
      </sheetData>
      <sheetData sheetId="18">
        <row r="10">
          <cell r="I10">
            <v>96.330365427788195</v>
          </cell>
        </row>
        <row r="11">
          <cell r="I11">
            <v>96.377132884428931</v>
          </cell>
        </row>
        <row r="14">
          <cell r="I14">
            <v>93.488258370937686</v>
          </cell>
        </row>
        <row r="15">
          <cell r="I15">
            <v>100.81408999243216</v>
          </cell>
        </row>
        <row r="16">
          <cell r="I16">
            <v>98.251697811855152</v>
          </cell>
        </row>
        <row r="17">
          <cell r="I17">
            <v>98.260907082704051</v>
          </cell>
        </row>
        <row r="18">
          <cell r="I18">
            <v>97.874813145247458</v>
          </cell>
        </row>
        <row r="19">
          <cell r="I19">
            <v>96.443322942180714</v>
          </cell>
        </row>
        <row r="20">
          <cell r="I20">
            <v>95.376782036144007</v>
          </cell>
        </row>
        <row r="21">
          <cell r="I21">
            <v>97.722861589047369</v>
          </cell>
        </row>
      </sheetData>
      <sheetData sheetId="19">
        <row r="10">
          <cell r="I10">
            <v>97.344774780858927</v>
          </cell>
        </row>
        <row r="11">
          <cell r="I11">
            <v>99.938000539259747</v>
          </cell>
        </row>
        <row r="12">
          <cell r="I12">
            <v>99.148955916989195</v>
          </cell>
        </row>
        <row r="15">
          <cell r="I15">
            <v>92.353930064406839</v>
          </cell>
        </row>
        <row r="16">
          <cell r="I16">
            <v>97.682055444668023</v>
          </cell>
        </row>
        <row r="17">
          <cell r="I17">
            <v>97.162594227257927</v>
          </cell>
        </row>
        <row r="18">
          <cell r="I18">
            <v>97.082444613255419</v>
          </cell>
        </row>
      </sheetData>
      <sheetData sheetId="20">
        <row r="10">
          <cell r="I10">
            <v>97.743444227837671</v>
          </cell>
        </row>
        <row r="11">
          <cell r="I11">
            <v>100.62303370508012</v>
          </cell>
        </row>
        <row r="12">
          <cell r="I12">
            <v>100.32085756447438</v>
          </cell>
        </row>
        <row r="13">
          <cell r="I13">
            <v>102.21334912318227</v>
          </cell>
        </row>
        <row r="14">
          <cell r="I14">
            <v>102.22340004631398</v>
          </cell>
        </row>
        <row r="15">
          <cell r="I15">
            <v>100.71268145494867</v>
          </cell>
        </row>
        <row r="16">
          <cell r="I16">
            <v>101.60819946880315</v>
          </cell>
        </row>
        <row r="17">
          <cell r="I17">
            <v>99.513054708255964</v>
          </cell>
        </row>
      </sheetData>
      <sheetData sheetId="21">
        <row r="10">
          <cell r="I10">
            <v>95.66367132027942</v>
          </cell>
        </row>
        <row r="11">
          <cell r="I11">
            <v>102.17092463684476</v>
          </cell>
        </row>
        <row r="12">
          <cell r="I12">
            <v>99.720751788720221</v>
          </cell>
        </row>
        <row r="13">
          <cell r="I13">
            <v>99.964453799637965</v>
          </cell>
        </row>
        <row r="14">
          <cell r="I14">
            <v>100.66118230226407</v>
          </cell>
        </row>
        <row r="15">
          <cell r="I15">
            <v>99.195496462717671</v>
          </cell>
        </row>
        <row r="16">
          <cell r="I16">
            <v>100.31967295635533</v>
          </cell>
        </row>
        <row r="17">
          <cell r="I17">
            <v>99.988679850652673</v>
          </cell>
        </row>
        <row r="18">
          <cell r="I18">
            <v>99.769922769334443</v>
          </cell>
        </row>
        <row r="19">
          <cell r="I19">
            <v>100.72177330021805</v>
          </cell>
        </row>
        <row r="20">
          <cell r="I20">
            <v>100.21013716886533</v>
          </cell>
        </row>
      </sheetData>
      <sheetData sheetId="22"/>
      <sheetData sheetId="23"/>
      <sheetData sheetId="24"/>
      <sheetData sheetId="25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y 3rd"/>
      <sheetName val="May 4th"/>
      <sheetName val="May 5th "/>
      <sheetName val="May 6th"/>
      <sheetName val="May 9th"/>
      <sheetName val="May 10th"/>
      <sheetName val="May 11th"/>
      <sheetName val="May 12th"/>
      <sheetName val="May 13th "/>
      <sheetName val="May 16th"/>
      <sheetName val="May 17th "/>
      <sheetName val="May 18th "/>
      <sheetName val="May 19th  "/>
      <sheetName val="May 20th  "/>
      <sheetName val="May 21st"/>
      <sheetName val="May 23rd"/>
      <sheetName val="May 24th"/>
      <sheetName val="May 25th "/>
      <sheetName val="May 26th  "/>
      <sheetName val="May 27th "/>
      <sheetName val="May 30th "/>
      <sheetName val="May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0">
          <cell r="L40">
            <v>98.589991376020791</v>
          </cell>
        </row>
      </sheetData>
      <sheetData sheetId="22"/>
      <sheetData sheetId="23"/>
      <sheetData sheetId="24"/>
      <sheetData sheetId="25">
        <row r="40">
          <cell r="H40">
            <v>98.517352497406634</v>
          </cell>
        </row>
        <row r="41">
          <cell r="H41">
            <v>98.442574874312371</v>
          </cell>
        </row>
        <row r="43">
          <cell r="H43">
            <v>98.685415156420575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6.bin"/><Relationship Id="rId4" Type="http://schemas.openxmlformats.org/officeDocument/2006/relationships/comments" Target="../comments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B8A64-1E4B-4795-93AF-1113C3B47C6F}">
  <sheetPr codeName="Sheet1">
    <pageSetUpPr fitToPage="1"/>
  </sheetPr>
  <dimension ref="A1:BF110"/>
  <sheetViews>
    <sheetView zoomScale="80" zoomScaleNormal="80" workbookViewId="0">
      <selection activeCell="G90" sqref="G90"/>
    </sheetView>
  </sheetViews>
  <sheetFormatPr defaultColWidth="9.42578125" defaultRowHeight="14.25"/>
  <cols>
    <col min="1" max="1" width="3.42578125" style="275" customWidth="1"/>
    <col min="2" max="2" width="20.7109375" style="275" customWidth="1"/>
    <col min="3" max="3" width="13.42578125" style="275" customWidth="1"/>
    <col min="4" max="4" width="11.5703125" style="275" customWidth="1"/>
    <col min="5" max="5" width="12.42578125" style="275" customWidth="1"/>
    <col min="6" max="6" width="11.42578125" style="275" customWidth="1"/>
    <col min="7" max="7" width="13.42578125" style="275" customWidth="1"/>
    <col min="8" max="8" width="12.42578125" style="275" customWidth="1"/>
    <col min="9" max="9" width="17.5703125" style="275" customWidth="1"/>
    <col min="10" max="10" width="25.28515625" style="275" customWidth="1"/>
    <col min="11" max="11" width="18.5703125" style="275" customWidth="1"/>
    <col min="12" max="12" width="15.7109375" style="275" customWidth="1"/>
    <col min="13" max="13" width="27.5703125" style="275" customWidth="1"/>
    <col min="14" max="14" width="13.28515625" style="275" customWidth="1"/>
    <col min="15" max="15" width="19.42578125" style="275" customWidth="1"/>
    <col min="16" max="16" width="36.5703125" style="6" customWidth="1"/>
    <col min="17" max="17" width="14" style="275" hidden="1" customWidth="1"/>
    <col min="18" max="18" width="16.5703125" style="275" customWidth="1"/>
    <col min="19" max="19" width="15.7109375" style="275" bestFit="1" customWidth="1"/>
    <col min="20" max="20" width="12.42578125" style="275" customWidth="1"/>
    <col min="21" max="21" width="15" style="275" customWidth="1"/>
    <col min="22" max="22" width="12" style="275" customWidth="1"/>
    <col min="23" max="23" width="10.42578125" style="275" customWidth="1"/>
    <col min="24" max="24" width="11.42578125" style="275" customWidth="1"/>
    <col min="25" max="25" width="10.42578125" style="275" customWidth="1"/>
    <col min="26" max="26" width="8.42578125" style="275" customWidth="1"/>
    <col min="27" max="27" width="9.5703125" style="275" customWidth="1"/>
    <col min="28" max="28" width="8.42578125" style="275" customWidth="1"/>
    <col min="29" max="30" width="7.5703125" style="275" customWidth="1"/>
    <col min="31" max="52" width="9.42578125" style="275"/>
    <col min="53" max="53" width="1.5703125" style="275" customWidth="1"/>
    <col min="54" max="55" width="9.42578125" style="275"/>
    <col min="56" max="57" width="15.42578125" style="275" customWidth="1"/>
    <col min="58" max="16384" width="9.42578125" style="275"/>
  </cols>
  <sheetData>
    <row r="1" spans="2:30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S1" s="3"/>
      <c r="T1" s="558" t="s">
        <v>0</v>
      </c>
      <c r="U1" s="558"/>
      <c r="V1" s="558" t="s">
        <v>1</v>
      </c>
      <c r="W1" s="558"/>
      <c r="X1" s="558" t="s">
        <v>2</v>
      </c>
      <c r="Y1" s="558"/>
      <c r="Z1" s="558" t="s">
        <v>124</v>
      </c>
      <c r="AA1" s="558"/>
    </row>
    <row r="2" spans="2:30" ht="15">
      <c r="B2" s="555" t="s">
        <v>3</v>
      </c>
      <c r="C2" s="555"/>
      <c r="D2" s="555"/>
      <c r="E2" s="555"/>
      <c r="F2" s="555"/>
      <c r="G2" s="555"/>
      <c r="H2" s="555"/>
      <c r="I2" s="555"/>
      <c r="J2" s="555"/>
      <c r="K2" s="555"/>
      <c r="L2" s="555"/>
      <c r="M2" s="555"/>
      <c r="N2" s="555"/>
      <c r="O2" s="555"/>
      <c r="P2" s="4"/>
      <c r="S2" s="3"/>
      <c r="T2" s="3" t="s">
        <v>4</v>
      </c>
      <c r="U2" s="3" t="s">
        <v>5</v>
      </c>
      <c r="V2" s="3" t="s">
        <v>4</v>
      </c>
      <c r="W2" s="3" t="s">
        <v>5</v>
      </c>
      <c r="X2" s="3" t="s">
        <v>4</v>
      </c>
      <c r="Y2" s="3" t="s">
        <v>5</v>
      </c>
      <c r="Z2" s="3" t="s">
        <v>4</v>
      </c>
      <c r="AA2" s="3" t="s">
        <v>5</v>
      </c>
    </row>
    <row r="3" spans="2:30" ht="14.25" customHeight="1">
      <c r="B3" s="5"/>
      <c r="S3" s="3" t="s">
        <v>6</v>
      </c>
      <c r="T3" s="7">
        <v>11.6</v>
      </c>
      <c r="U3" s="8">
        <v>12</v>
      </c>
      <c r="V3" s="9">
        <v>0</v>
      </c>
      <c r="W3" s="10">
        <v>0.118055555555556</v>
      </c>
      <c r="X3" s="10">
        <v>0.17361111111111113</v>
      </c>
      <c r="Y3" s="10">
        <v>0.21180555555555555</v>
      </c>
      <c r="Z3" s="273">
        <v>0</v>
      </c>
      <c r="AA3" s="7">
        <v>60</v>
      </c>
      <c r="AC3" s="275" t="s">
        <v>135</v>
      </c>
    </row>
    <row r="4" spans="2:30" ht="30.75" customHeight="1">
      <c r="B4" s="301" t="s">
        <v>133</v>
      </c>
      <c r="C4" s="542">
        <v>45278</v>
      </c>
      <c r="D4" s="542"/>
      <c r="J4" s="556" t="s">
        <v>153</v>
      </c>
      <c r="K4" s="556"/>
      <c r="L4" s="11"/>
      <c r="M4" s="552" t="s">
        <v>8</v>
      </c>
      <c r="N4" s="553"/>
      <c r="P4" s="12"/>
      <c r="S4" s="3" t="s">
        <v>9</v>
      </c>
      <c r="T4" s="7">
        <v>11.6</v>
      </c>
      <c r="U4" s="8">
        <v>12</v>
      </c>
      <c r="V4" s="9">
        <v>0</v>
      </c>
      <c r="W4" s="10">
        <v>0.118055555555556</v>
      </c>
      <c r="X4" s="10">
        <v>0.17361111111111113</v>
      </c>
      <c r="Y4" s="10">
        <v>0.21180555555555555</v>
      </c>
      <c r="Z4" s="273">
        <v>0</v>
      </c>
      <c r="AA4" s="7">
        <v>60</v>
      </c>
      <c r="AB4" s="13"/>
      <c r="AC4" s="13"/>
      <c r="AD4" s="13"/>
    </row>
    <row r="5" spans="2:30" ht="12.75" customHeight="1" thickBot="1">
      <c r="B5" s="1"/>
      <c r="C5" s="1"/>
      <c r="D5" s="1"/>
      <c r="J5" s="557"/>
      <c r="K5" s="557"/>
      <c r="L5" s="11"/>
      <c r="M5" s="14" t="s">
        <v>10</v>
      </c>
      <c r="N5" s="14" t="s">
        <v>11</v>
      </c>
      <c r="P5" s="12"/>
      <c r="S5" s="3" t="s">
        <v>12</v>
      </c>
      <c r="T5" s="7">
        <v>17</v>
      </c>
      <c r="U5" s="8">
        <v>17.5</v>
      </c>
      <c r="V5" s="9">
        <v>0</v>
      </c>
      <c r="W5" s="10">
        <v>0.1076388888888889</v>
      </c>
      <c r="X5" s="10">
        <v>0.19444444444444445</v>
      </c>
      <c r="Y5" s="10">
        <v>0.23263888888888887</v>
      </c>
      <c r="Z5" s="273">
        <v>0</v>
      </c>
      <c r="AA5" s="274">
        <v>60</v>
      </c>
      <c r="AB5" s="13"/>
      <c r="AC5" s="13"/>
      <c r="AD5" s="13"/>
    </row>
    <row r="6" spans="2:30" ht="14.25" customHeight="1">
      <c r="B6" s="15"/>
      <c r="C6" s="1"/>
      <c r="D6" s="1"/>
      <c r="J6" s="559" t="s">
        <v>151</v>
      </c>
      <c r="K6" s="560"/>
      <c r="L6" s="311" t="s">
        <v>14</v>
      </c>
      <c r="M6" s="340"/>
      <c r="N6" s="340"/>
      <c r="P6" s="16"/>
      <c r="S6" s="3" t="s">
        <v>15</v>
      </c>
      <c r="T6" s="7">
        <v>13.3</v>
      </c>
      <c r="U6" s="8">
        <v>13.5</v>
      </c>
      <c r="V6" s="9">
        <v>0</v>
      </c>
      <c r="W6" s="9">
        <v>0.12905092592592593</v>
      </c>
      <c r="X6" s="10">
        <v>0.22222222222222221</v>
      </c>
      <c r="Y6" s="10">
        <v>0.25347222222222221</v>
      </c>
      <c r="Z6" s="273">
        <v>0</v>
      </c>
      <c r="AA6" s="274"/>
      <c r="AB6" s="13"/>
      <c r="AC6" s="13"/>
      <c r="AD6" s="13"/>
    </row>
    <row r="7" spans="2:30" ht="13.35" customHeight="1" thickBot="1">
      <c r="J7" s="561"/>
      <c r="K7" s="562"/>
      <c r="S7" s="3" t="s">
        <v>16</v>
      </c>
      <c r="T7" s="7">
        <v>17.100000000000001</v>
      </c>
      <c r="U7" s="8">
        <v>17.5</v>
      </c>
      <c r="V7" s="9">
        <v>0</v>
      </c>
      <c r="W7" s="9">
        <v>0.13605324074074074</v>
      </c>
      <c r="X7" s="10">
        <v>0.20833333333333334</v>
      </c>
      <c r="Y7" s="10">
        <v>0.24305555555555555</v>
      </c>
      <c r="Z7" s="273">
        <v>0</v>
      </c>
      <c r="AA7" s="274">
        <v>60</v>
      </c>
      <c r="AB7" s="13"/>
      <c r="AC7" s="13"/>
      <c r="AD7" s="13"/>
    </row>
    <row r="8" spans="2:30" ht="25.5" customHeight="1">
      <c r="B8" s="506" t="s">
        <v>17</v>
      </c>
      <c r="C8" s="517" t="s">
        <v>18</v>
      </c>
      <c r="D8" s="517" t="s">
        <v>19</v>
      </c>
      <c r="E8" s="356" t="s">
        <v>20</v>
      </c>
      <c r="F8" s="356" t="s">
        <v>21</v>
      </c>
      <c r="G8" s="517" t="s">
        <v>22</v>
      </c>
      <c r="H8" s="544" t="s">
        <v>144</v>
      </c>
      <c r="I8" s="517" t="s">
        <v>152</v>
      </c>
      <c r="J8" s="546" t="s">
        <v>23</v>
      </c>
      <c r="K8" s="548" t="s">
        <v>142</v>
      </c>
      <c r="L8" s="550" t="s">
        <v>24</v>
      </c>
      <c r="M8" s="359" t="s">
        <v>25</v>
      </c>
      <c r="N8" s="17" t="s">
        <v>26</v>
      </c>
      <c r="O8" s="517"/>
      <c r="P8" s="508" t="s">
        <v>28</v>
      </c>
      <c r="Q8" s="564" t="s">
        <v>126</v>
      </c>
      <c r="R8" s="18"/>
      <c r="S8" s="3" t="s">
        <v>125</v>
      </c>
      <c r="T8" s="7">
        <v>16.600000000000001</v>
      </c>
      <c r="U8" s="8">
        <v>17</v>
      </c>
      <c r="V8" s="9">
        <v>0</v>
      </c>
      <c r="W8" s="9">
        <v>0.12905092592592593</v>
      </c>
      <c r="X8" s="10">
        <v>0.22222222222222221</v>
      </c>
      <c r="Y8" s="10">
        <v>0.25347222222222221</v>
      </c>
      <c r="Z8" s="273">
        <v>0</v>
      </c>
      <c r="AA8" s="274"/>
      <c r="AB8" s="19"/>
    </row>
    <row r="9" spans="2:30" ht="34.5" customHeight="1">
      <c r="B9" s="543"/>
      <c r="C9" s="541"/>
      <c r="D9" s="541"/>
      <c r="E9" s="357" t="s">
        <v>30</v>
      </c>
      <c r="F9" s="357" t="s">
        <v>31</v>
      </c>
      <c r="G9" s="541"/>
      <c r="H9" s="545"/>
      <c r="I9" s="541"/>
      <c r="J9" s="547"/>
      <c r="K9" s="549"/>
      <c r="L9" s="551"/>
      <c r="M9" s="20" t="s">
        <v>32</v>
      </c>
      <c r="N9" s="21" t="s">
        <v>41</v>
      </c>
      <c r="O9" s="541"/>
      <c r="P9" s="563"/>
      <c r="Q9" s="565"/>
      <c r="R9" s="18"/>
      <c r="S9" s="3" t="s">
        <v>33</v>
      </c>
      <c r="T9" s="7">
        <v>14.4</v>
      </c>
      <c r="U9" s="8">
        <v>14.6</v>
      </c>
      <c r="V9" s="9">
        <v>0</v>
      </c>
      <c r="W9" s="9">
        <v>0.13905092592592591</v>
      </c>
      <c r="X9" s="10">
        <v>0.19097222222222221</v>
      </c>
      <c r="Y9" s="10">
        <v>0.22569444444444445</v>
      </c>
      <c r="Z9" s="273">
        <v>0</v>
      </c>
      <c r="AA9" s="274">
        <v>75</v>
      </c>
      <c r="AB9" s="19"/>
    </row>
    <row r="10" spans="2:30" ht="15.75" hidden="1" customHeight="1">
      <c r="B10" s="34"/>
      <c r="C10" s="366"/>
      <c r="D10" s="279"/>
      <c r="E10" s="279"/>
      <c r="F10" s="278"/>
      <c r="G10" s="279"/>
      <c r="H10" s="394"/>
      <c r="I10" s="368"/>
      <c r="J10" s="368"/>
      <c r="K10" s="281"/>
      <c r="L10" s="276"/>
      <c r="M10" s="395"/>
      <c r="N10" s="370"/>
      <c r="O10" s="371"/>
      <c r="P10" s="375"/>
      <c r="Q10" s="347"/>
      <c r="S10" s="277">
        <f t="shared" ref="S10:S47" si="0">B10</f>
        <v>0</v>
      </c>
      <c r="T10" s="296" t="e">
        <f t="shared" ref="T10:T47" si="1">VLOOKUP($B10,$S$3:$Y$9,2,FALSE)</f>
        <v>#N/A</v>
      </c>
      <c r="U10" s="296" t="e">
        <f t="shared" ref="U10:U47" si="2">VLOOKUP($B10,$S$3:$Y$9,3,FALSE)</f>
        <v>#N/A</v>
      </c>
      <c r="V10" s="297" t="e">
        <f t="shared" ref="V10:V47" si="3">VLOOKUP($B10,$S$3:$Y$9,4,FALSE)</f>
        <v>#N/A</v>
      </c>
      <c r="W10" s="297" t="e">
        <f t="shared" ref="W10:W47" si="4">VLOOKUP($B10,$S$3:$Y$9,5,FALSE)</f>
        <v>#N/A</v>
      </c>
      <c r="X10" s="297" t="e">
        <f t="shared" ref="X10:X47" si="5">VLOOKUP($B10,$S$3:$Y$9,6,FALSE)</f>
        <v>#N/A</v>
      </c>
      <c r="Y10" s="297" t="e">
        <f t="shared" ref="Y10:Y47" si="6">VLOOKUP($B10,$S$3:$Y$9,7,FALSE)</f>
        <v>#N/A</v>
      </c>
      <c r="Z10" s="297" t="e">
        <f t="shared" ref="Z10:Z47" si="7">VLOOKUP($B10,$S$3:$AA$9,8,FALSE)</f>
        <v>#N/A</v>
      </c>
      <c r="AA10" s="296" t="e">
        <f t="shared" ref="AA10:AA47" si="8">VLOOKUP($B10,$S$3:$AA$9,9,FALSE)</f>
        <v>#N/A</v>
      </c>
    </row>
    <row r="11" spans="2:30" ht="15" hidden="1">
      <c r="B11" s="34"/>
      <c r="C11" s="366"/>
      <c r="D11" s="279"/>
      <c r="E11" s="279"/>
      <c r="F11" s="278"/>
      <c r="G11" s="279"/>
      <c r="H11" s="394"/>
      <c r="I11" s="368"/>
      <c r="J11" s="368"/>
      <c r="K11" s="281"/>
      <c r="L11" s="276"/>
      <c r="M11" s="395"/>
      <c r="N11" s="370"/>
      <c r="O11" s="371"/>
      <c r="P11" s="369"/>
      <c r="Q11" s="347"/>
      <c r="S11" s="277">
        <f t="shared" si="0"/>
        <v>0</v>
      </c>
      <c r="T11" s="296" t="e">
        <f t="shared" si="1"/>
        <v>#N/A</v>
      </c>
      <c r="U11" s="296" t="e">
        <f t="shared" si="2"/>
        <v>#N/A</v>
      </c>
      <c r="V11" s="297" t="e">
        <f t="shared" si="3"/>
        <v>#N/A</v>
      </c>
      <c r="W11" s="297" t="e">
        <f t="shared" si="4"/>
        <v>#N/A</v>
      </c>
      <c r="X11" s="297" t="e">
        <f t="shared" si="5"/>
        <v>#N/A</v>
      </c>
      <c r="Y11" s="297" t="e">
        <f t="shared" si="6"/>
        <v>#N/A</v>
      </c>
      <c r="Z11" s="297" t="e">
        <f t="shared" si="7"/>
        <v>#N/A</v>
      </c>
      <c r="AA11" s="296" t="e">
        <f t="shared" si="8"/>
        <v>#N/A</v>
      </c>
    </row>
    <row r="12" spans="2:30" ht="15" hidden="1">
      <c r="B12" s="34"/>
      <c r="C12" s="366"/>
      <c r="D12" s="279"/>
      <c r="E12" s="279"/>
      <c r="F12" s="278"/>
      <c r="G12" s="279"/>
      <c r="H12" s="394"/>
      <c r="I12" s="368"/>
      <c r="J12" s="368"/>
      <c r="K12" s="281"/>
      <c r="L12" s="276"/>
      <c r="M12" s="395"/>
      <c r="N12" s="370"/>
      <c r="O12" s="371"/>
      <c r="P12" s="369"/>
      <c r="Q12" s="347"/>
      <c r="S12" s="277">
        <f t="shared" si="0"/>
        <v>0</v>
      </c>
      <c r="T12" s="296" t="e">
        <f t="shared" si="1"/>
        <v>#N/A</v>
      </c>
      <c r="U12" s="296" t="e">
        <f t="shared" si="2"/>
        <v>#N/A</v>
      </c>
      <c r="V12" s="297" t="e">
        <f t="shared" si="3"/>
        <v>#N/A</v>
      </c>
      <c r="W12" s="297" t="e">
        <f t="shared" si="4"/>
        <v>#N/A</v>
      </c>
      <c r="X12" s="297" t="e">
        <f t="shared" si="5"/>
        <v>#N/A</v>
      </c>
      <c r="Y12" s="297" t="e">
        <f t="shared" si="6"/>
        <v>#N/A</v>
      </c>
      <c r="Z12" s="297" t="e">
        <f t="shared" si="7"/>
        <v>#N/A</v>
      </c>
      <c r="AA12" s="296" t="e">
        <f t="shared" si="8"/>
        <v>#N/A</v>
      </c>
    </row>
    <row r="13" spans="2:30" ht="15.75" hidden="1" customHeight="1">
      <c r="B13" s="393"/>
      <c r="C13" s="366"/>
      <c r="D13" s="279"/>
      <c r="E13" s="279"/>
      <c r="F13" s="278"/>
      <c r="G13" s="279"/>
      <c r="H13" s="394"/>
      <c r="I13" s="368"/>
      <c r="J13" s="368"/>
      <c r="K13" s="281"/>
      <c r="L13" s="276"/>
      <c r="M13" s="395"/>
      <c r="N13" s="370"/>
      <c r="O13" s="371"/>
      <c r="P13" s="375"/>
      <c r="Q13" s="347"/>
      <c r="S13" s="277">
        <f t="shared" si="0"/>
        <v>0</v>
      </c>
      <c r="T13" s="296" t="e">
        <f t="shared" si="1"/>
        <v>#N/A</v>
      </c>
      <c r="U13" s="296" t="e">
        <f t="shared" si="2"/>
        <v>#N/A</v>
      </c>
      <c r="V13" s="297" t="e">
        <f t="shared" si="3"/>
        <v>#N/A</v>
      </c>
      <c r="W13" s="297" t="e">
        <f t="shared" si="4"/>
        <v>#N/A</v>
      </c>
      <c r="X13" s="297" t="e">
        <f t="shared" si="5"/>
        <v>#N/A</v>
      </c>
      <c r="Y13" s="297" t="e">
        <f t="shared" si="6"/>
        <v>#N/A</v>
      </c>
      <c r="Z13" s="297" t="e">
        <f t="shared" si="7"/>
        <v>#N/A</v>
      </c>
      <c r="AA13" s="296" t="e">
        <f t="shared" si="8"/>
        <v>#N/A</v>
      </c>
    </row>
    <row r="14" spans="2:30" ht="15.75" hidden="1" customHeight="1">
      <c r="B14" s="34"/>
      <c r="C14" s="366"/>
      <c r="D14" s="279"/>
      <c r="E14" s="279"/>
      <c r="F14" s="278"/>
      <c r="G14" s="279"/>
      <c r="H14" s="394"/>
      <c r="I14" s="368"/>
      <c r="J14" s="368"/>
      <c r="K14" s="281"/>
      <c r="L14" s="276"/>
      <c r="M14" s="395"/>
      <c r="N14" s="370"/>
      <c r="O14" s="371"/>
      <c r="P14" s="375"/>
      <c r="Q14" s="347"/>
      <c r="S14" s="277">
        <f t="shared" si="0"/>
        <v>0</v>
      </c>
      <c r="T14" s="296" t="e">
        <f t="shared" si="1"/>
        <v>#N/A</v>
      </c>
      <c r="U14" s="296" t="e">
        <f t="shared" si="2"/>
        <v>#N/A</v>
      </c>
      <c r="V14" s="297" t="e">
        <f t="shared" si="3"/>
        <v>#N/A</v>
      </c>
      <c r="W14" s="297" t="e">
        <f t="shared" si="4"/>
        <v>#N/A</v>
      </c>
      <c r="X14" s="297" t="e">
        <f t="shared" si="5"/>
        <v>#N/A</v>
      </c>
      <c r="Y14" s="297" t="e">
        <f t="shared" si="6"/>
        <v>#N/A</v>
      </c>
      <c r="Z14" s="297" t="e">
        <f t="shared" si="7"/>
        <v>#N/A</v>
      </c>
      <c r="AA14" s="296" t="e">
        <f t="shared" si="8"/>
        <v>#N/A</v>
      </c>
    </row>
    <row r="15" spans="2:30" ht="15.75" hidden="1" customHeight="1">
      <c r="B15" s="373"/>
      <c r="C15" s="366"/>
      <c r="D15" s="279"/>
      <c r="E15" s="279"/>
      <c r="F15" s="278"/>
      <c r="G15" s="383"/>
      <c r="H15" s="367"/>
      <c r="I15" s="368"/>
      <c r="J15" s="368"/>
      <c r="K15" s="281"/>
      <c r="L15" s="276"/>
      <c r="M15" s="374"/>
      <c r="N15" s="370"/>
      <c r="O15" s="371"/>
      <c r="P15" s="375"/>
      <c r="Q15" s="347"/>
      <c r="S15" s="277">
        <f t="shared" si="0"/>
        <v>0</v>
      </c>
      <c r="T15" s="296" t="e">
        <f t="shared" si="1"/>
        <v>#N/A</v>
      </c>
      <c r="U15" s="296" t="e">
        <f t="shared" si="2"/>
        <v>#N/A</v>
      </c>
      <c r="V15" s="297" t="e">
        <f t="shared" si="3"/>
        <v>#N/A</v>
      </c>
      <c r="W15" s="297" t="e">
        <f t="shared" si="4"/>
        <v>#N/A</v>
      </c>
      <c r="X15" s="297" t="e">
        <f t="shared" si="5"/>
        <v>#N/A</v>
      </c>
      <c r="Y15" s="297" t="e">
        <f t="shared" si="6"/>
        <v>#N/A</v>
      </c>
      <c r="Z15" s="297" t="e">
        <f t="shared" si="7"/>
        <v>#N/A</v>
      </c>
      <c r="AA15" s="296" t="e">
        <f t="shared" si="8"/>
        <v>#N/A</v>
      </c>
    </row>
    <row r="16" spans="2:30" ht="15.75" hidden="1" customHeight="1">
      <c r="B16" s="373"/>
      <c r="C16" s="366"/>
      <c r="D16" s="279"/>
      <c r="E16" s="279"/>
      <c r="F16" s="278"/>
      <c r="G16" s="383"/>
      <c r="H16" s="367"/>
      <c r="I16" s="368"/>
      <c r="J16" s="368"/>
      <c r="K16" s="281"/>
      <c r="L16" s="276"/>
      <c r="M16" s="374"/>
      <c r="N16" s="370"/>
      <c r="O16" s="371"/>
      <c r="P16" s="375"/>
      <c r="Q16" s="347"/>
      <c r="S16" s="277">
        <f t="shared" si="0"/>
        <v>0</v>
      </c>
      <c r="T16" s="296" t="e">
        <f t="shared" si="1"/>
        <v>#N/A</v>
      </c>
      <c r="U16" s="296" t="e">
        <f t="shared" si="2"/>
        <v>#N/A</v>
      </c>
      <c r="V16" s="297" t="e">
        <f t="shared" si="3"/>
        <v>#N/A</v>
      </c>
      <c r="W16" s="297" t="e">
        <f t="shared" si="4"/>
        <v>#N/A</v>
      </c>
      <c r="X16" s="297" t="e">
        <f t="shared" si="5"/>
        <v>#N/A</v>
      </c>
      <c r="Y16" s="297" t="e">
        <f t="shared" si="6"/>
        <v>#N/A</v>
      </c>
      <c r="Z16" s="297" t="e">
        <f t="shared" si="7"/>
        <v>#N/A</v>
      </c>
      <c r="AA16" s="296" t="e">
        <f t="shared" si="8"/>
        <v>#N/A</v>
      </c>
    </row>
    <row r="17" spans="2:27" ht="15.75" hidden="1" customHeight="1">
      <c r="B17" s="373"/>
      <c r="C17" s="366"/>
      <c r="D17" s="279"/>
      <c r="E17" s="279"/>
      <c r="F17" s="278"/>
      <c r="G17" s="383"/>
      <c r="H17" s="367"/>
      <c r="I17" s="368"/>
      <c r="J17" s="368"/>
      <c r="K17" s="281"/>
      <c r="L17" s="276"/>
      <c r="M17" s="374"/>
      <c r="N17" s="370"/>
      <c r="O17" s="371"/>
      <c r="P17" s="375"/>
      <c r="Q17" s="347"/>
      <c r="S17" s="277">
        <f t="shared" si="0"/>
        <v>0</v>
      </c>
      <c r="T17" s="296" t="e">
        <f t="shared" si="1"/>
        <v>#N/A</v>
      </c>
      <c r="U17" s="296" t="e">
        <f t="shared" si="2"/>
        <v>#N/A</v>
      </c>
      <c r="V17" s="297" t="e">
        <f t="shared" si="3"/>
        <v>#N/A</v>
      </c>
      <c r="W17" s="297" t="e">
        <f t="shared" si="4"/>
        <v>#N/A</v>
      </c>
      <c r="X17" s="297" t="e">
        <f t="shared" si="5"/>
        <v>#N/A</v>
      </c>
      <c r="Y17" s="297" t="e">
        <f t="shared" si="6"/>
        <v>#N/A</v>
      </c>
      <c r="Z17" s="297" t="e">
        <f t="shared" si="7"/>
        <v>#N/A</v>
      </c>
      <c r="AA17" s="296" t="e">
        <f t="shared" si="8"/>
        <v>#N/A</v>
      </c>
    </row>
    <row r="18" spans="2:27" ht="15.75" hidden="1" customHeight="1">
      <c r="B18" s="373"/>
      <c r="C18" s="366"/>
      <c r="D18" s="279"/>
      <c r="E18" s="279"/>
      <c r="F18" s="278"/>
      <c r="G18" s="383"/>
      <c r="H18" s="367"/>
      <c r="I18" s="368"/>
      <c r="J18" s="368"/>
      <c r="K18" s="281"/>
      <c r="L18" s="276"/>
      <c r="M18" s="374"/>
      <c r="N18" s="370"/>
      <c r="O18" s="371"/>
      <c r="P18" s="375"/>
      <c r="Q18" s="347"/>
      <c r="S18" s="277">
        <f t="shared" si="0"/>
        <v>0</v>
      </c>
      <c r="T18" s="296" t="e">
        <f t="shared" si="1"/>
        <v>#N/A</v>
      </c>
      <c r="U18" s="296" t="e">
        <f t="shared" si="2"/>
        <v>#N/A</v>
      </c>
      <c r="V18" s="297" t="e">
        <f t="shared" si="3"/>
        <v>#N/A</v>
      </c>
      <c r="W18" s="297" t="e">
        <f t="shared" si="4"/>
        <v>#N/A</v>
      </c>
      <c r="X18" s="297" t="e">
        <f t="shared" si="5"/>
        <v>#N/A</v>
      </c>
      <c r="Y18" s="297" t="e">
        <f t="shared" si="6"/>
        <v>#N/A</v>
      </c>
      <c r="Z18" s="297" t="e">
        <f t="shared" si="7"/>
        <v>#N/A</v>
      </c>
      <c r="AA18" s="296" t="e">
        <f t="shared" si="8"/>
        <v>#N/A</v>
      </c>
    </row>
    <row r="19" spans="2:27" ht="15.75" hidden="1" customHeight="1">
      <c r="B19" s="373"/>
      <c r="C19" s="366"/>
      <c r="D19" s="279"/>
      <c r="E19" s="279"/>
      <c r="F19" s="278"/>
      <c r="G19" s="383"/>
      <c r="H19" s="367"/>
      <c r="I19" s="368"/>
      <c r="J19" s="368"/>
      <c r="K19" s="281"/>
      <c r="L19" s="276"/>
      <c r="M19" s="374"/>
      <c r="N19" s="370"/>
      <c r="O19" s="371"/>
      <c r="P19" s="375"/>
      <c r="Q19" s="347"/>
      <c r="S19" s="277">
        <f t="shared" si="0"/>
        <v>0</v>
      </c>
      <c r="T19" s="296" t="e">
        <f t="shared" si="1"/>
        <v>#N/A</v>
      </c>
      <c r="U19" s="296" t="e">
        <f t="shared" si="2"/>
        <v>#N/A</v>
      </c>
      <c r="V19" s="297" t="e">
        <f t="shared" si="3"/>
        <v>#N/A</v>
      </c>
      <c r="W19" s="297" t="e">
        <f t="shared" si="4"/>
        <v>#N/A</v>
      </c>
      <c r="X19" s="297" t="e">
        <f t="shared" si="5"/>
        <v>#N/A</v>
      </c>
      <c r="Y19" s="297" t="e">
        <f t="shared" si="6"/>
        <v>#N/A</v>
      </c>
      <c r="Z19" s="297" t="e">
        <f t="shared" si="7"/>
        <v>#N/A</v>
      </c>
      <c r="AA19" s="296" t="e">
        <f t="shared" si="8"/>
        <v>#N/A</v>
      </c>
    </row>
    <row r="20" spans="2:27" ht="15.75" hidden="1" customHeight="1">
      <c r="B20" s="373"/>
      <c r="C20" s="366"/>
      <c r="D20" s="279"/>
      <c r="E20" s="279"/>
      <c r="F20" s="278"/>
      <c r="G20" s="383"/>
      <c r="H20" s="367"/>
      <c r="I20" s="368"/>
      <c r="J20" s="368"/>
      <c r="K20" s="281"/>
      <c r="L20" s="276"/>
      <c r="M20" s="374"/>
      <c r="N20" s="370"/>
      <c r="O20" s="371"/>
      <c r="P20" s="375"/>
      <c r="Q20" s="347"/>
      <c r="S20" s="277">
        <f t="shared" si="0"/>
        <v>0</v>
      </c>
      <c r="T20" s="296" t="e">
        <f t="shared" si="1"/>
        <v>#N/A</v>
      </c>
      <c r="U20" s="296" t="e">
        <f t="shared" si="2"/>
        <v>#N/A</v>
      </c>
      <c r="V20" s="297" t="e">
        <f t="shared" si="3"/>
        <v>#N/A</v>
      </c>
      <c r="W20" s="297" t="e">
        <f t="shared" si="4"/>
        <v>#N/A</v>
      </c>
      <c r="X20" s="297" t="e">
        <f t="shared" si="5"/>
        <v>#N/A</v>
      </c>
      <c r="Y20" s="297" t="e">
        <f t="shared" si="6"/>
        <v>#N/A</v>
      </c>
      <c r="Z20" s="297" t="e">
        <f t="shared" si="7"/>
        <v>#N/A</v>
      </c>
      <c r="AA20" s="296" t="e">
        <f t="shared" si="8"/>
        <v>#N/A</v>
      </c>
    </row>
    <row r="21" spans="2:27" ht="15.75" hidden="1" customHeight="1">
      <c r="B21" s="373"/>
      <c r="C21" s="366"/>
      <c r="D21" s="279"/>
      <c r="E21" s="279"/>
      <c r="F21" s="278"/>
      <c r="G21" s="383"/>
      <c r="H21" s="367"/>
      <c r="I21" s="368"/>
      <c r="J21" s="368"/>
      <c r="K21" s="281"/>
      <c r="L21" s="276"/>
      <c r="M21" s="374"/>
      <c r="N21" s="370"/>
      <c r="O21" s="371"/>
      <c r="P21" s="375"/>
      <c r="Q21" s="347"/>
      <c r="S21" s="277">
        <f t="shared" si="0"/>
        <v>0</v>
      </c>
      <c r="T21" s="296" t="e">
        <f t="shared" si="1"/>
        <v>#N/A</v>
      </c>
      <c r="U21" s="296" t="e">
        <f t="shared" si="2"/>
        <v>#N/A</v>
      </c>
      <c r="V21" s="297" t="e">
        <f t="shared" si="3"/>
        <v>#N/A</v>
      </c>
      <c r="W21" s="297" t="e">
        <f t="shared" si="4"/>
        <v>#N/A</v>
      </c>
      <c r="X21" s="297" t="e">
        <f t="shared" si="5"/>
        <v>#N/A</v>
      </c>
      <c r="Y21" s="297" t="e">
        <f t="shared" si="6"/>
        <v>#N/A</v>
      </c>
      <c r="Z21" s="297" t="e">
        <f t="shared" si="7"/>
        <v>#N/A</v>
      </c>
      <c r="AA21" s="296" t="e">
        <f t="shared" si="8"/>
        <v>#N/A</v>
      </c>
    </row>
    <row r="22" spans="2:27" ht="15.75" hidden="1" customHeight="1">
      <c r="B22" s="373"/>
      <c r="C22" s="366"/>
      <c r="D22" s="279"/>
      <c r="E22" s="279"/>
      <c r="F22" s="278"/>
      <c r="G22" s="383"/>
      <c r="H22" s="367"/>
      <c r="I22" s="368"/>
      <c r="J22" s="368"/>
      <c r="K22" s="281"/>
      <c r="L22" s="276"/>
      <c r="M22" s="374"/>
      <c r="N22" s="370"/>
      <c r="O22" s="371"/>
      <c r="P22" s="375"/>
      <c r="Q22" s="347"/>
      <c r="S22" s="277">
        <f t="shared" si="0"/>
        <v>0</v>
      </c>
      <c r="T22" s="296" t="e">
        <f t="shared" si="1"/>
        <v>#N/A</v>
      </c>
      <c r="U22" s="296" t="e">
        <f t="shared" si="2"/>
        <v>#N/A</v>
      </c>
      <c r="V22" s="297" t="e">
        <f t="shared" si="3"/>
        <v>#N/A</v>
      </c>
      <c r="W22" s="297" t="e">
        <f t="shared" si="4"/>
        <v>#N/A</v>
      </c>
      <c r="X22" s="297" t="e">
        <f t="shared" si="5"/>
        <v>#N/A</v>
      </c>
      <c r="Y22" s="297" t="e">
        <f t="shared" si="6"/>
        <v>#N/A</v>
      </c>
      <c r="Z22" s="297" t="e">
        <f t="shared" si="7"/>
        <v>#N/A</v>
      </c>
      <c r="AA22" s="296" t="e">
        <f t="shared" si="8"/>
        <v>#N/A</v>
      </c>
    </row>
    <row r="23" spans="2:27" ht="15.75" hidden="1" customHeight="1">
      <c r="B23" s="373"/>
      <c r="C23" s="366"/>
      <c r="D23" s="279"/>
      <c r="E23" s="279"/>
      <c r="F23" s="278"/>
      <c r="G23" s="383"/>
      <c r="H23" s="367"/>
      <c r="I23" s="368"/>
      <c r="J23" s="368"/>
      <c r="K23" s="281"/>
      <c r="L23" s="276"/>
      <c r="M23" s="374"/>
      <c r="N23" s="370"/>
      <c r="O23" s="371"/>
      <c r="P23" s="375"/>
      <c r="Q23" s="347"/>
      <c r="S23" s="277">
        <f t="shared" si="0"/>
        <v>0</v>
      </c>
      <c r="T23" s="296" t="e">
        <f t="shared" si="1"/>
        <v>#N/A</v>
      </c>
      <c r="U23" s="296" t="e">
        <f t="shared" si="2"/>
        <v>#N/A</v>
      </c>
      <c r="V23" s="297" t="e">
        <f t="shared" si="3"/>
        <v>#N/A</v>
      </c>
      <c r="W23" s="297" t="e">
        <f t="shared" si="4"/>
        <v>#N/A</v>
      </c>
      <c r="X23" s="297" t="e">
        <f t="shared" si="5"/>
        <v>#N/A</v>
      </c>
      <c r="Y23" s="297" t="e">
        <f t="shared" si="6"/>
        <v>#N/A</v>
      </c>
      <c r="Z23" s="297" t="e">
        <f t="shared" si="7"/>
        <v>#N/A</v>
      </c>
      <c r="AA23" s="296" t="e">
        <f t="shared" si="8"/>
        <v>#N/A</v>
      </c>
    </row>
    <row r="24" spans="2:27" ht="15.75" hidden="1" customHeight="1">
      <c r="B24" s="373"/>
      <c r="C24" s="366"/>
      <c r="D24" s="279"/>
      <c r="E24" s="279"/>
      <c r="F24" s="278"/>
      <c r="G24" s="383"/>
      <c r="H24" s="367"/>
      <c r="I24" s="368"/>
      <c r="J24" s="368"/>
      <c r="K24" s="281"/>
      <c r="L24" s="276"/>
      <c r="M24" s="374"/>
      <c r="N24" s="370"/>
      <c r="O24" s="371"/>
      <c r="P24" s="375"/>
      <c r="Q24" s="347"/>
      <c r="S24" s="277">
        <f t="shared" si="0"/>
        <v>0</v>
      </c>
      <c r="T24" s="296" t="e">
        <f t="shared" si="1"/>
        <v>#N/A</v>
      </c>
      <c r="U24" s="296" t="e">
        <f t="shared" si="2"/>
        <v>#N/A</v>
      </c>
      <c r="V24" s="297" t="e">
        <f t="shared" si="3"/>
        <v>#N/A</v>
      </c>
      <c r="W24" s="297" t="e">
        <f t="shared" si="4"/>
        <v>#N/A</v>
      </c>
      <c r="X24" s="297" t="e">
        <f t="shared" si="5"/>
        <v>#N/A</v>
      </c>
      <c r="Y24" s="297" t="e">
        <f t="shared" si="6"/>
        <v>#N/A</v>
      </c>
      <c r="Z24" s="297" t="e">
        <f t="shared" si="7"/>
        <v>#N/A</v>
      </c>
      <c r="AA24" s="296" t="e">
        <f t="shared" si="8"/>
        <v>#N/A</v>
      </c>
    </row>
    <row r="25" spans="2:27" ht="15.75" hidden="1" customHeight="1">
      <c r="B25" s="373"/>
      <c r="C25" s="366"/>
      <c r="D25" s="279"/>
      <c r="E25" s="279"/>
      <c r="F25" s="278"/>
      <c r="G25" s="383"/>
      <c r="H25" s="367"/>
      <c r="I25" s="368"/>
      <c r="J25" s="368"/>
      <c r="K25" s="281"/>
      <c r="L25" s="276"/>
      <c r="M25" s="374"/>
      <c r="N25" s="370"/>
      <c r="O25" s="371"/>
      <c r="P25" s="375"/>
      <c r="Q25" s="347"/>
      <c r="S25" s="277">
        <f t="shared" si="0"/>
        <v>0</v>
      </c>
      <c r="T25" s="296" t="e">
        <f t="shared" si="1"/>
        <v>#N/A</v>
      </c>
      <c r="U25" s="296" t="e">
        <f t="shared" si="2"/>
        <v>#N/A</v>
      </c>
      <c r="V25" s="297" t="e">
        <f t="shared" si="3"/>
        <v>#N/A</v>
      </c>
      <c r="W25" s="297" t="e">
        <f t="shared" si="4"/>
        <v>#N/A</v>
      </c>
      <c r="X25" s="297" t="e">
        <f t="shared" si="5"/>
        <v>#N/A</v>
      </c>
      <c r="Y25" s="297" t="e">
        <f t="shared" si="6"/>
        <v>#N/A</v>
      </c>
      <c r="Z25" s="297" t="e">
        <f t="shared" si="7"/>
        <v>#N/A</v>
      </c>
      <c r="AA25" s="296" t="e">
        <f t="shared" si="8"/>
        <v>#N/A</v>
      </c>
    </row>
    <row r="26" spans="2:27" ht="15.75" hidden="1" customHeight="1">
      <c r="B26" s="373"/>
      <c r="C26" s="366"/>
      <c r="D26" s="279"/>
      <c r="E26" s="279"/>
      <c r="F26" s="278"/>
      <c r="G26" s="383"/>
      <c r="H26" s="367"/>
      <c r="I26" s="368"/>
      <c r="J26" s="368"/>
      <c r="K26" s="281"/>
      <c r="L26" s="276"/>
      <c r="M26" s="374"/>
      <c r="N26" s="370"/>
      <c r="O26" s="371"/>
      <c r="P26" s="375"/>
      <c r="Q26" s="347"/>
      <c r="S26" s="277">
        <f t="shared" si="0"/>
        <v>0</v>
      </c>
      <c r="T26" s="296" t="e">
        <f t="shared" si="1"/>
        <v>#N/A</v>
      </c>
      <c r="U26" s="296" t="e">
        <f t="shared" si="2"/>
        <v>#N/A</v>
      </c>
      <c r="V26" s="297" t="e">
        <f t="shared" si="3"/>
        <v>#N/A</v>
      </c>
      <c r="W26" s="297" t="e">
        <f t="shared" si="4"/>
        <v>#N/A</v>
      </c>
      <c r="X26" s="297" t="e">
        <f t="shared" si="5"/>
        <v>#N/A</v>
      </c>
      <c r="Y26" s="297" t="e">
        <f t="shared" si="6"/>
        <v>#N/A</v>
      </c>
      <c r="Z26" s="297" t="e">
        <f t="shared" si="7"/>
        <v>#N/A</v>
      </c>
      <c r="AA26" s="296" t="e">
        <f t="shared" si="8"/>
        <v>#N/A</v>
      </c>
    </row>
    <row r="27" spans="2:27" ht="15" hidden="1">
      <c r="B27" s="373"/>
      <c r="C27" s="366"/>
      <c r="D27" s="279"/>
      <c r="E27" s="279"/>
      <c r="F27" s="278"/>
      <c r="G27" s="383"/>
      <c r="H27" s="367"/>
      <c r="I27" s="368"/>
      <c r="J27" s="368"/>
      <c r="K27" s="281"/>
      <c r="L27" s="276"/>
      <c r="M27" s="374"/>
      <c r="N27" s="370"/>
      <c r="O27" s="371"/>
      <c r="P27" s="369"/>
      <c r="Q27" s="347"/>
      <c r="S27" s="277">
        <f t="shared" si="0"/>
        <v>0</v>
      </c>
      <c r="T27" s="296" t="e">
        <f t="shared" si="1"/>
        <v>#N/A</v>
      </c>
      <c r="U27" s="296" t="e">
        <f t="shared" si="2"/>
        <v>#N/A</v>
      </c>
      <c r="V27" s="297" t="e">
        <f t="shared" si="3"/>
        <v>#N/A</v>
      </c>
      <c r="W27" s="297" t="e">
        <f t="shared" si="4"/>
        <v>#N/A</v>
      </c>
      <c r="X27" s="297" t="e">
        <f t="shared" si="5"/>
        <v>#N/A</v>
      </c>
      <c r="Y27" s="297" t="e">
        <f t="shared" si="6"/>
        <v>#N/A</v>
      </c>
      <c r="Z27" s="297" t="e">
        <f t="shared" si="7"/>
        <v>#N/A</v>
      </c>
      <c r="AA27" s="296" t="e">
        <f t="shared" si="8"/>
        <v>#N/A</v>
      </c>
    </row>
    <row r="28" spans="2:27" ht="15" hidden="1">
      <c r="B28" s="373"/>
      <c r="C28" s="366"/>
      <c r="D28" s="279"/>
      <c r="E28" s="279"/>
      <c r="F28" s="278"/>
      <c r="G28" s="383"/>
      <c r="H28" s="367"/>
      <c r="I28" s="368"/>
      <c r="J28" s="368"/>
      <c r="K28" s="281"/>
      <c r="L28" s="276"/>
      <c r="M28" s="374"/>
      <c r="N28" s="370"/>
      <c r="O28" s="371"/>
      <c r="P28" s="369"/>
      <c r="Q28" s="347"/>
      <c r="S28" s="277">
        <f t="shared" si="0"/>
        <v>0</v>
      </c>
      <c r="T28" s="296" t="e">
        <f t="shared" si="1"/>
        <v>#N/A</v>
      </c>
      <c r="U28" s="296" t="e">
        <f t="shared" si="2"/>
        <v>#N/A</v>
      </c>
      <c r="V28" s="297" t="e">
        <f t="shared" si="3"/>
        <v>#N/A</v>
      </c>
      <c r="W28" s="297" t="e">
        <f t="shared" si="4"/>
        <v>#N/A</v>
      </c>
      <c r="X28" s="297" t="e">
        <f t="shared" si="5"/>
        <v>#N/A</v>
      </c>
      <c r="Y28" s="297" t="e">
        <f t="shared" si="6"/>
        <v>#N/A</v>
      </c>
      <c r="Z28" s="297" t="e">
        <f t="shared" si="7"/>
        <v>#N/A</v>
      </c>
      <c r="AA28" s="296" t="e">
        <f t="shared" si="8"/>
        <v>#N/A</v>
      </c>
    </row>
    <row r="29" spans="2:27" ht="15" hidden="1">
      <c r="B29" s="373"/>
      <c r="C29" s="366"/>
      <c r="D29" s="279"/>
      <c r="E29" s="279"/>
      <c r="F29" s="278"/>
      <c r="G29" s="383"/>
      <c r="H29" s="367"/>
      <c r="I29" s="368"/>
      <c r="J29" s="368"/>
      <c r="K29" s="392"/>
      <c r="L29" s="276"/>
      <c r="M29" s="374"/>
      <c r="N29" s="370"/>
      <c r="O29" s="371"/>
      <c r="P29" s="369"/>
      <c r="Q29" s="347"/>
      <c r="S29" s="277">
        <f t="shared" si="0"/>
        <v>0</v>
      </c>
      <c r="T29" s="296" t="e">
        <f t="shared" si="1"/>
        <v>#N/A</v>
      </c>
      <c r="U29" s="296" t="e">
        <f t="shared" si="2"/>
        <v>#N/A</v>
      </c>
      <c r="V29" s="297" t="e">
        <f t="shared" si="3"/>
        <v>#N/A</v>
      </c>
      <c r="W29" s="297" t="e">
        <f t="shared" si="4"/>
        <v>#N/A</v>
      </c>
      <c r="X29" s="297" t="e">
        <f t="shared" si="5"/>
        <v>#N/A</v>
      </c>
      <c r="Y29" s="297" t="e">
        <f t="shared" si="6"/>
        <v>#N/A</v>
      </c>
      <c r="Z29" s="297" t="e">
        <f t="shared" si="7"/>
        <v>#N/A</v>
      </c>
      <c r="AA29" s="296" t="e">
        <f t="shared" si="8"/>
        <v>#N/A</v>
      </c>
    </row>
    <row r="30" spans="2:27" ht="15" hidden="1">
      <c r="B30" s="373"/>
      <c r="C30" s="366"/>
      <c r="D30" s="279"/>
      <c r="E30" s="279"/>
      <c r="F30" s="278"/>
      <c r="G30" s="383"/>
      <c r="H30" s="367"/>
      <c r="I30" s="368"/>
      <c r="J30" s="368"/>
      <c r="K30" s="281"/>
      <c r="L30" s="276"/>
      <c r="M30" s="374"/>
      <c r="N30" s="370"/>
      <c r="O30" s="371"/>
      <c r="P30" s="369"/>
      <c r="Q30" s="347"/>
      <c r="S30" s="277">
        <f t="shared" si="0"/>
        <v>0</v>
      </c>
      <c r="T30" s="296" t="e">
        <f t="shared" si="1"/>
        <v>#N/A</v>
      </c>
      <c r="U30" s="296" t="e">
        <f t="shared" si="2"/>
        <v>#N/A</v>
      </c>
      <c r="V30" s="297" t="e">
        <f t="shared" si="3"/>
        <v>#N/A</v>
      </c>
      <c r="W30" s="297" t="e">
        <f t="shared" si="4"/>
        <v>#N/A</v>
      </c>
      <c r="X30" s="297" t="e">
        <f t="shared" si="5"/>
        <v>#N/A</v>
      </c>
      <c r="Y30" s="297" t="e">
        <f t="shared" si="6"/>
        <v>#N/A</v>
      </c>
      <c r="Z30" s="297" t="e">
        <f t="shared" si="7"/>
        <v>#N/A</v>
      </c>
      <c r="AA30" s="296" t="e">
        <f t="shared" si="8"/>
        <v>#N/A</v>
      </c>
    </row>
    <row r="31" spans="2:27" ht="15" hidden="1">
      <c r="B31" s="373"/>
      <c r="C31" s="366"/>
      <c r="D31" s="279"/>
      <c r="E31" s="279"/>
      <c r="F31" s="278"/>
      <c r="G31" s="383"/>
      <c r="H31" s="367"/>
      <c r="I31" s="368"/>
      <c r="J31" s="368"/>
      <c r="K31" s="281"/>
      <c r="L31" s="276"/>
      <c r="M31" s="374"/>
      <c r="N31" s="370"/>
      <c r="O31" s="371"/>
      <c r="P31" s="369"/>
      <c r="Q31" s="347"/>
      <c r="S31" s="277">
        <f t="shared" si="0"/>
        <v>0</v>
      </c>
      <c r="T31" s="296" t="e">
        <f t="shared" si="1"/>
        <v>#N/A</v>
      </c>
      <c r="U31" s="296" t="e">
        <f t="shared" si="2"/>
        <v>#N/A</v>
      </c>
      <c r="V31" s="297" t="e">
        <f t="shared" si="3"/>
        <v>#N/A</v>
      </c>
      <c r="W31" s="297" t="e">
        <f t="shared" si="4"/>
        <v>#N/A</v>
      </c>
      <c r="X31" s="297" t="e">
        <f t="shared" si="5"/>
        <v>#N/A</v>
      </c>
      <c r="Y31" s="297" t="e">
        <f t="shared" si="6"/>
        <v>#N/A</v>
      </c>
      <c r="Z31" s="297" t="e">
        <f t="shared" si="7"/>
        <v>#N/A</v>
      </c>
      <c r="AA31" s="296" t="e">
        <f t="shared" si="8"/>
        <v>#N/A</v>
      </c>
    </row>
    <row r="32" spans="2:27" ht="15" hidden="1">
      <c r="B32" s="373"/>
      <c r="C32" s="366"/>
      <c r="D32" s="279"/>
      <c r="E32" s="279"/>
      <c r="F32" s="278"/>
      <c r="G32" s="383"/>
      <c r="H32" s="367"/>
      <c r="I32" s="368"/>
      <c r="J32" s="368"/>
      <c r="K32" s="281"/>
      <c r="L32" s="276"/>
      <c r="M32" s="374"/>
      <c r="N32" s="370"/>
      <c r="O32" s="371"/>
      <c r="P32" s="369"/>
      <c r="Q32" s="347"/>
      <c r="S32" s="277">
        <f t="shared" si="0"/>
        <v>0</v>
      </c>
      <c r="T32" s="296" t="e">
        <f t="shared" si="1"/>
        <v>#N/A</v>
      </c>
      <c r="U32" s="296" t="e">
        <f t="shared" si="2"/>
        <v>#N/A</v>
      </c>
      <c r="V32" s="297" t="e">
        <f t="shared" si="3"/>
        <v>#N/A</v>
      </c>
      <c r="W32" s="297" t="e">
        <f t="shared" si="4"/>
        <v>#N/A</v>
      </c>
      <c r="X32" s="297" t="e">
        <f t="shared" si="5"/>
        <v>#N/A</v>
      </c>
      <c r="Y32" s="297" t="e">
        <f t="shared" si="6"/>
        <v>#N/A</v>
      </c>
      <c r="Z32" s="297" t="e">
        <f t="shared" si="7"/>
        <v>#N/A</v>
      </c>
      <c r="AA32" s="296" t="e">
        <f t="shared" si="8"/>
        <v>#N/A</v>
      </c>
    </row>
    <row r="33" spans="2:27" ht="15" hidden="1">
      <c r="B33" s="393"/>
      <c r="C33" s="366"/>
      <c r="D33" s="279"/>
      <c r="E33" s="279"/>
      <c r="F33" s="278"/>
      <c r="G33" s="279"/>
      <c r="H33" s="394"/>
      <c r="I33" s="368"/>
      <c r="J33" s="368"/>
      <c r="K33" s="281"/>
      <c r="L33" s="276"/>
      <c r="M33" s="395"/>
      <c r="N33" s="370"/>
      <c r="O33" s="371"/>
      <c r="P33" s="369"/>
      <c r="Q33" s="347"/>
      <c r="S33" s="277">
        <f t="shared" si="0"/>
        <v>0</v>
      </c>
      <c r="T33" s="296" t="e">
        <f t="shared" si="1"/>
        <v>#N/A</v>
      </c>
      <c r="U33" s="296" t="e">
        <f t="shared" si="2"/>
        <v>#N/A</v>
      </c>
      <c r="V33" s="297" t="e">
        <f t="shared" si="3"/>
        <v>#N/A</v>
      </c>
      <c r="W33" s="297" t="e">
        <f t="shared" si="4"/>
        <v>#N/A</v>
      </c>
      <c r="X33" s="297" t="e">
        <f t="shared" si="5"/>
        <v>#N/A</v>
      </c>
      <c r="Y33" s="297" t="e">
        <f t="shared" si="6"/>
        <v>#N/A</v>
      </c>
      <c r="Z33" s="297" t="e">
        <f t="shared" si="7"/>
        <v>#N/A</v>
      </c>
      <c r="AA33" s="296" t="e">
        <f t="shared" si="8"/>
        <v>#N/A</v>
      </c>
    </row>
    <row r="34" spans="2:27" ht="15" hidden="1">
      <c r="B34" s="393"/>
      <c r="C34" s="366"/>
      <c r="D34" s="279"/>
      <c r="E34" s="279"/>
      <c r="F34" s="278"/>
      <c r="G34" s="279"/>
      <c r="H34" s="394"/>
      <c r="I34" s="368"/>
      <c r="J34" s="368"/>
      <c r="K34" s="281"/>
      <c r="L34" s="276"/>
      <c r="M34" s="395"/>
      <c r="N34" s="370"/>
      <c r="O34" s="371"/>
      <c r="P34" s="369"/>
      <c r="Q34" s="347"/>
      <c r="S34" s="277">
        <f t="shared" si="0"/>
        <v>0</v>
      </c>
      <c r="T34" s="296" t="e">
        <f t="shared" si="1"/>
        <v>#N/A</v>
      </c>
      <c r="U34" s="296" t="e">
        <f t="shared" si="2"/>
        <v>#N/A</v>
      </c>
      <c r="V34" s="297" t="e">
        <f t="shared" si="3"/>
        <v>#N/A</v>
      </c>
      <c r="W34" s="297" t="e">
        <f t="shared" si="4"/>
        <v>#N/A</v>
      </c>
      <c r="X34" s="297" t="e">
        <f t="shared" si="5"/>
        <v>#N/A</v>
      </c>
      <c r="Y34" s="297" t="e">
        <f t="shared" si="6"/>
        <v>#N/A</v>
      </c>
      <c r="Z34" s="297" t="e">
        <f t="shared" si="7"/>
        <v>#N/A</v>
      </c>
      <c r="AA34" s="296" t="e">
        <f t="shared" si="8"/>
        <v>#N/A</v>
      </c>
    </row>
    <row r="35" spans="2:27" ht="15" hidden="1">
      <c r="B35" s="393"/>
      <c r="C35" s="366"/>
      <c r="D35" s="279"/>
      <c r="E35" s="279"/>
      <c r="F35" s="278"/>
      <c r="G35" s="279"/>
      <c r="H35" s="394"/>
      <c r="I35" s="368"/>
      <c r="J35" s="368"/>
      <c r="K35" s="281"/>
      <c r="L35" s="276"/>
      <c r="M35" s="395"/>
      <c r="N35" s="370"/>
      <c r="O35" s="371"/>
      <c r="P35" s="369"/>
      <c r="Q35" s="347"/>
      <c r="S35" s="277">
        <f t="shared" si="0"/>
        <v>0</v>
      </c>
      <c r="T35" s="296" t="e">
        <f t="shared" si="1"/>
        <v>#N/A</v>
      </c>
      <c r="U35" s="296" t="e">
        <f t="shared" si="2"/>
        <v>#N/A</v>
      </c>
      <c r="V35" s="297" t="e">
        <f t="shared" si="3"/>
        <v>#N/A</v>
      </c>
      <c r="W35" s="297" t="e">
        <f t="shared" si="4"/>
        <v>#N/A</v>
      </c>
      <c r="X35" s="297" t="e">
        <f t="shared" si="5"/>
        <v>#N/A</v>
      </c>
      <c r="Y35" s="297" t="e">
        <f t="shared" si="6"/>
        <v>#N/A</v>
      </c>
      <c r="Z35" s="297" t="e">
        <f t="shared" si="7"/>
        <v>#N/A</v>
      </c>
      <c r="AA35" s="296" t="e">
        <f t="shared" si="8"/>
        <v>#N/A</v>
      </c>
    </row>
    <row r="36" spans="2:27" ht="15" hidden="1">
      <c r="B36" s="393"/>
      <c r="C36" s="366"/>
      <c r="D36" s="279"/>
      <c r="E36" s="279"/>
      <c r="F36" s="278"/>
      <c r="G36" s="279"/>
      <c r="H36" s="394"/>
      <c r="I36" s="368"/>
      <c r="J36" s="368"/>
      <c r="K36" s="281"/>
      <c r="L36" s="276"/>
      <c r="M36" s="395"/>
      <c r="N36" s="370"/>
      <c r="O36" s="371"/>
      <c r="P36" s="369"/>
      <c r="Q36" s="347"/>
      <c r="S36" s="277">
        <f t="shared" si="0"/>
        <v>0</v>
      </c>
      <c r="T36" s="296" t="e">
        <f t="shared" si="1"/>
        <v>#N/A</v>
      </c>
      <c r="U36" s="296" t="e">
        <f t="shared" si="2"/>
        <v>#N/A</v>
      </c>
      <c r="V36" s="297" t="e">
        <f t="shared" si="3"/>
        <v>#N/A</v>
      </c>
      <c r="W36" s="297" t="e">
        <f t="shared" si="4"/>
        <v>#N/A</v>
      </c>
      <c r="X36" s="297" t="e">
        <f t="shared" si="5"/>
        <v>#N/A</v>
      </c>
      <c r="Y36" s="297" t="e">
        <f t="shared" si="6"/>
        <v>#N/A</v>
      </c>
      <c r="Z36" s="297" t="e">
        <f t="shared" si="7"/>
        <v>#N/A</v>
      </c>
      <c r="AA36" s="296" t="e">
        <f t="shared" si="8"/>
        <v>#N/A</v>
      </c>
    </row>
    <row r="37" spans="2:27" ht="15" hidden="1">
      <c r="B37" s="393"/>
      <c r="C37" s="366"/>
      <c r="D37" s="279"/>
      <c r="E37" s="279"/>
      <c r="F37" s="278"/>
      <c r="G37" s="279"/>
      <c r="H37" s="394"/>
      <c r="I37" s="368"/>
      <c r="J37" s="368"/>
      <c r="K37" s="281"/>
      <c r="L37" s="276"/>
      <c r="M37" s="395"/>
      <c r="N37" s="370"/>
      <c r="O37" s="371"/>
      <c r="P37" s="369"/>
      <c r="Q37" s="347"/>
      <c r="S37" s="277">
        <f t="shared" si="0"/>
        <v>0</v>
      </c>
      <c r="T37" s="296" t="e">
        <f t="shared" si="1"/>
        <v>#N/A</v>
      </c>
      <c r="U37" s="296" t="e">
        <f t="shared" si="2"/>
        <v>#N/A</v>
      </c>
      <c r="V37" s="297" t="e">
        <f t="shared" si="3"/>
        <v>#N/A</v>
      </c>
      <c r="W37" s="297" t="e">
        <f t="shared" si="4"/>
        <v>#N/A</v>
      </c>
      <c r="X37" s="297" t="e">
        <f t="shared" si="5"/>
        <v>#N/A</v>
      </c>
      <c r="Y37" s="297" t="e">
        <f t="shared" si="6"/>
        <v>#N/A</v>
      </c>
      <c r="Z37" s="297" t="e">
        <f t="shared" si="7"/>
        <v>#N/A</v>
      </c>
      <c r="AA37" s="296" t="e">
        <f t="shared" si="8"/>
        <v>#N/A</v>
      </c>
    </row>
    <row r="38" spans="2:27" ht="15" hidden="1">
      <c r="B38" s="393"/>
      <c r="C38" s="366"/>
      <c r="D38" s="279"/>
      <c r="E38" s="279"/>
      <c r="F38" s="278"/>
      <c r="G38" s="279"/>
      <c r="H38" s="394"/>
      <c r="I38" s="368"/>
      <c r="J38" s="368"/>
      <c r="K38" s="281"/>
      <c r="L38" s="276"/>
      <c r="M38" s="395"/>
      <c r="N38" s="370"/>
      <c r="O38" s="371"/>
      <c r="P38" s="369"/>
      <c r="Q38" s="347"/>
      <c r="S38" s="277">
        <f t="shared" si="0"/>
        <v>0</v>
      </c>
      <c r="T38" s="296" t="e">
        <f t="shared" si="1"/>
        <v>#N/A</v>
      </c>
      <c r="U38" s="296" t="e">
        <f t="shared" si="2"/>
        <v>#N/A</v>
      </c>
      <c r="V38" s="297" t="e">
        <f t="shared" si="3"/>
        <v>#N/A</v>
      </c>
      <c r="W38" s="297" t="e">
        <f t="shared" si="4"/>
        <v>#N/A</v>
      </c>
      <c r="X38" s="297" t="e">
        <f t="shared" si="5"/>
        <v>#N/A</v>
      </c>
      <c r="Y38" s="297" t="e">
        <f t="shared" si="6"/>
        <v>#N/A</v>
      </c>
      <c r="Z38" s="297" t="e">
        <f t="shared" si="7"/>
        <v>#N/A</v>
      </c>
      <c r="AA38" s="296" t="e">
        <f t="shared" si="8"/>
        <v>#N/A</v>
      </c>
    </row>
    <row r="39" spans="2:27" ht="15">
      <c r="B39" s="393"/>
      <c r="C39" s="366"/>
      <c r="D39" s="279"/>
      <c r="E39" s="279"/>
      <c r="F39" s="278"/>
      <c r="G39" s="279"/>
      <c r="H39" s="394"/>
      <c r="I39" s="368"/>
      <c r="J39" s="368"/>
      <c r="K39" s="281"/>
      <c r="L39" s="276"/>
      <c r="M39" s="395"/>
      <c r="N39" s="370"/>
      <c r="O39" s="371"/>
      <c r="P39" s="369"/>
      <c r="Q39" s="347"/>
      <c r="S39" s="277">
        <f t="shared" si="0"/>
        <v>0</v>
      </c>
      <c r="T39" s="296" t="e">
        <f t="shared" si="1"/>
        <v>#N/A</v>
      </c>
      <c r="U39" s="296" t="e">
        <f t="shared" si="2"/>
        <v>#N/A</v>
      </c>
      <c r="V39" s="297" t="e">
        <f t="shared" si="3"/>
        <v>#N/A</v>
      </c>
      <c r="W39" s="297" t="e">
        <f t="shared" si="4"/>
        <v>#N/A</v>
      </c>
      <c r="X39" s="297" t="e">
        <f t="shared" si="5"/>
        <v>#N/A</v>
      </c>
      <c r="Y39" s="297" t="e">
        <f t="shared" si="6"/>
        <v>#N/A</v>
      </c>
      <c r="Z39" s="297" t="e">
        <f t="shared" si="7"/>
        <v>#N/A</v>
      </c>
      <c r="AA39" s="296" t="e">
        <f t="shared" si="8"/>
        <v>#N/A</v>
      </c>
    </row>
    <row r="40" spans="2:27" ht="15">
      <c r="B40" s="393"/>
      <c r="C40" s="366"/>
      <c r="D40" s="279"/>
      <c r="E40" s="279"/>
      <c r="F40" s="278"/>
      <c r="G40" s="279"/>
      <c r="H40" s="394"/>
      <c r="I40" s="368"/>
      <c r="J40" s="368"/>
      <c r="K40" s="281"/>
      <c r="L40" s="276"/>
      <c r="M40" s="395"/>
      <c r="N40" s="370"/>
      <c r="O40" s="371"/>
      <c r="P40" s="369"/>
      <c r="Q40" s="347"/>
      <c r="S40" s="277">
        <f t="shared" si="0"/>
        <v>0</v>
      </c>
      <c r="T40" s="296" t="e">
        <f t="shared" si="1"/>
        <v>#N/A</v>
      </c>
      <c r="U40" s="296" t="e">
        <f t="shared" si="2"/>
        <v>#N/A</v>
      </c>
      <c r="V40" s="297" t="e">
        <f t="shared" si="3"/>
        <v>#N/A</v>
      </c>
      <c r="W40" s="297" t="e">
        <f t="shared" si="4"/>
        <v>#N/A</v>
      </c>
      <c r="X40" s="297" t="e">
        <f t="shared" si="5"/>
        <v>#N/A</v>
      </c>
      <c r="Y40" s="297" t="e">
        <f t="shared" si="6"/>
        <v>#N/A</v>
      </c>
      <c r="Z40" s="297" t="e">
        <f t="shared" si="7"/>
        <v>#N/A</v>
      </c>
      <c r="AA40" s="296" t="e">
        <f t="shared" si="8"/>
        <v>#N/A</v>
      </c>
    </row>
    <row r="41" spans="2:27" ht="15">
      <c r="B41" s="393"/>
      <c r="C41" s="366"/>
      <c r="D41" s="279"/>
      <c r="E41" s="279"/>
      <c r="F41" s="278"/>
      <c r="G41" s="279"/>
      <c r="H41" s="394"/>
      <c r="I41" s="368"/>
      <c r="J41" s="368"/>
      <c r="K41" s="281"/>
      <c r="L41" s="276"/>
      <c r="M41" s="395"/>
      <c r="N41" s="370"/>
      <c r="O41" s="371"/>
      <c r="P41" s="369"/>
      <c r="Q41" s="347"/>
      <c r="S41" s="277">
        <f t="shared" si="0"/>
        <v>0</v>
      </c>
      <c r="T41" s="296" t="e">
        <f t="shared" si="1"/>
        <v>#N/A</v>
      </c>
      <c r="U41" s="296" t="e">
        <f t="shared" si="2"/>
        <v>#N/A</v>
      </c>
      <c r="V41" s="297" t="e">
        <f t="shared" si="3"/>
        <v>#N/A</v>
      </c>
      <c r="W41" s="297" t="e">
        <f t="shared" si="4"/>
        <v>#N/A</v>
      </c>
      <c r="X41" s="297" t="e">
        <f t="shared" si="5"/>
        <v>#N/A</v>
      </c>
      <c r="Y41" s="297" t="e">
        <f t="shared" si="6"/>
        <v>#N/A</v>
      </c>
      <c r="Z41" s="297" t="e">
        <f t="shared" si="7"/>
        <v>#N/A</v>
      </c>
      <c r="AA41" s="296" t="e">
        <f t="shared" si="8"/>
        <v>#N/A</v>
      </c>
    </row>
    <row r="42" spans="2:27" ht="15">
      <c r="B42" s="393"/>
      <c r="C42" s="366"/>
      <c r="D42" s="279"/>
      <c r="E42" s="279"/>
      <c r="F42" s="278"/>
      <c r="G42" s="279"/>
      <c r="H42" s="394"/>
      <c r="I42" s="368"/>
      <c r="J42" s="368"/>
      <c r="K42" s="281"/>
      <c r="L42" s="276"/>
      <c r="M42" s="395"/>
      <c r="N42" s="370"/>
      <c r="O42" s="371"/>
      <c r="P42" s="369"/>
      <c r="Q42" s="347"/>
      <c r="S42" s="277">
        <f t="shared" si="0"/>
        <v>0</v>
      </c>
      <c r="T42" s="296" t="e">
        <f t="shared" si="1"/>
        <v>#N/A</v>
      </c>
      <c r="U42" s="296" t="e">
        <f t="shared" si="2"/>
        <v>#N/A</v>
      </c>
      <c r="V42" s="297" t="e">
        <f t="shared" si="3"/>
        <v>#N/A</v>
      </c>
      <c r="W42" s="297" t="e">
        <f t="shared" si="4"/>
        <v>#N/A</v>
      </c>
      <c r="X42" s="297" t="e">
        <f t="shared" si="5"/>
        <v>#N/A</v>
      </c>
      <c r="Y42" s="297" t="e">
        <f t="shared" si="6"/>
        <v>#N/A</v>
      </c>
      <c r="Z42" s="297" t="e">
        <f t="shared" si="7"/>
        <v>#N/A</v>
      </c>
      <c r="AA42" s="296" t="e">
        <f t="shared" si="8"/>
        <v>#N/A</v>
      </c>
    </row>
    <row r="43" spans="2:27" ht="15">
      <c r="B43" s="393"/>
      <c r="C43" s="366"/>
      <c r="D43" s="279"/>
      <c r="E43" s="279"/>
      <c r="F43" s="278"/>
      <c r="G43" s="279"/>
      <c r="H43" s="394"/>
      <c r="I43" s="368"/>
      <c r="J43" s="368"/>
      <c r="K43" s="281"/>
      <c r="L43" s="276"/>
      <c r="M43" s="395"/>
      <c r="N43" s="370"/>
      <c r="O43" s="371"/>
      <c r="P43" s="369"/>
      <c r="Q43" s="347"/>
      <c r="S43" s="277">
        <f t="shared" si="0"/>
        <v>0</v>
      </c>
      <c r="T43" s="296" t="e">
        <f t="shared" si="1"/>
        <v>#N/A</v>
      </c>
      <c r="U43" s="296" t="e">
        <f t="shared" si="2"/>
        <v>#N/A</v>
      </c>
      <c r="V43" s="297" t="e">
        <f t="shared" si="3"/>
        <v>#N/A</v>
      </c>
      <c r="W43" s="297" t="e">
        <f t="shared" si="4"/>
        <v>#N/A</v>
      </c>
      <c r="X43" s="297" t="e">
        <f t="shared" si="5"/>
        <v>#N/A</v>
      </c>
      <c r="Y43" s="297" t="e">
        <f t="shared" si="6"/>
        <v>#N/A</v>
      </c>
      <c r="Z43" s="297" t="e">
        <f t="shared" si="7"/>
        <v>#N/A</v>
      </c>
      <c r="AA43" s="296" t="e">
        <f t="shared" si="8"/>
        <v>#N/A</v>
      </c>
    </row>
    <row r="44" spans="2:27" ht="15" hidden="1">
      <c r="B44" s="393"/>
      <c r="C44" s="366"/>
      <c r="D44" s="279"/>
      <c r="E44" s="279"/>
      <c r="F44" s="278"/>
      <c r="G44" s="279"/>
      <c r="H44" s="394"/>
      <c r="I44" s="368"/>
      <c r="J44" s="368"/>
      <c r="K44" s="281"/>
      <c r="L44" s="276"/>
      <c r="M44" s="395"/>
      <c r="N44" s="370"/>
      <c r="O44" s="371"/>
      <c r="P44" s="369"/>
      <c r="Q44" s="347"/>
      <c r="S44" s="277">
        <f t="shared" si="0"/>
        <v>0</v>
      </c>
      <c r="T44" s="296" t="e">
        <f t="shared" si="1"/>
        <v>#N/A</v>
      </c>
      <c r="U44" s="296" t="e">
        <f t="shared" si="2"/>
        <v>#N/A</v>
      </c>
      <c r="V44" s="297" t="e">
        <f t="shared" si="3"/>
        <v>#N/A</v>
      </c>
      <c r="W44" s="297" t="e">
        <f t="shared" si="4"/>
        <v>#N/A</v>
      </c>
      <c r="X44" s="297" t="e">
        <f t="shared" si="5"/>
        <v>#N/A</v>
      </c>
      <c r="Y44" s="297" t="e">
        <f t="shared" si="6"/>
        <v>#N/A</v>
      </c>
      <c r="Z44" s="297" t="e">
        <f t="shared" si="7"/>
        <v>#N/A</v>
      </c>
      <c r="AA44" s="296" t="e">
        <f t="shared" si="8"/>
        <v>#N/A</v>
      </c>
    </row>
    <row r="45" spans="2:27" ht="15" hidden="1">
      <c r="B45" s="393"/>
      <c r="C45" s="366"/>
      <c r="D45" s="279"/>
      <c r="E45" s="279"/>
      <c r="F45" s="278"/>
      <c r="G45" s="279"/>
      <c r="H45" s="394"/>
      <c r="I45" s="368"/>
      <c r="J45" s="368"/>
      <c r="K45" s="281"/>
      <c r="L45" s="276"/>
      <c r="M45" s="395"/>
      <c r="N45" s="370"/>
      <c r="O45" s="371"/>
      <c r="P45" s="369"/>
      <c r="Q45" s="347"/>
      <c r="S45" s="277">
        <f t="shared" si="0"/>
        <v>0</v>
      </c>
      <c r="T45" s="296" t="e">
        <f t="shared" si="1"/>
        <v>#N/A</v>
      </c>
      <c r="U45" s="296" t="e">
        <f t="shared" si="2"/>
        <v>#N/A</v>
      </c>
      <c r="V45" s="297" t="e">
        <f t="shared" si="3"/>
        <v>#N/A</v>
      </c>
      <c r="W45" s="297" t="e">
        <f t="shared" si="4"/>
        <v>#N/A</v>
      </c>
      <c r="X45" s="297" t="e">
        <f t="shared" si="5"/>
        <v>#N/A</v>
      </c>
      <c r="Y45" s="297" t="e">
        <f t="shared" si="6"/>
        <v>#N/A</v>
      </c>
      <c r="Z45" s="297" t="e">
        <f t="shared" si="7"/>
        <v>#N/A</v>
      </c>
      <c r="AA45" s="296" t="e">
        <f t="shared" si="8"/>
        <v>#N/A</v>
      </c>
    </row>
    <row r="46" spans="2:27" ht="15" hidden="1">
      <c r="B46" s="393"/>
      <c r="C46" s="366"/>
      <c r="D46" s="279"/>
      <c r="E46" s="279"/>
      <c r="F46" s="278"/>
      <c r="G46" s="279"/>
      <c r="H46" s="394"/>
      <c r="I46" s="368"/>
      <c r="J46" s="368"/>
      <c r="K46" s="281"/>
      <c r="L46" s="276"/>
      <c r="M46" s="395"/>
      <c r="N46" s="370"/>
      <c r="O46" s="371"/>
      <c r="P46" s="369"/>
      <c r="Q46" s="347"/>
      <c r="S46" s="277">
        <f t="shared" si="0"/>
        <v>0</v>
      </c>
      <c r="T46" s="296" t="e">
        <f t="shared" si="1"/>
        <v>#N/A</v>
      </c>
      <c r="U46" s="296" t="e">
        <f t="shared" si="2"/>
        <v>#N/A</v>
      </c>
      <c r="V46" s="297" t="e">
        <f t="shared" si="3"/>
        <v>#N/A</v>
      </c>
      <c r="W46" s="297" t="e">
        <f t="shared" si="4"/>
        <v>#N/A</v>
      </c>
      <c r="X46" s="297" t="e">
        <f t="shared" si="5"/>
        <v>#N/A</v>
      </c>
      <c r="Y46" s="297" t="e">
        <f t="shared" si="6"/>
        <v>#N/A</v>
      </c>
      <c r="Z46" s="297" t="e">
        <f t="shared" si="7"/>
        <v>#N/A</v>
      </c>
      <c r="AA46" s="296" t="e">
        <f t="shared" si="8"/>
        <v>#N/A</v>
      </c>
    </row>
    <row r="47" spans="2:27" ht="15" hidden="1">
      <c r="B47" s="373"/>
      <c r="C47" s="366"/>
      <c r="D47" s="279"/>
      <c r="E47" s="279"/>
      <c r="F47" s="278"/>
      <c r="G47" s="383"/>
      <c r="H47" s="367"/>
      <c r="I47" s="368"/>
      <c r="J47" s="368"/>
      <c r="K47" s="281"/>
      <c r="L47" s="276"/>
      <c r="M47" s="374"/>
      <c r="N47" s="370"/>
      <c r="O47" s="371"/>
      <c r="P47" s="369"/>
      <c r="Q47" s="347"/>
      <c r="S47" s="277">
        <f t="shared" si="0"/>
        <v>0</v>
      </c>
      <c r="T47" s="296" t="e">
        <f t="shared" si="1"/>
        <v>#N/A</v>
      </c>
      <c r="U47" s="296" t="e">
        <f t="shared" si="2"/>
        <v>#N/A</v>
      </c>
      <c r="V47" s="297" t="e">
        <f t="shared" si="3"/>
        <v>#N/A</v>
      </c>
      <c r="W47" s="297" t="e">
        <f t="shared" si="4"/>
        <v>#N/A</v>
      </c>
      <c r="X47" s="297" t="e">
        <f t="shared" si="5"/>
        <v>#N/A</v>
      </c>
      <c r="Y47" s="297" t="e">
        <f t="shared" si="6"/>
        <v>#N/A</v>
      </c>
      <c r="Z47" s="297" t="e">
        <f t="shared" si="7"/>
        <v>#N/A</v>
      </c>
      <c r="AA47" s="296" t="e">
        <f t="shared" si="8"/>
        <v>#N/A</v>
      </c>
    </row>
    <row r="48" spans="2:27" ht="15.75" customHeight="1" thickBot="1">
      <c r="B48" s="358"/>
      <c r="C48" s="358"/>
      <c r="D48" s="358"/>
      <c r="E48" s="358"/>
      <c r="F48" s="294"/>
      <c r="G48" s="294"/>
      <c r="H48" s="348"/>
      <c r="I48" s="566" t="s">
        <v>34</v>
      </c>
      <c r="J48" s="566"/>
      <c r="K48" s="566"/>
      <c r="L48" s="566"/>
      <c r="M48" s="566"/>
      <c r="N48" s="566"/>
      <c r="O48" s="1"/>
      <c r="P48" s="12"/>
      <c r="S48" s="277"/>
      <c r="T48" s="296"/>
      <c r="U48" s="296"/>
      <c r="V48" s="297"/>
      <c r="W48" s="297"/>
      <c r="X48" s="297"/>
      <c r="Y48" s="297"/>
      <c r="Z48" s="297"/>
      <c r="AA48" s="296"/>
    </row>
    <row r="49" spans="1:27" ht="30.75" thickBot="1">
      <c r="B49" s="388" t="s">
        <v>145</v>
      </c>
      <c r="C49" s="388"/>
      <c r="D49" s="535" t="s">
        <v>35</v>
      </c>
      <c r="E49" s="536"/>
      <c r="F49" s="294"/>
      <c r="G49" s="294"/>
      <c r="H49" s="23"/>
      <c r="I49" s="24" t="s">
        <v>17</v>
      </c>
      <c r="J49" s="25" t="s">
        <v>146</v>
      </c>
      <c r="K49" s="26" t="s">
        <v>138</v>
      </c>
      <c r="L49" s="25" t="s">
        <v>37</v>
      </c>
      <c r="M49" s="25" t="s">
        <v>38</v>
      </c>
      <c r="N49" s="27" t="s">
        <v>39</v>
      </c>
      <c r="O49" s="294"/>
      <c r="P49" s="12"/>
      <c r="S49" s="277"/>
      <c r="T49" s="296"/>
      <c r="U49" s="296"/>
      <c r="V49" s="297"/>
      <c r="W49" s="297"/>
      <c r="X49" s="297"/>
      <c r="Y49" s="297"/>
      <c r="Z49" s="297"/>
      <c r="AA49" s="296"/>
    </row>
    <row r="50" spans="1:27" ht="15" customHeight="1">
      <c r="A50" s="28"/>
      <c r="B50" s="567" t="s">
        <v>9</v>
      </c>
      <c r="C50" s="362">
        <v>11.8</v>
      </c>
      <c r="D50" s="522">
        <v>11.73</v>
      </c>
      <c r="E50" s="523"/>
      <c r="F50" s="294"/>
      <c r="G50" s="294"/>
      <c r="H50" s="294"/>
      <c r="I50" s="29" t="s">
        <v>6</v>
      </c>
      <c r="J50" s="323"/>
      <c r="K50" s="284">
        <f>COUNTA([21]Brewhouse!$A$1596:$A$1619)</f>
        <v>24</v>
      </c>
      <c r="L50" s="302">
        <f>AVERAGE([21]Brewhouse!$AU$1529,[21]Brewhouse!$AU$1531:$AU$1594,[21]Brewhouse!$AU$1596:$AU$1619)</f>
        <v>98.205761326291494</v>
      </c>
      <c r="M50" s="302">
        <f>AVERAGE([21]Brewhouse!$AU$849:$AU$924,[21]Brewhouse!$AU$926:$AU$971,[21]Brewhouse!$AU$973:$AU$1066,[21]Brewhouse!$AU$1068:$AU$1111,[21]Brewhouse!$AU$1113:$AU$1132,[21]Brewhouse!$AU$1134:$AU$1167,[21]Brewhouse!$AU$1169:$AU$1230,[21]Brewhouse!$AU$1232:$AU$1299,[21]Brewhouse!$AU$1301:$AU$1363,[21]Brewhouse!$AU$1365:$AU$1444,[21]Brewhouse!$AU$1446:$AU$1527,[21]Brewhouse!$AU$1529,[21]Brewhouse!$AU$1531:$AU$1594,[21]Brewhouse!$AU$1596:$AU$1619)</f>
        <v>98.38180565872257</v>
      </c>
      <c r="N50" s="30">
        <v>98</v>
      </c>
      <c r="O50" s="11"/>
      <c r="P50" s="31"/>
      <c r="S50" s="277"/>
      <c r="T50" s="296"/>
      <c r="U50" s="296"/>
      <c r="V50" s="297"/>
      <c r="W50" s="297"/>
      <c r="X50" s="297"/>
      <c r="Y50" s="297"/>
      <c r="Z50" s="297"/>
      <c r="AA50" s="296"/>
    </row>
    <row r="51" spans="1:27" ht="15" customHeight="1">
      <c r="A51" s="28"/>
      <c r="B51" s="568"/>
      <c r="C51" s="349">
        <v>11.9</v>
      </c>
      <c r="D51" s="524"/>
      <c r="E51" s="525"/>
      <c r="F51" s="294"/>
      <c r="G51" s="294"/>
      <c r="H51" s="32"/>
      <c r="I51" s="33" t="s">
        <v>9</v>
      </c>
      <c r="J51" s="323"/>
      <c r="K51" s="284">
        <f>COUNTA([22]Brewhouse!$A$976:$A$1007)</f>
        <v>32</v>
      </c>
      <c r="L51" s="302">
        <f>AVERAGE([22]Brewhouse!$AS$976:$AS$979,[22]Brewhouse!$AS$981:$AS$1007)</f>
        <v>98.538566771868645</v>
      </c>
      <c r="M51" s="302">
        <f>AVERAGE([22]Brewhouse!$AS$577:$AS$618,[22]Brewhouse!$AS$620:$AS$651,[22]Brewhouse!$AS$653:$AS$696,[22]Brewhouse!$AS$698:$AS$708,[22]Brewhouse!$AS$710:$AS$733,[22]Brewhouse!$AS$735:$AS$777,[22]Brewhouse!$AS$779:$AS$822,[22]Brewhouse!$AS$824:$AS$863,[22]Brewhouse!$AS$865:$AS$974,[22]Brewhouse!$AS$976:$AS$979,[22]Brewhouse!$AS$981:$AS$1007)</f>
        <v>98.489670500712904</v>
      </c>
      <c r="N51" s="30">
        <v>98</v>
      </c>
      <c r="O51" s="11"/>
      <c r="P51" s="31"/>
      <c r="S51" s="277"/>
      <c r="T51" s="296"/>
      <c r="U51" s="296"/>
      <c r="V51" s="297"/>
      <c r="W51" s="297"/>
      <c r="X51" s="297"/>
      <c r="Y51" s="297"/>
      <c r="Z51" s="297"/>
      <c r="AA51" s="296"/>
    </row>
    <row r="52" spans="1:27" ht="14.65" customHeight="1">
      <c r="A52" s="28"/>
      <c r="B52" s="568"/>
      <c r="C52" s="349"/>
      <c r="D52" s="522"/>
      <c r="E52" s="523"/>
      <c r="F52" s="294"/>
      <c r="G52" s="294"/>
      <c r="H52" s="32"/>
      <c r="I52" s="34" t="s">
        <v>12</v>
      </c>
      <c r="J52" s="280"/>
      <c r="K52" s="284">
        <f>COUNTA([23]Brewhouse!$A$282:$A$289)</f>
        <v>8</v>
      </c>
      <c r="L52" s="302">
        <f>AVERAGE([23]Brewhouse!$AU$269:$AU$279,[23]Brewhouse!$AU$282:$AU$289)</f>
        <v>96.1861768599382</v>
      </c>
      <c r="M52" s="302">
        <f>AVERAGE([23]Brewhouse!$AU$161:$AU$176,[23]Brewhouse!$AU$178:$AU$195,[23]Brewhouse!$AU$197:$AU$208,[23]Brewhouse!$AU$210:$AU$221,[23]Brewhouse!$AU$223:$AU$232,[23]Brewhouse!$AU$234:$AU$279,[23]Brewhouse!$AU$282:$AU$289)</f>
        <v>96.649159522318769</v>
      </c>
      <c r="N52" s="30">
        <v>98</v>
      </c>
      <c r="O52" s="11"/>
      <c r="P52" s="31"/>
      <c r="S52" s="23"/>
      <c r="T52" s="1"/>
      <c r="U52" s="1"/>
      <c r="AA52" s="285"/>
    </row>
    <row r="53" spans="1:27" ht="14.65" customHeight="1">
      <c r="A53" s="28"/>
      <c r="B53" s="568"/>
      <c r="C53" s="349"/>
      <c r="D53" s="524"/>
      <c r="E53" s="525"/>
      <c r="F53" s="294"/>
      <c r="G53" s="294"/>
      <c r="H53" s="32"/>
      <c r="I53" s="22" t="s">
        <v>33</v>
      </c>
      <c r="J53" s="280"/>
      <c r="K53" s="284">
        <f>COUNTA([24]Brewhouse!$A$158:$A$163)</f>
        <v>6</v>
      </c>
      <c r="L53" s="302">
        <f>AVERAGE([24]Brewhouse!$AU$158:$AU$163)</f>
        <v>94.603050114691541</v>
      </c>
      <c r="M53" s="302">
        <f>AVERAGE([24]Brewhouse!$AU$91:$AU$101,[24]Brewhouse!$AU$103:$AU$112,[24]Brewhouse!$AU$114:$AU$123,[24]Brewhouse!$AU$125:$AU$134,[24]Brewhouse!$AU$136:$AU$145,[24]Brewhouse!$AU$147:$AU$156,[24]Brewhouse!$AU$158:$AU$163)</f>
        <v>96.240013738482446</v>
      </c>
      <c r="N53" s="30">
        <v>98</v>
      </c>
      <c r="O53" s="11"/>
      <c r="P53" s="31"/>
      <c r="S53" s="23"/>
      <c r="T53" s="1"/>
      <c r="U53" s="1"/>
      <c r="AA53" s="285"/>
    </row>
    <row r="54" spans="1:27" ht="14.65" customHeight="1">
      <c r="A54" s="28"/>
      <c r="B54" s="568"/>
      <c r="C54" s="349"/>
      <c r="D54" s="522"/>
      <c r="E54" s="523"/>
      <c r="F54" s="294"/>
      <c r="G54" s="294"/>
      <c r="H54" s="32"/>
      <c r="I54" s="35" t="s">
        <v>29</v>
      </c>
      <c r="J54" s="280"/>
      <c r="K54" s="284"/>
      <c r="L54" s="302"/>
      <c r="M54" s="302"/>
      <c r="N54" s="30">
        <v>98</v>
      </c>
      <c r="O54" s="11"/>
      <c r="P54" s="31"/>
      <c r="S54" s="23"/>
    </row>
    <row r="55" spans="1:27" ht="14.65" customHeight="1">
      <c r="A55" s="28"/>
      <c r="B55" s="568"/>
      <c r="C55" s="349"/>
      <c r="D55" s="524"/>
      <c r="E55" s="525"/>
      <c r="F55" s="294"/>
      <c r="G55" s="294"/>
      <c r="H55" s="32"/>
      <c r="I55" s="36" t="s">
        <v>15</v>
      </c>
      <c r="J55" s="323"/>
      <c r="K55" s="284"/>
      <c r="L55" s="302"/>
      <c r="M55" s="302">
        <f>AVERAGE([25]Brewhouse!$AT$74:$AT$79)</f>
        <v>93.95983649860375</v>
      </c>
      <c r="N55" s="30">
        <v>98</v>
      </c>
      <c r="O55" s="11"/>
      <c r="P55" s="31"/>
      <c r="S55" s="23"/>
    </row>
    <row r="56" spans="1:27" ht="14.65" customHeight="1">
      <c r="A56" s="28"/>
      <c r="B56" s="568"/>
      <c r="C56" s="349"/>
      <c r="D56" s="522"/>
      <c r="E56" s="523"/>
      <c r="F56" s="294"/>
      <c r="G56" s="294"/>
      <c r="H56" s="32"/>
      <c r="I56" s="37" t="s">
        <v>16</v>
      </c>
      <c r="J56" s="323"/>
      <c r="K56" s="284">
        <f>COUNTA([26]Brewhouse!$A$249:$A$254)</f>
        <v>6</v>
      </c>
      <c r="L56" s="302">
        <f>AVERAGE([26]Brewhouse!$AY$249:$AY$254)</f>
        <v>99.681996476494263</v>
      </c>
      <c r="M56" s="302">
        <f>AVERAGE([26]Brewhouse!$AY$138:$AY$143,[26]Brewhouse!$AY$145:$AY$153,[26]Brewhouse!$AY$155,[26]Brewhouse!$AY$156:$AY$174,[26]Brewhouse!$AY$176:$AY$185,[26]Brewhouse!$AY$187:$AY$198,[26]Brewhouse!$AY$200:$AY$247,[26]Brewhouse!$AY$249:$AY$254)</f>
        <v>98.774702677266788</v>
      </c>
      <c r="N56" s="30">
        <v>98</v>
      </c>
      <c r="O56" s="11"/>
      <c r="P56" s="31" t="s">
        <v>41</v>
      </c>
      <c r="S56" s="23"/>
      <c r="X56" s="275" t="s">
        <v>41</v>
      </c>
    </row>
    <row r="57" spans="1:27" ht="14.65" customHeight="1">
      <c r="A57" s="28"/>
      <c r="B57" s="568"/>
      <c r="C57" s="349"/>
      <c r="D57" s="524"/>
      <c r="E57" s="525"/>
      <c r="F57" s="294"/>
      <c r="G57" s="294"/>
      <c r="H57" s="32"/>
      <c r="I57" s="306" t="s">
        <v>137</v>
      </c>
      <c r="J57" s="326"/>
      <c r="K57" s="284"/>
      <c r="L57" s="305"/>
      <c r="M57" s="305">
        <f>AVERAGE([27]Brewhouse!$AW$13:$AW$14,[27]Brewhouse!$AW$16:$AW$17)</f>
        <v>92.042628234181777</v>
      </c>
      <c r="N57" s="30">
        <v>98</v>
      </c>
      <c r="O57" s="11"/>
      <c r="P57" s="31"/>
      <c r="S57" s="23"/>
    </row>
    <row r="58" spans="1:27" ht="15" customHeight="1" thickBot="1">
      <c r="A58" s="28"/>
      <c r="B58" s="568"/>
      <c r="C58" s="349"/>
      <c r="D58" s="570"/>
      <c r="E58" s="571"/>
      <c r="F58" s="294"/>
      <c r="G58" s="294"/>
      <c r="H58" s="32"/>
      <c r="I58" s="38" t="s">
        <v>125</v>
      </c>
      <c r="J58" s="327"/>
      <c r="K58" s="284"/>
      <c r="L58" s="328"/>
      <c r="M58" s="328">
        <f>AVERAGE([27]Brewhouse!$AW$13:$AW$14)</f>
        <v>88.376943267718929</v>
      </c>
      <c r="N58" s="30">
        <v>98</v>
      </c>
      <c r="O58" s="11"/>
      <c r="P58" s="31"/>
      <c r="S58" s="23"/>
    </row>
    <row r="59" spans="1:27" ht="15" customHeight="1" thickTop="1" thickBot="1">
      <c r="A59" s="28"/>
      <c r="B59" s="568"/>
      <c r="C59" s="349"/>
      <c r="D59" s="572"/>
      <c r="E59" s="573"/>
      <c r="F59" s="294"/>
      <c r="G59" s="294"/>
      <c r="H59" s="32"/>
      <c r="I59" s="1"/>
      <c r="J59" s="39"/>
      <c r="K59" s="330">
        <f>SUM(K50:K58)</f>
        <v>76</v>
      </c>
      <c r="L59" s="329">
        <f>((L50*K50)+(L51*K51)+(L52*K52)+(L53*K53)+(L54*K54)+(K57*L57)+(L55*K55)+(L56*K56)+(L58*K58))/(K59)</f>
        <v>97.965422407334373</v>
      </c>
      <c r="M59" s="329">
        <f>AVERAGE('[28]Closing- January 2023'!$L$42,'[29]Feb. 28th'!$L$42,'[30]March 31st'!$L$75,'[31]Apri 28th'!$L$51,L59)</f>
        <v>98.069259977506491</v>
      </c>
      <c r="N59" s="40">
        <v>98</v>
      </c>
      <c r="O59" s="11"/>
      <c r="P59" s="31"/>
      <c r="S59" s="23"/>
    </row>
    <row r="60" spans="1:27" ht="15" customHeight="1">
      <c r="A60" s="28"/>
      <c r="B60" s="568"/>
      <c r="C60" s="349"/>
      <c r="D60" s="570"/>
      <c r="E60" s="571"/>
      <c r="F60" s="294"/>
      <c r="G60" s="294"/>
      <c r="H60" s="32"/>
      <c r="I60" s="1"/>
      <c r="J60" s="39"/>
      <c r="O60" s="11"/>
      <c r="P60" s="31"/>
      <c r="S60" s="23"/>
    </row>
    <row r="61" spans="1:27" ht="21.6" customHeight="1" thickBot="1">
      <c r="B61" s="569"/>
      <c r="C61" s="350"/>
      <c r="D61" s="574"/>
      <c r="E61" s="575"/>
      <c r="F61" s="294"/>
      <c r="G61" s="42"/>
      <c r="H61" s="41"/>
      <c r="I61" s="42"/>
      <c r="J61" s="42"/>
      <c r="K61" s="351"/>
      <c r="L61" s="348"/>
      <c r="M61" s="348"/>
      <c r="N61" s="11"/>
      <c r="O61" s="294"/>
      <c r="P61" s="12"/>
      <c r="S61" s="23"/>
    </row>
    <row r="62" spans="1:27" ht="15.75" thickBot="1">
      <c r="B62" s="537"/>
      <c r="C62" s="362"/>
      <c r="D62" s="577"/>
      <c r="E62" s="578"/>
      <c r="F62" s="43"/>
      <c r="G62" s="41"/>
      <c r="H62" s="41"/>
      <c r="I62" s="42"/>
      <c r="J62" s="579" t="s">
        <v>129</v>
      </c>
      <c r="K62" s="579"/>
      <c r="L62" s="294"/>
      <c r="M62" s="294"/>
      <c r="N62" s="294"/>
      <c r="O62" s="294"/>
      <c r="P62" s="12"/>
      <c r="S62" s="23" t="s">
        <v>41</v>
      </c>
    </row>
    <row r="63" spans="1:27" ht="13.5" customHeight="1" thickBot="1">
      <c r="B63" s="538"/>
      <c r="C63" s="349"/>
      <c r="D63" s="531"/>
      <c r="E63" s="525"/>
      <c r="F63" s="43"/>
      <c r="G63" s="41"/>
      <c r="H63" s="41"/>
      <c r="I63" s="42"/>
      <c r="J63" s="292" t="s">
        <v>17</v>
      </c>
      <c r="K63" s="293" t="s">
        <v>147</v>
      </c>
      <c r="L63" s="527" t="s">
        <v>136</v>
      </c>
      <c r="M63" s="527"/>
      <c r="N63" s="528"/>
      <c r="O63" s="294"/>
      <c r="P63" s="12"/>
      <c r="S63" s="23"/>
    </row>
    <row r="64" spans="1:27" ht="15" customHeight="1" thickBot="1">
      <c r="B64" s="538"/>
      <c r="C64" s="349"/>
      <c r="D64" s="580"/>
      <c r="E64" s="523"/>
      <c r="F64" s="43"/>
      <c r="G64" s="41"/>
      <c r="H64" s="41"/>
      <c r="I64" s="42"/>
      <c r="J64" s="287" t="s">
        <v>6</v>
      </c>
      <c r="K64" s="324"/>
      <c r="L64" s="343" t="s">
        <v>37</v>
      </c>
      <c r="M64" s="307" t="s">
        <v>38</v>
      </c>
      <c r="N64" s="307" t="s">
        <v>84</v>
      </c>
      <c r="O64" s="294"/>
      <c r="P64" s="12"/>
      <c r="S64" s="23"/>
    </row>
    <row r="65" spans="2:58" ht="15.75" customHeight="1" thickBot="1">
      <c r="B65" s="538"/>
      <c r="C65" s="349"/>
      <c r="D65" s="531"/>
      <c r="E65" s="525"/>
      <c r="F65" s="43"/>
      <c r="G65" s="41"/>
      <c r="H65" s="41"/>
      <c r="I65" s="42"/>
      <c r="J65" s="345" t="s">
        <v>9</v>
      </c>
      <c r="K65" s="324">
        <v>5</v>
      </c>
      <c r="L65" s="344" t="e">
        <f>AVERAGE(#REF!,#REF!,K74,#REF!,#REF!,#REF!,#REF!,#REF!,#REF!,#REF!,#REF!)</f>
        <v>#REF!</v>
      </c>
      <c r="M65" s="325" t="e">
        <f>AVERAGE(6,6,'[30]March 31st'!$L$80,'[32]June 30th  '!$L$71,6,L65,'[33]July 31st'!$L$108,'[34]Aug 30th'!$L$124,7,[35]Oct.31st!$L$51)</f>
        <v>#REF!</v>
      </c>
      <c r="N65" s="308">
        <v>9</v>
      </c>
      <c r="O65" s="294"/>
      <c r="P65" s="12"/>
      <c r="S65" s="23"/>
    </row>
    <row r="66" spans="2:58" ht="15" customHeight="1">
      <c r="B66" s="538"/>
      <c r="C66" s="349"/>
      <c r="D66" s="580"/>
      <c r="E66" s="523"/>
      <c r="F66" s="43"/>
      <c r="G66" s="41"/>
      <c r="H66" s="41"/>
      <c r="I66" s="42"/>
      <c r="J66" s="288" t="s">
        <v>40</v>
      </c>
      <c r="K66" s="324"/>
      <c r="L66" s="294"/>
      <c r="M66" s="294"/>
      <c r="N66" s="294"/>
      <c r="O66" s="294"/>
      <c r="P66" s="12"/>
      <c r="S66" s="23"/>
    </row>
    <row r="67" spans="2:58" ht="15" customHeight="1">
      <c r="B67" s="538"/>
      <c r="C67" s="349"/>
      <c r="D67" s="531"/>
      <c r="E67" s="525"/>
      <c r="F67" s="43"/>
      <c r="G67" s="41"/>
      <c r="H67" s="41"/>
      <c r="I67" s="42"/>
      <c r="J67" s="289" t="s">
        <v>33</v>
      </c>
      <c r="K67" s="324"/>
      <c r="L67" s="294"/>
      <c r="M67" s="294"/>
      <c r="N67" s="294"/>
      <c r="O67" s="294"/>
      <c r="P67" s="12"/>
      <c r="S67" s="23"/>
    </row>
    <row r="68" spans="2:58" ht="15">
      <c r="B68" s="538"/>
      <c r="C68" s="349"/>
      <c r="D68" s="580"/>
      <c r="E68" s="523"/>
      <c r="F68" s="43"/>
      <c r="G68" s="41"/>
      <c r="H68" s="41"/>
      <c r="I68" s="42"/>
      <c r="J68" s="290" t="s">
        <v>16</v>
      </c>
      <c r="K68" s="324"/>
      <c r="L68" s="294"/>
      <c r="M68" s="294"/>
      <c r="N68" s="294"/>
      <c r="O68" s="294"/>
      <c r="P68" s="12"/>
      <c r="S68" s="23"/>
      <c r="BD68" s="44"/>
      <c r="BE68" s="44"/>
    </row>
    <row r="69" spans="2:58" ht="15">
      <c r="B69" s="538"/>
      <c r="C69" s="349"/>
      <c r="D69" s="531"/>
      <c r="E69" s="525"/>
      <c r="F69" s="43"/>
      <c r="G69" s="41"/>
      <c r="H69" s="41"/>
      <c r="I69" s="42"/>
      <c r="J69" s="291" t="s">
        <v>15</v>
      </c>
      <c r="K69" s="324"/>
      <c r="L69" s="294"/>
      <c r="M69" s="294"/>
      <c r="N69" s="294"/>
      <c r="O69" s="294"/>
      <c r="P69" s="12"/>
      <c r="S69" s="23"/>
      <c r="BD69" s="44"/>
      <c r="BE69" s="44"/>
    </row>
    <row r="70" spans="2:58" ht="15">
      <c r="B70" s="538"/>
      <c r="C70" s="349"/>
      <c r="D70" s="581"/>
      <c r="E70" s="571"/>
      <c r="F70" s="43"/>
      <c r="G70" s="41"/>
      <c r="H70" s="41"/>
      <c r="I70" s="42"/>
      <c r="J70" s="291" t="s">
        <v>149</v>
      </c>
      <c r="K70" s="324"/>
      <c r="L70" s="294"/>
      <c r="M70" s="294"/>
      <c r="N70" s="294"/>
      <c r="O70" s="294"/>
      <c r="P70" s="12"/>
      <c r="S70" s="23"/>
      <c r="BD70" s="44"/>
      <c r="BE70" s="44"/>
    </row>
    <row r="71" spans="2:58" ht="15.75" thickBot="1">
      <c r="B71" s="576"/>
      <c r="C71" s="350"/>
      <c r="D71" s="582"/>
      <c r="E71" s="583"/>
      <c r="F71" s="43"/>
      <c r="G71" s="41"/>
      <c r="H71" s="41"/>
      <c r="I71" s="42"/>
      <c r="J71" s="291" t="s">
        <v>148</v>
      </c>
      <c r="K71" s="324"/>
      <c r="L71" s="294"/>
      <c r="M71" s="294"/>
      <c r="N71" s="294"/>
      <c r="O71" s="294"/>
      <c r="P71" s="12"/>
      <c r="S71" s="23"/>
      <c r="BD71" s="44"/>
      <c r="BE71" s="44"/>
    </row>
    <row r="72" spans="2:58" ht="17.649999999999999" customHeight="1" thickBot="1">
      <c r="B72" s="312" t="s">
        <v>139</v>
      </c>
      <c r="C72" s="313"/>
      <c r="D72" s="584">
        <f>AVERAGE(D50:E71)</f>
        <v>11.73</v>
      </c>
      <c r="E72" s="585"/>
      <c r="F72" s="43"/>
      <c r="G72" s="41"/>
      <c r="H72" s="41"/>
      <c r="I72" s="42"/>
      <c r="J72" s="295" t="s">
        <v>134</v>
      </c>
      <c r="K72" s="324"/>
      <c r="L72" s="294"/>
      <c r="M72" s="294"/>
      <c r="N72" s="294"/>
      <c r="O72" s="294"/>
      <c r="P72" s="12"/>
      <c r="S72" s="23"/>
      <c r="BD72" s="44"/>
      <c r="BE72" s="44"/>
    </row>
    <row r="73" spans="2:58" ht="17.649999999999999" customHeight="1">
      <c r="B73" s="363"/>
      <c r="C73" s="364"/>
      <c r="D73" s="365"/>
      <c r="E73" s="365"/>
      <c r="F73" s="43"/>
      <c r="G73" s="41"/>
      <c r="H73" s="41"/>
      <c r="I73" s="42"/>
      <c r="J73" s="295" t="s">
        <v>131</v>
      </c>
      <c r="K73" s="324"/>
      <c r="L73" s="294"/>
      <c r="M73" s="294"/>
      <c r="N73" s="294"/>
      <c r="O73" s="294"/>
      <c r="P73" s="12"/>
      <c r="S73" s="23"/>
      <c r="BD73" s="44"/>
      <c r="BE73" s="44"/>
    </row>
    <row r="74" spans="2:58" ht="15.75" customHeight="1">
      <c r="B74" s="45"/>
      <c r="C74" s="11"/>
      <c r="D74" s="11"/>
      <c r="E74" s="46"/>
      <c r="F74" s="23"/>
      <c r="G74" s="11"/>
      <c r="H74" s="41"/>
      <c r="I74" s="42"/>
      <c r="J74" s="346" t="s">
        <v>130</v>
      </c>
      <c r="K74" s="324">
        <f>SUM(K64:K73)</f>
        <v>5</v>
      </c>
      <c r="L74" s="294"/>
      <c r="M74" s="294"/>
      <c r="N74" s="294"/>
      <c r="O74" s="294"/>
      <c r="P74" s="12"/>
    </row>
    <row r="75" spans="2:58" ht="20.25" customHeight="1">
      <c r="B75" s="15" t="s">
        <v>42</v>
      </c>
      <c r="C75" s="1" t="s">
        <v>43</v>
      </c>
      <c r="D75" s="1"/>
      <c r="E75" s="1"/>
      <c r="I75" s="42"/>
      <c r="L75" s="294"/>
      <c r="P75" s="334"/>
    </row>
    <row r="76" spans="2:58" ht="15" customHeight="1" thickBot="1"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8"/>
      <c r="O76" s="48"/>
      <c r="P76" s="49"/>
      <c r="X76" s="275" t="s">
        <v>41</v>
      </c>
    </row>
    <row r="77" spans="2:58" ht="15" customHeight="1" thickBot="1">
      <c r="B77" s="504" t="s">
        <v>17</v>
      </c>
      <c r="C77" s="504" t="s">
        <v>44</v>
      </c>
      <c r="D77" s="515" t="s">
        <v>45</v>
      </c>
      <c r="E77" s="517" t="s">
        <v>46</v>
      </c>
      <c r="F77" s="510" t="s">
        <v>47</v>
      </c>
      <c r="G77" s="502" t="s">
        <v>48</v>
      </c>
      <c r="H77" s="504" t="s">
        <v>49</v>
      </c>
      <c r="I77" s="586" t="s">
        <v>50</v>
      </c>
      <c r="J77" s="496" t="s">
        <v>28</v>
      </c>
      <c r="K77" s="506" t="s">
        <v>51</v>
      </c>
      <c r="L77" s="508" t="s">
        <v>52</v>
      </c>
      <c r="M77" s="496" t="s">
        <v>53</v>
      </c>
      <c r="N77" s="77"/>
      <c r="O77" s="13"/>
      <c r="P77" s="50"/>
    </row>
    <row r="78" spans="2:58" ht="28.5" customHeight="1" thickTop="1" thickBot="1">
      <c r="B78" s="514"/>
      <c r="C78" s="514"/>
      <c r="D78" s="516"/>
      <c r="E78" s="518"/>
      <c r="F78" s="511"/>
      <c r="G78" s="503"/>
      <c r="H78" s="514"/>
      <c r="I78" s="587"/>
      <c r="J78" s="497"/>
      <c r="K78" s="507"/>
      <c r="L78" s="509"/>
      <c r="M78" s="497"/>
      <c r="N78" s="77"/>
      <c r="O78" s="13"/>
      <c r="P78" s="50"/>
      <c r="Q78" s="355"/>
      <c r="R78" s="355"/>
      <c r="S78" s="355"/>
      <c r="T78" s="355"/>
      <c r="U78" s="51">
        <v>43466</v>
      </c>
      <c r="V78" s="51">
        <v>43467</v>
      </c>
      <c r="W78" s="51">
        <v>43468</v>
      </c>
      <c r="X78" s="51">
        <v>43469</v>
      </c>
      <c r="Y78" s="51">
        <v>43470</v>
      </c>
      <c r="Z78" s="51">
        <v>43471</v>
      </c>
      <c r="AA78" s="51">
        <v>43472</v>
      </c>
      <c r="AB78" s="51">
        <v>43473</v>
      </c>
      <c r="AC78" s="51">
        <v>43474</v>
      </c>
      <c r="AD78" s="51">
        <v>43475</v>
      </c>
      <c r="AE78" s="51">
        <v>43476</v>
      </c>
      <c r="AF78" s="51">
        <v>43477</v>
      </c>
      <c r="AG78" s="51">
        <v>43478</v>
      </c>
      <c r="AH78" s="51">
        <v>43479</v>
      </c>
      <c r="AI78" s="51">
        <v>43480</v>
      </c>
      <c r="AJ78" s="51">
        <v>43481</v>
      </c>
      <c r="AK78" s="51">
        <v>43482</v>
      </c>
      <c r="AL78" s="51">
        <v>43483</v>
      </c>
      <c r="AM78" s="51">
        <v>43484</v>
      </c>
      <c r="AN78" s="51">
        <v>43485</v>
      </c>
      <c r="AO78" s="51">
        <v>43486</v>
      </c>
      <c r="AP78" s="51">
        <v>43487</v>
      </c>
      <c r="AQ78" s="51">
        <v>43488</v>
      </c>
      <c r="AR78" s="51">
        <v>43489</v>
      </c>
      <c r="AS78" s="51">
        <v>43490</v>
      </c>
      <c r="AT78" s="51">
        <v>43491</v>
      </c>
      <c r="AU78" s="51">
        <v>43492</v>
      </c>
      <c r="AV78" s="51">
        <v>43493</v>
      </c>
      <c r="AW78" s="51">
        <v>43494</v>
      </c>
      <c r="AX78" s="51">
        <v>43495</v>
      </c>
      <c r="AY78" s="51">
        <v>43496</v>
      </c>
    </row>
    <row r="79" spans="2:58" s="54" customFormat="1" ht="41.25" customHeight="1">
      <c r="B79" s="385" t="s">
        <v>9</v>
      </c>
      <c r="C79" s="283">
        <v>45278</v>
      </c>
      <c r="D79" s="377">
        <f>[36]December_2023!$U$13</f>
        <v>150.4</v>
      </c>
      <c r="E79" s="378"/>
      <c r="F79" s="379"/>
      <c r="G79" s="303">
        <f>[36]December_2023!$U$17</f>
        <v>120.8</v>
      </c>
      <c r="H79" s="381"/>
      <c r="I79" s="382"/>
      <c r="J79" s="360" t="s">
        <v>150</v>
      </c>
      <c r="K79" s="380">
        <f>[37]December_2023!$U$25</f>
        <v>0.42385964912280699</v>
      </c>
      <c r="L79" s="391">
        <f>(((D79+E79)-G79)/(D79+E79))*100</f>
        <v>19.680851063829792</v>
      </c>
      <c r="M79" s="357" t="s">
        <v>154</v>
      </c>
      <c r="N79" s="13"/>
      <c r="O79" s="13"/>
      <c r="P79" s="50"/>
      <c r="T79" s="272" t="s">
        <v>54</v>
      </c>
      <c r="U79" s="279"/>
      <c r="V79" s="279"/>
      <c r="W79" s="279"/>
      <c r="X79" s="279"/>
      <c r="Y79" s="279"/>
      <c r="Z79" s="279"/>
      <c r="AA79" s="279"/>
      <c r="AB79" s="279"/>
      <c r="AC79" s="279"/>
      <c r="AD79" s="279"/>
      <c r="AE79" s="279"/>
      <c r="AF79" s="279"/>
      <c r="AG79" s="279"/>
      <c r="AH79" s="279"/>
      <c r="AI79" s="279"/>
      <c r="AJ79" s="279"/>
      <c r="AK79" s="279"/>
      <c r="AL79" s="279"/>
      <c r="AM79" s="279"/>
      <c r="AN79" s="279"/>
      <c r="AO79" s="279"/>
      <c r="AP79" s="279"/>
      <c r="AQ79" s="279"/>
      <c r="AR79" s="279"/>
      <c r="AS79" s="279"/>
      <c r="AT79" s="279"/>
      <c r="AU79" s="279"/>
      <c r="AV79" s="279"/>
      <c r="AW79" s="279"/>
      <c r="AX79" s="279"/>
    </row>
    <row r="80" spans="2:58" s="54" customFormat="1" ht="18.75" customHeight="1" thickBot="1">
      <c r="B80" s="387"/>
      <c r="C80" s="283"/>
      <c r="D80" s="279"/>
      <c r="E80" s="279"/>
      <c r="F80" s="279"/>
      <c r="G80" s="279"/>
      <c r="H80" s="320"/>
      <c r="I80" s="321"/>
      <c r="J80" s="281" t="s">
        <v>41</v>
      </c>
      <c r="K80" s="376"/>
      <c r="L80" s="314"/>
      <c r="M80" s="384"/>
      <c r="N80" s="13"/>
      <c r="O80" s="13"/>
      <c r="P80" s="50"/>
      <c r="T80" s="272" t="s">
        <v>51</v>
      </c>
      <c r="U80" s="57" t="e">
        <f>[20]January_2019!D8</f>
        <v>#DIV/0!</v>
      </c>
      <c r="V80" s="57">
        <f>[20]January_2019!E8</f>
        <v>1.0319298245614037</v>
      </c>
      <c r="W80" s="57">
        <f>[20]January_2019!F8</f>
        <v>1.7789473684210526</v>
      </c>
      <c r="X80" s="57">
        <f>[20]January_2019!G8</f>
        <v>0.51929824561403504</v>
      </c>
      <c r="Y80" s="57" t="e">
        <f>[20]January_2019!H8</f>
        <v>#DIV/0!</v>
      </c>
      <c r="Z80" s="57" t="e">
        <f>[20]January_2019!I8</f>
        <v>#DIV/0!</v>
      </c>
      <c r="AA80" s="57">
        <f>[20]January_2019!J8</f>
        <v>1.365263157894737</v>
      </c>
      <c r="AB80" s="57" t="e">
        <f>[20]January_2019!K8</f>
        <v>#DIV/0!</v>
      </c>
      <c r="AC80" s="57">
        <f>[20]January_2019!L8</f>
        <v>1.0028070175438597</v>
      </c>
      <c r="AD80" s="57">
        <f>[20]January_2019!M8</f>
        <v>1.7828070175438597</v>
      </c>
      <c r="AE80" s="57" t="e">
        <f>[20]January_2019!N8</f>
        <v>#DIV/0!</v>
      </c>
      <c r="AF80" s="57" t="e">
        <f>[20]January_2019!O8</f>
        <v>#DIV/0!</v>
      </c>
      <c r="AG80" s="57">
        <f>[20]January_2019!P8</f>
        <v>0.19222222222222221</v>
      </c>
      <c r="AH80" s="57">
        <f>[20]January_2019!Q8</f>
        <v>0.52219298245614032</v>
      </c>
      <c r="AI80" s="57">
        <f>[20]January_2019!R8</f>
        <v>0.42912280701754385</v>
      </c>
      <c r="AJ80" s="57" t="e">
        <f>[20]January_2019!S8</f>
        <v>#DIV/0!</v>
      </c>
      <c r="AK80" s="57">
        <f>[20]January_2019!T8</f>
        <v>1.0340350877192983</v>
      </c>
      <c r="AL80" s="57">
        <f>[20]January_2019!U8</f>
        <v>0.98421052631578942</v>
      </c>
      <c r="AM80" s="57" t="e">
        <f>[20]January_2019!V8</f>
        <v>#DIV/0!</v>
      </c>
      <c r="AN80" s="57" t="e">
        <f>[20]January_2019!W8</f>
        <v>#DIV/0!</v>
      </c>
      <c r="AO80" s="57">
        <f>[20]January_2019!X8</f>
        <v>0.66052631578947374</v>
      </c>
      <c r="AP80" s="57">
        <f>[20]January_2019!Y8</f>
        <v>1.0375438596491227</v>
      </c>
      <c r="AQ80" s="57">
        <f>[20]January_2019!Z8</f>
        <v>0.90456140350877201</v>
      </c>
      <c r="AR80" s="57">
        <f>[20]January_2019!AA8</f>
        <v>1.0217543859649123</v>
      </c>
      <c r="AS80" s="57">
        <f>[20]January_2019!AB8</f>
        <v>0.65614035087719302</v>
      </c>
      <c r="AT80" s="57" t="e">
        <f>[20]January_2019!AC8</f>
        <v>#DIV/0!</v>
      </c>
      <c r="AU80" s="57" t="e">
        <f>[20]January_2019!AD8</f>
        <v>#DIV/0!</v>
      </c>
      <c r="AV80" s="57">
        <f>[20]January_2019!AE8</f>
        <v>1.7021052631578948</v>
      </c>
      <c r="AW80" s="57">
        <f>[20]January_2019!AF8</f>
        <v>0.60192982456140354</v>
      </c>
      <c r="AX80" s="57">
        <f>[20]January_2019!AG8</f>
        <v>1.4870175438596491</v>
      </c>
      <c r="AY80" s="277" t="e">
        <f>[20]January_2019!AH8</f>
        <v>#DIV/0!</v>
      </c>
      <c r="AZ80" s="277"/>
      <c r="BA80" s="277"/>
      <c r="BB80" s="277"/>
      <c r="BC80" s="277"/>
      <c r="BD80" s="277"/>
      <c r="BE80" s="277"/>
      <c r="BF80" s="277"/>
    </row>
    <row r="81" spans="2:58" s="54" customFormat="1" ht="45.75" hidden="1" customHeight="1" thickBot="1">
      <c r="B81" s="29"/>
      <c r="C81" s="283"/>
      <c r="D81" s="279"/>
      <c r="E81" s="279"/>
      <c r="F81" s="279"/>
      <c r="G81" s="279"/>
      <c r="H81" s="381"/>
      <c r="I81" s="382"/>
      <c r="J81" s="390"/>
      <c r="K81" s="372"/>
      <c r="L81" s="391"/>
      <c r="M81" s="357"/>
      <c r="N81" s="13"/>
      <c r="O81" s="13"/>
      <c r="P81" s="50"/>
      <c r="T81" s="272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277"/>
      <c r="AZ81" s="277"/>
      <c r="BA81" s="277"/>
      <c r="BB81" s="277"/>
      <c r="BC81" s="277"/>
      <c r="BD81" s="277"/>
      <c r="BE81" s="277"/>
      <c r="BF81" s="277"/>
    </row>
    <row r="82" spans="2:58" s="54" customFormat="1" ht="28.5" hidden="1" customHeight="1" thickBot="1">
      <c r="B82" s="361"/>
      <c r="C82" s="283"/>
      <c r="D82" s="304"/>
      <c r="E82" s="279"/>
      <c r="F82" s="279"/>
      <c r="G82" s="279"/>
      <c r="H82" s="320"/>
      <c r="I82" s="321"/>
      <c r="J82" s="389"/>
      <c r="K82" s="376"/>
      <c r="L82" s="314"/>
      <c r="M82" s="354"/>
      <c r="N82" s="13"/>
      <c r="O82" s="13"/>
      <c r="P82" s="50"/>
      <c r="T82" s="272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277"/>
      <c r="AZ82" s="277"/>
      <c r="BA82" s="277"/>
      <c r="BB82" s="277"/>
      <c r="BC82" s="277"/>
      <c r="BD82" s="277"/>
      <c r="BE82" s="277"/>
      <c r="BF82" s="277"/>
    </row>
    <row r="83" spans="2:58" s="54" customFormat="1" ht="45.75" hidden="1" customHeight="1">
      <c r="B83" s="385"/>
      <c r="C83" s="283"/>
      <c r="D83" s="279"/>
      <c r="E83" s="279"/>
      <c r="F83" s="279"/>
      <c r="G83" s="279"/>
      <c r="H83" s="320"/>
      <c r="I83" s="322"/>
      <c r="J83" s="360"/>
      <c r="K83" s="286"/>
      <c r="L83" s="314"/>
      <c r="M83" s="384"/>
      <c r="N83" s="13"/>
      <c r="O83" s="13"/>
      <c r="P83" s="50"/>
      <c r="T83" s="272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277"/>
      <c r="AZ83" s="277"/>
      <c r="BA83" s="277"/>
      <c r="BB83" s="277"/>
      <c r="BC83" s="277"/>
      <c r="BD83" s="277"/>
      <c r="BE83" s="277"/>
      <c r="BF83" s="277"/>
    </row>
    <row r="84" spans="2:58" s="54" customFormat="1" ht="45.75" hidden="1" customHeight="1">
      <c r="B84" s="361"/>
      <c r="C84" s="283"/>
      <c r="D84" s="279"/>
      <c r="E84" s="279"/>
      <c r="F84" s="279"/>
      <c r="G84" s="279"/>
      <c r="H84" s="320"/>
      <c r="I84" s="322"/>
      <c r="J84" s="281"/>
      <c r="K84" s="286"/>
      <c r="L84" s="314"/>
      <c r="M84" s="339"/>
      <c r="N84" s="13"/>
      <c r="O84" s="13"/>
      <c r="P84" s="50"/>
      <c r="T84" s="272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277"/>
      <c r="AZ84" s="277"/>
      <c r="BA84" s="277"/>
      <c r="BB84" s="277"/>
      <c r="BC84" s="277"/>
      <c r="BD84" s="277"/>
      <c r="BE84" s="277"/>
      <c r="BF84" s="277"/>
    </row>
    <row r="85" spans="2:58" ht="15.75" hidden="1" thickBot="1">
      <c r="B85" s="33"/>
      <c r="C85" s="310"/>
      <c r="D85" s="279"/>
      <c r="E85" s="279"/>
      <c r="F85" s="279"/>
      <c r="G85" s="279"/>
      <c r="H85" s="352"/>
      <c r="I85" s="353"/>
      <c r="J85" s="52"/>
      <c r="K85" s="52"/>
      <c r="L85" s="53"/>
      <c r="M85" s="55"/>
      <c r="N85" s="77"/>
      <c r="O85" s="13"/>
      <c r="P85" s="56"/>
    </row>
    <row r="86" spans="2:58" ht="15.75" thickBot="1">
      <c r="B86" s="58"/>
      <c r="C86" s="309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9"/>
      <c r="O86" s="56"/>
      <c r="P86" s="60"/>
    </row>
    <row r="87" spans="2:58" ht="15.75" thickBot="1">
      <c r="B87" s="498" t="s">
        <v>55</v>
      </c>
      <c r="C87" s="499"/>
      <c r="D87" s="499"/>
      <c r="E87" s="499"/>
      <c r="F87" s="500"/>
      <c r="G87" s="498" t="s">
        <v>56</v>
      </c>
      <c r="H87" s="499"/>
      <c r="I87" s="499"/>
      <c r="J87" s="500"/>
      <c r="K87" s="498" t="s">
        <v>51</v>
      </c>
      <c r="L87" s="499"/>
      <c r="M87" s="499"/>
      <c r="N87" s="501"/>
      <c r="O87" s="56"/>
      <c r="P87" s="50"/>
    </row>
    <row r="88" spans="2:58" ht="15">
      <c r="B88" s="61" t="s">
        <v>17</v>
      </c>
      <c r="C88" s="62" t="s">
        <v>36</v>
      </c>
      <c r="D88" s="62" t="s">
        <v>37</v>
      </c>
      <c r="E88" s="62" t="s">
        <v>38</v>
      </c>
      <c r="F88" s="63" t="s">
        <v>39</v>
      </c>
      <c r="G88" s="62" t="s">
        <v>36</v>
      </c>
      <c r="H88" s="62" t="s">
        <v>37</v>
      </c>
      <c r="I88" s="62" t="s">
        <v>38</v>
      </c>
      <c r="J88" s="63" t="s">
        <v>39</v>
      </c>
      <c r="K88" s="62" t="s">
        <v>36</v>
      </c>
      <c r="L88" s="62" t="s">
        <v>37</v>
      </c>
      <c r="M88" s="62" t="s">
        <v>38</v>
      </c>
      <c r="N88" s="63" t="s">
        <v>39</v>
      </c>
      <c r="O88" s="56"/>
      <c r="P88" s="64"/>
    </row>
    <row r="89" spans="2:58" ht="15">
      <c r="B89" s="29" t="s">
        <v>6</v>
      </c>
      <c r="D89" s="76">
        <v>5.181332008533289</v>
      </c>
      <c r="E89" s="76">
        <v>6.6038502743493472</v>
      </c>
      <c r="F89" s="66">
        <v>4.8</v>
      </c>
      <c r="H89" s="76">
        <v>5.2502762338962023</v>
      </c>
      <c r="I89" s="76">
        <v>6.9665257793219286</v>
      </c>
      <c r="J89" s="66">
        <v>4.8</v>
      </c>
      <c r="L89" s="194">
        <v>0.70807017543859652</v>
      </c>
      <c r="M89" s="194">
        <v>0.77999467121139654</v>
      </c>
      <c r="N89" s="68">
        <v>1</v>
      </c>
      <c r="O89" s="56"/>
      <c r="P89" s="69"/>
    </row>
    <row r="90" spans="2:58" ht="15">
      <c r="B90" s="33" t="s">
        <v>9</v>
      </c>
      <c r="C90" s="65">
        <f>AVERAGE(L79,L81)</f>
        <v>19.680851063829792</v>
      </c>
      <c r="D90" s="76">
        <v>6.5498914589415387</v>
      </c>
      <c r="E90" s="76">
        <v>6.1662321034923213</v>
      </c>
      <c r="F90" s="66">
        <v>4.8</v>
      </c>
      <c r="G90" s="65">
        <f>[36]December_2023!$U$21</f>
        <v>19.680851063829799</v>
      </c>
      <c r="H90" s="76">
        <v>6.3458281571920923</v>
      </c>
      <c r="I90" s="76">
        <v>5.9138833775175614</v>
      </c>
      <c r="J90" s="66">
        <v>4.8</v>
      </c>
      <c r="K90" s="67">
        <f>AVERAGE(K79,K81)</f>
        <v>0.42385964912280699</v>
      </c>
      <c r="L90" s="194">
        <v>0.66137426900584784</v>
      </c>
      <c r="M90" s="194">
        <v>0.71942943874066057</v>
      </c>
      <c r="N90" s="68">
        <v>1</v>
      </c>
      <c r="P90" s="69"/>
    </row>
    <row r="91" spans="2:58" ht="15">
      <c r="B91" s="34" t="s">
        <v>40</v>
      </c>
      <c r="C91" s="65"/>
      <c r="D91" s="76">
        <v>8.4423676012461133</v>
      </c>
      <c r="E91" s="76">
        <v>8.9890454879433594</v>
      </c>
      <c r="F91" s="66">
        <v>5.5</v>
      </c>
      <c r="G91" s="65"/>
      <c r="H91" s="76">
        <v>5.9624998430282856</v>
      </c>
      <c r="I91" s="76">
        <v>8.6652309201910018</v>
      </c>
      <c r="J91" s="66">
        <v>5.5</v>
      </c>
      <c r="K91" s="67"/>
      <c r="L91" s="194">
        <v>0.5156140350877193</v>
      </c>
      <c r="M91" s="194">
        <v>0.65035607537361928</v>
      </c>
      <c r="N91" s="68">
        <v>1</v>
      </c>
      <c r="P91" s="69"/>
    </row>
    <row r="92" spans="2:58" ht="15">
      <c r="B92" s="22" t="s">
        <v>33</v>
      </c>
      <c r="C92" s="65"/>
      <c r="D92" s="76">
        <v>3.5978480161398938</v>
      </c>
      <c r="E92" s="76">
        <v>2.9936806546492249</v>
      </c>
      <c r="F92" s="66">
        <v>3.3</v>
      </c>
      <c r="G92" s="65"/>
      <c r="H92" s="76">
        <v>6.0982020044620322</v>
      </c>
      <c r="I92" s="76">
        <v>3.3134542932705222</v>
      </c>
      <c r="J92" s="66">
        <v>3.3</v>
      </c>
      <c r="K92" s="67"/>
      <c r="L92" s="194">
        <v>0.50298245614035086</v>
      </c>
      <c r="M92" s="194">
        <v>1.0625518341307816</v>
      </c>
      <c r="N92" s="68">
        <v>1</v>
      </c>
      <c r="P92" s="69"/>
    </row>
    <row r="93" spans="2:58" ht="15">
      <c r="B93" s="35" t="s">
        <v>29</v>
      </c>
      <c r="C93" s="65"/>
      <c r="D93" s="76"/>
      <c r="E93" s="76"/>
      <c r="F93" s="66">
        <v>3.3</v>
      </c>
      <c r="G93" s="282"/>
      <c r="H93" s="76"/>
      <c r="I93" s="76"/>
      <c r="J93" s="66">
        <v>3</v>
      </c>
      <c r="K93" s="67"/>
      <c r="L93" s="194"/>
      <c r="M93" s="194"/>
      <c r="N93" s="68">
        <v>1</v>
      </c>
      <c r="P93" s="69"/>
    </row>
    <row r="94" spans="2:58" ht="15">
      <c r="B94" s="36" t="s">
        <v>15</v>
      </c>
      <c r="C94" s="282"/>
      <c r="D94" s="76"/>
      <c r="E94" s="76">
        <v>6.4174306465055304</v>
      </c>
      <c r="F94" s="70">
        <f>[38]May_2022!$M$43</f>
        <v>3.4878406700073312</v>
      </c>
      <c r="G94" s="282"/>
      <c r="H94" s="76"/>
      <c r="I94" s="76">
        <v>7.0730654939490236</v>
      </c>
      <c r="J94" s="70">
        <v>5.5</v>
      </c>
      <c r="K94" s="67"/>
      <c r="L94" s="194"/>
      <c r="M94" s="194">
        <v>1.0342105263157895</v>
      </c>
      <c r="N94" s="68">
        <v>1</v>
      </c>
      <c r="P94" s="69"/>
    </row>
    <row r="95" spans="2:58" ht="15">
      <c r="B95" s="37" t="s">
        <v>16</v>
      </c>
      <c r="C95" s="65"/>
      <c r="D95" s="76">
        <v>2.7692803091289537</v>
      </c>
      <c r="E95" s="76">
        <v>3.0589057857018314</v>
      </c>
      <c r="F95" s="70">
        <v>3.3</v>
      </c>
      <c r="G95" s="282"/>
      <c r="H95" s="76">
        <v>4.2179953480824466</v>
      </c>
      <c r="I95" s="76">
        <v>4.9470952635574701</v>
      </c>
      <c r="J95" s="70">
        <v>3.3</v>
      </c>
      <c r="K95" s="67"/>
      <c r="L95" s="194">
        <v>1.0594736842105266</v>
      </c>
      <c r="M95" s="194">
        <v>1.0223839009287927</v>
      </c>
      <c r="N95" s="71">
        <v>1</v>
      </c>
      <c r="P95" s="69"/>
    </row>
    <row r="96" spans="2:58" ht="15.75" thickBot="1">
      <c r="B96" s="38" t="s">
        <v>127</v>
      </c>
      <c r="C96" s="65"/>
      <c r="D96" s="76"/>
      <c r="E96" s="76">
        <v>11.178247734138981</v>
      </c>
      <c r="F96" s="72">
        <v>7.5</v>
      </c>
      <c r="G96" s="73"/>
      <c r="H96" s="76"/>
      <c r="I96" s="76">
        <v>14.598510156332937</v>
      </c>
      <c r="J96" s="72">
        <v>7.5</v>
      </c>
      <c r="K96" s="67"/>
      <c r="L96" s="194"/>
      <c r="M96" s="194">
        <v>0.30947368421052629</v>
      </c>
      <c r="N96" s="71">
        <v>1</v>
      </c>
      <c r="P96" s="69"/>
    </row>
    <row r="97" spans="3:30" ht="15">
      <c r="C97" s="65"/>
      <c r="D97" s="76">
        <v>5.3927000828210607</v>
      </c>
      <c r="E97" s="76">
        <v>6.2517133375322747</v>
      </c>
      <c r="F97" s="341">
        <v>4.5</v>
      </c>
      <c r="G97" s="74"/>
      <c r="H97" s="76">
        <v>5.4965257407735688</v>
      </c>
      <c r="I97" s="76">
        <v>6.5279580392540781</v>
      </c>
      <c r="J97" s="342">
        <v>4.5</v>
      </c>
      <c r="K97" s="67"/>
      <c r="L97" s="194">
        <v>0.69682017543859642</v>
      </c>
      <c r="M97" s="194">
        <v>0.78265037728044273</v>
      </c>
      <c r="N97" s="386">
        <v>1</v>
      </c>
      <c r="O97" s="74"/>
      <c r="P97" s="75"/>
    </row>
    <row r="102" spans="3:30">
      <c r="F102" s="315"/>
    </row>
    <row r="110" spans="3:30">
      <c r="AD110" s="275" t="s">
        <v>57</v>
      </c>
    </row>
  </sheetData>
  <mergeCells count="54">
    <mergeCell ref="M77:M78"/>
    <mergeCell ref="B87:F87"/>
    <mergeCell ref="G87:J87"/>
    <mergeCell ref="K87:N87"/>
    <mergeCell ref="G77:G78"/>
    <mergeCell ref="H77:H78"/>
    <mergeCell ref="I77:I78"/>
    <mergeCell ref="J77:J78"/>
    <mergeCell ref="K77:K78"/>
    <mergeCell ref="L77:L78"/>
    <mergeCell ref="F77:F78"/>
    <mergeCell ref="D72:E72"/>
    <mergeCell ref="B77:B78"/>
    <mergeCell ref="C77:C78"/>
    <mergeCell ref="D77:D78"/>
    <mergeCell ref="E77:E78"/>
    <mergeCell ref="B62:B71"/>
    <mergeCell ref="D62:E63"/>
    <mergeCell ref="J62:K62"/>
    <mergeCell ref="L63:N63"/>
    <mergeCell ref="D64:E65"/>
    <mergeCell ref="D66:E67"/>
    <mergeCell ref="D68:E69"/>
    <mergeCell ref="D70:E71"/>
    <mergeCell ref="Q8:Q9"/>
    <mergeCell ref="I48:N48"/>
    <mergeCell ref="B50:B61"/>
    <mergeCell ref="D50:E51"/>
    <mergeCell ref="D52:E53"/>
    <mergeCell ref="D54:E55"/>
    <mergeCell ref="D56:E57"/>
    <mergeCell ref="D58:E59"/>
    <mergeCell ref="D60:E61"/>
    <mergeCell ref="X1:Y1"/>
    <mergeCell ref="Z1:AA1"/>
    <mergeCell ref="B2:O2"/>
    <mergeCell ref="D49:E49"/>
    <mergeCell ref="J6:K7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P8:P9"/>
    <mergeCell ref="C4:D4"/>
    <mergeCell ref="J4:K5"/>
    <mergeCell ref="M4:N4"/>
    <mergeCell ref="T1:U1"/>
    <mergeCell ref="V1:W1"/>
  </mergeCells>
  <conditionalFormatting sqref="B72:B73">
    <cfRule type="cellIs" dxfId="2309" priority="157" operator="notBetween">
      <formula>#REF!</formula>
      <formula>#REF!</formula>
    </cfRule>
  </conditionalFormatting>
  <conditionalFormatting sqref="C76">
    <cfRule type="cellIs" dxfId="2308" priority="190" stopIfTrue="1" operator="greaterThan">
      <formula>100</formula>
    </cfRule>
    <cfRule type="cellIs" dxfId="2307" priority="189" stopIfTrue="1" operator="lessThan">
      <formula>96</formula>
    </cfRule>
  </conditionalFormatting>
  <conditionalFormatting sqref="C90">
    <cfRule type="cellIs" dxfId="2306" priority="212" stopIfTrue="1" operator="greaterThan">
      <formula>$F89</formula>
    </cfRule>
    <cfRule type="cellIs" dxfId="2305" priority="106" stopIfTrue="1" operator="lessThanOrEqual">
      <formula>0</formula>
    </cfRule>
  </conditionalFormatting>
  <conditionalFormatting sqref="C91:C93">
    <cfRule type="cellIs" dxfId="2304" priority="105" stopIfTrue="1" operator="greaterThan">
      <formula>$F91</formula>
    </cfRule>
  </conditionalFormatting>
  <conditionalFormatting sqref="C91:C94">
    <cfRule type="cellIs" dxfId="2303" priority="129" stopIfTrue="1" operator="lessThanOrEqual">
      <formula>0</formula>
    </cfRule>
  </conditionalFormatting>
  <conditionalFormatting sqref="C94">
    <cfRule type="cellIs" dxfId="2302" priority="128" stopIfTrue="1" operator="greaterThan">
      <formula>$J94</formula>
    </cfRule>
  </conditionalFormatting>
  <conditionalFormatting sqref="C95:C97">
    <cfRule type="cellIs" dxfId="2301" priority="145" stopIfTrue="1" operator="greaterThan">
      <formula>$F95</formula>
    </cfRule>
    <cfRule type="cellIs" dxfId="2300" priority="146" stopIfTrue="1" operator="lessThanOrEqual">
      <formula>0</formula>
    </cfRule>
  </conditionalFormatting>
  <conditionalFormatting sqref="C100:C104">
    <cfRule type="cellIs" dxfId="2299" priority="181" stopIfTrue="1" operator="lessThanOrEqual">
      <formula>0</formula>
    </cfRule>
  </conditionalFormatting>
  <conditionalFormatting sqref="C101:C104">
    <cfRule type="cellIs" dxfId="2298" priority="180" stopIfTrue="1" operator="greaterThan">
      <formula>$F$100</formula>
    </cfRule>
  </conditionalFormatting>
  <conditionalFormatting sqref="C106">
    <cfRule type="cellIs" dxfId="2297" priority="183" stopIfTrue="1" operator="lessThanOrEqual">
      <formula>0</formula>
    </cfRule>
    <cfRule type="cellIs" dxfId="2296" priority="182" stopIfTrue="1" operator="greaterThan">
      <formula>$F$100</formula>
    </cfRule>
  </conditionalFormatting>
  <conditionalFormatting sqref="C100:D100 D102:D108">
    <cfRule type="cellIs" dxfId="2295" priority="175" stopIfTrue="1" operator="greaterThan">
      <formula>4.5</formula>
    </cfRule>
  </conditionalFormatting>
  <conditionalFormatting sqref="D72:D73">
    <cfRule type="cellIs" dxfId="2294" priority="158" operator="notBetween">
      <formula>#REF!</formula>
      <formula>#REF!</formula>
    </cfRule>
  </conditionalFormatting>
  <conditionalFormatting sqref="D89:D96">
    <cfRule type="cellIs" dxfId="2293" priority="144" stopIfTrue="1" operator="lessThanOrEqual">
      <formula>0</formula>
    </cfRule>
  </conditionalFormatting>
  <conditionalFormatting sqref="D97">
    <cfRule type="cellIs" dxfId="2292" priority="143" stopIfTrue="1" operator="lessThanOrEqual">
      <formula>0</formula>
    </cfRule>
  </conditionalFormatting>
  <conditionalFormatting sqref="D100 D102:D108">
    <cfRule type="cellIs" dxfId="2291" priority="176" stopIfTrue="1" operator="lessThanOrEqual">
      <formula>0</formula>
    </cfRule>
  </conditionalFormatting>
  <conditionalFormatting sqref="D101">
    <cfRule type="cellIs" dxfId="2290" priority="167" stopIfTrue="1" operator="greaterThan">
      <formula>$F$100</formula>
    </cfRule>
    <cfRule type="cellIs" dxfId="2289" priority="168" stopIfTrue="1" operator="lessThanOrEqual">
      <formula>0</formula>
    </cfRule>
  </conditionalFormatting>
  <conditionalFormatting sqref="D89:E97">
    <cfRule type="cellIs" dxfId="2288" priority="135" stopIfTrue="1" operator="greaterThan">
      <formula>$F89</formula>
    </cfRule>
  </conditionalFormatting>
  <conditionalFormatting sqref="E10:E14">
    <cfRule type="cellIs" dxfId="2287" priority="52" operator="lessThan">
      <formula>48</formula>
    </cfRule>
  </conditionalFormatting>
  <conditionalFormatting sqref="E33:E46">
    <cfRule type="cellIs" dxfId="2286" priority="25" operator="lessThan">
      <formula>48</formula>
    </cfRule>
  </conditionalFormatting>
  <conditionalFormatting sqref="E76">
    <cfRule type="cellIs" dxfId="2285" priority="169" stopIfTrue="1" operator="lessThan">
      <formula>96.8</formula>
    </cfRule>
    <cfRule type="cellIs" dxfId="2284" priority="170" stopIfTrue="1" operator="greaterThan">
      <formula>100</formula>
    </cfRule>
  </conditionalFormatting>
  <conditionalFormatting sqref="E89:E97">
    <cfRule type="cellIs" dxfId="2283" priority="136" stopIfTrue="1" operator="lessThanOrEqual">
      <formula>0</formula>
    </cfRule>
  </conditionalFormatting>
  <conditionalFormatting sqref="E100:E108">
    <cfRule type="cellIs" dxfId="2282" priority="161" stopIfTrue="1" operator="greaterThan">
      <formula>4.5</formula>
    </cfRule>
    <cfRule type="cellIs" dxfId="2281" priority="162" stopIfTrue="1" operator="lessThanOrEqual">
      <formula>0</formula>
    </cfRule>
  </conditionalFormatting>
  <conditionalFormatting sqref="E75:F76">
    <cfRule type="cellIs" dxfId="2280" priority="171" stopIfTrue="1" operator="lessThan">
      <formula>96.5</formula>
    </cfRule>
    <cfRule type="cellIs" dxfId="2279" priority="172" stopIfTrue="1" operator="greaterThan">
      <formula>100</formula>
    </cfRule>
  </conditionalFormatting>
  <conditionalFormatting sqref="F10:F12">
    <cfRule type="cellIs" dxfId="2278" priority="62" operator="greaterThan">
      <formula>#REF!</formula>
    </cfRule>
  </conditionalFormatting>
  <conditionalFormatting sqref="F10:F47">
    <cfRule type="cellIs" dxfId="2277" priority="15" operator="greaterThan">
      <formula>$AA10</formula>
    </cfRule>
  </conditionalFormatting>
  <conditionalFormatting sqref="F13">
    <cfRule type="cellIs" dxfId="2276" priority="53" operator="greaterThan">
      <formula>$AA47</formula>
    </cfRule>
  </conditionalFormatting>
  <conditionalFormatting sqref="F14">
    <cfRule type="cellIs" dxfId="2275" priority="196" operator="greaterThan">
      <formula>#REF!</formula>
    </cfRule>
  </conditionalFormatting>
  <conditionalFormatting sqref="F33:F46">
    <cfRule type="cellIs" dxfId="2274" priority="26" operator="greaterThan">
      <formula>$AA48</formula>
    </cfRule>
  </conditionalFormatting>
  <conditionalFormatting sqref="F76">
    <cfRule type="cellIs" dxfId="2273" priority="188" stopIfTrue="1" operator="greaterThan">
      <formula>100</formula>
    </cfRule>
    <cfRule type="cellIs" dxfId="2272" priority="187" stopIfTrue="1" operator="lessThan">
      <formula>96.8</formula>
    </cfRule>
  </conditionalFormatting>
  <conditionalFormatting sqref="F97">
    <cfRule type="cellIs" dxfId="2271" priority="137" stopIfTrue="1" operator="greaterThan">
      <formula>$F97</formula>
    </cfRule>
    <cfRule type="cellIs" dxfId="2270" priority="138" stopIfTrue="1" operator="lessThanOrEqual">
      <formula>0</formula>
    </cfRule>
  </conditionalFormatting>
  <conditionalFormatting sqref="G10:G14">
    <cfRule type="expression" dxfId="2269" priority="54">
      <formula>IF(+(IF(G10&lt;#REF!,0,IF(G10&gt;#REF!,0,1)))=0,1)</formula>
    </cfRule>
  </conditionalFormatting>
  <conditionalFormatting sqref="G33:G46">
    <cfRule type="expression" dxfId="2268" priority="27">
      <formula>IF(+(IF(G33&lt;#REF!,0,IF(G33&gt;#REF!,0,1)))=0,1)</formula>
    </cfRule>
  </conditionalFormatting>
  <conditionalFormatting sqref="G90">
    <cfRule type="cellIs" dxfId="2267" priority="71" stopIfTrue="1" operator="lessThanOrEqual">
      <formula>0</formula>
    </cfRule>
    <cfRule type="cellIs" dxfId="2266" priority="70" stopIfTrue="1" operator="greaterThan">
      <formula>$F89</formula>
    </cfRule>
  </conditionalFormatting>
  <conditionalFormatting sqref="G90:G91">
    <cfRule type="cellIs" dxfId="2265" priority="192" stopIfTrue="1" operator="lessThanOrEqual">
      <formula>0</formula>
    </cfRule>
    <cfRule type="cellIs" dxfId="2264" priority="191" stopIfTrue="1" operator="greaterThan">
      <formula>$F89</formula>
    </cfRule>
  </conditionalFormatting>
  <conditionalFormatting sqref="G92">
    <cfRule type="cellIs" dxfId="2263" priority="140" stopIfTrue="1" operator="lessThanOrEqual">
      <formula>0</formula>
    </cfRule>
    <cfRule type="cellIs" dxfId="2262" priority="139" stopIfTrue="1" operator="greaterThan">
      <formula>$F92</formula>
    </cfRule>
  </conditionalFormatting>
  <conditionalFormatting sqref="G93:G96">
    <cfRule type="cellIs" dxfId="2261" priority="149" stopIfTrue="1" operator="lessThanOrEqual">
      <formula>0</formula>
    </cfRule>
    <cfRule type="cellIs" dxfId="2260" priority="148" stopIfTrue="1" operator="greaterThan">
      <formula>$J93</formula>
    </cfRule>
  </conditionalFormatting>
  <conditionalFormatting sqref="G97">
    <cfRule type="cellIs" dxfId="2259" priority="147" operator="greaterThan">
      <formula>4.5</formula>
    </cfRule>
  </conditionalFormatting>
  <conditionalFormatting sqref="G102:G107 C105 C107">
    <cfRule type="cellIs" dxfId="2258" priority="184" stopIfTrue="1" operator="greaterThan">
      <formula>4.5</formula>
    </cfRule>
    <cfRule type="cellIs" dxfId="2257" priority="185" stopIfTrue="1" operator="lessThanOrEqual">
      <formula>0</formula>
    </cfRule>
  </conditionalFormatting>
  <conditionalFormatting sqref="G62:H62 G63:G73 H63:H74">
    <cfRule type="cellIs" dxfId="2256" priority="163" stopIfTrue="1" operator="greaterThan">
      <formula>0</formula>
    </cfRule>
  </conditionalFormatting>
  <conditionalFormatting sqref="G101:H101">
    <cfRule type="cellIs" dxfId="2255" priority="166" stopIfTrue="1" operator="lessThanOrEqual">
      <formula>0</formula>
    </cfRule>
    <cfRule type="cellIs" dxfId="2254" priority="165" stopIfTrue="1" operator="greaterThan">
      <formula>$F$100</formula>
    </cfRule>
  </conditionalFormatting>
  <conditionalFormatting sqref="H10">
    <cfRule type="expression" dxfId="2253" priority="63">
      <formula>IF(+(IF(H10&lt;T27,0,IF(H10&gt;U27,0,1)))=0,1)</formula>
    </cfRule>
  </conditionalFormatting>
  <conditionalFormatting sqref="H10:H12">
    <cfRule type="expression" dxfId="2252" priority="64">
      <formula>IF(+(IF(H10&lt;#REF!,0,IF(H10&gt;#REF!,0,1)))=0,1)</formula>
    </cfRule>
  </conditionalFormatting>
  <conditionalFormatting sqref="H11:H12">
    <cfRule type="expression" dxfId="2251" priority="207">
      <formula>IF(+(IF(H11&lt;T47,0,IF(H11&gt;U47,0,1)))=0,1)</formula>
    </cfRule>
  </conditionalFormatting>
  <conditionalFormatting sqref="H13">
    <cfRule type="expression" dxfId="2250" priority="55">
      <formula>IF(+(IF(H13&lt;T56,0,IF(H13&gt;U56,0,1)))=0,1)</formula>
    </cfRule>
    <cfRule type="expression" dxfId="2249" priority="56">
      <formula>IF(+(IF(H13&lt;T47,0,IF(H13&gt;U47,0,1)))=0,1)</formula>
    </cfRule>
  </conditionalFormatting>
  <conditionalFormatting sqref="H14">
    <cfRule type="expression" dxfId="2248" priority="197">
      <formula>IF(+(IF(H14&lt;T50,0,IF(H14&gt;U50,0,1)))=0,1)</formula>
    </cfRule>
    <cfRule type="expression" dxfId="2247" priority="198">
      <formula>IF(+(IF(H14&lt;#REF!,0,IF(H14&gt;#REF!,0,1)))=0,1)</formula>
    </cfRule>
  </conditionalFormatting>
  <conditionalFormatting sqref="H15:H32">
    <cfRule type="expression" dxfId="2246" priority="209">
      <formula>IF(+(IF(H15&lt;T66,0,IF(H15&gt;U66,0,1)))=0,1)</formula>
    </cfRule>
  </conditionalFormatting>
  <conditionalFormatting sqref="H33:H46">
    <cfRule type="expression" dxfId="2245" priority="29">
      <formula>IF(+(IF(H33&lt;T48,0,IF(H33&gt;U48,0,1)))=0,1)</formula>
    </cfRule>
    <cfRule type="expression" dxfId="2244" priority="28">
      <formula>IF(+(IF(H33&lt;T57,0,IF(H33&gt;U57,0,1)))=0,1)</formula>
    </cfRule>
  </conditionalFormatting>
  <conditionalFormatting sqref="H47">
    <cfRule type="expression" dxfId="2243" priority="193">
      <formula>IF(+(IF(H47&lt;#REF!,0,IF(H47&gt;#REF!,0,1)))=0,1)</formula>
    </cfRule>
  </conditionalFormatting>
  <conditionalFormatting sqref="H51:H61">
    <cfRule type="cellIs" dxfId="2242" priority="159" stopIfTrue="1" operator="greaterThan">
      <formula>0</formula>
    </cfRule>
  </conditionalFormatting>
  <conditionalFormatting sqref="H79">
    <cfRule type="cellIs" dxfId="2241" priority="12" stopIfTrue="1" operator="lessThanOrEqual">
      <formula>0</formula>
    </cfRule>
    <cfRule type="cellIs" dxfId="2240" priority="14" stopIfTrue="1" operator="lessThanOrEqual">
      <formula>0</formula>
    </cfRule>
    <cfRule type="cellIs" dxfId="2239" priority="13" stopIfTrue="1" operator="greaterThan">
      <formula>$F$54</formula>
    </cfRule>
    <cfRule type="cellIs" dxfId="2238" priority="11" stopIfTrue="1" operator="greaterThan">
      <formula>$F$56</formula>
    </cfRule>
    <cfRule type="cellIs" dxfId="2237" priority="2" stopIfTrue="1" operator="lessThanOrEqual">
      <formula>0</formula>
    </cfRule>
    <cfRule type="cellIs" dxfId="2236" priority="3" stopIfTrue="1" operator="greaterThan">
      <formula>$F$53</formula>
    </cfRule>
  </conditionalFormatting>
  <conditionalFormatting sqref="H80">
    <cfRule type="cellIs" dxfId="2235" priority="92" stopIfTrue="1" operator="lessThanOrEqual">
      <formula>0</formula>
    </cfRule>
    <cfRule type="cellIs" dxfId="2234" priority="93" stopIfTrue="1" operator="greaterThan">
      <formula>$F$88</formula>
    </cfRule>
    <cfRule type="cellIs" dxfId="2233" priority="104" stopIfTrue="1" operator="lessThanOrEqual">
      <formula>0</formula>
    </cfRule>
    <cfRule type="cellIs" dxfId="2232" priority="101" stopIfTrue="1" operator="greaterThan">
      <formula>$F$91</formula>
    </cfRule>
    <cfRule type="cellIs" dxfId="2231" priority="102" stopIfTrue="1" operator="lessThanOrEqual">
      <formula>0</formula>
    </cfRule>
    <cfRule type="cellIs" dxfId="2230" priority="103" stopIfTrue="1" operator="greaterThan">
      <formula>$F$89</formula>
    </cfRule>
  </conditionalFormatting>
  <conditionalFormatting sqref="H81">
    <cfRule type="cellIs" dxfId="2229" priority="45" stopIfTrue="1" operator="lessThanOrEqual">
      <formula>0</formula>
    </cfRule>
    <cfRule type="cellIs" dxfId="2228" priority="36" stopIfTrue="1" operator="greaterThan">
      <formula>$F$72</formula>
    </cfRule>
    <cfRule type="cellIs" dxfId="2227" priority="35" stopIfTrue="1" operator="lessThanOrEqual">
      <formula>0</formula>
    </cfRule>
    <cfRule type="cellIs" dxfId="2226" priority="44" stopIfTrue="1" operator="greaterThan">
      <formula>$F$75</formula>
    </cfRule>
    <cfRule type="cellIs" dxfId="2225" priority="47" stopIfTrue="1" operator="lessThanOrEqual">
      <formula>0</formula>
    </cfRule>
    <cfRule type="cellIs" dxfId="2224" priority="46" stopIfTrue="1" operator="greaterThan">
      <formula>$F$73</formula>
    </cfRule>
  </conditionalFormatting>
  <conditionalFormatting sqref="H82">
    <cfRule type="cellIs" dxfId="2223" priority="84" stopIfTrue="1" operator="greaterThan">
      <formula>#REF!</formula>
    </cfRule>
    <cfRule type="cellIs" dxfId="2222" priority="75" stopIfTrue="1" operator="lessThanOrEqual">
      <formula>0</formula>
    </cfRule>
    <cfRule type="cellIs" dxfId="2221" priority="76" stopIfTrue="1" operator="greaterThan">
      <formula>#REF!</formula>
    </cfRule>
  </conditionalFormatting>
  <conditionalFormatting sqref="H82:H84">
    <cfRule type="cellIs" dxfId="2220" priority="85" stopIfTrue="1" operator="lessThanOrEqual">
      <formula>0</formula>
    </cfRule>
  </conditionalFormatting>
  <conditionalFormatting sqref="H83:H84">
    <cfRule type="cellIs" dxfId="2219" priority="125" stopIfTrue="1" operator="lessThanOrEqual">
      <formula>0</formula>
    </cfRule>
    <cfRule type="cellIs" dxfId="2218" priority="124" stopIfTrue="1" operator="greaterThan">
      <formula>$F$90</formula>
    </cfRule>
    <cfRule type="cellIs" dxfId="2217" priority="122" stopIfTrue="1" operator="greaterThan">
      <formula>$F$92</formula>
    </cfRule>
    <cfRule type="cellIs" dxfId="2216" priority="114" stopIfTrue="1" operator="greaterThan">
      <formula>$F$89</formula>
    </cfRule>
    <cfRule type="cellIs" dxfId="2215" priority="123" stopIfTrue="1" operator="lessThanOrEqual">
      <formula>0</formula>
    </cfRule>
  </conditionalFormatting>
  <conditionalFormatting sqref="H85">
    <cfRule type="cellIs" dxfId="2214" priority="155" stopIfTrue="1" operator="greaterThan">
      <formula>$F$82</formula>
    </cfRule>
    <cfRule type="cellIs" dxfId="2213" priority="156" stopIfTrue="1" operator="lessThanOrEqual">
      <formula>0</formula>
    </cfRule>
    <cfRule type="cellIs" dxfId="2212" priority="153" stopIfTrue="1" operator="greaterThan">
      <formula>$F$86</formula>
    </cfRule>
    <cfRule type="cellIs" dxfId="2211" priority="154" stopIfTrue="1" operator="lessThanOrEqual">
      <formula>0</formula>
    </cfRule>
  </conditionalFormatting>
  <conditionalFormatting sqref="H89:H96">
    <cfRule type="cellIs" dxfId="2210" priority="127" stopIfTrue="1" operator="lessThanOrEqual">
      <formula>0</formula>
    </cfRule>
    <cfRule type="cellIs" dxfId="2209" priority="126" stopIfTrue="1" operator="greaterThan">
      <formula>$J89</formula>
    </cfRule>
  </conditionalFormatting>
  <conditionalFormatting sqref="H97">
    <cfRule type="cellIs" dxfId="2208" priority="132" operator="greaterThan">
      <formula>5.3</formula>
    </cfRule>
  </conditionalFormatting>
  <conditionalFormatting sqref="H100 H102:H108">
    <cfRule type="cellIs" dxfId="2207" priority="177" stopIfTrue="1" operator="greaterThan">
      <formula>4.5</formula>
    </cfRule>
    <cfRule type="cellIs" dxfId="2206" priority="178" stopIfTrue="1" operator="lessThanOrEqual">
      <formula>0</formula>
    </cfRule>
  </conditionalFormatting>
  <conditionalFormatting sqref="H79:I79">
    <cfRule type="cellIs" dxfId="2205" priority="4" stopIfTrue="1" operator="lessThanOrEqual">
      <formula>0</formula>
    </cfRule>
    <cfRule type="cellIs" dxfId="2204" priority="1" stopIfTrue="1" operator="greaterThan">
      <formula>$F$55</formula>
    </cfRule>
  </conditionalFormatting>
  <conditionalFormatting sqref="H80:I80">
    <cfRule type="cellIs" dxfId="2203" priority="94" stopIfTrue="1" operator="lessThanOrEqual">
      <formula>0</formula>
    </cfRule>
    <cfRule type="cellIs" dxfId="2202" priority="91" stopIfTrue="1" operator="greaterThan">
      <formula>$F$90</formula>
    </cfRule>
  </conditionalFormatting>
  <conditionalFormatting sqref="H81:I81">
    <cfRule type="cellIs" dxfId="2201" priority="37" stopIfTrue="1" operator="lessThanOrEqual">
      <formula>0</formula>
    </cfRule>
    <cfRule type="cellIs" dxfId="2200" priority="34" stopIfTrue="1" operator="greaterThan">
      <formula>$F$74</formula>
    </cfRule>
  </conditionalFormatting>
  <conditionalFormatting sqref="H82:I82">
    <cfRule type="cellIs" dxfId="2199" priority="83" stopIfTrue="1" operator="lessThanOrEqual">
      <formula>0</formula>
    </cfRule>
    <cfRule type="cellIs" dxfId="2198" priority="82" stopIfTrue="1" operator="greaterThan">
      <formula>#REF!</formula>
    </cfRule>
    <cfRule type="cellIs" dxfId="2197" priority="74" stopIfTrue="1" operator="greaterThan">
      <formula>#REF!</formula>
    </cfRule>
    <cfRule type="cellIs" dxfId="2196" priority="77" stopIfTrue="1" operator="lessThanOrEqual">
      <formula>0</formula>
    </cfRule>
  </conditionalFormatting>
  <conditionalFormatting sqref="H83:I83">
    <cfRule type="cellIs" dxfId="2195" priority="115" stopIfTrue="1" operator="lessThanOrEqual">
      <formula>0</formula>
    </cfRule>
  </conditionalFormatting>
  <conditionalFormatting sqref="H83:I84">
    <cfRule type="cellIs" dxfId="2194" priority="72" stopIfTrue="1" operator="greaterThan">
      <formula>$F$91</formula>
    </cfRule>
  </conditionalFormatting>
  <conditionalFormatting sqref="H84:I84">
    <cfRule type="cellIs" dxfId="2193" priority="73" stopIfTrue="1" operator="lessThanOrEqual">
      <formula>0</formula>
    </cfRule>
  </conditionalFormatting>
  <conditionalFormatting sqref="I10:I14">
    <cfRule type="cellIs" dxfId="2192" priority="49" operator="lessThan">
      <formula>97.8</formula>
    </cfRule>
  </conditionalFormatting>
  <conditionalFormatting sqref="I10:I47">
    <cfRule type="cellIs" dxfId="2191" priority="21" operator="lessThan">
      <formula>98</formula>
    </cfRule>
  </conditionalFormatting>
  <conditionalFormatting sqref="I33:I46">
    <cfRule type="cellIs" dxfId="2190" priority="22" operator="lessThan">
      <formula>97.8</formula>
    </cfRule>
  </conditionalFormatting>
  <conditionalFormatting sqref="I79">
    <cfRule type="cellIs" dxfId="2189" priority="5" stopIfTrue="1" operator="greaterThan">
      <formula>$F$53</formula>
    </cfRule>
    <cfRule type="cellIs" dxfId="2188" priority="6" stopIfTrue="1" operator="lessThanOrEqual">
      <formula>0</formula>
    </cfRule>
    <cfRule type="cellIs" dxfId="2187" priority="7" stopIfTrue="1" operator="greaterThan">
      <formula>$F$55</formula>
    </cfRule>
    <cfRule type="cellIs" dxfId="2186" priority="8" stopIfTrue="1" operator="lessThanOrEqual">
      <formula>0</formula>
    </cfRule>
    <cfRule type="cellIs" dxfId="2185" priority="9" stopIfTrue="1" operator="greaterThan">
      <formula>$F$53</formula>
    </cfRule>
    <cfRule type="cellIs" dxfId="2184" priority="10" stopIfTrue="1" operator="lessThanOrEqual">
      <formula>0</formula>
    </cfRule>
  </conditionalFormatting>
  <conditionalFormatting sqref="I80">
    <cfRule type="cellIs" dxfId="2183" priority="99" stopIfTrue="1" operator="greaterThan">
      <formula>$F$88</formula>
    </cfRule>
    <cfRule type="cellIs" dxfId="2182" priority="97" stopIfTrue="1" operator="greaterThan">
      <formula>$F$90</formula>
    </cfRule>
    <cfRule type="cellIs" dxfId="2181" priority="96" stopIfTrue="1" operator="lessThanOrEqual">
      <formula>0</formula>
    </cfRule>
    <cfRule type="cellIs" dxfId="2180" priority="95" stopIfTrue="1" operator="greaterThan">
      <formula>$F$88</formula>
    </cfRule>
    <cfRule type="cellIs" dxfId="2179" priority="100" stopIfTrue="1" operator="lessThanOrEqual">
      <formula>0</formula>
    </cfRule>
    <cfRule type="cellIs" dxfId="2178" priority="98" stopIfTrue="1" operator="lessThanOrEqual">
      <formula>0</formula>
    </cfRule>
  </conditionalFormatting>
  <conditionalFormatting sqref="I81">
    <cfRule type="cellIs" dxfId="2177" priority="43" stopIfTrue="1" operator="lessThanOrEqual">
      <formula>0</formula>
    </cfRule>
    <cfRule type="cellIs" dxfId="2176" priority="42" stopIfTrue="1" operator="greaterThan">
      <formula>$F$72</formula>
    </cfRule>
    <cfRule type="cellIs" dxfId="2175" priority="41" stopIfTrue="1" operator="lessThanOrEqual">
      <formula>0</formula>
    </cfRule>
    <cfRule type="cellIs" dxfId="2174" priority="40" stopIfTrue="1" operator="greaterThan">
      <formula>$F$74</formula>
    </cfRule>
    <cfRule type="cellIs" dxfId="2173" priority="39" stopIfTrue="1" operator="lessThanOrEqual">
      <formula>0</formula>
    </cfRule>
    <cfRule type="cellIs" dxfId="2172" priority="38" stopIfTrue="1" operator="greaterThan">
      <formula>$F$72</formula>
    </cfRule>
  </conditionalFormatting>
  <conditionalFormatting sqref="I82">
    <cfRule type="cellIs" dxfId="2171" priority="80" stopIfTrue="1" operator="greaterThan">
      <formula>#REF!</formula>
    </cfRule>
    <cfRule type="cellIs" dxfId="2170" priority="79" stopIfTrue="1" operator="lessThanOrEqual">
      <formula>0</formula>
    </cfRule>
    <cfRule type="cellIs" dxfId="2169" priority="78" stopIfTrue="1" operator="greaterThan">
      <formula>#REF!</formula>
    </cfRule>
    <cfRule type="cellIs" dxfId="2168" priority="81" stopIfTrue="1" operator="lessThanOrEqual">
      <formula>0</formula>
    </cfRule>
  </conditionalFormatting>
  <conditionalFormatting sqref="I83:I84">
    <cfRule type="cellIs" dxfId="2167" priority="118" stopIfTrue="1" operator="greaterThan">
      <formula>$F$91</formula>
    </cfRule>
    <cfRule type="cellIs" dxfId="2166" priority="116" stopIfTrue="1" operator="greaterThan">
      <formula>$F$89</formula>
    </cfRule>
    <cfRule type="cellIs" dxfId="2165" priority="117" stopIfTrue="1" operator="lessThanOrEqual">
      <formula>0</formula>
    </cfRule>
    <cfRule type="cellIs" dxfId="2164" priority="119" stopIfTrue="1" operator="lessThanOrEqual">
      <formula>0</formula>
    </cfRule>
    <cfRule type="cellIs" dxfId="2163" priority="120" stopIfTrue="1" operator="greaterThan">
      <formula>$F$89</formula>
    </cfRule>
    <cfRule type="cellIs" dxfId="2162" priority="121" stopIfTrue="1" operator="lessThanOrEqual">
      <formula>0</formula>
    </cfRule>
  </conditionalFormatting>
  <conditionalFormatting sqref="I89:I97">
    <cfRule type="cellIs" dxfId="2161" priority="133" stopIfTrue="1" operator="greaterThan">
      <formula>$J89</formula>
    </cfRule>
    <cfRule type="cellIs" dxfId="2160" priority="134" stopIfTrue="1" operator="lessThanOrEqual">
      <formula>0</formula>
    </cfRule>
  </conditionalFormatting>
  <conditionalFormatting sqref="I100:I108">
    <cfRule type="cellIs" dxfId="2159" priority="173" stopIfTrue="1" operator="greaterThan">
      <formula>4.5</formula>
    </cfRule>
    <cfRule type="cellIs" dxfId="2158" priority="174" stopIfTrue="1" operator="lessThanOrEqual">
      <formula>0</formula>
    </cfRule>
  </conditionalFormatting>
  <conditionalFormatting sqref="J10:J14">
    <cfRule type="cellIs" dxfId="2157" priority="51" operator="notBetween">
      <formula>98</formula>
      <formula>99.9</formula>
    </cfRule>
  </conditionalFormatting>
  <conditionalFormatting sqref="J10:J47">
    <cfRule type="cellIs" dxfId="2156" priority="20" operator="lessThan">
      <formula>97.4</formula>
    </cfRule>
  </conditionalFormatting>
  <conditionalFormatting sqref="J33:J46">
    <cfRule type="cellIs" dxfId="2155" priority="24" operator="notBetween">
      <formula>98</formula>
      <formula>99.9</formula>
    </cfRule>
  </conditionalFormatting>
  <conditionalFormatting sqref="J50:J52">
    <cfRule type="cellIs" dxfId="2154" priority="108" stopIfTrue="1" operator="greaterThan">
      <formula>100</formula>
    </cfRule>
    <cfRule type="cellIs" dxfId="2153" priority="109" operator="lessThan">
      <formula>98</formula>
    </cfRule>
    <cfRule type="cellIs" dxfId="2152" priority="107" stopIfTrue="1" operator="lessThan">
      <formula>96.8</formula>
    </cfRule>
  </conditionalFormatting>
  <conditionalFormatting sqref="J50:J54">
    <cfRule type="cellIs" dxfId="2151" priority="48" operator="lessThan">
      <formula>97.4</formula>
    </cfRule>
  </conditionalFormatting>
  <conditionalFormatting sqref="J55 L59:M59 L61:M61">
    <cfRule type="cellIs" dxfId="2150" priority="110" operator="lessThan">
      <formula>98</formula>
    </cfRule>
  </conditionalFormatting>
  <conditionalFormatting sqref="J56:J57">
    <cfRule type="cellIs" dxfId="2149" priority="111" stopIfTrue="1" operator="lessThan">
      <formula>96.8</formula>
    </cfRule>
    <cfRule type="cellIs" dxfId="2148" priority="112" stopIfTrue="1" operator="greaterThan">
      <formula>100</formula>
    </cfRule>
  </conditionalFormatting>
  <conditionalFormatting sqref="J56:J58">
    <cfRule type="cellIs" dxfId="2147" priority="113" operator="lessThan">
      <formula>98</formula>
    </cfRule>
  </conditionalFormatting>
  <conditionalFormatting sqref="K10:K14">
    <cfRule type="cellIs" dxfId="2146" priority="50" operator="greaterThan">
      <formula>6.4</formula>
    </cfRule>
  </conditionalFormatting>
  <conditionalFormatting sqref="K10:K47">
    <cfRule type="cellIs" dxfId="2145" priority="17" operator="lessThan">
      <formula>4</formula>
    </cfRule>
    <cfRule type="cellIs" dxfId="2144" priority="16" operator="greaterThan">
      <formula>6</formula>
    </cfRule>
  </conditionalFormatting>
  <conditionalFormatting sqref="K33:K46">
    <cfRule type="cellIs" dxfId="2143" priority="23" operator="greaterThan">
      <formula>6.4</formula>
    </cfRule>
  </conditionalFormatting>
  <conditionalFormatting sqref="K64:K73">
    <cfRule type="cellIs" dxfId="2142" priority="141" operator="notEqual">
      <formula>#REF!</formula>
    </cfRule>
  </conditionalFormatting>
  <conditionalFormatting sqref="K79:K84 J85:K85 L89:N89 K90:N97">
    <cfRule type="cellIs" dxfId="2141" priority="152" stopIfTrue="1" operator="lessThan">
      <formula>100%</formula>
    </cfRule>
  </conditionalFormatting>
  <conditionalFormatting sqref="K100:K105">
    <cfRule type="cellIs" dxfId="2140" priority="179" stopIfTrue="1" operator="lessThan">
      <formula>100%</formula>
    </cfRule>
  </conditionalFormatting>
  <conditionalFormatting sqref="K107:K108">
    <cfRule type="cellIs" dxfId="2139" priority="186" stopIfTrue="1" operator="lessThan">
      <formula>100%</formula>
    </cfRule>
  </conditionalFormatting>
  <conditionalFormatting sqref="L10:L47">
    <cfRule type="cellIs" dxfId="2138" priority="19" operator="greaterThan">
      <formula>65</formula>
    </cfRule>
    <cfRule type="cellIs" dxfId="2137" priority="18" operator="between">
      <formula>61</formula>
      <formula>65</formula>
    </cfRule>
  </conditionalFormatting>
  <conditionalFormatting sqref="L52:L58">
    <cfRule type="cellIs" dxfId="2136" priority="88" operator="lessThan">
      <formula>98</formula>
    </cfRule>
  </conditionalFormatting>
  <conditionalFormatting sqref="L65:N65">
    <cfRule type="cellIs" dxfId="2135" priority="87" operator="notEqual">
      <formula>#REF!</formula>
    </cfRule>
  </conditionalFormatting>
  <conditionalFormatting sqref="L100:N108">
    <cfRule type="cellIs" dxfId="2134" priority="164" stopIfTrue="1" operator="lessThan">
      <formula>100%</formula>
    </cfRule>
  </conditionalFormatting>
  <conditionalFormatting sqref="M10:M11">
    <cfRule type="expression" dxfId="2133" priority="65">
      <formula>IF(+(IF(M10&lt;V23,0,IF(M10&gt;W23,0,1)))=0,1)</formula>
    </cfRule>
  </conditionalFormatting>
  <conditionalFormatting sqref="M13">
    <cfRule type="expression" dxfId="2132" priority="58">
      <formula>IF(+(IF(M13&lt;V47,0,IF(M13&gt;W47,0,1)))=0,1)</formula>
    </cfRule>
    <cfRule type="expression" dxfId="2131" priority="57">
      <formula>IF(+(IF(M13&lt;V52,0,IF(M13&gt;W52,0,1)))=0,1)</formula>
    </cfRule>
  </conditionalFormatting>
  <conditionalFormatting sqref="M14">
    <cfRule type="expression" dxfId="2130" priority="199">
      <formula>IF(+(IF(M14&lt;V27,0,IF(M14&gt;W27,0,1)))=0,1)</formula>
    </cfRule>
  </conditionalFormatting>
  <conditionalFormatting sqref="M15:M32">
    <cfRule type="expression" dxfId="2129" priority="210">
      <formula>IF(+(IF(M15&lt;V62,0,IF(M15&gt;W62,0,1)))=0,1)</formula>
    </cfRule>
  </conditionalFormatting>
  <conditionalFormatting sqref="M33:M46">
    <cfRule type="expression" dxfId="2128" priority="31">
      <formula>IF(+(IF(M33&lt;V48,0,IF(M33&gt;W48,0,1)))=0,1)</formula>
    </cfRule>
    <cfRule type="expression" dxfId="2127" priority="30">
      <formula>IF(+(IF(M33&lt;V53,0,IF(M33&gt;W53,0,1)))=0,1)</formula>
    </cfRule>
  </conditionalFormatting>
  <conditionalFormatting sqref="M50:M58">
    <cfRule type="cellIs" dxfId="2126" priority="86" operator="lessThan">
      <formula>98</formula>
    </cfRule>
  </conditionalFormatting>
  <conditionalFormatting sqref="M10:N12">
    <cfRule type="expression" dxfId="2125" priority="66">
      <formula>IF(+(IF(M10&lt;#REF!,0,IF(M10&gt;#REF!,0,1)))=0,1)</formula>
    </cfRule>
  </conditionalFormatting>
  <conditionalFormatting sqref="M14:N14">
    <cfRule type="expression" dxfId="2124" priority="200">
      <formula>IF(+(IF(M14&lt;#REF!,0,IF(M14&gt;#REF!,0,1)))=0,1)</formula>
    </cfRule>
  </conditionalFormatting>
  <conditionalFormatting sqref="M47:N47">
    <cfRule type="expression" dxfId="2123" priority="194">
      <formula>IF(+(IF(M47&lt;#REF!,0,IF(M47&gt;#REF!,0,1)))=0,1)</formula>
    </cfRule>
  </conditionalFormatting>
  <conditionalFormatting sqref="N10:N11">
    <cfRule type="expression" dxfId="2122" priority="67">
      <formula>IF(+(IF(N10&lt;X23,0,IF(N10&gt;Y23,0,1)))=0,1)</formula>
    </cfRule>
  </conditionalFormatting>
  <conditionalFormatting sqref="N13">
    <cfRule type="expression" dxfId="2121" priority="60">
      <formula>IF(+(IF(N13&lt;X47,0,IF(N13&gt;Y47,0,1)))=0,1)</formula>
    </cfRule>
    <cfRule type="expression" dxfId="2120" priority="59">
      <formula>IF(+(IF(N13&lt;X52,0,IF(N13&gt;Y52,0,1)))=0,1)</formula>
    </cfRule>
  </conditionalFormatting>
  <conditionalFormatting sqref="N14">
    <cfRule type="expression" dxfId="2119" priority="203">
      <formula>IF(+(IF(N14&lt;X27,0,IF(N14&gt;Y27,0,1)))=0,1)</formula>
    </cfRule>
  </conditionalFormatting>
  <conditionalFormatting sqref="N15:N32">
    <cfRule type="expression" dxfId="2118" priority="211">
      <formula>IF(+(IF(N15&lt;X62,0,IF(N15&gt;Y62,0,1)))=0,1)</formula>
    </cfRule>
  </conditionalFormatting>
  <conditionalFormatting sqref="N33:N46">
    <cfRule type="expression" dxfId="2117" priority="33">
      <formula>IF(+(IF(N33&lt;X48,0,IF(N33&gt;Y48,0,1)))=0,1)</formula>
    </cfRule>
    <cfRule type="expression" dxfId="2116" priority="32">
      <formula>IF(+(IF(N33&lt;X53,0,IF(N33&gt;Y53,0,1)))=0,1)</formula>
    </cfRule>
  </conditionalFormatting>
  <conditionalFormatting sqref="P6">
    <cfRule type="cellIs" dxfId="2115" priority="160" operator="greaterThanOrEqual">
      <formula>19</formula>
    </cfRule>
  </conditionalFormatting>
  <dataValidations count="1">
    <dataValidation type="list" allowBlank="1" showInputMessage="1" showErrorMessage="1" sqref="S8 B13 B15:B47" xr:uid="{0829AB47-947B-4730-ADDD-DF3E14D3F471}">
      <formula1>ProductList</formula1>
    </dataValidation>
  </dataValidations>
  <pageMargins left="0.7" right="0.7" top="0.75" bottom="0.75" header="0.3" footer="0.3"/>
  <pageSetup scale="46" fitToWidth="0" orientation="landscape" r:id="rId1"/>
  <rowBreaks count="1" manualBreakCount="1">
    <brk id="102" max="16383" man="1"/>
  </rowBreaks>
  <colBreaks count="1" manualBreakCount="1">
    <brk id="15" max="89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0EC56-4DCA-44D3-9CE2-61E46565ECF3}">
  <sheetPr>
    <pageSetUpPr fitToPage="1"/>
  </sheetPr>
  <dimension ref="A1:BE79"/>
  <sheetViews>
    <sheetView zoomScale="85" zoomScaleNormal="85" workbookViewId="0">
      <selection activeCell="B11" sqref="B11:O11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54" t="s">
        <v>0</v>
      </c>
      <c r="T1" s="554"/>
      <c r="U1" s="554" t="s">
        <v>1</v>
      </c>
      <c r="V1" s="554"/>
      <c r="W1" s="554" t="s">
        <v>2</v>
      </c>
      <c r="X1" s="554"/>
      <c r="Y1" s="554" t="s">
        <v>124</v>
      </c>
      <c r="Z1" s="554"/>
    </row>
    <row r="2" spans="2:29" ht="15">
      <c r="B2" s="555" t="s">
        <v>3</v>
      </c>
      <c r="C2" s="555"/>
      <c r="D2" s="555"/>
      <c r="E2" s="555"/>
      <c r="F2" s="555"/>
      <c r="G2" s="555"/>
      <c r="H2" s="555"/>
      <c r="I2" s="555"/>
      <c r="J2" s="555"/>
      <c r="K2" s="555"/>
      <c r="L2" s="555"/>
      <c r="M2" s="555"/>
      <c r="N2" s="555"/>
      <c r="O2" s="555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46297</v>
      </c>
      <c r="J4" s="397" t="s">
        <v>153</v>
      </c>
      <c r="K4" s="397"/>
      <c r="L4" s="11"/>
      <c r="M4" s="552" t="s">
        <v>8</v>
      </c>
      <c r="N4" s="553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42"/>
      <c r="D5" s="542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6" t="s">
        <v>17</v>
      </c>
      <c r="C8" s="517" t="s">
        <v>18</v>
      </c>
      <c r="D8" s="517" t="s">
        <v>19</v>
      </c>
      <c r="E8" s="356" t="s">
        <v>20</v>
      </c>
      <c r="F8" s="356" t="s">
        <v>21</v>
      </c>
      <c r="G8" s="517" t="s">
        <v>22</v>
      </c>
      <c r="H8" s="544" t="s">
        <v>144</v>
      </c>
      <c r="I8" s="517" t="s">
        <v>167</v>
      </c>
      <c r="J8" s="546" t="s">
        <v>23</v>
      </c>
      <c r="K8" s="548" t="s">
        <v>142</v>
      </c>
      <c r="L8" s="550" t="s">
        <v>24</v>
      </c>
      <c r="M8" s="359" t="s">
        <v>25</v>
      </c>
      <c r="N8" s="17" t="s">
        <v>166</v>
      </c>
      <c r="O8" s="517" t="s">
        <v>155</v>
      </c>
      <c r="P8" s="540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3"/>
      <c r="C9" s="541"/>
      <c r="D9" s="541"/>
      <c r="E9" s="357" t="s">
        <v>30</v>
      </c>
      <c r="F9" s="357" t="s">
        <v>31</v>
      </c>
      <c r="G9" s="541"/>
      <c r="H9" s="545"/>
      <c r="I9" s="541"/>
      <c r="J9" s="547"/>
      <c r="K9" s="549"/>
      <c r="L9" s="551"/>
      <c r="M9" s="20" t="s">
        <v>32</v>
      </c>
      <c r="N9" s="21" t="s">
        <v>41</v>
      </c>
      <c r="O9" s="541"/>
      <c r="P9" s="541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33" t="s">
        <v>9</v>
      </c>
      <c r="C10" s="366" t="str">
        <f>[3]Brewhouse!$A390</f>
        <v>ST331</v>
      </c>
      <c r="D10" s="279">
        <f>[3]Brewhouse!$AB390</f>
        <v>53.1</v>
      </c>
      <c r="E10" s="279">
        <f>[3]Brewhouse!$AG390</f>
        <v>49.3</v>
      </c>
      <c r="F10" s="278">
        <f>[3]Brewhouse!$V390</f>
        <v>65</v>
      </c>
      <c r="G10" s="279">
        <f>[3]Brewhouse!$AE390</f>
        <v>11.9</v>
      </c>
      <c r="H10" s="396">
        <v>12</v>
      </c>
      <c r="I10" s="368">
        <f>[3]Brewhouse!$AS390</f>
        <v>98.847023873347482</v>
      </c>
      <c r="J10" s="368">
        <f>[3]Brewhouse!$AT390</f>
        <v>99.485547628646145</v>
      </c>
      <c r="K10" s="281">
        <f>[3]Brewhouse!$Q390</f>
        <v>11.064030131826742</v>
      </c>
      <c r="L10" s="276">
        <f>[3]Brewhouse!$P390</f>
        <v>57</v>
      </c>
      <c r="M10" s="374">
        <f>[3]Brewhouse!$U390-[3]Brewhouse!$T390</f>
        <v>0.12430555555555556</v>
      </c>
      <c r="N10" s="370">
        <f>[3]Brewhouse!$AW390</f>
        <v>0.26597222222222222</v>
      </c>
      <c r="O10" s="419" t="str">
        <f>[3]Brewhouse!$AV390</f>
        <v>R. Regis</v>
      </c>
      <c r="P10" s="417"/>
      <c r="R10" s="277" t="str">
        <f t="shared" ref="R10" si="0">B10</f>
        <v>STAG</v>
      </c>
      <c r="S10" s="471">
        <f t="shared" ref="S10:S30" si="1">VLOOKUP($B10,$R$3:$X$9,2,FALSE)</f>
        <v>11.6</v>
      </c>
      <c r="T10" s="471">
        <f t="shared" ref="T10:T30" si="2">VLOOKUP($B10,$R$3:$X$9,3,FALSE)</f>
        <v>12</v>
      </c>
      <c r="U10" s="297">
        <f t="shared" ref="U10:U30" si="3">VLOOKUP($B10,$R$3:$X$9,4,FALSE)</f>
        <v>0</v>
      </c>
      <c r="V10" s="297">
        <f t="shared" ref="V10:V30" si="4">VLOOKUP($B10,$R$3:$X$9,5,FALSE)</f>
        <v>0.118055555555556</v>
      </c>
      <c r="W10" s="297">
        <f t="shared" ref="W10:W30" si="5">VLOOKUP($B10,$R$3:$X$9,6,FALSE)</f>
        <v>0.22569444444444445</v>
      </c>
      <c r="X10" s="297">
        <f t="shared" ref="X10:X30" si="6">VLOOKUP($B10,$R$3:$X$9,7,FALSE)</f>
        <v>0.2638888888888889</v>
      </c>
      <c r="Y10" s="297">
        <f t="shared" ref="Y10:Y30" si="7">VLOOKUP($B10,$R$3:$Z$9,8,FALSE)</f>
        <v>0</v>
      </c>
      <c r="Z10" s="471">
        <f t="shared" ref="Z10:Z30" si="8">VLOOKUP($B10,$R$3:$Z$9,9,FALSE)</f>
        <v>60</v>
      </c>
    </row>
    <row r="11" spans="2:29" ht="15" customHeight="1">
      <c r="B11" s="33" t="s">
        <v>9</v>
      </c>
      <c r="C11" s="366" t="str">
        <f>[3]Brewhouse!$A391</f>
        <v>ST332</v>
      </c>
      <c r="D11" s="279">
        <f>[3]Brewhouse!$AB391</f>
        <v>53.1</v>
      </c>
      <c r="E11" s="279">
        <f>[3]Brewhouse!$AG391</f>
        <v>50.4</v>
      </c>
      <c r="F11" s="278">
        <f>[3]Brewhouse!$V391</f>
        <v>60</v>
      </c>
      <c r="G11" s="279">
        <f>[3]Brewhouse!$AE391</f>
        <v>11.7</v>
      </c>
      <c r="H11" s="396">
        <v>11.8</v>
      </c>
      <c r="I11" s="368">
        <f>[3]Brewhouse!$AS391</f>
        <v>99.266868267130036</v>
      </c>
      <c r="J11" s="368">
        <f>[3]Brewhouse!$AT391</f>
        <v>99.908104098204518</v>
      </c>
      <c r="K11" s="281">
        <f>[3]Brewhouse!$Q391</f>
        <v>8.9924670433144982</v>
      </c>
      <c r="L11" s="276">
        <f>[3]Brewhouse!$P391</f>
        <v>57</v>
      </c>
      <c r="M11" s="374">
        <f>[3]Brewhouse!$U391-[3]Brewhouse!$T391</f>
        <v>0.11388888888888882</v>
      </c>
      <c r="N11" s="370">
        <f>[3]Brewhouse!$AW391</f>
        <v>0.26111111111111107</v>
      </c>
      <c r="O11" s="419" t="str">
        <f>[3]Brewhouse!$AV391</f>
        <v>R. Regis</v>
      </c>
      <c r="P11" s="417"/>
      <c r="R11" s="277" t="str">
        <f t="shared" ref="R11:R30" si="9">B11</f>
        <v>STAG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33"/>
      <c r="C12" s="366"/>
      <c r="D12" s="279"/>
      <c r="E12" s="279"/>
      <c r="F12" s="278"/>
      <c r="G12" s="279"/>
      <c r="H12" s="396"/>
      <c r="I12" s="368"/>
      <c r="J12" s="368"/>
      <c r="K12" s="281"/>
      <c r="L12" s="276"/>
      <c r="M12" s="374"/>
      <c r="N12" s="370"/>
      <c r="O12" s="419"/>
      <c r="P12" s="417"/>
      <c r="R12" s="277">
        <f t="shared" si="9"/>
        <v>0</v>
      </c>
      <c r="S12" s="471" t="e">
        <f t="shared" si="1"/>
        <v>#N/A</v>
      </c>
      <c r="T12" s="471" t="e">
        <f t="shared" si="2"/>
        <v>#N/A</v>
      </c>
      <c r="U12" s="297" t="e">
        <f t="shared" si="3"/>
        <v>#N/A</v>
      </c>
      <c r="V12" s="297" t="e">
        <f t="shared" si="4"/>
        <v>#N/A</v>
      </c>
      <c r="W12" s="297" t="e">
        <f t="shared" si="5"/>
        <v>#N/A</v>
      </c>
      <c r="X12" s="297" t="e">
        <f t="shared" si="6"/>
        <v>#N/A</v>
      </c>
      <c r="Y12" s="297" t="e">
        <f t="shared" si="7"/>
        <v>#N/A</v>
      </c>
      <c r="Z12" s="471" t="e">
        <f t="shared" si="8"/>
        <v>#N/A</v>
      </c>
    </row>
    <row r="13" spans="2:29" ht="15" customHeight="1">
      <c r="B13" s="29" t="s">
        <v>6</v>
      </c>
      <c r="C13" s="366" t="str">
        <f>[4]Brewhouse!$A789</f>
        <v>CA739</v>
      </c>
      <c r="D13" s="279">
        <f>[4]Brewhouse!$AF789</f>
        <v>47.4</v>
      </c>
      <c r="E13" s="279">
        <f>[4]Brewhouse!$AI789</f>
        <v>47.9</v>
      </c>
      <c r="F13" s="278">
        <f>[4]Brewhouse!$V789</f>
        <v>55</v>
      </c>
      <c r="G13" s="279">
        <f>[4]Brewhouse!AG789</f>
        <v>11.8</v>
      </c>
      <c r="H13" s="490">
        <v>12.2</v>
      </c>
      <c r="I13" s="368">
        <f>[4]Brewhouse!$AU789</f>
        <v>94.056577044182816</v>
      </c>
      <c r="J13" s="368">
        <f>[4]Brewhouse!$AV789</f>
        <v>94.785536062602233</v>
      </c>
      <c r="K13" s="281">
        <f>[4]Brewhouse!$Q789</f>
        <v>15.037037037037033</v>
      </c>
      <c r="L13" s="276">
        <f>[4]Brewhouse!$P789</f>
        <v>63</v>
      </c>
      <c r="M13" s="374">
        <f>[4]Brewhouse!$U789-[4]Brewhouse!$T789</f>
        <v>0.1118055555555556</v>
      </c>
      <c r="N13" s="370">
        <f>[4]Brewhouse!$Z789</f>
        <v>0.24861111111111112</v>
      </c>
      <c r="O13" s="419" t="str">
        <f>[4]Brewhouse!$AX789</f>
        <v>R. Sookram</v>
      </c>
      <c r="P13" s="417"/>
      <c r="R13" s="277" t="str">
        <f t="shared" si="9"/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 t="s">
        <v>6</v>
      </c>
      <c r="C14" s="366" t="str">
        <f>[4]Brewhouse!$A790</f>
        <v>CA740</v>
      </c>
      <c r="D14" s="279">
        <f>[4]Brewhouse!$AF790</f>
        <v>49.8</v>
      </c>
      <c r="E14" s="279">
        <f>[4]Brewhouse!$AI790</f>
        <v>50.3</v>
      </c>
      <c r="F14" s="278">
        <f>[4]Brewhouse!$V790</f>
        <v>55</v>
      </c>
      <c r="G14" s="279">
        <f>[4]Brewhouse!AG790</f>
        <v>11.9</v>
      </c>
      <c r="H14" s="490">
        <v>12.2</v>
      </c>
      <c r="I14" s="368">
        <f>[4]Brewhouse!$AU790</f>
        <v>99.034024996783444</v>
      </c>
      <c r="J14" s="368">
        <f>[4]Brewhouse!$AV790</f>
        <v>99.801812518911376</v>
      </c>
      <c r="K14" s="281">
        <f>[4]Brewhouse!$Q790</f>
        <v>12.074074074074066</v>
      </c>
      <c r="L14" s="276">
        <f>[4]Brewhouse!$P790</f>
        <v>61</v>
      </c>
      <c r="M14" s="374">
        <f>[4]Brewhouse!$U790-[4]Brewhouse!$T790</f>
        <v>0.10972222222222228</v>
      </c>
      <c r="N14" s="370">
        <f>[4]Brewhouse!$Z790</f>
        <v>0.24305555555555558</v>
      </c>
      <c r="O14" s="419" t="str">
        <f>[4]Brewhouse!$AX790</f>
        <v>K. Benjamin</v>
      </c>
      <c r="P14" s="417"/>
      <c r="R14" s="277" t="str">
        <f t="shared" si="9"/>
        <v>CARIB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29" t="s">
        <v>6</v>
      </c>
      <c r="C15" s="366" t="str">
        <f>[4]Brewhouse!$A791</f>
        <v>CA741</v>
      </c>
      <c r="D15" s="279">
        <f>[4]Brewhouse!$AF791</f>
        <v>48.5</v>
      </c>
      <c r="E15" s="279">
        <f>[4]Brewhouse!$AI791</f>
        <v>49.1</v>
      </c>
      <c r="F15" s="278">
        <f>[4]Brewhouse!$V791</f>
        <v>58</v>
      </c>
      <c r="G15" s="279">
        <f>[4]Brewhouse!AG791</f>
        <v>11.8</v>
      </c>
      <c r="H15" s="396">
        <v>11.9</v>
      </c>
      <c r="I15" s="368">
        <f>[4]Brewhouse!$AU791</f>
        <v>96.894771830654662</v>
      </c>
      <c r="J15" s="368">
        <f>[4]Brewhouse!$AV791</f>
        <v>97.645527862092081</v>
      </c>
      <c r="K15" s="281">
        <f>[4]Brewhouse!$Q791</f>
        <v>12.259259259259254</v>
      </c>
      <c r="L15" s="276">
        <f>[4]Brewhouse!$P791</f>
        <v>60</v>
      </c>
      <c r="M15" s="374">
        <f>[4]Brewhouse!$U791-[4]Brewhouse!$T791</f>
        <v>0.11250000000000004</v>
      </c>
      <c r="N15" s="370">
        <f>[4]Brewhouse!$Z791</f>
        <v>0.24513888888888891</v>
      </c>
      <c r="O15" s="419" t="str">
        <f>[4]Brewhouse!$AX791</f>
        <v>K. Benjamin</v>
      </c>
      <c r="P15" s="417"/>
      <c r="R15" s="277" t="str">
        <f t="shared" si="9"/>
        <v>CARIB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29" t="s">
        <v>6</v>
      </c>
      <c r="C16" s="366" t="str">
        <f>[4]Brewhouse!$A792</f>
        <v>CA742</v>
      </c>
      <c r="D16" s="279">
        <f>[4]Brewhouse!$AF792</f>
        <v>51.2</v>
      </c>
      <c r="E16" s="279">
        <f>[4]Brewhouse!$AI792</f>
        <v>51.7</v>
      </c>
      <c r="F16" s="278">
        <f>[4]Brewhouse!$V792</f>
        <v>64</v>
      </c>
      <c r="G16" s="279">
        <f>[4]Brewhouse!AG792</f>
        <v>11.6</v>
      </c>
      <c r="H16" s="396">
        <v>12</v>
      </c>
      <c r="I16" s="368">
        <f>[4]Brewhouse!$AU792</f>
        <v>99.461062893244474</v>
      </c>
      <c r="J16" s="368">
        <f>[4]Brewhouse!$AV792</f>
        <v>100.23200954727312</v>
      </c>
      <c r="K16" s="281">
        <f>[4]Brewhouse!$Q792</f>
        <v>10.573012939001845</v>
      </c>
      <c r="L16" s="276">
        <f>[4]Brewhouse!$P792</f>
        <v>60</v>
      </c>
      <c r="M16" s="374">
        <f>[4]Brewhouse!$U792-[4]Brewhouse!$T792</f>
        <v>0.11458333333333326</v>
      </c>
      <c r="N16" s="370">
        <f>[4]Brewhouse!$Z792</f>
        <v>0.24236111111111103</v>
      </c>
      <c r="O16" s="419" t="str">
        <f>[4]Brewhouse!$AX792</f>
        <v>K. Benjamin</v>
      </c>
      <c r="P16" s="417"/>
      <c r="R16" s="277" t="str">
        <f t="shared" si="9"/>
        <v>CARIB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6" ht="15" customHeight="1">
      <c r="B17" s="29" t="s">
        <v>6</v>
      </c>
      <c r="C17" s="366" t="str">
        <f>[4]Brewhouse!$A793</f>
        <v>CA743</v>
      </c>
      <c r="D17" s="279">
        <f>[4]Brewhouse!$AF793</f>
        <v>50.4</v>
      </c>
      <c r="E17" s="279">
        <f>[4]Brewhouse!$AI793</f>
        <v>50.3</v>
      </c>
      <c r="F17" s="278">
        <f>[4]Brewhouse!$V793</f>
        <v>59</v>
      </c>
      <c r="G17" s="279">
        <f>[4]Brewhouse!AG793</f>
        <v>11.7</v>
      </c>
      <c r="H17" s="396">
        <v>11.7</v>
      </c>
      <c r="I17" s="368">
        <f>[4]Brewhouse!$AU793</f>
        <v>98.010640304902878</v>
      </c>
      <c r="J17" s="368">
        <f>[4]Brewhouse!$AV793</f>
        <v>98.770193886926663</v>
      </c>
      <c r="K17" s="281">
        <f>[4]Brewhouse!$Q793</f>
        <v>10.388170055452859</v>
      </c>
      <c r="L17" s="276">
        <f>[4]Brewhouse!$P793</f>
        <v>60</v>
      </c>
      <c r="M17" s="492"/>
      <c r="N17" s="492"/>
      <c r="O17" s="419" t="str">
        <f>[4]Brewhouse!$AX793</f>
        <v>K. Benjamin</v>
      </c>
      <c r="P17" s="417"/>
      <c r="R17" s="277" t="str">
        <f t="shared" si="9"/>
        <v>CARIB</v>
      </c>
      <c r="S17" s="471">
        <f t="shared" si="1"/>
        <v>11.6</v>
      </c>
      <c r="T17" s="471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1">
        <f t="shared" si="8"/>
        <v>60</v>
      </c>
    </row>
    <row r="18" spans="1:26" ht="15" customHeight="1">
      <c r="B18" s="29"/>
      <c r="C18" s="366"/>
      <c r="D18" s="279"/>
      <c r="E18" s="279"/>
      <c r="F18" s="278"/>
      <c r="G18" s="279"/>
      <c r="H18" s="490"/>
      <c r="I18" s="368"/>
      <c r="J18" s="368"/>
      <c r="K18" s="281"/>
      <c r="L18" s="276"/>
      <c r="M18" s="374"/>
      <c r="N18" s="370"/>
      <c r="O18" s="419"/>
      <c r="P18" s="417"/>
      <c r="R18" s="277">
        <f t="shared" si="9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6" ht="15" customHeight="1">
      <c r="B19" s="33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19"/>
      <c r="P19" s="417"/>
      <c r="R19" s="277">
        <f t="shared" si="9"/>
        <v>0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6" ht="15" hidden="1" customHeight="1">
      <c r="B20" s="33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19"/>
      <c r="P20" s="417"/>
      <c r="R20" s="277">
        <f t="shared" si="9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6" ht="15" hidden="1" customHeight="1">
      <c r="B21" s="33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19"/>
      <c r="P21" s="417"/>
      <c r="R21" s="277">
        <f t="shared" si="9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6" ht="15" hidden="1" customHeight="1">
      <c r="B22" s="33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19"/>
      <c r="P22" s="417"/>
      <c r="R22" s="277">
        <f t="shared" si="9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6" ht="15" hidden="1" customHeight="1">
      <c r="B23" s="33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19"/>
      <c r="P23" s="417"/>
      <c r="R23" s="277">
        <f t="shared" si="9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6" ht="15" hidden="1" customHeight="1">
      <c r="B24" s="29"/>
      <c r="C24" s="366"/>
      <c r="D24" s="279"/>
      <c r="E24" s="279"/>
      <c r="F24" s="278"/>
      <c r="G24" s="279"/>
      <c r="H24" s="396"/>
      <c r="I24" s="368"/>
      <c r="J24" s="368"/>
      <c r="K24" s="281"/>
      <c r="L24" s="276"/>
      <c r="M24" s="374"/>
      <c r="N24" s="370"/>
      <c r="O24" s="419"/>
      <c r="P24" s="417"/>
      <c r="R24" s="277">
        <f t="shared" si="9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1:26" ht="15" hidden="1" customHeight="1">
      <c r="B25" s="36"/>
      <c r="C25" s="366"/>
      <c r="D25" s="279"/>
      <c r="E25" s="279"/>
      <c r="F25" s="278"/>
      <c r="G25" s="279"/>
      <c r="H25" s="396"/>
      <c r="I25" s="487"/>
      <c r="J25" s="487"/>
      <c r="K25" s="488"/>
      <c r="L25" s="276"/>
      <c r="M25" s="374"/>
      <c r="N25" s="370"/>
      <c r="O25" s="419"/>
      <c r="P25" s="417"/>
      <c r="R25" s="277">
        <f t="shared" si="9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6" ht="17.25" customHeight="1" thickBot="1">
      <c r="B26" s="358"/>
      <c r="C26" s="358"/>
      <c r="D26" s="358"/>
      <c r="E26" s="358"/>
      <c r="F26" s="294"/>
      <c r="G26" s="294"/>
      <c r="H26" s="348"/>
      <c r="I26" s="566"/>
      <c r="J26" s="566"/>
      <c r="K26" s="566"/>
      <c r="L26" s="566"/>
      <c r="M26" s="566"/>
      <c r="N26" s="566"/>
      <c r="O26" s="1"/>
      <c r="P26" s="12"/>
      <c r="R26" s="277">
        <f t="shared" si="9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6" ht="17.25" customHeight="1" thickBot="1">
      <c r="B27" s="482" t="s">
        <v>162</v>
      </c>
      <c r="C27" s="388"/>
      <c r="D27" s="535" t="s">
        <v>35</v>
      </c>
      <c r="E27" s="536"/>
      <c r="F27" s="294"/>
      <c r="G27" s="294"/>
      <c r="H27" s="348"/>
      <c r="I27" s="24" t="s">
        <v>17</v>
      </c>
      <c r="J27" s="25"/>
      <c r="K27" s="26" t="s">
        <v>138</v>
      </c>
      <c r="L27" s="25" t="s">
        <v>37</v>
      </c>
      <c r="M27" s="25" t="s">
        <v>38</v>
      </c>
      <c r="N27" s="27" t="s">
        <v>39</v>
      </c>
      <c r="O27" s="294"/>
      <c r="P27" s="12"/>
      <c r="R27" s="277" t="str">
        <f t="shared" si="9"/>
        <v xml:space="preserve">BRAND 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6" ht="17.25" customHeight="1">
      <c r="A28" s="28"/>
      <c r="B28" s="588"/>
      <c r="C28" s="483"/>
      <c r="D28" s="522"/>
      <c r="E28" s="523"/>
      <c r="F28" s="294"/>
      <c r="G28" s="294"/>
      <c r="H28" s="348"/>
      <c r="I28" s="29" t="s">
        <v>6</v>
      </c>
      <c r="J28" s="323">
        <f>AVERAGE(I13:I17)</f>
        <v>97.491415413953661</v>
      </c>
      <c r="K28" s="284">
        <f>COUNTA([4]Brewhouse!$A$789:$A$793)</f>
        <v>5</v>
      </c>
      <c r="L28" s="305">
        <f>AVERAGE([4]Brewhouse!$AU$789:$AU$793)</f>
        <v>97.491415413953661</v>
      </c>
      <c r="M28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,[4]Brewhouse!$AU$789:$AU$793)</f>
        <v>98.325659418051686</v>
      </c>
      <c r="N28" s="30">
        <v>98</v>
      </c>
      <c r="O28" s="11"/>
      <c r="P28" s="31"/>
      <c r="R28" s="277">
        <f t="shared" si="9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1:26" ht="15" customHeight="1">
      <c r="A29" s="28"/>
      <c r="B29" s="568"/>
      <c r="C29" s="362"/>
      <c r="D29" s="524"/>
      <c r="E29" s="525"/>
      <c r="F29" s="294"/>
      <c r="G29" s="294"/>
      <c r="H29" s="348"/>
      <c r="I29" s="33" t="s">
        <v>9</v>
      </c>
      <c r="J29" s="323">
        <f>AVERAGE(I10:I11)</f>
        <v>99.056946070238752</v>
      </c>
      <c r="K29" s="284">
        <f>COUNTA([3]Brewhouse!$A$390:$A$391)</f>
        <v>2</v>
      </c>
      <c r="L29" s="302">
        <f>AVERAGE([3]Brewhouse!$AS$390:$AS$391)</f>
        <v>99.056946070238752</v>
      </c>
      <c r="M29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$388,[3]Brewhouse!$AS$390:$AS$391)</f>
        <v>98.311229916038556</v>
      </c>
      <c r="N29" s="30">
        <v>98</v>
      </c>
      <c r="O29" s="11"/>
      <c r="P29" s="31"/>
      <c r="R29" s="277">
        <f t="shared" si="9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1:26" ht="14.65" customHeight="1">
      <c r="A30" s="28"/>
      <c r="B30" s="568"/>
      <c r="C30" s="362"/>
      <c r="D30" s="529"/>
      <c r="E30" s="530"/>
      <c r="F30" s="294"/>
      <c r="G30" s="294"/>
      <c r="H30" s="348"/>
      <c r="I30" s="34" t="s">
        <v>12</v>
      </c>
      <c r="J30" s="323"/>
      <c r="K30" s="284"/>
      <c r="L30" s="302"/>
      <c r="M30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30" s="30">
        <v>98</v>
      </c>
      <c r="O30" s="11"/>
      <c r="P30" s="31"/>
      <c r="R30" s="277">
        <f t="shared" si="9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1:26" ht="14.65" customHeight="1">
      <c r="A31" s="28"/>
      <c r="B31" s="568"/>
      <c r="C31" s="362"/>
      <c r="D31" s="531"/>
      <c r="E31" s="525"/>
      <c r="F31" s="294"/>
      <c r="G31" s="294"/>
      <c r="H31" s="348"/>
      <c r="I31" s="22" t="s">
        <v>33</v>
      </c>
      <c r="J31" s="280"/>
      <c r="K31" s="284"/>
      <c r="L31" s="302"/>
      <c r="M31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97.566635166530773</v>
      </c>
      <c r="N31" s="30">
        <v>98</v>
      </c>
      <c r="O31" s="11"/>
      <c r="P31" s="31"/>
      <c r="R31" s="277">
        <f t="shared" ref="R31:R39" si="10">B31</f>
        <v>0</v>
      </c>
      <c r="S31" s="471" t="e">
        <f t="shared" ref="S31:S39" si="11">VLOOKUP($B31,$R$3:$X$9,2,FALSE)</f>
        <v>#N/A</v>
      </c>
      <c r="T31" s="471" t="e">
        <f t="shared" ref="T31:T39" si="12">VLOOKUP($B31,$R$3:$X$9,3,FALSE)</f>
        <v>#N/A</v>
      </c>
      <c r="U31" s="297" t="e">
        <f t="shared" ref="U31:U39" si="13">VLOOKUP($B31,$R$3:$X$9,4,FALSE)</f>
        <v>#N/A</v>
      </c>
      <c r="V31" s="297" t="e">
        <f t="shared" ref="V31:V39" si="14">VLOOKUP($B31,$R$3:$X$9,5,FALSE)</f>
        <v>#N/A</v>
      </c>
      <c r="W31" s="297" t="e">
        <f t="shared" ref="W31:W39" si="15">VLOOKUP($B31,$R$3:$X$9,6,FALSE)</f>
        <v>#N/A</v>
      </c>
      <c r="X31" s="297" t="e">
        <f t="shared" ref="X31:X39" si="16">VLOOKUP($B31,$R$3:$X$9,7,FALSE)</f>
        <v>#N/A</v>
      </c>
      <c r="Y31" s="297" t="e">
        <f t="shared" ref="Y31:Y39" si="17">VLOOKUP($B31,$R$3:$Z$9,8,FALSE)</f>
        <v>#N/A</v>
      </c>
      <c r="Z31" s="471" t="e">
        <f t="shared" ref="Z31:Z39" si="18">VLOOKUP($B31,$R$3:$Z$9,9,FALSE)</f>
        <v>#N/A</v>
      </c>
    </row>
    <row r="32" spans="1:26" ht="14.65" customHeight="1">
      <c r="A32" s="28"/>
      <c r="B32" s="568"/>
      <c r="C32" s="362"/>
      <c r="D32" s="529"/>
      <c r="E32" s="530"/>
      <c r="F32" s="294"/>
      <c r="G32" s="294"/>
      <c r="H32" s="348"/>
      <c r="I32" s="35" t="s">
        <v>29</v>
      </c>
      <c r="J32" s="280"/>
      <c r="K32" s="284"/>
      <c r="L32" s="302"/>
      <c r="M32" s="302"/>
      <c r="N32" s="30">
        <v>98</v>
      </c>
      <c r="O32" s="11"/>
      <c r="P32" s="31"/>
      <c r="R32" s="277">
        <f t="shared" si="10"/>
        <v>0</v>
      </c>
      <c r="S32" s="471" t="e">
        <f t="shared" si="11"/>
        <v>#N/A</v>
      </c>
      <c r="T32" s="471" t="e">
        <f t="shared" si="12"/>
        <v>#N/A</v>
      </c>
      <c r="U32" s="297" t="e">
        <f t="shared" si="13"/>
        <v>#N/A</v>
      </c>
      <c r="V32" s="297" t="e">
        <f t="shared" si="14"/>
        <v>#N/A</v>
      </c>
      <c r="W32" s="297" t="e">
        <f t="shared" si="15"/>
        <v>#N/A</v>
      </c>
      <c r="X32" s="297" t="e">
        <f t="shared" si="16"/>
        <v>#N/A</v>
      </c>
      <c r="Y32" s="297" t="e">
        <f t="shared" si="17"/>
        <v>#N/A</v>
      </c>
      <c r="Z32" s="471" t="e">
        <f t="shared" si="18"/>
        <v>#N/A</v>
      </c>
    </row>
    <row r="33" spans="1:56" ht="14.65" customHeight="1">
      <c r="A33" s="28"/>
      <c r="B33" s="568"/>
      <c r="C33" s="362"/>
      <c r="D33" s="531"/>
      <c r="E33" s="525"/>
      <c r="F33" s="416"/>
      <c r="G33" s="294"/>
      <c r="H33" s="348"/>
      <c r="I33" s="36" t="s">
        <v>15</v>
      </c>
      <c r="J33" s="323"/>
      <c r="K33" s="284"/>
      <c r="L33" s="302"/>
      <c r="M33" s="302">
        <f>AVERAGE([7]Brewhouse!$AT$4:$AT$11,[7]Brewhouse!$AT$13:$AT$16,[7]Brewhouse!$AT$18:$AT$30)</f>
        <v>93.22262799886262</v>
      </c>
      <c r="N33" s="30">
        <v>98</v>
      </c>
      <c r="O33" s="11"/>
      <c r="P33" s="31"/>
      <c r="R33" s="277">
        <f t="shared" si="10"/>
        <v>0</v>
      </c>
      <c r="S33" s="471" t="e">
        <f t="shared" si="11"/>
        <v>#N/A</v>
      </c>
      <c r="T33" s="471" t="e">
        <f t="shared" si="12"/>
        <v>#N/A</v>
      </c>
      <c r="U33" s="297" t="e">
        <f t="shared" si="13"/>
        <v>#N/A</v>
      </c>
      <c r="V33" s="297" t="e">
        <f t="shared" si="14"/>
        <v>#N/A</v>
      </c>
      <c r="W33" s="297" t="e">
        <f t="shared" si="15"/>
        <v>#N/A</v>
      </c>
      <c r="X33" s="297" t="e">
        <f t="shared" si="16"/>
        <v>#N/A</v>
      </c>
      <c r="Y33" s="297" t="e">
        <f t="shared" si="17"/>
        <v>#N/A</v>
      </c>
      <c r="Z33" s="471" t="e">
        <f t="shared" si="18"/>
        <v>#N/A</v>
      </c>
    </row>
    <row r="34" spans="1:56" ht="14.65" customHeight="1">
      <c r="A34" s="28"/>
      <c r="B34" s="568"/>
      <c r="C34" s="362"/>
      <c r="D34" s="529"/>
      <c r="E34" s="530"/>
      <c r="F34" s="416"/>
      <c r="G34" s="294"/>
      <c r="H34" s="348"/>
      <c r="I34" s="37" t="s">
        <v>16</v>
      </c>
      <c r="J34" s="323"/>
      <c r="K34" s="284"/>
      <c r="L34" s="302"/>
      <c r="M34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97.792958274585203</v>
      </c>
      <c r="N34" s="30">
        <v>98</v>
      </c>
      <c r="O34" s="11"/>
      <c r="P34" s="31" t="s">
        <v>41</v>
      </c>
      <c r="R34" s="277">
        <f t="shared" si="10"/>
        <v>0</v>
      </c>
      <c r="S34" s="471" t="e">
        <f t="shared" si="11"/>
        <v>#N/A</v>
      </c>
      <c r="T34" s="471" t="e">
        <f t="shared" si="12"/>
        <v>#N/A</v>
      </c>
      <c r="U34" s="297" t="e">
        <f t="shared" si="13"/>
        <v>#N/A</v>
      </c>
      <c r="V34" s="297" t="e">
        <f t="shared" si="14"/>
        <v>#N/A</v>
      </c>
      <c r="W34" s="297" t="e">
        <f t="shared" si="15"/>
        <v>#N/A</v>
      </c>
      <c r="X34" s="297" t="e">
        <f t="shared" si="16"/>
        <v>#N/A</v>
      </c>
      <c r="Y34" s="297" t="e">
        <f t="shared" si="17"/>
        <v>#N/A</v>
      </c>
      <c r="Z34" s="471" t="e">
        <f t="shared" si="18"/>
        <v>#N/A</v>
      </c>
    </row>
    <row r="35" spans="1:56" ht="14.65" customHeight="1">
      <c r="A35" s="28"/>
      <c r="B35" s="568"/>
      <c r="C35" s="362"/>
      <c r="D35" s="531"/>
      <c r="E35" s="525"/>
      <c r="F35" s="294"/>
      <c r="G35" s="294"/>
      <c r="H35" s="348"/>
      <c r="I35" s="410" t="s">
        <v>158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10"/>
        <v>0</v>
      </c>
      <c r="S35" s="471" t="e">
        <f t="shared" si="11"/>
        <v>#N/A</v>
      </c>
      <c r="T35" s="471" t="e">
        <f t="shared" si="12"/>
        <v>#N/A</v>
      </c>
      <c r="U35" s="297" t="e">
        <f t="shared" si="13"/>
        <v>#N/A</v>
      </c>
      <c r="V35" s="297" t="e">
        <f t="shared" si="14"/>
        <v>#N/A</v>
      </c>
      <c r="W35" s="297" t="e">
        <f t="shared" si="15"/>
        <v>#N/A</v>
      </c>
      <c r="X35" s="297" t="e">
        <f t="shared" si="16"/>
        <v>#N/A</v>
      </c>
      <c r="Y35" s="297" t="e">
        <f t="shared" si="17"/>
        <v>#N/A</v>
      </c>
      <c r="Z35" s="471" t="e">
        <f t="shared" si="18"/>
        <v>#N/A</v>
      </c>
    </row>
    <row r="36" spans="1:56" ht="14.65" customHeight="1">
      <c r="A36" s="28"/>
      <c r="B36" s="568"/>
      <c r="C36" s="362"/>
      <c r="D36" s="529"/>
      <c r="E36" s="530"/>
      <c r="F36" s="294"/>
      <c r="G36" s="294"/>
      <c r="H36" s="348"/>
      <c r="I36" s="409" t="s">
        <v>157</v>
      </c>
      <c r="J36" s="326"/>
      <c r="K36" s="284"/>
      <c r="L36" s="305"/>
      <c r="M36" s="305"/>
      <c r="N36" s="30">
        <v>98</v>
      </c>
      <c r="O36" s="11"/>
      <c r="P36" s="31"/>
      <c r="R36" s="277">
        <f t="shared" si="10"/>
        <v>0</v>
      </c>
      <c r="S36" s="471" t="e">
        <f t="shared" si="11"/>
        <v>#N/A</v>
      </c>
      <c r="T36" s="471" t="e">
        <f t="shared" si="12"/>
        <v>#N/A</v>
      </c>
      <c r="U36" s="297" t="e">
        <f t="shared" si="13"/>
        <v>#N/A</v>
      </c>
      <c r="V36" s="297" t="e">
        <f t="shared" si="14"/>
        <v>#N/A</v>
      </c>
      <c r="W36" s="297" t="e">
        <f t="shared" si="15"/>
        <v>#N/A</v>
      </c>
      <c r="X36" s="297" t="e">
        <f t="shared" si="16"/>
        <v>#N/A</v>
      </c>
      <c r="Y36" s="297" t="e">
        <f t="shared" si="17"/>
        <v>#N/A</v>
      </c>
      <c r="Z36" s="471" t="e">
        <f t="shared" si="18"/>
        <v>#N/A</v>
      </c>
      <c r="AA36" s="471"/>
    </row>
    <row r="37" spans="1:56" ht="15" customHeight="1" thickBot="1">
      <c r="A37" s="28"/>
      <c r="B37" s="568"/>
      <c r="C37" s="362"/>
      <c r="D37" s="531"/>
      <c r="E37" s="525"/>
      <c r="F37" s="294"/>
      <c r="G37" s="294"/>
      <c r="H37" s="348"/>
      <c r="I37" s="405" t="s">
        <v>156</v>
      </c>
      <c r="J37" s="327"/>
      <c r="K37" s="406"/>
      <c r="L37" s="407"/>
      <c r="M37" s="407"/>
      <c r="N37" s="408">
        <v>98</v>
      </c>
      <c r="O37" s="11"/>
      <c r="P37" s="31"/>
      <c r="R37" s="277">
        <f t="shared" si="10"/>
        <v>0</v>
      </c>
      <c r="S37" s="471" t="e">
        <f t="shared" si="11"/>
        <v>#N/A</v>
      </c>
      <c r="T37" s="471" t="e">
        <f t="shared" si="12"/>
        <v>#N/A</v>
      </c>
      <c r="U37" s="297" t="e">
        <f t="shared" si="13"/>
        <v>#N/A</v>
      </c>
      <c r="V37" s="297" t="e">
        <f t="shared" si="14"/>
        <v>#N/A</v>
      </c>
      <c r="W37" s="297" t="e">
        <f t="shared" si="15"/>
        <v>#N/A</v>
      </c>
      <c r="X37" s="297" t="e">
        <f t="shared" si="16"/>
        <v>#N/A</v>
      </c>
      <c r="Y37" s="297" t="e">
        <f t="shared" si="17"/>
        <v>#N/A</v>
      </c>
      <c r="Z37" s="471" t="e">
        <f t="shared" si="18"/>
        <v>#N/A</v>
      </c>
      <c r="AA37" s="471"/>
    </row>
    <row r="38" spans="1:56" ht="15" customHeight="1" thickBot="1">
      <c r="A38" s="28"/>
      <c r="B38" s="568"/>
      <c r="C38" s="349"/>
      <c r="D38" s="522"/>
      <c r="E38" s="523"/>
      <c r="F38" s="294"/>
      <c r="G38" s="294"/>
      <c r="H38" s="348"/>
      <c r="I38" s="1"/>
      <c r="J38" s="39"/>
      <c r="K38" s="403">
        <f>SUM(K28:K37)</f>
        <v>7</v>
      </c>
      <c r="L38" s="404">
        <f>((L28*K28)+(L29*K29)+(L30*K30)+(L31*K31)+(L32*K32)+(K35*L35)+(L33*K33)+(L34*K34)+(L37*K37))/(K38)</f>
        <v>97.938709887177964</v>
      </c>
      <c r="M38" s="404">
        <f>AVERAGE('[9]Jan30th-31st'!$L$42,'[10]Feb 27th-28th'!$L$45,'[11]Mar 31st'!$L$42,'[12]Apr 30th'!$L$41,'[13]May 29th '!$L$35,'[14]June 30th'!$L$32,[15]July31st!$L$36,'[16]Aug 31st'!$L$32,L38)</f>
        <v>97.977815979789696</v>
      </c>
      <c r="N38" s="40">
        <v>98</v>
      </c>
      <c r="O38" s="11"/>
      <c r="P38" s="31"/>
      <c r="R38" s="277">
        <f t="shared" si="10"/>
        <v>0</v>
      </c>
      <c r="S38" s="471" t="e">
        <f t="shared" si="11"/>
        <v>#N/A</v>
      </c>
      <c r="T38" s="471" t="e">
        <f t="shared" si="12"/>
        <v>#N/A</v>
      </c>
      <c r="U38" s="297" t="e">
        <f t="shared" si="13"/>
        <v>#N/A</v>
      </c>
      <c r="V38" s="297" t="e">
        <f t="shared" si="14"/>
        <v>#N/A</v>
      </c>
      <c r="W38" s="297" t="e">
        <f t="shared" si="15"/>
        <v>#N/A</v>
      </c>
      <c r="X38" s="297" t="e">
        <f t="shared" si="16"/>
        <v>#N/A</v>
      </c>
      <c r="Y38" s="297" t="e">
        <f t="shared" si="17"/>
        <v>#N/A</v>
      </c>
      <c r="Z38" s="471" t="e">
        <f t="shared" si="18"/>
        <v>#N/A</v>
      </c>
      <c r="AA38" s="471"/>
    </row>
    <row r="39" spans="1:56" ht="15.75" thickBot="1">
      <c r="B39" s="589"/>
      <c r="C39" s="350"/>
      <c r="D39" s="524"/>
      <c r="E39" s="525"/>
      <c r="F39" s="294"/>
      <c r="G39" s="42"/>
      <c r="H39" s="41"/>
      <c r="I39" s="42"/>
      <c r="J39" s="42"/>
      <c r="K39" s="351"/>
      <c r="L39" s="348"/>
      <c r="M39" s="348"/>
      <c r="N39" s="11"/>
      <c r="O39" s="294"/>
      <c r="P39" s="12"/>
      <c r="R39" s="277">
        <f t="shared" si="10"/>
        <v>0</v>
      </c>
      <c r="S39" s="471" t="e">
        <f t="shared" si="11"/>
        <v>#N/A</v>
      </c>
      <c r="T39" s="471" t="e">
        <f t="shared" si="12"/>
        <v>#N/A</v>
      </c>
      <c r="U39" s="297" t="e">
        <f t="shared" si="13"/>
        <v>#N/A</v>
      </c>
      <c r="V39" s="297" t="e">
        <f t="shared" si="14"/>
        <v>#N/A</v>
      </c>
      <c r="W39" s="297" t="e">
        <f t="shared" si="15"/>
        <v>#N/A</v>
      </c>
      <c r="X39" s="297" t="e">
        <f t="shared" si="16"/>
        <v>#N/A</v>
      </c>
      <c r="Y39" s="297" t="e">
        <f t="shared" si="17"/>
        <v>#N/A</v>
      </c>
      <c r="Z39" s="471" t="e">
        <f t="shared" si="18"/>
        <v>#N/A</v>
      </c>
      <c r="AA39" s="471"/>
    </row>
    <row r="40" spans="1:56" ht="15.75" thickBot="1">
      <c r="B40" s="519"/>
      <c r="C40" s="362"/>
      <c r="D40" s="522"/>
      <c r="E40" s="523"/>
      <c r="F40" s="294"/>
      <c r="G40" s="42"/>
      <c r="H40" s="41"/>
      <c r="I40" s="42"/>
      <c r="J40" s="526" t="s">
        <v>129</v>
      </c>
      <c r="K40" s="526"/>
      <c r="L40" s="294"/>
      <c r="M40" s="294"/>
      <c r="N40" s="294"/>
      <c r="O40" s="294"/>
      <c r="P40" s="12"/>
    </row>
    <row r="41" spans="1:56" ht="15.75" thickBot="1">
      <c r="B41" s="520"/>
      <c r="C41" s="362"/>
      <c r="D41" s="524"/>
      <c r="E41" s="525"/>
      <c r="F41" s="294"/>
      <c r="G41" s="42"/>
      <c r="H41" s="42"/>
      <c r="I41" s="42"/>
      <c r="J41" s="292" t="s">
        <v>17</v>
      </c>
      <c r="K41" s="293"/>
      <c r="L41" s="527" t="s">
        <v>136</v>
      </c>
      <c r="M41" s="527"/>
      <c r="N41" s="528"/>
      <c r="O41" s="294"/>
      <c r="P41" s="12"/>
    </row>
    <row r="42" spans="1:56" ht="15" customHeight="1" thickBot="1">
      <c r="B42" s="520"/>
      <c r="C42" s="349"/>
      <c r="D42" s="529"/>
      <c r="E42" s="530"/>
      <c r="F42" s="294"/>
      <c r="G42" s="42"/>
      <c r="H42" s="42"/>
      <c r="I42" s="42"/>
      <c r="J42" s="287" t="s">
        <v>6</v>
      </c>
      <c r="K42" s="324">
        <v>5</v>
      </c>
      <c r="L42" s="472" t="s">
        <v>37</v>
      </c>
      <c r="M42" s="473" t="s">
        <v>38</v>
      </c>
      <c r="N42" s="473" t="s">
        <v>84</v>
      </c>
      <c r="O42" s="294"/>
      <c r="P42" s="12"/>
    </row>
    <row r="43" spans="1:56" ht="15.75" customHeight="1" thickBot="1">
      <c r="B43" s="520"/>
      <c r="C43" s="349"/>
      <c r="D43" s="531"/>
      <c r="E43" s="525"/>
      <c r="F43" s="294"/>
      <c r="G43" s="42"/>
      <c r="H43" s="42"/>
      <c r="I43" s="42"/>
      <c r="J43" s="345" t="s">
        <v>9</v>
      </c>
      <c r="K43" s="324">
        <v>2</v>
      </c>
      <c r="L43" s="484">
        <f>AVERAGE(K52)</f>
        <v>7</v>
      </c>
      <c r="M43" s="485">
        <f>AVERAGE('[9]Jan30th-31st'!$L$47,L43,'[10]Feb 26th '!$L$39,'[11]Mar 31st'!$L$47,'[12]Apr 30th'!$L$46,'[13]May 29th '!$L$40,'[14]June 30th'!$L$39,[15]July31st!$L$41,'[16]Aug 31st'!$L$37,'[17]Sept 30th'!$L$37)</f>
        <v>6.5735341470124071</v>
      </c>
      <c r="N43" s="415">
        <v>9.1999999999999993</v>
      </c>
      <c r="O43" s="294"/>
      <c r="P43" s="12"/>
    </row>
    <row r="44" spans="1:56" ht="15" customHeight="1">
      <c r="B44" s="520"/>
      <c r="C44" s="349"/>
      <c r="D44" s="529"/>
      <c r="E44" s="530"/>
      <c r="F44" s="294"/>
      <c r="G44" s="42"/>
      <c r="H44" s="42"/>
      <c r="I44" s="42"/>
      <c r="J44" s="288" t="s">
        <v>40</v>
      </c>
      <c r="K44" s="324"/>
      <c r="L44" s="294"/>
      <c r="M44" s="294"/>
      <c r="N44" s="294"/>
      <c r="O44" s="294"/>
      <c r="P44" s="12"/>
    </row>
    <row r="45" spans="1:56" ht="15" customHeight="1">
      <c r="B45" s="520"/>
      <c r="C45" s="349"/>
      <c r="D45" s="531"/>
      <c r="E45" s="525"/>
      <c r="F45" s="294"/>
      <c r="G45" s="42"/>
      <c r="H45" s="42"/>
      <c r="I45" s="42"/>
      <c r="J45" s="289" t="s">
        <v>33</v>
      </c>
      <c r="K45" s="324"/>
      <c r="L45" s="294"/>
      <c r="M45" s="294"/>
      <c r="N45" s="294"/>
      <c r="O45" s="294"/>
      <c r="P45" s="12"/>
    </row>
    <row r="46" spans="1:56" ht="15">
      <c r="B46" s="520"/>
      <c r="C46" s="349"/>
      <c r="D46" s="529"/>
      <c r="E46" s="530"/>
      <c r="F46" s="294"/>
      <c r="G46" s="42"/>
      <c r="H46" s="42"/>
      <c r="I46" s="42"/>
      <c r="J46" s="290" t="s">
        <v>16</v>
      </c>
      <c r="K46" s="324"/>
      <c r="L46" s="294"/>
      <c r="M46" s="294"/>
      <c r="N46" s="294"/>
      <c r="O46" s="294"/>
      <c r="P46" s="12"/>
      <c r="BC46" s="44"/>
      <c r="BD46" s="44"/>
    </row>
    <row r="47" spans="1:56" ht="15">
      <c r="B47" s="520"/>
      <c r="C47" s="349"/>
      <c r="D47" s="531"/>
      <c r="E47" s="525"/>
      <c r="F47" s="294"/>
      <c r="G47" s="42"/>
      <c r="H47" s="42"/>
      <c r="I47" s="42"/>
      <c r="J47" s="291" t="s">
        <v>15</v>
      </c>
      <c r="K47" s="324"/>
      <c r="L47" s="294"/>
      <c r="M47" s="294"/>
      <c r="N47" s="294"/>
      <c r="O47" s="294"/>
      <c r="P47" s="12"/>
      <c r="BC47" s="44"/>
      <c r="BD47" s="44"/>
    </row>
    <row r="48" spans="1:56" ht="15">
      <c r="B48" s="520"/>
      <c r="C48" s="349"/>
      <c r="D48" s="529"/>
      <c r="E48" s="530"/>
      <c r="F48" s="294"/>
      <c r="G48" s="42"/>
      <c r="H48" s="42"/>
      <c r="I48" s="42"/>
      <c r="J48" s="291" t="s">
        <v>149</v>
      </c>
      <c r="K48" s="324"/>
      <c r="L48" s="294"/>
      <c r="M48" s="294"/>
      <c r="N48" s="294"/>
      <c r="O48" s="294"/>
      <c r="P48" s="12"/>
      <c r="BC48" s="44"/>
      <c r="BD48" s="44"/>
    </row>
    <row r="49" spans="2:57" ht="15.75" thickBot="1">
      <c r="B49" s="521"/>
      <c r="C49" s="350"/>
      <c r="D49" s="532"/>
      <c r="E49" s="533"/>
      <c r="F49" s="294" t="s">
        <v>165</v>
      </c>
      <c r="G49" s="42"/>
      <c r="H49" s="42"/>
      <c r="I49" s="42"/>
      <c r="J49" s="291" t="s">
        <v>148</v>
      </c>
      <c r="K49" s="324"/>
      <c r="L49" s="294"/>
      <c r="M49" s="294"/>
      <c r="N49" s="294" t="s">
        <v>41</v>
      </c>
      <c r="O49" s="294"/>
      <c r="P49" s="12"/>
      <c r="BC49" s="44"/>
      <c r="BD49" s="44"/>
    </row>
    <row r="50" spans="2:57" ht="17.649999999999999" customHeight="1" thickBot="1">
      <c r="B50" s="312" t="s">
        <v>139</v>
      </c>
      <c r="C50" s="313"/>
      <c r="D50" s="512"/>
      <c r="E50" s="513"/>
      <c r="F50" s="294"/>
      <c r="J50" s="295" t="s">
        <v>134</v>
      </c>
      <c r="K50" s="324"/>
      <c r="L50" s="294"/>
      <c r="M50" s="294"/>
      <c r="N50" s="294"/>
      <c r="O50" s="294"/>
      <c r="P50" s="12"/>
      <c r="BC50" s="44"/>
      <c r="BD50" s="44"/>
    </row>
    <row r="51" spans="2:57" ht="17.649999999999999" customHeight="1">
      <c r="B51" s="363"/>
      <c r="C51" s="364"/>
      <c r="D51" s="365"/>
      <c r="E51" s="365"/>
      <c r="F51" s="294"/>
      <c r="G51" s="42"/>
      <c r="H51" s="42"/>
      <c r="I51" s="42"/>
      <c r="J51" s="295" t="s">
        <v>131</v>
      </c>
      <c r="K51" s="324"/>
      <c r="L51" s="294"/>
      <c r="M51" s="294"/>
      <c r="N51" s="294"/>
      <c r="O51" s="294"/>
      <c r="P51" s="12"/>
      <c r="BC51" s="44"/>
      <c r="BD51" s="44"/>
    </row>
    <row r="52" spans="2:57" ht="15.6" customHeight="1">
      <c r="B52" s="45"/>
      <c r="C52" s="11"/>
      <c r="D52" s="11"/>
      <c r="E52" s="46"/>
      <c r="F52" s="294"/>
      <c r="G52" s="42"/>
      <c r="H52" s="42"/>
      <c r="I52" s="42"/>
      <c r="J52" s="346" t="s">
        <v>130</v>
      </c>
      <c r="K52" s="324">
        <f>SUM(K42:K51)</f>
        <v>7</v>
      </c>
      <c r="L52" s="294"/>
      <c r="M52" s="294"/>
      <c r="N52" s="294"/>
      <c r="O52" s="294"/>
      <c r="P52" s="12"/>
    </row>
    <row r="53" spans="2:57" ht="20.25" customHeight="1">
      <c r="B53" s="15" t="s">
        <v>42</v>
      </c>
      <c r="C53" s="1" t="s">
        <v>43</v>
      </c>
      <c r="D53" s="1"/>
      <c r="E53" s="1"/>
      <c r="F53" s="294"/>
      <c r="G53" s="42"/>
      <c r="H53" s="41"/>
      <c r="I53" s="42"/>
      <c r="L53" s="42"/>
      <c r="N53" s="315"/>
      <c r="P53" s="334"/>
    </row>
    <row r="54" spans="2:57" ht="15" customHeight="1" thickBot="1"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1"/>
      <c r="O54" s="48"/>
      <c r="P54" s="49"/>
    </row>
    <row r="55" spans="2:57" ht="15" customHeight="1" thickBot="1">
      <c r="B55" s="504" t="s">
        <v>17</v>
      </c>
      <c r="C55" s="504" t="s">
        <v>44</v>
      </c>
      <c r="D55" s="515" t="s">
        <v>45</v>
      </c>
      <c r="E55" s="517" t="s">
        <v>46</v>
      </c>
      <c r="F55" s="510" t="s">
        <v>47</v>
      </c>
      <c r="G55" s="502" t="s">
        <v>48</v>
      </c>
      <c r="H55" s="504" t="s">
        <v>49</v>
      </c>
      <c r="I55" s="504" t="s">
        <v>50</v>
      </c>
      <c r="J55" s="496" t="s">
        <v>28</v>
      </c>
      <c r="K55" s="506" t="s">
        <v>51</v>
      </c>
      <c r="L55" s="508" t="s">
        <v>52</v>
      </c>
      <c r="M55" s="496" t="s">
        <v>53</v>
      </c>
      <c r="N55" s="13"/>
      <c r="O55" s="13"/>
      <c r="P55" s="50"/>
    </row>
    <row r="56" spans="2:57" ht="28.5" customHeight="1" thickTop="1" thickBot="1">
      <c r="B56" s="505"/>
      <c r="C56" s="514"/>
      <c r="D56" s="516"/>
      <c r="E56" s="518"/>
      <c r="F56" s="511"/>
      <c r="G56" s="503"/>
      <c r="H56" s="505"/>
      <c r="I56" s="505"/>
      <c r="J56" s="497"/>
      <c r="K56" s="507"/>
      <c r="L56" s="509"/>
      <c r="M56" s="497"/>
      <c r="N56" s="13"/>
      <c r="O56" s="13"/>
      <c r="P56" s="50"/>
      <c r="Q56" s="355"/>
      <c r="AB56" s="474">
        <v>43474</v>
      </c>
      <c r="AC56" s="474">
        <v>43475</v>
      </c>
      <c r="AD56" s="474">
        <v>43476</v>
      </c>
      <c r="AE56" s="474">
        <v>43477</v>
      </c>
      <c r="AF56" s="474">
        <v>43478</v>
      </c>
      <c r="AG56" s="474">
        <v>43479</v>
      </c>
      <c r="AH56" s="474">
        <v>43480</v>
      </c>
      <c r="AI56" s="474">
        <v>43481</v>
      </c>
      <c r="AJ56" s="474">
        <v>43482</v>
      </c>
      <c r="AK56" s="474">
        <v>43483</v>
      </c>
      <c r="AL56" s="474">
        <v>43484</v>
      </c>
      <c r="AM56" s="474">
        <v>43485</v>
      </c>
      <c r="AN56" s="474">
        <v>43486</v>
      </c>
      <c r="AO56" s="474">
        <v>43487</v>
      </c>
      <c r="AP56" s="474">
        <v>43488</v>
      </c>
      <c r="AQ56" s="474">
        <v>43489</v>
      </c>
      <c r="AR56" s="474">
        <v>43490</v>
      </c>
      <c r="AS56" s="474">
        <v>43491</v>
      </c>
      <c r="AT56" s="474">
        <v>43492</v>
      </c>
      <c r="AU56" s="474">
        <v>43493</v>
      </c>
      <c r="AV56" s="474">
        <v>43494</v>
      </c>
      <c r="AW56" s="474">
        <v>43495</v>
      </c>
      <c r="AX56" s="474">
        <v>43496</v>
      </c>
    </row>
    <row r="57" spans="2:57" s="54" customFormat="1" ht="36.75" customHeight="1" thickBot="1">
      <c r="B57" s="491" t="str">
        <f>J45</f>
        <v>VITAMALT</v>
      </c>
      <c r="C57" s="478">
        <v>46296</v>
      </c>
      <c r="D57" s="444">
        <f>[18]October_2026!$D$65</f>
        <v>383.05</v>
      </c>
      <c r="E57" s="442">
        <f>SUM([39]VITAMALT!$J$6:$J$13)</f>
        <v>16.399999999999999</v>
      </c>
      <c r="F57" s="443"/>
      <c r="G57" s="443">
        <f>[18]October_2026!$D$70</f>
        <v>389</v>
      </c>
      <c r="H57" s="457"/>
      <c r="I57" s="457"/>
      <c r="J57" s="447" t="s">
        <v>150</v>
      </c>
      <c r="K57" s="448">
        <f>[19]October_2026!$D$60</f>
        <v>1.3649122807017544</v>
      </c>
      <c r="L57" s="475">
        <f>(((D57+E57)-G57)/(D57+E57))*100</f>
        <v>2.6160971335586405</v>
      </c>
      <c r="M57" s="454" t="s">
        <v>171</v>
      </c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[20]January_2019!L5</f>
        <v>0</v>
      </c>
      <c r="AC57" s="57">
        <f>[20]January_2019!M5</f>
        <v>0</v>
      </c>
      <c r="AD57" s="57">
        <f>[20]January_2019!N5</f>
        <v>0</v>
      </c>
      <c r="AE57" s="57">
        <f>[20]January_2019!O5</f>
        <v>0</v>
      </c>
      <c r="AF57" s="57">
        <f>[20]January_2019!P5</f>
        <v>0</v>
      </c>
      <c r="AG57" s="57">
        <f>[20]January_2019!Q5</f>
        <v>0</v>
      </c>
      <c r="AH57" s="57">
        <f>[20]January_2019!R5</f>
        <v>0</v>
      </c>
      <c r="AI57" s="57">
        <f>[20]January_2019!S5</f>
        <v>0</v>
      </c>
      <c r="AJ57" s="57">
        <f>[20]January_2019!T5</f>
        <v>0</v>
      </c>
      <c r="AK57" s="57">
        <f>[20]January_2019!U5</f>
        <v>0</v>
      </c>
      <c r="AL57" s="57">
        <f>[20]January_2019!V5</f>
        <v>0</v>
      </c>
      <c r="AM57" s="57">
        <f>[20]January_2019!W5</f>
        <v>0</v>
      </c>
      <c r="AN57" s="57">
        <f>[20]January_2019!X5</f>
        <v>0</v>
      </c>
      <c r="AO57" s="57">
        <f>[20]January_2019!Y5</f>
        <v>0</v>
      </c>
      <c r="AP57" s="57">
        <f>[20]January_2019!Z5</f>
        <v>0</v>
      </c>
      <c r="AQ57" s="57">
        <f>[20]January_2019!AA5</f>
        <v>0</v>
      </c>
      <c r="AR57" s="57">
        <f>[20]January_2019!AB5</f>
        <v>0</v>
      </c>
      <c r="AS57" s="57">
        <f>[20]January_2019!AC5</f>
        <v>0</v>
      </c>
      <c r="AT57" s="57">
        <f>[20]January_2019!AD5</f>
        <v>0</v>
      </c>
      <c r="AU57" s="57">
        <f>[20]January_2019!AE5</f>
        <v>0</v>
      </c>
      <c r="AV57" s="57">
        <f>[20]January_2019!AF5</f>
        <v>0</v>
      </c>
      <c r="AW57" s="57">
        <f>[20]January_2019!AG5</f>
        <v>0</v>
      </c>
      <c r="AX57" s="277">
        <f>[20]January_2019!AH5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14.25" hidden="1" customHeight="1" thickBot="1">
      <c r="B58" s="479"/>
      <c r="C58" s="478"/>
      <c r="D58" s="441"/>
      <c r="E58" s="442"/>
      <c r="F58" s="443"/>
      <c r="G58" s="444"/>
      <c r="H58" s="457"/>
      <c r="I58" s="457"/>
      <c r="J58" s="475"/>
      <c r="K58" s="448"/>
      <c r="L58" s="456"/>
      <c r="M58" s="454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[20]January_2019!L6</f>
        <v>0</v>
      </c>
      <c r="AC58" s="57">
        <f>[20]January_2019!M6</f>
        <v>0</v>
      </c>
      <c r="AD58" s="57">
        <f>[20]January_2019!N6</f>
        <v>0</v>
      </c>
      <c r="AE58" s="57">
        <f>[20]January_2019!O6</f>
        <v>0</v>
      </c>
      <c r="AF58" s="57">
        <f>[20]January_2019!P6</f>
        <v>0</v>
      </c>
      <c r="AG58" s="57">
        <f>[20]January_2019!Q6</f>
        <v>0</v>
      </c>
      <c r="AH58" s="57">
        <f>[20]January_2019!R6</f>
        <v>0</v>
      </c>
      <c r="AI58" s="57">
        <f>[20]January_2019!S6</f>
        <v>0</v>
      </c>
      <c r="AJ58" s="57">
        <f>[20]January_2019!T6</f>
        <v>0</v>
      </c>
      <c r="AK58" s="57">
        <f>[20]January_2019!U6</f>
        <v>0</v>
      </c>
      <c r="AL58" s="57">
        <f>[20]January_2019!V6</f>
        <v>0</v>
      </c>
      <c r="AM58" s="57">
        <f>[20]January_2019!W6</f>
        <v>0</v>
      </c>
      <c r="AN58" s="57">
        <f>[20]January_2019!X6</f>
        <v>0</v>
      </c>
      <c r="AO58" s="57">
        <f>[20]January_2019!Y6</f>
        <v>0</v>
      </c>
      <c r="AP58" s="57">
        <f>[20]January_2019!Z6</f>
        <v>0</v>
      </c>
      <c r="AQ58" s="57">
        <f>[20]January_2019!AA6</f>
        <v>0</v>
      </c>
      <c r="AR58" s="57">
        <f>[20]January_2019!AB6</f>
        <v>0</v>
      </c>
      <c r="AS58" s="57">
        <f>[20]January_2019!AC6</f>
        <v>0</v>
      </c>
      <c r="AT58" s="57">
        <f>[20]January_2019!AD6</f>
        <v>0</v>
      </c>
      <c r="AU58" s="57">
        <f>[20]January_2019!AE6</f>
        <v>0</v>
      </c>
      <c r="AV58" s="57">
        <f>[20]January_2019!AF6</f>
        <v>0</v>
      </c>
      <c r="AW58" s="57">
        <f>[20]January_2019!AG6</f>
        <v>0</v>
      </c>
      <c r="AX58" s="277">
        <f>[20]January_2019!AH6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9" t="str">
        <f>J43</f>
        <v>STAG</v>
      </c>
      <c r="C59" s="478">
        <v>46287</v>
      </c>
      <c r="D59" s="441">
        <f>[18]September_2026!$Y$13</f>
        <v>190.70000000000002</v>
      </c>
      <c r="E59" s="442"/>
      <c r="F59" s="443"/>
      <c r="G59" s="443">
        <f>[18]September_2026!$Y$17</f>
        <v>184.3</v>
      </c>
      <c r="H59" s="445"/>
      <c r="I59" s="445"/>
      <c r="J59" s="447" t="s">
        <v>169</v>
      </c>
      <c r="K59" s="448">
        <f>[19]September_2026!$Y$25</f>
        <v>0.64666666666666672</v>
      </c>
      <c r="L59" s="456">
        <f>(((D59+E59)-G59)/(D59+E59))*100</f>
        <v>3.3560566334556925</v>
      </c>
      <c r="M59" s="454" t="s">
        <v>170</v>
      </c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>
        <f>[20]January_2019!L7</f>
        <v>285.8</v>
      </c>
      <c r="AC59" s="57">
        <f>[20]January_2019!M7</f>
        <v>508.1</v>
      </c>
      <c r="AD59" s="57">
        <f>[20]January_2019!N7</f>
        <v>0</v>
      </c>
      <c r="AE59" s="57">
        <f>[20]January_2019!O7</f>
        <v>0</v>
      </c>
      <c r="AF59" s="57">
        <f>[20]January_2019!P7</f>
        <v>109.56666666666666</v>
      </c>
      <c r="AG59" s="57">
        <f>[20]January_2019!Q7</f>
        <v>297.64999999999998</v>
      </c>
      <c r="AH59" s="57">
        <f>[20]January_2019!R7</f>
        <v>122.3</v>
      </c>
      <c r="AI59" s="57">
        <f>[20]January_2019!S7</f>
        <v>0</v>
      </c>
      <c r="AJ59" s="57">
        <f>[20]January_2019!T7</f>
        <v>294.7</v>
      </c>
      <c r="AK59" s="57">
        <f>[20]January_2019!U7</f>
        <v>280.5</v>
      </c>
      <c r="AL59" s="57">
        <f>[20]January_2019!V7</f>
        <v>0</v>
      </c>
      <c r="AM59" s="57">
        <f>[20]January_2019!W7</f>
        <v>0</v>
      </c>
      <c r="AN59" s="57">
        <f>[20]January_2019!X7</f>
        <v>188.25</v>
      </c>
      <c r="AO59" s="57">
        <f>[20]January_2019!Y7</f>
        <v>295.7</v>
      </c>
      <c r="AP59" s="57">
        <f>[20]January_2019!Z7</f>
        <v>257.8</v>
      </c>
      <c r="AQ59" s="57">
        <f>[20]January_2019!AA7</f>
        <v>291.2</v>
      </c>
      <c r="AR59" s="57">
        <f>[20]January_2019!AB7</f>
        <v>187</v>
      </c>
      <c r="AS59" s="57">
        <f>[20]January_2019!AC7</f>
        <v>0</v>
      </c>
      <c r="AT59" s="57">
        <f>[20]January_2019!AD7</f>
        <v>0</v>
      </c>
      <c r="AU59" s="57">
        <f>[20]January_2019!AE7</f>
        <v>485.1</v>
      </c>
      <c r="AV59" s="57">
        <f>[20]January_2019!AF7</f>
        <v>171.55</v>
      </c>
      <c r="AW59" s="57">
        <f>[20]January_2019!AG7</f>
        <v>423.8</v>
      </c>
      <c r="AX59" s="277">
        <f>[20]January_2019!AH7</f>
        <v>0</v>
      </c>
      <c r="AY59" s="277"/>
      <c r="AZ59" s="277"/>
      <c r="BA59" s="277"/>
      <c r="BB59" s="277"/>
      <c r="BC59" s="277"/>
      <c r="BD59" s="277"/>
      <c r="BE59" s="277"/>
    </row>
    <row r="60" spans="2:57" s="54" customFormat="1" ht="18.600000000000001" hidden="1" customHeight="1" thickBot="1">
      <c r="B60" s="477"/>
      <c r="C60" s="429"/>
      <c r="D60" s="430"/>
      <c r="E60" s="431"/>
      <c r="F60" s="432"/>
      <c r="G60" s="433"/>
      <c r="H60" s="457"/>
      <c r="I60" s="457"/>
      <c r="J60" s="450"/>
      <c r="K60" s="435"/>
      <c r="L60" s="451"/>
      <c r="M60" s="420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8.65" hidden="1" customHeight="1" thickBot="1">
      <c r="B61" s="486"/>
      <c r="C61" s="478"/>
      <c r="D61" s="441"/>
      <c r="E61" s="442"/>
      <c r="F61" s="443"/>
      <c r="G61" s="444"/>
      <c r="H61" s="457"/>
      <c r="I61" s="457"/>
      <c r="J61" s="447"/>
      <c r="K61" s="458"/>
      <c r="L61" s="456"/>
      <c r="M61" s="454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15" hidden="1">
      <c r="B62" s="452"/>
      <c r="C62" s="429"/>
      <c r="D62" s="430"/>
      <c r="E62" s="431"/>
      <c r="F62" s="432"/>
      <c r="G62" s="433"/>
      <c r="H62" s="434"/>
      <c r="I62" s="449"/>
      <c r="J62" s="450"/>
      <c r="K62" s="435"/>
      <c r="L62" s="451"/>
      <c r="M62" s="42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37.15" hidden="1" customHeight="1" thickBot="1">
      <c r="B63" s="480"/>
      <c r="C63" s="478"/>
      <c r="D63" s="441"/>
      <c r="E63" s="442"/>
      <c r="F63" s="443"/>
      <c r="G63" s="444"/>
      <c r="H63" s="445"/>
      <c r="I63" s="446"/>
      <c r="J63" s="447"/>
      <c r="K63" s="448"/>
      <c r="L63" s="456"/>
      <c r="M63" s="45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s="54" customFormat="1" ht="16.5" hidden="1" customHeight="1" thickBot="1">
      <c r="B64" s="436"/>
      <c r="C64" s="422"/>
      <c r="D64" s="423"/>
      <c r="E64" s="424"/>
      <c r="F64" s="425"/>
      <c r="G64" s="426"/>
      <c r="H64" s="427"/>
      <c r="I64" s="437"/>
      <c r="J64" s="438"/>
      <c r="K64" s="428"/>
      <c r="L64" s="439"/>
      <c r="M64" s="421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414"/>
      <c r="AC64" s="414"/>
      <c r="AD64" s="414"/>
      <c r="AE64" s="414"/>
      <c r="AF64" s="414"/>
      <c r="AG64" s="414"/>
      <c r="AH64" s="414"/>
      <c r="AI64" s="414"/>
      <c r="AJ64" s="414"/>
      <c r="AK64" s="414"/>
      <c r="AL64" s="414"/>
      <c r="AM64" s="414"/>
      <c r="AN64" s="414"/>
      <c r="AO64" s="414"/>
      <c r="AP64" s="414"/>
      <c r="AQ64" s="414"/>
      <c r="AR64" s="414"/>
      <c r="AS64" s="414"/>
      <c r="AT64" s="414"/>
      <c r="AU64" s="414"/>
      <c r="AV64" s="414"/>
      <c r="AW64" s="414"/>
    </row>
    <row r="65" spans="2:57" s="54" customFormat="1" ht="37.15" hidden="1" customHeight="1" thickBot="1">
      <c r="B65" s="455"/>
      <c r="C65" s="440"/>
      <c r="D65" s="441"/>
      <c r="E65" s="442"/>
      <c r="F65" s="443"/>
      <c r="G65" s="444"/>
      <c r="H65" s="445"/>
      <c r="I65" s="446"/>
      <c r="J65" s="447"/>
      <c r="K65" s="448"/>
      <c r="L65" s="456"/>
      <c r="M65" s="453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s="54" customFormat="1" ht="37.15" customHeight="1">
      <c r="B66" s="465"/>
      <c r="C66" s="429"/>
      <c r="D66" s="459"/>
      <c r="E66" s="460"/>
      <c r="F66" s="461"/>
      <c r="G66" s="459"/>
      <c r="H66" s="462"/>
      <c r="I66" s="462"/>
      <c r="J66" s="462"/>
      <c r="K66" s="463"/>
      <c r="L66" s="464"/>
      <c r="M66" s="50"/>
      <c r="N66" s="13"/>
      <c r="O66" s="13"/>
      <c r="P66" s="50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277"/>
      <c r="AY66" s="277"/>
      <c r="AZ66" s="277"/>
      <c r="BA66" s="277"/>
      <c r="BB66" s="277"/>
      <c r="BC66" s="277"/>
      <c r="BD66" s="277"/>
      <c r="BE66" s="277"/>
    </row>
    <row r="67" spans="2:57" ht="18" customHeight="1" thickBot="1">
      <c r="B67" s="59"/>
      <c r="C67" s="30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 t="s">
        <v>41</v>
      </c>
      <c r="O67" s="56"/>
      <c r="P67" s="60"/>
    </row>
    <row r="68" spans="2:57" ht="15.75" thickBot="1">
      <c r="B68" s="498" t="s">
        <v>55</v>
      </c>
      <c r="C68" s="499"/>
      <c r="D68" s="499"/>
      <c r="E68" s="499"/>
      <c r="F68" s="500"/>
      <c r="G68" s="498" t="s">
        <v>56</v>
      </c>
      <c r="H68" s="499"/>
      <c r="I68" s="499"/>
      <c r="J68" s="500"/>
      <c r="K68" s="498" t="s">
        <v>51</v>
      </c>
      <c r="L68" s="499"/>
      <c r="M68" s="499"/>
      <c r="N68" s="501"/>
      <c r="O68" s="56"/>
      <c r="P68" s="50"/>
    </row>
    <row r="69" spans="2:57" ht="15">
      <c r="B69" s="61" t="s">
        <v>17</v>
      </c>
      <c r="C69" s="62" t="s">
        <v>36</v>
      </c>
      <c r="D69" s="62" t="s">
        <v>37</v>
      </c>
      <c r="E69" s="62" t="s">
        <v>38</v>
      </c>
      <c r="F69" s="63" t="s">
        <v>39</v>
      </c>
      <c r="G69" s="62" t="s">
        <v>36</v>
      </c>
      <c r="H69" s="62" t="s">
        <v>37</v>
      </c>
      <c r="I69" s="62" t="s">
        <v>38</v>
      </c>
      <c r="J69" s="63" t="s">
        <v>39</v>
      </c>
      <c r="K69" s="62" t="s">
        <v>36</v>
      </c>
      <c r="L69" s="62" t="s">
        <v>37</v>
      </c>
      <c r="M69" s="62" t="s">
        <v>38</v>
      </c>
      <c r="N69" s="63" t="s">
        <v>39</v>
      </c>
      <c r="O69" s="56"/>
      <c r="P69" s="64"/>
    </row>
    <row r="70" spans="2:57" ht="15">
      <c r="B70" s="29" t="s">
        <v>6</v>
      </c>
      <c r="C70" s="65"/>
      <c r="D70" s="76"/>
      <c r="E70" s="76">
        <v>6.4321307508289749</v>
      </c>
      <c r="F70" s="66">
        <v>4.8</v>
      </c>
      <c r="G70" s="65"/>
      <c r="H70" s="476"/>
      <c r="I70" s="476">
        <v>6.5257109935981328</v>
      </c>
      <c r="J70" s="66">
        <v>4.8</v>
      </c>
      <c r="K70" s="67"/>
      <c r="L70" s="194"/>
      <c r="M70" s="194">
        <v>0.53908627189124969</v>
      </c>
      <c r="N70" s="68">
        <v>1</v>
      </c>
      <c r="O70" s="56"/>
      <c r="P70" s="69"/>
    </row>
    <row r="71" spans="2:57" ht="15">
      <c r="B71" s="33" t="s">
        <v>9</v>
      </c>
      <c r="C71" s="65"/>
      <c r="D71" s="76"/>
      <c r="E71" s="76">
        <v>6.0345293824252026</v>
      </c>
      <c r="F71" s="66">
        <v>4.8</v>
      </c>
      <c r="G71" s="65"/>
      <c r="H71" s="76"/>
      <c r="I71" s="76">
        <v>5.9275658832823668</v>
      </c>
      <c r="J71" s="66">
        <v>4.8</v>
      </c>
      <c r="K71" s="67"/>
      <c r="L71" s="194"/>
      <c r="M71" s="194">
        <v>0.6824652535868081</v>
      </c>
      <c r="N71" s="68">
        <v>1</v>
      </c>
      <c r="P71" s="69"/>
    </row>
    <row r="72" spans="2:57" ht="15">
      <c r="B72" s="34" t="s">
        <v>40</v>
      </c>
      <c r="C72" s="65"/>
      <c r="D72" s="76"/>
      <c r="E72" s="76">
        <v>10.912862882586603</v>
      </c>
      <c r="F72" s="66">
        <v>5.5</v>
      </c>
      <c r="G72" s="65"/>
      <c r="H72" s="76"/>
      <c r="I72" s="76">
        <v>11.819732298933111</v>
      </c>
      <c r="J72" s="66">
        <v>5.5</v>
      </c>
      <c r="K72" s="67"/>
      <c r="L72" s="194"/>
      <c r="M72" s="194">
        <v>0.35370190356844494</v>
      </c>
      <c r="N72" s="68">
        <v>1</v>
      </c>
      <c r="P72" s="69"/>
    </row>
    <row r="73" spans="2:57" ht="15">
      <c r="B73" s="22" t="s">
        <v>33</v>
      </c>
      <c r="C73" s="65">
        <f>L57</f>
        <v>2.6160971335586405</v>
      </c>
      <c r="D73" s="76">
        <v>3.1167855801727349</v>
      </c>
      <c r="E73" s="76">
        <v>4.8433372666231218</v>
      </c>
      <c r="F73" s="66">
        <v>3.3</v>
      </c>
      <c r="G73" s="65">
        <f>[18]October_2026!$D$74</f>
        <v>4.0562064167659644</v>
      </c>
      <c r="H73" s="76">
        <v>4.5494907025409468</v>
      </c>
      <c r="I73" s="76">
        <v>4.8361029025922759</v>
      </c>
      <c r="J73" s="66">
        <v>3.3</v>
      </c>
      <c r="K73" s="67">
        <f>K57</f>
        <v>1.3649122807017544</v>
      </c>
      <c r="L73" s="194">
        <v>1.3578947368421053</v>
      </c>
      <c r="M73" s="194">
        <v>0.77919298245614044</v>
      </c>
      <c r="N73" s="68">
        <v>1</v>
      </c>
      <c r="P73" s="69"/>
    </row>
    <row r="74" spans="2:57" ht="15">
      <c r="B74" s="35" t="s">
        <v>164</v>
      </c>
      <c r="C74" s="65"/>
      <c r="D74" s="76"/>
      <c r="E74" s="76"/>
      <c r="F74" s="66">
        <v>3.3</v>
      </c>
      <c r="G74" s="282"/>
      <c r="H74" s="76"/>
      <c r="I74" s="76"/>
      <c r="J74" s="66">
        <v>3</v>
      </c>
      <c r="K74" s="67"/>
      <c r="L74" s="194"/>
      <c r="M74" s="194"/>
      <c r="N74" s="68">
        <v>1</v>
      </c>
      <c r="P74" s="69"/>
    </row>
    <row r="75" spans="2:57" ht="15">
      <c r="B75" s="36" t="s">
        <v>15</v>
      </c>
      <c r="C75" s="65"/>
      <c r="D75" s="76"/>
      <c r="E75" s="76">
        <v>6.3233965672990236</v>
      </c>
      <c r="F75" s="70">
        <v>5.5</v>
      </c>
      <c r="G75" s="65"/>
      <c r="H75" s="76"/>
      <c r="I75" s="76">
        <v>7.9667553186446929</v>
      </c>
      <c r="J75" s="66">
        <v>5.5</v>
      </c>
      <c r="K75" s="67"/>
      <c r="L75" s="194"/>
      <c r="M75" s="194">
        <v>0.5883625730994152</v>
      </c>
      <c r="N75" s="68">
        <v>1</v>
      </c>
      <c r="P75" s="69"/>
    </row>
    <row r="76" spans="2:57" ht="15">
      <c r="B76" s="37" t="s">
        <v>16</v>
      </c>
      <c r="C76" s="481"/>
      <c r="D76" s="76"/>
      <c r="E76" s="76">
        <v>3.9973372218347856</v>
      </c>
      <c r="F76" s="66">
        <v>3.3</v>
      </c>
      <c r="G76" s="282"/>
      <c r="H76" s="76"/>
      <c r="I76" s="76">
        <v>5.1096183510504902</v>
      </c>
      <c r="J76" s="66">
        <v>3.3</v>
      </c>
      <c r="K76" s="67"/>
      <c r="L76" s="194"/>
      <c r="M76" s="194">
        <v>0.89057130004498408</v>
      </c>
      <c r="N76" s="71">
        <v>1</v>
      </c>
      <c r="P76" s="69"/>
    </row>
    <row r="77" spans="2:57" ht="15.75" thickBot="1">
      <c r="B77" s="38" t="s">
        <v>163</v>
      </c>
      <c r="C77" s="65"/>
      <c r="D77" s="76"/>
      <c r="E77" s="76"/>
      <c r="F77" s="66">
        <v>7.5</v>
      </c>
      <c r="G77" s="282"/>
      <c r="H77" s="76"/>
      <c r="I77" s="76"/>
      <c r="J77" s="66">
        <v>7.5</v>
      </c>
      <c r="K77" s="67"/>
      <c r="L77" s="194"/>
      <c r="M77" s="194"/>
      <c r="N77" s="71">
        <v>1</v>
      </c>
      <c r="P77" s="69"/>
    </row>
    <row r="78" spans="2:57" ht="15.75" thickBot="1">
      <c r="B78" s="413" t="s">
        <v>161</v>
      </c>
      <c r="C78" s="65"/>
      <c r="D78" s="76"/>
      <c r="E78" s="76"/>
      <c r="F78" s="66">
        <v>4.8</v>
      </c>
      <c r="G78" s="282"/>
      <c r="H78" s="76"/>
      <c r="I78" s="76"/>
      <c r="J78" s="66">
        <v>4.8</v>
      </c>
      <c r="K78" s="67"/>
      <c r="L78" s="194"/>
      <c r="M78" s="194"/>
      <c r="N78" s="71">
        <v>1</v>
      </c>
      <c r="O78" s="74"/>
      <c r="P78" s="75"/>
    </row>
    <row r="79" spans="2:57" ht="15">
      <c r="D79" s="76">
        <v>3.1167855801727349</v>
      </c>
      <c r="E79" s="76">
        <v>6.362317810863849</v>
      </c>
      <c r="F79" s="341">
        <v>5.5</v>
      </c>
      <c r="H79" s="76">
        <v>4.5494907025409468</v>
      </c>
      <c r="I79" s="76">
        <v>6.6372732540678161</v>
      </c>
      <c r="J79" s="341">
        <v>5.5</v>
      </c>
      <c r="L79" s="194">
        <v>1.3578947368421053</v>
      </c>
      <c r="M79" s="194">
        <v>0.59559710956710543</v>
      </c>
      <c r="N79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6:N26"/>
    <mergeCell ref="D27:E27"/>
    <mergeCell ref="B28:B39"/>
    <mergeCell ref="D28:E29"/>
    <mergeCell ref="D30:E31"/>
    <mergeCell ref="D32:E33"/>
    <mergeCell ref="D34:E35"/>
    <mergeCell ref="D36:E37"/>
    <mergeCell ref="D38:E39"/>
    <mergeCell ref="B40:B49"/>
    <mergeCell ref="D40:E41"/>
    <mergeCell ref="J40:K40"/>
    <mergeCell ref="L41:N41"/>
    <mergeCell ref="D42:E43"/>
    <mergeCell ref="D44:E45"/>
    <mergeCell ref="D46:E47"/>
    <mergeCell ref="D48:E49"/>
    <mergeCell ref="D50:E50"/>
    <mergeCell ref="B55:B56"/>
    <mergeCell ref="C55:C56"/>
    <mergeCell ref="D55:D56"/>
    <mergeCell ref="E55:E56"/>
    <mergeCell ref="M55:M56"/>
    <mergeCell ref="B68:F68"/>
    <mergeCell ref="G68:J68"/>
    <mergeCell ref="K68:N68"/>
    <mergeCell ref="G55:G56"/>
    <mergeCell ref="H55:H56"/>
    <mergeCell ref="I55:I56"/>
    <mergeCell ref="J55:J56"/>
    <mergeCell ref="K55:K56"/>
    <mergeCell ref="L55:L56"/>
    <mergeCell ref="F55:F56"/>
  </mergeCells>
  <conditionalFormatting sqref="B50:B51">
    <cfRule type="cellIs" dxfId="2114" priority="127" operator="notBetween">
      <formula>#REF!</formula>
      <formula>#REF!</formula>
    </cfRule>
  </conditionalFormatting>
  <conditionalFormatting sqref="C54">
    <cfRule type="cellIs" dxfId="2113" priority="209" stopIfTrue="1" operator="lessThan">
      <formula>96</formula>
    </cfRule>
    <cfRule type="cellIs" dxfId="2112" priority="210" stopIfTrue="1" operator="greaterThan">
      <formula>100</formula>
    </cfRule>
  </conditionalFormatting>
  <conditionalFormatting sqref="C70:C71">
    <cfRule type="cellIs" dxfId="2111" priority="93" stopIfTrue="1" operator="lessThanOrEqual">
      <formula>0</formula>
    </cfRule>
    <cfRule type="cellIs" dxfId="2110" priority="92" stopIfTrue="1" operator="greaterThan">
      <formula>$F70</formula>
    </cfRule>
    <cfRule type="cellIs" dxfId="2109" priority="91" stopIfTrue="1" operator="lessThanOrEqual">
      <formula>0</formula>
    </cfRule>
    <cfRule type="cellIs" dxfId="2108" priority="90" stopIfTrue="1" operator="greaterThan">
      <formula>$F70</formula>
    </cfRule>
  </conditionalFormatting>
  <conditionalFormatting sqref="C72:C74 C76:C78">
    <cfRule type="cellIs" dxfId="2107" priority="99" stopIfTrue="1" operator="greaterThan">
      <formula>$F75</formula>
    </cfRule>
  </conditionalFormatting>
  <conditionalFormatting sqref="C72:C74">
    <cfRule type="cellIs" dxfId="2106" priority="100" stopIfTrue="1" operator="lessThanOrEqual">
      <formula>0</formula>
    </cfRule>
  </conditionalFormatting>
  <conditionalFormatting sqref="C75">
    <cfRule type="cellIs" dxfId="2105" priority="214" stopIfTrue="1" operator="lessThanOrEqual">
      <formula>0</formula>
    </cfRule>
    <cfRule type="cellIs" dxfId="2104" priority="213" stopIfTrue="1" operator="greaterThan">
      <formula>$F70</formula>
    </cfRule>
    <cfRule type="cellIs" dxfId="2103" priority="212" stopIfTrue="1" operator="lessThanOrEqual">
      <formula>0</formula>
    </cfRule>
    <cfRule type="cellIs" dxfId="2102" priority="211" stopIfTrue="1" operator="greaterThan">
      <formula>$F70</formula>
    </cfRule>
  </conditionalFormatting>
  <conditionalFormatting sqref="C76:C78">
    <cfRule type="cellIs" dxfId="2101" priority="101" stopIfTrue="1" operator="lessThanOrEqual">
      <formula>0</formula>
    </cfRule>
  </conditionalFormatting>
  <conditionalFormatting sqref="C81:C85">
    <cfRule type="cellIs" dxfId="2100" priority="201" stopIfTrue="1" operator="lessThanOrEqual">
      <formula>0</formula>
    </cfRule>
  </conditionalFormatting>
  <conditionalFormatting sqref="C82:C85">
    <cfRule type="cellIs" dxfId="2099" priority="200" stopIfTrue="1" operator="greaterThan">
      <formula>$F$81</formula>
    </cfRule>
  </conditionalFormatting>
  <conditionalFormatting sqref="C87">
    <cfRule type="cellIs" dxfId="2098" priority="202" stopIfTrue="1" operator="greaterThan">
      <formula>$F$81</formula>
    </cfRule>
    <cfRule type="cellIs" dxfId="2097" priority="203" stopIfTrue="1" operator="lessThanOrEqual">
      <formula>0</formula>
    </cfRule>
  </conditionalFormatting>
  <conditionalFormatting sqref="C75:D75">
    <cfRule type="cellIs" dxfId="2096" priority="88" stopIfTrue="1" operator="greaterThan">
      <formula>$J75</formula>
    </cfRule>
    <cfRule type="cellIs" dxfId="2095" priority="89" stopIfTrue="1" operator="lessThanOrEqual">
      <formula>0</formula>
    </cfRule>
  </conditionalFormatting>
  <conditionalFormatting sqref="C81:D81 D83:D89">
    <cfRule type="cellIs" dxfId="2094" priority="195" stopIfTrue="1" operator="greaterThan">
      <formula>4.5</formula>
    </cfRule>
  </conditionalFormatting>
  <conditionalFormatting sqref="D50:D51">
    <cfRule type="cellIs" dxfId="2093" priority="128" operator="notBetween">
      <formula>#REF!</formula>
      <formula>#REF!</formula>
    </cfRule>
  </conditionalFormatting>
  <conditionalFormatting sqref="D70:D74 D76:D77">
    <cfRule type="cellIs" dxfId="2092" priority="98" stopIfTrue="1" operator="lessThanOrEqual">
      <formula>0</formula>
    </cfRule>
  </conditionalFormatting>
  <conditionalFormatting sqref="D70:D74 D76:D79">
    <cfRule type="cellIs" dxfId="2091" priority="95" stopIfTrue="1" operator="greaterThan">
      <formula>$F70</formula>
    </cfRule>
    <cfRule type="cellIs" dxfId="2090" priority="94" stopIfTrue="1" operator="lessThanOrEqual">
      <formula>0</formula>
    </cfRule>
  </conditionalFormatting>
  <conditionalFormatting sqref="D78:D79">
    <cfRule type="cellIs" dxfId="2089" priority="96" stopIfTrue="1" operator="lessThanOrEqual">
      <formula>0</formula>
    </cfRule>
  </conditionalFormatting>
  <conditionalFormatting sqref="D79">
    <cfRule type="cellIs" dxfId="2088" priority="97" stopIfTrue="1" operator="lessThanOrEqual">
      <formula>0</formula>
    </cfRule>
  </conditionalFormatting>
  <conditionalFormatting sqref="D81 D83:D89">
    <cfRule type="cellIs" dxfId="2087" priority="196" stopIfTrue="1" operator="lessThanOrEqual">
      <formula>0</formula>
    </cfRule>
  </conditionalFormatting>
  <conditionalFormatting sqref="D82">
    <cfRule type="cellIs" dxfId="2086" priority="187" stopIfTrue="1" operator="greaterThan">
      <formula>$F$81</formula>
    </cfRule>
    <cfRule type="cellIs" dxfId="2085" priority="188" stopIfTrue="1" operator="lessThanOrEqual">
      <formula>0</formula>
    </cfRule>
  </conditionalFormatting>
  <conditionalFormatting sqref="E10:E25">
    <cfRule type="cellIs" dxfId="2084" priority="7" operator="lessThan">
      <formula>48</formula>
    </cfRule>
  </conditionalFormatting>
  <conditionalFormatting sqref="E53 E54:F54">
    <cfRule type="cellIs" dxfId="2083" priority="192" stopIfTrue="1" operator="greaterThan">
      <formula>100</formula>
    </cfRule>
  </conditionalFormatting>
  <conditionalFormatting sqref="E54">
    <cfRule type="cellIs" dxfId="2082" priority="190" stopIfTrue="1" operator="greaterThan">
      <formula>100</formula>
    </cfRule>
    <cfRule type="cellIs" dxfId="2081" priority="189" stopIfTrue="1" operator="lessThan">
      <formula>96.8</formula>
    </cfRule>
  </conditionalFormatting>
  <conditionalFormatting sqref="E70:E78">
    <cfRule type="cellIs" dxfId="2080" priority="61" stopIfTrue="1" operator="lessThanOrEqual">
      <formula>0</formula>
    </cfRule>
  </conditionalFormatting>
  <conditionalFormatting sqref="E70:E79">
    <cfRule type="cellIs" dxfId="2079" priority="62" stopIfTrue="1" operator="greaterThan">
      <formula>$F70</formula>
    </cfRule>
    <cfRule type="cellIs" dxfId="2078" priority="63" stopIfTrue="1" operator="lessThanOrEqual">
      <formula>0</formula>
    </cfRule>
  </conditionalFormatting>
  <conditionalFormatting sqref="E79">
    <cfRule type="cellIs" dxfId="2077" priority="64" stopIfTrue="1" operator="lessThanOrEqual">
      <formula>0</formula>
    </cfRule>
  </conditionalFormatting>
  <conditionalFormatting sqref="E81:E89">
    <cfRule type="cellIs" dxfId="2076" priority="181" stopIfTrue="1" operator="greaterThan">
      <formula>4.5</formula>
    </cfRule>
    <cfRule type="cellIs" dxfId="2075" priority="182" stopIfTrue="1" operator="lessThanOrEqual">
      <formula>0</formula>
    </cfRule>
  </conditionalFormatting>
  <conditionalFormatting sqref="E54:F54 E53">
    <cfRule type="cellIs" dxfId="2074" priority="191" stopIfTrue="1" operator="lessThan">
      <formula>96.5</formula>
    </cfRule>
  </conditionalFormatting>
  <conditionalFormatting sqref="F10:F25">
    <cfRule type="cellIs" dxfId="2073" priority="8" operator="greaterThan">
      <formula>60</formula>
    </cfRule>
  </conditionalFormatting>
  <conditionalFormatting sqref="F54">
    <cfRule type="cellIs" dxfId="2072" priority="208" stopIfTrue="1" operator="greaterThan">
      <formula>100</formula>
    </cfRule>
    <cfRule type="cellIs" dxfId="2071" priority="207" stopIfTrue="1" operator="lessThan">
      <formula>96.8</formula>
    </cfRule>
  </conditionalFormatting>
  <conditionalFormatting sqref="G24">
    <cfRule type="expression" dxfId="2070" priority="36">
      <formula>IF(+(IF(G24&lt;#REF!,0,IF(G24&gt;#REF!,0,1)))=0,1)</formula>
    </cfRule>
  </conditionalFormatting>
  <conditionalFormatting sqref="G25">
    <cfRule type="expression" dxfId="2069" priority="35">
      <formula>IF(+(IF(G25&lt;S25,0,IF(G25&gt;T25,0,1)))=0,1)</formula>
    </cfRule>
  </conditionalFormatting>
  <conditionalFormatting sqref="G70:G73 F79">
    <cfRule type="cellIs" dxfId="2068" priority="70" stopIfTrue="1" operator="greaterThan">
      <formula>$F70</formula>
    </cfRule>
    <cfRule type="cellIs" dxfId="2067" priority="71" stopIfTrue="1" operator="lessThanOrEqual">
      <formula>0</formula>
    </cfRule>
  </conditionalFormatting>
  <conditionalFormatting sqref="G72:G73">
    <cfRule type="cellIs" dxfId="2066" priority="57" stopIfTrue="1" operator="lessThanOrEqual">
      <formula>0</formula>
    </cfRule>
    <cfRule type="cellIs" dxfId="2065" priority="56" stopIfTrue="1" operator="greaterThan">
      <formula>$F72</formula>
    </cfRule>
  </conditionalFormatting>
  <conditionalFormatting sqref="G74:G78">
    <cfRule type="cellIs" dxfId="2064" priority="73" stopIfTrue="1" operator="lessThanOrEqual">
      <formula>0</formula>
    </cfRule>
    <cfRule type="cellIs" dxfId="2063" priority="72" stopIfTrue="1" operator="greaterThan">
      <formula>$J74</formula>
    </cfRule>
  </conditionalFormatting>
  <conditionalFormatting sqref="G75">
    <cfRule type="cellIs" dxfId="2062" priority="215" stopIfTrue="1" operator="greaterThan">
      <formula>$F70</formula>
    </cfRule>
    <cfRule type="cellIs" dxfId="2061" priority="216" stopIfTrue="1" operator="lessThanOrEqual">
      <formula>0</formula>
    </cfRule>
  </conditionalFormatting>
  <conditionalFormatting sqref="G83:G88 C86 C88">
    <cfRule type="cellIs" dxfId="2060" priority="205" stopIfTrue="1" operator="lessThanOrEqual">
      <formula>0</formula>
    </cfRule>
    <cfRule type="cellIs" dxfId="2059" priority="204" stopIfTrue="1" operator="greaterThan">
      <formula>4.5</formula>
    </cfRule>
  </conditionalFormatting>
  <conditionalFormatting sqref="G82:H82">
    <cfRule type="cellIs" dxfId="2058" priority="186" stopIfTrue="1" operator="lessThanOrEqual">
      <formula>0</formula>
    </cfRule>
    <cfRule type="cellIs" dxfId="2057" priority="185" stopIfTrue="1" operator="greaterThan">
      <formula>$F$81</formula>
    </cfRule>
  </conditionalFormatting>
  <conditionalFormatting sqref="H10:H12 H19:H25">
    <cfRule type="expression" dxfId="2056" priority="30">
      <formula>IF(+(IF(H10&lt;#REF!,0,IF(H10&gt;#REF!,0,1)))=0,1)</formula>
    </cfRule>
  </conditionalFormatting>
  <conditionalFormatting sqref="H39:H40 H53">
    <cfRule type="cellIs" dxfId="2055" priority="183" stopIfTrue="1" operator="greaterThan">
      <formula>0</formula>
    </cfRule>
  </conditionalFormatting>
  <conditionalFormatting sqref="H57">
    <cfRule type="cellIs" dxfId="2054" priority="76" stopIfTrue="1" operator="greaterThan">
      <formula>$F$70</formula>
    </cfRule>
    <cfRule type="cellIs" dxfId="2053" priority="86" stopIfTrue="1" operator="greaterThan">
      <formula>$F$71</formula>
    </cfRule>
    <cfRule type="cellIs" dxfId="2052" priority="85" stopIfTrue="1" operator="lessThanOrEqual">
      <formula>0</formula>
    </cfRule>
    <cfRule type="cellIs" dxfId="2051" priority="84" stopIfTrue="1" operator="greaterThan">
      <formula>$F$73</formula>
    </cfRule>
    <cfRule type="cellIs" dxfId="2050" priority="75" stopIfTrue="1" operator="lessThanOrEqual">
      <formula>0</formula>
    </cfRule>
  </conditionalFormatting>
  <conditionalFormatting sqref="H57:H58">
    <cfRule type="cellIs" dxfId="2049" priority="87" stopIfTrue="1" operator="lessThanOrEqual">
      <formula>0</formula>
    </cfRule>
  </conditionalFormatting>
  <conditionalFormatting sqref="H58 H60:H61">
    <cfRule type="cellIs" dxfId="2048" priority="113" stopIfTrue="1" operator="lessThanOrEqual">
      <formula>0</formula>
    </cfRule>
  </conditionalFormatting>
  <conditionalFormatting sqref="H58">
    <cfRule type="cellIs" dxfId="2047" priority="102" stopIfTrue="1" operator="greaterThan">
      <formula>$F$70</formula>
    </cfRule>
    <cfRule type="cellIs" dxfId="2046" priority="110" stopIfTrue="1" operator="greaterThan">
      <formula>$F$73</formula>
    </cfRule>
    <cfRule type="cellIs" dxfId="2045" priority="111" stopIfTrue="1" operator="lessThanOrEqual">
      <formula>0</formula>
    </cfRule>
    <cfRule type="cellIs" dxfId="2044" priority="112" stopIfTrue="1" operator="greaterThan">
      <formula>$F$71</formula>
    </cfRule>
  </conditionalFormatting>
  <conditionalFormatting sqref="H59">
    <cfRule type="cellIs" dxfId="2043" priority="54" stopIfTrue="1" operator="lessThanOrEqual">
      <formula>0</formula>
    </cfRule>
    <cfRule type="cellIs" dxfId="2042" priority="51" stopIfTrue="1" operator="greaterThan">
      <formula>$F$75</formula>
    </cfRule>
    <cfRule type="cellIs" dxfId="2041" priority="52" stopIfTrue="1" operator="lessThanOrEqual">
      <formula>0</formula>
    </cfRule>
    <cfRule type="cellIs" dxfId="2040" priority="53" stopIfTrue="1" operator="greaterThan">
      <formula>$F$73</formula>
    </cfRule>
    <cfRule type="cellIs" dxfId="2039" priority="42" stopIfTrue="1" operator="lessThanOrEqual">
      <formula>0</formula>
    </cfRule>
    <cfRule type="cellIs" dxfId="2038" priority="43" stopIfTrue="1" operator="greaterThan">
      <formula>$F$72</formula>
    </cfRule>
  </conditionalFormatting>
  <conditionalFormatting sqref="H60:H61">
    <cfRule type="cellIs" dxfId="2037" priority="126" stopIfTrue="1" operator="lessThanOrEqual">
      <formula>0</formula>
    </cfRule>
    <cfRule type="cellIs" dxfId="2036" priority="124" stopIfTrue="1" operator="lessThanOrEqual">
      <formula>0</formula>
    </cfRule>
    <cfRule type="cellIs" dxfId="2035" priority="123" stopIfTrue="1" operator="greaterThan">
      <formula>$F$73</formula>
    </cfRule>
    <cfRule type="cellIs" dxfId="2034" priority="125" stopIfTrue="1" operator="greaterThan">
      <formula>$F$71</formula>
    </cfRule>
    <cfRule type="cellIs" dxfId="2033" priority="115" stopIfTrue="1" operator="greaterThan">
      <formula>$F$70</formula>
    </cfRule>
  </conditionalFormatting>
  <conditionalFormatting sqref="H62:H63">
    <cfRule type="cellIs" dxfId="2032" priority="159" stopIfTrue="1" operator="greaterThan">
      <formula>#REF!</formula>
    </cfRule>
    <cfRule type="cellIs" dxfId="2031" priority="160" stopIfTrue="1" operator="lessThanOrEqual">
      <formula>0</formula>
    </cfRule>
    <cfRule type="cellIs" dxfId="2030" priority="151" stopIfTrue="1" operator="greaterThan">
      <formula>#REF!</formula>
    </cfRule>
    <cfRule type="cellIs" dxfId="2029" priority="150" stopIfTrue="1" operator="lessThanOrEqual">
      <formula>0</formula>
    </cfRule>
  </conditionalFormatting>
  <conditionalFormatting sqref="H64">
    <cfRule type="cellIs" dxfId="2028" priority="163" stopIfTrue="1" operator="greaterThan">
      <formula>$F$38</formula>
    </cfRule>
    <cfRule type="cellIs" dxfId="2027" priority="162" stopIfTrue="1" operator="lessThanOrEqual">
      <formula>0</formula>
    </cfRule>
    <cfRule type="cellIs" dxfId="2026" priority="174" stopIfTrue="1" operator="lessThanOrEqual">
      <formula>0</formula>
    </cfRule>
    <cfRule type="cellIs" dxfId="2025" priority="171" stopIfTrue="1" operator="greaterThan">
      <formula>$F$41</formula>
    </cfRule>
    <cfRule type="cellIs" dxfId="2024" priority="172" stopIfTrue="1" operator="lessThanOrEqual">
      <formula>0</formula>
    </cfRule>
    <cfRule type="cellIs" dxfId="2023" priority="173" stopIfTrue="1" operator="greaterThan">
      <formula>$F$39</formula>
    </cfRule>
  </conditionalFormatting>
  <conditionalFormatting sqref="H65:H66">
    <cfRule type="cellIs" dxfId="2022" priority="139" stopIfTrue="1" operator="greaterThan">
      <formula>#REF!</formula>
    </cfRule>
    <cfRule type="cellIs" dxfId="2021" priority="148" stopIfTrue="1" operator="lessThanOrEqual">
      <formula>0</formula>
    </cfRule>
    <cfRule type="cellIs" dxfId="2020" priority="147" stopIfTrue="1" operator="greaterThan">
      <formula>#REF!</formula>
    </cfRule>
    <cfRule type="cellIs" dxfId="2019" priority="138" stopIfTrue="1" operator="lessThanOrEqual">
      <formula>0</formula>
    </cfRule>
  </conditionalFormatting>
  <conditionalFormatting sqref="H81 H83:H89">
    <cfRule type="cellIs" dxfId="2018" priority="197" stopIfTrue="1" operator="greaterThan">
      <formula>4.5</formula>
    </cfRule>
    <cfRule type="cellIs" dxfId="2017" priority="198" stopIfTrue="1" operator="lessThanOrEqual">
      <formula>0</formula>
    </cfRule>
  </conditionalFormatting>
  <conditionalFormatting sqref="H57:I57">
    <cfRule type="cellIs" dxfId="2016" priority="77" stopIfTrue="1" operator="lessThanOrEqual">
      <formula>0</formula>
    </cfRule>
  </conditionalFormatting>
  <conditionalFormatting sqref="H57:I58 H60:I61">
    <cfRule type="cellIs" dxfId="2015" priority="74" stopIfTrue="1" operator="greaterThan">
      <formula>$F$72</formula>
    </cfRule>
  </conditionalFormatting>
  <conditionalFormatting sqref="H58:I58">
    <cfRule type="cellIs" dxfId="2014" priority="103" stopIfTrue="1" operator="lessThanOrEqual">
      <formula>0</formula>
    </cfRule>
  </conditionalFormatting>
  <conditionalFormatting sqref="H59:I59">
    <cfRule type="cellIs" dxfId="2013" priority="41" stopIfTrue="1" operator="greaterThan">
      <formula>$F$74</formula>
    </cfRule>
    <cfRule type="cellIs" dxfId="2012" priority="44" stopIfTrue="1" operator="lessThanOrEqual">
      <formula>0</formula>
    </cfRule>
  </conditionalFormatting>
  <conditionalFormatting sqref="H60:I61">
    <cfRule type="cellIs" dxfId="2011" priority="116" stopIfTrue="1" operator="lessThanOrEqual">
      <formula>0</formula>
    </cfRule>
  </conditionalFormatting>
  <conditionalFormatting sqref="H62:I63">
    <cfRule type="cellIs" dxfId="2010" priority="157" stopIfTrue="1" operator="greaterThan">
      <formula>#REF!</formula>
    </cfRule>
    <cfRule type="cellIs" dxfId="2009" priority="152" stopIfTrue="1" operator="lessThanOrEqual">
      <formula>0</formula>
    </cfRule>
    <cfRule type="cellIs" dxfId="2008" priority="149" stopIfTrue="1" operator="greaterThan">
      <formula>#REF!</formula>
    </cfRule>
    <cfRule type="cellIs" dxfId="2007" priority="158" stopIfTrue="1" operator="lessThanOrEqual">
      <formula>0</formula>
    </cfRule>
  </conditionalFormatting>
  <conditionalFormatting sqref="H64:I64">
    <cfRule type="cellIs" dxfId="2006" priority="161" stopIfTrue="1" operator="greaterThan">
      <formula>$F$40</formula>
    </cfRule>
    <cfRule type="cellIs" dxfId="2005" priority="164" stopIfTrue="1" operator="lessThanOrEqual">
      <formula>0</formula>
    </cfRule>
  </conditionalFormatting>
  <conditionalFormatting sqref="H65:I66">
    <cfRule type="cellIs" dxfId="2004" priority="137" stopIfTrue="1" operator="greaterThan">
      <formula>#REF!</formula>
    </cfRule>
    <cfRule type="cellIs" dxfId="2003" priority="145" stopIfTrue="1" operator="greaterThan">
      <formula>#REF!</formula>
    </cfRule>
    <cfRule type="cellIs" dxfId="2002" priority="146" stopIfTrue="1" operator="lessThanOrEqual">
      <formula>0</formula>
    </cfRule>
    <cfRule type="cellIs" dxfId="2001" priority="140" stopIfTrue="1" operator="lessThanOrEqual">
      <formula>0</formula>
    </cfRule>
  </conditionalFormatting>
  <conditionalFormatting sqref="H70:I77">
    <cfRule type="cellIs" dxfId="2000" priority="59" stopIfTrue="1" operator="greaterThan">
      <formula>$J70</formula>
    </cfRule>
    <cfRule type="cellIs" dxfId="1999" priority="60" stopIfTrue="1" operator="lessThanOrEqual">
      <formula>0</formula>
    </cfRule>
  </conditionalFormatting>
  <conditionalFormatting sqref="H78:I78">
    <cfRule type="cellIs" dxfId="1998" priority="67" operator="greaterThan">
      <formula>5.3</formula>
    </cfRule>
  </conditionalFormatting>
  <conditionalFormatting sqref="H79:I79">
    <cfRule type="cellIs" dxfId="1997" priority="65" stopIfTrue="1" operator="greaterThan">
      <formula>$J79</formula>
    </cfRule>
    <cfRule type="cellIs" dxfId="1996" priority="66" stopIfTrue="1" operator="lessThanOrEqual">
      <formula>0</formula>
    </cfRule>
  </conditionalFormatting>
  <conditionalFormatting sqref="I57">
    <cfRule type="cellIs" dxfId="1995" priority="78" stopIfTrue="1" operator="greaterThan">
      <formula>$F$70</formula>
    </cfRule>
    <cfRule type="cellIs" dxfId="1994" priority="81" stopIfTrue="1" operator="lessThanOrEqual">
      <formula>0</formula>
    </cfRule>
    <cfRule type="cellIs" dxfId="1993" priority="83" stopIfTrue="1" operator="lessThanOrEqual">
      <formula>0</formula>
    </cfRule>
    <cfRule type="cellIs" dxfId="1992" priority="82" stopIfTrue="1" operator="greaterThan">
      <formula>$F$70</formula>
    </cfRule>
    <cfRule type="cellIs" dxfId="1991" priority="80" stopIfTrue="1" operator="greaterThan">
      <formula>$F$72</formula>
    </cfRule>
    <cfRule type="cellIs" dxfId="1990" priority="79" stopIfTrue="1" operator="lessThanOrEqual">
      <formula>0</formula>
    </cfRule>
  </conditionalFormatting>
  <conditionalFormatting sqref="I58">
    <cfRule type="cellIs" dxfId="1989" priority="105" stopIfTrue="1" operator="lessThanOrEqual">
      <formula>0</formula>
    </cfRule>
    <cfRule type="cellIs" dxfId="1988" priority="104" stopIfTrue="1" operator="greaterThan">
      <formula>$F$70</formula>
    </cfRule>
    <cfRule type="cellIs" dxfId="1987" priority="106" stopIfTrue="1" operator="greaterThan">
      <formula>$F$72</formula>
    </cfRule>
    <cfRule type="cellIs" dxfId="1986" priority="109" stopIfTrue="1" operator="lessThanOrEqual">
      <formula>0</formula>
    </cfRule>
    <cfRule type="cellIs" dxfId="1985" priority="108" stopIfTrue="1" operator="greaterThan">
      <formula>$F$70</formula>
    </cfRule>
    <cfRule type="cellIs" dxfId="1984" priority="107" stopIfTrue="1" operator="lessThanOrEqual">
      <formula>0</formula>
    </cfRule>
  </conditionalFormatting>
  <conditionalFormatting sqref="I59">
    <cfRule type="cellIs" dxfId="1983" priority="50" stopIfTrue="1" operator="lessThanOrEqual">
      <formula>0</formula>
    </cfRule>
    <cfRule type="cellIs" dxfId="1982" priority="48" stopIfTrue="1" operator="lessThanOrEqual">
      <formula>0</formula>
    </cfRule>
    <cfRule type="cellIs" dxfId="1981" priority="45" stopIfTrue="1" operator="greaterThan">
      <formula>$F$72</formula>
    </cfRule>
    <cfRule type="cellIs" dxfId="1980" priority="46" stopIfTrue="1" operator="lessThanOrEqual">
      <formula>0</formula>
    </cfRule>
    <cfRule type="cellIs" dxfId="1979" priority="47" stopIfTrue="1" operator="greaterThan">
      <formula>$F$74</formula>
    </cfRule>
    <cfRule type="cellIs" dxfId="1978" priority="49" stopIfTrue="1" operator="greaterThan">
      <formula>$F$72</formula>
    </cfRule>
  </conditionalFormatting>
  <conditionalFormatting sqref="I60:I61">
    <cfRule type="cellIs" dxfId="1977" priority="119" stopIfTrue="1" operator="greaterThan">
      <formula>$F$72</formula>
    </cfRule>
    <cfRule type="cellIs" dxfId="1976" priority="118" stopIfTrue="1" operator="lessThanOrEqual">
      <formula>0</formula>
    </cfRule>
    <cfRule type="cellIs" dxfId="1975" priority="117" stopIfTrue="1" operator="greaterThan">
      <formula>$F$70</formula>
    </cfRule>
    <cfRule type="cellIs" dxfId="1974" priority="120" stopIfTrue="1" operator="lessThanOrEqual">
      <formula>0</formula>
    </cfRule>
    <cfRule type="cellIs" dxfId="1973" priority="122" stopIfTrue="1" operator="lessThanOrEqual">
      <formula>0</formula>
    </cfRule>
    <cfRule type="cellIs" dxfId="1972" priority="121" stopIfTrue="1" operator="greaterThan">
      <formula>$F$70</formula>
    </cfRule>
  </conditionalFormatting>
  <conditionalFormatting sqref="I62:I63">
    <cfRule type="cellIs" dxfId="1971" priority="156" stopIfTrue="1" operator="lessThanOrEqual">
      <formula>0</formula>
    </cfRule>
    <cfRule type="cellIs" dxfId="1970" priority="155" stopIfTrue="1" operator="greaterThan">
      <formula>#REF!</formula>
    </cfRule>
    <cfRule type="cellIs" dxfId="1969" priority="153" stopIfTrue="1" operator="greaterThan">
      <formula>#REF!</formula>
    </cfRule>
    <cfRule type="cellIs" dxfId="1968" priority="154" stopIfTrue="1" operator="lessThanOrEqual">
      <formula>0</formula>
    </cfRule>
  </conditionalFormatting>
  <conditionalFormatting sqref="I64">
    <cfRule type="cellIs" dxfId="1967" priority="165" stopIfTrue="1" operator="greaterThan">
      <formula>$F$38</formula>
    </cfRule>
    <cfRule type="cellIs" dxfId="1966" priority="166" stopIfTrue="1" operator="lessThanOrEqual">
      <formula>0</formula>
    </cfRule>
    <cfRule type="cellIs" dxfId="1965" priority="167" stopIfTrue="1" operator="greaterThan">
      <formula>$F$40</formula>
    </cfRule>
    <cfRule type="cellIs" dxfId="1964" priority="168" stopIfTrue="1" operator="lessThanOrEqual">
      <formula>0</formula>
    </cfRule>
    <cfRule type="cellIs" dxfId="1963" priority="169" stopIfTrue="1" operator="greaterThan">
      <formula>$F$38</formula>
    </cfRule>
    <cfRule type="cellIs" dxfId="1962" priority="170" stopIfTrue="1" operator="lessThanOrEqual">
      <formula>0</formula>
    </cfRule>
  </conditionalFormatting>
  <conditionalFormatting sqref="I65:I66">
    <cfRule type="cellIs" dxfId="1961" priority="144" stopIfTrue="1" operator="lessThanOrEqual">
      <formula>0</formula>
    </cfRule>
    <cfRule type="cellIs" dxfId="1960" priority="142" stopIfTrue="1" operator="lessThanOrEqual">
      <formula>0</formula>
    </cfRule>
    <cfRule type="cellIs" dxfId="1959" priority="141" stopIfTrue="1" operator="greaterThan">
      <formula>#REF!</formula>
    </cfRule>
    <cfRule type="cellIs" dxfId="1958" priority="143" stopIfTrue="1" operator="greaterThan">
      <formula>#REF!</formula>
    </cfRule>
  </conditionalFormatting>
  <conditionalFormatting sqref="I81:I89">
    <cfRule type="cellIs" dxfId="1957" priority="194" stopIfTrue="1" operator="lessThanOrEqual">
      <formula>0</formula>
    </cfRule>
    <cfRule type="cellIs" dxfId="1956" priority="193" stopIfTrue="1" operator="greaterThan">
      <formula>4.5</formula>
    </cfRule>
  </conditionalFormatting>
  <conditionalFormatting sqref="I10:J25">
    <cfRule type="cellIs" dxfId="1955" priority="1" operator="lessThan">
      <formula>97.9</formula>
    </cfRule>
  </conditionalFormatting>
  <conditionalFormatting sqref="J28:J30">
    <cfRule type="cellIs" dxfId="1954" priority="40" operator="lessThan">
      <formula>97.95</formula>
    </cfRule>
  </conditionalFormatting>
  <conditionalFormatting sqref="J29:J32">
    <cfRule type="cellIs" dxfId="1953" priority="175" operator="lessThan">
      <formula>97.4</formula>
    </cfRule>
  </conditionalFormatting>
  <conditionalFormatting sqref="J33:J34">
    <cfRule type="cellIs" dxfId="1952" priority="176" operator="lessThan">
      <formula>98</formula>
    </cfRule>
  </conditionalFormatting>
  <conditionalFormatting sqref="J35:J36">
    <cfRule type="cellIs" dxfId="1951" priority="178" stopIfTrue="1" operator="greaterThan">
      <formula>100</formula>
    </cfRule>
    <cfRule type="cellIs" dxfId="1950" priority="177" stopIfTrue="1" operator="lessThan">
      <formula>96.8</formula>
    </cfRule>
  </conditionalFormatting>
  <conditionalFormatting sqref="J35:J37">
    <cfRule type="cellIs" dxfId="1949" priority="179" operator="lessThan">
      <formula>98</formula>
    </cfRule>
  </conditionalFormatting>
  <conditionalFormatting sqref="J66">
    <cfRule type="cellIs" dxfId="1948" priority="129" stopIfTrue="1" operator="greaterThan">
      <formula>#REF!</formula>
    </cfRule>
    <cfRule type="cellIs" dxfId="1947" priority="130" stopIfTrue="1" operator="lessThanOrEqual">
      <formula>0</formula>
    </cfRule>
    <cfRule type="cellIs" dxfId="1946" priority="131" stopIfTrue="1" operator="greaterThan">
      <formula>#REF!</formula>
    </cfRule>
    <cfRule type="cellIs" dxfId="1945" priority="136" stopIfTrue="1" operator="lessThanOrEqual">
      <formula>0</formula>
    </cfRule>
    <cfRule type="cellIs" dxfId="1944" priority="135" stopIfTrue="1" operator="greaterThan">
      <formula>#REF!</formula>
    </cfRule>
    <cfRule type="cellIs" dxfId="1943" priority="132" stopIfTrue="1" operator="lessThanOrEqual">
      <formula>0</formula>
    </cfRule>
    <cfRule type="cellIs" dxfId="1942" priority="134" stopIfTrue="1" operator="lessThanOrEqual">
      <formula>0</formula>
    </cfRule>
    <cfRule type="cellIs" dxfId="1941" priority="133" stopIfTrue="1" operator="greaterThan">
      <formula>#REF!</formula>
    </cfRule>
  </conditionalFormatting>
  <conditionalFormatting sqref="J79">
    <cfRule type="cellIs" dxfId="1940" priority="69" stopIfTrue="1" operator="lessThanOrEqual">
      <formula>0</formula>
    </cfRule>
    <cfRule type="cellIs" dxfId="1939" priority="68" stopIfTrue="1" operator="greaterThan">
      <formula>$F79</formula>
    </cfRule>
  </conditionalFormatting>
  <conditionalFormatting sqref="K10:K25">
    <cfRule type="cellIs" dxfId="1938" priority="4" operator="greaterThan">
      <formula>6.4</formula>
    </cfRule>
    <cfRule type="cellIs" dxfId="1937" priority="3" operator="lessThan">
      <formula>4</formula>
    </cfRule>
    <cfRule type="cellIs" dxfId="1936" priority="2" operator="greaterThan">
      <formula>6</formula>
    </cfRule>
  </conditionalFormatting>
  <conditionalFormatting sqref="K57:K66">
    <cfRule type="cellIs" dxfId="1935" priority="114" stopIfTrue="1" operator="lessThan">
      <formula>100%</formula>
    </cfRule>
  </conditionalFormatting>
  <conditionalFormatting sqref="K70:K78">
    <cfRule type="cellIs" dxfId="1934" priority="58" stopIfTrue="1" operator="lessThan">
      <formula>100%</formula>
    </cfRule>
  </conditionalFormatting>
  <conditionalFormatting sqref="K81:K86">
    <cfRule type="cellIs" dxfId="1933" priority="199" stopIfTrue="1" operator="lessThan">
      <formula>100%</formula>
    </cfRule>
  </conditionalFormatting>
  <conditionalFormatting sqref="K88:K89">
    <cfRule type="cellIs" dxfId="1932" priority="206" stopIfTrue="1" operator="lessThan">
      <formula>100%</formula>
    </cfRule>
  </conditionalFormatting>
  <conditionalFormatting sqref="L10:L25">
    <cfRule type="cellIs" dxfId="1931" priority="6" operator="greaterThan">
      <formula>65</formula>
    </cfRule>
    <cfRule type="cellIs" dxfId="1930" priority="5" operator="between">
      <formula>61</formula>
      <formula>65</formula>
    </cfRule>
  </conditionalFormatting>
  <conditionalFormatting sqref="L28:M39">
    <cfRule type="cellIs" dxfId="1929" priority="39" operator="lessThan">
      <formula>97.95</formula>
    </cfRule>
  </conditionalFormatting>
  <conditionalFormatting sqref="L43:N43">
    <cfRule type="cellIs" dxfId="1928" priority="37" operator="notEqual">
      <formula>#REF!</formula>
    </cfRule>
  </conditionalFormatting>
  <conditionalFormatting sqref="L70:N79">
    <cfRule type="cellIs" dxfId="1927" priority="55" stopIfTrue="1" operator="lessThan">
      <formula>100%</formula>
    </cfRule>
  </conditionalFormatting>
  <conditionalFormatting sqref="L81:N89">
    <cfRule type="cellIs" dxfId="1926" priority="184" stopIfTrue="1" operator="lessThan">
      <formula>100%</formula>
    </cfRule>
  </conditionalFormatting>
  <conditionalFormatting sqref="M25">
    <cfRule type="expression" dxfId="1925" priority="34">
      <formula>IF(+(IF(M25&lt;U25,0,IF(M25&gt;V25,0,1)))=0,1)</formula>
    </cfRule>
  </conditionalFormatting>
  <conditionalFormatting sqref="M10:N24 G13:H18">
    <cfRule type="expression" dxfId="1924" priority="9">
      <formula>IF(+(IF(G10&lt;#REF!,0,IF(G10&gt;#REF!,0,1)))=0,1)</formula>
    </cfRule>
  </conditionalFormatting>
  <conditionalFormatting sqref="N10:N25">
    <cfRule type="expression" dxfId="1923" priority="10">
      <formula>IF(+(IF(N10&lt;W10,0,IF(N10&gt;X10,0,1)))=0,1)</formula>
    </cfRule>
  </conditionalFormatting>
  <conditionalFormatting sqref="P6">
    <cfRule type="cellIs" dxfId="1922" priority="180" operator="greaterThanOrEqual">
      <formula>19</formula>
    </cfRule>
  </conditionalFormatting>
  <dataValidations disablePrompts="1" count="1">
    <dataValidation type="list" allowBlank="1" showInputMessage="1" showErrorMessage="1" sqref="R8" xr:uid="{2D16EE64-042A-42B1-AB2D-EC5A55894274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3" max="16383" man="1"/>
  </rowBreaks>
  <colBreaks count="1" manualBreakCount="1">
    <brk id="15" max="89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FA88C-3B8C-4281-92DB-9434E86320FE}">
  <sheetPr>
    <pageSetUpPr fitToPage="1"/>
  </sheetPr>
  <dimension ref="A1:BE71"/>
  <sheetViews>
    <sheetView topLeftCell="A12" zoomScale="85" zoomScaleNormal="85" workbookViewId="0">
      <selection activeCell="J76" sqref="J7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54" t="s">
        <v>0</v>
      </c>
      <c r="T1" s="554"/>
      <c r="U1" s="554" t="s">
        <v>1</v>
      </c>
      <c r="V1" s="554"/>
      <c r="W1" s="554" t="s">
        <v>2</v>
      </c>
      <c r="X1" s="554"/>
      <c r="Y1" s="554" t="s">
        <v>124</v>
      </c>
      <c r="Z1" s="554"/>
    </row>
    <row r="2" spans="2:29" ht="15">
      <c r="B2" s="555" t="s">
        <v>3</v>
      </c>
      <c r="C2" s="555"/>
      <c r="D2" s="555"/>
      <c r="E2" s="555"/>
      <c r="F2" s="555"/>
      <c r="G2" s="555"/>
      <c r="H2" s="555"/>
      <c r="I2" s="555"/>
      <c r="J2" s="555"/>
      <c r="K2" s="555"/>
      <c r="L2" s="555"/>
      <c r="M2" s="555"/>
      <c r="N2" s="555"/>
      <c r="O2" s="555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46300</v>
      </c>
      <c r="J4" s="397" t="s">
        <v>153</v>
      </c>
      <c r="K4" s="397"/>
      <c r="L4" s="11"/>
      <c r="M4" s="552" t="s">
        <v>8</v>
      </c>
      <c r="N4" s="553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42"/>
      <c r="D5" s="542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6" t="s">
        <v>17</v>
      </c>
      <c r="C8" s="517" t="s">
        <v>18</v>
      </c>
      <c r="D8" s="517" t="s">
        <v>19</v>
      </c>
      <c r="E8" s="356" t="s">
        <v>20</v>
      </c>
      <c r="F8" s="356" t="s">
        <v>21</v>
      </c>
      <c r="G8" s="517" t="s">
        <v>22</v>
      </c>
      <c r="H8" s="544" t="s">
        <v>144</v>
      </c>
      <c r="I8" s="517" t="s">
        <v>167</v>
      </c>
      <c r="J8" s="546" t="s">
        <v>23</v>
      </c>
      <c r="K8" s="548" t="s">
        <v>142</v>
      </c>
      <c r="L8" s="550" t="s">
        <v>24</v>
      </c>
      <c r="M8" s="359" t="s">
        <v>25</v>
      </c>
      <c r="N8" s="17" t="s">
        <v>166</v>
      </c>
      <c r="O8" s="517" t="s">
        <v>155</v>
      </c>
      <c r="P8" s="540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3"/>
      <c r="C9" s="541"/>
      <c r="D9" s="541"/>
      <c r="E9" s="357" t="s">
        <v>30</v>
      </c>
      <c r="F9" s="357" t="s">
        <v>31</v>
      </c>
      <c r="G9" s="541"/>
      <c r="H9" s="545"/>
      <c r="I9" s="541"/>
      <c r="J9" s="547"/>
      <c r="K9" s="549"/>
      <c r="L9" s="551"/>
      <c r="M9" s="20" t="s">
        <v>32</v>
      </c>
      <c r="N9" s="21" t="s">
        <v>41</v>
      </c>
      <c r="O9" s="541"/>
      <c r="P9" s="541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[4]Brewhouse!$A794</f>
        <v>CA744</v>
      </c>
      <c r="D10" s="279">
        <f>[4]Brewhouse!$AF794</f>
        <v>50.5</v>
      </c>
      <c r="E10" s="279">
        <f>[4]Brewhouse!$AI794</f>
        <v>51.1</v>
      </c>
      <c r="F10" s="278">
        <f>[4]Brewhouse!$V794</f>
        <v>64</v>
      </c>
      <c r="G10" s="279">
        <f>[4]Brewhouse!AG794</f>
        <v>11.7</v>
      </c>
      <c r="H10" s="396">
        <v>11.8</v>
      </c>
      <c r="I10" s="368">
        <f>[4]Brewhouse!$AU794</f>
        <v>99.322178612780704</v>
      </c>
      <c r="J10" s="368">
        <f>[4]Brewhouse!$AV794</f>
        <v>100.09199803047697</v>
      </c>
      <c r="K10" s="281">
        <f>[4]Brewhouse!$Q794</f>
        <v>10.203327171903888</v>
      </c>
      <c r="L10" s="276">
        <f>[4]Brewhouse!$P794</f>
        <v>59</v>
      </c>
      <c r="M10" s="374">
        <f>[4]Brewhouse!$U794-[4]Brewhouse!$T794</f>
        <v>0.1166666666666667</v>
      </c>
      <c r="N10" s="370">
        <f>[4]Brewhouse!$Z794</f>
        <v>0.24722222222222223</v>
      </c>
      <c r="O10" s="419" t="str">
        <f>[4]Brewhouse!$AX794</f>
        <v>R. Sookram</v>
      </c>
      <c r="P10" s="417"/>
      <c r="R10" s="277" t="str">
        <f t="shared" ref="R10:R31" si="0">B10</f>
        <v>CARIB</v>
      </c>
      <c r="S10" s="471">
        <f t="shared" ref="S10:S31" si="1">VLOOKUP($B10,$R$3:$X$9,2,FALSE)</f>
        <v>11.6</v>
      </c>
      <c r="T10" s="471">
        <f t="shared" ref="T10:T31" si="2">VLOOKUP($B10,$R$3:$X$9,3,FALSE)</f>
        <v>12</v>
      </c>
      <c r="U10" s="297">
        <f t="shared" ref="U10:U31" si="3">VLOOKUP($B10,$R$3:$X$9,4,FALSE)</f>
        <v>0</v>
      </c>
      <c r="V10" s="297">
        <f t="shared" ref="V10:V31" si="4">VLOOKUP($B10,$R$3:$X$9,5,FALSE)</f>
        <v>0.118055555555556</v>
      </c>
      <c r="W10" s="297">
        <f t="shared" ref="W10:W31" si="5">VLOOKUP($B10,$R$3:$X$9,6,FALSE)</f>
        <v>0.22569444444444445</v>
      </c>
      <c r="X10" s="297">
        <f t="shared" ref="X10:X31" si="6">VLOOKUP($B10,$R$3:$X$9,7,FALSE)</f>
        <v>0.2638888888888889</v>
      </c>
      <c r="Y10" s="297">
        <f t="shared" ref="Y10:Y31" si="7">VLOOKUP($B10,$R$3:$Z$9,8,FALSE)</f>
        <v>0</v>
      </c>
      <c r="Z10" s="471">
        <f t="shared" ref="Z10:Z31" si="8">VLOOKUP($B10,$R$3:$Z$9,9,FALSE)</f>
        <v>60</v>
      </c>
    </row>
    <row r="11" spans="2:29" ht="15" customHeight="1">
      <c r="B11" s="29" t="s">
        <v>6</v>
      </c>
      <c r="C11" s="366" t="str">
        <f>[4]Brewhouse!$A795</f>
        <v>CA745</v>
      </c>
      <c r="D11" s="279">
        <f>[4]Brewhouse!$AF795</f>
        <v>49.7</v>
      </c>
      <c r="E11" s="279">
        <f>[4]Brewhouse!$AI795</f>
        <v>50.3</v>
      </c>
      <c r="F11" s="278">
        <f>[4]Brewhouse!$V795</f>
        <v>59</v>
      </c>
      <c r="G11" s="279">
        <f>[4]Brewhouse!AG795</f>
        <v>11.6</v>
      </c>
      <c r="H11" s="490">
        <v>12.1</v>
      </c>
      <c r="I11" s="368">
        <f>[4]Brewhouse!$AU795</f>
        <v>96.647863753507224</v>
      </c>
      <c r="J11" s="368">
        <f>[4]Brewhouse!$AV795</f>
        <v>97.39705384664137</v>
      </c>
      <c r="K11" s="281">
        <f>[4]Brewhouse!$Q795</f>
        <v>10.203327171903888</v>
      </c>
      <c r="L11" s="276">
        <f>[4]Brewhouse!$P795</f>
        <v>59</v>
      </c>
      <c r="M11" s="374">
        <f>[4]Brewhouse!$U795-[4]Brewhouse!$T795</f>
        <v>0.11458333333333331</v>
      </c>
      <c r="N11" s="370">
        <f>[4]Brewhouse!$Z795</f>
        <v>0.25208333333333333</v>
      </c>
      <c r="O11" s="419" t="str">
        <f>[4]Brewhouse!$AX795</f>
        <v>D. Gomaz</v>
      </c>
      <c r="P11" s="417"/>
      <c r="R11" s="277" t="str">
        <f t="shared" si="0"/>
        <v>CARIB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29" t="s">
        <v>6</v>
      </c>
      <c r="C12" s="366" t="str">
        <f>[4]Brewhouse!$A796</f>
        <v>CA746</v>
      </c>
      <c r="D12" s="279">
        <f>[4]Brewhouse!$AF796</f>
        <v>49.4</v>
      </c>
      <c r="E12" s="279">
        <f>[4]Brewhouse!$AI796</f>
        <v>49.8</v>
      </c>
      <c r="F12" s="278">
        <f>[4]Brewhouse!$V796</f>
        <v>60</v>
      </c>
      <c r="G12" s="279">
        <f>[4]Brewhouse!AG796</f>
        <v>11.8</v>
      </c>
      <c r="H12" s="396">
        <v>11.8</v>
      </c>
      <c r="I12" s="368">
        <f>[4]Brewhouse!$AU796</f>
        <v>99.393897008473871</v>
      </c>
      <c r="J12" s="368">
        <f>[4]Brewhouse!$AV796</f>
        <v>100.16354837022554</v>
      </c>
      <c r="K12" s="281">
        <f>[4]Brewhouse!$Q796</f>
        <v>10.018484288354902</v>
      </c>
      <c r="L12" s="276">
        <f>[4]Brewhouse!$P796</f>
        <v>58</v>
      </c>
      <c r="M12" s="374">
        <f>[4]Brewhouse!$U796-[4]Brewhouse!$T796</f>
        <v>0.10972222222222222</v>
      </c>
      <c r="N12" s="370">
        <f>[4]Brewhouse!$Z796</f>
        <v>0.25694444444444442</v>
      </c>
      <c r="O12" s="419" t="str">
        <f>[4]Brewhouse!$AX796</f>
        <v>D. Gomaz</v>
      </c>
      <c r="P12" s="417"/>
      <c r="R12" s="277" t="str">
        <f t="shared" si="0"/>
        <v>CARIB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33"/>
      <c r="C13" s="366"/>
      <c r="D13" s="279"/>
      <c r="E13" s="279"/>
      <c r="F13" s="278"/>
      <c r="G13" s="279"/>
      <c r="H13" s="396"/>
      <c r="I13" s="368"/>
      <c r="J13" s="368"/>
      <c r="K13" s="281"/>
      <c r="L13" s="276"/>
      <c r="M13" s="374"/>
      <c r="N13" s="370"/>
      <c r="O13" s="419"/>
      <c r="P13" s="417"/>
      <c r="R13" s="277">
        <f t="shared" si="0"/>
        <v>0</v>
      </c>
      <c r="S13" s="471" t="e">
        <f t="shared" si="1"/>
        <v>#N/A</v>
      </c>
      <c r="T13" s="471" t="e">
        <f t="shared" si="2"/>
        <v>#N/A</v>
      </c>
      <c r="U13" s="297" t="e">
        <f t="shared" si="3"/>
        <v>#N/A</v>
      </c>
      <c r="V13" s="297" t="e">
        <f t="shared" si="4"/>
        <v>#N/A</v>
      </c>
      <c r="W13" s="297" t="e">
        <f t="shared" si="5"/>
        <v>#N/A</v>
      </c>
      <c r="X13" s="297" t="e">
        <f t="shared" si="6"/>
        <v>#N/A</v>
      </c>
      <c r="Y13" s="297" t="e">
        <f t="shared" si="7"/>
        <v>#N/A</v>
      </c>
      <c r="Z13" s="471" t="e">
        <f t="shared" si="8"/>
        <v>#N/A</v>
      </c>
    </row>
    <row r="14" spans="2:29" ht="15" customHeight="1">
      <c r="B14" s="33"/>
      <c r="C14" s="366"/>
      <c r="D14" s="279"/>
      <c r="E14" s="279"/>
      <c r="F14" s="278"/>
      <c r="G14" s="279"/>
      <c r="H14" s="396"/>
      <c r="I14" s="368"/>
      <c r="J14" s="368"/>
      <c r="K14" s="281"/>
      <c r="L14" s="276"/>
      <c r="M14" s="374"/>
      <c r="N14" s="370"/>
      <c r="O14" s="419"/>
      <c r="P14" s="417"/>
      <c r="R14" s="277">
        <f t="shared" si="0"/>
        <v>0</v>
      </c>
      <c r="S14" s="471" t="e">
        <f t="shared" si="1"/>
        <v>#N/A</v>
      </c>
      <c r="T14" s="471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1" t="e">
        <f t="shared" si="8"/>
        <v>#N/A</v>
      </c>
    </row>
    <row r="15" spans="2:29" ht="15" customHeight="1">
      <c r="B15" s="33"/>
      <c r="C15" s="366"/>
      <c r="D15" s="279"/>
      <c r="E15" s="279"/>
      <c r="F15" s="278"/>
      <c r="G15" s="279"/>
      <c r="H15" s="396"/>
      <c r="I15" s="368"/>
      <c r="J15" s="368"/>
      <c r="K15" s="281"/>
      <c r="L15" s="276"/>
      <c r="M15" s="374"/>
      <c r="N15" s="370"/>
      <c r="O15" s="419"/>
      <c r="P15" s="417"/>
      <c r="R15" s="277">
        <f t="shared" si="0"/>
        <v>0</v>
      </c>
      <c r="S15" s="471" t="e">
        <f t="shared" si="1"/>
        <v>#N/A</v>
      </c>
      <c r="T15" s="471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1" t="e">
        <f t="shared" si="8"/>
        <v>#N/A</v>
      </c>
    </row>
    <row r="16" spans="2:29" ht="15" customHeight="1">
      <c r="B16" s="29"/>
      <c r="C16" s="366"/>
      <c r="D16" s="279"/>
      <c r="E16" s="279"/>
      <c r="F16" s="278"/>
      <c r="G16" s="279"/>
      <c r="H16" s="396"/>
      <c r="I16" s="368"/>
      <c r="J16" s="368"/>
      <c r="K16" s="281"/>
      <c r="L16" s="276"/>
      <c r="M16" s="374"/>
      <c r="N16" s="370"/>
      <c r="O16" s="419"/>
      <c r="P16" s="417"/>
      <c r="R16" s="277">
        <f t="shared" si="0"/>
        <v>0</v>
      </c>
      <c r="S16" s="471" t="e">
        <f t="shared" si="1"/>
        <v>#N/A</v>
      </c>
      <c r="T16" s="471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1" t="e">
        <f t="shared" si="8"/>
        <v>#N/A</v>
      </c>
    </row>
    <row r="17" spans="1:27" ht="15" customHeight="1">
      <c r="B17" s="36"/>
      <c r="C17" s="366"/>
      <c r="D17" s="279"/>
      <c r="E17" s="279"/>
      <c r="F17" s="278"/>
      <c r="G17" s="279"/>
      <c r="H17" s="396"/>
      <c r="I17" s="487"/>
      <c r="J17" s="487"/>
      <c r="K17" s="488"/>
      <c r="L17" s="276"/>
      <c r="M17" s="374"/>
      <c r="N17" s="370"/>
      <c r="O17" s="419"/>
      <c r="P17" s="417"/>
      <c r="R17" s="277">
        <f t="shared" si="0"/>
        <v>0</v>
      </c>
      <c r="S17" s="471" t="e">
        <f t="shared" si="1"/>
        <v>#N/A</v>
      </c>
      <c r="T17" s="471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1" t="e">
        <f t="shared" si="8"/>
        <v>#N/A</v>
      </c>
    </row>
    <row r="18" spans="1:27" ht="17.25" customHeight="1" thickBot="1">
      <c r="B18" s="358"/>
      <c r="C18" s="358"/>
      <c r="D18" s="358"/>
      <c r="E18" s="358"/>
      <c r="F18" s="294"/>
      <c r="G18" s="294"/>
      <c r="H18" s="348"/>
      <c r="I18" s="566"/>
      <c r="J18" s="566"/>
      <c r="K18" s="566"/>
      <c r="L18" s="566"/>
      <c r="M18" s="566"/>
      <c r="N18" s="566"/>
      <c r="O18" s="1"/>
      <c r="P18" s="12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7" ht="17.25" customHeight="1" thickBot="1">
      <c r="B19" s="482" t="s">
        <v>162</v>
      </c>
      <c r="C19" s="388"/>
      <c r="D19" s="535" t="s">
        <v>35</v>
      </c>
      <c r="E19" s="536"/>
      <c r="F19" s="294"/>
      <c r="G19" s="294"/>
      <c r="H19" s="348"/>
      <c r="I19" s="24" t="s">
        <v>17</v>
      </c>
      <c r="J19" s="25"/>
      <c r="K19" s="26" t="s">
        <v>138</v>
      </c>
      <c r="L19" s="25" t="s">
        <v>37</v>
      </c>
      <c r="M19" s="25" t="s">
        <v>38</v>
      </c>
      <c r="N19" s="27" t="s">
        <v>39</v>
      </c>
      <c r="O19" s="294"/>
      <c r="P19" s="12"/>
      <c r="R19" s="277" t="str">
        <f t="shared" si="0"/>
        <v xml:space="preserve">BRAND 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7" ht="17.25" customHeight="1">
      <c r="A20" s="28"/>
      <c r="B20" s="588"/>
      <c r="C20" s="483"/>
      <c r="D20" s="522"/>
      <c r="E20" s="523"/>
      <c r="F20" s="294"/>
      <c r="G20" s="294"/>
      <c r="H20" s="348"/>
      <c r="I20" s="29" t="s">
        <v>6</v>
      </c>
      <c r="J20" s="323">
        <f>AVERAGE(I10:I12)</f>
        <v>98.454646458253933</v>
      </c>
      <c r="K20" s="284">
        <f>COUNTA([4]Brewhouse!$A$789:$A$796)</f>
        <v>8</v>
      </c>
      <c r="L20" s="305">
        <f>AVERAGE([4]Brewhouse!$AU$789:$AU$796)</f>
        <v>97.852627055566273</v>
      </c>
      <c r="M20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,[4]Brewhouse!$AU$789:$AU$796)</f>
        <v>98.326185180443801</v>
      </c>
      <c r="N20" s="30">
        <v>98</v>
      </c>
      <c r="O20" s="11"/>
      <c r="P20" s="31"/>
      <c r="R20" s="277">
        <f t="shared" si="0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7" ht="15" customHeight="1">
      <c r="A21" s="28"/>
      <c r="B21" s="568"/>
      <c r="C21" s="362"/>
      <c r="D21" s="524"/>
      <c r="E21" s="525"/>
      <c r="F21" s="294"/>
      <c r="G21" s="294"/>
      <c r="H21" s="348"/>
      <c r="I21" s="33" t="s">
        <v>9</v>
      </c>
      <c r="J21" s="323"/>
      <c r="K21" s="284">
        <f>COUNTA([3]Brewhouse!$A$390:$A$391)</f>
        <v>2</v>
      </c>
      <c r="L21" s="302">
        <f>AVERAGE([3]Brewhouse!$AS$390:$AS$391)</f>
        <v>99.056946070238752</v>
      </c>
      <c r="M21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$388,[3]Brewhouse!$AS$390:$AS$391)</f>
        <v>98.311229916038556</v>
      </c>
      <c r="N21" s="30">
        <v>98</v>
      </c>
      <c r="O21" s="11"/>
      <c r="P21" s="31"/>
      <c r="R21" s="277">
        <f t="shared" si="0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7" ht="14.65" customHeight="1">
      <c r="A22" s="28"/>
      <c r="B22" s="568"/>
      <c r="C22" s="362"/>
      <c r="D22" s="529"/>
      <c r="E22" s="530"/>
      <c r="F22" s="294"/>
      <c r="G22" s="294"/>
      <c r="H22" s="348"/>
      <c r="I22" s="34" t="s">
        <v>12</v>
      </c>
      <c r="J22" s="323"/>
      <c r="K22" s="284"/>
      <c r="L22" s="302"/>
      <c r="M22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2" s="30">
        <v>98</v>
      </c>
      <c r="O22" s="11"/>
      <c r="P22" s="31"/>
      <c r="R22" s="277">
        <f t="shared" si="0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7" ht="14.65" customHeight="1">
      <c r="A23" s="28"/>
      <c r="B23" s="568"/>
      <c r="C23" s="362"/>
      <c r="D23" s="531"/>
      <c r="E23" s="525"/>
      <c r="F23" s="294"/>
      <c r="G23" s="294"/>
      <c r="H23" s="348"/>
      <c r="I23" s="22" t="s">
        <v>33</v>
      </c>
      <c r="J23" s="280"/>
      <c r="K23" s="284"/>
      <c r="L23" s="302"/>
      <c r="M23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97.566635166530773</v>
      </c>
      <c r="N23" s="30">
        <v>98</v>
      </c>
      <c r="O23" s="11"/>
      <c r="P23" s="31"/>
      <c r="R23" s="277">
        <f t="shared" si="0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7" ht="14.65" customHeight="1">
      <c r="A24" s="28"/>
      <c r="B24" s="568"/>
      <c r="C24" s="362"/>
      <c r="D24" s="529"/>
      <c r="E24" s="530"/>
      <c r="F24" s="294"/>
      <c r="G24" s="294"/>
      <c r="H24" s="348"/>
      <c r="I24" s="35" t="s">
        <v>29</v>
      </c>
      <c r="J24" s="280"/>
      <c r="K24" s="284"/>
      <c r="L24" s="302"/>
      <c r="M24" s="302"/>
      <c r="N24" s="30">
        <v>98</v>
      </c>
      <c r="O24" s="11"/>
      <c r="P24" s="31"/>
      <c r="R24" s="277">
        <f t="shared" si="0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1:27" ht="14.65" customHeight="1">
      <c r="A25" s="28"/>
      <c r="B25" s="568"/>
      <c r="C25" s="362"/>
      <c r="D25" s="531"/>
      <c r="E25" s="525"/>
      <c r="F25" s="416"/>
      <c r="G25" s="294"/>
      <c r="H25" s="348"/>
      <c r="I25" s="36" t="s">
        <v>15</v>
      </c>
      <c r="J25" s="323"/>
      <c r="K25" s="284"/>
      <c r="L25" s="302"/>
      <c r="M25" s="302">
        <f>AVERAGE([7]Brewhouse!$AT$4:$AT$11,[7]Brewhouse!$AT$13:$AT$16,[7]Brewhouse!$AT$18:$AT$30)</f>
        <v>93.22262799886262</v>
      </c>
      <c r="N25" s="30">
        <v>98</v>
      </c>
      <c r="O25" s="11"/>
      <c r="P25" s="31"/>
      <c r="R25" s="277">
        <f t="shared" si="0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7" ht="14.65" customHeight="1">
      <c r="A26" s="28"/>
      <c r="B26" s="568"/>
      <c r="C26" s="362"/>
      <c r="D26" s="529"/>
      <c r="E26" s="530"/>
      <c r="F26" s="416"/>
      <c r="G26" s="294"/>
      <c r="H26" s="348"/>
      <c r="I26" s="37" t="s">
        <v>16</v>
      </c>
      <c r="J26" s="323"/>
      <c r="K26" s="284"/>
      <c r="L26" s="302"/>
      <c r="M26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97.792958274585203</v>
      </c>
      <c r="N26" s="30">
        <v>98</v>
      </c>
      <c r="O26" s="11"/>
      <c r="P26" s="31" t="s">
        <v>41</v>
      </c>
      <c r="R26" s="277">
        <f t="shared" si="0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7" ht="14.65" customHeight="1">
      <c r="A27" s="28"/>
      <c r="B27" s="568"/>
      <c r="C27" s="362"/>
      <c r="D27" s="531"/>
      <c r="E27" s="525"/>
      <c r="F27" s="294"/>
      <c r="G27" s="294"/>
      <c r="H27" s="348"/>
      <c r="I27" s="410" t="s">
        <v>158</v>
      </c>
      <c r="J27" s="326"/>
      <c r="K27" s="284"/>
      <c r="L27" s="305"/>
      <c r="M27" s="305"/>
      <c r="N27" s="30">
        <v>98</v>
      </c>
      <c r="O27" s="11"/>
      <c r="P27" s="31"/>
      <c r="R27" s="277">
        <f t="shared" si="0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7" ht="14.65" customHeight="1">
      <c r="A28" s="28"/>
      <c r="B28" s="568"/>
      <c r="C28" s="362"/>
      <c r="D28" s="529"/>
      <c r="E28" s="530"/>
      <c r="F28" s="294"/>
      <c r="G28" s="294"/>
      <c r="H28" s="348"/>
      <c r="I28" s="409" t="s">
        <v>157</v>
      </c>
      <c r="J28" s="326"/>
      <c r="K28" s="284"/>
      <c r="L28" s="305"/>
      <c r="M28" s="305"/>
      <c r="N28" s="30">
        <v>98</v>
      </c>
      <c r="O28" s="11"/>
      <c r="P28" s="31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  <c r="AA28" s="471"/>
    </row>
    <row r="29" spans="1:27" ht="15" customHeight="1" thickBot="1">
      <c r="A29" s="28"/>
      <c r="B29" s="568"/>
      <c r="C29" s="362"/>
      <c r="D29" s="531"/>
      <c r="E29" s="525"/>
      <c r="F29" s="294"/>
      <c r="G29" s="294"/>
      <c r="H29" s="348"/>
      <c r="I29" s="405" t="s">
        <v>156</v>
      </c>
      <c r="J29" s="327"/>
      <c r="K29" s="406"/>
      <c r="L29" s="407"/>
      <c r="M29" s="407"/>
      <c r="N29" s="408">
        <v>98</v>
      </c>
      <c r="O29" s="11"/>
      <c r="P29" s="31"/>
      <c r="R29" s="277">
        <f t="shared" si="0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  <c r="AA29" s="471"/>
    </row>
    <row r="30" spans="1:27" ht="15" customHeight="1" thickBot="1">
      <c r="A30" s="28"/>
      <c r="B30" s="568"/>
      <c r="C30" s="349"/>
      <c r="D30" s="522"/>
      <c r="E30" s="523"/>
      <c r="F30" s="294"/>
      <c r="G30" s="294"/>
      <c r="H30" s="348"/>
      <c r="I30" s="1"/>
      <c r="J30" s="39"/>
      <c r="K30" s="403">
        <f>SUM(K20:K29)</f>
        <v>10</v>
      </c>
      <c r="L30" s="404">
        <f>((L20*K20)+(L21*K21)+(L22*K22)+(L23*K23)+(L24*K24)+(K27*L27)+(L25*K25)+(L26*K26)+(L29*K29))/(K30)</f>
        <v>98.093490858500758</v>
      </c>
      <c r="M30" s="404">
        <f>AVERAGE('[9]Jan30th-31st'!$L$42,'[10]Feb 27th-28th'!$L$45,'[11]Mar 31st'!$L$42,'[12]Apr 30th'!$L$41,'[13]May 29th '!$L$35,'[14]June 30th'!$L$32,[15]July31st!$L$36,'[16]Aug 31st'!$L$32,L30)</f>
        <v>97.997163601205045</v>
      </c>
      <c r="N30" s="40">
        <v>98</v>
      </c>
      <c r="O30" s="11"/>
      <c r="P30" s="31"/>
      <c r="R30" s="277">
        <f t="shared" si="0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  <c r="AA30" s="471"/>
    </row>
    <row r="31" spans="1:27" ht="15.75" thickBot="1">
      <c r="B31" s="589"/>
      <c r="C31" s="350"/>
      <c r="D31" s="524"/>
      <c r="E31" s="525"/>
      <c r="F31" s="294"/>
      <c r="G31" s="42"/>
      <c r="H31" s="41"/>
      <c r="I31" s="42"/>
      <c r="J31" s="42"/>
      <c r="K31" s="351"/>
      <c r="L31" s="348"/>
      <c r="M31" s="348"/>
      <c r="N31" s="11"/>
      <c r="O31" s="294"/>
      <c r="P31" s="12"/>
      <c r="R31" s="277">
        <f t="shared" si="0"/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  <c r="AA31" s="471"/>
    </row>
    <row r="32" spans="1:27" ht="15.75" thickBot="1">
      <c r="B32" s="519"/>
      <c r="C32" s="362"/>
      <c r="D32" s="522"/>
      <c r="E32" s="523"/>
      <c r="F32" s="294"/>
      <c r="G32" s="42"/>
      <c r="H32" s="41"/>
      <c r="I32" s="42"/>
      <c r="J32" s="526" t="s">
        <v>129</v>
      </c>
      <c r="K32" s="526"/>
      <c r="L32" s="294"/>
      <c r="M32" s="294"/>
      <c r="N32" s="294"/>
      <c r="O32" s="294"/>
      <c r="P32" s="12"/>
    </row>
    <row r="33" spans="2:56" ht="15.75" thickBot="1">
      <c r="B33" s="520"/>
      <c r="C33" s="362"/>
      <c r="D33" s="524"/>
      <c r="E33" s="525"/>
      <c r="F33" s="294"/>
      <c r="G33" s="42"/>
      <c r="H33" s="42"/>
      <c r="I33" s="42"/>
      <c r="J33" s="292" t="s">
        <v>17</v>
      </c>
      <c r="K33" s="293"/>
      <c r="L33" s="527" t="s">
        <v>136</v>
      </c>
      <c r="M33" s="527"/>
      <c r="N33" s="528"/>
      <c r="O33" s="294"/>
      <c r="P33" s="12"/>
    </row>
    <row r="34" spans="2:56" ht="15" customHeight="1" thickBot="1">
      <c r="B34" s="520"/>
      <c r="C34" s="349"/>
      <c r="D34" s="529"/>
      <c r="E34" s="530"/>
      <c r="F34" s="294"/>
      <c r="G34" s="42"/>
      <c r="H34" s="42"/>
      <c r="I34" s="42"/>
      <c r="J34" s="287" t="s">
        <v>6</v>
      </c>
      <c r="K34" s="324">
        <v>3</v>
      </c>
      <c r="L34" s="472" t="s">
        <v>37</v>
      </c>
      <c r="M34" s="473" t="s">
        <v>38</v>
      </c>
      <c r="N34" s="473" t="s">
        <v>84</v>
      </c>
      <c r="O34" s="294"/>
      <c r="P34" s="12"/>
    </row>
    <row r="35" spans="2:56" ht="15.75" customHeight="1" thickBot="1">
      <c r="B35" s="520"/>
      <c r="C35" s="349"/>
      <c r="D35" s="531"/>
      <c r="E35" s="525"/>
      <c r="F35" s="294"/>
      <c r="G35" s="42"/>
      <c r="H35" s="42"/>
      <c r="I35" s="42"/>
      <c r="J35" s="345" t="s">
        <v>9</v>
      </c>
      <c r="K35" s="324"/>
      <c r="L35" s="484">
        <f>AVERAGE('Oct 1st'!K52,K44)</f>
        <v>5</v>
      </c>
      <c r="M35" s="485">
        <f>AVERAGE('[9]Jan30th-31st'!$L$47,L35,'[10]Feb 26th '!$L$39,'[11]Mar 31st'!$L$47,'[12]Apr 30th'!$L$46,'[13]May 29th '!$L$40,'[14]June 30th'!$L$39,[15]July31st!$L$41,'[16]Aug 31st'!$L$37,'[17]Sept 30th'!$L$37)</f>
        <v>6.3735341470124078</v>
      </c>
      <c r="N35" s="415">
        <v>9.1999999999999993</v>
      </c>
      <c r="O35" s="294"/>
      <c r="P35" s="12"/>
    </row>
    <row r="36" spans="2:56" ht="15" customHeight="1">
      <c r="B36" s="520"/>
      <c r="C36" s="349"/>
      <c r="D36" s="529"/>
      <c r="E36" s="530"/>
      <c r="F36" s="294"/>
      <c r="G36" s="42"/>
      <c r="H36" s="42"/>
      <c r="I36" s="42"/>
      <c r="J36" s="288" t="s">
        <v>40</v>
      </c>
      <c r="K36" s="324"/>
      <c r="L36" s="294"/>
      <c r="M36" s="294"/>
      <c r="N36" s="294"/>
      <c r="O36" s="294"/>
      <c r="P36" s="12"/>
    </row>
    <row r="37" spans="2:56" ht="15" customHeight="1">
      <c r="B37" s="520"/>
      <c r="C37" s="349"/>
      <c r="D37" s="531"/>
      <c r="E37" s="525"/>
      <c r="F37" s="294"/>
      <c r="G37" s="42"/>
      <c r="H37" s="42"/>
      <c r="I37" s="42"/>
      <c r="J37" s="289" t="s">
        <v>33</v>
      </c>
      <c r="K37" s="324"/>
      <c r="L37" s="294"/>
      <c r="M37" s="294"/>
      <c r="N37" s="294"/>
      <c r="O37" s="294"/>
      <c r="P37" s="12"/>
    </row>
    <row r="38" spans="2:56" ht="15">
      <c r="B38" s="520"/>
      <c r="C38" s="349"/>
      <c r="D38" s="529"/>
      <c r="E38" s="530"/>
      <c r="F38" s="294"/>
      <c r="G38" s="42"/>
      <c r="H38" s="42"/>
      <c r="I38" s="42"/>
      <c r="J38" s="290" t="s">
        <v>16</v>
      </c>
      <c r="K38" s="324"/>
      <c r="L38" s="294"/>
      <c r="M38" s="294"/>
      <c r="N38" s="294"/>
      <c r="O38" s="294"/>
      <c r="P38" s="12"/>
      <c r="BC38" s="44"/>
      <c r="BD38" s="44"/>
    </row>
    <row r="39" spans="2:56" ht="15">
      <c r="B39" s="520"/>
      <c r="C39" s="349"/>
      <c r="D39" s="531"/>
      <c r="E39" s="525"/>
      <c r="F39" s="294"/>
      <c r="G39" s="42"/>
      <c r="H39" s="42"/>
      <c r="I39" s="42"/>
      <c r="J39" s="291" t="s">
        <v>15</v>
      </c>
      <c r="K39" s="324"/>
      <c r="L39" s="294"/>
      <c r="M39" s="294"/>
      <c r="N39" s="294"/>
      <c r="O39" s="294"/>
      <c r="P39" s="12"/>
      <c r="BC39" s="44"/>
      <c r="BD39" s="44"/>
    </row>
    <row r="40" spans="2:56" ht="15">
      <c r="B40" s="520"/>
      <c r="C40" s="349"/>
      <c r="D40" s="529"/>
      <c r="E40" s="530"/>
      <c r="F40" s="294"/>
      <c r="G40" s="42"/>
      <c r="H40" s="42"/>
      <c r="I40" s="42"/>
      <c r="J40" s="291" t="s">
        <v>149</v>
      </c>
      <c r="K40" s="324"/>
      <c r="L40" s="294"/>
      <c r="M40" s="294"/>
      <c r="N40" s="294"/>
      <c r="O40" s="294"/>
      <c r="P40" s="12"/>
      <c r="BC40" s="44"/>
      <c r="BD40" s="44"/>
    </row>
    <row r="41" spans="2:56" ht="15.75" thickBot="1">
      <c r="B41" s="521"/>
      <c r="C41" s="350"/>
      <c r="D41" s="532"/>
      <c r="E41" s="533"/>
      <c r="F41" s="294" t="s">
        <v>165</v>
      </c>
      <c r="G41" s="42"/>
      <c r="H41" s="42"/>
      <c r="I41" s="42"/>
      <c r="J41" s="291" t="s">
        <v>148</v>
      </c>
      <c r="K41" s="324"/>
      <c r="L41" s="294"/>
      <c r="M41" s="294"/>
      <c r="N41" s="294" t="s">
        <v>41</v>
      </c>
      <c r="O41" s="294"/>
      <c r="P41" s="12"/>
      <c r="BC41" s="44"/>
      <c r="BD41" s="44"/>
    </row>
    <row r="42" spans="2:56" ht="17.649999999999999" customHeight="1" thickBot="1">
      <c r="B42" s="312" t="s">
        <v>139</v>
      </c>
      <c r="C42" s="313"/>
      <c r="D42" s="512"/>
      <c r="E42" s="513"/>
      <c r="F42" s="294"/>
      <c r="J42" s="295" t="s">
        <v>134</v>
      </c>
      <c r="K42" s="324"/>
      <c r="L42" s="294"/>
      <c r="M42" s="294"/>
      <c r="N42" s="294"/>
      <c r="O42" s="294"/>
      <c r="P42" s="12"/>
      <c r="BC42" s="44"/>
      <c r="BD42" s="44"/>
    </row>
    <row r="43" spans="2:56" ht="17.649999999999999" customHeight="1">
      <c r="B43" s="363"/>
      <c r="C43" s="364"/>
      <c r="D43" s="365"/>
      <c r="E43" s="365"/>
      <c r="F43" s="294"/>
      <c r="G43" s="42"/>
      <c r="H43" s="42"/>
      <c r="I43" s="42"/>
      <c r="J43" s="295" t="s">
        <v>131</v>
      </c>
      <c r="K43" s="324"/>
      <c r="L43" s="294"/>
      <c r="M43" s="294"/>
      <c r="N43" s="294"/>
      <c r="O43" s="294"/>
      <c r="P43" s="12"/>
      <c r="BC43" s="44"/>
      <c r="BD43" s="44"/>
    </row>
    <row r="44" spans="2:56" ht="15.6" customHeight="1">
      <c r="B44" s="45"/>
      <c r="C44" s="11"/>
      <c r="D44" s="11"/>
      <c r="E44" s="46"/>
      <c r="F44" s="294"/>
      <c r="G44" s="42"/>
      <c r="H44" s="42"/>
      <c r="I44" s="42"/>
      <c r="J44" s="346" t="s">
        <v>130</v>
      </c>
      <c r="K44" s="324">
        <f>SUM(K34:K43)</f>
        <v>3</v>
      </c>
      <c r="L44" s="294"/>
      <c r="M44" s="294"/>
      <c r="N44" s="294"/>
      <c r="O44" s="294"/>
      <c r="P44" s="12"/>
    </row>
    <row r="45" spans="2:56" ht="20.25" customHeight="1">
      <c r="B45" s="15" t="s">
        <v>42</v>
      </c>
      <c r="C45" s="1" t="s">
        <v>43</v>
      </c>
      <c r="D45" s="1"/>
      <c r="E45" s="1"/>
      <c r="F45" s="294"/>
      <c r="G45" s="42"/>
      <c r="H45" s="41"/>
      <c r="I45" s="42"/>
      <c r="L45" s="42"/>
      <c r="N45" s="315"/>
      <c r="P45" s="334"/>
    </row>
    <row r="46" spans="2:56" ht="15" customHeight="1" thickBot="1"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1"/>
      <c r="O46" s="48"/>
      <c r="P46" s="49"/>
    </row>
    <row r="47" spans="2:56" ht="15" customHeight="1" thickBot="1">
      <c r="B47" s="504" t="s">
        <v>17</v>
      </c>
      <c r="C47" s="504" t="s">
        <v>44</v>
      </c>
      <c r="D47" s="515" t="s">
        <v>45</v>
      </c>
      <c r="E47" s="517" t="s">
        <v>46</v>
      </c>
      <c r="F47" s="510" t="s">
        <v>47</v>
      </c>
      <c r="G47" s="502" t="s">
        <v>48</v>
      </c>
      <c r="H47" s="504" t="s">
        <v>49</v>
      </c>
      <c r="I47" s="504" t="s">
        <v>50</v>
      </c>
      <c r="J47" s="496" t="s">
        <v>28</v>
      </c>
      <c r="K47" s="506" t="s">
        <v>51</v>
      </c>
      <c r="L47" s="508" t="s">
        <v>52</v>
      </c>
      <c r="M47" s="496" t="s">
        <v>53</v>
      </c>
      <c r="N47" s="13"/>
      <c r="O47" s="13"/>
      <c r="P47" s="50"/>
    </row>
    <row r="48" spans="2:56" ht="28.5" customHeight="1" thickTop="1" thickBot="1">
      <c r="B48" s="505"/>
      <c r="C48" s="514"/>
      <c r="D48" s="516"/>
      <c r="E48" s="518"/>
      <c r="F48" s="511"/>
      <c r="G48" s="503"/>
      <c r="H48" s="505"/>
      <c r="I48" s="505"/>
      <c r="J48" s="497"/>
      <c r="K48" s="507"/>
      <c r="L48" s="509"/>
      <c r="M48" s="497"/>
      <c r="N48" s="13"/>
      <c r="O48" s="13"/>
      <c r="P48" s="50"/>
      <c r="Q48" s="355"/>
      <c r="AB48" s="474">
        <v>43474</v>
      </c>
      <c r="AC48" s="474">
        <v>43475</v>
      </c>
      <c r="AD48" s="474">
        <v>43476</v>
      </c>
      <c r="AE48" s="474">
        <v>43477</v>
      </c>
      <c r="AF48" s="474">
        <v>43478</v>
      </c>
      <c r="AG48" s="474">
        <v>43479</v>
      </c>
      <c r="AH48" s="474">
        <v>43480</v>
      </c>
      <c r="AI48" s="474">
        <v>43481</v>
      </c>
      <c r="AJ48" s="474">
        <v>43482</v>
      </c>
      <c r="AK48" s="474">
        <v>43483</v>
      </c>
      <c r="AL48" s="474">
        <v>43484</v>
      </c>
      <c r="AM48" s="474">
        <v>43485</v>
      </c>
      <c r="AN48" s="474">
        <v>43486</v>
      </c>
      <c r="AO48" s="474">
        <v>43487</v>
      </c>
      <c r="AP48" s="474">
        <v>43488</v>
      </c>
      <c r="AQ48" s="474">
        <v>43489</v>
      </c>
      <c r="AR48" s="474">
        <v>43490</v>
      </c>
      <c r="AS48" s="474">
        <v>43491</v>
      </c>
      <c r="AT48" s="474">
        <v>43492</v>
      </c>
      <c r="AU48" s="474">
        <v>43493</v>
      </c>
      <c r="AV48" s="474">
        <v>43494</v>
      </c>
      <c r="AW48" s="474">
        <v>43495</v>
      </c>
      <c r="AX48" s="474">
        <v>43496</v>
      </c>
    </row>
    <row r="49" spans="2:57" s="54" customFormat="1" ht="36.75" customHeight="1" thickBot="1">
      <c r="B49" s="455" t="str">
        <f>J34</f>
        <v>CARIB</v>
      </c>
      <c r="C49" s="478">
        <v>46297</v>
      </c>
      <c r="D49" s="444">
        <f>[18]October_2026!$E$3</f>
        <v>178.8</v>
      </c>
      <c r="E49" s="442"/>
      <c r="F49" s="443"/>
      <c r="G49" s="443">
        <f>[18]October_2026!$E$7</f>
        <v>172.9</v>
      </c>
      <c r="H49" s="457"/>
      <c r="I49" s="457"/>
      <c r="J49" s="447" t="s">
        <v>150</v>
      </c>
      <c r="K49" s="448">
        <f>[19]October_2026!$E$18</f>
        <v>0.60666666666666669</v>
      </c>
      <c r="L49" s="456">
        <f>(((D49+E49)-G49)/(D49+E49))*100</f>
        <v>3.2997762863534703</v>
      </c>
      <c r="M49" s="454" t="s">
        <v>172</v>
      </c>
      <c r="N49" s="13"/>
      <c r="O49" s="13"/>
      <c r="P49" s="50"/>
      <c r="R49" s="275"/>
      <c r="S49" s="275"/>
      <c r="T49" s="275"/>
      <c r="U49" s="275"/>
      <c r="V49" s="275"/>
      <c r="W49" s="275"/>
      <c r="X49" s="275"/>
      <c r="Y49" s="275"/>
      <c r="Z49" s="275"/>
      <c r="AA49" s="275"/>
      <c r="AB49" s="57">
        <f>[20]January_2019!L5</f>
        <v>0</v>
      </c>
      <c r="AC49" s="57">
        <f>[20]January_2019!M5</f>
        <v>0</v>
      </c>
      <c r="AD49" s="57">
        <f>[20]January_2019!N5</f>
        <v>0</v>
      </c>
      <c r="AE49" s="57">
        <f>[20]January_2019!O5</f>
        <v>0</v>
      </c>
      <c r="AF49" s="57">
        <f>[20]January_2019!P5</f>
        <v>0</v>
      </c>
      <c r="AG49" s="57">
        <f>[20]January_2019!Q5</f>
        <v>0</v>
      </c>
      <c r="AH49" s="57">
        <f>[20]January_2019!R5</f>
        <v>0</v>
      </c>
      <c r="AI49" s="57">
        <f>[20]January_2019!S5</f>
        <v>0</v>
      </c>
      <c r="AJ49" s="57">
        <f>[20]January_2019!T5</f>
        <v>0</v>
      </c>
      <c r="AK49" s="57">
        <f>[20]January_2019!U5</f>
        <v>0</v>
      </c>
      <c r="AL49" s="57">
        <f>[20]January_2019!V5</f>
        <v>0</v>
      </c>
      <c r="AM49" s="57">
        <f>[20]January_2019!W5</f>
        <v>0</v>
      </c>
      <c r="AN49" s="57">
        <f>[20]January_2019!X5</f>
        <v>0</v>
      </c>
      <c r="AO49" s="57">
        <f>[20]January_2019!Y5</f>
        <v>0</v>
      </c>
      <c r="AP49" s="57">
        <f>[20]January_2019!Z5</f>
        <v>0</v>
      </c>
      <c r="AQ49" s="57">
        <f>[20]January_2019!AA5</f>
        <v>0</v>
      </c>
      <c r="AR49" s="57">
        <f>[20]January_2019!AB5</f>
        <v>0</v>
      </c>
      <c r="AS49" s="57">
        <f>[20]January_2019!AC5</f>
        <v>0</v>
      </c>
      <c r="AT49" s="57">
        <f>[20]January_2019!AD5</f>
        <v>0</v>
      </c>
      <c r="AU49" s="57">
        <f>[20]January_2019!AE5</f>
        <v>0</v>
      </c>
      <c r="AV49" s="57">
        <f>[20]January_2019!AF5</f>
        <v>0</v>
      </c>
      <c r="AW49" s="57">
        <f>[20]January_2019!AG5</f>
        <v>0</v>
      </c>
      <c r="AX49" s="277">
        <f>[20]January_2019!AH5</f>
        <v>0</v>
      </c>
      <c r="AY49" s="277"/>
      <c r="AZ49" s="277"/>
      <c r="BA49" s="277"/>
      <c r="BB49" s="277"/>
      <c r="BC49" s="277"/>
      <c r="BD49" s="277"/>
      <c r="BE49" s="277"/>
    </row>
    <row r="50" spans="2:57" s="54" customFormat="1" ht="14.25" hidden="1" customHeight="1" thickBot="1">
      <c r="B50" s="479"/>
      <c r="C50" s="478"/>
      <c r="D50" s="441"/>
      <c r="E50" s="442"/>
      <c r="F50" s="443"/>
      <c r="G50" s="444"/>
      <c r="H50" s="457"/>
      <c r="I50" s="457"/>
      <c r="J50" s="475"/>
      <c r="K50" s="448"/>
      <c r="L50" s="456"/>
      <c r="M50" s="454"/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>
        <f>[20]January_2019!L6</f>
        <v>0</v>
      </c>
      <c r="AC50" s="57">
        <f>[20]January_2019!M6</f>
        <v>0</v>
      </c>
      <c r="AD50" s="57">
        <f>[20]January_2019!N6</f>
        <v>0</v>
      </c>
      <c r="AE50" s="57">
        <f>[20]January_2019!O6</f>
        <v>0</v>
      </c>
      <c r="AF50" s="57">
        <f>[20]January_2019!P6</f>
        <v>0</v>
      </c>
      <c r="AG50" s="57">
        <f>[20]January_2019!Q6</f>
        <v>0</v>
      </c>
      <c r="AH50" s="57">
        <f>[20]January_2019!R6</f>
        <v>0</v>
      </c>
      <c r="AI50" s="57">
        <f>[20]January_2019!S6</f>
        <v>0</v>
      </c>
      <c r="AJ50" s="57">
        <f>[20]January_2019!T6</f>
        <v>0</v>
      </c>
      <c r="AK50" s="57">
        <f>[20]January_2019!U6</f>
        <v>0</v>
      </c>
      <c r="AL50" s="57">
        <f>[20]January_2019!V6</f>
        <v>0</v>
      </c>
      <c r="AM50" s="57">
        <f>[20]January_2019!W6</f>
        <v>0</v>
      </c>
      <c r="AN50" s="57">
        <f>[20]January_2019!X6</f>
        <v>0</v>
      </c>
      <c r="AO50" s="57">
        <f>[20]January_2019!Y6</f>
        <v>0</v>
      </c>
      <c r="AP50" s="57">
        <f>[20]January_2019!Z6</f>
        <v>0</v>
      </c>
      <c r="AQ50" s="57">
        <f>[20]January_2019!AA6</f>
        <v>0</v>
      </c>
      <c r="AR50" s="57">
        <f>[20]January_2019!AB6</f>
        <v>0</v>
      </c>
      <c r="AS50" s="57">
        <f>[20]January_2019!AC6</f>
        <v>0</v>
      </c>
      <c r="AT50" s="57">
        <f>[20]January_2019!AD6</f>
        <v>0</v>
      </c>
      <c r="AU50" s="57">
        <f>[20]January_2019!AE6</f>
        <v>0</v>
      </c>
      <c r="AV50" s="57">
        <f>[20]January_2019!AF6</f>
        <v>0</v>
      </c>
      <c r="AW50" s="57">
        <f>[20]January_2019!AG6</f>
        <v>0</v>
      </c>
      <c r="AX50" s="277">
        <f>[20]January_2019!AH6</f>
        <v>0</v>
      </c>
      <c r="AY50" s="277"/>
      <c r="AZ50" s="277"/>
      <c r="BA50" s="277"/>
      <c r="BB50" s="277"/>
      <c r="BC50" s="277"/>
      <c r="BD50" s="277"/>
      <c r="BE50" s="277"/>
    </row>
    <row r="51" spans="2:57" s="54" customFormat="1" ht="37.15" hidden="1" customHeight="1" thickBot="1">
      <c r="B51" s="489" t="str">
        <f>J35</f>
        <v>STAG</v>
      </c>
      <c r="C51" s="478">
        <v>46287</v>
      </c>
      <c r="D51" s="441">
        <f>[18]September_2026!$Y$13</f>
        <v>190.70000000000002</v>
      </c>
      <c r="E51" s="442"/>
      <c r="F51" s="443"/>
      <c r="G51" s="443">
        <f>[18]September_2026!$Y$17</f>
        <v>184.3</v>
      </c>
      <c r="H51" s="445"/>
      <c r="I51" s="445"/>
      <c r="J51" s="447" t="s">
        <v>169</v>
      </c>
      <c r="K51" s="448">
        <f>[19]September_2026!$Y$25</f>
        <v>0.64666666666666672</v>
      </c>
      <c r="L51" s="456">
        <f>(((D51+E51)-G51)/(D51+E51))*100</f>
        <v>3.3560566334556925</v>
      </c>
      <c r="M51" s="454" t="s">
        <v>170</v>
      </c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[20]January_2019!L7</f>
        <v>285.8</v>
      </c>
      <c r="AC51" s="57">
        <f>[20]January_2019!M7</f>
        <v>508.1</v>
      </c>
      <c r="AD51" s="57">
        <f>[20]January_2019!N7</f>
        <v>0</v>
      </c>
      <c r="AE51" s="57">
        <f>[20]January_2019!O7</f>
        <v>0</v>
      </c>
      <c r="AF51" s="57">
        <f>[20]January_2019!P7</f>
        <v>109.56666666666666</v>
      </c>
      <c r="AG51" s="57">
        <f>[20]January_2019!Q7</f>
        <v>297.64999999999998</v>
      </c>
      <c r="AH51" s="57">
        <f>[20]January_2019!R7</f>
        <v>122.3</v>
      </c>
      <c r="AI51" s="57">
        <f>[20]January_2019!S7</f>
        <v>0</v>
      </c>
      <c r="AJ51" s="57">
        <f>[20]January_2019!T7</f>
        <v>294.7</v>
      </c>
      <c r="AK51" s="57">
        <f>[20]January_2019!U7</f>
        <v>280.5</v>
      </c>
      <c r="AL51" s="57">
        <f>[20]January_2019!V7</f>
        <v>0</v>
      </c>
      <c r="AM51" s="57">
        <f>[20]January_2019!W7</f>
        <v>0</v>
      </c>
      <c r="AN51" s="57">
        <f>[20]January_2019!X7</f>
        <v>188.25</v>
      </c>
      <c r="AO51" s="57">
        <f>[20]January_2019!Y7</f>
        <v>295.7</v>
      </c>
      <c r="AP51" s="57">
        <f>[20]January_2019!Z7</f>
        <v>257.8</v>
      </c>
      <c r="AQ51" s="57">
        <f>[20]January_2019!AA7</f>
        <v>291.2</v>
      </c>
      <c r="AR51" s="57">
        <f>[20]January_2019!AB7</f>
        <v>187</v>
      </c>
      <c r="AS51" s="57">
        <f>[20]January_2019!AC7</f>
        <v>0</v>
      </c>
      <c r="AT51" s="57">
        <f>[20]January_2019!AD7</f>
        <v>0</v>
      </c>
      <c r="AU51" s="57">
        <f>[20]January_2019!AE7</f>
        <v>485.1</v>
      </c>
      <c r="AV51" s="57">
        <f>[20]January_2019!AF7</f>
        <v>171.55</v>
      </c>
      <c r="AW51" s="57">
        <f>[20]January_2019!AG7</f>
        <v>423.8</v>
      </c>
      <c r="AX51" s="277">
        <f>[20]January_2019!AH7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18.600000000000001" hidden="1" customHeight="1" thickBot="1">
      <c r="B52" s="477"/>
      <c r="C52" s="429"/>
      <c r="D52" s="430"/>
      <c r="E52" s="431"/>
      <c r="F52" s="432"/>
      <c r="G52" s="433"/>
      <c r="H52" s="457"/>
      <c r="I52" s="457"/>
      <c r="J52" s="450"/>
      <c r="K52" s="435"/>
      <c r="L52" s="451"/>
      <c r="M52" s="420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277"/>
      <c r="AY52" s="277"/>
      <c r="AZ52" s="277"/>
      <c r="BA52" s="277"/>
      <c r="BB52" s="277"/>
      <c r="BC52" s="277"/>
      <c r="BD52" s="277"/>
      <c r="BE52" s="277"/>
    </row>
    <row r="53" spans="2:57" s="54" customFormat="1" ht="38.65" hidden="1" customHeight="1" thickBot="1">
      <c r="B53" s="486"/>
      <c r="C53" s="478"/>
      <c r="D53" s="441"/>
      <c r="E53" s="442"/>
      <c r="F53" s="443"/>
      <c r="G53" s="444"/>
      <c r="H53" s="457"/>
      <c r="I53" s="457"/>
      <c r="J53" s="447"/>
      <c r="K53" s="458"/>
      <c r="L53" s="456"/>
      <c r="M53" s="454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s="54" customFormat="1" ht="15" hidden="1">
      <c r="B54" s="452"/>
      <c r="C54" s="429"/>
      <c r="D54" s="430"/>
      <c r="E54" s="431"/>
      <c r="F54" s="432"/>
      <c r="G54" s="433"/>
      <c r="H54" s="434"/>
      <c r="I54" s="449"/>
      <c r="J54" s="450"/>
      <c r="K54" s="435"/>
      <c r="L54" s="451"/>
      <c r="M54" s="420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37.15" hidden="1" customHeight="1" thickBot="1">
      <c r="B55" s="480"/>
      <c r="C55" s="478"/>
      <c r="D55" s="441"/>
      <c r="E55" s="442"/>
      <c r="F55" s="443"/>
      <c r="G55" s="444"/>
      <c r="H55" s="445"/>
      <c r="I55" s="446"/>
      <c r="J55" s="447"/>
      <c r="K55" s="448"/>
      <c r="L55" s="456"/>
      <c r="M55" s="454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16.5" hidden="1" customHeight="1" thickBot="1">
      <c r="B56" s="436"/>
      <c r="C56" s="422"/>
      <c r="D56" s="423"/>
      <c r="E56" s="424"/>
      <c r="F56" s="425"/>
      <c r="G56" s="426"/>
      <c r="H56" s="427"/>
      <c r="I56" s="437"/>
      <c r="J56" s="438"/>
      <c r="K56" s="428"/>
      <c r="L56" s="439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414"/>
      <c r="AC56" s="414"/>
      <c r="AD56" s="414"/>
      <c r="AE56" s="414"/>
      <c r="AF56" s="414"/>
      <c r="AG56" s="414"/>
      <c r="AH56" s="414"/>
      <c r="AI56" s="414"/>
      <c r="AJ56" s="414"/>
      <c r="AK56" s="414"/>
      <c r="AL56" s="414"/>
      <c r="AM56" s="414"/>
      <c r="AN56" s="414"/>
      <c r="AO56" s="414"/>
      <c r="AP56" s="414"/>
      <c r="AQ56" s="414"/>
      <c r="AR56" s="414"/>
      <c r="AS56" s="414"/>
      <c r="AT56" s="414"/>
      <c r="AU56" s="414"/>
      <c r="AV56" s="414"/>
      <c r="AW56" s="414"/>
    </row>
    <row r="57" spans="2:57" s="54" customFormat="1" ht="37.15" hidden="1" customHeight="1" thickBot="1">
      <c r="B57" s="455"/>
      <c r="C57" s="440"/>
      <c r="D57" s="441"/>
      <c r="E57" s="442"/>
      <c r="F57" s="443"/>
      <c r="G57" s="444"/>
      <c r="H57" s="445"/>
      <c r="I57" s="446"/>
      <c r="J57" s="447"/>
      <c r="K57" s="448"/>
      <c r="L57" s="456"/>
      <c r="M57" s="453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7.15" customHeight="1">
      <c r="B58" s="465"/>
      <c r="C58" s="429"/>
      <c r="D58" s="459"/>
      <c r="E58" s="460"/>
      <c r="F58" s="461"/>
      <c r="G58" s="459"/>
      <c r="H58" s="462"/>
      <c r="I58" s="462"/>
      <c r="J58" s="462"/>
      <c r="K58" s="463"/>
      <c r="L58" s="464"/>
      <c r="M58" s="50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ht="18" customHeight="1" thickBot="1">
      <c r="B59" s="59"/>
      <c r="C59" s="30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 t="s">
        <v>41</v>
      </c>
      <c r="O59" s="56"/>
      <c r="P59" s="60"/>
    </row>
    <row r="60" spans="2:57" ht="15.75" thickBot="1">
      <c r="B60" s="498" t="s">
        <v>55</v>
      </c>
      <c r="C60" s="499"/>
      <c r="D60" s="499"/>
      <c r="E60" s="499"/>
      <c r="F60" s="500"/>
      <c r="G60" s="498" t="s">
        <v>56</v>
      </c>
      <c r="H60" s="499"/>
      <c r="I60" s="499"/>
      <c r="J60" s="500"/>
      <c r="K60" s="498" t="s">
        <v>51</v>
      </c>
      <c r="L60" s="499"/>
      <c r="M60" s="499"/>
      <c r="N60" s="501"/>
      <c r="O60" s="56"/>
      <c r="P60" s="50"/>
    </row>
    <row r="61" spans="2:57" ht="15">
      <c r="B61" s="61" t="s">
        <v>17</v>
      </c>
      <c r="C61" s="62" t="s">
        <v>36</v>
      </c>
      <c r="D61" s="62" t="s">
        <v>37</v>
      </c>
      <c r="E61" s="62" t="s">
        <v>38</v>
      </c>
      <c r="F61" s="63" t="s">
        <v>39</v>
      </c>
      <c r="G61" s="62" t="s">
        <v>36</v>
      </c>
      <c r="H61" s="62" t="s">
        <v>37</v>
      </c>
      <c r="I61" s="62" t="s">
        <v>38</v>
      </c>
      <c r="J61" s="63" t="s">
        <v>39</v>
      </c>
      <c r="K61" s="62" t="s">
        <v>36</v>
      </c>
      <c r="L61" s="62" t="s">
        <v>37</v>
      </c>
      <c r="M61" s="62" t="s">
        <v>38</v>
      </c>
      <c r="N61" s="63" t="s">
        <v>39</v>
      </c>
      <c r="O61" s="56"/>
      <c r="P61" s="64"/>
    </row>
    <row r="62" spans="2:57" ht="15">
      <c r="B62" s="29" t="s">
        <v>6</v>
      </c>
      <c r="C62" s="65">
        <f>L49</f>
        <v>3.2997762863534703</v>
      </c>
      <c r="D62" s="76">
        <v>5.1948051948052019</v>
      </c>
      <c r="E62" s="76">
        <v>6.4282927289657135</v>
      </c>
      <c r="F62" s="66">
        <v>4.8</v>
      </c>
      <c r="G62" s="65">
        <f>[18]October_2026!$E$11</f>
        <v>4.7276713042744225</v>
      </c>
      <c r="H62" s="476">
        <v>6.5947178334381018</v>
      </c>
      <c r="I62" s="476">
        <v>6.5259220948122536</v>
      </c>
      <c r="J62" s="66">
        <v>4.8</v>
      </c>
      <c r="K62" s="67">
        <f>K49</f>
        <v>0.60666666666666669</v>
      </c>
      <c r="L62" s="194">
        <v>0.35859649122807019</v>
      </c>
      <c r="M62" s="194">
        <v>0.53908627189124969</v>
      </c>
      <c r="N62" s="68">
        <v>1</v>
      </c>
      <c r="O62" s="56"/>
      <c r="P62" s="69"/>
    </row>
    <row r="63" spans="2:57" ht="15">
      <c r="B63" s="33" t="s">
        <v>9</v>
      </c>
      <c r="C63" s="65"/>
      <c r="D63" s="76"/>
      <c r="E63" s="76">
        <v>6.0345293824252026</v>
      </c>
      <c r="F63" s="66">
        <v>4.8</v>
      </c>
      <c r="G63" s="65"/>
      <c r="H63" s="76"/>
      <c r="I63" s="76">
        <v>5.9275658832823668</v>
      </c>
      <c r="J63" s="66">
        <v>4.8</v>
      </c>
      <c r="K63" s="67"/>
      <c r="L63" s="194"/>
      <c r="M63" s="194">
        <v>0.6824652535868081</v>
      </c>
      <c r="N63" s="68">
        <v>1</v>
      </c>
      <c r="P63" s="69"/>
    </row>
    <row r="64" spans="2:57" ht="15">
      <c r="B64" s="34" t="s">
        <v>40</v>
      </c>
      <c r="C64" s="65"/>
      <c r="D64" s="76"/>
      <c r="E64" s="76">
        <v>10.912862882586603</v>
      </c>
      <c r="F64" s="66">
        <v>5.5</v>
      </c>
      <c r="G64" s="65"/>
      <c r="H64" s="76"/>
      <c r="I64" s="76">
        <v>11.819732298933111</v>
      </c>
      <c r="J64" s="66">
        <v>5.5</v>
      </c>
      <c r="K64" s="67"/>
      <c r="L64" s="194"/>
      <c r="M64" s="194">
        <v>0.35370190356844494</v>
      </c>
      <c r="N64" s="68">
        <v>1</v>
      </c>
      <c r="P64" s="69"/>
    </row>
    <row r="65" spans="2:16" ht="15">
      <c r="B65" s="22" t="s">
        <v>33</v>
      </c>
      <c r="C65" s="65"/>
      <c r="D65" s="76">
        <v>2.6160971335586405</v>
      </c>
      <c r="E65" s="76">
        <v>4.8433372666231218</v>
      </c>
      <c r="F65" s="66">
        <v>3.3</v>
      </c>
      <c r="G65" s="65"/>
      <c r="H65" s="76">
        <v>4.0562064167659644</v>
      </c>
      <c r="I65" s="76">
        <v>4.7835858167498584</v>
      </c>
      <c r="J65" s="66">
        <v>3.3</v>
      </c>
      <c r="K65" s="67"/>
      <c r="L65" s="194">
        <v>1.3649122807017544</v>
      </c>
      <c r="M65" s="194">
        <v>0.77919298245614044</v>
      </c>
      <c r="N65" s="68">
        <v>1</v>
      </c>
      <c r="P65" s="69"/>
    </row>
    <row r="66" spans="2:16" ht="15">
      <c r="B66" s="35" t="s">
        <v>164</v>
      </c>
      <c r="C66" s="65"/>
      <c r="D66" s="76"/>
      <c r="E66" s="76"/>
      <c r="F66" s="66">
        <v>3.3</v>
      </c>
      <c r="G66" s="282"/>
      <c r="H66" s="76"/>
      <c r="I66" s="76"/>
      <c r="J66" s="66">
        <v>3</v>
      </c>
      <c r="K66" s="67"/>
      <c r="L66" s="194"/>
      <c r="M66" s="194"/>
      <c r="N66" s="68">
        <v>1</v>
      </c>
      <c r="P66" s="69"/>
    </row>
    <row r="67" spans="2:16" ht="15">
      <c r="B67" s="36" t="s">
        <v>15</v>
      </c>
      <c r="C67" s="65"/>
      <c r="D67" s="76"/>
      <c r="E67" s="76">
        <v>6.3233965672990236</v>
      </c>
      <c r="F67" s="70">
        <v>5.5</v>
      </c>
      <c r="G67" s="65"/>
      <c r="H67" s="76"/>
      <c r="I67" s="76">
        <v>7.9667553186446929</v>
      </c>
      <c r="J67" s="66">
        <v>5.5</v>
      </c>
      <c r="K67" s="67"/>
      <c r="L67" s="194"/>
      <c r="M67" s="194">
        <v>0.5883625730994152</v>
      </c>
      <c r="N67" s="68">
        <v>1</v>
      </c>
      <c r="P67" s="69"/>
    </row>
    <row r="68" spans="2:16" ht="15">
      <c r="B68" s="37" t="s">
        <v>16</v>
      </c>
      <c r="C68" s="481"/>
      <c r="D68" s="76"/>
      <c r="E68" s="76">
        <v>3.9973372218347856</v>
      </c>
      <c r="F68" s="66">
        <v>3.3</v>
      </c>
      <c r="G68" s="282"/>
      <c r="H68" s="76"/>
      <c r="I68" s="76">
        <v>5.1096183510504902</v>
      </c>
      <c r="J68" s="66">
        <v>3.3</v>
      </c>
      <c r="K68" s="67"/>
      <c r="L68" s="194"/>
      <c r="M68" s="194">
        <v>0.89057130004498408</v>
      </c>
      <c r="N68" s="71">
        <v>1</v>
      </c>
      <c r="P68" s="69"/>
    </row>
    <row r="69" spans="2:16" ht="15.75" thickBot="1">
      <c r="B69" s="38" t="s">
        <v>163</v>
      </c>
      <c r="C69" s="65"/>
      <c r="D69" s="76"/>
      <c r="E69" s="76"/>
      <c r="F69" s="66">
        <v>7.5</v>
      </c>
      <c r="G69" s="282"/>
      <c r="H69" s="76"/>
      <c r="I69" s="76"/>
      <c r="J69" s="66">
        <v>7.5</v>
      </c>
      <c r="K69" s="67"/>
      <c r="L69" s="194"/>
      <c r="M69" s="194"/>
      <c r="N69" s="71">
        <v>1</v>
      </c>
      <c r="P69" s="69"/>
    </row>
    <row r="70" spans="2:16" ht="15.75" thickBot="1">
      <c r="B70" s="413" t="s">
        <v>161</v>
      </c>
      <c r="C70" s="65"/>
      <c r="D70" s="76"/>
      <c r="E70" s="76"/>
      <c r="F70" s="66">
        <v>4.8</v>
      </c>
      <c r="G70" s="282"/>
      <c r="H70" s="76"/>
      <c r="I70" s="76"/>
      <c r="J70" s="66">
        <v>4.8</v>
      </c>
      <c r="K70" s="67"/>
      <c r="L70" s="194"/>
      <c r="M70" s="194"/>
      <c r="N70" s="71">
        <v>1</v>
      </c>
      <c r="O70" s="74"/>
      <c r="P70" s="75"/>
    </row>
    <row r="71" spans="2:16" ht="15">
      <c r="D71" s="76">
        <v>3.1641202562838857</v>
      </c>
      <c r="E71" s="76">
        <v>6.362317810863849</v>
      </c>
      <c r="F71" s="341">
        <v>5.5</v>
      </c>
      <c r="H71" s="76">
        <v>4.4573319835868546</v>
      </c>
      <c r="I71" s="76">
        <v>6.6333558982033063</v>
      </c>
      <c r="J71" s="341">
        <v>5.5</v>
      </c>
      <c r="L71" s="194">
        <v>0.86175438596491227</v>
      </c>
      <c r="M71" s="194">
        <v>0.59559710956710543</v>
      </c>
      <c r="N71" s="386">
        <v>1</v>
      </c>
    </row>
  </sheetData>
  <mergeCells count="51">
    <mergeCell ref="M47:M48"/>
    <mergeCell ref="B60:F60"/>
    <mergeCell ref="G60:J60"/>
    <mergeCell ref="K60:N60"/>
    <mergeCell ref="G47:G48"/>
    <mergeCell ref="H47:H48"/>
    <mergeCell ref="I47:I48"/>
    <mergeCell ref="J47:J48"/>
    <mergeCell ref="K47:K48"/>
    <mergeCell ref="L47:L48"/>
    <mergeCell ref="F47:F48"/>
    <mergeCell ref="D42:E42"/>
    <mergeCell ref="B47:B48"/>
    <mergeCell ref="C47:C48"/>
    <mergeCell ref="D47:D48"/>
    <mergeCell ref="E47:E48"/>
    <mergeCell ref="B32:B41"/>
    <mergeCell ref="D32:E33"/>
    <mergeCell ref="J32:K32"/>
    <mergeCell ref="L33:N33"/>
    <mergeCell ref="D34:E35"/>
    <mergeCell ref="D36:E37"/>
    <mergeCell ref="D38:E39"/>
    <mergeCell ref="D40:E41"/>
    <mergeCell ref="I18:N18"/>
    <mergeCell ref="D19:E19"/>
    <mergeCell ref="B20:B31"/>
    <mergeCell ref="D20:E21"/>
    <mergeCell ref="D22:E23"/>
    <mergeCell ref="D24:E25"/>
    <mergeCell ref="D26:E27"/>
    <mergeCell ref="D28:E29"/>
    <mergeCell ref="D30:E31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2:B43">
    <cfRule type="cellIs" dxfId="1921" priority="105" operator="notBetween">
      <formula>#REF!</formula>
      <formula>#REF!</formula>
    </cfRule>
  </conditionalFormatting>
  <conditionalFormatting sqref="C46">
    <cfRule type="cellIs" dxfId="1920" priority="188" stopIfTrue="1" operator="greaterThan">
      <formula>100</formula>
    </cfRule>
    <cfRule type="cellIs" dxfId="1919" priority="187" stopIfTrue="1" operator="lessThan">
      <formula>96</formula>
    </cfRule>
  </conditionalFormatting>
  <conditionalFormatting sqref="C62:C63">
    <cfRule type="cellIs" dxfId="1918" priority="69" stopIfTrue="1" operator="lessThanOrEqual">
      <formula>0</formula>
    </cfRule>
    <cfRule type="cellIs" dxfId="1917" priority="68" stopIfTrue="1" operator="greaterThan">
      <formula>$F62</formula>
    </cfRule>
    <cfRule type="cellIs" dxfId="1916" priority="70" stopIfTrue="1" operator="greaterThan">
      <formula>$F62</formula>
    </cfRule>
    <cfRule type="cellIs" dxfId="1915" priority="71" stopIfTrue="1" operator="lessThanOrEqual">
      <formula>0</formula>
    </cfRule>
  </conditionalFormatting>
  <conditionalFormatting sqref="C64:C66 C68:C70">
    <cfRule type="cellIs" dxfId="1914" priority="77" stopIfTrue="1" operator="greaterThan">
      <formula>$F67</formula>
    </cfRule>
  </conditionalFormatting>
  <conditionalFormatting sqref="C64:C66">
    <cfRule type="cellIs" dxfId="1913" priority="78" stopIfTrue="1" operator="lessThanOrEqual">
      <formula>0</formula>
    </cfRule>
  </conditionalFormatting>
  <conditionalFormatting sqref="C67">
    <cfRule type="cellIs" dxfId="1912" priority="191" stopIfTrue="1" operator="greaterThan">
      <formula>$F62</formula>
    </cfRule>
    <cfRule type="cellIs" dxfId="1911" priority="192" stopIfTrue="1" operator="lessThanOrEqual">
      <formula>0</formula>
    </cfRule>
    <cfRule type="cellIs" dxfId="1910" priority="189" stopIfTrue="1" operator="greaterThan">
      <formula>$F62</formula>
    </cfRule>
    <cfRule type="cellIs" dxfId="1909" priority="190" stopIfTrue="1" operator="lessThanOrEqual">
      <formula>0</formula>
    </cfRule>
  </conditionalFormatting>
  <conditionalFormatting sqref="C68:C70">
    <cfRule type="cellIs" dxfId="1908" priority="79" stopIfTrue="1" operator="lessThanOrEqual">
      <formula>0</formula>
    </cfRule>
  </conditionalFormatting>
  <conditionalFormatting sqref="C73:C77">
    <cfRule type="cellIs" dxfId="1907" priority="179" stopIfTrue="1" operator="lessThanOrEqual">
      <formula>0</formula>
    </cfRule>
  </conditionalFormatting>
  <conditionalFormatting sqref="C74:C77">
    <cfRule type="cellIs" dxfId="1906" priority="178" stopIfTrue="1" operator="greaterThan">
      <formula>$F$73</formula>
    </cfRule>
  </conditionalFormatting>
  <conditionalFormatting sqref="C79">
    <cfRule type="cellIs" dxfId="1905" priority="181" stopIfTrue="1" operator="lessThanOrEqual">
      <formula>0</formula>
    </cfRule>
    <cfRule type="cellIs" dxfId="1904" priority="180" stopIfTrue="1" operator="greaterThan">
      <formula>$F$73</formula>
    </cfRule>
  </conditionalFormatting>
  <conditionalFormatting sqref="C67:D67">
    <cfRule type="cellIs" dxfId="1903" priority="66" stopIfTrue="1" operator="greaterThan">
      <formula>$J67</formula>
    </cfRule>
    <cfRule type="cellIs" dxfId="1902" priority="67" stopIfTrue="1" operator="lessThanOrEqual">
      <formula>0</formula>
    </cfRule>
  </conditionalFormatting>
  <conditionalFormatting sqref="C73:D73 D75:D81">
    <cfRule type="cellIs" dxfId="1901" priority="173" stopIfTrue="1" operator="greaterThan">
      <formula>4.5</formula>
    </cfRule>
  </conditionalFormatting>
  <conditionalFormatting sqref="D42:D43">
    <cfRule type="cellIs" dxfId="1900" priority="106" operator="notBetween">
      <formula>#REF!</formula>
      <formula>#REF!</formula>
    </cfRule>
  </conditionalFormatting>
  <conditionalFormatting sqref="D62:D66 D68:D69">
    <cfRule type="cellIs" dxfId="1899" priority="76" stopIfTrue="1" operator="lessThanOrEqual">
      <formula>0</formula>
    </cfRule>
  </conditionalFormatting>
  <conditionalFormatting sqref="D62:D66 D68:D71">
    <cfRule type="cellIs" dxfId="1898" priority="72" stopIfTrue="1" operator="lessThanOrEqual">
      <formula>0</formula>
    </cfRule>
    <cfRule type="cellIs" dxfId="1897" priority="73" stopIfTrue="1" operator="greaterThan">
      <formula>$F62</formula>
    </cfRule>
  </conditionalFormatting>
  <conditionalFormatting sqref="D70:D71">
    <cfRule type="cellIs" dxfId="1896" priority="74" stopIfTrue="1" operator="lessThanOrEqual">
      <formula>0</formula>
    </cfRule>
  </conditionalFormatting>
  <conditionalFormatting sqref="D71">
    <cfRule type="cellIs" dxfId="1895" priority="75" stopIfTrue="1" operator="lessThanOrEqual">
      <formula>0</formula>
    </cfRule>
  </conditionalFormatting>
  <conditionalFormatting sqref="D73 D75:D81">
    <cfRule type="cellIs" dxfId="1894" priority="174" stopIfTrue="1" operator="lessThanOrEqual">
      <formula>0</formula>
    </cfRule>
  </conditionalFormatting>
  <conditionalFormatting sqref="D74">
    <cfRule type="cellIs" dxfId="1893" priority="165" stopIfTrue="1" operator="greaterThan">
      <formula>$F$73</formula>
    </cfRule>
    <cfRule type="cellIs" dxfId="1892" priority="166" stopIfTrue="1" operator="lessThanOrEqual">
      <formula>0</formula>
    </cfRule>
  </conditionalFormatting>
  <conditionalFormatting sqref="E10:E17">
    <cfRule type="cellIs" dxfId="1891" priority="8" operator="lessThan">
      <formula>48</formula>
    </cfRule>
  </conditionalFormatting>
  <conditionalFormatting sqref="E45 E46:F46">
    <cfRule type="cellIs" dxfId="1890" priority="170" stopIfTrue="1" operator="greaterThan">
      <formula>100</formula>
    </cfRule>
  </conditionalFormatting>
  <conditionalFormatting sqref="E46">
    <cfRule type="cellIs" dxfId="1889" priority="168" stopIfTrue="1" operator="greaterThan">
      <formula>100</formula>
    </cfRule>
    <cfRule type="cellIs" dxfId="1888" priority="167" stopIfTrue="1" operator="lessThan">
      <formula>96.8</formula>
    </cfRule>
  </conditionalFormatting>
  <conditionalFormatting sqref="E62:E70">
    <cfRule type="cellIs" dxfId="1887" priority="39" stopIfTrue="1" operator="lessThanOrEqual">
      <formula>0</formula>
    </cfRule>
  </conditionalFormatting>
  <conditionalFormatting sqref="E62:E71">
    <cfRule type="cellIs" dxfId="1886" priority="40" stopIfTrue="1" operator="greaterThan">
      <formula>$F62</formula>
    </cfRule>
    <cfRule type="cellIs" dxfId="1885" priority="41" stopIfTrue="1" operator="lessThanOrEqual">
      <formula>0</formula>
    </cfRule>
  </conditionalFormatting>
  <conditionalFormatting sqref="E71">
    <cfRule type="cellIs" dxfId="1884" priority="42" stopIfTrue="1" operator="lessThanOrEqual">
      <formula>0</formula>
    </cfRule>
  </conditionalFormatting>
  <conditionalFormatting sqref="E73:E81">
    <cfRule type="cellIs" dxfId="1883" priority="160" stopIfTrue="1" operator="lessThanOrEqual">
      <formula>0</formula>
    </cfRule>
    <cfRule type="cellIs" dxfId="1882" priority="159" stopIfTrue="1" operator="greaterThan">
      <formula>4.5</formula>
    </cfRule>
  </conditionalFormatting>
  <conditionalFormatting sqref="E46:F46 E45">
    <cfRule type="cellIs" dxfId="1881" priority="169" stopIfTrue="1" operator="lessThan">
      <formula>96.5</formula>
    </cfRule>
  </conditionalFormatting>
  <conditionalFormatting sqref="F10:F17">
    <cfRule type="cellIs" dxfId="1880" priority="9" operator="greaterThan">
      <formula>60</formula>
    </cfRule>
  </conditionalFormatting>
  <conditionalFormatting sqref="F46">
    <cfRule type="cellIs" dxfId="1879" priority="185" stopIfTrue="1" operator="lessThan">
      <formula>96.8</formula>
    </cfRule>
    <cfRule type="cellIs" dxfId="1878" priority="186" stopIfTrue="1" operator="greaterThan">
      <formula>100</formula>
    </cfRule>
  </conditionalFormatting>
  <conditionalFormatting sqref="G10:G12">
    <cfRule type="expression" dxfId="1877" priority="10">
      <formula>IF(+(IF(G10&lt;#REF!,0,IF(G10&gt;#REF!,0,1)))=0,1)</formula>
    </cfRule>
  </conditionalFormatting>
  <conditionalFormatting sqref="G17">
    <cfRule type="expression" dxfId="1876" priority="14">
      <formula>IF(+(IF(G17&lt;S17,0,IF(G17&gt;T17,0,1)))=0,1)</formula>
    </cfRule>
  </conditionalFormatting>
  <conditionalFormatting sqref="G62:G65 F71">
    <cfRule type="cellIs" dxfId="1875" priority="48" stopIfTrue="1" operator="greaterThan">
      <formula>$F62</formula>
    </cfRule>
    <cfRule type="cellIs" dxfId="1874" priority="49" stopIfTrue="1" operator="lessThanOrEqual">
      <formula>0</formula>
    </cfRule>
  </conditionalFormatting>
  <conditionalFormatting sqref="G64:G65">
    <cfRule type="cellIs" dxfId="1873" priority="34" stopIfTrue="1" operator="greaterThan">
      <formula>$F64</formula>
    </cfRule>
    <cfRule type="cellIs" dxfId="1872" priority="35" stopIfTrue="1" operator="lessThanOrEqual">
      <formula>0</formula>
    </cfRule>
  </conditionalFormatting>
  <conditionalFormatting sqref="G66:G70">
    <cfRule type="cellIs" dxfId="1871" priority="50" stopIfTrue="1" operator="greaterThan">
      <formula>$J66</formula>
    </cfRule>
    <cfRule type="cellIs" dxfId="1870" priority="51" stopIfTrue="1" operator="lessThanOrEqual">
      <formula>0</formula>
    </cfRule>
  </conditionalFormatting>
  <conditionalFormatting sqref="G67">
    <cfRule type="cellIs" dxfId="1869" priority="193" stopIfTrue="1" operator="greaterThan">
      <formula>$F62</formula>
    </cfRule>
    <cfRule type="cellIs" dxfId="1868" priority="194" stopIfTrue="1" operator="lessThanOrEqual">
      <formula>0</formula>
    </cfRule>
  </conditionalFormatting>
  <conditionalFormatting sqref="G75:G80 C78 C80">
    <cfRule type="cellIs" dxfId="1867" priority="182" stopIfTrue="1" operator="greaterThan">
      <formula>4.5</formula>
    </cfRule>
    <cfRule type="cellIs" dxfId="1866" priority="183" stopIfTrue="1" operator="lessThanOrEqual">
      <formula>0</formula>
    </cfRule>
  </conditionalFormatting>
  <conditionalFormatting sqref="G74:H74">
    <cfRule type="cellIs" dxfId="1865" priority="163" stopIfTrue="1" operator="greaterThan">
      <formula>$F$73</formula>
    </cfRule>
    <cfRule type="cellIs" dxfId="1864" priority="164" stopIfTrue="1" operator="lessThanOrEqual">
      <formula>0</formula>
    </cfRule>
  </conditionalFormatting>
  <conditionalFormatting sqref="H10:H17">
    <cfRule type="expression" dxfId="1863" priority="1">
      <formula>IF(+(IF(H10&lt;#REF!,0,IF(H10&gt;#REF!,0,1)))=0,1)</formula>
    </cfRule>
  </conditionalFormatting>
  <conditionalFormatting sqref="H31:H32 H45">
    <cfRule type="cellIs" dxfId="1862" priority="161" stopIfTrue="1" operator="greaterThan">
      <formula>0</formula>
    </cfRule>
  </conditionalFormatting>
  <conditionalFormatting sqref="H49">
    <cfRule type="cellIs" dxfId="1861" priority="54" stopIfTrue="1" operator="greaterThan">
      <formula>$F$62</formula>
    </cfRule>
    <cfRule type="cellIs" dxfId="1860" priority="62" stopIfTrue="1" operator="greaterThan">
      <formula>$F$65</formula>
    </cfRule>
    <cfRule type="cellIs" dxfId="1859" priority="53" stopIfTrue="1" operator="lessThanOrEqual">
      <formula>0</formula>
    </cfRule>
    <cfRule type="cellIs" dxfId="1858" priority="64" stopIfTrue="1" operator="greaterThan">
      <formula>$F$63</formula>
    </cfRule>
    <cfRule type="cellIs" dxfId="1857" priority="63" stopIfTrue="1" operator="lessThanOrEqual">
      <formula>0</formula>
    </cfRule>
  </conditionalFormatting>
  <conditionalFormatting sqref="H49:H50">
    <cfRule type="cellIs" dxfId="1856" priority="65" stopIfTrue="1" operator="lessThanOrEqual">
      <formula>0</formula>
    </cfRule>
  </conditionalFormatting>
  <conditionalFormatting sqref="H50 H52:H53">
    <cfRule type="cellIs" dxfId="1855" priority="91" stopIfTrue="1" operator="lessThanOrEqual">
      <formula>0</formula>
    </cfRule>
  </conditionalFormatting>
  <conditionalFormatting sqref="H50">
    <cfRule type="cellIs" dxfId="1854" priority="89" stopIfTrue="1" operator="lessThanOrEqual">
      <formula>0</formula>
    </cfRule>
    <cfRule type="cellIs" dxfId="1853" priority="90" stopIfTrue="1" operator="greaterThan">
      <formula>$F$63</formula>
    </cfRule>
    <cfRule type="cellIs" dxfId="1852" priority="80" stopIfTrue="1" operator="greaterThan">
      <formula>$F$62</formula>
    </cfRule>
    <cfRule type="cellIs" dxfId="1851" priority="88" stopIfTrue="1" operator="greaterThan">
      <formula>$F$65</formula>
    </cfRule>
  </conditionalFormatting>
  <conditionalFormatting sqref="H51">
    <cfRule type="cellIs" dxfId="1850" priority="31" stopIfTrue="1" operator="greaterThan">
      <formula>$F$65</formula>
    </cfRule>
    <cfRule type="cellIs" dxfId="1849" priority="32" stopIfTrue="1" operator="lessThanOrEqual">
      <formula>0</formula>
    </cfRule>
    <cfRule type="cellIs" dxfId="1848" priority="20" stopIfTrue="1" operator="lessThanOrEqual">
      <formula>0</formula>
    </cfRule>
    <cfRule type="cellIs" dxfId="1847" priority="21" stopIfTrue="1" operator="greaterThan">
      <formula>$F$64</formula>
    </cfRule>
    <cfRule type="cellIs" dxfId="1846" priority="30" stopIfTrue="1" operator="lessThanOrEqual">
      <formula>0</formula>
    </cfRule>
    <cfRule type="cellIs" dxfId="1845" priority="29" stopIfTrue="1" operator="greaterThan">
      <formula>$F$67</formula>
    </cfRule>
  </conditionalFormatting>
  <conditionalFormatting sqref="H52:H53">
    <cfRule type="cellIs" dxfId="1844" priority="93" stopIfTrue="1" operator="greaterThan">
      <formula>$F$62</formula>
    </cfRule>
    <cfRule type="cellIs" dxfId="1843" priority="102" stopIfTrue="1" operator="lessThanOrEqual">
      <formula>0</formula>
    </cfRule>
    <cfRule type="cellIs" dxfId="1842" priority="103" stopIfTrue="1" operator="greaterThan">
      <formula>$F$63</formula>
    </cfRule>
    <cfRule type="cellIs" dxfId="1841" priority="101" stopIfTrue="1" operator="greaterThan">
      <formula>$F$65</formula>
    </cfRule>
    <cfRule type="cellIs" dxfId="1840" priority="104" stopIfTrue="1" operator="lessThanOrEqual">
      <formula>0</formula>
    </cfRule>
  </conditionalFormatting>
  <conditionalFormatting sqref="H54:H55">
    <cfRule type="cellIs" dxfId="1839" priority="137" stopIfTrue="1" operator="greaterThan">
      <formula>#REF!</formula>
    </cfRule>
    <cfRule type="cellIs" dxfId="1838" priority="138" stopIfTrue="1" operator="lessThanOrEqual">
      <formula>0</formula>
    </cfRule>
    <cfRule type="cellIs" dxfId="1837" priority="128" stopIfTrue="1" operator="lessThanOrEqual">
      <formula>0</formula>
    </cfRule>
    <cfRule type="cellIs" dxfId="1836" priority="129" stopIfTrue="1" operator="greaterThan">
      <formula>#REF!</formula>
    </cfRule>
  </conditionalFormatting>
  <conditionalFormatting sqref="H56">
    <cfRule type="cellIs" dxfId="1835" priority="140" stopIfTrue="1" operator="lessThanOrEqual">
      <formula>0</formula>
    </cfRule>
    <cfRule type="cellIs" dxfId="1834" priority="149" stopIfTrue="1" operator="greaterThan">
      <formula>$F$33</formula>
    </cfRule>
    <cfRule type="cellIs" dxfId="1833" priority="150" stopIfTrue="1" operator="lessThanOrEqual">
      <formula>0</formula>
    </cfRule>
    <cfRule type="cellIs" dxfId="1832" priority="151" stopIfTrue="1" operator="greaterThan">
      <formula>$F$31</formula>
    </cfRule>
    <cfRule type="cellIs" dxfId="1831" priority="152" stopIfTrue="1" operator="lessThanOrEqual">
      <formula>0</formula>
    </cfRule>
    <cfRule type="cellIs" dxfId="1830" priority="141" stopIfTrue="1" operator="greaterThan">
      <formula>$F$30</formula>
    </cfRule>
  </conditionalFormatting>
  <conditionalFormatting sqref="H57:H58">
    <cfRule type="cellIs" dxfId="1829" priority="117" stopIfTrue="1" operator="greaterThan">
      <formula>#REF!</formula>
    </cfRule>
    <cfRule type="cellIs" dxfId="1828" priority="125" stopIfTrue="1" operator="greaterThan">
      <formula>#REF!</formula>
    </cfRule>
    <cfRule type="cellIs" dxfId="1827" priority="126" stopIfTrue="1" operator="lessThanOrEqual">
      <formula>0</formula>
    </cfRule>
    <cfRule type="cellIs" dxfId="1826" priority="116" stopIfTrue="1" operator="lessThanOrEqual">
      <formula>0</formula>
    </cfRule>
  </conditionalFormatting>
  <conditionalFormatting sqref="H73 H75:H81">
    <cfRule type="cellIs" dxfId="1825" priority="176" stopIfTrue="1" operator="lessThanOrEqual">
      <formula>0</formula>
    </cfRule>
    <cfRule type="cellIs" dxfId="1824" priority="175" stopIfTrue="1" operator="greaterThan">
      <formula>4.5</formula>
    </cfRule>
  </conditionalFormatting>
  <conditionalFormatting sqref="H49:I49">
    <cfRule type="cellIs" dxfId="1823" priority="55" stopIfTrue="1" operator="lessThanOrEqual">
      <formula>0</formula>
    </cfRule>
  </conditionalFormatting>
  <conditionalFormatting sqref="H49:I50 H52:I53">
    <cfRule type="cellIs" dxfId="1822" priority="52" stopIfTrue="1" operator="greaterThan">
      <formula>$F$64</formula>
    </cfRule>
  </conditionalFormatting>
  <conditionalFormatting sqref="H50:I50">
    <cfRule type="cellIs" dxfId="1821" priority="81" stopIfTrue="1" operator="lessThanOrEqual">
      <formula>0</formula>
    </cfRule>
  </conditionalFormatting>
  <conditionalFormatting sqref="H51:I51">
    <cfRule type="cellIs" dxfId="1820" priority="19" stopIfTrue="1" operator="greaterThan">
      <formula>$F$66</formula>
    </cfRule>
    <cfRule type="cellIs" dxfId="1819" priority="22" stopIfTrue="1" operator="lessThanOrEqual">
      <formula>0</formula>
    </cfRule>
  </conditionalFormatting>
  <conditionalFormatting sqref="H52:I53">
    <cfRule type="cellIs" dxfId="1818" priority="94" stopIfTrue="1" operator="lessThanOrEqual">
      <formula>0</formula>
    </cfRule>
  </conditionalFormatting>
  <conditionalFormatting sqref="H54:I55">
    <cfRule type="cellIs" dxfId="1817" priority="136" stopIfTrue="1" operator="lessThanOrEqual">
      <formula>0</formula>
    </cfRule>
    <cfRule type="cellIs" dxfId="1816" priority="127" stopIfTrue="1" operator="greaterThan">
      <formula>#REF!</formula>
    </cfRule>
    <cfRule type="cellIs" dxfId="1815" priority="135" stopIfTrue="1" operator="greaterThan">
      <formula>#REF!</formula>
    </cfRule>
    <cfRule type="cellIs" dxfId="1814" priority="130" stopIfTrue="1" operator="lessThanOrEqual">
      <formula>0</formula>
    </cfRule>
  </conditionalFormatting>
  <conditionalFormatting sqref="H56:I56">
    <cfRule type="cellIs" dxfId="1813" priority="142" stopIfTrue="1" operator="lessThanOrEqual">
      <formula>0</formula>
    </cfRule>
    <cfRule type="cellIs" dxfId="1812" priority="139" stopIfTrue="1" operator="greaterThan">
      <formula>$F$32</formula>
    </cfRule>
  </conditionalFormatting>
  <conditionalFormatting sqref="H57:I58">
    <cfRule type="cellIs" dxfId="1811" priority="115" stopIfTrue="1" operator="greaterThan">
      <formula>#REF!</formula>
    </cfRule>
    <cfRule type="cellIs" dxfId="1810" priority="123" stopIfTrue="1" operator="greaterThan">
      <formula>#REF!</formula>
    </cfRule>
    <cfRule type="cellIs" dxfId="1809" priority="118" stopIfTrue="1" operator="lessThanOrEqual">
      <formula>0</formula>
    </cfRule>
    <cfRule type="cellIs" dxfId="1808" priority="124" stopIfTrue="1" operator="lessThanOrEqual">
      <formula>0</formula>
    </cfRule>
  </conditionalFormatting>
  <conditionalFormatting sqref="H62:I69">
    <cfRule type="cellIs" dxfId="1807" priority="37" stopIfTrue="1" operator="greaterThan">
      <formula>$J62</formula>
    </cfRule>
    <cfRule type="cellIs" dxfId="1806" priority="38" stopIfTrue="1" operator="lessThanOrEqual">
      <formula>0</formula>
    </cfRule>
  </conditionalFormatting>
  <conditionalFormatting sqref="H70:I70">
    <cfRule type="cellIs" dxfId="1805" priority="45" operator="greaterThan">
      <formula>5.3</formula>
    </cfRule>
  </conditionalFormatting>
  <conditionalFormatting sqref="H71:I71">
    <cfRule type="cellIs" dxfId="1804" priority="43" stopIfTrue="1" operator="greaterThan">
      <formula>$J71</formula>
    </cfRule>
    <cfRule type="cellIs" dxfId="1803" priority="44" stopIfTrue="1" operator="lessThanOrEqual">
      <formula>0</formula>
    </cfRule>
  </conditionalFormatting>
  <conditionalFormatting sqref="I49">
    <cfRule type="cellIs" dxfId="1802" priority="59" stopIfTrue="1" operator="lessThanOrEqual">
      <formula>0</formula>
    </cfRule>
    <cfRule type="cellIs" dxfId="1801" priority="60" stopIfTrue="1" operator="greaterThan">
      <formula>$F$62</formula>
    </cfRule>
    <cfRule type="cellIs" dxfId="1800" priority="58" stopIfTrue="1" operator="greaterThan">
      <formula>$F$64</formula>
    </cfRule>
    <cfRule type="cellIs" dxfId="1799" priority="57" stopIfTrue="1" operator="lessThanOrEqual">
      <formula>0</formula>
    </cfRule>
    <cfRule type="cellIs" dxfId="1798" priority="56" stopIfTrue="1" operator="greaterThan">
      <formula>$F$62</formula>
    </cfRule>
    <cfRule type="cellIs" dxfId="1797" priority="61" stopIfTrue="1" operator="lessThanOrEqual">
      <formula>0</formula>
    </cfRule>
  </conditionalFormatting>
  <conditionalFormatting sqref="I50">
    <cfRule type="cellIs" dxfId="1796" priority="82" stopIfTrue="1" operator="greaterThan">
      <formula>$F$62</formula>
    </cfRule>
    <cfRule type="cellIs" dxfId="1795" priority="86" stopIfTrue="1" operator="greaterThan">
      <formula>$F$62</formula>
    </cfRule>
    <cfRule type="cellIs" dxfId="1794" priority="83" stopIfTrue="1" operator="lessThanOrEqual">
      <formula>0</formula>
    </cfRule>
    <cfRule type="cellIs" dxfId="1793" priority="87" stopIfTrue="1" operator="lessThanOrEqual">
      <formula>0</formula>
    </cfRule>
    <cfRule type="cellIs" dxfId="1792" priority="85" stopIfTrue="1" operator="lessThanOrEqual">
      <formula>0</formula>
    </cfRule>
    <cfRule type="cellIs" dxfId="1791" priority="84" stopIfTrue="1" operator="greaterThan">
      <formula>$F$64</formula>
    </cfRule>
  </conditionalFormatting>
  <conditionalFormatting sqref="I51">
    <cfRule type="cellIs" dxfId="1790" priority="25" stopIfTrue="1" operator="greaterThan">
      <formula>$F$66</formula>
    </cfRule>
    <cfRule type="cellIs" dxfId="1789" priority="23" stopIfTrue="1" operator="greaterThan">
      <formula>$F$64</formula>
    </cfRule>
    <cfRule type="cellIs" dxfId="1788" priority="28" stopIfTrue="1" operator="lessThanOrEqual">
      <formula>0</formula>
    </cfRule>
    <cfRule type="cellIs" dxfId="1787" priority="26" stopIfTrue="1" operator="lessThanOrEqual">
      <formula>0</formula>
    </cfRule>
    <cfRule type="cellIs" dxfId="1786" priority="27" stopIfTrue="1" operator="greaterThan">
      <formula>$F$64</formula>
    </cfRule>
    <cfRule type="cellIs" dxfId="1785" priority="24" stopIfTrue="1" operator="lessThanOrEqual">
      <formula>0</formula>
    </cfRule>
  </conditionalFormatting>
  <conditionalFormatting sqref="I52:I53">
    <cfRule type="cellIs" dxfId="1784" priority="97" stopIfTrue="1" operator="greaterThan">
      <formula>$F$64</formula>
    </cfRule>
    <cfRule type="cellIs" dxfId="1783" priority="100" stopIfTrue="1" operator="lessThanOrEqual">
      <formula>0</formula>
    </cfRule>
    <cfRule type="cellIs" dxfId="1782" priority="99" stopIfTrue="1" operator="greaterThan">
      <formula>$F$62</formula>
    </cfRule>
    <cfRule type="cellIs" dxfId="1781" priority="95" stopIfTrue="1" operator="greaterThan">
      <formula>$F$62</formula>
    </cfRule>
    <cfRule type="cellIs" dxfId="1780" priority="96" stopIfTrue="1" operator="lessThanOrEqual">
      <formula>0</formula>
    </cfRule>
    <cfRule type="cellIs" dxfId="1779" priority="98" stopIfTrue="1" operator="lessThanOrEqual">
      <formula>0</formula>
    </cfRule>
  </conditionalFormatting>
  <conditionalFormatting sqref="I54:I55">
    <cfRule type="cellIs" dxfId="1778" priority="133" stopIfTrue="1" operator="greaterThan">
      <formula>#REF!</formula>
    </cfRule>
    <cfRule type="cellIs" dxfId="1777" priority="134" stopIfTrue="1" operator="lessThanOrEqual">
      <formula>0</formula>
    </cfRule>
    <cfRule type="cellIs" dxfId="1776" priority="131" stopIfTrue="1" operator="greaterThan">
      <formula>#REF!</formula>
    </cfRule>
    <cfRule type="cellIs" dxfId="1775" priority="132" stopIfTrue="1" operator="lessThanOrEqual">
      <formula>0</formula>
    </cfRule>
  </conditionalFormatting>
  <conditionalFormatting sqref="I56">
    <cfRule type="cellIs" dxfId="1774" priority="147" stopIfTrue="1" operator="greaterThan">
      <formula>$F$30</formula>
    </cfRule>
    <cfRule type="cellIs" dxfId="1773" priority="148" stopIfTrue="1" operator="lessThanOrEqual">
      <formula>0</formula>
    </cfRule>
    <cfRule type="cellIs" dxfId="1772" priority="144" stopIfTrue="1" operator="lessThanOrEqual">
      <formula>0</formula>
    </cfRule>
    <cfRule type="cellIs" dxfId="1771" priority="146" stopIfTrue="1" operator="lessThanOrEqual">
      <formula>0</formula>
    </cfRule>
    <cfRule type="cellIs" dxfId="1770" priority="143" stopIfTrue="1" operator="greaterThan">
      <formula>$F$30</formula>
    </cfRule>
    <cfRule type="cellIs" dxfId="1769" priority="145" stopIfTrue="1" operator="greaterThan">
      <formula>$F$32</formula>
    </cfRule>
  </conditionalFormatting>
  <conditionalFormatting sqref="I57:I58">
    <cfRule type="cellIs" dxfId="1768" priority="119" stopIfTrue="1" operator="greaterThan">
      <formula>#REF!</formula>
    </cfRule>
    <cfRule type="cellIs" dxfId="1767" priority="120" stopIfTrue="1" operator="lessThanOrEqual">
      <formula>0</formula>
    </cfRule>
    <cfRule type="cellIs" dxfId="1766" priority="121" stopIfTrue="1" operator="greaterThan">
      <formula>#REF!</formula>
    </cfRule>
    <cfRule type="cellIs" dxfId="1765" priority="122" stopIfTrue="1" operator="lessThanOrEqual">
      <formula>0</formula>
    </cfRule>
  </conditionalFormatting>
  <conditionalFormatting sqref="I73:I81">
    <cfRule type="cellIs" dxfId="1764" priority="172" stopIfTrue="1" operator="lessThanOrEqual">
      <formula>0</formula>
    </cfRule>
    <cfRule type="cellIs" dxfId="1763" priority="171" stopIfTrue="1" operator="greaterThan">
      <formula>4.5</formula>
    </cfRule>
  </conditionalFormatting>
  <conditionalFormatting sqref="I10:J17">
    <cfRule type="cellIs" dxfId="1762" priority="2" operator="lessThan">
      <formula>97.9</formula>
    </cfRule>
  </conditionalFormatting>
  <conditionalFormatting sqref="J20:J22">
    <cfRule type="cellIs" dxfId="1761" priority="18" operator="lessThan">
      <formula>97.95</formula>
    </cfRule>
  </conditionalFormatting>
  <conditionalFormatting sqref="J21:J24">
    <cfRule type="cellIs" dxfId="1760" priority="153" operator="lessThan">
      <formula>97.4</formula>
    </cfRule>
  </conditionalFormatting>
  <conditionalFormatting sqref="J25:J26">
    <cfRule type="cellIs" dxfId="1759" priority="154" operator="lessThan">
      <formula>98</formula>
    </cfRule>
  </conditionalFormatting>
  <conditionalFormatting sqref="J27:J28">
    <cfRule type="cellIs" dxfId="1758" priority="155" stopIfTrue="1" operator="lessThan">
      <formula>96.8</formula>
    </cfRule>
    <cfRule type="cellIs" dxfId="1757" priority="156" stopIfTrue="1" operator="greaterThan">
      <formula>100</formula>
    </cfRule>
  </conditionalFormatting>
  <conditionalFormatting sqref="J27:J29">
    <cfRule type="cellIs" dxfId="1756" priority="157" operator="lessThan">
      <formula>98</formula>
    </cfRule>
  </conditionalFormatting>
  <conditionalFormatting sqref="J58">
    <cfRule type="cellIs" dxfId="1755" priority="112" stopIfTrue="1" operator="lessThanOrEqual">
      <formula>0</formula>
    </cfRule>
    <cfRule type="cellIs" dxfId="1754" priority="114" stopIfTrue="1" operator="lessThanOrEqual">
      <formula>0</formula>
    </cfRule>
    <cfRule type="cellIs" dxfId="1753" priority="113" stopIfTrue="1" operator="greaterThan">
      <formula>#REF!</formula>
    </cfRule>
    <cfRule type="cellIs" dxfId="1752" priority="111" stopIfTrue="1" operator="greaterThan">
      <formula>#REF!</formula>
    </cfRule>
    <cfRule type="cellIs" dxfId="1751" priority="110" stopIfTrue="1" operator="lessThanOrEqual">
      <formula>0</formula>
    </cfRule>
    <cfRule type="cellIs" dxfId="1750" priority="109" stopIfTrue="1" operator="greaterThan">
      <formula>#REF!</formula>
    </cfRule>
    <cfRule type="cellIs" dxfId="1749" priority="108" stopIfTrue="1" operator="lessThanOrEqual">
      <formula>0</formula>
    </cfRule>
    <cfRule type="cellIs" dxfId="1748" priority="107" stopIfTrue="1" operator="greaterThan">
      <formula>#REF!</formula>
    </cfRule>
  </conditionalFormatting>
  <conditionalFormatting sqref="J71">
    <cfRule type="cellIs" dxfId="1747" priority="46" stopIfTrue="1" operator="greaterThan">
      <formula>$F71</formula>
    </cfRule>
    <cfRule type="cellIs" dxfId="1746" priority="47" stopIfTrue="1" operator="lessThanOrEqual">
      <formula>0</formula>
    </cfRule>
  </conditionalFormatting>
  <conditionalFormatting sqref="K10:K17">
    <cfRule type="cellIs" dxfId="1745" priority="3" operator="greaterThan">
      <formula>6</formula>
    </cfRule>
    <cfRule type="cellIs" dxfId="1744" priority="4" operator="lessThan">
      <formula>4</formula>
    </cfRule>
    <cfRule type="cellIs" dxfId="1743" priority="5" operator="greaterThan">
      <formula>6.4</formula>
    </cfRule>
  </conditionalFormatting>
  <conditionalFormatting sqref="K49:K58">
    <cfRule type="cellIs" dxfId="1742" priority="92" stopIfTrue="1" operator="lessThan">
      <formula>100%</formula>
    </cfRule>
  </conditionalFormatting>
  <conditionalFormatting sqref="K62:K70">
    <cfRule type="cellIs" dxfId="1741" priority="36" stopIfTrue="1" operator="lessThan">
      <formula>100%</formula>
    </cfRule>
  </conditionalFormatting>
  <conditionalFormatting sqref="K73:K78">
    <cfRule type="cellIs" dxfId="1740" priority="177" stopIfTrue="1" operator="lessThan">
      <formula>100%</formula>
    </cfRule>
  </conditionalFormatting>
  <conditionalFormatting sqref="K80:K81">
    <cfRule type="cellIs" dxfId="1739" priority="184" stopIfTrue="1" operator="lessThan">
      <formula>100%</formula>
    </cfRule>
  </conditionalFormatting>
  <conditionalFormatting sqref="L10:L17">
    <cfRule type="cellIs" dxfId="1738" priority="6" operator="between">
      <formula>61</formula>
      <formula>65</formula>
    </cfRule>
    <cfRule type="cellIs" dxfId="1737" priority="7" operator="greaterThan">
      <formula>65</formula>
    </cfRule>
  </conditionalFormatting>
  <conditionalFormatting sqref="L20:M31">
    <cfRule type="cellIs" dxfId="1736" priority="17" operator="lessThan">
      <formula>97.95</formula>
    </cfRule>
  </conditionalFormatting>
  <conditionalFormatting sqref="L35:N35">
    <cfRule type="cellIs" dxfId="1735" priority="16" operator="notEqual">
      <formula>#REF!</formula>
    </cfRule>
  </conditionalFormatting>
  <conditionalFormatting sqref="L62:N71">
    <cfRule type="cellIs" dxfId="1734" priority="33" stopIfTrue="1" operator="lessThan">
      <formula>100%</formula>
    </cfRule>
  </conditionalFormatting>
  <conditionalFormatting sqref="L73:N81">
    <cfRule type="cellIs" dxfId="1733" priority="162" stopIfTrue="1" operator="lessThan">
      <formula>100%</formula>
    </cfRule>
  </conditionalFormatting>
  <conditionalFormatting sqref="M17">
    <cfRule type="expression" dxfId="1732" priority="13">
      <formula>IF(+(IF(M17&lt;U17,0,IF(M17&gt;V17,0,1)))=0,1)</formula>
    </cfRule>
  </conditionalFormatting>
  <conditionalFormatting sqref="M10:N16 G16">
    <cfRule type="expression" dxfId="1731" priority="15">
      <formula>IF(+(IF(G10&lt;#REF!,0,IF(G10&gt;#REF!,0,1)))=0,1)</formula>
    </cfRule>
  </conditionalFormatting>
  <conditionalFormatting sqref="N10:N17">
    <cfRule type="expression" dxfId="1730" priority="11">
      <formula>IF(+(IF(N10&lt;W10,0,IF(N10&gt;X10,0,1)))=0,1)</formula>
    </cfRule>
  </conditionalFormatting>
  <conditionalFormatting sqref="P6">
    <cfRule type="cellIs" dxfId="1729" priority="158" operator="greaterThanOrEqual">
      <formula>19</formula>
    </cfRule>
  </conditionalFormatting>
  <dataValidations count="1">
    <dataValidation type="list" allowBlank="1" showInputMessage="1" showErrorMessage="1" sqref="R8" xr:uid="{7EA32A39-B519-4BC5-87E0-8BA2B213EBB7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5" max="16383" man="1"/>
  </rowBreaks>
  <colBreaks count="1" manualBreakCount="1">
    <brk id="15" max="89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EEE03-7479-43C5-91A0-28BA464CB902}">
  <sheetPr>
    <pageSetUpPr fitToPage="1"/>
  </sheetPr>
  <dimension ref="A1:BE78"/>
  <sheetViews>
    <sheetView topLeftCell="A4" zoomScale="85" zoomScaleNormal="85" workbookViewId="0">
      <selection activeCell="N10" sqref="N10:N1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54" t="s">
        <v>0</v>
      </c>
      <c r="T1" s="554"/>
      <c r="U1" s="554" t="s">
        <v>1</v>
      </c>
      <c r="V1" s="554"/>
      <c r="W1" s="554" t="s">
        <v>2</v>
      </c>
      <c r="X1" s="554"/>
      <c r="Y1" s="554" t="s">
        <v>124</v>
      </c>
      <c r="Z1" s="554"/>
    </row>
    <row r="2" spans="2:29" ht="15">
      <c r="B2" s="555" t="s">
        <v>3</v>
      </c>
      <c r="C2" s="555"/>
      <c r="D2" s="555"/>
      <c r="E2" s="555"/>
      <c r="F2" s="555"/>
      <c r="G2" s="555"/>
      <c r="H2" s="555"/>
      <c r="I2" s="555"/>
      <c r="J2" s="555"/>
      <c r="K2" s="555"/>
      <c r="L2" s="555"/>
      <c r="M2" s="555"/>
      <c r="N2" s="555"/>
      <c r="O2" s="555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46301</v>
      </c>
      <c r="J4" s="397" t="s">
        <v>153</v>
      </c>
      <c r="K4" s="397"/>
      <c r="L4" s="11"/>
      <c r="M4" s="552" t="s">
        <v>8</v>
      </c>
      <c r="N4" s="553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42"/>
      <c r="D5" s="542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6" t="s">
        <v>17</v>
      </c>
      <c r="C8" s="517" t="s">
        <v>18</v>
      </c>
      <c r="D8" s="517" t="s">
        <v>19</v>
      </c>
      <c r="E8" s="356" t="s">
        <v>20</v>
      </c>
      <c r="F8" s="356" t="s">
        <v>21</v>
      </c>
      <c r="G8" s="517" t="s">
        <v>22</v>
      </c>
      <c r="H8" s="544" t="s">
        <v>144</v>
      </c>
      <c r="I8" s="517" t="s">
        <v>167</v>
      </c>
      <c r="J8" s="546" t="s">
        <v>23</v>
      </c>
      <c r="K8" s="548" t="s">
        <v>142</v>
      </c>
      <c r="L8" s="550" t="s">
        <v>24</v>
      </c>
      <c r="M8" s="359" t="s">
        <v>25</v>
      </c>
      <c r="N8" s="17" t="s">
        <v>166</v>
      </c>
      <c r="O8" s="517" t="s">
        <v>155</v>
      </c>
      <c r="P8" s="540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3"/>
      <c r="C9" s="541"/>
      <c r="D9" s="541"/>
      <c r="E9" s="357" t="s">
        <v>30</v>
      </c>
      <c r="F9" s="357" t="s">
        <v>31</v>
      </c>
      <c r="G9" s="541"/>
      <c r="H9" s="545"/>
      <c r="I9" s="541"/>
      <c r="J9" s="547"/>
      <c r="K9" s="549"/>
      <c r="L9" s="551"/>
      <c r="M9" s="20" t="s">
        <v>32</v>
      </c>
      <c r="N9" s="21" t="s">
        <v>41</v>
      </c>
      <c r="O9" s="541"/>
      <c r="P9" s="541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[4]Brewhouse!$A797</f>
        <v>CA747</v>
      </c>
      <c r="D10" s="279">
        <f>[4]Brewhouse!$AF797</f>
        <v>48.9</v>
      </c>
      <c r="E10" s="279">
        <f>[4]Brewhouse!$AI797</f>
        <v>49.1</v>
      </c>
      <c r="F10" s="278">
        <f>[4]Brewhouse!$V797</f>
        <v>61</v>
      </c>
      <c r="G10" s="279">
        <f>[4]Brewhouse!AG797</f>
        <v>11.6</v>
      </c>
      <c r="H10" s="396">
        <v>11.8</v>
      </c>
      <c r="I10" s="368">
        <f>[4]Brewhouse!$AU797</f>
        <v>94.225435543653518</v>
      </c>
      <c r="J10" s="368">
        <f>[4]Brewhouse!$AV797</f>
        <v>94.955895449291049</v>
      </c>
      <c r="K10" s="281">
        <f>[4]Brewhouse!$Q797</f>
        <v>12.421441774491679</v>
      </c>
      <c r="L10" s="276">
        <f>[4]Brewhouse!$P797</f>
        <v>88</v>
      </c>
      <c r="M10" s="374">
        <f>[4]Brewhouse!$U797-[4]Brewhouse!$T797</f>
        <v>0.15277777777777773</v>
      </c>
      <c r="N10" s="370">
        <f>[4]Brewhouse!$Z797</f>
        <v>0.32777777777777778</v>
      </c>
      <c r="O10" s="419" t="str">
        <f>[4]Brewhouse!$AX797</f>
        <v>D. Gomaz</v>
      </c>
      <c r="P10" s="417"/>
      <c r="R10" s="277" t="str">
        <f t="shared" ref="R10:R19" si="0">B10</f>
        <v>CARIB</v>
      </c>
      <c r="S10" s="471">
        <f t="shared" ref="S10:S19" si="1">VLOOKUP($B10,$R$3:$X$9,2,FALSE)</f>
        <v>11.6</v>
      </c>
      <c r="T10" s="471">
        <f t="shared" ref="T10:T19" si="2">VLOOKUP($B10,$R$3:$X$9,3,FALSE)</f>
        <v>12</v>
      </c>
      <c r="U10" s="297">
        <f t="shared" ref="U10:U19" si="3">VLOOKUP($B10,$R$3:$X$9,4,FALSE)</f>
        <v>0</v>
      </c>
      <c r="V10" s="297">
        <f t="shared" ref="V10:V19" si="4">VLOOKUP($B10,$R$3:$X$9,5,FALSE)</f>
        <v>0.118055555555556</v>
      </c>
      <c r="W10" s="297">
        <f t="shared" ref="W10:W19" si="5">VLOOKUP($B10,$R$3:$X$9,6,FALSE)</f>
        <v>0.22569444444444445</v>
      </c>
      <c r="X10" s="297">
        <f t="shared" ref="X10:X19" si="6">VLOOKUP($B10,$R$3:$X$9,7,FALSE)</f>
        <v>0.2638888888888889</v>
      </c>
      <c r="Y10" s="297">
        <f t="shared" ref="Y10:Y19" si="7">VLOOKUP($B10,$R$3:$Z$9,8,FALSE)</f>
        <v>0</v>
      </c>
      <c r="Z10" s="471">
        <f t="shared" ref="Z10:Z19" si="8">VLOOKUP($B10,$R$3:$Z$9,9,FALSE)</f>
        <v>60</v>
      </c>
    </row>
    <row r="11" spans="2:29" ht="15" customHeight="1">
      <c r="B11" s="29" t="s">
        <v>6</v>
      </c>
      <c r="C11" s="366" t="str">
        <f>[4]Brewhouse!$A798</f>
        <v>CA748</v>
      </c>
      <c r="D11" s="279">
        <f>[4]Brewhouse!$AF798</f>
        <v>49.2</v>
      </c>
      <c r="E11" s="279">
        <f>[4]Brewhouse!$AI798</f>
        <v>49.6</v>
      </c>
      <c r="F11" s="278">
        <f>[4]Brewhouse!$V798</f>
        <v>62</v>
      </c>
      <c r="G11" s="279">
        <f>[4]Brewhouse!AG798</f>
        <v>11.6</v>
      </c>
      <c r="H11" s="490">
        <v>12.1</v>
      </c>
      <c r="I11" s="368">
        <f>[4]Brewhouse!$AU798</f>
        <v>96.984705758803429</v>
      </c>
      <c r="J11" s="368">
        <f>[4]Brewhouse!$AV798</f>
        <v>97.735804113121233</v>
      </c>
      <c r="K11" s="281">
        <f>[4]Brewhouse!$Q798</f>
        <v>10.388170055452859</v>
      </c>
      <c r="L11" s="276">
        <f>[4]Brewhouse!$P798</f>
        <v>60</v>
      </c>
      <c r="M11" s="374">
        <f>[4]Brewhouse!$U798-[4]Brewhouse!$T798</f>
        <v>0.1118055555555556</v>
      </c>
      <c r="N11" s="370">
        <f>[4]Brewhouse!$Z798</f>
        <v>0.29236111111111118</v>
      </c>
      <c r="O11" s="419" t="str">
        <f>[4]Brewhouse!$AX798</f>
        <v>D. Gomaz</v>
      </c>
      <c r="P11" s="417"/>
      <c r="R11" s="277" t="str">
        <f t="shared" si="0"/>
        <v>CARIB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29" t="s">
        <v>6</v>
      </c>
      <c r="C12" s="366" t="str">
        <f>[4]Brewhouse!$A799</f>
        <v>CA749</v>
      </c>
      <c r="D12" s="279">
        <f>[4]Brewhouse!$AF799</f>
        <v>50.8</v>
      </c>
      <c r="E12" s="279">
        <f>[4]Brewhouse!$AI799</f>
        <v>51.8</v>
      </c>
      <c r="F12" s="278">
        <f>[4]Brewhouse!$V799</f>
        <v>58</v>
      </c>
      <c r="G12" s="279">
        <f>[4]Brewhouse!AG799</f>
        <v>11.7</v>
      </c>
      <c r="H12" s="396">
        <v>11.8</v>
      </c>
      <c r="I12" s="368">
        <f>[4]Brewhouse!$AU799</f>
        <v>100.30908258387295</v>
      </c>
      <c r="J12" s="368">
        <f>[4]Brewhouse!$AV799</f>
        <v>101.086704492183</v>
      </c>
      <c r="K12" s="281">
        <f>[4]Brewhouse!$Q799</f>
        <v>10.018484288354902</v>
      </c>
      <c r="L12" s="276">
        <f>[4]Brewhouse!$P799</f>
        <v>60</v>
      </c>
      <c r="M12" s="374">
        <f>[4]Brewhouse!$U799-[4]Brewhouse!$T799</f>
        <v>0.11249999999999993</v>
      </c>
      <c r="N12" s="370">
        <f>[4]Brewhouse!$Z799</f>
        <v>0.28680555555555554</v>
      </c>
      <c r="O12" s="419" t="str">
        <f>[4]Brewhouse!$AX799</f>
        <v>D. Gomaz</v>
      </c>
      <c r="P12" s="417"/>
      <c r="R12" s="277" t="str">
        <f t="shared" si="0"/>
        <v>CARIB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29" t="s">
        <v>6</v>
      </c>
      <c r="C13" s="366" t="str">
        <f>[4]Brewhouse!$A800</f>
        <v>CA750</v>
      </c>
      <c r="D13" s="279">
        <f>[4]Brewhouse!$AF800</f>
        <v>49.5</v>
      </c>
      <c r="E13" s="279">
        <f>[4]Brewhouse!$AI800</f>
        <v>49.8</v>
      </c>
      <c r="F13" s="278">
        <f>[4]Brewhouse!$V800</f>
        <v>62</v>
      </c>
      <c r="G13" s="279">
        <f>[4]Brewhouse!AG800</f>
        <v>11.9</v>
      </c>
      <c r="H13" s="396">
        <v>11.9</v>
      </c>
      <c r="I13" s="368">
        <f>[4]Brewhouse!$AU800</f>
        <v>98.292492578870025</v>
      </c>
      <c r="J13" s="368">
        <f>[4]Brewhouse!$AV800</f>
        <v>99.05443142376123</v>
      </c>
      <c r="K13" s="281">
        <f>[4]Brewhouse!$Q800</f>
        <v>9.8336414048059151</v>
      </c>
      <c r="L13" s="276">
        <f>[4]Brewhouse!$P800</f>
        <v>60</v>
      </c>
      <c r="M13" s="374">
        <f>[4]Brewhouse!$U800-[4]Brewhouse!$T800</f>
        <v>0.10972222222222217</v>
      </c>
      <c r="N13" s="370">
        <f>[4]Brewhouse!$Z800</f>
        <v>0.26111111111111107</v>
      </c>
      <c r="O13" s="419" t="str">
        <f>[4]Brewhouse!$AX800</f>
        <v>D. Gomaz</v>
      </c>
      <c r="P13" s="417"/>
      <c r="R13" s="277" t="str">
        <f t="shared" si="0"/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 t="s">
        <v>6</v>
      </c>
      <c r="C14" s="366" t="str">
        <f>[4]Brewhouse!$A801</f>
        <v>CA751</v>
      </c>
      <c r="D14" s="279">
        <f>[4]Brewhouse!$AF801</f>
        <v>49.2</v>
      </c>
      <c r="E14" s="279">
        <f>[4]Brewhouse!$AI801</f>
        <v>49.6</v>
      </c>
      <c r="F14" s="278">
        <f>[4]Brewhouse!$V801</f>
        <v>61</v>
      </c>
      <c r="G14" s="279">
        <f>[4]Brewhouse!AG801</f>
        <v>12</v>
      </c>
      <c r="H14" s="396">
        <v>12</v>
      </c>
      <c r="I14" s="368">
        <f>[4]Brewhouse!$AU801</f>
        <v>98.762703596416429</v>
      </c>
      <c r="J14" s="368">
        <f>[4]Brewhouse!$AV801</f>
        <v>99.52828739963725</v>
      </c>
      <c r="K14" s="281">
        <f>[4]Brewhouse!$Q801</f>
        <v>10.222222222222214</v>
      </c>
      <c r="L14" s="276">
        <f>[4]Brewhouse!$P801</f>
        <v>58</v>
      </c>
      <c r="M14" s="374">
        <f>[4]Brewhouse!$U801-[4]Brewhouse!$T801</f>
        <v>0.11111111111111105</v>
      </c>
      <c r="N14" s="370">
        <f>[4]Brewhouse!$Z801</f>
        <v>0.29999999999999993</v>
      </c>
      <c r="O14" s="419" t="str">
        <f>[4]Brewhouse!$AX801</f>
        <v>D. Gomaz</v>
      </c>
      <c r="P14" s="417"/>
      <c r="R14" s="277" t="str">
        <f t="shared" si="0"/>
        <v>CARIB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29" t="s">
        <v>6</v>
      </c>
      <c r="C15" s="366" t="str">
        <f>[4]Brewhouse!$A802</f>
        <v>CA752</v>
      </c>
      <c r="D15" s="279">
        <f>[4]Brewhouse!$AF802</f>
        <v>48.8</v>
      </c>
      <c r="E15" s="279">
        <f>[4]Brewhouse!$AI802</f>
        <v>49.3</v>
      </c>
      <c r="F15" s="278">
        <f>[4]Brewhouse!$V802</f>
        <v>58</v>
      </c>
      <c r="G15" s="279">
        <f>[4]Brewhouse!AG802</f>
        <v>12</v>
      </c>
      <c r="H15" s="490">
        <v>12.1</v>
      </c>
      <c r="I15" s="368">
        <f>[4]Brewhouse!$AU802</f>
        <v>98.40914048650491</v>
      </c>
      <c r="J15" s="368">
        <f>[4]Brewhouse!$AV802</f>
        <v>99.171883191944957</v>
      </c>
      <c r="K15" s="281">
        <f>[4]Brewhouse!$Q802</f>
        <v>11.127541589648803</v>
      </c>
      <c r="L15" s="276">
        <f>[4]Brewhouse!$P802</f>
        <v>58</v>
      </c>
      <c r="M15" s="374">
        <f>[4]Brewhouse!$U802-[4]Brewhouse!$T802</f>
        <v>0.10486111111111107</v>
      </c>
      <c r="N15" s="370">
        <f>[4]Brewhouse!$Z802</f>
        <v>0.24375000000000002</v>
      </c>
      <c r="O15" s="419" t="str">
        <f>[4]Brewhouse!$AX802</f>
        <v>R. Sookram</v>
      </c>
      <c r="P15" s="417"/>
      <c r="R15" s="277" t="str">
        <f t="shared" si="0"/>
        <v>CARIB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29" t="s">
        <v>6</v>
      </c>
      <c r="C16" s="366" t="str">
        <f>[4]Brewhouse!$A803</f>
        <v>CA753</v>
      </c>
      <c r="D16" s="279">
        <f>[4]Brewhouse!$AF803</f>
        <v>48.5</v>
      </c>
      <c r="E16" s="279">
        <f>[4]Brewhouse!$AI803</f>
        <v>49</v>
      </c>
      <c r="F16" s="278">
        <f>[4]Brewhouse!$V803</f>
        <v>62</v>
      </c>
      <c r="G16" s="279">
        <f>[4]Brewhouse!AG803</f>
        <v>11.8</v>
      </c>
      <c r="H16" s="490">
        <v>12.2</v>
      </c>
      <c r="I16" s="368">
        <f>[4]Brewhouse!$AU803</f>
        <v>95.977884419871557</v>
      </c>
      <c r="J16" s="368">
        <f>[4]Brewhouse!$AV803</f>
        <v>96.721832118617428</v>
      </c>
      <c r="K16" s="281">
        <f>[4]Brewhouse!$Q803</f>
        <v>11.682070240295749</v>
      </c>
      <c r="L16" s="276">
        <f>[4]Brewhouse!$P803</f>
        <v>60</v>
      </c>
      <c r="M16" s="374">
        <f>[4]Brewhouse!$U803-[4]Brewhouse!$T803</f>
        <v>0.11388888888888893</v>
      </c>
      <c r="N16" s="370">
        <f>[4]Brewhouse!$Z803</f>
        <v>0.27152777777777781</v>
      </c>
      <c r="O16" s="419" t="str">
        <f>[4]Brewhouse!$AX803</f>
        <v>R. Sookram</v>
      </c>
      <c r="P16" s="417"/>
      <c r="R16" s="277" t="str">
        <f t="shared" si="0"/>
        <v>CARIB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6" ht="15" customHeight="1">
      <c r="B17" s="29" t="s">
        <v>6</v>
      </c>
      <c r="C17" s="366" t="str">
        <f>[4]Brewhouse!$A804</f>
        <v>CA754</v>
      </c>
      <c r="D17" s="279">
        <f>[4]Brewhouse!$AF804</f>
        <v>49.1</v>
      </c>
      <c r="E17" s="279">
        <f>[4]Brewhouse!$AI804</f>
        <v>49.6</v>
      </c>
      <c r="F17" s="278">
        <f>[4]Brewhouse!$V804</f>
        <v>58</v>
      </c>
      <c r="G17" s="279">
        <f>[4]Brewhouse!AG804</f>
        <v>12</v>
      </c>
      <c r="H17" s="490">
        <v>12.3</v>
      </c>
      <c r="I17" s="368">
        <f>[4]Brewhouse!$AU804</f>
        <v>98.275780445846266</v>
      </c>
      <c r="J17" s="368">
        <f>[4]Brewhouse!$AV804</f>
        <v>99.037788718358144</v>
      </c>
      <c r="K17" s="281">
        <f>[4]Brewhouse!$Q804</f>
        <v>10.407407407407403</v>
      </c>
      <c r="L17" s="276">
        <f>[4]Brewhouse!$P804</f>
        <v>61</v>
      </c>
      <c r="M17" s="374">
        <f>[4]Brewhouse!$U804-[4]Brewhouse!$T804</f>
        <v>0.11736111111111103</v>
      </c>
      <c r="N17" s="370">
        <f>[4]Brewhouse!$Z804</f>
        <v>0.28611111111111109</v>
      </c>
      <c r="O17" s="419" t="str">
        <f>[4]Brewhouse!$AX804</f>
        <v>R. Sookram</v>
      </c>
      <c r="P17" s="417"/>
      <c r="R17" s="277" t="str">
        <f t="shared" si="0"/>
        <v>CARIB</v>
      </c>
      <c r="S17" s="471">
        <f t="shared" si="1"/>
        <v>11.6</v>
      </c>
      <c r="T17" s="471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1">
        <f t="shared" si="8"/>
        <v>60</v>
      </c>
    </row>
    <row r="18" spans="1:26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19"/>
      <c r="P18" s="417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6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19"/>
      <c r="P19" s="417"/>
      <c r="R19" s="277">
        <f t="shared" si="0"/>
        <v>0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6" ht="15" hidden="1" customHeight="1">
      <c r="B20" s="33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19"/>
      <c r="P20" s="417"/>
      <c r="R20" s="277">
        <f t="shared" ref="R20:R38" si="9">B20</f>
        <v>0</v>
      </c>
      <c r="S20" s="471" t="e">
        <f t="shared" ref="S20:S38" si="10">VLOOKUP($B20,$R$3:$X$9,2,FALSE)</f>
        <v>#N/A</v>
      </c>
      <c r="T20" s="471" t="e">
        <f t="shared" ref="T20:T38" si="11">VLOOKUP($B20,$R$3:$X$9,3,FALSE)</f>
        <v>#N/A</v>
      </c>
      <c r="U20" s="297" t="e">
        <f t="shared" ref="U20:U38" si="12">VLOOKUP($B20,$R$3:$X$9,4,FALSE)</f>
        <v>#N/A</v>
      </c>
      <c r="V20" s="297" t="e">
        <f t="shared" ref="V20:V38" si="13">VLOOKUP($B20,$R$3:$X$9,5,FALSE)</f>
        <v>#N/A</v>
      </c>
      <c r="W20" s="297" t="e">
        <f t="shared" ref="W20:W38" si="14">VLOOKUP($B20,$R$3:$X$9,6,FALSE)</f>
        <v>#N/A</v>
      </c>
      <c r="X20" s="297" t="e">
        <f t="shared" ref="X20:X38" si="15">VLOOKUP($B20,$R$3:$X$9,7,FALSE)</f>
        <v>#N/A</v>
      </c>
      <c r="Y20" s="297" t="e">
        <f t="shared" ref="Y20:Y38" si="16">VLOOKUP($B20,$R$3:$Z$9,8,FALSE)</f>
        <v>#N/A</v>
      </c>
      <c r="Z20" s="471" t="e">
        <f t="shared" ref="Z20:Z38" si="17">VLOOKUP($B20,$R$3:$Z$9,9,FALSE)</f>
        <v>#N/A</v>
      </c>
    </row>
    <row r="21" spans="1:26" ht="15" hidden="1" customHeight="1">
      <c r="B21" s="33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19"/>
      <c r="P21" s="417"/>
      <c r="R21" s="277">
        <f t="shared" si="9"/>
        <v>0</v>
      </c>
      <c r="S21" s="471" t="e">
        <f t="shared" si="10"/>
        <v>#N/A</v>
      </c>
      <c r="T21" s="471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1" t="e">
        <f t="shared" si="17"/>
        <v>#N/A</v>
      </c>
    </row>
    <row r="22" spans="1:26" ht="15" hidden="1" customHeight="1">
      <c r="B22" s="33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19"/>
      <c r="P22" s="417"/>
      <c r="R22" s="277">
        <f t="shared" si="9"/>
        <v>0</v>
      </c>
      <c r="S22" s="471" t="e">
        <f t="shared" si="10"/>
        <v>#N/A</v>
      </c>
      <c r="T22" s="471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1" t="e">
        <f t="shared" si="17"/>
        <v>#N/A</v>
      </c>
    </row>
    <row r="23" spans="1:26" ht="15" hidden="1" customHeight="1">
      <c r="B23" s="29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19"/>
      <c r="P23" s="417"/>
      <c r="R23" s="277">
        <f t="shared" si="9"/>
        <v>0</v>
      </c>
      <c r="S23" s="471" t="e">
        <f t="shared" si="10"/>
        <v>#N/A</v>
      </c>
      <c r="T23" s="471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1" t="e">
        <f t="shared" si="17"/>
        <v>#N/A</v>
      </c>
    </row>
    <row r="24" spans="1:26" ht="15" hidden="1" customHeight="1">
      <c r="B24" s="36"/>
      <c r="C24" s="366"/>
      <c r="D24" s="279"/>
      <c r="E24" s="279"/>
      <c r="F24" s="278"/>
      <c r="G24" s="279"/>
      <c r="H24" s="396"/>
      <c r="I24" s="487"/>
      <c r="J24" s="487"/>
      <c r="K24" s="488"/>
      <c r="L24" s="276"/>
      <c r="M24" s="374"/>
      <c r="N24" s="370"/>
      <c r="O24" s="419"/>
      <c r="P24" s="417"/>
      <c r="R24" s="277">
        <f t="shared" si="9"/>
        <v>0</v>
      </c>
      <c r="S24" s="471" t="e">
        <f t="shared" si="10"/>
        <v>#N/A</v>
      </c>
      <c r="T24" s="471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1" t="e">
        <f t="shared" si="17"/>
        <v>#N/A</v>
      </c>
    </row>
    <row r="25" spans="1:26" ht="17.25" customHeight="1" thickBot="1">
      <c r="B25" s="358"/>
      <c r="C25" s="358"/>
      <c r="D25" s="358"/>
      <c r="E25" s="358"/>
      <c r="F25" s="294"/>
      <c r="G25" s="294"/>
      <c r="H25" s="348"/>
      <c r="I25" s="566"/>
      <c r="J25" s="566"/>
      <c r="K25" s="566"/>
      <c r="L25" s="566"/>
      <c r="M25" s="566"/>
      <c r="N25" s="566"/>
      <c r="O25" s="1"/>
      <c r="P25" s="12"/>
      <c r="R25" s="277">
        <f t="shared" si="9"/>
        <v>0</v>
      </c>
      <c r="S25" s="471" t="e">
        <f t="shared" si="10"/>
        <v>#N/A</v>
      </c>
      <c r="T25" s="471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1" t="e">
        <f t="shared" si="17"/>
        <v>#N/A</v>
      </c>
    </row>
    <row r="26" spans="1:26" ht="17.25" customHeight="1" thickBot="1">
      <c r="B26" s="482" t="s">
        <v>162</v>
      </c>
      <c r="C26" s="388"/>
      <c r="D26" s="535" t="s">
        <v>35</v>
      </c>
      <c r="E26" s="536"/>
      <c r="F26" s="294"/>
      <c r="G26" s="294"/>
      <c r="H26" s="348"/>
      <c r="I26" s="24" t="s">
        <v>17</v>
      </c>
      <c r="J26" s="25"/>
      <c r="K26" s="26" t="s">
        <v>138</v>
      </c>
      <c r="L26" s="25" t="s">
        <v>37</v>
      </c>
      <c r="M26" s="25" t="s">
        <v>38</v>
      </c>
      <c r="N26" s="27" t="s">
        <v>39</v>
      </c>
      <c r="O26" s="294"/>
      <c r="P26" s="12"/>
      <c r="R26" s="277" t="str">
        <f t="shared" si="9"/>
        <v xml:space="preserve">BRAND </v>
      </c>
      <c r="S26" s="471" t="e">
        <f t="shared" si="10"/>
        <v>#N/A</v>
      </c>
      <c r="T26" s="471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1" t="e">
        <f t="shared" si="17"/>
        <v>#N/A</v>
      </c>
    </row>
    <row r="27" spans="1:26" ht="17.25" customHeight="1">
      <c r="A27" s="28"/>
      <c r="B27" s="588"/>
      <c r="C27" s="483"/>
      <c r="D27" s="522"/>
      <c r="E27" s="523"/>
      <c r="F27" s="294"/>
      <c r="G27" s="294"/>
      <c r="H27" s="348"/>
      <c r="I27" s="29" t="s">
        <v>6</v>
      </c>
      <c r="J27" s="323">
        <f>AVERAGE(I10:I17)</f>
        <v>97.65465317672988</v>
      </c>
      <c r="K27" s="284">
        <f>COUNTA([4]Brewhouse!$A$789:$A$804)</f>
        <v>16</v>
      </c>
      <c r="L27" s="305">
        <f>AVERAGE([4]Brewhouse!$AU$789:$AU$804)</f>
        <v>97.753640116148077</v>
      </c>
      <c r="M27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,[4]Brewhouse!$AU$789:$AU$804)</f>
        <v>98.318964406210327</v>
      </c>
      <c r="N27" s="30">
        <v>98</v>
      </c>
      <c r="O27" s="11"/>
      <c r="P27" s="31"/>
      <c r="R27" s="277">
        <f t="shared" si="9"/>
        <v>0</v>
      </c>
      <c r="S27" s="471" t="e">
        <f t="shared" si="10"/>
        <v>#N/A</v>
      </c>
      <c r="T27" s="471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1" t="e">
        <f t="shared" si="17"/>
        <v>#N/A</v>
      </c>
    </row>
    <row r="28" spans="1:26" ht="15" customHeight="1">
      <c r="A28" s="28"/>
      <c r="B28" s="568"/>
      <c r="C28" s="362"/>
      <c r="D28" s="524"/>
      <c r="E28" s="525"/>
      <c r="F28" s="294"/>
      <c r="G28" s="294"/>
      <c r="H28" s="348"/>
      <c r="I28" s="33" t="s">
        <v>9</v>
      </c>
      <c r="J28" s="323"/>
      <c r="K28" s="284">
        <f>COUNTA([3]Brewhouse!$A$390:$A$391)</f>
        <v>2</v>
      </c>
      <c r="L28" s="302">
        <f>AVERAGE([3]Brewhouse!$AS$390:$AS$391)</f>
        <v>99.056946070238752</v>
      </c>
      <c r="M28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$388,[3]Brewhouse!$AS$390:$AS$391)</f>
        <v>98.311229916038556</v>
      </c>
      <c r="N28" s="30">
        <v>98</v>
      </c>
      <c r="O28" s="11"/>
      <c r="P28" s="31"/>
      <c r="R28" s="277">
        <f t="shared" si="9"/>
        <v>0</v>
      </c>
      <c r="S28" s="471" t="e">
        <f t="shared" si="10"/>
        <v>#N/A</v>
      </c>
      <c r="T28" s="471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1" t="e">
        <f t="shared" si="17"/>
        <v>#N/A</v>
      </c>
    </row>
    <row r="29" spans="1:26" ht="14.65" customHeight="1">
      <c r="A29" s="28"/>
      <c r="B29" s="568"/>
      <c r="C29" s="362"/>
      <c r="D29" s="529"/>
      <c r="E29" s="530"/>
      <c r="F29" s="294"/>
      <c r="G29" s="294"/>
      <c r="H29" s="348"/>
      <c r="I29" s="34" t="s">
        <v>12</v>
      </c>
      <c r="J29" s="323"/>
      <c r="K29" s="284"/>
      <c r="L29" s="302"/>
      <c r="M29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9" s="30">
        <v>98</v>
      </c>
      <c r="O29" s="11"/>
      <c r="P29" s="31"/>
      <c r="R29" s="277">
        <f t="shared" si="9"/>
        <v>0</v>
      </c>
      <c r="S29" s="471" t="e">
        <f t="shared" si="10"/>
        <v>#N/A</v>
      </c>
      <c r="T29" s="471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1" t="e">
        <f t="shared" si="17"/>
        <v>#N/A</v>
      </c>
    </row>
    <row r="30" spans="1:26" ht="14.65" customHeight="1">
      <c r="A30" s="28"/>
      <c r="B30" s="568"/>
      <c r="C30" s="362"/>
      <c r="D30" s="531"/>
      <c r="E30" s="525"/>
      <c r="F30" s="294"/>
      <c r="G30" s="294"/>
      <c r="H30" s="348"/>
      <c r="I30" s="22" t="s">
        <v>33</v>
      </c>
      <c r="J30" s="280"/>
      <c r="K30" s="284"/>
      <c r="L30" s="302"/>
      <c r="M30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97.566635166530773</v>
      </c>
      <c r="N30" s="30">
        <v>98</v>
      </c>
      <c r="O30" s="11"/>
      <c r="P30" s="31"/>
      <c r="R30" s="277">
        <f t="shared" si="9"/>
        <v>0</v>
      </c>
      <c r="S30" s="471" t="e">
        <f t="shared" si="10"/>
        <v>#N/A</v>
      </c>
      <c r="T30" s="471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1" t="e">
        <f t="shared" si="17"/>
        <v>#N/A</v>
      </c>
    </row>
    <row r="31" spans="1:26" ht="14.65" customHeight="1">
      <c r="A31" s="28"/>
      <c r="B31" s="568"/>
      <c r="C31" s="362"/>
      <c r="D31" s="529"/>
      <c r="E31" s="530"/>
      <c r="F31" s="294"/>
      <c r="G31" s="294"/>
      <c r="H31" s="348"/>
      <c r="I31" s="35" t="s">
        <v>29</v>
      </c>
      <c r="J31" s="280"/>
      <c r="K31" s="284"/>
      <c r="L31" s="302"/>
      <c r="M31" s="302"/>
      <c r="N31" s="30">
        <v>98</v>
      </c>
      <c r="O31" s="11"/>
      <c r="P31" s="31"/>
      <c r="R31" s="277">
        <f t="shared" si="9"/>
        <v>0</v>
      </c>
      <c r="S31" s="471" t="e">
        <f t="shared" si="10"/>
        <v>#N/A</v>
      </c>
      <c r="T31" s="471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1" t="e">
        <f t="shared" si="17"/>
        <v>#N/A</v>
      </c>
    </row>
    <row r="32" spans="1:26" ht="14.65" customHeight="1">
      <c r="A32" s="28"/>
      <c r="B32" s="568"/>
      <c r="C32" s="362"/>
      <c r="D32" s="531"/>
      <c r="E32" s="525"/>
      <c r="F32" s="416"/>
      <c r="G32" s="294"/>
      <c r="H32" s="348"/>
      <c r="I32" s="36" t="s">
        <v>15</v>
      </c>
      <c r="J32" s="323"/>
      <c r="K32" s="284"/>
      <c r="L32" s="302"/>
      <c r="M32" s="302">
        <f>AVERAGE([7]Brewhouse!$AT$4:$AT$11,[7]Brewhouse!$AT$13:$AT$16,[7]Brewhouse!$AT$18:$AT$30)</f>
        <v>93.22262799886262</v>
      </c>
      <c r="N32" s="30">
        <v>98</v>
      </c>
      <c r="O32" s="11"/>
      <c r="P32" s="31"/>
      <c r="R32" s="277">
        <f t="shared" si="9"/>
        <v>0</v>
      </c>
      <c r="S32" s="471" t="e">
        <f t="shared" si="10"/>
        <v>#N/A</v>
      </c>
      <c r="T32" s="471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1" t="e">
        <f t="shared" si="17"/>
        <v>#N/A</v>
      </c>
    </row>
    <row r="33" spans="1:56" ht="14.65" customHeight="1">
      <c r="A33" s="28"/>
      <c r="B33" s="568"/>
      <c r="C33" s="362"/>
      <c r="D33" s="529"/>
      <c r="E33" s="530"/>
      <c r="F33" s="416"/>
      <c r="G33" s="294"/>
      <c r="H33" s="348"/>
      <c r="I33" s="37" t="s">
        <v>16</v>
      </c>
      <c r="J33" s="323"/>
      <c r="K33" s="284"/>
      <c r="L33" s="302"/>
      <c r="M33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97.792958274585203</v>
      </c>
      <c r="N33" s="30">
        <v>98</v>
      </c>
      <c r="O33" s="11"/>
      <c r="P33" s="31" t="s">
        <v>41</v>
      </c>
      <c r="R33" s="277">
        <f t="shared" si="9"/>
        <v>0</v>
      </c>
      <c r="S33" s="471" t="e">
        <f t="shared" si="10"/>
        <v>#N/A</v>
      </c>
      <c r="T33" s="471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1" t="e">
        <f t="shared" si="17"/>
        <v>#N/A</v>
      </c>
    </row>
    <row r="34" spans="1:56" ht="14.65" customHeight="1">
      <c r="A34" s="28"/>
      <c r="B34" s="568"/>
      <c r="C34" s="362"/>
      <c r="D34" s="531"/>
      <c r="E34" s="525"/>
      <c r="F34" s="294"/>
      <c r="G34" s="294"/>
      <c r="H34" s="348"/>
      <c r="I34" s="410" t="s">
        <v>158</v>
      </c>
      <c r="J34" s="326"/>
      <c r="K34" s="284"/>
      <c r="L34" s="305"/>
      <c r="M34" s="305"/>
      <c r="N34" s="30">
        <v>98</v>
      </c>
      <c r="O34" s="11"/>
      <c r="P34" s="31"/>
      <c r="R34" s="277">
        <f t="shared" si="9"/>
        <v>0</v>
      </c>
      <c r="S34" s="471" t="e">
        <f t="shared" si="10"/>
        <v>#N/A</v>
      </c>
      <c r="T34" s="471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1" t="e">
        <f t="shared" si="17"/>
        <v>#N/A</v>
      </c>
    </row>
    <row r="35" spans="1:56" ht="14.65" customHeight="1">
      <c r="A35" s="28"/>
      <c r="B35" s="568"/>
      <c r="C35" s="362"/>
      <c r="D35" s="529"/>
      <c r="E35" s="530"/>
      <c r="F35" s="294"/>
      <c r="G35" s="294"/>
      <c r="H35" s="348"/>
      <c r="I35" s="409" t="s">
        <v>157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9"/>
        <v>0</v>
      </c>
      <c r="S35" s="471" t="e">
        <f t="shared" si="10"/>
        <v>#N/A</v>
      </c>
      <c r="T35" s="471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1" t="e">
        <f t="shared" si="17"/>
        <v>#N/A</v>
      </c>
      <c r="AA35" s="471"/>
    </row>
    <row r="36" spans="1:56" ht="15" customHeight="1" thickBot="1">
      <c r="A36" s="28"/>
      <c r="B36" s="568"/>
      <c r="C36" s="362"/>
      <c r="D36" s="531"/>
      <c r="E36" s="525"/>
      <c r="F36" s="294"/>
      <c r="G36" s="294"/>
      <c r="H36" s="348"/>
      <c r="I36" s="405" t="s">
        <v>156</v>
      </c>
      <c r="J36" s="327"/>
      <c r="K36" s="406"/>
      <c r="L36" s="407"/>
      <c r="M36" s="407"/>
      <c r="N36" s="408">
        <v>98</v>
      </c>
      <c r="O36" s="11"/>
      <c r="P36" s="31"/>
      <c r="R36" s="277">
        <f t="shared" si="9"/>
        <v>0</v>
      </c>
      <c r="S36" s="471" t="e">
        <f t="shared" si="10"/>
        <v>#N/A</v>
      </c>
      <c r="T36" s="471" t="e">
        <f t="shared" si="11"/>
        <v>#N/A</v>
      </c>
      <c r="U36" s="297" t="e">
        <f t="shared" si="12"/>
        <v>#N/A</v>
      </c>
      <c r="V36" s="297" t="e">
        <f t="shared" si="13"/>
        <v>#N/A</v>
      </c>
      <c r="W36" s="297" t="e">
        <f t="shared" si="14"/>
        <v>#N/A</v>
      </c>
      <c r="X36" s="297" t="e">
        <f t="shared" si="15"/>
        <v>#N/A</v>
      </c>
      <c r="Y36" s="297" t="e">
        <f t="shared" si="16"/>
        <v>#N/A</v>
      </c>
      <c r="Z36" s="471" t="e">
        <f t="shared" si="17"/>
        <v>#N/A</v>
      </c>
      <c r="AA36" s="471"/>
    </row>
    <row r="37" spans="1:56" ht="15" customHeight="1" thickBot="1">
      <c r="A37" s="28"/>
      <c r="B37" s="568"/>
      <c r="C37" s="349"/>
      <c r="D37" s="522"/>
      <c r="E37" s="523"/>
      <c r="F37" s="294"/>
      <c r="G37" s="294"/>
      <c r="H37" s="348"/>
      <c r="I37" s="1"/>
      <c r="J37" s="39"/>
      <c r="K37" s="403">
        <f>SUM(K27:K36)</f>
        <v>18</v>
      </c>
      <c r="L37" s="404">
        <f>((L27*K27)+(L28*K28)+(L29*K29)+(L30*K30)+(L31*K31)+(K34*L34)+(L32*K32)+(L33*K33)+(L36*K36))/(K37)</f>
        <v>97.898451888824809</v>
      </c>
      <c r="M37" s="404">
        <f>AVERAGE('[9]Jan30th-31st'!$L$42,'[10]Feb 27th-28th'!$L$45,'[11]Mar 31st'!$L$42,'[12]Apr 30th'!$L$41,'[13]May 29th '!$L$35,'[14]June 30th'!$L$32,[15]July31st!$L$36,'[16]Aug 31st'!$L$32,L37)</f>
        <v>97.972783729995541</v>
      </c>
      <c r="N37" s="40">
        <v>98</v>
      </c>
      <c r="O37" s="11"/>
      <c r="P37" s="31"/>
      <c r="R37" s="277">
        <f t="shared" si="9"/>
        <v>0</v>
      </c>
      <c r="S37" s="471" t="e">
        <f t="shared" si="10"/>
        <v>#N/A</v>
      </c>
      <c r="T37" s="471" t="e">
        <f t="shared" si="11"/>
        <v>#N/A</v>
      </c>
      <c r="U37" s="297" t="e">
        <f t="shared" si="12"/>
        <v>#N/A</v>
      </c>
      <c r="V37" s="297" t="e">
        <f t="shared" si="13"/>
        <v>#N/A</v>
      </c>
      <c r="W37" s="297" t="e">
        <f t="shared" si="14"/>
        <v>#N/A</v>
      </c>
      <c r="X37" s="297" t="e">
        <f t="shared" si="15"/>
        <v>#N/A</v>
      </c>
      <c r="Y37" s="297" t="e">
        <f t="shared" si="16"/>
        <v>#N/A</v>
      </c>
      <c r="Z37" s="471" t="e">
        <f t="shared" si="17"/>
        <v>#N/A</v>
      </c>
      <c r="AA37" s="471"/>
    </row>
    <row r="38" spans="1:56" ht="15.75" thickBot="1">
      <c r="B38" s="589"/>
      <c r="C38" s="350"/>
      <c r="D38" s="524"/>
      <c r="E38" s="525"/>
      <c r="F38" s="294"/>
      <c r="G38" s="42"/>
      <c r="H38" s="41"/>
      <c r="I38" s="42"/>
      <c r="J38" s="42"/>
      <c r="K38" s="351"/>
      <c r="L38" s="348"/>
      <c r="M38" s="348"/>
      <c r="N38" s="11"/>
      <c r="O38" s="294"/>
      <c r="P38" s="12"/>
      <c r="R38" s="277">
        <f t="shared" si="9"/>
        <v>0</v>
      </c>
      <c r="S38" s="471" t="e">
        <f t="shared" si="10"/>
        <v>#N/A</v>
      </c>
      <c r="T38" s="471" t="e">
        <f t="shared" si="11"/>
        <v>#N/A</v>
      </c>
      <c r="U38" s="297" t="e">
        <f t="shared" si="12"/>
        <v>#N/A</v>
      </c>
      <c r="V38" s="297" t="e">
        <f t="shared" si="13"/>
        <v>#N/A</v>
      </c>
      <c r="W38" s="297" t="e">
        <f t="shared" si="14"/>
        <v>#N/A</v>
      </c>
      <c r="X38" s="297" t="e">
        <f t="shared" si="15"/>
        <v>#N/A</v>
      </c>
      <c r="Y38" s="297" t="e">
        <f t="shared" si="16"/>
        <v>#N/A</v>
      </c>
      <c r="Z38" s="471" t="e">
        <f t="shared" si="17"/>
        <v>#N/A</v>
      </c>
      <c r="AA38" s="471"/>
    </row>
    <row r="39" spans="1:56" ht="15.75" thickBot="1">
      <c r="B39" s="519"/>
      <c r="C39" s="362"/>
      <c r="D39" s="522"/>
      <c r="E39" s="523"/>
      <c r="F39" s="294"/>
      <c r="G39" s="42"/>
      <c r="H39" s="41"/>
      <c r="I39" s="42"/>
      <c r="J39" s="526" t="s">
        <v>129</v>
      </c>
      <c r="K39" s="526"/>
      <c r="L39" s="294"/>
      <c r="M39" s="294"/>
      <c r="N39" s="294"/>
      <c r="O39" s="294"/>
      <c r="P39" s="12"/>
    </row>
    <row r="40" spans="1:56" ht="15.75" thickBot="1">
      <c r="B40" s="520"/>
      <c r="C40" s="362"/>
      <c r="D40" s="524"/>
      <c r="E40" s="525"/>
      <c r="F40" s="294"/>
      <c r="G40" s="42"/>
      <c r="H40" s="42"/>
      <c r="I40" s="42"/>
      <c r="J40" s="292" t="s">
        <v>17</v>
      </c>
      <c r="K40" s="293"/>
      <c r="L40" s="527" t="s">
        <v>136</v>
      </c>
      <c r="M40" s="527"/>
      <c r="N40" s="528"/>
      <c r="O40" s="294"/>
      <c r="P40" s="12"/>
    </row>
    <row r="41" spans="1:56" ht="15" customHeight="1" thickBot="1">
      <c r="B41" s="520"/>
      <c r="C41" s="349"/>
      <c r="D41" s="529"/>
      <c r="E41" s="530"/>
      <c r="F41" s="294"/>
      <c r="G41" s="42"/>
      <c r="H41" s="42"/>
      <c r="I41" s="42"/>
      <c r="J41" s="287" t="s">
        <v>6</v>
      </c>
      <c r="K41" s="324">
        <v>8</v>
      </c>
      <c r="L41" s="472" t="s">
        <v>37</v>
      </c>
      <c r="M41" s="473" t="s">
        <v>38</v>
      </c>
      <c r="N41" s="473" t="s">
        <v>84</v>
      </c>
      <c r="O41" s="294"/>
      <c r="P41" s="12"/>
    </row>
    <row r="42" spans="1:56" ht="15.75" customHeight="1" thickBot="1">
      <c r="B42" s="520"/>
      <c r="C42" s="349"/>
      <c r="D42" s="531"/>
      <c r="E42" s="525"/>
      <c r="F42" s="294"/>
      <c r="G42" s="42"/>
      <c r="H42" s="42"/>
      <c r="I42" s="42"/>
      <c r="J42" s="345" t="s">
        <v>9</v>
      </c>
      <c r="K42" s="324"/>
      <c r="L42" s="484">
        <f>AVERAGE('Oct 1st'!K52,'Oct 2nd'!K44,K51)</f>
        <v>6</v>
      </c>
      <c r="M42" s="485">
        <f>AVERAGE('[9]Jan30th-31st'!$L$47,L42,'[10]Feb 26th '!$L$39,'[11]Mar 31st'!$L$47,'[12]Apr 30th'!$L$46,'[13]May 29th '!$L$40,'[14]June 30th'!$L$39,[15]July31st!$L$41,'[16]Aug 31st'!$L$37,'[17]Sept 30th'!$L$37)</f>
        <v>6.4735341470124066</v>
      </c>
      <c r="N42" s="415">
        <v>9.1999999999999993</v>
      </c>
      <c r="O42" s="294"/>
      <c r="P42" s="12"/>
    </row>
    <row r="43" spans="1:56" ht="15" customHeight="1">
      <c r="B43" s="520"/>
      <c r="C43" s="349"/>
      <c r="D43" s="529"/>
      <c r="E43" s="530"/>
      <c r="F43" s="294"/>
      <c r="G43" s="42"/>
      <c r="H43" s="42"/>
      <c r="I43" s="42"/>
      <c r="J43" s="288" t="s">
        <v>40</v>
      </c>
      <c r="K43" s="324"/>
      <c r="L43" s="294"/>
      <c r="M43" s="294"/>
      <c r="N43" s="294"/>
      <c r="O43" s="294"/>
      <c r="P43" s="12"/>
    </row>
    <row r="44" spans="1:56" ht="15" customHeight="1">
      <c r="B44" s="520"/>
      <c r="C44" s="349"/>
      <c r="D44" s="531"/>
      <c r="E44" s="525"/>
      <c r="F44" s="294"/>
      <c r="G44" s="42"/>
      <c r="H44" s="42"/>
      <c r="I44" s="42"/>
      <c r="J44" s="289" t="s">
        <v>33</v>
      </c>
      <c r="K44" s="324"/>
      <c r="L44" s="294"/>
      <c r="M44" s="294"/>
      <c r="N44" s="294"/>
      <c r="O44" s="294"/>
      <c r="P44" s="12"/>
    </row>
    <row r="45" spans="1:56" ht="15">
      <c r="B45" s="520"/>
      <c r="C45" s="349"/>
      <c r="D45" s="529"/>
      <c r="E45" s="530"/>
      <c r="F45" s="294"/>
      <c r="G45" s="42"/>
      <c r="H45" s="42"/>
      <c r="I45" s="42"/>
      <c r="J45" s="290" t="s">
        <v>16</v>
      </c>
      <c r="K45" s="324"/>
      <c r="L45" s="294"/>
      <c r="M45" s="294"/>
      <c r="N45" s="294"/>
      <c r="O45" s="294"/>
      <c r="P45" s="12"/>
      <c r="BC45" s="44"/>
      <c r="BD45" s="44"/>
    </row>
    <row r="46" spans="1:56" ht="15">
      <c r="B46" s="520"/>
      <c r="C46" s="349"/>
      <c r="D46" s="531"/>
      <c r="E46" s="525"/>
      <c r="F46" s="294"/>
      <c r="G46" s="42"/>
      <c r="H46" s="42"/>
      <c r="I46" s="42"/>
      <c r="J46" s="291" t="s">
        <v>15</v>
      </c>
      <c r="K46" s="324"/>
      <c r="L46" s="294"/>
      <c r="M46" s="294"/>
      <c r="N46" s="294"/>
      <c r="O46" s="294"/>
      <c r="P46" s="12"/>
      <c r="BC46" s="44"/>
      <c r="BD46" s="44"/>
    </row>
    <row r="47" spans="1:56" ht="15">
      <c r="B47" s="520"/>
      <c r="C47" s="349"/>
      <c r="D47" s="529"/>
      <c r="E47" s="530"/>
      <c r="F47" s="294"/>
      <c r="G47" s="42"/>
      <c r="H47" s="42"/>
      <c r="I47" s="42"/>
      <c r="J47" s="291" t="s">
        <v>149</v>
      </c>
      <c r="K47" s="324"/>
      <c r="L47" s="294"/>
      <c r="M47" s="294"/>
      <c r="N47" s="294"/>
      <c r="O47" s="294"/>
      <c r="P47" s="12"/>
      <c r="BC47" s="44"/>
      <c r="BD47" s="44"/>
    </row>
    <row r="48" spans="1:56" ht="15.75" thickBot="1">
      <c r="B48" s="521"/>
      <c r="C48" s="350"/>
      <c r="D48" s="532"/>
      <c r="E48" s="533"/>
      <c r="F48" s="294" t="s">
        <v>165</v>
      </c>
      <c r="G48" s="42"/>
      <c r="H48" s="42"/>
      <c r="I48" s="42"/>
      <c r="J48" s="291" t="s">
        <v>148</v>
      </c>
      <c r="K48" s="324"/>
      <c r="L48" s="294"/>
      <c r="M48" s="294"/>
      <c r="N48" s="294" t="s">
        <v>41</v>
      </c>
      <c r="O48" s="294"/>
      <c r="P48" s="12"/>
      <c r="BC48" s="44"/>
      <c r="BD48" s="44"/>
    </row>
    <row r="49" spans="2:57" ht="17.649999999999999" customHeight="1" thickBot="1">
      <c r="B49" s="312" t="s">
        <v>139</v>
      </c>
      <c r="C49" s="313"/>
      <c r="D49" s="512"/>
      <c r="E49" s="513"/>
      <c r="F49" s="294"/>
      <c r="J49" s="295" t="s">
        <v>134</v>
      </c>
      <c r="K49" s="324"/>
      <c r="L49" s="294"/>
      <c r="M49" s="294"/>
      <c r="N49" s="294"/>
      <c r="O49" s="294"/>
      <c r="P49" s="12"/>
      <c r="BC49" s="44"/>
      <c r="BD49" s="44"/>
    </row>
    <row r="50" spans="2:57" ht="17.649999999999999" customHeight="1">
      <c r="B50" s="363"/>
      <c r="C50" s="364"/>
      <c r="D50" s="365"/>
      <c r="E50" s="365"/>
      <c r="F50" s="294"/>
      <c r="G50" s="42"/>
      <c r="H50" s="42"/>
      <c r="I50" s="42"/>
      <c r="J50" s="295" t="s">
        <v>131</v>
      </c>
      <c r="K50" s="324"/>
      <c r="L50" s="294"/>
      <c r="M50" s="294"/>
      <c r="N50" s="294"/>
      <c r="O50" s="294"/>
      <c r="P50" s="12"/>
      <c r="BC50" s="44"/>
      <c r="BD50" s="44"/>
    </row>
    <row r="51" spans="2:57" ht="15.6" customHeight="1">
      <c r="B51" s="45"/>
      <c r="C51" s="11"/>
      <c r="D51" s="11"/>
      <c r="E51" s="46"/>
      <c r="F51" s="294"/>
      <c r="G51" s="42"/>
      <c r="H51" s="42"/>
      <c r="I51" s="42"/>
      <c r="J51" s="346" t="s">
        <v>130</v>
      </c>
      <c r="K51" s="324">
        <f>SUM(K41:K50)</f>
        <v>8</v>
      </c>
      <c r="L51" s="294"/>
      <c r="M51" s="294"/>
      <c r="N51" s="294"/>
      <c r="O51" s="294"/>
      <c r="P51" s="12"/>
    </row>
    <row r="52" spans="2:57" ht="20.25" customHeight="1">
      <c r="B52" s="15" t="s">
        <v>42</v>
      </c>
      <c r="C52" s="1" t="s">
        <v>43</v>
      </c>
      <c r="D52" s="1"/>
      <c r="E52" s="1"/>
      <c r="F52" s="294"/>
      <c r="G52" s="42"/>
      <c r="H52" s="41"/>
      <c r="I52" s="42"/>
      <c r="L52" s="42"/>
      <c r="N52" s="315"/>
      <c r="P52" s="334"/>
    </row>
    <row r="53" spans="2:57" ht="15" customHeight="1" thickBot="1"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1"/>
      <c r="O53" s="48"/>
      <c r="P53" s="49"/>
    </row>
    <row r="54" spans="2:57" ht="15" customHeight="1" thickBot="1">
      <c r="B54" s="504" t="s">
        <v>17</v>
      </c>
      <c r="C54" s="504" t="s">
        <v>44</v>
      </c>
      <c r="D54" s="515" t="s">
        <v>45</v>
      </c>
      <c r="E54" s="517" t="s">
        <v>46</v>
      </c>
      <c r="F54" s="510" t="s">
        <v>47</v>
      </c>
      <c r="G54" s="502" t="s">
        <v>48</v>
      </c>
      <c r="H54" s="504" t="s">
        <v>49</v>
      </c>
      <c r="I54" s="504" t="s">
        <v>50</v>
      </c>
      <c r="J54" s="496" t="s">
        <v>28</v>
      </c>
      <c r="K54" s="506" t="s">
        <v>51</v>
      </c>
      <c r="L54" s="508" t="s">
        <v>52</v>
      </c>
      <c r="M54" s="496" t="s">
        <v>53</v>
      </c>
      <c r="N54" s="13"/>
      <c r="O54" s="13"/>
      <c r="P54" s="50"/>
    </row>
    <row r="55" spans="2:57" ht="28.5" customHeight="1" thickTop="1" thickBot="1">
      <c r="B55" s="505"/>
      <c r="C55" s="514"/>
      <c r="D55" s="516"/>
      <c r="E55" s="518"/>
      <c r="F55" s="511"/>
      <c r="G55" s="503"/>
      <c r="H55" s="505"/>
      <c r="I55" s="505"/>
      <c r="J55" s="497"/>
      <c r="K55" s="507"/>
      <c r="L55" s="509"/>
      <c r="M55" s="497"/>
      <c r="N55" s="13"/>
      <c r="O55" s="13"/>
      <c r="P55" s="50"/>
      <c r="Q55" s="355"/>
      <c r="AB55" s="474">
        <v>43474</v>
      </c>
      <c r="AC55" s="474">
        <v>43475</v>
      </c>
      <c r="AD55" s="474">
        <v>43476</v>
      </c>
      <c r="AE55" s="474">
        <v>43477</v>
      </c>
      <c r="AF55" s="474">
        <v>43478</v>
      </c>
      <c r="AG55" s="474">
        <v>43479</v>
      </c>
      <c r="AH55" s="474">
        <v>43480</v>
      </c>
      <c r="AI55" s="474">
        <v>43481</v>
      </c>
      <c r="AJ55" s="474">
        <v>43482</v>
      </c>
      <c r="AK55" s="474">
        <v>43483</v>
      </c>
      <c r="AL55" s="474">
        <v>43484</v>
      </c>
      <c r="AM55" s="474">
        <v>43485</v>
      </c>
      <c r="AN55" s="474">
        <v>43486</v>
      </c>
      <c r="AO55" s="474">
        <v>43487</v>
      </c>
      <c r="AP55" s="474">
        <v>43488</v>
      </c>
      <c r="AQ55" s="474">
        <v>43489</v>
      </c>
      <c r="AR55" s="474">
        <v>43490</v>
      </c>
      <c r="AS55" s="474">
        <v>43491</v>
      </c>
      <c r="AT55" s="474">
        <v>43492</v>
      </c>
      <c r="AU55" s="474">
        <v>43493</v>
      </c>
      <c r="AV55" s="474">
        <v>43494</v>
      </c>
      <c r="AW55" s="474">
        <v>43495</v>
      </c>
      <c r="AX55" s="474">
        <v>43496</v>
      </c>
    </row>
    <row r="56" spans="2:57" s="54" customFormat="1" ht="36.75" customHeight="1" thickBot="1">
      <c r="B56" s="455" t="str">
        <f>J41</f>
        <v>CARIB</v>
      </c>
      <c r="C56" s="478">
        <v>46300</v>
      </c>
      <c r="D56" s="444">
        <f>[18]October_2026!$H$3</f>
        <v>324.89999999999998</v>
      </c>
      <c r="E56" s="442"/>
      <c r="F56" s="443"/>
      <c r="G56" s="443">
        <f>[18]October_2026!$H$7</f>
        <v>302.39999999999998</v>
      </c>
      <c r="H56" s="457"/>
      <c r="I56" s="457"/>
      <c r="J56" s="447" t="s">
        <v>150</v>
      </c>
      <c r="K56" s="448">
        <f>[19]October_2026!$H$18</f>
        <v>1.0610526315789472</v>
      </c>
      <c r="L56" s="456">
        <f>(((D56+E56)-G56)/(D56+E56))*100</f>
        <v>6.9252077562326875</v>
      </c>
      <c r="M56" s="454" t="s">
        <v>174</v>
      </c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[20]January_2019!L5</f>
        <v>0</v>
      </c>
      <c r="AC56" s="57">
        <f>[20]January_2019!M5</f>
        <v>0</v>
      </c>
      <c r="AD56" s="57">
        <f>[20]January_2019!N5</f>
        <v>0</v>
      </c>
      <c r="AE56" s="57">
        <f>[20]January_2019!O5</f>
        <v>0</v>
      </c>
      <c r="AF56" s="57">
        <f>[20]January_2019!P5</f>
        <v>0</v>
      </c>
      <c r="AG56" s="57">
        <f>[20]January_2019!Q5</f>
        <v>0</v>
      </c>
      <c r="AH56" s="57">
        <f>[20]January_2019!R5</f>
        <v>0</v>
      </c>
      <c r="AI56" s="57">
        <f>[20]January_2019!S5</f>
        <v>0</v>
      </c>
      <c r="AJ56" s="57">
        <f>[20]January_2019!T5</f>
        <v>0</v>
      </c>
      <c r="AK56" s="57">
        <f>[20]January_2019!U5</f>
        <v>0</v>
      </c>
      <c r="AL56" s="57">
        <f>[20]January_2019!V5</f>
        <v>0</v>
      </c>
      <c r="AM56" s="57">
        <f>[20]January_2019!W5</f>
        <v>0</v>
      </c>
      <c r="AN56" s="57">
        <f>[20]January_2019!X5</f>
        <v>0</v>
      </c>
      <c r="AO56" s="57">
        <f>[20]January_2019!Y5</f>
        <v>0</v>
      </c>
      <c r="AP56" s="57">
        <f>[20]January_2019!Z5</f>
        <v>0</v>
      </c>
      <c r="AQ56" s="57">
        <f>[20]January_2019!AA5</f>
        <v>0</v>
      </c>
      <c r="AR56" s="57">
        <f>[20]January_2019!AB5</f>
        <v>0</v>
      </c>
      <c r="AS56" s="57">
        <f>[20]January_2019!AC5</f>
        <v>0</v>
      </c>
      <c r="AT56" s="57">
        <f>[20]January_2019!AD5</f>
        <v>0</v>
      </c>
      <c r="AU56" s="57">
        <f>[20]January_2019!AE5</f>
        <v>0</v>
      </c>
      <c r="AV56" s="57">
        <f>[20]January_2019!AF5</f>
        <v>0</v>
      </c>
      <c r="AW56" s="57">
        <f>[20]January_2019!AG5</f>
        <v>0</v>
      </c>
      <c r="AX56" s="277">
        <f>[20]January_2019!AH5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14.25" customHeight="1" thickBot="1">
      <c r="B57" s="479"/>
      <c r="C57" s="478"/>
      <c r="D57" s="441"/>
      <c r="E57" s="442"/>
      <c r="F57" s="443"/>
      <c r="G57" s="444"/>
      <c r="H57" s="457"/>
      <c r="I57" s="457"/>
      <c r="J57" s="475"/>
      <c r="K57" s="448"/>
      <c r="L57" s="456"/>
      <c r="M57" s="454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[20]January_2019!L6</f>
        <v>0</v>
      </c>
      <c r="AC57" s="57">
        <f>[20]January_2019!M6</f>
        <v>0</v>
      </c>
      <c r="AD57" s="57">
        <f>[20]January_2019!N6</f>
        <v>0</v>
      </c>
      <c r="AE57" s="57">
        <f>[20]January_2019!O6</f>
        <v>0</v>
      </c>
      <c r="AF57" s="57">
        <f>[20]January_2019!P6</f>
        <v>0</v>
      </c>
      <c r="AG57" s="57">
        <f>[20]January_2019!Q6</f>
        <v>0</v>
      </c>
      <c r="AH57" s="57">
        <f>[20]January_2019!R6</f>
        <v>0</v>
      </c>
      <c r="AI57" s="57">
        <f>[20]January_2019!S6</f>
        <v>0</v>
      </c>
      <c r="AJ57" s="57">
        <f>[20]January_2019!T6</f>
        <v>0</v>
      </c>
      <c r="AK57" s="57">
        <f>[20]January_2019!U6</f>
        <v>0</v>
      </c>
      <c r="AL57" s="57">
        <f>[20]January_2019!V6</f>
        <v>0</v>
      </c>
      <c r="AM57" s="57">
        <f>[20]January_2019!W6</f>
        <v>0</v>
      </c>
      <c r="AN57" s="57">
        <f>[20]January_2019!X6</f>
        <v>0</v>
      </c>
      <c r="AO57" s="57">
        <f>[20]January_2019!Y6</f>
        <v>0</v>
      </c>
      <c r="AP57" s="57">
        <f>[20]January_2019!Z6</f>
        <v>0</v>
      </c>
      <c r="AQ57" s="57">
        <f>[20]January_2019!AA6</f>
        <v>0</v>
      </c>
      <c r="AR57" s="57">
        <f>[20]January_2019!AB6</f>
        <v>0</v>
      </c>
      <c r="AS57" s="57">
        <f>[20]January_2019!AC6</f>
        <v>0</v>
      </c>
      <c r="AT57" s="57">
        <f>[20]January_2019!AD6</f>
        <v>0</v>
      </c>
      <c r="AU57" s="57">
        <f>[20]January_2019!AE6</f>
        <v>0</v>
      </c>
      <c r="AV57" s="57">
        <f>[20]January_2019!AF6</f>
        <v>0</v>
      </c>
      <c r="AW57" s="57">
        <f>[20]January_2019!AG6</f>
        <v>0</v>
      </c>
      <c r="AX57" s="277">
        <f>[20]January_2019!AH6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37.15" customHeight="1" thickBot="1">
      <c r="B58" s="455" t="str">
        <f>J41</f>
        <v>CARIB</v>
      </c>
      <c r="C58" s="478">
        <v>46300</v>
      </c>
      <c r="D58" s="441">
        <f>[18]October_2026!$G$3</f>
        <v>198.2</v>
      </c>
      <c r="E58" s="442"/>
      <c r="F58" s="443"/>
      <c r="G58" s="443">
        <f>[18]October_2026!$G$7</f>
        <v>189.1</v>
      </c>
      <c r="H58" s="445"/>
      <c r="I58" s="445"/>
      <c r="J58" s="447" t="s">
        <v>173</v>
      </c>
      <c r="K58" s="448">
        <f>[19]October_2026!$G$18</f>
        <v>0.33175438596491225</v>
      </c>
      <c r="L58" s="456">
        <f>(((D58+E58)-G58)/(D58+E58))*100</f>
        <v>4.5913218970736605</v>
      </c>
      <c r="M58" s="454" t="s">
        <v>175</v>
      </c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[20]January_2019!L7</f>
        <v>285.8</v>
      </c>
      <c r="AC58" s="57">
        <f>[20]January_2019!M7</f>
        <v>508.1</v>
      </c>
      <c r="AD58" s="57">
        <f>[20]January_2019!N7</f>
        <v>0</v>
      </c>
      <c r="AE58" s="57">
        <f>[20]January_2019!O7</f>
        <v>0</v>
      </c>
      <c r="AF58" s="57">
        <f>[20]January_2019!P7</f>
        <v>109.56666666666666</v>
      </c>
      <c r="AG58" s="57">
        <f>[20]January_2019!Q7</f>
        <v>297.64999999999998</v>
      </c>
      <c r="AH58" s="57">
        <f>[20]January_2019!R7</f>
        <v>122.3</v>
      </c>
      <c r="AI58" s="57">
        <f>[20]January_2019!S7</f>
        <v>0</v>
      </c>
      <c r="AJ58" s="57">
        <f>[20]January_2019!T7</f>
        <v>294.7</v>
      </c>
      <c r="AK58" s="57">
        <f>[20]January_2019!U7</f>
        <v>280.5</v>
      </c>
      <c r="AL58" s="57">
        <f>[20]January_2019!V7</f>
        <v>0</v>
      </c>
      <c r="AM58" s="57">
        <f>[20]January_2019!W7</f>
        <v>0</v>
      </c>
      <c r="AN58" s="57">
        <f>[20]January_2019!X7</f>
        <v>188.25</v>
      </c>
      <c r="AO58" s="57">
        <f>[20]January_2019!Y7</f>
        <v>295.7</v>
      </c>
      <c r="AP58" s="57">
        <f>[20]January_2019!Z7</f>
        <v>257.8</v>
      </c>
      <c r="AQ58" s="57">
        <f>[20]January_2019!AA7</f>
        <v>291.2</v>
      </c>
      <c r="AR58" s="57">
        <f>[20]January_2019!AB7</f>
        <v>187</v>
      </c>
      <c r="AS58" s="57">
        <f>[20]January_2019!AC7</f>
        <v>0</v>
      </c>
      <c r="AT58" s="57">
        <f>[20]January_2019!AD7</f>
        <v>0</v>
      </c>
      <c r="AU58" s="57">
        <f>[20]January_2019!AE7</f>
        <v>485.1</v>
      </c>
      <c r="AV58" s="57">
        <f>[20]January_2019!AF7</f>
        <v>171.55</v>
      </c>
      <c r="AW58" s="57">
        <f>[20]January_2019!AG7</f>
        <v>423.8</v>
      </c>
      <c r="AX58" s="277">
        <f>[20]January_2019!AH7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18.600000000000001" hidden="1" customHeight="1" thickBot="1">
      <c r="B59" s="477"/>
      <c r="C59" s="429"/>
      <c r="D59" s="430"/>
      <c r="E59" s="431"/>
      <c r="F59" s="432"/>
      <c r="G59" s="433"/>
      <c r="H59" s="457"/>
      <c r="I59" s="457"/>
      <c r="J59" s="450"/>
      <c r="K59" s="435"/>
      <c r="L59" s="451"/>
      <c r="M59" s="420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8.65" hidden="1" customHeight="1" thickBot="1">
      <c r="B60" s="486"/>
      <c r="C60" s="478"/>
      <c r="D60" s="441"/>
      <c r="E60" s="442"/>
      <c r="F60" s="443"/>
      <c r="G60" s="444"/>
      <c r="H60" s="457"/>
      <c r="I60" s="457"/>
      <c r="J60" s="447"/>
      <c r="K60" s="458"/>
      <c r="L60" s="456"/>
      <c r="M60" s="454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15.75" hidden="1" thickBot="1">
      <c r="B61" s="452"/>
      <c r="C61" s="429"/>
      <c r="D61" s="430"/>
      <c r="E61" s="431"/>
      <c r="F61" s="432"/>
      <c r="G61" s="433"/>
      <c r="H61" s="434"/>
      <c r="I61" s="449"/>
      <c r="J61" s="450"/>
      <c r="K61" s="435"/>
      <c r="L61" s="451"/>
      <c r="M61" s="420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hidden="1" customHeight="1" thickBot="1">
      <c r="B62" s="480"/>
      <c r="C62" s="478"/>
      <c r="D62" s="441"/>
      <c r="E62" s="442"/>
      <c r="F62" s="443"/>
      <c r="G62" s="444"/>
      <c r="H62" s="445"/>
      <c r="I62" s="446"/>
      <c r="J62" s="447"/>
      <c r="K62" s="448"/>
      <c r="L62" s="456"/>
      <c r="M62" s="454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16.5" hidden="1" customHeight="1" thickBot="1">
      <c r="B63" s="436"/>
      <c r="C63" s="422"/>
      <c r="D63" s="423"/>
      <c r="E63" s="424"/>
      <c r="F63" s="425"/>
      <c r="G63" s="426"/>
      <c r="H63" s="427"/>
      <c r="I63" s="437"/>
      <c r="J63" s="438"/>
      <c r="K63" s="428"/>
      <c r="L63" s="439"/>
      <c r="M63" s="421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414"/>
      <c r="AC63" s="414"/>
      <c r="AD63" s="414"/>
      <c r="AE63" s="414"/>
      <c r="AF63" s="414"/>
      <c r="AG63" s="414"/>
      <c r="AH63" s="414"/>
      <c r="AI63" s="414"/>
      <c r="AJ63" s="414"/>
      <c r="AK63" s="414"/>
      <c r="AL63" s="414"/>
      <c r="AM63" s="414"/>
      <c r="AN63" s="414"/>
      <c r="AO63" s="414"/>
      <c r="AP63" s="414"/>
      <c r="AQ63" s="414"/>
      <c r="AR63" s="414"/>
      <c r="AS63" s="414"/>
      <c r="AT63" s="414"/>
      <c r="AU63" s="414"/>
      <c r="AV63" s="414"/>
      <c r="AW63" s="414"/>
    </row>
    <row r="64" spans="2:57" s="54" customFormat="1" ht="37.15" hidden="1" customHeight="1" thickBot="1">
      <c r="B64" s="455"/>
      <c r="C64" s="440"/>
      <c r="D64" s="441"/>
      <c r="E64" s="442"/>
      <c r="F64" s="443"/>
      <c r="G64" s="444"/>
      <c r="H64" s="445"/>
      <c r="I64" s="446"/>
      <c r="J64" s="447"/>
      <c r="K64" s="448"/>
      <c r="L64" s="456"/>
      <c r="M64" s="453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277"/>
      <c r="AY64" s="277"/>
      <c r="AZ64" s="277"/>
      <c r="BA64" s="277"/>
      <c r="BB64" s="277"/>
      <c r="BC64" s="277"/>
      <c r="BD64" s="277"/>
      <c r="BE64" s="277"/>
    </row>
    <row r="65" spans="2:57" s="54" customFormat="1" ht="37.15" customHeight="1">
      <c r="B65" s="465"/>
      <c r="C65" s="429"/>
      <c r="D65" s="459"/>
      <c r="E65" s="460"/>
      <c r="F65" s="461"/>
      <c r="G65" s="459"/>
      <c r="H65" s="462"/>
      <c r="I65" s="462"/>
      <c r="J65" s="462"/>
      <c r="K65" s="463"/>
      <c r="L65" s="464"/>
      <c r="M65" s="50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ht="18" customHeight="1" thickBot="1">
      <c r="B66" s="59"/>
      <c r="C66" s="30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 t="s">
        <v>41</v>
      </c>
      <c r="O66" s="56"/>
      <c r="P66" s="60"/>
    </row>
    <row r="67" spans="2:57" ht="15.75" thickBot="1">
      <c r="B67" s="498" t="s">
        <v>55</v>
      </c>
      <c r="C67" s="499"/>
      <c r="D67" s="499"/>
      <c r="E67" s="499"/>
      <c r="F67" s="500"/>
      <c r="G67" s="498" t="s">
        <v>56</v>
      </c>
      <c r="H67" s="499"/>
      <c r="I67" s="499"/>
      <c r="J67" s="500"/>
      <c r="K67" s="498" t="s">
        <v>51</v>
      </c>
      <c r="L67" s="499"/>
      <c r="M67" s="499"/>
      <c r="N67" s="501"/>
      <c r="O67" s="56"/>
      <c r="P67" s="50"/>
    </row>
    <row r="68" spans="2:57" ht="15">
      <c r="B68" s="61" t="s">
        <v>17</v>
      </c>
      <c r="C68" s="62" t="s">
        <v>36</v>
      </c>
      <c r="D68" s="62" t="s">
        <v>37</v>
      </c>
      <c r="E68" s="62" t="s">
        <v>38</v>
      </c>
      <c r="F68" s="63" t="s">
        <v>39</v>
      </c>
      <c r="G68" s="62" t="s">
        <v>36</v>
      </c>
      <c r="H68" s="62" t="s">
        <v>37</v>
      </c>
      <c r="I68" s="62" t="s">
        <v>38</v>
      </c>
      <c r="J68" s="63" t="s">
        <v>39</v>
      </c>
      <c r="K68" s="62" t="s">
        <v>36</v>
      </c>
      <c r="L68" s="62" t="s">
        <v>37</v>
      </c>
      <c r="M68" s="62" t="s">
        <v>38</v>
      </c>
      <c r="N68" s="63" t="s">
        <v>39</v>
      </c>
      <c r="O68" s="56"/>
      <c r="P68" s="64"/>
    </row>
    <row r="69" spans="2:57" ht="15">
      <c r="B69" s="29" t="s">
        <v>6</v>
      </c>
      <c r="C69" s="65">
        <f>AVERAGE(L56,L58)</f>
        <v>5.758264826653174</v>
      </c>
      <c r="D69" s="76">
        <v>5.3426414019091037</v>
      </c>
      <c r="E69" s="76">
        <v>6.4104965182670099</v>
      </c>
      <c r="F69" s="66">
        <v>4.8</v>
      </c>
      <c r="G69" s="65">
        <f>AVERAGE([18]October_2026!$G$11:$H$11)</f>
        <v>6.2105686543831879</v>
      </c>
      <c r="H69" s="476">
        <v>6.1573549626417838</v>
      </c>
      <c r="I69" s="476">
        <v>6.5184572383851416</v>
      </c>
      <c r="J69" s="66">
        <v>4.8</v>
      </c>
      <c r="K69" s="67">
        <f>AVERAGE(K56,K58)</f>
        <v>0.6964035087719298</v>
      </c>
      <c r="L69" s="194">
        <v>0.66649122807017536</v>
      </c>
      <c r="M69" s="194">
        <v>0.53908627189124969</v>
      </c>
      <c r="N69" s="68">
        <v>1</v>
      </c>
      <c r="O69" s="56"/>
      <c r="P69" s="69"/>
    </row>
    <row r="70" spans="2:57" ht="15">
      <c r="B70" s="33" t="s">
        <v>9</v>
      </c>
      <c r="C70" s="65"/>
      <c r="D70" s="76"/>
      <c r="E70" s="76">
        <v>6.0345293824252026</v>
      </c>
      <c r="F70" s="66">
        <v>4.8</v>
      </c>
      <c r="G70" s="65"/>
      <c r="H70" s="76"/>
      <c r="I70" s="76">
        <v>5.9275658832823668</v>
      </c>
      <c r="J70" s="66">
        <v>4.8</v>
      </c>
      <c r="K70" s="67"/>
      <c r="L70" s="194"/>
      <c r="M70" s="194">
        <v>0.68249290906882254</v>
      </c>
      <c r="N70" s="68">
        <v>1</v>
      </c>
      <c r="P70" s="69"/>
    </row>
    <row r="71" spans="2:57" ht="15">
      <c r="B71" s="34" t="s">
        <v>40</v>
      </c>
      <c r="C71" s="65"/>
      <c r="D71" s="76"/>
      <c r="E71" s="76">
        <v>10.912862882586603</v>
      </c>
      <c r="F71" s="66">
        <v>5.5</v>
      </c>
      <c r="G71" s="65"/>
      <c r="H71" s="76"/>
      <c r="I71" s="76">
        <v>11.797659278069149</v>
      </c>
      <c r="J71" s="66">
        <v>5.5</v>
      </c>
      <c r="K71" s="67"/>
      <c r="L71" s="194"/>
      <c r="M71" s="194">
        <v>0.35370190356844494</v>
      </c>
      <c r="N71" s="68">
        <v>1</v>
      </c>
      <c r="P71" s="69"/>
    </row>
    <row r="72" spans="2:57" ht="15">
      <c r="B72" s="22" t="s">
        <v>33</v>
      </c>
      <c r="C72" s="65"/>
      <c r="D72" s="76">
        <v>2.6160971335586405</v>
      </c>
      <c r="E72" s="76">
        <v>4.8433372666231218</v>
      </c>
      <c r="F72" s="66">
        <v>3.3</v>
      </c>
      <c r="G72" s="65"/>
      <c r="H72" s="76">
        <v>4.0562064167659644</v>
      </c>
      <c r="I72" s="76">
        <v>4.7835858167498584</v>
      </c>
      <c r="J72" s="66">
        <v>3.3</v>
      </c>
      <c r="K72" s="67"/>
      <c r="L72" s="194">
        <v>1.3649122807017544</v>
      </c>
      <c r="M72" s="194">
        <v>0.77919298245614044</v>
      </c>
      <c r="N72" s="68">
        <v>1</v>
      </c>
      <c r="P72" s="69"/>
    </row>
    <row r="73" spans="2:57" ht="15">
      <c r="B73" s="35" t="s">
        <v>164</v>
      </c>
      <c r="C73" s="65"/>
      <c r="D73" s="76"/>
      <c r="E73" s="76"/>
      <c r="F73" s="66">
        <v>3.3</v>
      </c>
      <c r="G73" s="282"/>
      <c r="H73" s="76"/>
      <c r="I73" s="76"/>
      <c r="J73" s="66">
        <v>3</v>
      </c>
      <c r="K73" s="67"/>
      <c r="L73" s="194"/>
      <c r="M73" s="194"/>
      <c r="N73" s="68">
        <v>1</v>
      </c>
      <c r="P73" s="69"/>
    </row>
    <row r="74" spans="2:57" ht="15">
      <c r="B74" s="36" t="s">
        <v>15</v>
      </c>
      <c r="C74" s="65"/>
      <c r="D74" s="76"/>
      <c r="E74" s="76">
        <v>6.3233965672990236</v>
      </c>
      <c r="F74" s="70">
        <v>5.5</v>
      </c>
      <c r="G74" s="65"/>
      <c r="H74" s="76"/>
      <c r="I74" s="76">
        <v>7.9667553186446929</v>
      </c>
      <c r="J74" s="66">
        <v>5.5</v>
      </c>
      <c r="K74" s="67"/>
      <c r="L74" s="194"/>
      <c r="M74" s="194">
        <v>0.5883625730994152</v>
      </c>
      <c r="N74" s="68">
        <v>1</v>
      </c>
      <c r="P74" s="69"/>
    </row>
    <row r="75" spans="2:57" ht="15">
      <c r="B75" s="37" t="s">
        <v>16</v>
      </c>
      <c r="C75" s="481"/>
      <c r="D75" s="76"/>
      <c r="E75" s="76">
        <v>3.9973372218347856</v>
      </c>
      <c r="F75" s="66">
        <v>3.3</v>
      </c>
      <c r="G75" s="282"/>
      <c r="H75" s="76"/>
      <c r="I75" s="76">
        <v>5.1096183510504902</v>
      </c>
      <c r="J75" s="66">
        <v>3.3</v>
      </c>
      <c r="K75" s="67"/>
      <c r="L75" s="194"/>
      <c r="M75" s="194">
        <v>0.89057130004498408</v>
      </c>
      <c r="N75" s="71">
        <v>1</v>
      </c>
      <c r="P75" s="69"/>
    </row>
    <row r="76" spans="2:57" ht="15.75" thickBot="1">
      <c r="B76" s="38" t="s">
        <v>163</v>
      </c>
      <c r="C76" s="65"/>
      <c r="D76" s="76"/>
      <c r="E76" s="76"/>
      <c r="F76" s="66">
        <v>7.5</v>
      </c>
      <c r="G76" s="282"/>
      <c r="H76" s="76"/>
      <c r="I76" s="76"/>
      <c r="J76" s="66">
        <v>7.5</v>
      </c>
      <c r="K76" s="67"/>
      <c r="L76" s="194"/>
      <c r="M76" s="194"/>
      <c r="N76" s="71">
        <v>1</v>
      </c>
      <c r="P76" s="69"/>
    </row>
    <row r="77" spans="2:57" ht="15.75" thickBot="1">
      <c r="B77" s="413" t="s">
        <v>161</v>
      </c>
      <c r="C77" s="65"/>
      <c r="D77" s="76"/>
      <c r="E77" s="76"/>
      <c r="F77" s="66">
        <v>4.8</v>
      </c>
      <c r="G77" s="282"/>
      <c r="H77" s="76"/>
      <c r="I77" s="76"/>
      <c r="J77" s="66">
        <v>4.8</v>
      </c>
      <c r="K77" s="67"/>
      <c r="L77" s="194"/>
      <c r="M77" s="194"/>
      <c r="N77" s="71">
        <v>1</v>
      </c>
      <c r="O77" s="74"/>
      <c r="P77" s="75"/>
    </row>
    <row r="78" spans="2:57" ht="15">
      <c r="D78" s="76">
        <v>4.3537476733100124</v>
      </c>
      <c r="E78" s="76">
        <v>6.362317810863849</v>
      </c>
      <c r="F78" s="341">
        <v>5.5</v>
      </c>
      <c r="H78" s="76">
        <v>5.2145324711715224</v>
      </c>
      <c r="I78" s="76">
        <v>6.626850683322365</v>
      </c>
      <c r="J78" s="341">
        <v>5.5</v>
      </c>
      <c r="L78" s="194">
        <v>0.84109649122807006</v>
      </c>
      <c r="M78" s="194">
        <v>0.59560326685792742</v>
      </c>
      <c r="N78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5:N25"/>
    <mergeCell ref="D26:E26"/>
    <mergeCell ref="B27:B38"/>
    <mergeCell ref="D27:E28"/>
    <mergeCell ref="D29:E30"/>
    <mergeCell ref="D31:E32"/>
    <mergeCell ref="D33:E34"/>
    <mergeCell ref="D35:E36"/>
    <mergeCell ref="D37:E38"/>
    <mergeCell ref="B39:B48"/>
    <mergeCell ref="D39:E40"/>
    <mergeCell ref="J39:K39"/>
    <mergeCell ref="L40:N40"/>
    <mergeCell ref="D41:E42"/>
    <mergeCell ref="D43:E44"/>
    <mergeCell ref="D45:E46"/>
    <mergeCell ref="D47:E48"/>
    <mergeCell ref="D49:E49"/>
    <mergeCell ref="B54:B55"/>
    <mergeCell ref="C54:C55"/>
    <mergeCell ref="D54:D55"/>
    <mergeCell ref="E54:E55"/>
    <mergeCell ref="M54:M55"/>
    <mergeCell ref="B67:F67"/>
    <mergeCell ref="G67:J67"/>
    <mergeCell ref="K67:N67"/>
    <mergeCell ref="G54:G55"/>
    <mergeCell ref="H54:H55"/>
    <mergeCell ref="I54:I55"/>
    <mergeCell ref="J54:J55"/>
    <mergeCell ref="K54:K55"/>
    <mergeCell ref="L54:L55"/>
    <mergeCell ref="F54:F55"/>
  </mergeCells>
  <conditionalFormatting sqref="B49:B50">
    <cfRule type="cellIs" dxfId="1728" priority="104" operator="notBetween">
      <formula>#REF!</formula>
      <formula>#REF!</formula>
    </cfRule>
  </conditionalFormatting>
  <conditionalFormatting sqref="C53">
    <cfRule type="cellIs" dxfId="1727" priority="187" stopIfTrue="1" operator="greaterThan">
      <formula>100</formula>
    </cfRule>
    <cfRule type="cellIs" dxfId="1726" priority="186" stopIfTrue="1" operator="lessThan">
      <formula>96</formula>
    </cfRule>
  </conditionalFormatting>
  <conditionalFormatting sqref="C69:C70">
    <cfRule type="cellIs" dxfId="1725" priority="70" stopIfTrue="1" operator="lessThanOrEqual">
      <formula>0</formula>
    </cfRule>
    <cfRule type="cellIs" dxfId="1724" priority="67" stopIfTrue="1" operator="greaterThan">
      <formula>$F69</formula>
    </cfRule>
    <cfRule type="cellIs" dxfId="1723" priority="69" stopIfTrue="1" operator="greaterThan">
      <formula>$F69</formula>
    </cfRule>
    <cfRule type="cellIs" dxfId="1722" priority="68" stopIfTrue="1" operator="lessThanOrEqual">
      <formula>0</formula>
    </cfRule>
  </conditionalFormatting>
  <conditionalFormatting sqref="C71:C73 C75:C77">
    <cfRule type="cellIs" dxfId="1721" priority="76" stopIfTrue="1" operator="greaterThan">
      <formula>$F74</formula>
    </cfRule>
  </conditionalFormatting>
  <conditionalFormatting sqref="C71:C73">
    <cfRule type="cellIs" dxfId="1720" priority="77" stopIfTrue="1" operator="lessThanOrEqual">
      <formula>0</formula>
    </cfRule>
  </conditionalFormatting>
  <conditionalFormatting sqref="C74">
    <cfRule type="cellIs" dxfId="1719" priority="191" stopIfTrue="1" operator="lessThanOrEqual">
      <formula>0</formula>
    </cfRule>
    <cfRule type="cellIs" dxfId="1718" priority="190" stopIfTrue="1" operator="greaterThan">
      <formula>$F69</formula>
    </cfRule>
    <cfRule type="cellIs" dxfId="1717" priority="189" stopIfTrue="1" operator="lessThanOrEqual">
      <formula>0</formula>
    </cfRule>
    <cfRule type="cellIs" dxfId="1716" priority="188" stopIfTrue="1" operator="greaterThan">
      <formula>$F69</formula>
    </cfRule>
  </conditionalFormatting>
  <conditionalFormatting sqref="C75:C77">
    <cfRule type="cellIs" dxfId="1715" priority="78" stopIfTrue="1" operator="lessThanOrEqual">
      <formula>0</formula>
    </cfRule>
  </conditionalFormatting>
  <conditionalFormatting sqref="C80:C84">
    <cfRule type="cellIs" dxfId="1714" priority="178" stopIfTrue="1" operator="lessThanOrEqual">
      <formula>0</formula>
    </cfRule>
  </conditionalFormatting>
  <conditionalFormatting sqref="C81:C84">
    <cfRule type="cellIs" dxfId="1713" priority="177" stopIfTrue="1" operator="greaterThan">
      <formula>$F$80</formula>
    </cfRule>
  </conditionalFormatting>
  <conditionalFormatting sqref="C86">
    <cfRule type="cellIs" dxfId="1712" priority="180" stopIfTrue="1" operator="lessThanOrEqual">
      <formula>0</formula>
    </cfRule>
    <cfRule type="cellIs" dxfId="1711" priority="179" stopIfTrue="1" operator="greaterThan">
      <formula>$F$80</formula>
    </cfRule>
  </conditionalFormatting>
  <conditionalFormatting sqref="C74:D74">
    <cfRule type="cellIs" dxfId="1710" priority="66" stopIfTrue="1" operator="lessThanOrEqual">
      <formula>0</formula>
    </cfRule>
    <cfRule type="cellIs" dxfId="1709" priority="65" stopIfTrue="1" operator="greaterThan">
      <formula>$J74</formula>
    </cfRule>
  </conditionalFormatting>
  <conditionalFormatting sqref="C80:D80 D82:D88">
    <cfRule type="cellIs" dxfId="1708" priority="172" stopIfTrue="1" operator="greaterThan">
      <formula>4.5</formula>
    </cfRule>
  </conditionalFormatting>
  <conditionalFormatting sqref="D49:D50">
    <cfRule type="cellIs" dxfId="1707" priority="105" operator="notBetween">
      <formula>#REF!</formula>
      <formula>#REF!</formula>
    </cfRule>
  </conditionalFormatting>
  <conditionalFormatting sqref="D69:D73 D75:D76">
    <cfRule type="cellIs" dxfId="1706" priority="75" stopIfTrue="1" operator="lessThanOrEqual">
      <formula>0</formula>
    </cfRule>
  </conditionalFormatting>
  <conditionalFormatting sqref="D69:D73 D75:D78">
    <cfRule type="cellIs" dxfId="1705" priority="72" stopIfTrue="1" operator="greaterThan">
      <formula>$F69</formula>
    </cfRule>
    <cfRule type="cellIs" dxfId="1704" priority="71" stopIfTrue="1" operator="lessThanOrEqual">
      <formula>0</formula>
    </cfRule>
  </conditionalFormatting>
  <conditionalFormatting sqref="D77:D78">
    <cfRule type="cellIs" dxfId="1703" priority="73" stopIfTrue="1" operator="lessThanOrEqual">
      <formula>0</formula>
    </cfRule>
  </conditionalFormatting>
  <conditionalFormatting sqref="D78">
    <cfRule type="cellIs" dxfId="1702" priority="74" stopIfTrue="1" operator="lessThanOrEqual">
      <formula>0</formula>
    </cfRule>
  </conditionalFormatting>
  <conditionalFormatting sqref="D80 D82:D88">
    <cfRule type="cellIs" dxfId="1701" priority="173" stopIfTrue="1" operator="lessThanOrEqual">
      <formula>0</formula>
    </cfRule>
  </conditionalFormatting>
  <conditionalFormatting sqref="D81">
    <cfRule type="cellIs" dxfId="1700" priority="165" stopIfTrue="1" operator="lessThanOrEqual">
      <formula>0</formula>
    </cfRule>
    <cfRule type="cellIs" dxfId="1699" priority="164" stopIfTrue="1" operator="greaterThan">
      <formula>$F$80</formula>
    </cfRule>
  </conditionalFormatting>
  <conditionalFormatting sqref="E10:E24">
    <cfRule type="cellIs" dxfId="1698" priority="8" operator="lessThan">
      <formula>48</formula>
    </cfRule>
  </conditionalFormatting>
  <conditionalFormatting sqref="E52 E53:F53">
    <cfRule type="cellIs" dxfId="1697" priority="169" stopIfTrue="1" operator="greaterThan">
      <formula>100</formula>
    </cfRule>
  </conditionalFormatting>
  <conditionalFormatting sqref="E53">
    <cfRule type="cellIs" dxfId="1696" priority="167" stopIfTrue="1" operator="greaterThan">
      <formula>100</formula>
    </cfRule>
    <cfRule type="cellIs" dxfId="1695" priority="166" stopIfTrue="1" operator="lessThan">
      <formula>96.8</formula>
    </cfRule>
  </conditionalFormatting>
  <conditionalFormatting sqref="E69:E77">
    <cfRule type="cellIs" dxfId="1694" priority="38" stopIfTrue="1" operator="lessThanOrEqual">
      <formula>0</formula>
    </cfRule>
  </conditionalFormatting>
  <conditionalFormatting sqref="E69:E78">
    <cfRule type="cellIs" dxfId="1693" priority="39" stopIfTrue="1" operator="greaterThan">
      <formula>$F69</formula>
    </cfRule>
    <cfRule type="cellIs" dxfId="1692" priority="40" stopIfTrue="1" operator="lessThanOrEqual">
      <formula>0</formula>
    </cfRule>
  </conditionalFormatting>
  <conditionalFormatting sqref="E78">
    <cfRule type="cellIs" dxfId="1691" priority="41" stopIfTrue="1" operator="lessThanOrEqual">
      <formula>0</formula>
    </cfRule>
  </conditionalFormatting>
  <conditionalFormatting sqref="E80:E88">
    <cfRule type="cellIs" dxfId="1690" priority="158" stopIfTrue="1" operator="greaterThan">
      <formula>4.5</formula>
    </cfRule>
    <cfRule type="cellIs" dxfId="1689" priority="159" stopIfTrue="1" operator="lessThanOrEqual">
      <formula>0</formula>
    </cfRule>
  </conditionalFormatting>
  <conditionalFormatting sqref="E53:F53 E52">
    <cfRule type="cellIs" dxfId="1688" priority="168" stopIfTrue="1" operator="lessThan">
      <formula>96.5</formula>
    </cfRule>
  </conditionalFormatting>
  <conditionalFormatting sqref="F10:F24">
    <cfRule type="cellIs" dxfId="1687" priority="9" operator="greaterThan">
      <formula>60</formula>
    </cfRule>
  </conditionalFormatting>
  <conditionalFormatting sqref="F53">
    <cfRule type="cellIs" dxfId="1686" priority="184" stopIfTrue="1" operator="lessThan">
      <formula>96.8</formula>
    </cfRule>
    <cfRule type="cellIs" dxfId="1685" priority="185" stopIfTrue="1" operator="greaterThan">
      <formula>100</formula>
    </cfRule>
  </conditionalFormatting>
  <conditionalFormatting sqref="G10:G19 M10:N23 H10:H24">
    <cfRule type="expression" dxfId="1684" priority="10">
      <formula>IF(+(IF(G10&lt;#REF!,0,IF(G10&gt;#REF!,0,1)))=0,1)</formula>
    </cfRule>
  </conditionalFormatting>
  <conditionalFormatting sqref="G23">
    <cfRule type="expression" dxfId="1683" priority="14">
      <formula>IF(+(IF(G23&lt;#REF!,0,IF(G23&gt;#REF!,0,1)))=0,1)</formula>
    </cfRule>
  </conditionalFormatting>
  <conditionalFormatting sqref="G24">
    <cfRule type="expression" dxfId="1682" priority="13">
      <formula>IF(+(IF(G24&lt;S24,0,IF(G24&gt;T24,0,1)))=0,1)</formula>
    </cfRule>
  </conditionalFormatting>
  <conditionalFormatting sqref="G69:G72 F78">
    <cfRule type="cellIs" dxfId="1681" priority="47" stopIfTrue="1" operator="greaterThan">
      <formula>$F69</formula>
    </cfRule>
    <cfRule type="cellIs" dxfId="1680" priority="48" stopIfTrue="1" operator="lessThanOrEqual">
      <formula>0</formula>
    </cfRule>
  </conditionalFormatting>
  <conditionalFormatting sqref="G71:G72">
    <cfRule type="cellIs" dxfId="1679" priority="34" stopIfTrue="1" operator="lessThanOrEqual">
      <formula>0</formula>
    </cfRule>
    <cfRule type="cellIs" dxfId="1678" priority="33" stopIfTrue="1" operator="greaterThan">
      <formula>$F71</formula>
    </cfRule>
  </conditionalFormatting>
  <conditionalFormatting sqref="G73:G77">
    <cfRule type="cellIs" dxfId="1677" priority="50" stopIfTrue="1" operator="lessThanOrEqual">
      <formula>0</formula>
    </cfRule>
    <cfRule type="cellIs" dxfId="1676" priority="49" stopIfTrue="1" operator="greaterThan">
      <formula>$J73</formula>
    </cfRule>
  </conditionalFormatting>
  <conditionalFormatting sqref="G74">
    <cfRule type="cellIs" dxfId="1675" priority="192" stopIfTrue="1" operator="greaterThan">
      <formula>$F69</formula>
    </cfRule>
    <cfRule type="cellIs" dxfId="1674" priority="193" stopIfTrue="1" operator="lessThanOrEqual">
      <formula>0</formula>
    </cfRule>
  </conditionalFormatting>
  <conditionalFormatting sqref="G82:G87 C85 C87">
    <cfRule type="cellIs" dxfId="1673" priority="182" stopIfTrue="1" operator="lessThanOrEqual">
      <formula>0</formula>
    </cfRule>
    <cfRule type="cellIs" dxfId="1672" priority="181" stopIfTrue="1" operator="greaterThan">
      <formula>4.5</formula>
    </cfRule>
  </conditionalFormatting>
  <conditionalFormatting sqref="G81:H81">
    <cfRule type="cellIs" dxfId="1671" priority="162" stopIfTrue="1" operator="greaterThan">
      <formula>$F$80</formula>
    </cfRule>
    <cfRule type="cellIs" dxfId="1670" priority="163" stopIfTrue="1" operator="lessThanOrEqual">
      <formula>0</formula>
    </cfRule>
  </conditionalFormatting>
  <conditionalFormatting sqref="H38:H39 H52">
    <cfRule type="cellIs" dxfId="1669" priority="160" stopIfTrue="1" operator="greaterThan">
      <formula>0</formula>
    </cfRule>
  </conditionalFormatting>
  <conditionalFormatting sqref="H56">
    <cfRule type="cellIs" dxfId="1668" priority="63" stopIfTrue="1" operator="greaterThan">
      <formula>$F$70</formula>
    </cfRule>
    <cfRule type="cellIs" dxfId="1667" priority="61" stopIfTrue="1" operator="greaterThan">
      <formula>$F$72</formula>
    </cfRule>
    <cfRule type="cellIs" dxfId="1666" priority="62" stopIfTrue="1" operator="lessThanOrEqual">
      <formula>0</formula>
    </cfRule>
    <cfRule type="cellIs" dxfId="1665" priority="52" stopIfTrue="1" operator="lessThanOrEqual">
      <formula>0</formula>
    </cfRule>
    <cfRule type="cellIs" dxfId="1664" priority="53" stopIfTrue="1" operator="greaterThan">
      <formula>$F$69</formula>
    </cfRule>
  </conditionalFormatting>
  <conditionalFormatting sqref="H56:H57">
    <cfRule type="cellIs" dxfId="1663" priority="64" stopIfTrue="1" operator="lessThanOrEqual">
      <formula>0</formula>
    </cfRule>
  </conditionalFormatting>
  <conditionalFormatting sqref="H57 H59:H60">
    <cfRule type="cellIs" dxfId="1662" priority="90" stopIfTrue="1" operator="lessThanOrEqual">
      <formula>0</formula>
    </cfRule>
  </conditionalFormatting>
  <conditionalFormatting sqref="H57">
    <cfRule type="cellIs" dxfId="1661" priority="87" stopIfTrue="1" operator="greaterThan">
      <formula>$F$72</formula>
    </cfRule>
    <cfRule type="cellIs" dxfId="1660" priority="79" stopIfTrue="1" operator="greaterThan">
      <formula>$F$69</formula>
    </cfRule>
    <cfRule type="cellIs" dxfId="1659" priority="89" stopIfTrue="1" operator="greaterThan">
      <formula>$F$70</formula>
    </cfRule>
    <cfRule type="cellIs" dxfId="1658" priority="88" stopIfTrue="1" operator="lessThanOrEqual">
      <formula>0</formula>
    </cfRule>
  </conditionalFormatting>
  <conditionalFormatting sqref="H58">
    <cfRule type="cellIs" dxfId="1657" priority="31" stopIfTrue="1" operator="lessThanOrEqual">
      <formula>0</formula>
    </cfRule>
    <cfRule type="cellIs" dxfId="1656" priority="30" stopIfTrue="1" operator="greaterThan">
      <formula>$F$72</formula>
    </cfRule>
    <cfRule type="cellIs" dxfId="1655" priority="28" stopIfTrue="1" operator="greaterThan">
      <formula>$F$74</formula>
    </cfRule>
    <cfRule type="cellIs" dxfId="1654" priority="20" stopIfTrue="1" operator="greaterThan">
      <formula>$F$71</formula>
    </cfRule>
    <cfRule type="cellIs" dxfId="1653" priority="19" stopIfTrue="1" operator="lessThanOrEqual">
      <formula>0</formula>
    </cfRule>
    <cfRule type="cellIs" dxfId="1652" priority="29" stopIfTrue="1" operator="lessThanOrEqual">
      <formula>0</formula>
    </cfRule>
  </conditionalFormatting>
  <conditionalFormatting sqref="H59:H60">
    <cfRule type="cellIs" dxfId="1651" priority="102" stopIfTrue="1" operator="greaterThan">
      <formula>$F$70</formula>
    </cfRule>
    <cfRule type="cellIs" dxfId="1650" priority="100" stopIfTrue="1" operator="greaterThan">
      <formula>$F$72</formula>
    </cfRule>
    <cfRule type="cellIs" dxfId="1649" priority="103" stopIfTrue="1" operator="lessThanOrEqual">
      <formula>0</formula>
    </cfRule>
    <cfRule type="cellIs" dxfId="1648" priority="92" stopIfTrue="1" operator="greaterThan">
      <formula>$F$69</formula>
    </cfRule>
    <cfRule type="cellIs" dxfId="1647" priority="101" stopIfTrue="1" operator="lessThanOrEqual">
      <formula>0</formula>
    </cfRule>
  </conditionalFormatting>
  <conditionalFormatting sqref="H61:H62">
    <cfRule type="cellIs" dxfId="1646" priority="128" stopIfTrue="1" operator="greaterThan">
      <formula>#REF!</formula>
    </cfRule>
    <cfRule type="cellIs" dxfId="1645" priority="127" stopIfTrue="1" operator="lessThanOrEqual">
      <formula>0</formula>
    </cfRule>
    <cfRule type="cellIs" dxfId="1644" priority="136" stopIfTrue="1" operator="greaterThan">
      <formula>#REF!</formula>
    </cfRule>
    <cfRule type="cellIs" dxfId="1643" priority="137" stopIfTrue="1" operator="lessThanOrEqual">
      <formula>0</formula>
    </cfRule>
  </conditionalFormatting>
  <conditionalFormatting sqref="H63">
    <cfRule type="cellIs" dxfId="1642" priority="150" stopIfTrue="1" operator="greaterThan">
      <formula>$F$38</formula>
    </cfRule>
    <cfRule type="cellIs" dxfId="1641" priority="139" stopIfTrue="1" operator="lessThanOrEqual">
      <formula>0</formula>
    </cfRule>
    <cfRule type="cellIs" dxfId="1640" priority="148" stopIfTrue="1" operator="greaterThan">
      <formula>$F$40</formula>
    </cfRule>
    <cfRule type="cellIs" dxfId="1639" priority="149" stopIfTrue="1" operator="lessThanOrEqual">
      <formula>0</formula>
    </cfRule>
    <cfRule type="cellIs" dxfId="1638" priority="140" stopIfTrue="1" operator="greaterThan">
      <formula>$F$37</formula>
    </cfRule>
    <cfRule type="cellIs" dxfId="1637" priority="151" stopIfTrue="1" operator="lessThanOrEqual">
      <formula>0</formula>
    </cfRule>
  </conditionalFormatting>
  <conditionalFormatting sqref="H64:H65">
    <cfRule type="cellIs" dxfId="1636" priority="116" stopIfTrue="1" operator="greaterThan">
      <formula>#REF!</formula>
    </cfRule>
    <cfRule type="cellIs" dxfId="1635" priority="115" stopIfTrue="1" operator="lessThanOrEqual">
      <formula>0</formula>
    </cfRule>
    <cfRule type="cellIs" dxfId="1634" priority="124" stopIfTrue="1" operator="greaterThan">
      <formula>#REF!</formula>
    </cfRule>
    <cfRule type="cellIs" dxfId="1633" priority="125" stopIfTrue="1" operator="lessThanOrEqual">
      <formula>0</formula>
    </cfRule>
  </conditionalFormatting>
  <conditionalFormatting sqref="H80 H82:H88">
    <cfRule type="cellIs" dxfId="1632" priority="175" stopIfTrue="1" operator="lessThanOrEqual">
      <formula>0</formula>
    </cfRule>
    <cfRule type="cellIs" dxfId="1631" priority="174" stopIfTrue="1" operator="greaterThan">
      <formula>4.5</formula>
    </cfRule>
  </conditionalFormatting>
  <conditionalFormatting sqref="H56:I56">
    <cfRule type="cellIs" dxfId="1630" priority="54" stopIfTrue="1" operator="lessThanOrEqual">
      <formula>0</formula>
    </cfRule>
  </conditionalFormatting>
  <conditionalFormatting sqref="H56:I57 H59:I60">
    <cfRule type="cellIs" dxfId="1629" priority="51" stopIfTrue="1" operator="greaterThan">
      <formula>$F$71</formula>
    </cfRule>
  </conditionalFormatting>
  <conditionalFormatting sqref="H57:I57">
    <cfRule type="cellIs" dxfId="1628" priority="80" stopIfTrue="1" operator="lessThanOrEqual">
      <formula>0</formula>
    </cfRule>
  </conditionalFormatting>
  <conditionalFormatting sqref="H58:I58">
    <cfRule type="cellIs" dxfId="1627" priority="21" stopIfTrue="1" operator="lessThanOrEqual">
      <formula>0</formula>
    </cfRule>
    <cfRule type="cellIs" dxfId="1626" priority="18" stopIfTrue="1" operator="greaterThan">
      <formula>$F$73</formula>
    </cfRule>
  </conditionalFormatting>
  <conditionalFormatting sqref="H59:I60">
    <cfRule type="cellIs" dxfId="1625" priority="93" stopIfTrue="1" operator="lessThanOrEqual">
      <formula>0</formula>
    </cfRule>
  </conditionalFormatting>
  <conditionalFormatting sqref="H61:I62">
    <cfRule type="cellIs" dxfId="1624" priority="134" stopIfTrue="1" operator="greaterThan">
      <formula>#REF!</formula>
    </cfRule>
    <cfRule type="cellIs" dxfId="1623" priority="135" stopIfTrue="1" operator="lessThanOrEqual">
      <formula>0</formula>
    </cfRule>
    <cfRule type="cellIs" dxfId="1622" priority="126" stopIfTrue="1" operator="greaterThan">
      <formula>#REF!</formula>
    </cfRule>
    <cfRule type="cellIs" dxfId="1621" priority="129" stopIfTrue="1" operator="lessThanOrEqual">
      <formula>0</formula>
    </cfRule>
  </conditionalFormatting>
  <conditionalFormatting sqref="H63:I63">
    <cfRule type="cellIs" dxfId="1620" priority="141" stopIfTrue="1" operator="lessThanOrEqual">
      <formula>0</formula>
    </cfRule>
    <cfRule type="cellIs" dxfId="1619" priority="138" stopIfTrue="1" operator="greaterThan">
      <formula>$F$39</formula>
    </cfRule>
  </conditionalFormatting>
  <conditionalFormatting sqref="H64:I65">
    <cfRule type="cellIs" dxfId="1618" priority="117" stopIfTrue="1" operator="lessThanOrEqual">
      <formula>0</formula>
    </cfRule>
    <cfRule type="cellIs" dxfId="1617" priority="123" stopIfTrue="1" operator="lessThanOrEqual">
      <formula>0</formula>
    </cfRule>
    <cfRule type="cellIs" dxfId="1616" priority="122" stopIfTrue="1" operator="greaterThan">
      <formula>#REF!</formula>
    </cfRule>
    <cfRule type="cellIs" dxfId="1615" priority="114" stopIfTrue="1" operator="greaterThan">
      <formula>#REF!</formula>
    </cfRule>
  </conditionalFormatting>
  <conditionalFormatting sqref="H69:I76">
    <cfRule type="cellIs" dxfId="1614" priority="36" stopIfTrue="1" operator="greaterThan">
      <formula>$J69</formula>
    </cfRule>
    <cfRule type="cellIs" dxfId="1613" priority="37" stopIfTrue="1" operator="lessThanOrEqual">
      <formula>0</formula>
    </cfRule>
  </conditionalFormatting>
  <conditionalFormatting sqref="H77:I77">
    <cfRule type="cellIs" dxfId="1612" priority="44" operator="greaterThan">
      <formula>5.3</formula>
    </cfRule>
  </conditionalFormatting>
  <conditionalFormatting sqref="H78:I78">
    <cfRule type="cellIs" dxfId="1611" priority="42" stopIfTrue="1" operator="greaterThan">
      <formula>$J78</formula>
    </cfRule>
    <cfRule type="cellIs" dxfId="1610" priority="43" stopIfTrue="1" operator="lessThanOrEqual">
      <formula>0</formula>
    </cfRule>
  </conditionalFormatting>
  <conditionalFormatting sqref="I56">
    <cfRule type="cellIs" dxfId="1609" priority="57" stopIfTrue="1" operator="greaterThan">
      <formula>$F$71</formula>
    </cfRule>
    <cfRule type="cellIs" dxfId="1608" priority="56" stopIfTrue="1" operator="lessThanOrEqual">
      <formula>0</formula>
    </cfRule>
    <cfRule type="cellIs" dxfId="1607" priority="55" stopIfTrue="1" operator="greaterThan">
      <formula>$F$69</formula>
    </cfRule>
    <cfRule type="cellIs" dxfId="1606" priority="60" stopIfTrue="1" operator="lessThanOrEqual">
      <formula>0</formula>
    </cfRule>
    <cfRule type="cellIs" dxfId="1605" priority="59" stopIfTrue="1" operator="greaterThan">
      <formula>$F$69</formula>
    </cfRule>
    <cfRule type="cellIs" dxfId="1604" priority="58" stopIfTrue="1" operator="lessThanOrEqual">
      <formula>0</formula>
    </cfRule>
  </conditionalFormatting>
  <conditionalFormatting sqref="I57">
    <cfRule type="cellIs" dxfId="1603" priority="82" stopIfTrue="1" operator="lessThanOrEqual">
      <formula>0</formula>
    </cfRule>
    <cfRule type="cellIs" dxfId="1602" priority="81" stopIfTrue="1" operator="greaterThan">
      <formula>$F$69</formula>
    </cfRule>
    <cfRule type="cellIs" dxfId="1601" priority="83" stopIfTrue="1" operator="greaterThan">
      <formula>$F$71</formula>
    </cfRule>
    <cfRule type="cellIs" dxfId="1600" priority="84" stopIfTrue="1" operator="lessThanOrEqual">
      <formula>0</formula>
    </cfRule>
    <cfRule type="cellIs" dxfId="1599" priority="86" stopIfTrue="1" operator="lessThanOrEqual">
      <formula>0</formula>
    </cfRule>
    <cfRule type="cellIs" dxfId="1598" priority="85" stopIfTrue="1" operator="greaterThan">
      <formula>$F$69</formula>
    </cfRule>
  </conditionalFormatting>
  <conditionalFormatting sqref="I58">
    <cfRule type="cellIs" dxfId="1597" priority="26" stopIfTrue="1" operator="greaterThan">
      <formula>$F$71</formula>
    </cfRule>
    <cfRule type="cellIs" dxfId="1596" priority="22" stopIfTrue="1" operator="greaterThan">
      <formula>$F$71</formula>
    </cfRule>
    <cfRule type="cellIs" dxfId="1595" priority="24" stopIfTrue="1" operator="greaterThan">
      <formula>$F$73</formula>
    </cfRule>
    <cfRule type="cellIs" dxfId="1594" priority="25" stopIfTrue="1" operator="lessThanOrEqual">
      <formula>0</formula>
    </cfRule>
    <cfRule type="cellIs" dxfId="1593" priority="27" stopIfTrue="1" operator="lessThanOrEqual">
      <formula>0</formula>
    </cfRule>
    <cfRule type="cellIs" dxfId="1592" priority="23" stopIfTrue="1" operator="lessThanOrEqual">
      <formula>0</formula>
    </cfRule>
  </conditionalFormatting>
  <conditionalFormatting sqref="I59:I60">
    <cfRule type="cellIs" dxfId="1591" priority="97" stopIfTrue="1" operator="lessThanOrEqual">
      <formula>0</formula>
    </cfRule>
    <cfRule type="cellIs" dxfId="1590" priority="98" stopIfTrue="1" operator="greaterThan">
      <formula>$F$69</formula>
    </cfRule>
    <cfRule type="cellIs" dxfId="1589" priority="96" stopIfTrue="1" operator="greaterThan">
      <formula>$F$71</formula>
    </cfRule>
    <cfRule type="cellIs" dxfId="1588" priority="95" stopIfTrue="1" operator="lessThanOrEqual">
      <formula>0</formula>
    </cfRule>
    <cfRule type="cellIs" dxfId="1587" priority="94" stopIfTrue="1" operator="greaterThan">
      <formula>$F$69</formula>
    </cfRule>
    <cfRule type="cellIs" dxfId="1586" priority="99" stopIfTrue="1" operator="lessThanOrEqual">
      <formula>0</formula>
    </cfRule>
  </conditionalFormatting>
  <conditionalFormatting sqref="I61:I62">
    <cfRule type="cellIs" dxfId="1585" priority="133" stopIfTrue="1" operator="lessThanOrEqual">
      <formula>0</formula>
    </cfRule>
    <cfRule type="cellIs" dxfId="1584" priority="132" stopIfTrue="1" operator="greaterThan">
      <formula>#REF!</formula>
    </cfRule>
    <cfRule type="cellIs" dxfId="1583" priority="131" stopIfTrue="1" operator="lessThanOrEqual">
      <formula>0</formula>
    </cfRule>
    <cfRule type="cellIs" dxfId="1582" priority="130" stopIfTrue="1" operator="greaterThan">
      <formula>#REF!</formula>
    </cfRule>
  </conditionalFormatting>
  <conditionalFormatting sqref="I63">
    <cfRule type="cellIs" dxfId="1581" priority="146" stopIfTrue="1" operator="greaterThan">
      <formula>$F$37</formula>
    </cfRule>
    <cfRule type="cellIs" dxfId="1580" priority="147" stopIfTrue="1" operator="lessThanOrEqual">
      <formula>0</formula>
    </cfRule>
    <cfRule type="cellIs" dxfId="1579" priority="142" stopIfTrue="1" operator="greaterThan">
      <formula>$F$37</formula>
    </cfRule>
    <cfRule type="cellIs" dxfId="1578" priority="143" stopIfTrue="1" operator="lessThanOrEqual">
      <formula>0</formula>
    </cfRule>
    <cfRule type="cellIs" dxfId="1577" priority="144" stopIfTrue="1" operator="greaterThan">
      <formula>$F$39</formula>
    </cfRule>
    <cfRule type="cellIs" dxfId="1576" priority="145" stopIfTrue="1" operator="lessThanOrEqual">
      <formula>0</formula>
    </cfRule>
  </conditionalFormatting>
  <conditionalFormatting sqref="I64:I65">
    <cfRule type="cellIs" dxfId="1575" priority="118" stopIfTrue="1" operator="greaterThan">
      <formula>#REF!</formula>
    </cfRule>
    <cfRule type="cellIs" dxfId="1574" priority="119" stopIfTrue="1" operator="lessThanOrEqual">
      <formula>0</formula>
    </cfRule>
    <cfRule type="cellIs" dxfId="1573" priority="120" stopIfTrue="1" operator="greaterThan">
      <formula>#REF!</formula>
    </cfRule>
    <cfRule type="cellIs" dxfId="1572" priority="121" stopIfTrue="1" operator="lessThanOrEqual">
      <formula>0</formula>
    </cfRule>
  </conditionalFormatting>
  <conditionalFormatting sqref="I80:I88">
    <cfRule type="cellIs" dxfId="1571" priority="170" stopIfTrue="1" operator="greaterThan">
      <formula>4.5</formula>
    </cfRule>
    <cfRule type="cellIs" dxfId="1570" priority="171" stopIfTrue="1" operator="lessThanOrEqual">
      <formula>0</formula>
    </cfRule>
  </conditionalFormatting>
  <conditionalFormatting sqref="I10:J24">
    <cfRule type="cellIs" dxfId="1569" priority="2" operator="lessThan">
      <formula>97.9</formula>
    </cfRule>
  </conditionalFormatting>
  <conditionalFormatting sqref="J27:J29">
    <cfRule type="cellIs" dxfId="1568" priority="17" operator="lessThan">
      <formula>97.95</formula>
    </cfRule>
  </conditionalFormatting>
  <conditionalFormatting sqref="J28:J31">
    <cfRule type="cellIs" dxfId="1567" priority="152" operator="lessThan">
      <formula>97.4</formula>
    </cfRule>
  </conditionalFormatting>
  <conditionalFormatting sqref="J32:J33">
    <cfRule type="cellIs" dxfId="1566" priority="153" operator="lessThan">
      <formula>98</formula>
    </cfRule>
  </conditionalFormatting>
  <conditionalFormatting sqref="J34:J35">
    <cfRule type="cellIs" dxfId="1565" priority="155" stopIfTrue="1" operator="greaterThan">
      <formula>100</formula>
    </cfRule>
    <cfRule type="cellIs" dxfId="1564" priority="154" stopIfTrue="1" operator="lessThan">
      <formula>96.8</formula>
    </cfRule>
  </conditionalFormatting>
  <conditionalFormatting sqref="J34:J36">
    <cfRule type="cellIs" dxfId="1563" priority="156" operator="lessThan">
      <formula>98</formula>
    </cfRule>
  </conditionalFormatting>
  <conditionalFormatting sqref="J65">
    <cfRule type="cellIs" dxfId="1562" priority="106" stopIfTrue="1" operator="greaterThan">
      <formula>#REF!</formula>
    </cfRule>
    <cfRule type="cellIs" dxfId="1561" priority="107" stopIfTrue="1" operator="lessThanOrEqual">
      <formula>0</formula>
    </cfRule>
    <cfRule type="cellIs" dxfId="1560" priority="108" stopIfTrue="1" operator="greaterThan">
      <formula>#REF!</formula>
    </cfRule>
    <cfRule type="cellIs" dxfId="1559" priority="109" stopIfTrue="1" operator="lessThanOrEqual">
      <formula>0</formula>
    </cfRule>
    <cfRule type="cellIs" dxfId="1558" priority="110" stopIfTrue="1" operator="greaterThan">
      <formula>#REF!</formula>
    </cfRule>
    <cfRule type="cellIs" dxfId="1557" priority="111" stopIfTrue="1" operator="lessThanOrEqual">
      <formula>0</formula>
    </cfRule>
    <cfRule type="cellIs" dxfId="1556" priority="112" stopIfTrue="1" operator="greaterThan">
      <formula>#REF!</formula>
    </cfRule>
    <cfRule type="cellIs" dxfId="1555" priority="113" stopIfTrue="1" operator="lessThanOrEqual">
      <formula>0</formula>
    </cfRule>
  </conditionalFormatting>
  <conditionalFormatting sqref="J78">
    <cfRule type="cellIs" dxfId="1554" priority="45" stopIfTrue="1" operator="greaterThan">
      <formula>$F78</formula>
    </cfRule>
    <cfRule type="cellIs" dxfId="1553" priority="46" stopIfTrue="1" operator="lessThanOrEqual">
      <formula>0</formula>
    </cfRule>
  </conditionalFormatting>
  <conditionalFormatting sqref="K10:K24">
    <cfRule type="cellIs" dxfId="1552" priority="5" operator="greaterThan">
      <formula>6.4</formula>
    </cfRule>
    <cfRule type="cellIs" dxfId="1551" priority="3" operator="greaterThan">
      <formula>6</formula>
    </cfRule>
    <cfRule type="cellIs" dxfId="1550" priority="4" operator="lessThan">
      <formula>4</formula>
    </cfRule>
  </conditionalFormatting>
  <conditionalFormatting sqref="K56:K65">
    <cfRule type="cellIs" dxfId="1549" priority="91" stopIfTrue="1" operator="lessThan">
      <formula>100%</formula>
    </cfRule>
  </conditionalFormatting>
  <conditionalFormatting sqref="K69:K77">
    <cfRule type="cellIs" dxfId="1548" priority="35" stopIfTrue="1" operator="lessThan">
      <formula>100%</formula>
    </cfRule>
  </conditionalFormatting>
  <conditionalFormatting sqref="K80:K85">
    <cfRule type="cellIs" dxfId="1547" priority="176" stopIfTrue="1" operator="lessThan">
      <formula>100%</formula>
    </cfRule>
  </conditionalFormatting>
  <conditionalFormatting sqref="K87:K88">
    <cfRule type="cellIs" dxfId="1546" priority="183" stopIfTrue="1" operator="lessThan">
      <formula>100%</formula>
    </cfRule>
  </conditionalFormatting>
  <conditionalFormatting sqref="L10:L24">
    <cfRule type="cellIs" dxfId="1545" priority="7" operator="greaterThan">
      <formula>65</formula>
    </cfRule>
    <cfRule type="cellIs" dxfId="1544" priority="6" operator="between">
      <formula>61</formula>
      <formula>65</formula>
    </cfRule>
  </conditionalFormatting>
  <conditionalFormatting sqref="L27:M38">
    <cfRule type="cellIs" dxfId="1543" priority="16" operator="lessThan">
      <formula>97.95</formula>
    </cfRule>
  </conditionalFormatting>
  <conditionalFormatting sqref="L42:N42">
    <cfRule type="cellIs" dxfId="1542" priority="15" operator="notEqual">
      <formula>#REF!</formula>
    </cfRule>
  </conditionalFormatting>
  <conditionalFormatting sqref="L69:N78">
    <cfRule type="cellIs" dxfId="1541" priority="32" stopIfTrue="1" operator="lessThan">
      <formula>100%</formula>
    </cfRule>
  </conditionalFormatting>
  <conditionalFormatting sqref="L80:N88">
    <cfRule type="cellIs" dxfId="1540" priority="161" stopIfTrue="1" operator="lessThan">
      <formula>100%</formula>
    </cfRule>
  </conditionalFormatting>
  <conditionalFormatting sqref="M24">
    <cfRule type="expression" dxfId="1539" priority="12">
      <formula>IF(+(IF(M24&lt;U24,0,IF(M24&gt;V24,0,1)))=0,1)</formula>
    </cfRule>
  </conditionalFormatting>
  <conditionalFormatting sqref="N10:N24">
    <cfRule type="expression" dxfId="1538" priority="11">
      <formula>IF(+(IF(N10&lt;W10,0,IF(N10&gt;X10,0,1)))=0,1)</formula>
    </cfRule>
  </conditionalFormatting>
  <conditionalFormatting sqref="P6">
    <cfRule type="cellIs" dxfId="1537" priority="157" operator="greaterThanOrEqual">
      <formula>19</formula>
    </cfRule>
  </conditionalFormatting>
  <dataValidations count="1">
    <dataValidation type="list" allowBlank="1" showInputMessage="1" showErrorMessage="1" sqref="R8" xr:uid="{5617642F-5465-4040-A6E8-0A559BC0D6F9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2" max="16383" man="1"/>
  </rowBreaks>
  <colBreaks count="1" manualBreakCount="1">
    <brk id="15" max="89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BD59C-9B94-4D63-B3A3-C4E1A66ED3E5}">
  <sheetPr>
    <pageSetUpPr fitToPage="1"/>
  </sheetPr>
  <dimension ref="A1:BE85"/>
  <sheetViews>
    <sheetView topLeftCell="A4" zoomScale="85" zoomScaleNormal="85" workbookViewId="0">
      <selection activeCell="B13" sqref="B13:O13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54" t="s">
        <v>0</v>
      </c>
      <c r="T1" s="554"/>
      <c r="U1" s="554" t="s">
        <v>1</v>
      </c>
      <c r="V1" s="554"/>
      <c r="W1" s="554" t="s">
        <v>2</v>
      </c>
      <c r="X1" s="554"/>
      <c r="Y1" s="554" t="s">
        <v>124</v>
      </c>
      <c r="Z1" s="554"/>
    </row>
    <row r="2" spans="2:29" ht="15">
      <c r="B2" s="555" t="s">
        <v>3</v>
      </c>
      <c r="C2" s="555"/>
      <c r="D2" s="555"/>
      <c r="E2" s="555"/>
      <c r="F2" s="555"/>
      <c r="G2" s="555"/>
      <c r="H2" s="555"/>
      <c r="I2" s="555"/>
      <c r="J2" s="555"/>
      <c r="K2" s="555"/>
      <c r="L2" s="555"/>
      <c r="M2" s="555"/>
      <c r="N2" s="555"/>
      <c r="O2" s="555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46302</v>
      </c>
      <c r="J4" s="397" t="s">
        <v>153</v>
      </c>
      <c r="K4" s="397"/>
      <c r="L4" s="11"/>
      <c r="M4" s="552" t="s">
        <v>8</v>
      </c>
      <c r="N4" s="553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42"/>
      <c r="D5" s="542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6" t="s">
        <v>17</v>
      </c>
      <c r="C8" s="517" t="s">
        <v>18</v>
      </c>
      <c r="D8" s="517" t="s">
        <v>19</v>
      </c>
      <c r="E8" s="356" t="s">
        <v>20</v>
      </c>
      <c r="F8" s="356" t="s">
        <v>21</v>
      </c>
      <c r="G8" s="517" t="s">
        <v>22</v>
      </c>
      <c r="H8" s="544" t="s">
        <v>144</v>
      </c>
      <c r="I8" s="517" t="s">
        <v>167</v>
      </c>
      <c r="J8" s="546" t="s">
        <v>23</v>
      </c>
      <c r="K8" s="548" t="s">
        <v>142</v>
      </c>
      <c r="L8" s="550" t="s">
        <v>24</v>
      </c>
      <c r="M8" s="359" t="s">
        <v>25</v>
      </c>
      <c r="N8" s="17" t="s">
        <v>166</v>
      </c>
      <c r="O8" s="517" t="s">
        <v>155</v>
      </c>
      <c r="P8" s="540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3"/>
      <c r="C9" s="541"/>
      <c r="D9" s="541"/>
      <c r="E9" s="357" t="s">
        <v>30</v>
      </c>
      <c r="F9" s="357" t="s">
        <v>31</v>
      </c>
      <c r="G9" s="541"/>
      <c r="H9" s="545"/>
      <c r="I9" s="541"/>
      <c r="J9" s="547"/>
      <c r="K9" s="549"/>
      <c r="L9" s="551"/>
      <c r="M9" s="20" t="s">
        <v>32</v>
      </c>
      <c r="N9" s="21" t="s">
        <v>41</v>
      </c>
      <c r="O9" s="541"/>
      <c r="P9" s="541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[4]Brewhouse!$A805</f>
        <v>CA755</v>
      </c>
      <c r="D10" s="279">
        <f>[4]Brewhouse!$AF805</f>
        <v>47</v>
      </c>
      <c r="E10" s="279">
        <f>[4]Brewhouse!$AI805</f>
        <v>48.3</v>
      </c>
      <c r="F10" s="278">
        <f>[4]Brewhouse!$V805</f>
        <v>60</v>
      </c>
      <c r="G10" s="279">
        <f>[4]Brewhouse!AG805</f>
        <v>11.9</v>
      </c>
      <c r="H10" s="396">
        <v>11.8</v>
      </c>
      <c r="I10" s="368">
        <f>[4]Brewhouse!$AU805</f>
        <v>95.339517540422776</v>
      </c>
      <c r="J10" s="368">
        <f>[4]Brewhouse!$AV805</f>
        <v>96.189962817201078</v>
      </c>
      <c r="K10" s="281">
        <f>[4]Brewhouse!$Q805</f>
        <v>14.296296296296292</v>
      </c>
      <c r="L10" s="276">
        <f>[4]Brewhouse!$P805</f>
        <v>60</v>
      </c>
      <c r="M10" s="374">
        <f>[4]Brewhouse!$U805-[4]Brewhouse!$T805</f>
        <v>0.11874999999999999</v>
      </c>
      <c r="N10" s="370">
        <f>[4]Brewhouse!$Z805</f>
        <v>0.26666666666666666</v>
      </c>
      <c r="O10" s="419" t="str">
        <f>[4]Brewhouse!$AX805</f>
        <v>K. Benjamin</v>
      </c>
      <c r="P10" s="417"/>
      <c r="R10" s="277" t="str">
        <f t="shared" ref="R10:R12" si="0">B10</f>
        <v>CARIB</v>
      </c>
      <c r="S10" s="471">
        <f t="shared" ref="S10:S45" si="1">VLOOKUP($B10,$R$3:$X$9,2,FALSE)</f>
        <v>11.6</v>
      </c>
      <c r="T10" s="471">
        <f t="shared" ref="T10:T45" si="2">VLOOKUP($B10,$R$3:$X$9,3,FALSE)</f>
        <v>12</v>
      </c>
      <c r="U10" s="297">
        <f t="shared" ref="U10:U45" si="3">VLOOKUP($B10,$R$3:$X$9,4,FALSE)</f>
        <v>0</v>
      </c>
      <c r="V10" s="297">
        <f t="shared" ref="V10:V45" si="4">VLOOKUP($B10,$R$3:$X$9,5,FALSE)</f>
        <v>0.118055555555556</v>
      </c>
      <c r="W10" s="297">
        <f t="shared" ref="W10:W45" si="5">VLOOKUP($B10,$R$3:$X$9,6,FALSE)</f>
        <v>0.22569444444444445</v>
      </c>
      <c r="X10" s="297">
        <f t="shared" ref="X10:X45" si="6">VLOOKUP($B10,$R$3:$X$9,7,FALSE)</f>
        <v>0.2638888888888889</v>
      </c>
      <c r="Y10" s="297">
        <f t="shared" ref="Y10:Y45" si="7">VLOOKUP($B10,$R$3:$Z$9,8,FALSE)</f>
        <v>0</v>
      </c>
      <c r="Z10" s="471">
        <f t="shared" ref="Z10:Z45" si="8">VLOOKUP($B10,$R$3:$Z$9,9,FALSE)</f>
        <v>60</v>
      </c>
    </row>
    <row r="11" spans="2:29" ht="15" customHeight="1">
      <c r="B11" s="29" t="s">
        <v>6</v>
      </c>
      <c r="C11" s="366" t="str">
        <f>[4]Brewhouse!$A806</f>
        <v>CA756</v>
      </c>
      <c r="D11" s="279">
        <f>[4]Brewhouse!$AF806</f>
        <v>49.9</v>
      </c>
      <c r="E11" s="279">
        <f>[4]Brewhouse!$AI806</f>
        <v>50.4</v>
      </c>
      <c r="F11" s="278">
        <f>[4]Brewhouse!$V806</f>
        <v>63</v>
      </c>
      <c r="G11" s="279">
        <f>[4]Brewhouse!AG806</f>
        <v>11.6</v>
      </c>
      <c r="H11" s="396">
        <v>11.7</v>
      </c>
      <c r="I11" s="368">
        <f>[4]Brewhouse!$AU806</f>
        <v>96.968036957171023</v>
      </c>
      <c r="J11" s="368">
        <f>[4]Brewhouse!$AV806</f>
        <v>97.83295193865905</v>
      </c>
      <c r="K11" s="281">
        <f>[4]Brewhouse!$Q806</f>
        <v>9.0942698706099847</v>
      </c>
      <c r="L11" s="276">
        <f>[4]Brewhouse!$P806</f>
        <v>57</v>
      </c>
      <c r="M11" s="374">
        <f>[4]Brewhouse!$U806-[4]Brewhouse!$T806</f>
        <v>0.1111111111111111</v>
      </c>
      <c r="N11" s="370">
        <f>[4]Brewhouse!$Z806</f>
        <v>0.27499999999999997</v>
      </c>
      <c r="O11" s="419" t="str">
        <f>[4]Brewhouse!$AX806</f>
        <v>K. Benjamin</v>
      </c>
      <c r="P11" s="417"/>
      <c r="R11" s="277" t="str">
        <f t="shared" si="0"/>
        <v>CARIB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29" t="s">
        <v>6</v>
      </c>
      <c r="C12" s="366" t="str">
        <f>[4]Brewhouse!$A807</f>
        <v>CA757</v>
      </c>
      <c r="D12" s="279">
        <f>[4]Brewhouse!$AF807</f>
        <v>49.9</v>
      </c>
      <c r="E12" s="279">
        <f>[4]Brewhouse!$AI807</f>
        <v>50.4</v>
      </c>
      <c r="F12" s="278">
        <f>[4]Brewhouse!$V807</f>
        <v>61</v>
      </c>
      <c r="G12" s="279">
        <f>[4]Brewhouse!AG807</f>
        <v>11.8</v>
      </c>
      <c r="H12" s="493"/>
      <c r="I12" s="368">
        <f>[4]Brewhouse!$AU807</f>
        <v>98.118953814827094</v>
      </c>
      <c r="J12" s="368">
        <f>[4]Brewhouse!$AV807</f>
        <v>98.994421335445963</v>
      </c>
      <c r="K12" s="281">
        <f>[4]Brewhouse!$Q807</f>
        <v>9.0942698706099847</v>
      </c>
      <c r="L12" s="276">
        <f>[4]Brewhouse!$P807</f>
        <v>59</v>
      </c>
      <c r="M12" s="374">
        <f>[4]Brewhouse!$U807-[4]Brewhouse!$T807</f>
        <v>0.10625000000000001</v>
      </c>
      <c r="N12" s="370">
        <f>[4]Brewhouse!$Z807</f>
        <v>0.26388888888888895</v>
      </c>
      <c r="O12" s="419" t="str">
        <f>[4]Brewhouse!$AX807</f>
        <v>K. Benjamin</v>
      </c>
      <c r="P12" s="417"/>
      <c r="R12" s="277" t="str">
        <f t="shared" si="0"/>
        <v>CARIB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29" t="s">
        <v>6</v>
      </c>
      <c r="C13" s="366" t="str">
        <f>[4]Brewhouse!$A808</f>
        <v>CA758</v>
      </c>
      <c r="D13" s="279">
        <f>[4]Brewhouse!$AF808</f>
        <v>50.1</v>
      </c>
      <c r="E13" s="279">
        <f>[4]Brewhouse!$AI808</f>
        <v>50.7</v>
      </c>
      <c r="F13" s="278">
        <f>[4]Brewhouse!$V808</f>
        <v>61</v>
      </c>
      <c r="G13" s="279">
        <f>[4]Brewhouse!AG808</f>
        <v>11.6</v>
      </c>
      <c r="H13" s="396">
        <v>11.7</v>
      </c>
      <c r="I13" s="368">
        <f>[4]Brewhouse!$AU808</f>
        <v>97.30356117947872</v>
      </c>
      <c r="J13" s="368">
        <f>[4]Brewhouse!$AV808</f>
        <v>98.171583101883058</v>
      </c>
      <c r="K13" s="281">
        <f>[4]Brewhouse!$Q808</f>
        <v>8.7245841035120115</v>
      </c>
      <c r="L13" s="276">
        <f>[4]Brewhouse!$P808</f>
        <v>59</v>
      </c>
      <c r="M13" s="374">
        <f>[4]Brewhouse!$U808-[4]Brewhouse!$T808</f>
        <v>0.11736111111111114</v>
      </c>
      <c r="N13" s="370">
        <f>[4]Brewhouse!$Z808</f>
        <v>0.27847222222222223</v>
      </c>
      <c r="O13" s="419" t="str">
        <f>[4]Brewhouse!$AX808</f>
        <v>D. Gomaz</v>
      </c>
      <c r="P13" s="417"/>
      <c r="R13" s="277" t="str">
        <f t="shared" ref="R13:R30" si="9">B13</f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/>
      <c r="C14" s="366"/>
      <c r="D14" s="279"/>
      <c r="E14" s="279"/>
      <c r="F14" s="278"/>
      <c r="G14" s="279"/>
      <c r="H14" s="490"/>
      <c r="I14" s="368"/>
      <c r="J14" s="368"/>
      <c r="K14" s="281"/>
      <c r="L14" s="276"/>
      <c r="M14" s="374"/>
      <c r="N14" s="370"/>
      <c r="O14" s="419"/>
      <c r="P14" s="417"/>
      <c r="R14" s="277">
        <f t="shared" si="9"/>
        <v>0</v>
      </c>
      <c r="S14" s="471" t="e">
        <f t="shared" si="1"/>
        <v>#N/A</v>
      </c>
      <c r="T14" s="471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1" t="e">
        <f t="shared" si="8"/>
        <v>#N/A</v>
      </c>
    </row>
    <row r="15" spans="2:29" ht="15" hidden="1" customHeight="1">
      <c r="B15" s="29"/>
      <c r="C15" s="366"/>
      <c r="D15" s="279"/>
      <c r="E15" s="279"/>
      <c r="F15" s="278"/>
      <c r="G15" s="279"/>
      <c r="H15" s="490"/>
      <c r="I15" s="368"/>
      <c r="J15" s="368"/>
      <c r="K15" s="281"/>
      <c r="L15" s="276"/>
      <c r="M15" s="374"/>
      <c r="N15" s="370"/>
      <c r="O15" s="419"/>
      <c r="P15" s="417"/>
      <c r="R15" s="277">
        <f t="shared" si="9"/>
        <v>0</v>
      </c>
      <c r="S15" s="471" t="e">
        <f t="shared" si="1"/>
        <v>#N/A</v>
      </c>
      <c r="T15" s="471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1" t="e">
        <f t="shared" si="8"/>
        <v>#N/A</v>
      </c>
    </row>
    <row r="16" spans="2:29" ht="15" customHeight="1">
      <c r="B16" s="33" t="s">
        <v>9</v>
      </c>
      <c r="C16" s="366" t="str">
        <f>[3]Brewhouse!$A392</f>
        <v>ST333</v>
      </c>
      <c r="D16" s="279">
        <f>[3]Brewhouse!$AB392</f>
        <v>53.2</v>
      </c>
      <c r="E16" s="279">
        <f>[3]Brewhouse!$AG392</f>
        <v>49.7</v>
      </c>
      <c r="F16" s="278">
        <f>[3]Brewhouse!$V392</f>
        <v>61</v>
      </c>
      <c r="G16" s="279">
        <f>[3]Brewhouse!$AE392</f>
        <v>11.6</v>
      </c>
      <c r="H16" s="396">
        <v>11.6</v>
      </c>
      <c r="I16" s="368">
        <f>[3]Brewhouse!$AS392</f>
        <v>96.764214336728287</v>
      </c>
      <c r="J16" s="368">
        <f>[3]Brewhouse!$AT392</f>
        <v>97.389696666641669</v>
      </c>
      <c r="K16" s="281">
        <f>[3]Brewhouse!$Q392</f>
        <v>11.983082706766917</v>
      </c>
      <c r="L16" s="276">
        <f>[3]Brewhouse!$P392</f>
        <v>58</v>
      </c>
      <c r="M16" s="374">
        <f>[3]Brewhouse!$U392-[3]Brewhouse!$T392</f>
        <v>0.11180555555555549</v>
      </c>
      <c r="N16" s="370">
        <f>[3]Brewhouse!$AW392</f>
        <v>0.27777777777777768</v>
      </c>
      <c r="O16" s="419" t="str">
        <f>[3]Brewhouse!$AV392</f>
        <v>R.Sookram</v>
      </c>
      <c r="P16" s="417"/>
      <c r="R16" s="277" t="str">
        <f t="shared" si="9"/>
        <v>STAG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2:26" ht="15" customHeight="1">
      <c r="B17" s="33" t="s">
        <v>9</v>
      </c>
      <c r="C17" s="366" t="str">
        <f>[3]Brewhouse!$A393</f>
        <v>ST334</v>
      </c>
      <c r="D17" s="279">
        <f>[3]Brewhouse!$AB393</f>
        <v>53</v>
      </c>
      <c r="E17" s="279">
        <f>[3]Brewhouse!$AG393</f>
        <v>49.7</v>
      </c>
      <c r="F17" s="278">
        <f>[3]Brewhouse!$V393</f>
        <v>61</v>
      </c>
      <c r="G17" s="279">
        <f>[3]Brewhouse!$AE393</f>
        <v>11.9</v>
      </c>
      <c r="H17" s="396">
        <v>11.9</v>
      </c>
      <c r="I17" s="368">
        <f>[3]Brewhouse!$AS393</f>
        <v>98.288600505062334</v>
      </c>
      <c r="J17" s="368">
        <f>[3]Brewhouse!$AT393</f>
        <v>98.925798193130305</v>
      </c>
      <c r="K17" s="281">
        <f>[3]Brewhouse!$Q393</f>
        <v>10.896226415094338</v>
      </c>
      <c r="L17" s="276">
        <f>[3]Brewhouse!$P393</f>
        <v>58</v>
      </c>
      <c r="M17" s="374">
        <f>[3]Brewhouse!$U393-[3]Brewhouse!$T393</f>
        <v>0.11388888888888882</v>
      </c>
      <c r="N17" s="370">
        <f>[3]Brewhouse!$AW393</f>
        <v>0.28263888888888888</v>
      </c>
      <c r="O17" s="419" t="str">
        <f>[3]Brewhouse!$AV393</f>
        <v>R.Sookram</v>
      </c>
      <c r="P17" s="417"/>
      <c r="R17" s="277" t="str">
        <f t="shared" si="9"/>
        <v>STAG</v>
      </c>
      <c r="S17" s="471">
        <f t="shared" si="1"/>
        <v>11.6</v>
      </c>
      <c r="T17" s="471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1">
        <f t="shared" si="8"/>
        <v>60</v>
      </c>
    </row>
    <row r="18" spans="2:26" ht="15" customHeight="1">
      <c r="B18" s="33" t="s">
        <v>9</v>
      </c>
      <c r="C18" s="366" t="str">
        <f>[3]Brewhouse!$A394</f>
        <v>ST335</v>
      </c>
      <c r="D18" s="279">
        <f>[3]Brewhouse!$AB394</f>
        <v>53.1</v>
      </c>
      <c r="E18" s="279">
        <f>[3]Brewhouse!$AG394</f>
        <v>48.7</v>
      </c>
      <c r="F18" s="278">
        <f>[3]Brewhouse!$V394</f>
        <v>55</v>
      </c>
      <c r="G18" s="279">
        <f>[3]Brewhouse!$AE394</f>
        <v>11.8</v>
      </c>
      <c r="H18" s="490">
        <v>12.1</v>
      </c>
      <c r="I18" s="368">
        <f>[3]Brewhouse!$AS394</f>
        <v>97.025470988738689</v>
      </c>
      <c r="J18" s="368">
        <f>[3]Brewhouse!$AT394</f>
        <v>97.651811894321455</v>
      </c>
      <c r="K18" s="281">
        <f>[3]Brewhouse!$Q394</f>
        <v>10.875706214689263</v>
      </c>
      <c r="L18" s="276">
        <f>[3]Brewhouse!$P394</f>
        <v>59</v>
      </c>
      <c r="M18" s="374">
        <f>[3]Brewhouse!$U394-[3]Brewhouse!$T394</f>
        <v>0.11736111111111114</v>
      </c>
      <c r="N18" s="370">
        <f>[3]Brewhouse!$AW394</f>
        <v>0.29236111111111118</v>
      </c>
      <c r="O18" s="419" t="str">
        <f>[3]Brewhouse!$AV394</f>
        <v>R.Sookram</v>
      </c>
      <c r="P18" s="417"/>
      <c r="R18" s="277" t="str">
        <f t="shared" si="9"/>
        <v>STAG</v>
      </c>
      <c r="S18" s="471">
        <f t="shared" si="1"/>
        <v>11.6</v>
      </c>
      <c r="T18" s="471">
        <f t="shared" si="2"/>
        <v>12</v>
      </c>
      <c r="U18" s="297">
        <f t="shared" si="3"/>
        <v>0</v>
      </c>
      <c r="V18" s="297">
        <f t="shared" si="4"/>
        <v>0.118055555555556</v>
      </c>
      <c r="W18" s="297">
        <f t="shared" si="5"/>
        <v>0.22569444444444445</v>
      </c>
      <c r="X18" s="297">
        <f t="shared" si="6"/>
        <v>0.2638888888888889</v>
      </c>
      <c r="Y18" s="297">
        <f t="shared" si="7"/>
        <v>0</v>
      </c>
      <c r="Z18" s="471">
        <f t="shared" si="8"/>
        <v>60</v>
      </c>
    </row>
    <row r="19" spans="2:26" ht="15" customHeight="1">
      <c r="B19" s="33" t="s">
        <v>9</v>
      </c>
      <c r="C19" s="366" t="str">
        <f>[3]Brewhouse!$A395</f>
        <v>ST336</v>
      </c>
      <c r="D19" s="279">
        <f>[3]Brewhouse!$AB395</f>
        <v>53</v>
      </c>
      <c r="E19" s="279">
        <f>[3]Brewhouse!$AG395</f>
        <v>49.2</v>
      </c>
      <c r="F19" s="278">
        <f>[3]Brewhouse!$V395</f>
        <v>59</v>
      </c>
      <c r="G19" s="279">
        <f>[3]Brewhouse!$AE395</f>
        <v>11.8</v>
      </c>
      <c r="H19" s="490">
        <v>12.1</v>
      </c>
      <c r="I19" s="368">
        <f>[3]Brewhouse!$AS395</f>
        <v>97.898131022692681</v>
      </c>
      <c r="J19" s="368">
        <f>[3]Brewhouse!$AT395</f>
        <v>98.530315524604035</v>
      </c>
      <c r="K19" s="281">
        <f>[3]Brewhouse!$Q395</f>
        <v>9.3867924528301909</v>
      </c>
      <c r="L19" s="276">
        <f>[3]Brewhouse!$P395</f>
        <v>60</v>
      </c>
      <c r="M19" s="374">
        <f>[3]Brewhouse!$U395-[3]Brewhouse!$T395</f>
        <v>0.11458333333333326</v>
      </c>
      <c r="N19" s="370">
        <f>[3]Brewhouse!$AW395</f>
        <v>0.28749999999999998</v>
      </c>
      <c r="O19" s="419" t="str">
        <f>[3]Brewhouse!$AV395</f>
        <v>R.Sookram</v>
      </c>
      <c r="P19" s="417"/>
      <c r="R19" s="277" t="str">
        <f t="shared" si="9"/>
        <v>STAG</v>
      </c>
      <c r="S19" s="471">
        <f t="shared" si="1"/>
        <v>11.6</v>
      </c>
      <c r="T19" s="471">
        <f t="shared" si="2"/>
        <v>12</v>
      </c>
      <c r="U19" s="297">
        <f t="shared" si="3"/>
        <v>0</v>
      </c>
      <c r="V19" s="297">
        <f t="shared" si="4"/>
        <v>0.118055555555556</v>
      </c>
      <c r="W19" s="297">
        <f t="shared" si="5"/>
        <v>0.22569444444444445</v>
      </c>
      <c r="X19" s="297">
        <f t="shared" si="6"/>
        <v>0.2638888888888889</v>
      </c>
      <c r="Y19" s="297">
        <f t="shared" si="7"/>
        <v>0</v>
      </c>
      <c r="Z19" s="471">
        <f t="shared" si="8"/>
        <v>60</v>
      </c>
    </row>
    <row r="20" spans="2:26" ht="15" customHeight="1">
      <c r="B20" s="33" t="s">
        <v>9</v>
      </c>
      <c r="C20" s="366" t="str">
        <f>[3]Brewhouse!$A396</f>
        <v>ST337</v>
      </c>
      <c r="D20" s="279">
        <f>[3]Brewhouse!$AB396</f>
        <v>53</v>
      </c>
      <c r="E20" s="279">
        <f>[3]Brewhouse!$AG396</f>
        <v>49.1</v>
      </c>
      <c r="F20" s="278">
        <f>[3]Brewhouse!$V396</f>
        <v>59</v>
      </c>
      <c r="G20" s="279">
        <f>[3]Brewhouse!$AE396</f>
        <v>11.7</v>
      </c>
      <c r="H20" s="490">
        <v>12.1</v>
      </c>
      <c r="I20" s="368">
        <f>[3]Brewhouse!$AS396</f>
        <v>96.950396118265601</v>
      </c>
      <c r="J20" s="368">
        <f>[3]Brewhouse!$AT396</f>
        <v>97.57625238345571</v>
      </c>
      <c r="K20" s="281">
        <f>[3]Brewhouse!$Q396</f>
        <v>9.3867924528301909</v>
      </c>
      <c r="L20" s="276">
        <f>[3]Brewhouse!$P396</f>
        <v>60</v>
      </c>
      <c r="M20" s="374">
        <f>[3]Brewhouse!$U396-[3]Brewhouse!$T396</f>
        <v>0.13750000000000018</v>
      </c>
      <c r="N20" s="370">
        <f>[3]Brewhouse!$AW396</f>
        <v>0.30208333333333348</v>
      </c>
      <c r="O20" s="419" t="str">
        <f>[3]Brewhouse!$AV396</f>
        <v>R.Sookram</v>
      </c>
      <c r="P20" s="417"/>
      <c r="R20" s="277" t="str">
        <f t="shared" si="9"/>
        <v>STAG</v>
      </c>
      <c r="S20" s="471">
        <f t="shared" si="1"/>
        <v>11.6</v>
      </c>
      <c r="T20" s="471">
        <f t="shared" si="2"/>
        <v>12</v>
      </c>
      <c r="U20" s="297">
        <f t="shared" si="3"/>
        <v>0</v>
      </c>
      <c r="V20" s="297">
        <f t="shared" si="4"/>
        <v>0.118055555555556</v>
      </c>
      <c r="W20" s="297">
        <f t="shared" si="5"/>
        <v>0.22569444444444445</v>
      </c>
      <c r="X20" s="297">
        <f t="shared" si="6"/>
        <v>0.2638888888888889</v>
      </c>
      <c r="Y20" s="297">
        <f t="shared" si="7"/>
        <v>0</v>
      </c>
      <c r="Z20" s="471">
        <f t="shared" si="8"/>
        <v>60</v>
      </c>
    </row>
    <row r="21" spans="2:26" ht="15" customHeight="1">
      <c r="B21" s="33"/>
      <c r="C21" s="366"/>
      <c r="D21" s="279"/>
      <c r="E21" s="279"/>
      <c r="F21" s="278"/>
      <c r="G21" s="279"/>
      <c r="H21" s="490"/>
      <c r="I21" s="368"/>
      <c r="J21" s="368"/>
      <c r="K21" s="281"/>
      <c r="L21" s="276"/>
      <c r="M21" s="374"/>
      <c r="N21" s="370"/>
      <c r="O21" s="419"/>
      <c r="P21" s="417"/>
      <c r="R21" s="277">
        <f t="shared" si="9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2:26" ht="15" hidden="1" customHeight="1">
      <c r="B22" s="29"/>
      <c r="C22" s="366"/>
      <c r="D22" s="279"/>
      <c r="E22" s="279"/>
      <c r="F22" s="278"/>
      <c r="G22" s="279"/>
      <c r="H22" s="490"/>
      <c r="I22" s="368"/>
      <c r="J22" s="368"/>
      <c r="K22" s="281"/>
      <c r="L22" s="276"/>
      <c r="M22" s="374"/>
      <c r="N22" s="370"/>
      <c r="O22" s="419"/>
      <c r="P22" s="417"/>
      <c r="R22" s="277">
        <f t="shared" si="9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2:26" ht="15" hidden="1" customHeight="1">
      <c r="B23" s="29"/>
      <c r="C23" s="366"/>
      <c r="D23" s="279"/>
      <c r="E23" s="279"/>
      <c r="F23" s="278"/>
      <c r="G23" s="279"/>
      <c r="H23" s="490"/>
      <c r="I23" s="368"/>
      <c r="J23" s="368"/>
      <c r="K23" s="281"/>
      <c r="L23" s="276"/>
      <c r="M23" s="374"/>
      <c r="N23" s="370"/>
      <c r="O23" s="419"/>
      <c r="P23" s="417"/>
      <c r="R23" s="277">
        <f t="shared" si="9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2:26" ht="15" hidden="1" customHeight="1">
      <c r="B24" s="29"/>
      <c r="C24" s="366"/>
      <c r="D24" s="279"/>
      <c r="E24" s="279"/>
      <c r="F24" s="278"/>
      <c r="G24" s="279"/>
      <c r="H24" s="490"/>
      <c r="I24" s="368"/>
      <c r="J24" s="368"/>
      <c r="K24" s="281"/>
      <c r="L24" s="276"/>
      <c r="M24" s="374"/>
      <c r="N24" s="370"/>
      <c r="O24" s="419"/>
      <c r="P24" s="417"/>
      <c r="R24" s="277">
        <f t="shared" si="9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2:26" ht="15" hidden="1" customHeight="1">
      <c r="B25" s="29"/>
      <c r="C25" s="366"/>
      <c r="D25" s="279"/>
      <c r="E25" s="279"/>
      <c r="F25" s="278"/>
      <c r="G25" s="279"/>
      <c r="H25" s="396"/>
      <c r="I25" s="368"/>
      <c r="J25" s="368"/>
      <c r="K25" s="281"/>
      <c r="L25" s="276"/>
      <c r="M25" s="374"/>
      <c r="N25" s="370"/>
      <c r="O25" s="419"/>
      <c r="P25" s="417"/>
      <c r="R25" s="277">
        <f t="shared" si="9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2:26" ht="15" hidden="1" customHeight="1">
      <c r="B26" s="29"/>
      <c r="C26" s="366"/>
      <c r="D26" s="279"/>
      <c r="E26" s="279"/>
      <c r="F26" s="278"/>
      <c r="G26" s="279"/>
      <c r="H26" s="396"/>
      <c r="I26" s="368"/>
      <c r="J26" s="368"/>
      <c r="K26" s="281"/>
      <c r="L26" s="276"/>
      <c r="M26" s="374"/>
      <c r="N26" s="370"/>
      <c r="O26" s="419"/>
      <c r="P26" s="417"/>
      <c r="R26" s="277">
        <f t="shared" si="9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2:26" ht="15" hidden="1" customHeight="1">
      <c r="B27" s="33"/>
      <c r="C27" s="366"/>
      <c r="D27" s="279"/>
      <c r="E27" s="279"/>
      <c r="F27" s="278"/>
      <c r="G27" s="279"/>
      <c r="H27" s="396"/>
      <c r="I27" s="368"/>
      <c r="J27" s="368"/>
      <c r="K27" s="281"/>
      <c r="L27" s="276"/>
      <c r="M27" s="374"/>
      <c r="N27" s="370"/>
      <c r="O27" s="419"/>
      <c r="P27" s="417"/>
      <c r="R27" s="277">
        <f t="shared" si="9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2:26" ht="15" hidden="1" customHeight="1">
      <c r="B28" s="33"/>
      <c r="C28" s="366"/>
      <c r="D28" s="279"/>
      <c r="E28" s="279"/>
      <c r="F28" s="278"/>
      <c r="G28" s="279"/>
      <c r="H28" s="396"/>
      <c r="I28" s="368"/>
      <c r="J28" s="368"/>
      <c r="K28" s="281"/>
      <c r="L28" s="276"/>
      <c r="M28" s="374"/>
      <c r="N28" s="370"/>
      <c r="O28" s="419"/>
      <c r="P28" s="417"/>
      <c r="R28" s="277">
        <f t="shared" si="9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2:26" ht="15" hidden="1" customHeight="1">
      <c r="B29" s="33"/>
      <c r="C29" s="366"/>
      <c r="D29" s="279"/>
      <c r="E29" s="279"/>
      <c r="F29" s="278"/>
      <c r="G29" s="279"/>
      <c r="H29" s="396"/>
      <c r="I29" s="368"/>
      <c r="J29" s="368"/>
      <c r="K29" s="281"/>
      <c r="L29" s="276"/>
      <c r="M29" s="374"/>
      <c r="N29" s="370"/>
      <c r="O29" s="419"/>
      <c r="P29" s="417"/>
      <c r="R29" s="277">
        <f t="shared" si="9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2:26" ht="15" hidden="1" customHeight="1">
      <c r="B30" s="29"/>
      <c r="C30" s="366"/>
      <c r="D30" s="279"/>
      <c r="E30" s="279"/>
      <c r="F30" s="278"/>
      <c r="G30" s="279"/>
      <c r="H30" s="396"/>
      <c r="I30" s="368"/>
      <c r="J30" s="368"/>
      <c r="K30" s="281"/>
      <c r="L30" s="276"/>
      <c r="M30" s="374"/>
      <c r="N30" s="370"/>
      <c r="O30" s="419"/>
      <c r="P30" s="417"/>
      <c r="R30" s="277">
        <f t="shared" si="9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2:26" ht="15" hidden="1" customHeight="1">
      <c r="B31" s="36"/>
      <c r="C31" s="366"/>
      <c r="D31" s="279"/>
      <c r="E31" s="279"/>
      <c r="F31" s="278"/>
      <c r="G31" s="279"/>
      <c r="H31" s="396"/>
      <c r="I31" s="487"/>
      <c r="J31" s="487"/>
      <c r="K31" s="488"/>
      <c r="L31" s="276"/>
      <c r="M31" s="374"/>
      <c r="N31" s="370"/>
      <c r="O31" s="419"/>
      <c r="P31" s="417"/>
      <c r="R31" s="277">
        <f t="shared" ref="R31:R45" si="10">B31</f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</row>
    <row r="32" spans="2:26" ht="17.25" customHeight="1" thickBot="1">
      <c r="B32" s="358"/>
      <c r="C32" s="358"/>
      <c r="D32" s="358"/>
      <c r="E32" s="358"/>
      <c r="F32" s="294"/>
      <c r="G32" s="294"/>
      <c r="H32" s="348"/>
      <c r="I32" s="566"/>
      <c r="J32" s="566"/>
      <c r="K32" s="566"/>
      <c r="L32" s="566"/>
      <c r="M32" s="566"/>
      <c r="N32" s="566"/>
      <c r="O32" s="1"/>
      <c r="P32" s="12"/>
      <c r="R32" s="277">
        <f t="shared" si="10"/>
        <v>0</v>
      </c>
      <c r="S32" s="471" t="e">
        <f t="shared" si="1"/>
        <v>#N/A</v>
      </c>
      <c r="T32" s="471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1" t="e">
        <f t="shared" si="8"/>
        <v>#N/A</v>
      </c>
    </row>
    <row r="33" spans="1:27" ht="17.25" customHeight="1" thickBot="1">
      <c r="B33" s="482" t="s">
        <v>162</v>
      </c>
      <c r="C33" s="388"/>
      <c r="D33" s="535" t="s">
        <v>35</v>
      </c>
      <c r="E33" s="536"/>
      <c r="F33" s="294"/>
      <c r="G33" s="294"/>
      <c r="H33" s="348"/>
      <c r="I33" s="24" t="s">
        <v>17</v>
      </c>
      <c r="J33" s="25"/>
      <c r="K33" s="26" t="s">
        <v>138</v>
      </c>
      <c r="L33" s="25" t="s">
        <v>37</v>
      </c>
      <c r="M33" s="25" t="s">
        <v>38</v>
      </c>
      <c r="N33" s="27" t="s">
        <v>39</v>
      </c>
      <c r="O33" s="294"/>
      <c r="P33" s="12"/>
      <c r="R33" s="277" t="str">
        <f t="shared" si="10"/>
        <v xml:space="preserve">BRAND </v>
      </c>
      <c r="S33" s="471" t="e">
        <f t="shared" si="1"/>
        <v>#N/A</v>
      </c>
      <c r="T33" s="471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1" t="e">
        <f t="shared" si="8"/>
        <v>#N/A</v>
      </c>
    </row>
    <row r="34" spans="1:27" ht="17.25" customHeight="1">
      <c r="A34" s="28"/>
      <c r="B34" s="588"/>
      <c r="C34" s="483"/>
      <c r="D34" s="522"/>
      <c r="E34" s="523"/>
      <c r="F34" s="294"/>
      <c r="G34" s="294"/>
      <c r="H34" s="348"/>
      <c r="I34" s="29" t="s">
        <v>6</v>
      </c>
      <c r="J34" s="323">
        <f>AVERAGE(I10:I13)</f>
        <v>96.9325173729749</v>
      </c>
      <c r="K34" s="284">
        <f>COUNTA([4]Brewhouse!$A$789:$A$808)</f>
        <v>20</v>
      </c>
      <c r="L34" s="305">
        <f>AVERAGE([4]Brewhouse!$AU$789:$AU$808)</f>
        <v>97.589415567513441</v>
      </c>
      <c r="M34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,[4]Brewhouse!$AU$789:$AU$808)</f>
        <v>98.311550250952394</v>
      </c>
      <c r="N34" s="30">
        <v>98</v>
      </c>
      <c r="O34" s="11"/>
      <c r="P34" s="31"/>
      <c r="R34" s="277">
        <f t="shared" si="10"/>
        <v>0</v>
      </c>
      <c r="S34" s="471" t="e">
        <f t="shared" si="1"/>
        <v>#N/A</v>
      </c>
      <c r="T34" s="471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1" t="e">
        <f t="shared" si="8"/>
        <v>#N/A</v>
      </c>
    </row>
    <row r="35" spans="1:27" ht="15" customHeight="1">
      <c r="A35" s="28"/>
      <c r="B35" s="568"/>
      <c r="C35" s="362"/>
      <c r="D35" s="524"/>
      <c r="E35" s="525"/>
      <c r="F35" s="294"/>
      <c r="G35" s="294"/>
      <c r="H35" s="348"/>
      <c r="I35" s="33" t="s">
        <v>9</v>
      </c>
      <c r="J35" s="323">
        <f>AVERAGE(I16:I20)</f>
        <v>97.385362594297504</v>
      </c>
      <c r="K35" s="284">
        <f>COUNTA([3]Brewhouse!$A$390:$A$396)</f>
        <v>7</v>
      </c>
      <c r="L35" s="302">
        <f>AVERAGE([3]Brewhouse!$AS$390:$AS$396)</f>
        <v>97.862957873137887</v>
      </c>
      <c r="M35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$388,[3]Brewhouse!$AS$390:$AS$396)</f>
        <v>98.300965311584662</v>
      </c>
      <c r="N35" s="30">
        <v>98</v>
      </c>
      <c r="O35" s="11"/>
      <c r="P35" s="31"/>
      <c r="R35" s="277">
        <f t="shared" si="10"/>
        <v>0</v>
      </c>
      <c r="S35" s="471" t="e">
        <f t="shared" si="1"/>
        <v>#N/A</v>
      </c>
      <c r="T35" s="471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1" t="e">
        <f t="shared" si="8"/>
        <v>#N/A</v>
      </c>
    </row>
    <row r="36" spans="1:27" ht="14.65" customHeight="1">
      <c r="A36" s="28"/>
      <c r="B36" s="568"/>
      <c r="C36" s="362"/>
      <c r="D36" s="529"/>
      <c r="E36" s="530"/>
      <c r="F36" s="294"/>
      <c r="G36" s="294"/>
      <c r="H36" s="348"/>
      <c r="I36" s="34" t="s">
        <v>12</v>
      </c>
      <c r="J36" s="323"/>
      <c r="K36" s="284"/>
      <c r="L36" s="302"/>
      <c r="M36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36" s="30">
        <v>98</v>
      </c>
      <c r="O36" s="11"/>
      <c r="P36" s="31"/>
      <c r="R36" s="277">
        <f t="shared" si="10"/>
        <v>0</v>
      </c>
      <c r="S36" s="471" t="e">
        <f t="shared" si="1"/>
        <v>#N/A</v>
      </c>
      <c r="T36" s="471" t="e">
        <f t="shared" si="2"/>
        <v>#N/A</v>
      </c>
      <c r="U36" s="297" t="e">
        <f t="shared" si="3"/>
        <v>#N/A</v>
      </c>
      <c r="V36" s="297" t="e">
        <f t="shared" si="4"/>
        <v>#N/A</v>
      </c>
      <c r="W36" s="297" t="e">
        <f t="shared" si="5"/>
        <v>#N/A</v>
      </c>
      <c r="X36" s="297" t="e">
        <f t="shared" si="6"/>
        <v>#N/A</v>
      </c>
      <c r="Y36" s="297" t="e">
        <f t="shared" si="7"/>
        <v>#N/A</v>
      </c>
      <c r="Z36" s="471" t="e">
        <f t="shared" si="8"/>
        <v>#N/A</v>
      </c>
    </row>
    <row r="37" spans="1:27" ht="14.65" customHeight="1">
      <c r="A37" s="28"/>
      <c r="B37" s="568"/>
      <c r="C37" s="362"/>
      <c r="D37" s="531"/>
      <c r="E37" s="525"/>
      <c r="F37" s="294"/>
      <c r="G37" s="294"/>
      <c r="H37" s="348"/>
      <c r="I37" s="22" t="s">
        <v>33</v>
      </c>
      <c r="J37" s="280"/>
      <c r="K37" s="284"/>
      <c r="L37" s="302"/>
      <c r="M37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97.566635166530773</v>
      </c>
      <c r="N37" s="30">
        <v>98</v>
      </c>
      <c r="O37" s="11"/>
      <c r="P37" s="31"/>
      <c r="R37" s="277">
        <f t="shared" si="10"/>
        <v>0</v>
      </c>
      <c r="S37" s="471" t="e">
        <f t="shared" si="1"/>
        <v>#N/A</v>
      </c>
      <c r="T37" s="471" t="e">
        <f t="shared" si="2"/>
        <v>#N/A</v>
      </c>
      <c r="U37" s="297" t="e">
        <f t="shared" si="3"/>
        <v>#N/A</v>
      </c>
      <c r="V37" s="297" t="e">
        <f t="shared" si="4"/>
        <v>#N/A</v>
      </c>
      <c r="W37" s="297" t="e">
        <f t="shared" si="5"/>
        <v>#N/A</v>
      </c>
      <c r="X37" s="297" t="e">
        <f t="shared" si="6"/>
        <v>#N/A</v>
      </c>
      <c r="Y37" s="297" t="e">
        <f t="shared" si="7"/>
        <v>#N/A</v>
      </c>
      <c r="Z37" s="471" t="e">
        <f t="shared" si="8"/>
        <v>#N/A</v>
      </c>
    </row>
    <row r="38" spans="1:27" ht="14.65" customHeight="1">
      <c r="A38" s="28"/>
      <c r="B38" s="568"/>
      <c r="C38" s="362"/>
      <c r="D38" s="529"/>
      <c r="E38" s="530"/>
      <c r="F38" s="294"/>
      <c r="G38" s="294"/>
      <c r="H38" s="348"/>
      <c r="I38" s="35" t="s">
        <v>29</v>
      </c>
      <c r="J38" s="280"/>
      <c r="K38" s="284"/>
      <c r="L38" s="302"/>
      <c r="M38" s="302"/>
      <c r="N38" s="30">
        <v>98</v>
      </c>
      <c r="O38" s="11"/>
      <c r="P38" s="31"/>
      <c r="R38" s="277">
        <f t="shared" si="10"/>
        <v>0</v>
      </c>
      <c r="S38" s="471" t="e">
        <f t="shared" si="1"/>
        <v>#N/A</v>
      </c>
      <c r="T38" s="471" t="e">
        <f t="shared" si="2"/>
        <v>#N/A</v>
      </c>
      <c r="U38" s="297" t="e">
        <f t="shared" si="3"/>
        <v>#N/A</v>
      </c>
      <c r="V38" s="297" t="e">
        <f t="shared" si="4"/>
        <v>#N/A</v>
      </c>
      <c r="W38" s="297" t="e">
        <f t="shared" si="5"/>
        <v>#N/A</v>
      </c>
      <c r="X38" s="297" t="e">
        <f t="shared" si="6"/>
        <v>#N/A</v>
      </c>
      <c r="Y38" s="297" t="e">
        <f t="shared" si="7"/>
        <v>#N/A</v>
      </c>
      <c r="Z38" s="471" t="e">
        <f t="shared" si="8"/>
        <v>#N/A</v>
      </c>
    </row>
    <row r="39" spans="1:27" ht="14.65" customHeight="1">
      <c r="A39" s="28"/>
      <c r="B39" s="568"/>
      <c r="C39" s="362"/>
      <c r="D39" s="531"/>
      <c r="E39" s="525"/>
      <c r="F39" s="416"/>
      <c r="G39" s="294"/>
      <c r="H39" s="348"/>
      <c r="I39" s="36" t="s">
        <v>15</v>
      </c>
      <c r="J39" s="323"/>
      <c r="K39" s="284"/>
      <c r="L39" s="302"/>
      <c r="M39" s="302">
        <f>AVERAGE([7]Brewhouse!$AT$4:$AT$11,[7]Brewhouse!$AT$13:$AT$16,[7]Brewhouse!$AT$18:$AT$30)</f>
        <v>93.22262799886262</v>
      </c>
      <c r="N39" s="30">
        <v>98</v>
      </c>
      <c r="O39" s="11"/>
      <c r="P39" s="31"/>
      <c r="R39" s="277">
        <f t="shared" si="10"/>
        <v>0</v>
      </c>
      <c r="S39" s="471" t="e">
        <f t="shared" si="1"/>
        <v>#N/A</v>
      </c>
      <c r="T39" s="471" t="e">
        <f t="shared" si="2"/>
        <v>#N/A</v>
      </c>
      <c r="U39" s="297" t="e">
        <f t="shared" si="3"/>
        <v>#N/A</v>
      </c>
      <c r="V39" s="297" t="e">
        <f t="shared" si="4"/>
        <v>#N/A</v>
      </c>
      <c r="W39" s="297" t="e">
        <f t="shared" si="5"/>
        <v>#N/A</v>
      </c>
      <c r="X39" s="297" t="e">
        <f t="shared" si="6"/>
        <v>#N/A</v>
      </c>
      <c r="Y39" s="297" t="e">
        <f t="shared" si="7"/>
        <v>#N/A</v>
      </c>
      <c r="Z39" s="471" t="e">
        <f t="shared" si="8"/>
        <v>#N/A</v>
      </c>
    </row>
    <row r="40" spans="1:27" ht="14.65" customHeight="1">
      <c r="A40" s="28"/>
      <c r="B40" s="568"/>
      <c r="C40" s="362"/>
      <c r="D40" s="529"/>
      <c r="E40" s="530"/>
      <c r="F40" s="416"/>
      <c r="G40" s="294"/>
      <c r="H40" s="348"/>
      <c r="I40" s="37" t="s">
        <v>16</v>
      </c>
      <c r="J40" s="323"/>
      <c r="K40" s="284"/>
      <c r="L40" s="302"/>
      <c r="M40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97.792958274585203</v>
      </c>
      <c r="N40" s="30">
        <v>98</v>
      </c>
      <c r="O40" s="11"/>
      <c r="P40" s="31" t="s">
        <v>41</v>
      </c>
      <c r="R40" s="277">
        <f t="shared" si="10"/>
        <v>0</v>
      </c>
      <c r="S40" s="471" t="e">
        <f t="shared" si="1"/>
        <v>#N/A</v>
      </c>
      <c r="T40" s="471" t="e">
        <f t="shared" si="2"/>
        <v>#N/A</v>
      </c>
      <c r="U40" s="297" t="e">
        <f t="shared" si="3"/>
        <v>#N/A</v>
      </c>
      <c r="V40" s="297" t="e">
        <f t="shared" si="4"/>
        <v>#N/A</v>
      </c>
      <c r="W40" s="297" t="e">
        <f t="shared" si="5"/>
        <v>#N/A</v>
      </c>
      <c r="X40" s="297" t="e">
        <f t="shared" si="6"/>
        <v>#N/A</v>
      </c>
      <c r="Y40" s="297" t="e">
        <f t="shared" si="7"/>
        <v>#N/A</v>
      </c>
      <c r="Z40" s="471" t="e">
        <f t="shared" si="8"/>
        <v>#N/A</v>
      </c>
    </row>
    <row r="41" spans="1:27" ht="14.65" customHeight="1">
      <c r="A41" s="28"/>
      <c r="B41" s="568"/>
      <c r="C41" s="362"/>
      <c r="D41" s="531"/>
      <c r="E41" s="525"/>
      <c r="F41" s="294"/>
      <c r="G41" s="294"/>
      <c r="H41" s="348"/>
      <c r="I41" s="410" t="s">
        <v>158</v>
      </c>
      <c r="J41" s="326"/>
      <c r="K41" s="284"/>
      <c r="L41" s="305"/>
      <c r="M41" s="305"/>
      <c r="N41" s="30">
        <v>98</v>
      </c>
      <c r="O41" s="11"/>
      <c r="P41" s="31"/>
      <c r="R41" s="277">
        <f t="shared" si="10"/>
        <v>0</v>
      </c>
      <c r="S41" s="471" t="e">
        <f t="shared" si="1"/>
        <v>#N/A</v>
      </c>
      <c r="T41" s="471" t="e">
        <f t="shared" si="2"/>
        <v>#N/A</v>
      </c>
      <c r="U41" s="297" t="e">
        <f t="shared" si="3"/>
        <v>#N/A</v>
      </c>
      <c r="V41" s="297" t="e">
        <f t="shared" si="4"/>
        <v>#N/A</v>
      </c>
      <c r="W41" s="297" t="e">
        <f t="shared" si="5"/>
        <v>#N/A</v>
      </c>
      <c r="X41" s="297" t="e">
        <f t="shared" si="6"/>
        <v>#N/A</v>
      </c>
      <c r="Y41" s="297" t="e">
        <f t="shared" si="7"/>
        <v>#N/A</v>
      </c>
      <c r="Z41" s="471" t="e">
        <f t="shared" si="8"/>
        <v>#N/A</v>
      </c>
    </row>
    <row r="42" spans="1:27" ht="14.65" customHeight="1">
      <c r="A42" s="28"/>
      <c r="B42" s="568"/>
      <c r="C42" s="362"/>
      <c r="D42" s="529"/>
      <c r="E42" s="530"/>
      <c r="F42" s="294"/>
      <c r="G42" s="294"/>
      <c r="H42" s="348"/>
      <c r="I42" s="409" t="s">
        <v>157</v>
      </c>
      <c r="J42" s="326"/>
      <c r="K42" s="284"/>
      <c r="L42" s="305"/>
      <c r="M42" s="305"/>
      <c r="N42" s="30">
        <v>98</v>
      </c>
      <c r="O42" s="11"/>
      <c r="P42" s="31"/>
      <c r="R42" s="277">
        <f t="shared" si="10"/>
        <v>0</v>
      </c>
      <c r="S42" s="471" t="e">
        <f t="shared" si="1"/>
        <v>#N/A</v>
      </c>
      <c r="T42" s="471" t="e">
        <f t="shared" si="2"/>
        <v>#N/A</v>
      </c>
      <c r="U42" s="297" t="e">
        <f t="shared" si="3"/>
        <v>#N/A</v>
      </c>
      <c r="V42" s="297" t="e">
        <f t="shared" si="4"/>
        <v>#N/A</v>
      </c>
      <c r="W42" s="297" t="e">
        <f t="shared" si="5"/>
        <v>#N/A</v>
      </c>
      <c r="X42" s="297" t="e">
        <f t="shared" si="6"/>
        <v>#N/A</v>
      </c>
      <c r="Y42" s="297" t="e">
        <f t="shared" si="7"/>
        <v>#N/A</v>
      </c>
      <c r="Z42" s="471" t="e">
        <f t="shared" si="8"/>
        <v>#N/A</v>
      </c>
      <c r="AA42" s="471"/>
    </row>
    <row r="43" spans="1:27" ht="15" customHeight="1" thickBot="1">
      <c r="A43" s="28"/>
      <c r="B43" s="568"/>
      <c r="C43" s="362"/>
      <c r="D43" s="531"/>
      <c r="E43" s="525"/>
      <c r="F43" s="294"/>
      <c r="G43" s="294"/>
      <c r="H43" s="348"/>
      <c r="I43" s="405" t="s">
        <v>156</v>
      </c>
      <c r="J43" s="327"/>
      <c r="K43" s="406"/>
      <c r="L43" s="407"/>
      <c r="M43" s="407"/>
      <c r="N43" s="408">
        <v>98</v>
      </c>
      <c r="O43" s="11"/>
      <c r="P43" s="31"/>
      <c r="R43" s="277">
        <f t="shared" si="10"/>
        <v>0</v>
      </c>
      <c r="S43" s="471" t="e">
        <f t="shared" si="1"/>
        <v>#N/A</v>
      </c>
      <c r="T43" s="471" t="e">
        <f t="shared" si="2"/>
        <v>#N/A</v>
      </c>
      <c r="U43" s="297" t="e">
        <f t="shared" si="3"/>
        <v>#N/A</v>
      </c>
      <c r="V43" s="297" t="e">
        <f t="shared" si="4"/>
        <v>#N/A</v>
      </c>
      <c r="W43" s="297" t="e">
        <f t="shared" si="5"/>
        <v>#N/A</v>
      </c>
      <c r="X43" s="297" t="e">
        <f t="shared" si="6"/>
        <v>#N/A</v>
      </c>
      <c r="Y43" s="297" t="e">
        <f t="shared" si="7"/>
        <v>#N/A</v>
      </c>
      <c r="Z43" s="471" t="e">
        <f t="shared" si="8"/>
        <v>#N/A</v>
      </c>
      <c r="AA43" s="471"/>
    </row>
    <row r="44" spans="1:27" ht="15" customHeight="1" thickBot="1">
      <c r="A44" s="28"/>
      <c r="B44" s="568"/>
      <c r="C44" s="349"/>
      <c r="D44" s="522"/>
      <c r="E44" s="523"/>
      <c r="F44" s="294"/>
      <c r="G44" s="294"/>
      <c r="H44" s="348"/>
      <c r="I44" s="1"/>
      <c r="J44" s="39"/>
      <c r="K44" s="403">
        <f>SUM(K34:K43)</f>
        <v>27</v>
      </c>
      <c r="L44" s="404">
        <f>((L34*K34)+(L35*K35)+(L36*K36)+(L37*K37)+(L38*K38)+(K41*L41)+(L39*K39)+(L40*K40)+(L43*K43))/(K44)</f>
        <v>97.6603339430457</v>
      </c>
      <c r="M44" s="404">
        <f>AVERAGE('[9]Jan30th-31st'!$L$42,'[10]Feb 27th-28th'!$L$45,'[11]Mar 31st'!$L$42,'[12]Apr 30th'!$L$41,'[13]May 29th '!$L$35,'[14]June 30th'!$L$32,[15]July31st!$L$36,'[16]Aug 31st'!$L$32,L44)</f>
        <v>97.943018986773154</v>
      </c>
      <c r="N44" s="40">
        <v>98</v>
      </c>
      <c r="O44" s="11"/>
      <c r="P44" s="31"/>
      <c r="R44" s="277">
        <f t="shared" si="10"/>
        <v>0</v>
      </c>
      <c r="S44" s="471" t="e">
        <f t="shared" si="1"/>
        <v>#N/A</v>
      </c>
      <c r="T44" s="471" t="e">
        <f t="shared" si="2"/>
        <v>#N/A</v>
      </c>
      <c r="U44" s="297" t="e">
        <f t="shared" si="3"/>
        <v>#N/A</v>
      </c>
      <c r="V44" s="297" t="e">
        <f t="shared" si="4"/>
        <v>#N/A</v>
      </c>
      <c r="W44" s="297" t="e">
        <f t="shared" si="5"/>
        <v>#N/A</v>
      </c>
      <c r="X44" s="297" t="e">
        <f t="shared" si="6"/>
        <v>#N/A</v>
      </c>
      <c r="Y44" s="297" t="e">
        <f t="shared" si="7"/>
        <v>#N/A</v>
      </c>
      <c r="Z44" s="471" t="e">
        <f t="shared" si="8"/>
        <v>#N/A</v>
      </c>
      <c r="AA44" s="471"/>
    </row>
    <row r="45" spans="1:27" ht="15.75" thickBot="1">
      <c r="B45" s="589"/>
      <c r="C45" s="350"/>
      <c r="D45" s="524"/>
      <c r="E45" s="525"/>
      <c r="F45" s="294"/>
      <c r="G45" s="42"/>
      <c r="H45" s="41"/>
      <c r="I45" s="42"/>
      <c r="J45" s="42"/>
      <c r="K45" s="351"/>
      <c r="L45" s="348"/>
      <c r="M45" s="348"/>
      <c r="N45" s="11"/>
      <c r="O45" s="294"/>
      <c r="P45" s="12"/>
      <c r="R45" s="277">
        <f t="shared" si="10"/>
        <v>0</v>
      </c>
      <c r="S45" s="471" t="e">
        <f t="shared" si="1"/>
        <v>#N/A</v>
      </c>
      <c r="T45" s="471" t="e">
        <f t="shared" si="2"/>
        <v>#N/A</v>
      </c>
      <c r="U45" s="297" t="e">
        <f t="shared" si="3"/>
        <v>#N/A</v>
      </c>
      <c r="V45" s="297" t="e">
        <f t="shared" si="4"/>
        <v>#N/A</v>
      </c>
      <c r="W45" s="297" t="e">
        <f t="shared" si="5"/>
        <v>#N/A</v>
      </c>
      <c r="X45" s="297" t="e">
        <f t="shared" si="6"/>
        <v>#N/A</v>
      </c>
      <c r="Y45" s="297" t="e">
        <f t="shared" si="7"/>
        <v>#N/A</v>
      </c>
      <c r="Z45" s="471" t="e">
        <f t="shared" si="8"/>
        <v>#N/A</v>
      </c>
      <c r="AA45" s="471"/>
    </row>
    <row r="46" spans="1:27" ht="15.75" thickBot="1">
      <c r="B46" s="519"/>
      <c r="C46" s="362"/>
      <c r="D46" s="522"/>
      <c r="E46" s="523"/>
      <c r="F46" s="294"/>
      <c r="G46" s="42"/>
      <c r="H46" s="41"/>
      <c r="I46" s="42"/>
      <c r="J46" s="526" t="s">
        <v>129</v>
      </c>
      <c r="K46" s="526"/>
      <c r="L46" s="294"/>
      <c r="M46" s="294"/>
      <c r="N46" s="294"/>
      <c r="O46" s="294"/>
      <c r="P46" s="12"/>
    </row>
    <row r="47" spans="1:27" ht="15.75" thickBot="1">
      <c r="B47" s="520"/>
      <c r="C47" s="362"/>
      <c r="D47" s="524"/>
      <c r="E47" s="525"/>
      <c r="F47" s="294"/>
      <c r="G47" s="42"/>
      <c r="H47" s="42"/>
      <c r="I47" s="42"/>
      <c r="J47" s="292" t="s">
        <v>17</v>
      </c>
      <c r="K47" s="293"/>
      <c r="L47" s="527" t="s">
        <v>136</v>
      </c>
      <c r="M47" s="527"/>
      <c r="N47" s="528"/>
      <c r="O47" s="294"/>
      <c r="P47" s="12"/>
    </row>
    <row r="48" spans="1:27" ht="15" customHeight="1" thickBot="1">
      <c r="B48" s="520"/>
      <c r="C48" s="349"/>
      <c r="D48" s="529"/>
      <c r="E48" s="530"/>
      <c r="F48" s="294"/>
      <c r="G48" s="42"/>
      <c r="H48" s="42"/>
      <c r="I48" s="42"/>
      <c r="J48" s="287" t="s">
        <v>6</v>
      </c>
      <c r="K48" s="324">
        <v>4</v>
      </c>
      <c r="L48" s="472" t="s">
        <v>37</v>
      </c>
      <c r="M48" s="473" t="s">
        <v>38</v>
      </c>
      <c r="N48" s="473" t="s">
        <v>84</v>
      </c>
      <c r="O48" s="294"/>
      <c r="P48" s="12"/>
    </row>
    <row r="49" spans="2:57" ht="15.75" customHeight="1" thickBot="1">
      <c r="B49" s="520"/>
      <c r="C49" s="349"/>
      <c r="D49" s="531"/>
      <c r="E49" s="525"/>
      <c r="F49" s="294"/>
      <c r="G49" s="42"/>
      <c r="H49" s="42"/>
      <c r="I49" s="42"/>
      <c r="J49" s="345" t="s">
        <v>9</v>
      </c>
      <c r="K49" s="324">
        <v>5</v>
      </c>
      <c r="L49" s="484">
        <f>AVERAGE('Oct 1st'!K52,'Oct 2nd'!K44,'Oct 5th'!K51,K58)</f>
        <v>6.75</v>
      </c>
      <c r="M49" s="485">
        <f>AVERAGE('[9]Jan30th-31st'!$L$47,L49,'[10]Feb 26th '!$L$39,'[11]Mar 31st'!$L$47,'[12]Apr 30th'!$L$46,'[13]May 29th '!$L$40,'[14]June 30th'!$L$39,[15]July31st!$L$41,'[16]Aug 31st'!$L$37,'[17]Sept 30th'!$L$37)</f>
        <v>6.5485341470124068</v>
      </c>
      <c r="N49" s="415">
        <v>9.1999999999999993</v>
      </c>
      <c r="O49" s="294"/>
      <c r="P49" s="12"/>
    </row>
    <row r="50" spans="2:57" ht="15" customHeight="1">
      <c r="B50" s="520"/>
      <c r="C50" s="349"/>
      <c r="D50" s="529"/>
      <c r="E50" s="530"/>
      <c r="F50" s="294"/>
      <c r="G50" s="42"/>
      <c r="H50" s="42"/>
      <c r="I50" s="42"/>
      <c r="J50" s="288" t="s">
        <v>40</v>
      </c>
      <c r="K50" s="324"/>
      <c r="L50" s="294"/>
      <c r="M50" s="294"/>
      <c r="N50" s="294"/>
      <c r="O50" s="294"/>
      <c r="P50" s="12"/>
    </row>
    <row r="51" spans="2:57" ht="15" customHeight="1">
      <c r="B51" s="520"/>
      <c r="C51" s="349"/>
      <c r="D51" s="531"/>
      <c r="E51" s="525"/>
      <c r="F51" s="294"/>
      <c r="G51" s="42"/>
      <c r="H51" s="42"/>
      <c r="I51" s="42"/>
      <c r="J51" s="289" t="s">
        <v>33</v>
      </c>
      <c r="K51" s="324"/>
      <c r="L51" s="294"/>
      <c r="M51" s="294"/>
      <c r="N51" s="294"/>
      <c r="O51" s="294"/>
      <c r="P51" s="12"/>
    </row>
    <row r="52" spans="2:57" ht="15">
      <c r="B52" s="520"/>
      <c r="C52" s="349"/>
      <c r="D52" s="529"/>
      <c r="E52" s="530"/>
      <c r="F52" s="294"/>
      <c r="G52" s="42"/>
      <c r="H52" s="42"/>
      <c r="I52" s="42"/>
      <c r="J52" s="290" t="s">
        <v>16</v>
      </c>
      <c r="K52" s="324"/>
      <c r="L52" s="294"/>
      <c r="M52" s="294"/>
      <c r="N52" s="294"/>
      <c r="O52" s="294"/>
      <c r="P52" s="12"/>
      <c r="BC52" s="44"/>
      <c r="BD52" s="44"/>
    </row>
    <row r="53" spans="2:57" ht="15">
      <c r="B53" s="520"/>
      <c r="C53" s="349"/>
      <c r="D53" s="531"/>
      <c r="E53" s="525"/>
      <c r="F53" s="294"/>
      <c r="G53" s="42"/>
      <c r="H53" s="42"/>
      <c r="I53" s="42"/>
      <c r="J53" s="291" t="s">
        <v>15</v>
      </c>
      <c r="K53" s="324"/>
      <c r="L53" s="294"/>
      <c r="M53" s="294"/>
      <c r="N53" s="294"/>
      <c r="O53" s="294"/>
      <c r="P53" s="12"/>
      <c r="BC53" s="44"/>
      <c r="BD53" s="44"/>
    </row>
    <row r="54" spans="2:57" ht="15">
      <c r="B54" s="520"/>
      <c r="C54" s="349"/>
      <c r="D54" s="529"/>
      <c r="E54" s="530"/>
      <c r="F54" s="294"/>
      <c r="G54" s="42"/>
      <c r="H54" s="42"/>
      <c r="I54" s="42"/>
      <c r="J54" s="291" t="s">
        <v>149</v>
      </c>
      <c r="K54" s="324"/>
      <c r="L54" s="294"/>
      <c r="M54" s="294"/>
      <c r="N54" s="294"/>
      <c r="O54" s="294"/>
      <c r="P54" s="12"/>
      <c r="BC54" s="44"/>
      <c r="BD54" s="44"/>
    </row>
    <row r="55" spans="2:57" ht="15.75" thickBot="1">
      <c r="B55" s="521"/>
      <c r="C55" s="350"/>
      <c r="D55" s="532"/>
      <c r="E55" s="533"/>
      <c r="F55" s="294" t="s">
        <v>165</v>
      </c>
      <c r="G55" s="42"/>
      <c r="H55" s="42"/>
      <c r="I55" s="42"/>
      <c r="J55" s="291" t="s">
        <v>148</v>
      </c>
      <c r="K55" s="324"/>
      <c r="L55" s="294"/>
      <c r="M55" s="294"/>
      <c r="N55" s="294" t="s">
        <v>41</v>
      </c>
      <c r="O55" s="294"/>
      <c r="P55" s="12"/>
      <c r="BC55" s="44"/>
      <c r="BD55" s="44"/>
    </row>
    <row r="56" spans="2:57" ht="17.649999999999999" customHeight="1" thickBot="1">
      <c r="B56" s="312" t="s">
        <v>139</v>
      </c>
      <c r="C56" s="313"/>
      <c r="D56" s="512"/>
      <c r="E56" s="513"/>
      <c r="F56" s="294"/>
      <c r="J56" s="295" t="s">
        <v>134</v>
      </c>
      <c r="K56" s="324"/>
      <c r="L56" s="294"/>
      <c r="M56" s="294"/>
      <c r="N56" s="294"/>
      <c r="O56" s="294"/>
      <c r="P56" s="12"/>
      <c r="BC56" s="44"/>
      <c r="BD56" s="44"/>
    </row>
    <row r="57" spans="2:57" ht="17.649999999999999" customHeight="1">
      <c r="B57" s="363"/>
      <c r="C57" s="364"/>
      <c r="D57" s="365"/>
      <c r="E57" s="365"/>
      <c r="F57" s="294"/>
      <c r="G57" s="42"/>
      <c r="H57" s="42"/>
      <c r="I57" s="42"/>
      <c r="J57" s="295" t="s">
        <v>131</v>
      </c>
      <c r="K57" s="324"/>
      <c r="L57" s="294"/>
      <c r="M57" s="294"/>
      <c r="N57" s="294"/>
      <c r="O57" s="294"/>
      <c r="P57" s="12"/>
      <c r="BC57" s="44"/>
      <c r="BD57" s="44"/>
    </row>
    <row r="58" spans="2:57" ht="15.6" customHeight="1">
      <c r="B58" s="45"/>
      <c r="C58" s="11"/>
      <c r="D58" s="11"/>
      <c r="E58" s="46"/>
      <c r="F58" s="294"/>
      <c r="G58" s="42"/>
      <c r="H58" s="42"/>
      <c r="I58" s="42"/>
      <c r="J58" s="346" t="s">
        <v>130</v>
      </c>
      <c r="K58" s="324">
        <f>SUM(K48:K57)</f>
        <v>9</v>
      </c>
      <c r="L58" s="294"/>
      <c r="M58" s="294"/>
      <c r="N58" s="294"/>
      <c r="O58" s="294"/>
      <c r="P58" s="12"/>
    </row>
    <row r="59" spans="2:57" ht="20.25" customHeight="1">
      <c r="B59" s="15" t="s">
        <v>42</v>
      </c>
      <c r="C59" s="1" t="s">
        <v>43</v>
      </c>
      <c r="D59" s="1"/>
      <c r="E59" s="1"/>
      <c r="F59" s="294"/>
      <c r="G59" s="42"/>
      <c r="H59" s="41"/>
      <c r="I59" s="42"/>
      <c r="L59" s="42"/>
      <c r="N59" s="315"/>
      <c r="P59" s="334"/>
    </row>
    <row r="60" spans="2:57" ht="15" customHeight="1" thickBot="1"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1"/>
      <c r="O60" s="48"/>
      <c r="P60" s="49"/>
    </row>
    <row r="61" spans="2:57" ht="15" customHeight="1" thickBot="1">
      <c r="B61" s="504" t="s">
        <v>17</v>
      </c>
      <c r="C61" s="504" t="s">
        <v>44</v>
      </c>
      <c r="D61" s="515" t="s">
        <v>45</v>
      </c>
      <c r="E61" s="517" t="s">
        <v>46</v>
      </c>
      <c r="F61" s="510" t="s">
        <v>47</v>
      </c>
      <c r="G61" s="502" t="s">
        <v>48</v>
      </c>
      <c r="H61" s="504" t="s">
        <v>49</v>
      </c>
      <c r="I61" s="504" t="s">
        <v>50</v>
      </c>
      <c r="J61" s="496" t="s">
        <v>28</v>
      </c>
      <c r="K61" s="506" t="s">
        <v>51</v>
      </c>
      <c r="L61" s="508" t="s">
        <v>52</v>
      </c>
      <c r="M61" s="496" t="s">
        <v>53</v>
      </c>
      <c r="N61" s="13"/>
      <c r="O61" s="13"/>
      <c r="P61" s="50"/>
    </row>
    <row r="62" spans="2:57" ht="28.5" customHeight="1" thickTop="1" thickBot="1">
      <c r="B62" s="505"/>
      <c r="C62" s="514"/>
      <c r="D62" s="516"/>
      <c r="E62" s="518"/>
      <c r="F62" s="511"/>
      <c r="G62" s="503"/>
      <c r="H62" s="505"/>
      <c r="I62" s="505"/>
      <c r="J62" s="497"/>
      <c r="K62" s="507"/>
      <c r="L62" s="509"/>
      <c r="M62" s="497"/>
      <c r="N62" s="13"/>
      <c r="O62" s="13"/>
      <c r="P62" s="50"/>
      <c r="Q62" s="355"/>
      <c r="AB62" s="474">
        <v>43474</v>
      </c>
      <c r="AC62" s="474">
        <v>43475</v>
      </c>
      <c r="AD62" s="474">
        <v>43476</v>
      </c>
      <c r="AE62" s="474">
        <v>43477</v>
      </c>
      <c r="AF62" s="474">
        <v>43478</v>
      </c>
      <c r="AG62" s="474">
        <v>43479</v>
      </c>
      <c r="AH62" s="474">
        <v>43480</v>
      </c>
      <c r="AI62" s="474">
        <v>43481</v>
      </c>
      <c r="AJ62" s="474">
        <v>43482</v>
      </c>
      <c r="AK62" s="474">
        <v>43483</v>
      </c>
      <c r="AL62" s="474">
        <v>43484</v>
      </c>
      <c r="AM62" s="474">
        <v>43485</v>
      </c>
      <c r="AN62" s="474">
        <v>43486</v>
      </c>
      <c r="AO62" s="474">
        <v>43487</v>
      </c>
      <c r="AP62" s="474">
        <v>43488</v>
      </c>
      <c r="AQ62" s="474">
        <v>43489</v>
      </c>
      <c r="AR62" s="474">
        <v>43490</v>
      </c>
      <c r="AS62" s="474">
        <v>43491</v>
      </c>
      <c r="AT62" s="474">
        <v>43492</v>
      </c>
      <c r="AU62" s="474">
        <v>43493</v>
      </c>
      <c r="AV62" s="474">
        <v>43494</v>
      </c>
      <c r="AW62" s="474">
        <v>43495</v>
      </c>
      <c r="AX62" s="474">
        <v>43496</v>
      </c>
    </row>
    <row r="63" spans="2:57" s="54" customFormat="1" ht="36.75" customHeight="1" thickBot="1">
      <c r="B63" s="455" t="str">
        <f>J48</f>
        <v>CARIB</v>
      </c>
      <c r="C63" s="478">
        <v>46301</v>
      </c>
      <c r="D63" s="444">
        <f>[18]October_2026!$I$3</f>
        <v>399.7</v>
      </c>
      <c r="E63" s="442"/>
      <c r="F63" s="443"/>
      <c r="G63" s="443">
        <f>[18]October_2026!$I$7</f>
        <v>379.9</v>
      </c>
      <c r="H63" s="457"/>
      <c r="I63" s="457"/>
      <c r="J63" s="447" t="s">
        <v>150</v>
      </c>
      <c r="K63" s="448">
        <f>[19]October_2026!$I$18</f>
        <v>1.3329824561403507</v>
      </c>
      <c r="L63" s="456">
        <f>(((D63+E63)-G63)/(D63+E63))*100</f>
        <v>4.9537152864648517</v>
      </c>
      <c r="M63" s="49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>
        <f>[20]January_2019!L5</f>
        <v>0</v>
      </c>
      <c r="AC63" s="57">
        <f>[20]January_2019!M5</f>
        <v>0</v>
      </c>
      <c r="AD63" s="57">
        <f>[20]January_2019!N5</f>
        <v>0</v>
      </c>
      <c r="AE63" s="57">
        <f>[20]January_2019!O5</f>
        <v>0</v>
      </c>
      <c r="AF63" s="57">
        <f>[20]January_2019!P5</f>
        <v>0</v>
      </c>
      <c r="AG63" s="57">
        <f>[20]January_2019!Q5</f>
        <v>0</v>
      </c>
      <c r="AH63" s="57">
        <f>[20]January_2019!R5</f>
        <v>0</v>
      </c>
      <c r="AI63" s="57">
        <f>[20]January_2019!S5</f>
        <v>0</v>
      </c>
      <c r="AJ63" s="57">
        <f>[20]January_2019!T5</f>
        <v>0</v>
      </c>
      <c r="AK63" s="57">
        <f>[20]January_2019!U5</f>
        <v>0</v>
      </c>
      <c r="AL63" s="57">
        <f>[20]January_2019!V5</f>
        <v>0</v>
      </c>
      <c r="AM63" s="57">
        <f>[20]January_2019!W5</f>
        <v>0</v>
      </c>
      <c r="AN63" s="57">
        <f>[20]January_2019!X5</f>
        <v>0</v>
      </c>
      <c r="AO63" s="57">
        <f>[20]January_2019!Y5</f>
        <v>0</v>
      </c>
      <c r="AP63" s="57">
        <f>[20]January_2019!Z5</f>
        <v>0</v>
      </c>
      <c r="AQ63" s="57">
        <f>[20]January_2019!AA5</f>
        <v>0</v>
      </c>
      <c r="AR63" s="57">
        <f>[20]January_2019!AB5</f>
        <v>0</v>
      </c>
      <c r="AS63" s="57">
        <f>[20]January_2019!AC5</f>
        <v>0</v>
      </c>
      <c r="AT63" s="57">
        <f>[20]January_2019!AD5</f>
        <v>0</v>
      </c>
      <c r="AU63" s="57">
        <f>[20]January_2019!AE5</f>
        <v>0</v>
      </c>
      <c r="AV63" s="57">
        <f>[20]January_2019!AF5</f>
        <v>0</v>
      </c>
      <c r="AW63" s="57">
        <f>[20]January_2019!AG5</f>
        <v>0</v>
      </c>
      <c r="AX63" s="277">
        <f>[20]January_2019!AH5</f>
        <v>0</v>
      </c>
      <c r="AY63" s="277"/>
      <c r="AZ63" s="277"/>
      <c r="BA63" s="277"/>
      <c r="BB63" s="277"/>
      <c r="BC63" s="277"/>
      <c r="BD63" s="277"/>
      <c r="BE63" s="277"/>
    </row>
    <row r="64" spans="2:57" s="54" customFormat="1" ht="14.25" customHeight="1" thickBot="1">
      <c r="B64" s="479"/>
      <c r="C64" s="478"/>
      <c r="D64" s="441"/>
      <c r="E64" s="442"/>
      <c r="F64" s="443"/>
      <c r="G64" s="444"/>
      <c r="H64" s="457"/>
      <c r="I64" s="457"/>
      <c r="J64" s="475"/>
      <c r="K64" s="448"/>
      <c r="L64" s="456"/>
      <c r="M64" s="454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>
        <f>[20]January_2019!L6</f>
        <v>0</v>
      </c>
      <c r="AC64" s="57">
        <f>[20]January_2019!M6</f>
        <v>0</v>
      </c>
      <c r="AD64" s="57">
        <f>[20]January_2019!N6</f>
        <v>0</v>
      </c>
      <c r="AE64" s="57">
        <f>[20]January_2019!O6</f>
        <v>0</v>
      </c>
      <c r="AF64" s="57">
        <f>[20]January_2019!P6</f>
        <v>0</v>
      </c>
      <c r="AG64" s="57">
        <f>[20]January_2019!Q6</f>
        <v>0</v>
      </c>
      <c r="AH64" s="57">
        <f>[20]January_2019!R6</f>
        <v>0</v>
      </c>
      <c r="AI64" s="57">
        <f>[20]January_2019!S6</f>
        <v>0</v>
      </c>
      <c r="AJ64" s="57">
        <f>[20]January_2019!T6</f>
        <v>0</v>
      </c>
      <c r="AK64" s="57">
        <f>[20]January_2019!U6</f>
        <v>0</v>
      </c>
      <c r="AL64" s="57">
        <f>[20]January_2019!V6</f>
        <v>0</v>
      </c>
      <c r="AM64" s="57">
        <f>[20]January_2019!W6</f>
        <v>0</v>
      </c>
      <c r="AN64" s="57">
        <f>[20]January_2019!X6</f>
        <v>0</v>
      </c>
      <c r="AO64" s="57">
        <f>[20]January_2019!Y6</f>
        <v>0</v>
      </c>
      <c r="AP64" s="57">
        <f>[20]January_2019!Z6</f>
        <v>0</v>
      </c>
      <c r="AQ64" s="57">
        <f>[20]January_2019!AA6</f>
        <v>0</v>
      </c>
      <c r="AR64" s="57">
        <f>[20]January_2019!AB6</f>
        <v>0</v>
      </c>
      <c r="AS64" s="57">
        <f>[20]January_2019!AC6</f>
        <v>0</v>
      </c>
      <c r="AT64" s="57">
        <f>[20]January_2019!AD6</f>
        <v>0</v>
      </c>
      <c r="AU64" s="57">
        <f>[20]January_2019!AE6</f>
        <v>0</v>
      </c>
      <c r="AV64" s="57">
        <f>[20]January_2019!AF6</f>
        <v>0</v>
      </c>
      <c r="AW64" s="57">
        <f>[20]January_2019!AG6</f>
        <v>0</v>
      </c>
      <c r="AX64" s="277">
        <f>[20]January_2019!AH6</f>
        <v>0</v>
      </c>
      <c r="AY64" s="277"/>
      <c r="AZ64" s="277"/>
      <c r="BA64" s="277"/>
      <c r="BB64" s="277"/>
      <c r="BC64" s="277"/>
      <c r="BD64" s="277"/>
      <c r="BE64" s="277"/>
    </row>
    <row r="65" spans="2:57" s="54" customFormat="1" ht="37.15" hidden="1" customHeight="1" thickBot="1">
      <c r="B65" s="455" t="str">
        <f>J48</f>
        <v>CARIB</v>
      </c>
      <c r="C65" s="478">
        <v>46301</v>
      </c>
      <c r="D65" s="441"/>
      <c r="E65" s="442"/>
      <c r="F65" s="443"/>
      <c r="G65" s="443"/>
      <c r="H65" s="445"/>
      <c r="I65" s="445"/>
      <c r="J65" s="447" t="s">
        <v>150</v>
      </c>
      <c r="K65" s="448"/>
      <c r="L65" s="456" t="e">
        <f>(((D65+E65)-G65)/(D65+E65))*100</f>
        <v>#DIV/0!</v>
      </c>
      <c r="M65" s="454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>
        <f>[20]January_2019!L7</f>
        <v>285.8</v>
      </c>
      <c r="AC65" s="57">
        <f>[20]January_2019!M7</f>
        <v>508.1</v>
      </c>
      <c r="AD65" s="57">
        <f>[20]January_2019!N7</f>
        <v>0</v>
      </c>
      <c r="AE65" s="57">
        <f>[20]January_2019!O7</f>
        <v>0</v>
      </c>
      <c r="AF65" s="57">
        <f>[20]January_2019!P7</f>
        <v>109.56666666666666</v>
      </c>
      <c r="AG65" s="57">
        <f>[20]January_2019!Q7</f>
        <v>297.64999999999998</v>
      </c>
      <c r="AH65" s="57">
        <f>[20]January_2019!R7</f>
        <v>122.3</v>
      </c>
      <c r="AI65" s="57">
        <f>[20]January_2019!S7</f>
        <v>0</v>
      </c>
      <c r="AJ65" s="57">
        <f>[20]January_2019!T7</f>
        <v>294.7</v>
      </c>
      <c r="AK65" s="57">
        <f>[20]January_2019!U7</f>
        <v>280.5</v>
      </c>
      <c r="AL65" s="57">
        <f>[20]January_2019!V7</f>
        <v>0</v>
      </c>
      <c r="AM65" s="57">
        <f>[20]January_2019!W7</f>
        <v>0</v>
      </c>
      <c r="AN65" s="57">
        <f>[20]January_2019!X7</f>
        <v>188.25</v>
      </c>
      <c r="AO65" s="57">
        <f>[20]January_2019!Y7</f>
        <v>295.7</v>
      </c>
      <c r="AP65" s="57">
        <f>[20]January_2019!Z7</f>
        <v>257.8</v>
      </c>
      <c r="AQ65" s="57">
        <f>[20]January_2019!AA7</f>
        <v>291.2</v>
      </c>
      <c r="AR65" s="57">
        <f>[20]January_2019!AB7</f>
        <v>187</v>
      </c>
      <c r="AS65" s="57">
        <f>[20]January_2019!AC7</f>
        <v>0</v>
      </c>
      <c r="AT65" s="57">
        <f>[20]January_2019!AD7</f>
        <v>0</v>
      </c>
      <c r="AU65" s="57">
        <f>[20]January_2019!AE7</f>
        <v>485.1</v>
      </c>
      <c r="AV65" s="57">
        <f>[20]January_2019!AF7</f>
        <v>171.55</v>
      </c>
      <c r="AW65" s="57">
        <f>[20]January_2019!AG7</f>
        <v>423.8</v>
      </c>
      <c r="AX65" s="277">
        <f>[20]January_2019!AH7</f>
        <v>0</v>
      </c>
      <c r="AY65" s="277"/>
      <c r="AZ65" s="277"/>
      <c r="BA65" s="277"/>
      <c r="BB65" s="277"/>
      <c r="BC65" s="277"/>
      <c r="BD65" s="277"/>
      <c r="BE65" s="277"/>
    </row>
    <row r="66" spans="2:57" s="54" customFormat="1" ht="18.600000000000001" hidden="1" customHeight="1" thickBot="1">
      <c r="B66" s="477"/>
      <c r="C66" s="429"/>
      <c r="D66" s="430"/>
      <c r="E66" s="431"/>
      <c r="F66" s="432"/>
      <c r="G66" s="433"/>
      <c r="H66" s="457"/>
      <c r="I66" s="457"/>
      <c r="J66" s="450"/>
      <c r="K66" s="435"/>
      <c r="L66" s="451"/>
      <c r="M66" s="420"/>
      <c r="N66" s="13"/>
      <c r="O66" s="13"/>
      <c r="P66" s="50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277"/>
      <c r="AY66" s="277"/>
      <c r="AZ66" s="277"/>
      <c r="BA66" s="277"/>
      <c r="BB66" s="277"/>
      <c r="BC66" s="277"/>
      <c r="BD66" s="277"/>
      <c r="BE66" s="277"/>
    </row>
    <row r="67" spans="2:57" s="54" customFormat="1" ht="38.65" hidden="1" customHeight="1" thickBot="1">
      <c r="B67" s="486"/>
      <c r="C67" s="478"/>
      <c r="D67" s="441"/>
      <c r="E67" s="442"/>
      <c r="F67" s="443"/>
      <c r="G67" s="444"/>
      <c r="H67" s="457"/>
      <c r="I67" s="457"/>
      <c r="J67" s="447"/>
      <c r="K67" s="458"/>
      <c r="L67" s="456"/>
      <c r="M67" s="454"/>
      <c r="N67" s="13"/>
      <c r="O67" s="13"/>
      <c r="P67" s="50"/>
      <c r="R67" s="275"/>
      <c r="S67" s="275"/>
      <c r="T67" s="275"/>
      <c r="U67" s="275"/>
      <c r="V67" s="275"/>
      <c r="W67" s="275"/>
      <c r="X67" s="275"/>
      <c r="Y67" s="275"/>
      <c r="Z67" s="275"/>
      <c r="AA67" s="275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277"/>
      <c r="AY67" s="277"/>
      <c r="AZ67" s="277"/>
      <c r="BA67" s="277"/>
      <c r="BB67" s="277"/>
      <c r="BC67" s="277"/>
      <c r="BD67" s="277"/>
      <c r="BE67" s="277"/>
    </row>
    <row r="68" spans="2:57" s="54" customFormat="1" ht="15" hidden="1">
      <c r="B68" s="452"/>
      <c r="C68" s="429"/>
      <c r="D68" s="430"/>
      <c r="E68" s="431"/>
      <c r="F68" s="432"/>
      <c r="G68" s="433"/>
      <c r="H68" s="434"/>
      <c r="I68" s="449"/>
      <c r="J68" s="450"/>
      <c r="K68" s="435"/>
      <c r="L68" s="451"/>
      <c r="M68" s="420"/>
      <c r="N68" s="13"/>
      <c r="O68" s="13"/>
      <c r="P68" s="50"/>
      <c r="R68" s="275"/>
      <c r="S68" s="275"/>
      <c r="T68" s="275"/>
      <c r="U68" s="275"/>
      <c r="V68" s="275"/>
      <c r="W68" s="275"/>
      <c r="X68" s="275"/>
      <c r="Y68" s="275"/>
      <c r="Z68" s="275"/>
      <c r="AA68" s="275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277"/>
      <c r="AY68" s="277"/>
      <c r="AZ68" s="277"/>
      <c r="BA68" s="277"/>
      <c r="BB68" s="277"/>
      <c r="BC68" s="277"/>
      <c r="BD68" s="277"/>
      <c r="BE68" s="277"/>
    </row>
    <row r="69" spans="2:57" s="54" customFormat="1" ht="37.15" hidden="1" customHeight="1" thickBot="1">
      <c r="B69" s="480"/>
      <c r="C69" s="478"/>
      <c r="D69" s="441"/>
      <c r="E69" s="442"/>
      <c r="F69" s="443"/>
      <c r="G69" s="444"/>
      <c r="H69" s="445"/>
      <c r="I69" s="446"/>
      <c r="J69" s="447"/>
      <c r="K69" s="448"/>
      <c r="L69" s="456"/>
      <c r="M69" s="454"/>
      <c r="N69" s="13"/>
      <c r="O69" s="13"/>
      <c r="P69" s="50"/>
      <c r="R69" s="275"/>
      <c r="S69" s="275"/>
      <c r="T69" s="275"/>
      <c r="U69" s="275"/>
      <c r="V69" s="275"/>
      <c r="W69" s="275"/>
      <c r="X69" s="275"/>
      <c r="Y69" s="275"/>
      <c r="Z69" s="275"/>
      <c r="AA69" s="275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277"/>
      <c r="AY69" s="277"/>
      <c r="AZ69" s="277"/>
      <c r="BA69" s="277"/>
      <c r="BB69" s="277"/>
      <c r="BC69" s="277"/>
      <c r="BD69" s="277"/>
      <c r="BE69" s="277"/>
    </row>
    <row r="70" spans="2:57" s="54" customFormat="1" ht="16.5" hidden="1" customHeight="1" thickBot="1">
      <c r="B70" s="436"/>
      <c r="C70" s="422"/>
      <c r="D70" s="423"/>
      <c r="E70" s="424"/>
      <c r="F70" s="425"/>
      <c r="G70" s="426"/>
      <c r="H70" s="427"/>
      <c r="I70" s="437"/>
      <c r="J70" s="438"/>
      <c r="K70" s="428"/>
      <c r="L70" s="439"/>
      <c r="M70" s="421"/>
      <c r="N70" s="13"/>
      <c r="O70" s="13"/>
      <c r="P70" s="50"/>
      <c r="R70" s="275"/>
      <c r="S70" s="275"/>
      <c r="T70" s="275"/>
      <c r="U70" s="275"/>
      <c r="V70" s="275"/>
      <c r="W70" s="275"/>
      <c r="X70" s="275"/>
      <c r="Y70" s="275"/>
      <c r="Z70" s="275"/>
      <c r="AA70" s="275"/>
      <c r="AB70" s="414"/>
      <c r="AC70" s="414"/>
      <c r="AD70" s="414"/>
      <c r="AE70" s="414"/>
      <c r="AF70" s="414"/>
      <c r="AG70" s="414"/>
      <c r="AH70" s="414"/>
      <c r="AI70" s="414"/>
      <c r="AJ70" s="414"/>
      <c r="AK70" s="414"/>
      <c r="AL70" s="414"/>
      <c r="AM70" s="414"/>
      <c r="AN70" s="414"/>
      <c r="AO70" s="414"/>
      <c r="AP70" s="414"/>
      <c r="AQ70" s="414"/>
      <c r="AR70" s="414"/>
      <c r="AS70" s="414"/>
      <c r="AT70" s="414"/>
      <c r="AU70" s="414"/>
      <c r="AV70" s="414"/>
      <c r="AW70" s="414"/>
    </row>
    <row r="71" spans="2:57" s="54" customFormat="1" ht="37.15" hidden="1" customHeight="1" thickBot="1">
      <c r="B71" s="455"/>
      <c r="C71" s="440"/>
      <c r="D71" s="441"/>
      <c r="E71" s="442"/>
      <c r="F71" s="443"/>
      <c r="G71" s="444"/>
      <c r="H71" s="445"/>
      <c r="I71" s="446"/>
      <c r="J71" s="447"/>
      <c r="K71" s="448"/>
      <c r="L71" s="456"/>
      <c r="M71" s="453"/>
      <c r="N71" s="13"/>
      <c r="O71" s="13"/>
      <c r="P71" s="50"/>
      <c r="R71" s="275"/>
      <c r="S71" s="275"/>
      <c r="T71" s="275"/>
      <c r="U71" s="275"/>
      <c r="V71" s="275"/>
      <c r="W71" s="275"/>
      <c r="X71" s="275"/>
      <c r="Y71" s="275"/>
      <c r="Z71" s="275"/>
      <c r="AA71" s="275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277"/>
      <c r="AY71" s="277"/>
      <c r="AZ71" s="277"/>
      <c r="BA71" s="277"/>
      <c r="BB71" s="277"/>
      <c r="BC71" s="277"/>
      <c r="BD71" s="277"/>
      <c r="BE71" s="277"/>
    </row>
    <row r="72" spans="2:57" s="54" customFormat="1" ht="37.15" customHeight="1">
      <c r="B72" s="465"/>
      <c r="C72" s="429"/>
      <c r="D72" s="459"/>
      <c r="E72" s="460"/>
      <c r="F72" s="461"/>
      <c r="G72" s="459"/>
      <c r="H72" s="462"/>
      <c r="I72" s="462"/>
      <c r="J72" s="462"/>
      <c r="K72" s="463"/>
      <c r="L72" s="464"/>
      <c r="M72" s="50"/>
      <c r="N72" s="13"/>
      <c r="O72" s="13"/>
      <c r="P72" s="50"/>
      <c r="R72" s="275"/>
      <c r="S72" s="275"/>
      <c r="T72" s="275"/>
      <c r="U72" s="275"/>
      <c r="V72" s="275"/>
      <c r="W72" s="275"/>
      <c r="X72" s="275"/>
      <c r="Y72" s="275"/>
      <c r="Z72" s="275"/>
      <c r="AA72" s="275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277"/>
      <c r="AY72" s="277"/>
      <c r="AZ72" s="277"/>
      <c r="BA72" s="277"/>
      <c r="BB72" s="277"/>
      <c r="BC72" s="277"/>
      <c r="BD72" s="277"/>
      <c r="BE72" s="277"/>
    </row>
    <row r="73" spans="2:57" ht="18" customHeight="1" thickBot="1">
      <c r="B73" s="59"/>
      <c r="C73" s="30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 t="s">
        <v>41</v>
      </c>
      <c r="O73" s="56"/>
      <c r="P73" s="60"/>
    </row>
    <row r="74" spans="2:57" ht="15.75" thickBot="1">
      <c r="B74" s="498" t="s">
        <v>55</v>
      </c>
      <c r="C74" s="499"/>
      <c r="D74" s="499"/>
      <c r="E74" s="499"/>
      <c r="F74" s="500"/>
      <c r="G74" s="498" t="s">
        <v>56</v>
      </c>
      <c r="H74" s="499"/>
      <c r="I74" s="499"/>
      <c r="J74" s="500"/>
      <c r="K74" s="498" t="s">
        <v>51</v>
      </c>
      <c r="L74" s="499"/>
      <c r="M74" s="499"/>
      <c r="N74" s="501"/>
      <c r="O74" s="56"/>
      <c r="P74" s="50"/>
    </row>
    <row r="75" spans="2:57" ht="15">
      <c r="B75" s="61" t="s">
        <v>17</v>
      </c>
      <c r="C75" s="62" t="s">
        <v>36</v>
      </c>
      <c r="D75" s="62" t="s">
        <v>37</v>
      </c>
      <c r="E75" s="62" t="s">
        <v>38</v>
      </c>
      <c r="F75" s="63" t="s">
        <v>39</v>
      </c>
      <c r="G75" s="62" t="s">
        <v>36</v>
      </c>
      <c r="H75" s="62" t="s">
        <v>37</v>
      </c>
      <c r="I75" s="62" t="s">
        <v>38</v>
      </c>
      <c r="J75" s="63" t="s">
        <v>39</v>
      </c>
      <c r="K75" s="62" t="s">
        <v>36</v>
      </c>
      <c r="L75" s="62" t="s">
        <v>37</v>
      </c>
      <c r="M75" s="62" t="s">
        <v>38</v>
      </c>
      <c r="N75" s="63" t="s">
        <v>39</v>
      </c>
      <c r="O75" s="56"/>
      <c r="P75" s="64"/>
    </row>
    <row r="76" spans="2:57" ht="15">
      <c r="B76" s="29" t="s">
        <v>6</v>
      </c>
      <c r="C76" s="65">
        <f>L63</f>
        <v>4.9537152864648517</v>
      </c>
      <c r="D76" s="76">
        <v>5.2015250544662273</v>
      </c>
      <c r="E76" s="76">
        <v>6.3942077441936389</v>
      </c>
      <c r="F76" s="66">
        <v>4.8</v>
      </c>
      <c r="G76" s="65">
        <f>[18]October_2026!$I$11</f>
        <v>5.5779930185734461</v>
      </c>
      <c r="H76" s="476">
        <v>5.9479747077972824</v>
      </c>
      <c r="I76" s="476">
        <v>6.5080919887141917</v>
      </c>
      <c r="J76" s="66">
        <v>4.8</v>
      </c>
      <c r="K76" s="67">
        <f>AVERAGE(K63)</f>
        <v>1.3329824561403507</v>
      </c>
      <c r="L76" s="194">
        <v>0.8331140350877192</v>
      </c>
      <c r="M76" s="194">
        <v>0.54990997457943147</v>
      </c>
      <c r="N76" s="68">
        <v>1</v>
      </c>
      <c r="O76" s="56"/>
      <c r="P76" s="69"/>
    </row>
    <row r="77" spans="2:57" ht="15">
      <c r="B77" s="33" t="s">
        <v>9</v>
      </c>
      <c r="C77" s="65"/>
      <c r="D77" s="76"/>
      <c r="E77" s="76">
        <v>6.034529382425224</v>
      </c>
      <c r="F77" s="66">
        <v>4.8</v>
      </c>
      <c r="G77" s="65"/>
      <c r="H77" s="76"/>
      <c r="I77" s="76">
        <v>5.9275658832823668</v>
      </c>
      <c r="J77" s="66">
        <v>4.8</v>
      </c>
      <c r="K77" s="67"/>
      <c r="L77" s="194"/>
      <c r="M77" s="194">
        <v>0.68249290906882254</v>
      </c>
      <c r="N77" s="68">
        <v>1</v>
      </c>
      <c r="P77" s="69"/>
    </row>
    <row r="78" spans="2:57" ht="15">
      <c r="B78" s="34" t="s">
        <v>40</v>
      </c>
      <c r="C78" s="65"/>
      <c r="D78" s="76"/>
      <c r="E78" s="76">
        <v>10.890214570112384</v>
      </c>
      <c r="F78" s="66">
        <v>5.5</v>
      </c>
      <c r="G78" s="65"/>
      <c r="H78" s="76"/>
      <c r="I78" s="76">
        <v>11.797659278069149</v>
      </c>
      <c r="J78" s="66">
        <v>5.5</v>
      </c>
      <c r="K78" s="67"/>
      <c r="L78" s="194"/>
      <c r="M78" s="194">
        <v>0.35370190356844494</v>
      </c>
      <c r="N78" s="68">
        <v>1</v>
      </c>
      <c r="P78" s="69"/>
    </row>
    <row r="79" spans="2:57" ht="15">
      <c r="B79" s="22" t="s">
        <v>33</v>
      </c>
      <c r="C79" s="65"/>
      <c r="D79" s="76">
        <v>2.6160971335586405</v>
      </c>
      <c r="E79" s="76">
        <v>4.6053599467161712</v>
      </c>
      <c r="F79" s="66">
        <v>3.3</v>
      </c>
      <c r="G79" s="65"/>
      <c r="H79" s="76">
        <v>4.0562064167659644</v>
      </c>
      <c r="I79" s="76">
        <v>4.7835858167498584</v>
      </c>
      <c r="J79" s="66">
        <v>3.3</v>
      </c>
      <c r="K79" s="67"/>
      <c r="L79" s="194">
        <v>1.3649122807017544</v>
      </c>
      <c r="M79" s="194">
        <v>0.83244019138755987</v>
      </c>
      <c r="N79" s="68">
        <v>1</v>
      </c>
      <c r="P79" s="69"/>
    </row>
    <row r="80" spans="2:57" ht="15">
      <c r="B80" s="35" t="s">
        <v>164</v>
      </c>
      <c r="C80" s="65"/>
      <c r="D80" s="76"/>
      <c r="E80" s="76"/>
      <c r="F80" s="66">
        <v>3.3</v>
      </c>
      <c r="G80" s="282"/>
      <c r="H80" s="76"/>
      <c r="I80" s="76"/>
      <c r="J80" s="66">
        <v>3</v>
      </c>
      <c r="K80" s="67"/>
      <c r="L80" s="194"/>
      <c r="M80" s="194"/>
      <c r="N80" s="68">
        <v>1</v>
      </c>
      <c r="P80" s="69"/>
    </row>
    <row r="81" spans="2:16" ht="15">
      <c r="B81" s="36" t="s">
        <v>15</v>
      </c>
      <c r="C81" s="65"/>
      <c r="D81" s="76"/>
      <c r="E81" s="76">
        <v>6.3233965672990236</v>
      </c>
      <c r="F81" s="70">
        <v>5.5</v>
      </c>
      <c r="G81" s="65"/>
      <c r="H81" s="76"/>
      <c r="I81" s="76">
        <v>7.9667553186446929</v>
      </c>
      <c r="J81" s="66">
        <v>5.5</v>
      </c>
      <c r="K81" s="67"/>
      <c r="L81" s="194"/>
      <c r="M81" s="194">
        <v>0.5883625730994152</v>
      </c>
      <c r="N81" s="68">
        <v>1</v>
      </c>
      <c r="P81" s="69"/>
    </row>
    <row r="82" spans="2:16" ht="15">
      <c r="B82" s="37" t="s">
        <v>16</v>
      </c>
      <c r="C82" s="481"/>
      <c r="D82" s="76"/>
      <c r="E82" s="76">
        <v>3.9973372218347856</v>
      </c>
      <c r="F82" s="66">
        <v>3.3</v>
      </c>
      <c r="G82" s="282"/>
      <c r="H82" s="76"/>
      <c r="I82" s="76">
        <v>5.1096183510504902</v>
      </c>
      <c r="J82" s="66">
        <v>3.3</v>
      </c>
      <c r="K82" s="67"/>
      <c r="L82" s="194"/>
      <c r="M82" s="194">
        <v>0.89057130004498408</v>
      </c>
      <c r="N82" s="71">
        <v>1</v>
      </c>
      <c r="P82" s="69"/>
    </row>
    <row r="83" spans="2:16" ht="15.75" thickBot="1">
      <c r="B83" s="38" t="s">
        <v>163</v>
      </c>
      <c r="C83" s="65"/>
      <c r="D83" s="76"/>
      <c r="E83" s="76"/>
      <c r="F83" s="66">
        <v>7.5</v>
      </c>
      <c r="G83" s="282"/>
      <c r="H83" s="76"/>
      <c r="I83" s="76"/>
      <c r="J83" s="66">
        <v>7.5</v>
      </c>
      <c r="K83" s="67"/>
      <c r="L83" s="194"/>
      <c r="M83" s="194"/>
      <c r="N83" s="71">
        <v>1</v>
      </c>
      <c r="P83" s="69"/>
    </row>
    <row r="84" spans="2:16" ht="15.75" thickBot="1">
      <c r="B84" s="413" t="s">
        <v>161</v>
      </c>
      <c r="C84" s="65"/>
      <c r="D84" s="76"/>
      <c r="E84" s="76"/>
      <c r="F84" s="66">
        <v>4.8</v>
      </c>
      <c r="G84" s="282"/>
      <c r="H84" s="76"/>
      <c r="I84" s="76"/>
      <c r="J84" s="66">
        <v>4.8</v>
      </c>
      <c r="K84" s="67"/>
      <c r="L84" s="194"/>
      <c r="M84" s="194"/>
      <c r="N84" s="71">
        <v>1</v>
      </c>
      <c r="O84" s="74"/>
      <c r="P84" s="75"/>
    </row>
    <row r="85" spans="2:16" ht="15">
      <c r="D85" s="76">
        <v>4.513507211618534</v>
      </c>
      <c r="E85" s="76">
        <v>6.3192809236064278</v>
      </c>
      <c r="F85" s="341">
        <v>5.5</v>
      </c>
      <c r="H85" s="76">
        <v>5.3009613651321894</v>
      </c>
      <c r="I85" s="76">
        <v>6.621228037011492</v>
      </c>
      <c r="J85" s="341">
        <v>5.5</v>
      </c>
      <c r="L85" s="194">
        <v>0.93947368421052635</v>
      </c>
      <c r="M85" s="194">
        <v>0.60442262108138456</v>
      </c>
      <c r="N85" s="386">
        <v>1</v>
      </c>
    </row>
  </sheetData>
  <mergeCells count="51">
    <mergeCell ref="M61:M62"/>
    <mergeCell ref="B74:F74"/>
    <mergeCell ref="G74:J74"/>
    <mergeCell ref="K74:N74"/>
    <mergeCell ref="G61:G62"/>
    <mergeCell ref="H61:H62"/>
    <mergeCell ref="I61:I62"/>
    <mergeCell ref="J61:J62"/>
    <mergeCell ref="K61:K62"/>
    <mergeCell ref="L61:L62"/>
    <mergeCell ref="F61:F62"/>
    <mergeCell ref="D56:E56"/>
    <mergeCell ref="B61:B62"/>
    <mergeCell ref="C61:C62"/>
    <mergeCell ref="D61:D62"/>
    <mergeCell ref="E61:E62"/>
    <mergeCell ref="B46:B55"/>
    <mergeCell ref="D46:E47"/>
    <mergeCell ref="J46:K46"/>
    <mergeCell ref="L47:N47"/>
    <mergeCell ref="D48:E49"/>
    <mergeCell ref="D50:E51"/>
    <mergeCell ref="D52:E53"/>
    <mergeCell ref="D54:E55"/>
    <mergeCell ref="I32:N32"/>
    <mergeCell ref="D33:E33"/>
    <mergeCell ref="B34:B45"/>
    <mergeCell ref="D34:E35"/>
    <mergeCell ref="D36:E37"/>
    <mergeCell ref="D38:E39"/>
    <mergeCell ref="D40:E41"/>
    <mergeCell ref="D42:E43"/>
    <mergeCell ref="D44:E45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56:B57">
    <cfRule type="cellIs" dxfId="1536" priority="114" operator="notBetween">
      <formula>#REF!</formula>
      <formula>#REF!</formula>
    </cfRule>
  </conditionalFormatting>
  <conditionalFormatting sqref="C60">
    <cfRule type="cellIs" dxfId="1535" priority="196" stopIfTrue="1" operator="lessThan">
      <formula>96</formula>
    </cfRule>
    <cfRule type="cellIs" dxfId="1534" priority="197" stopIfTrue="1" operator="greaterThan">
      <formula>100</formula>
    </cfRule>
  </conditionalFormatting>
  <conditionalFormatting sqref="C76:C77">
    <cfRule type="cellIs" dxfId="1533" priority="78" stopIfTrue="1" operator="lessThanOrEqual">
      <formula>0</formula>
    </cfRule>
    <cfRule type="cellIs" dxfId="1532" priority="77" stopIfTrue="1" operator="greaterThan">
      <formula>$F76</formula>
    </cfRule>
    <cfRule type="cellIs" dxfId="1531" priority="79" stopIfTrue="1" operator="greaterThan">
      <formula>$F76</formula>
    </cfRule>
    <cfRule type="cellIs" dxfId="1530" priority="80" stopIfTrue="1" operator="lessThanOrEqual">
      <formula>0</formula>
    </cfRule>
  </conditionalFormatting>
  <conditionalFormatting sqref="C78:C80 C82:C84">
    <cfRule type="cellIs" dxfId="1529" priority="86" stopIfTrue="1" operator="greaterThan">
      <formula>$F81</formula>
    </cfRule>
  </conditionalFormatting>
  <conditionalFormatting sqref="C78:C80">
    <cfRule type="cellIs" dxfId="1528" priority="87" stopIfTrue="1" operator="lessThanOrEqual">
      <formula>0</formula>
    </cfRule>
  </conditionalFormatting>
  <conditionalFormatting sqref="C81">
    <cfRule type="cellIs" dxfId="1527" priority="198" stopIfTrue="1" operator="greaterThan">
      <formula>$F76</formula>
    </cfRule>
    <cfRule type="cellIs" dxfId="1526" priority="199" stopIfTrue="1" operator="lessThanOrEqual">
      <formula>0</formula>
    </cfRule>
    <cfRule type="cellIs" dxfId="1525" priority="200" stopIfTrue="1" operator="greaterThan">
      <formula>$F76</formula>
    </cfRule>
    <cfRule type="cellIs" dxfId="1524" priority="201" stopIfTrue="1" operator="lessThanOrEqual">
      <formula>0</formula>
    </cfRule>
  </conditionalFormatting>
  <conditionalFormatting sqref="C82:C84">
    <cfRule type="cellIs" dxfId="1523" priority="88" stopIfTrue="1" operator="lessThanOrEqual">
      <formula>0</formula>
    </cfRule>
  </conditionalFormatting>
  <conditionalFormatting sqref="C87:C91">
    <cfRule type="cellIs" dxfId="1522" priority="188" stopIfTrue="1" operator="lessThanOrEqual">
      <formula>0</formula>
    </cfRule>
  </conditionalFormatting>
  <conditionalFormatting sqref="C88:C91">
    <cfRule type="cellIs" dxfId="1521" priority="187" stopIfTrue="1" operator="greaterThan">
      <formula>$F$87</formula>
    </cfRule>
  </conditionalFormatting>
  <conditionalFormatting sqref="C93">
    <cfRule type="cellIs" dxfId="1520" priority="190" stopIfTrue="1" operator="lessThanOrEqual">
      <formula>0</formula>
    </cfRule>
    <cfRule type="cellIs" dxfId="1519" priority="189" stopIfTrue="1" operator="greaterThan">
      <formula>$F$87</formula>
    </cfRule>
  </conditionalFormatting>
  <conditionalFormatting sqref="C81:D81">
    <cfRule type="cellIs" dxfId="1518" priority="75" stopIfTrue="1" operator="greaterThan">
      <formula>$J81</formula>
    </cfRule>
    <cfRule type="cellIs" dxfId="1517" priority="76" stopIfTrue="1" operator="lessThanOrEqual">
      <formula>0</formula>
    </cfRule>
  </conditionalFormatting>
  <conditionalFormatting sqref="C87:D87 D89:D95">
    <cfRule type="cellIs" dxfId="1516" priority="182" stopIfTrue="1" operator="greaterThan">
      <formula>4.5</formula>
    </cfRule>
  </conditionalFormatting>
  <conditionalFormatting sqref="D56:D57">
    <cfRule type="cellIs" dxfId="1515" priority="115" operator="notBetween">
      <formula>#REF!</formula>
      <formula>#REF!</formula>
    </cfRule>
  </conditionalFormatting>
  <conditionalFormatting sqref="D76:D80 D82:D83">
    <cfRule type="cellIs" dxfId="1514" priority="85" stopIfTrue="1" operator="lessThanOrEqual">
      <formula>0</formula>
    </cfRule>
  </conditionalFormatting>
  <conditionalFormatting sqref="D76:D80 D82:D85">
    <cfRule type="cellIs" dxfId="1513" priority="82" stopIfTrue="1" operator="greaterThan">
      <formula>$F76</formula>
    </cfRule>
    <cfRule type="cellIs" dxfId="1512" priority="81" stopIfTrue="1" operator="lessThanOrEqual">
      <formula>0</formula>
    </cfRule>
  </conditionalFormatting>
  <conditionalFormatting sqref="D84:D85">
    <cfRule type="cellIs" dxfId="1511" priority="83" stopIfTrue="1" operator="lessThanOrEqual">
      <formula>0</formula>
    </cfRule>
  </conditionalFormatting>
  <conditionalFormatting sqref="D85">
    <cfRule type="cellIs" dxfId="1510" priority="84" stopIfTrue="1" operator="lessThanOrEqual">
      <formula>0</formula>
    </cfRule>
  </conditionalFormatting>
  <conditionalFormatting sqref="D87 D89:D95">
    <cfRule type="cellIs" dxfId="1509" priority="183" stopIfTrue="1" operator="lessThanOrEqual">
      <formula>0</formula>
    </cfRule>
  </conditionalFormatting>
  <conditionalFormatting sqref="D88">
    <cfRule type="cellIs" dxfId="1508" priority="174" stopIfTrue="1" operator="greaterThan">
      <formula>$F$87</formula>
    </cfRule>
    <cfRule type="cellIs" dxfId="1507" priority="175" stopIfTrue="1" operator="lessThanOrEqual">
      <formula>0</formula>
    </cfRule>
  </conditionalFormatting>
  <conditionalFormatting sqref="E10:E31">
    <cfRule type="cellIs" dxfId="1506" priority="18" operator="lessThan">
      <formula>48</formula>
    </cfRule>
  </conditionalFormatting>
  <conditionalFormatting sqref="E59 E60:F60">
    <cfRule type="cellIs" dxfId="1505" priority="179" stopIfTrue="1" operator="greaterThan">
      <formula>100</formula>
    </cfRule>
  </conditionalFormatting>
  <conditionalFormatting sqref="E60">
    <cfRule type="cellIs" dxfId="1504" priority="177" stopIfTrue="1" operator="greaterThan">
      <formula>100</formula>
    </cfRule>
    <cfRule type="cellIs" dxfId="1503" priority="176" stopIfTrue="1" operator="lessThan">
      <formula>96.8</formula>
    </cfRule>
  </conditionalFormatting>
  <conditionalFormatting sqref="E76:E84">
    <cfRule type="cellIs" dxfId="1502" priority="48" stopIfTrue="1" operator="lessThanOrEqual">
      <formula>0</formula>
    </cfRule>
  </conditionalFormatting>
  <conditionalFormatting sqref="E76:E85">
    <cfRule type="cellIs" dxfId="1501" priority="50" stopIfTrue="1" operator="lessThanOrEqual">
      <formula>0</formula>
    </cfRule>
    <cfRule type="cellIs" dxfId="1500" priority="49" stopIfTrue="1" operator="greaterThan">
      <formula>$F76</formula>
    </cfRule>
  </conditionalFormatting>
  <conditionalFormatting sqref="E85">
    <cfRule type="cellIs" dxfId="1499" priority="51" stopIfTrue="1" operator="lessThanOrEqual">
      <formula>0</formula>
    </cfRule>
  </conditionalFormatting>
  <conditionalFormatting sqref="E87:E95">
    <cfRule type="cellIs" dxfId="1498" priority="168" stopIfTrue="1" operator="greaterThan">
      <formula>4.5</formula>
    </cfRule>
    <cfRule type="cellIs" dxfId="1497" priority="169" stopIfTrue="1" operator="lessThanOrEqual">
      <formula>0</formula>
    </cfRule>
  </conditionalFormatting>
  <conditionalFormatting sqref="E60:F60 E59">
    <cfRule type="cellIs" dxfId="1496" priority="178" stopIfTrue="1" operator="lessThan">
      <formula>96.5</formula>
    </cfRule>
  </conditionalFormatting>
  <conditionalFormatting sqref="F10:F31">
    <cfRule type="cellIs" dxfId="1495" priority="19" operator="greaterThan">
      <formula>60</formula>
    </cfRule>
  </conditionalFormatting>
  <conditionalFormatting sqref="F60">
    <cfRule type="cellIs" dxfId="1494" priority="195" stopIfTrue="1" operator="greaterThan">
      <formula>100</formula>
    </cfRule>
    <cfRule type="cellIs" dxfId="1493" priority="194" stopIfTrue="1" operator="lessThan">
      <formula>96.8</formula>
    </cfRule>
  </conditionalFormatting>
  <conditionalFormatting sqref="G22:G26">
    <cfRule type="expression" dxfId="1492" priority="20">
      <formula>IF(+(IF(G22&lt;#REF!,0,IF(G22&gt;#REF!,0,1)))=0,1)</formula>
    </cfRule>
  </conditionalFormatting>
  <conditionalFormatting sqref="G31">
    <cfRule type="expression" dxfId="1491" priority="23">
      <formula>IF(+(IF(G31&lt;S31,0,IF(G31&gt;T31,0,1)))=0,1)</formula>
    </cfRule>
  </conditionalFormatting>
  <conditionalFormatting sqref="G76:G79 F85">
    <cfRule type="cellIs" dxfId="1490" priority="57" stopIfTrue="1" operator="greaterThan">
      <formula>$F76</formula>
    </cfRule>
    <cfRule type="cellIs" dxfId="1489" priority="58" stopIfTrue="1" operator="lessThanOrEqual">
      <formula>0</formula>
    </cfRule>
  </conditionalFormatting>
  <conditionalFormatting sqref="G78:G79">
    <cfRule type="cellIs" dxfId="1488" priority="44" stopIfTrue="1" operator="lessThanOrEqual">
      <formula>0</formula>
    </cfRule>
    <cfRule type="cellIs" dxfId="1487" priority="43" stopIfTrue="1" operator="greaterThan">
      <formula>$F78</formula>
    </cfRule>
  </conditionalFormatting>
  <conditionalFormatting sqref="G80:G84">
    <cfRule type="cellIs" dxfId="1486" priority="60" stopIfTrue="1" operator="lessThanOrEqual">
      <formula>0</formula>
    </cfRule>
    <cfRule type="cellIs" dxfId="1485" priority="59" stopIfTrue="1" operator="greaterThan">
      <formula>$J80</formula>
    </cfRule>
  </conditionalFormatting>
  <conditionalFormatting sqref="G81">
    <cfRule type="cellIs" dxfId="1484" priority="203" stopIfTrue="1" operator="lessThanOrEqual">
      <formula>0</formula>
    </cfRule>
    <cfRule type="cellIs" dxfId="1483" priority="202" stopIfTrue="1" operator="greaterThan">
      <formula>$F76</formula>
    </cfRule>
  </conditionalFormatting>
  <conditionalFormatting sqref="G89:G94 C92 C94">
    <cfRule type="cellIs" dxfId="1482" priority="191" stopIfTrue="1" operator="greaterThan">
      <formula>4.5</formula>
    </cfRule>
    <cfRule type="cellIs" dxfId="1481" priority="192" stopIfTrue="1" operator="lessThanOrEqual">
      <formula>0</formula>
    </cfRule>
  </conditionalFormatting>
  <conditionalFormatting sqref="G10:H15 M10:N30 G30">
    <cfRule type="expression" dxfId="1480" priority="24">
      <formula>IF(+(IF(G10&lt;#REF!,0,IF(G10&gt;#REF!,0,1)))=0,1)</formula>
    </cfRule>
  </conditionalFormatting>
  <conditionalFormatting sqref="G88:H88">
    <cfRule type="cellIs" dxfId="1479" priority="173" stopIfTrue="1" operator="lessThanOrEqual">
      <formula>0</formula>
    </cfRule>
    <cfRule type="cellIs" dxfId="1478" priority="172" stopIfTrue="1" operator="greaterThan">
      <formula>$F$87</formula>
    </cfRule>
  </conditionalFormatting>
  <conditionalFormatting sqref="H16:H31">
    <cfRule type="expression" dxfId="1477" priority="11">
      <formula>IF(+(IF(H16&lt;#REF!,0,IF(H16&gt;#REF!,0,1)))=0,1)</formula>
    </cfRule>
  </conditionalFormatting>
  <conditionalFormatting sqref="H45:H46 H59">
    <cfRule type="cellIs" dxfId="1476" priority="170" stopIfTrue="1" operator="greaterThan">
      <formula>0</formula>
    </cfRule>
  </conditionalFormatting>
  <conditionalFormatting sqref="H63">
    <cfRule type="cellIs" dxfId="1475" priority="62" stopIfTrue="1" operator="lessThanOrEqual">
      <formula>0</formula>
    </cfRule>
    <cfRule type="cellIs" dxfId="1474" priority="63" stopIfTrue="1" operator="greaterThan">
      <formula>$F$76</formula>
    </cfRule>
    <cfRule type="cellIs" dxfId="1473" priority="71" stopIfTrue="1" operator="greaterThan">
      <formula>$F$79</formula>
    </cfRule>
    <cfRule type="cellIs" dxfId="1472" priority="72" stopIfTrue="1" operator="lessThanOrEqual">
      <formula>0</formula>
    </cfRule>
    <cfRule type="cellIs" dxfId="1471" priority="73" stopIfTrue="1" operator="greaterThan">
      <formula>$F$77</formula>
    </cfRule>
  </conditionalFormatting>
  <conditionalFormatting sqref="H63:H64">
    <cfRule type="cellIs" dxfId="1470" priority="74" stopIfTrue="1" operator="lessThanOrEqual">
      <formula>0</formula>
    </cfRule>
  </conditionalFormatting>
  <conditionalFormatting sqref="H64 H66:H67">
    <cfRule type="cellIs" dxfId="1469" priority="100" stopIfTrue="1" operator="lessThanOrEqual">
      <formula>0</formula>
    </cfRule>
  </conditionalFormatting>
  <conditionalFormatting sqref="H64">
    <cfRule type="cellIs" dxfId="1468" priority="99" stopIfTrue="1" operator="greaterThan">
      <formula>$F$77</formula>
    </cfRule>
    <cfRule type="cellIs" dxfId="1467" priority="98" stopIfTrue="1" operator="lessThanOrEqual">
      <formula>0</formula>
    </cfRule>
    <cfRule type="cellIs" dxfId="1466" priority="89" stopIfTrue="1" operator="greaterThan">
      <formula>$F$76</formula>
    </cfRule>
    <cfRule type="cellIs" dxfId="1465" priority="97" stopIfTrue="1" operator="greaterThan">
      <formula>$F$79</formula>
    </cfRule>
  </conditionalFormatting>
  <conditionalFormatting sqref="H65">
    <cfRule type="cellIs" dxfId="1464" priority="40" stopIfTrue="1" operator="greaterThan">
      <formula>$F$79</formula>
    </cfRule>
    <cfRule type="cellIs" dxfId="1463" priority="41" stopIfTrue="1" operator="lessThanOrEqual">
      <formula>0</formula>
    </cfRule>
    <cfRule type="cellIs" dxfId="1462" priority="38" stopIfTrue="1" operator="greaterThan">
      <formula>$F$81</formula>
    </cfRule>
    <cfRule type="cellIs" dxfId="1461" priority="39" stopIfTrue="1" operator="lessThanOrEqual">
      <formula>0</formula>
    </cfRule>
    <cfRule type="cellIs" dxfId="1460" priority="29" stopIfTrue="1" operator="lessThanOrEqual">
      <formula>0</formula>
    </cfRule>
    <cfRule type="cellIs" dxfId="1459" priority="30" stopIfTrue="1" operator="greaterThan">
      <formula>$F$78</formula>
    </cfRule>
  </conditionalFormatting>
  <conditionalFormatting sqref="H66:H67">
    <cfRule type="cellIs" dxfId="1458" priority="113" stopIfTrue="1" operator="lessThanOrEqual">
      <formula>0</formula>
    </cfRule>
    <cfRule type="cellIs" dxfId="1457" priority="110" stopIfTrue="1" operator="greaterThan">
      <formula>$F$79</formula>
    </cfRule>
    <cfRule type="cellIs" dxfId="1456" priority="111" stopIfTrue="1" operator="lessThanOrEqual">
      <formula>0</formula>
    </cfRule>
    <cfRule type="cellIs" dxfId="1455" priority="102" stopIfTrue="1" operator="greaterThan">
      <formula>$F$76</formula>
    </cfRule>
    <cfRule type="cellIs" dxfId="1454" priority="112" stopIfTrue="1" operator="greaterThan">
      <formula>$F$77</formula>
    </cfRule>
  </conditionalFormatting>
  <conditionalFormatting sqref="H68:H69">
    <cfRule type="cellIs" dxfId="1453" priority="147" stopIfTrue="1" operator="lessThanOrEqual">
      <formula>0</formula>
    </cfRule>
    <cfRule type="cellIs" dxfId="1452" priority="138" stopIfTrue="1" operator="greaterThan">
      <formula>#REF!</formula>
    </cfRule>
    <cfRule type="cellIs" dxfId="1451" priority="137" stopIfTrue="1" operator="lessThanOrEqual">
      <formula>0</formula>
    </cfRule>
    <cfRule type="cellIs" dxfId="1450" priority="146" stopIfTrue="1" operator="greaterThan">
      <formula>#REF!</formula>
    </cfRule>
  </conditionalFormatting>
  <conditionalFormatting sqref="H70">
    <cfRule type="cellIs" dxfId="1449" priority="161" stopIfTrue="1" operator="lessThanOrEqual">
      <formula>0</formula>
    </cfRule>
    <cfRule type="cellIs" dxfId="1448" priority="158" stopIfTrue="1" operator="greaterThan">
      <formula>$F$47</formula>
    </cfRule>
    <cfRule type="cellIs" dxfId="1447" priority="159" stopIfTrue="1" operator="lessThanOrEqual">
      <formula>0</formula>
    </cfRule>
    <cfRule type="cellIs" dxfId="1446" priority="149" stopIfTrue="1" operator="lessThanOrEqual">
      <formula>0</formula>
    </cfRule>
    <cfRule type="cellIs" dxfId="1445" priority="160" stopIfTrue="1" operator="greaterThan">
      <formula>$F$45</formula>
    </cfRule>
    <cfRule type="cellIs" dxfId="1444" priority="150" stopIfTrue="1" operator="greaterThan">
      <formula>$F$44</formula>
    </cfRule>
  </conditionalFormatting>
  <conditionalFormatting sqref="H71:H72">
    <cfRule type="cellIs" dxfId="1443" priority="135" stopIfTrue="1" operator="lessThanOrEqual">
      <formula>0</formula>
    </cfRule>
    <cfRule type="cellIs" dxfId="1442" priority="134" stopIfTrue="1" operator="greaterThan">
      <formula>#REF!</formula>
    </cfRule>
    <cfRule type="cellIs" dxfId="1441" priority="125" stopIfTrue="1" operator="lessThanOrEqual">
      <formula>0</formula>
    </cfRule>
    <cfRule type="cellIs" dxfId="1440" priority="126" stopIfTrue="1" operator="greaterThan">
      <formula>#REF!</formula>
    </cfRule>
  </conditionalFormatting>
  <conditionalFormatting sqref="H87 H89:H95">
    <cfRule type="cellIs" dxfId="1439" priority="185" stopIfTrue="1" operator="lessThanOrEqual">
      <formula>0</formula>
    </cfRule>
    <cfRule type="cellIs" dxfId="1438" priority="184" stopIfTrue="1" operator="greaterThan">
      <formula>4.5</formula>
    </cfRule>
  </conditionalFormatting>
  <conditionalFormatting sqref="H63:I63">
    <cfRule type="cellIs" dxfId="1437" priority="64" stopIfTrue="1" operator="lessThanOrEqual">
      <formula>0</formula>
    </cfRule>
  </conditionalFormatting>
  <conditionalFormatting sqref="H63:I64 H66:I67">
    <cfRule type="cellIs" dxfId="1436" priority="61" stopIfTrue="1" operator="greaterThan">
      <formula>$F$78</formula>
    </cfRule>
  </conditionalFormatting>
  <conditionalFormatting sqref="H64:I64">
    <cfRule type="cellIs" dxfId="1435" priority="90" stopIfTrue="1" operator="lessThanOrEqual">
      <formula>0</formula>
    </cfRule>
  </conditionalFormatting>
  <conditionalFormatting sqref="H65:I65">
    <cfRule type="cellIs" dxfId="1434" priority="28" stopIfTrue="1" operator="greaterThan">
      <formula>$F$80</formula>
    </cfRule>
    <cfRule type="cellIs" dxfId="1433" priority="31" stopIfTrue="1" operator="lessThanOrEqual">
      <formula>0</formula>
    </cfRule>
  </conditionalFormatting>
  <conditionalFormatting sqref="H66:I67">
    <cfRule type="cellIs" dxfId="1432" priority="103" stopIfTrue="1" operator="lessThanOrEqual">
      <formula>0</formula>
    </cfRule>
  </conditionalFormatting>
  <conditionalFormatting sqref="H68:I69">
    <cfRule type="cellIs" dxfId="1431" priority="144" stopIfTrue="1" operator="greaterThan">
      <formula>#REF!</formula>
    </cfRule>
    <cfRule type="cellIs" dxfId="1430" priority="145" stopIfTrue="1" operator="lessThanOrEqual">
      <formula>0</formula>
    </cfRule>
    <cfRule type="cellIs" dxfId="1429" priority="139" stopIfTrue="1" operator="lessThanOrEqual">
      <formula>0</formula>
    </cfRule>
    <cfRule type="cellIs" dxfId="1428" priority="136" stopIfTrue="1" operator="greaterThan">
      <formula>#REF!</formula>
    </cfRule>
  </conditionalFormatting>
  <conditionalFormatting sqref="H70:I70">
    <cfRule type="cellIs" dxfId="1427" priority="148" stopIfTrue="1" operator="greaterThan">
      <formula>$F$46</formula>
    </cfRule>
    <cfRule type="cellIs" dxfId="1426" priority="151" stopIfTrue="1" operator="lessThanOrEqual">
      <formula>0</formula>
    </cfRule>
  </conditionalFormatting>
  <conditionalFormatting sqref="H71:I72">
    <cfRule type="cellIs" dxfId="1425" priority="132" stopIfTrue="1" operator="greaterThan">
      <formula>#REF!</formula>
    </cfRule>
    <cfRule type="cellIs" dxfId="1424" priority="124" stopIfTrue="1" operator="greaterThan">
      <formula>#REF!</formula>
    </cfRule>
    <cfRule type="cellIs" dxfId="1423" priority="133" stopIfTrue="1" operator="lessThanOrEqual">
      <formula>0</formula>
    </cfRule>
    <cfRule type="cellIs" dxfId="1422" priority="127" stopIfTrue="1" operator="lessThanOrEqual">
      <formula>0</formula>
    </cfRule>
  </conditionalFormatting>
  <conditionalFormatting sqref="H76:I83">
    <cfRule type="cellIs" dxfId="1421" priority="47" stopIfTrue="1" operator="lessThanOrEqual">
      <formula>0</formula>
    </cfRule>
    <cfRule type="cellIs" dxfId="1420" priority="46" stopIfTrue="1" operator="greaterThan">
      <formula>$J76</formula>
    </cfRule>
  </conditionalFormatting>
  <conditionalFormatting sqref="H84:I84">
    <cfRule type="cellIs" dxfId="1419" priority="54" operator="greaterThan">
      <formula>5.3</formula>
    </cfRule>
  </conditionalFormatting>
  <conditionalFormatting sqref="H85:I85">
    <cfRule type="cellIs" dxfId="1418" priority="52" stopIfTrue="1" operator="greaterThan">
      <formula>$J85</formula>
    </cfRule>
    <cfRule type="cellIs" dxfId="1417" priority="53" stopIfTrue="1" operator="lessThanOrEqual">
      <formula>0</formula>
    </cfRule>
  </conditionalFormatting>
  <conditionalFormatting sqref="I63">
    <cfRule type="cellIs" dxfId="1416" priority="70" stopIfTrue="1" operator="lessThanOrEqual">
      <formula>0</formula>
    </cfRule>
    <cfRule type="cellIs" dxfId="1415" priority="69" stopIfTrue="1" operator="greaterThan">
      <formula>$F$76</formula>
    </cfRule>
    <cfRule type="cellIs" dxfId="1414" priority="68" stopIfTrue="1" operator="lessThanOrEqual">
      <formula>0</formula>
    </cfRule>
    <cfRule type="cellIs" dxfId="1413" priority="67" stopIfTrue="1" operator="greaterThan">
      <formula>$F$78</formula>
    </cfRule>
    <cfRule type="cellIs" dxfId="1412" priority="66" stopIfTrue="1" operator="lessThanOrEqual">
      <formula>0</formula>
    </cfRule>
    <cfRule type="cellIs" dxfId="1411" priority="65" stopIfTrue="1" operator="greaterThan">
      <formula>$F$76</formula>
    </cfRule>
  </conditionalFormatting>
  <conditionalFormatting sqref="I64">
    <cfRule type="cellIs" dxfId="1410" priority="92" stopIfTrue="1" operator="lessThanOrEqual">
      <formula>0</formula>
    </cfRule>
    <cfRule type="cellIs" dxfId="1409" priority="96" stopIfTrue="1" operator="lessThanOrEqual">
      <formula>0</formula>
    </cfRule>
    <cfRule type="cellIs" dxfId="1408" priority="95" stopIfTrue="1" operator="greaterThan">
      <formula>$F$76</formula>
    </cfRule>
    <cfRule type="cellIs" dxfId="1407" priority="94" stopIfTrue="1" operator="lessThanOrEqual">
      <formula>0</formula>
    </cfRule>
    <cfRule type="cellIs" dxfId="1406" priority="93" stopIfTrue="1" operator="greaterThan">
      <formula>$F$78</formula>
    </cfRule>
    <cfRule type="cellIs" dxfId="1405" priority="91" stopIfTrue="1" operator="greaterThan">
      <formula>$F$76</formula>
    </cfRule>
  </conditionalFormatting>
  <conditionalFormatting sqref="I65">
    <cfRule type="cellIs" dxfId="1404" priority="33" stopIfTrue="1" operator="lessThanOrEqual">
      <formula>0</formula>
    </cfRule>
    <cfRule type="cellIs" dxfId="1403" priority="37" stopIfTrue="1" operator="lessThanOrEqual">
      <formula>0</formula>
    </cfRule>
    <cfRule type="cellIs" dxfId="1402" priority="35" stopIfTrue="1" operator="lessThanOrEqual">
      <formula>0</formula>
    </cfRule>
    <cfRule type="cellIs" dxfId="1401" priority="34" stopIfTrue="1" operator="greaterThan">
      <formula>$F$80</formula>
    </cfRule>
    <cfRule type="cellIs" dxfId="1400" priority="32" stopIfTrue="1" operator="greaterThan">
      <formula>$F$78</formula>
    </cfRule>
    <cfRule type="cellIs" dxfId="1399" priority="36" stopIfTrue="1" operator="greaterThan">
      <formula>$F$78</formula>
    </cfRule>
  </conditionalFormatting>
  <conditionalFormatting sqref="I66:I67">
    <cfRule type="cellIs" dxfId="1398" priority="106" stopIfTrue="1" operator="greaterThan">
      <formula>$F$78</formula>
    </cfRule>
    <cfRule type="cellIs" dxfId="1397" priority="109" stopIfTrue="1" operator="lessThanOrEqual">
      <formula>0</formula>
    </cfRule>
    <cfRule type="cellIs" dxfId="1396" priority="108" stopIfTrue="1" operator="greaterThan">
      <formula>$F$76</formula>
    </cfRule>
    <cfRule type="cellIs" dxfId="1395" priority="105" stopIfTrue="1" operator="lessThanOrEqual">
      <formula>0</formula>
    </cfRule>
    <cfRule type="cellIs" dxfId="1394" priority="107" stopIfTrue="1" operator="lessThanOrEqual">
      <formula>0</formula>
    </cfRule>
    <cfRule type="cellIs" dxfId="1393" priority="104" stopIfTrue="1" operator="greaterThan">
      <formula>$F$76</formula>
    </cfRule>
  </conditionalFormatting>
  <conditionalFormatting sqref="I68:I69">
    <cfRule type="cellIs" dxfId="1392" priority="143" stopIfTrue="1" operator="lessThanOrEqual">
      <formula>0</formula>
    </cfRule>
    <cfRule type="cellIs" dxfId="1391" priority="142" stopIfTrue="1" operator="greaterThan">
      <formula>#REF!</formula>
    </cfRule>
    <cfRule type="cellIs" dxfId="1390" priority="141" stopIfTrue="1" operator="lessThanOrEqual">
      <formula>0</formula>
    </cfRule>
    <cfRule type="cellIs" dxfId="1389" priority="140" stopIfTrue="1" operator="greaterThan">
      <formula>#REF!</formula>
    </cfRule>
  </conditionalFormatting>
  <conditionalFormatting sqref="I70">
    <cfRule type="cellIs" dxfId="1388" priority="157" stopIfTrue="1" operator="lessThanOrEqual">
      <formula>0</formula>
    </cfRule>
    <cfRule type="cellIs" dxfId="1387" priority="153" stopIfTrue="1" operator="lessThanOrEqual">
      <formula>0</formula>
    </cfRule>
    <cfRule type="cellIs" dxfId="1386" priority="155" stopIfTrue="1" operator="lessThanOrEqual">
      <formula>0</formula>
    </cfRule>
    <cfRule type="cellIs" dxfId="1385" priority="152" stopIfTrue="1" operator="greaterThan">
      <formula>$F$44</formula>
    </cfRule>
    <cfRule type="cellIs" dxfId="1384" priority="154" stopIfTrue="1" operator="greaterThan">
      <formula>$F$46</formula>
    </cfRule>
    <cfRule type="cellIs" dxfId="1383" priority="156" stopIfTrue="1" operator="greaterThan">
      <formula>$F$44</formula>
    </cfRule>
  </conditionalFormatting>
  <conditionalFormatting sqref="I71:I72">
    <cfRule type="cellIs" dxfId="1382" priority="128" stopIfTrue="1" operator="greaterThan">
      <formula>#REF!</formula>
    </cfRule>
    <cfRule type="cellIs" dxfId="1381" priority="129" stopIfTrue="1" operator="lessThanOrEqual">
      <formula>0</formula>
    </cfRule>
    <cfRule type="cellIs" dxfId="1380" priority="130" stopIfTrue="1" operator="greaterThan">
      <formula>#REF!</formula>
    </cfRule>
    <cfRule type="cellIs" dxfId="1379" priority="131" stopIfTrue="1" operator="lessThanOrEqual">
      <formula>0</formula>
    </cfRule>
  </conditionalFormatting>
  <conditionalFormatting sqref="I87:I95">
    <cfRule type="cellIs" dxfId="1378" priority="180" stopIfTrue="1" operator="greaterThan">
      <formula>4.5</formula>
    </cfRule>
    <cfRule type="cellIs" dxfId="1377" priority="181" stopIfTrue="1" operator="lessThanOrEqual">
      <formula>0</formula>
    </cfRule>
  </conditionalFormatting>
  <conditionalFormatting sqref="I10:J31">
    <cfRule type="cellIs" dxfId="1376" priority="12" operator="lessThan">
      <formula>97.9</formula>
    </cfRule>
  </conditionalFormatting>
  <conditionalFormatting sqref="J34:J36">
    <cfRule type="cellIs" dxfId="1375" priority="27" operator="lessThan">
      <formula>97.95</formula>
    </cfRule>
  </conditionalFormatting>
  <conditionalFormatting sqref="J35:J38">
    <cfRule type="cellIs" dxfId="1374" priority="162" operator="lessThan">
      <formula>97.4</formula>
    </cfRule>
  </conditionalFormatting>
  <conditionalFormatting sqref="J39:J40">
    <cfRule type="cellIs" dxfId="1373" priority="163" operator="lessThan">
      <formula>98</formula>
    </cfRule>
  </conditionalFormatting>
  <conditionalFormatting sqref="J41:J42">
    <cfRule type="cellIs" dxfId="1372" priority="165" stopIfTrue="1" operator="greaterThan">
      <formula>100</formula>
    </cfRule>
    <cfRule type="cellIs" dxfId="1371" priority="164" stopIfTrue="1" operator="lessThan">
      <formula>96.8</formula>
    </cfRule>
  </conditionalFormatting>
  <conditionalFormatting sqref="J41:J43">
    <cfRule type="cellIs" dxfId="1370" priority="166" operator="lessThan">
      <formula>98</formula>
    </cfRule>
  </conditionalFormatting>
  <conditionalFormatting sqref="J72">
    <cfRule type="cellIs" dxfId="1369" priority="121" stopIfTrue="1" operator="lessThanOrEqual">
      <formula>0</formula>
    </cfRule>
    <cfRule type="cellIs" dxfId="1368" priority="123" stopIfTrue="1" operator="lessThanOrEqual">
      <formula>0</formula>
    </cfRule>
    <cfRule type="cellIs" dxfId="1367" priority="122" stopIfTrue="1" operator="greaterThan">
      <formula>#REF!</formula>
    </cfRule>
    <cfRule type="cellIs" dxfId="1366" priority="120" stopIfTrue="1" operator="greaterThan">
      <formula>#REF!</formula>
    </cfRule>
    <cfRule type="cellIs" dxfId="1365" priority="119" stopIfTrue="1" operator="lessThanOrEqual">
      <formula>0</formula>
    </cfRule>
    <cfRule type="cellIs" dxfId="1364" priority="118" stopIfTrue="1" operator="greaterThan">
      <formula>#REF!</formula>
    </cfRule>
    <cfRule type="cellIs" dxfId="1363" priority="117" stopIfTrue="1" operator="lessThanOrEqual">
      <formula>0</formula>
    </cfRule>
    <cfRule type="cellIs" dxfId="1362" priority="116" stopIfTrue="1" operator="greaterThan">
      <formula>#REF!</formula>
    </cfRule>
  </conditionalFormatting>
  <conditionalFormatting sqref="J85">
    <cfRule type="cellIs" dxfId="1361" priority="56" stopIfTrue="1" operator="lessThanOrEqual">
      <formula>0</formula>
    </cfRule>
    <cfRule type="cellIs" dxfId="1360" priority="55" stopIfTrue="1" operator="greaterThan">
      <formula>$F85</formula>
    </cfRule>
  </conditionalFormatting>
  <conditionalFormatting sqref="K10:K31">
    <cfRule type="cellIs" dxfId="1359" priority="14" operator="lessThan">
      <formula>4</formula>
    </cfRule>
    <cfRule type="cellIs" dxfId="1358" priority="15" operator="greaterThan">
      <formula>6.4</formula>
    </cfRule>
    <cfRule type="cellIs" dxfId="1357" priority="13" operator="greaterThan">
      <formula>6</formula>
    </cfRule>
  </conditionalFormatting>
  <conditionalFormatting sqref="K63:K72">
    <cfRule type="cellIs" dxfId="1356" priority="101" stopIfTrue="1" operator="lessThan">
      <formula>100%</formula>
    </cfRule>
  </conditionalFormatting>
  <conditionalFormatting sqref="K76:K84">
    <cfRule type="cellIs" dxfId="1355" priority="45" stopIfTrue="1" operator="lessThan">
      <formula>100%</formula>
    </cfRule>
  </conditionalFormatting>
  <conditionalFormatting sqref="K87:K92">
    <cfRule type="cellIs" dxfId="1354" priority="186" stopIfTrue="1" operator="lessThan">
      <formula>100%</formula>
    </cfRule>
  </conditionalFormatting>
  <conditionalFormatting sqref="K94:K95">
    <cfRule type="cellIs" dxfId="1353" priority="193" stopIfTrue="1" operator="lessThan">
      <formula>100%</formula>
    </cfRule>
  </conditionalFormatting>
  <conditionalFormatting sqref="L10:L31">
    <cfRule type="cellIs" dxfId="1352" priority="16" operator="between">
      <formula>61</formula>
      <formula>65</formula>
    </cfRule>
    <cfRule type="cellIs" dxfId="1351" priority="17" operator="greaterThan">
      <formula>65</formula>
    </cfRule>
  </conditionalFormatting>
  <conditionalFormatting sqref="L34:M45">
    <cfRule type="cellIs" dxfId="1350" priority="26" operator="lessThan">
      <formula>97.95</formula>
    </cfRule>
  </conditionalFormatting>
  <conditionalFormatting sqref="L49:N49">
    <cfRule type="cellIs" dxfId="1349" priority="25" operator="notEqual">
      <formula>#REF!</formula>
    </cfRule>
  </conditionalFormatting>
  <conditionalFormatting sqref="L76:N85">
    <cfRule type="cellIs" dxfId="1348" priority="42" stopIfTrue="1" operator="lessThan">
      <formula>100%</formula>
    </cfRule>
  </conditionalFormatting>
  <conditionalFormatting sqref="L87:N95">
    <cfRule type="cellIs" dxfId="1347" priority="171" stopIfTrue="1" operator="lessThan">
      <formula>100%</formula>
    </cfRule>
  </conditionalFormatting>
  <conditionalFormatting sqref="M31">
    <cfRule type="expression" dxfId="1346" priority="22">
      <formula>IF(+(IF(M31&lt;U31,0,IF(M31&gt;V31,0,1)))=0,1)</formula>
    </cfRule>
  </conditionalFormatting>
  <conditionalFormatting sqref="N10:N31">
    <cfRule type="expression" dxfId="1345" priority="21">
      <formula>IF(+(IF(N10&lt;W10,0,IF(N10&gt;X10,0,1)))=0,1)</formula>
    </cfRule>
  </conditionalFormatting>
  <conditionalFormatting sqref="P6">
    <cfRule type="cellIs" dxfId="1344" priority="167" operator="greaterThanOrEqual">
      <formula>19</formula>
    </cfRule>
  </conditionalFormatting>
  <dataValidations count="1">
    <dataValidation type="list" allowBlank="1" showInputMessage="1" showErrorMessage="1" sqref="R8" xr:uid="{FB0E0E22-6B01-4BB5-AC17-17F99003DE19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9" max="16383" man="1"/>
  </rowBreaks>
  <colBreaks count="1" manualBreakCount="1">
    <brk id="15" max="89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6BCDA-1D1F-4DCC-A669-615EDF0ED5AB}">
  <sheetPr>
    <pageSetUpPr fitToPage="1"/>
  </sheetPr>
  <dimension ref="A1:BE74"/>
  <sheetViews>
    <sheetView zoomScale="85" zoomScaleNormal="85" workbookViewId="0">
      <selection activeCell="B16" sqref="B16:O1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54" t="s">
        <v>0</v>
      </c>
      <c r="T1" s="554"/>
      <c r="U1" s="554" t="s">
        <v>1</v>
      </c>
      <c r="V1" s="554"/>
      <c r="W1" s="554" t="s">
        <v>2</v>
      </c>
      <c r="X1" s="554"/>
      <c r="Y1" s="554" t="s">
        <v>124</v>
      </c>
      <c r="Z1" s="554"/>
    </row>
    <row r="2" spans="2:29" ht="15">
      <c r="B2" s="555" t="s">
        <v>3</v>
      </c>
      <c r="C2" s="555"/>
      <c r="D2" s="555"/>
      <c r="E2" s="555"/>
      <c r="F2" s="555"/>
      <c r="G2" s="555"/>
      <c r="H2" s="555"/>
      <c r="I2" s="555"/>
      <c r="J2" s="555"/>
      <c r="K2" s="555"/>
      <c r="L2" s="555"/>
      <c r="M2" s="555"/>
      <c r="N2" s="555"/>
      <c r="O2" s="555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46303</v>
      </c>
      <c r="J4" s="397" t="s">
        <v>153</v>
      </c>
      <c r="K4" s="397"/>
      <c r="L4" s="11"/>
      <c r="M4" s="552" t="s">
        <v>8</v>
      </c>
      <c r="N4" s="553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42"/>
      <c r="D5" s="542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6" t="s">
        <v>17</v>
      </c>
      <c r="C8" s="517" t="s">
        <v>18</v>
      </c>
      <c r="D8" s="517" t="s">
        <v>19</v>
      </c>
      <c r="E8" s="356" t="s">
        <v>20</v>
      </c>
      <c r="F8" s="356" t="s">
        <v>21</v>
      </c>
      <c r="G8" s="517" t="s">
        <v>22</v>
      </c>
      <c r="H8" s="544" t="s">
        <v>144</v>
      </c>
      <c r="I8" s="517" t="s">
        <v>167</v>
      </c>
      <c r="J8" s="546" t="s">
        <v>23</v>
      </c>
      <c r="K8" s="548" t="s">
        <v>142</v>
      </c>
      <c r="L8" s="550" t="s">
        <v>24</v>
      </c>
      <c r="M8" s="359" t="s">
        <v>25</v>
      </c>
      <c r="N8" s="17" t="s">
        <v>166</v>
      </c>
      <c r="O8" s="517" t="s">
        <v>155</v>
      </c>
      <c r="P8" s="540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3"/>
      <c r="C9" s="541"/>
      <c r="D9" s="541"/>
      <c r="E9" s="357" t="s">
        <v>30</v>
      </c>
      <c r="F9" s="357" t="s">
        <v>31</v>
      </c>
      <c r="G9" s="541"/>
      <c r="H9" s="545"/>
      <c r="I9" s="541"/>
      <c r="J9" s="547"/>
      <c r="K9" s="549"/>
      <c r="L9" s="551"/>
      <c r="M9" s="20" t="s">
        <v>32</v>
      </c>
      <c r="N9" s="21" t="s">
        <v>41</v>
      </c>
      <c r="O9" s="541"/>
      <c r="P9" s="541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33" t="s">
        <v>9</v>
      </c>
      <c r="C10" s="366" t="str">
        <f>[3]Brewhouse!$A397</f>
        <v>ST338</v>
      </c>
      <c r="D10" s="279">
        <f>[3]Brewhouse!$AB397</f>
        <v>53</v>
      </c>
      <c r="E10" s="279">
        <f>[3]Brewhouse!$AG397</f>
        <v>48.8</v>
      </c>
      <c r="F10" s="278">
        <f>[3]Brewhouse!$V397</f>
        <v>60</v>
      </c>
      <c r="G10" s="279">
        <f>[3]Brewhouse!$AE397</f>
        <v>11.6</v>
      </c>
      <c r="H10" s="396">
        <v>11.7</v>
      </c>
      <c r="I10" s="368">
        <f>[3]Brewhouse!$AS397</f>
        <v>95.039326872899267</v>
      </c>
      <c r="J10" s="368">
        <f>[3]Brewhouse!$AT397</f>
        <v>95.746071658420689</v>
      </c>
      <c r="K10" s="281">
        <f>[3]Brewhouse!$Q397</f>
        <v>10.518867924528294</v>
      </c>
      <c r="L10" s="276">
        <f>[3]Brewhouse!$P397</f>
        <v>60</v>
      </c>
      <c r="M10" s="374">
        <f>[3]Brewhouse!$U397-[3]Brewhouse!$T397</f>
        <v>0.1159722222222222</v>
      </c>
      <c r="N10" s="370">
        <f>[3]Brewhouse!$AW397</f>
        <v>0.30277777777777776</v>
      </c>
      <c r="O10" s="419" t="str">
        <f>[3]Brewhouse!$AV397</f>
        <v>K. Benjamin</v>
      </c>
      <c r="P10" s="417"/>
      <c r="R10" s="277" t="str">
        <f t="shared" ref="R10:R34" si="0">B10</f>
        <v>STAG</v>
      </c>
      <c r="S10" s="471">
        <f t="shared" ref="S10:S34" si="1">VLOOKUP($B10,$R$3:$X$9,2,FALSE)</f>
        <v>11.6</v>
      </c>
      <c r="T10" s="471">
        <f t="shared" ref="T10:T34" si="2">VLOOKUP($B10,$R$3:$X$9,3,FALSE)</f>
        <v>12</v>
      </c>
      <c r="U10" s="297">
        <f t="shared" ref="U10:U34" si="3">VLOOKUP($B10,$R$3:$X$9,4,FALSE)</f>
        <v>0</v>
      </c>
      <c r="V10" s="297">
        <f t="shared" ref="V10:V34" si="4">VLOOKUP($B10,$R$3:$X$9,5,FALSE)</f>
        <v>0.118055555555556</v>
      </c>
      <c r="W10" s="297">
        <f t="shared" ref="W10:W34" si="5">VLOOKUP($B10,$R$3:$X$9,6,FALSE)</f>
        <v>0.22569444444444445</v>
      </c>
      <c r="X10" s="297">
        <f t="shared" ref="X10:X34" si="6">VLOOKUP($B10,$R$3:$X$9,7,FALSE)</f>
        <v>0.2638888888888889</v>
      </c>
      <c r="Y10" s="297">
        <f t="shared" ref="Y10:Y34" si="7">VLOOKUP($B10,$R$3:$Z$9,8,FALSE)</f>
        <v>0</v>
      </c>
      <c r="Z10" s="471">
        <f t="shared" ref="Z10:Z34" si="8">VLOOKUP($B10,$R$3:$Z$9,9,FALSE)</f>
        <v>60</v>
      </c>
    </row>
    <row r="11" spans="2:29" ht="15" customHeight="1">
      <c r="B11" s="33" t="s">
        <v>9</v>
      </c>
      <c r="C11" s="366" t="str">
        <f>[3]Brewhouse!$A398</f>
        <v>ST339</v>
      </c>
      <c r="D11" s="279">
        <f>[3]Brewhouse!$AB398</f>
        <v>53.1</v>
      </c>
      <c r="E11" s="279">
        <f>[3]Brewhouse!$AG398</f>
        <v>50.4</v>
      </c>
      <c r="F11" s="278">
        <f>[3]Brewhouse!$V398</f>
        <v>62</v>
      </c>
      <c r="G11" s="279">
        <f>[3]Brewhouse!$AE398</f>
        <v>12</v>
      </c>
      <c r="H11" s="396">
        <v>12</v>
      </c>
      <c r="I11" s="368">
        <f>[3]Brewhouse!$AS398</f>
        <v>101.84679039354425</v>
      </c>
      <c r="J11" s="368">
        <f>[3]Brewhouse!$AT398</f>
        <v>102.60390739766547</v>
      </c>
      <c r="K11" s="281">
        <f>[3]Brewhouse!$Q398</f>
        <v>10.499058380414318</v>
      </c>
      <c r="L11" s="276">
        <f>[3]Brewhouse!$P398</f>
        <v>61</v>
      </c>
      <c r="M11" s="374">
        <f>[3]Brewhouse!$U398-[3]Brewhouse!$T398</f>
        <v>0.1243055555555555</v>
      </c>
      <c r="N11" s="370">
        <f>[3]Brewhouse!$AW398</f>
        <v>0.29027777777777775</v>
      </c>
      <c r="O11" s="419" t="str">
        <f>[3]Brewhouse!$AV398</f>
        <v>K. Benjamin</v>
      </c>
      <c r="P11" s="417"/>
      <c r="R11" s="277" t="str">
        <f t="shared" si="0"/>
        <v>STAG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33" t="s">
        <v>9</v>
      </c>
      <c r="C12" s="366" t="str">
        <f>[3]Brewhouse!$A399</f>
        <v>ST340</v>
      </c>
      <c r="D12" s="279">
        <f>[3]Brewhouse!$AB399</f>
        <v>53.1</v>
      </c>
      <c r="E12" s="279">
        <f>[3]Brewhouse!$AG399</f>
        <v>48.6</v>
      </c>
      <c r="F12" s="278">
        <f>[3]Brewhouse!$V399</f>
        <v>69</v>
      </c>
      <c r="G12" s="279">
        <f>[3]Brewhouse!$AE399</f>
        <v>11.6</v>
      </c>
      <c r="H12" s="396">
        <v>12</v>
      </c>
      <c r="I12" s="368">
        <f>[3]Brewhouse!$AS399</f>
        <v>94.176294457189954</v>
      </c>
      <c r="J12" s="368">
        <f>[3]Brewhouse!$AT399</f>
        <v>94.877541814883955</v>
      </c>
      <c r="K12" s="281">
        <f>[3]Brewhouse!$Q399</f>
        <v>12.758945386064028</v>
      </c>
      <c r="L12" s="276">
        <f>[3]Brewhouse!$P399</f>
        <v>61</v>
      </c>
      <c r="M12" s="374">
        <f>[3]Brewhouse!$U399-[3]Brewhouse!$T399</f>
        <v>0.12361111111111112</v>
      </c>
      <c r="N12" s="370">
        <f>[3]Brewhouse!$AW399</f>
        <v>0.27569444444444446</v>
      </c>
      <c r="O12" s="419" t="str">
        <f>[3]Brewhouse!$AV399</f>
        <v>D.Gomaz</v>
      </c>
      <c r="P12" s="417"/>
      <c r="R12" s="277" t="str">
        <f t="shared" si="0"/>
        <v>STAG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33" t="s">
        <v>9</v>
      </c>
      <c r="C13" s="366" t="str">
        <f>[3]Brewhouse!$A400</f>
        <v>ST341</v>
      </c>
      <c r="D13" s="279">
        <f>[3]Brewhouse!$AB400</f>
        <v>53.1</v>
      </c>
      <c r="E13" s="279">
        <f>[3]Brewhouse!$AG400</f>
        <v>50.4</v>
      </c>
      <c r="F13" s="278">
        <f>[3]Brewhouse!$V400</f>
        <v>64</v>
      </c>
      <c r="G13" s="279">
        <f>[3]Brewhouse!$AE400</f>
        <v>11.8</v>
      </c>
      <c r="H13" s="396">
        <v>11.8</v>
      </c>
      <c r="I13" s="368">
        <f>[3]Brewhouse!$AS400</f>
        <v>99.686452242871411</v>
      </c>
      <c r="J13" s="368">
        <f>[3]Brewhouse!$AT400</f>
        <v>100.42824296627992</v>
      </c>
      <c r="K13" s="281">
        <f>[3]Brewhouse!$Q400</f>
        <v>9.7457627118644012</v>
      </c>
      <c r="L13" s="276">
        <f>[3]Brewhouse!$P400</f>
        <v>58</v>
      </c>
      <c r="M13" s="374">
        <f>[3]Brewhouse!$U400-[3]Brewhouse!$T400</f>
        <v>0.1166666666666667</v>
      </c>
      <c r="N13" s="370">
        <f>[3]Brewhouse!$AW400</f>
        <v>0.26527777777777778</v>
      </c>
      <c r="O13" s="419" t="str">
        <f>[3]Brewhouse!$AV400</f>
        <v>D.Gomaz</v>
      </c>
      <c r="P13" s="417"/>
      <c r="R13" s="277" t="str">
        <f t="shared" si="0"/>
        <v>STAG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33" t="s">
        <v>9</v>
      </c>
      <c r="C14" s="366" t="str">
        <f>[3]Brewhouse!$A401</f>
        <v>ST342</v>
      </c>
      <c r="D14" s="279">
        <f>[3]Brewhouse!$AB401</f>
        <v>53.1</v>
      </c>
      <c r="E14" s="279">
        <f>[3]Brewhouse!$AG401</f>
        <v>49.7</v>
      </c>
      <c r="F14" s="278">
        <f>[3]Brewhouse!$V401</f>
        <v>59</v>
      </c>
      <c r="G14" s="279">
        <f>[3]Brewhouse!$AE401</f>
        <v>12</v>
      </c>
      <c r="H14" s="396">
        <v>12</v>
      </c>
      <c r="I14" s="368">
        <f>[3]Brewhouse!$AS401</f>
        <v>100.05446453730306</v>
      </c>
      <c r="J14" s="368">
        <f>[3]Brewhouse!$AT401</f>
        <v>100.798993728176</v>
      </c>
      <c r="K14" s="281">
        <f>[3]Brewhouse!$Q401</f>
        <v>10.12241054613936</v>
      </c>
      <c r="L14" s="276">
        <f>[3]Brewhouse!$P401</f>
        <v>63</v>
      </c>
      <c r="M14" s="374">
        <f>[3]Brewhouse!$U401-[3]Brewhouse!$T401</f>
        <v>0.11458333333333337</v>
      </c>
      <c r="N14" s="370">
        <f>[3]Brewhouse!$AW401</f>
        <v>0.25902777777777775</v>
      </c>
      <c r="O14" s="419" t="str">
        <f>[3]Brewhouse!$AV401</f>
        <v>D.Gomaz</v>
      </c>
      <c r="P14" s="417"/>
      <c r="R14" s="277" t="str">
        <f t="shared" si="0"/>
        <v>STAG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33" t="s">
        <v>9</v>
      </c>
      <c r="C15" s="366" t="str">
        <f>[3]Brewhouse!$A402</f>
        <v>ST343</v>
      </c>
      <c r="D15" s="279">
        <f>[3]Brewhouse!$AB402</f>
        <v>53.1</v>
      </c>
      <c r="E15" s="279">
        <f>[3]Brewhouse!$AG402</f>
        <v>49.2</v>
      </c>
      <c r="F15" s="278">
        <f>[3]Brewhouse!$V402</f>
        <v>60</v>
      </c>
      <c r="G15" s="279">
        <f>[3]Brewhouse!$AE402</f>
        <v>11.7</v>
      </c>
      <c r="H15" s="396">
        <v>11.8</v>
      </c>
      <c r="I15" s="368">
        <f>[3]Brewhouse!$AS402</f>
        <v>97.299514644052692</v>
      </c>
      <c r="J15" s="368">
        <f>[3]Brewhouse!$AT402</f>
        <v>98.021864827060583</v>
      </c>
      <c r="K15" s="281">
        <f>[3]Brewhouse!$Q402</f>
        <v>9.5574387947269361</v>
      </c>
      <c r="L15" s="276">
        <f>[3]Brewhouse!$P402</f>
        <v>58</v>
      </c>
      <c r="M15" s="374">
        <f>[3]Brewhouse!$U402-[3]Brewhouse!$T402</f>
        <v>0.10972222222222217</v>
      </c>
      <c r="N15" s="370">
        <f>[3]Brewhouse!$AW402</f>
        <v>0.26111111111111107</v>
      </c>
      <c r="O15" s="419" t="str">
        <f>[3]Brewhouse!$AV402</f>
        <v>R.Sookram</v>
      </c>
      <c r="P15" s="417"/>
      <c r="R15" s="277" t="str">
        <f t="shared" si="0"/>
        <v>STAG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33" t="s">
        <v>9</v>
      </c>
      <c r="C16" s="366" t="str">
        <f>[3]Brewhouse!$A403</f>
        <v>ST344</v>
      </c>
      <c r="D16" s="279">
        <f>[3]Brewhouse!$AB403</f>
        <v>53.1</v>
      </c>
      <c r="E16" s="279">
        <f>[3]Brewhouse!$AG403</f>
        <v>49.1</v>
      </c>
      <c r="F16" s="278">
        <f>[3]Brewhouse!$V403</f>
        <v>57</v>
      </c>
      <c r="G16" s="279">
        <f>[3]Brewhouse!$AE403</f>
        <v>11.7</v>
      </c>
      <c r="H16" s="490">
        <v>12.1</v>
      </c>
      <c r="I16" s="368">
        <f>[3]Brewhouse!$AS403</f>
        <v>96.73465116514339</v>
      </c>
      <c r="J16" s="368">
        <f>[3]Brewhouse!$AT403</f>
        <v>97.453526703291658</v>
      </c>
      <c r="K16" s="281">
        <f>[3]Brewhouse!$Q403</f>
        <v>10.310734463276837</v>
      </c>
      <c r="L16" s="276">
        <f>[3]Brewhouse!$P403</f>
        <v>58</v>
      </c>
      <c r="M16" s="374">
        <f>[3]Brewhouse!$U403-[3]Brewhouse!$T403</f>
        <v>0.1215277777777779</v>
      </c>
      <c r="N16" s="370">
        <f>[3]Brewhouse!$AW403</f>
        <v>0.27847222222222234</v>
      </c>
      <c r="O16" s="419" t="str">
        <f>[3]Brewhouse!$AV403</f>
        <v>R.Sookram</v>
      </c>
      <c r="P16" s="417"/>
      <c r="R16" s="277" t="str">
        <f t="shared" si="0"/>
        <v>STAG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7" ht="15" customHeight="1">
      <c r="B17" s="33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19"/>
      <c r="P17" s="417"/>
      <c r="R17" s="277">
        <f t="shared" si="0"/>
        <v>0</v>
      </c>
      <c r="S17" s="471" t="e">
        <f t="shared" si="1"/>
        <v>#N/A</v>
      </c>
      <c r="T17" s="471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1" t="e">
        <f t="shared" si="8"/>
        <v>#N/A</v>
      </c>
    </row>
    <row r="18" spans="1:27" ht="15" customHeight="1">
      <c r="B18" s="33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19"/>
      <c r="P18" s="417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7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19"/>
      <c r="P19" s="417"/>
      <c r="R19" s="277">
        <f t="shared" si="0"/>
        <v>0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7" ht="15" customHeight="1">
      <c r="B20" s="36"/>
      <c r="C20" s="366"/>
      <c r="D20" s="279"/>
      <c r="E20" s="279"/>
      <c r="F20" s="278"/>
      <c r="G20" s="279"/>
      <c r="H20" s="396"/>
      <c r="I20" s="487"/>
      <c r="J20" s="487"/>
      <c r="K20" s="488"/>
      <c r="L20" s="276"/>
      <c r="M20" s="374"/>
      <c r="N20" s="370"/>
      <c r="O20" s="419"/>
      <c r="P20" s="417"/>
      <c r="R20" s="277">
        <f t="shared" si="0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7" ht="17.25" customHeight="1" thickBot="1">
      <c r="B21" s="358"/>
      <c r="C21" s="358"/>
      <c r="D21" s="358"/>
      <c r="E21" s="358"/>
      <c r="F21" s="294"/>
      <c r="G21" s="294"/>
      <c r="H21" s="348"/>
      <c r="I21" s="566"/>
      <c r="J21" s="566"/>
      <c r="K21" s="566"/>
      <c r="L21" s="566"/>
      <c r="M21" s="566"/>
      <c r="N21" s="566"/>
      <c r="O21" s="1"/>
      <c r="P21" s="12"/>
      <c r="R21" s="277">
        <f t="shared" si="0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7" ht="17.25" customHeight="1" thickBot="1">
      <c r="B22" s="482" t="s">
        <v>162</v>
      </c>
      <c r="C22" s="388"/>
      <c r="D22" s="535" t="s">
        <v>35</v>
      </c>
      <c r="E22" s="536"/>
      <c r="F22" s="294"/>
      <c r="G22" s="294"/>
      <c r="H22" s="348"/>
      <c r="I22" s="24" t="s">
        <v>17</v>
      </c>
      <c r="J22" s="25"/>
      <c r="K22" s="26" t="s">
        <v>138</v>
      </c>
      <c r="L22" s="25" t="s">
        <v>37</v>
      </c>
      <c r="M22" s="25" t="s">
        <v>38</v>
      </c>
      <c r="N22" s="27" t="s">
        <v>39</v>
      </c>
      <c r="O22" s="294"/>
      <c r="P22" s="12"/>
      <c r="R22" s="277" t="str">
        <f t="shared" si="0"/>
        <v xml:space="preserve">BRAND 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7" ht="17.25" customHeight="1">
      <c r="A23" s="28"/>
      <c r="B23" s="588"/>
      <c r="C23" s="483"/>
      <c r="D23" s="522"/>
      <c r="E23" s="523"/>
      <c r="F23" s="294"/>
      <c r="G23" s="294"/>
      <c r="H23" s="348"/>
      <c r="I23" s="29" t="s">
        <v>6</v>
      </c>
      <c r="J23" s="323"/>
      <c r="K23" s="284">
        <f>COUNTA([4]Brewhouse!$A$789:$A$808)</f>
        <v>20</v>
      </c>
      <c r="L23" s="305">
        <f>AVERAGE([4]Brewhouse!$AU$789:$AU$808)</f>
        <v>97.589415567513441</v>
      </c>
      <c r="M23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,[4]Brewhouse!$AU$789:$AU$808)</f>
        <v>98.311550250952394</v>
      </c>
      <c r="N23" s="30">
        <v>98</v>
      </c>
      <c r="O23" s="11"/>
      <c r="P23" s="31"/>
      <c r="R23" s="277">
        <f t="shared" si="0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7" ht="15" customHeight="1">
      <c r="A24" s="28"/>
      <c r="B24" s="568"/>
      <c r="C24" s="362"/>
      <c r="D24" s="524"/>
      <c r="E24" s="525"/>
      <c r="F24" s="294"/>
      <c r="G24" s="294"/>
      <c r="H24" s="348"/>
      <c r="I24" s="33" t="s">
        <v>9</v>
      </c>
      <c r="J24" s="323">
        <f>AVERAGE(I10:I16)</f>
        <v>97.833927759000588</v>
      </c>
      <c r="K24" s="284">
        <f>COUNTA([3]Brewhouse!$A$390:$A$403)</f>
        <v>14</v>
      </c>
      <c r="L24" s="302">
        <f>AVERAGE([3]Brewhouse!$AS$390:$AS$403)</f>
        <v>97.848442816069223</v>
      </c>
      <c r="M24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$388,[3]Brewhouse!$AS$390:$AS$403)</f>
        <v>98.293827183051718</v>
      </c>
      <c r="N24" s="30">
        <v>98</v>
      </c>
      <c r="O24" s="11"/>
      <c r="P24" s="31"/>
      <c r="R24" s="277">
        <f t="shared" si="0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1:27" ht="14.65" customHeight="1">
      <c r="A25" s="28"/>
      <c r="B25" s="568"/>
      <c r="C25" s="362"/>
      <c r="D25" s="529"/>
      <c r="E25" s="530"/>
      <c r="F25" s="294"/>
      <c r="G25" s="294"/>
      <c r="H25" s="348"/>
      <c r="I25" s="34" t="s">
        <v>12</v>
      </c>
      <c r="J25" s="323"/>
      <c r="K25" s="284"/>
      <c r="L25" s="302"/>
      <c r="M25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5" s="30">
        <v>98</v>
      </c>
      <c r="O25" s="11"/>
      <c r="P25" s="31"/>
      <c r="R25" s="277">
        <f t="shared" si="0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7" ht="14.65" customHeight="1">
      <c r="A26" s="28"/>
      <c r="B26" s="568"/>
      <c r="C26" s="362"/>
      <c r="D26" s="531"/>
      <c r="E26" s="525"/>
      <c r="F26" s="294"/>
      <c r="G26" s="294"/>
      <c r="H26" s="348"/>
      <c r="I26" s="22" t="s">
        <v>33</v>
      </c>
      <c r="J26" s="280"/>
      <c r="K26" s="284"/>
      <c r="L26" s="302"/>
      <c r="M26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97.566635166530773</v>
      </c>
      <c r="N26" s="30">
        <v>98</v>
      </c>
      <c r="O26" s="11"/>
      <c r="P26" s="31"/>
      <c r="R26" s="277">
        <f t="shared" si="0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7" ht="14.65" customHeight="1">
      <c r="A27" s="28"/>
      <c r="B27" s="568"/>
      <c r="C27" s="362"/>
      <c r="D27" s="529"/>
      <c r="E27" s="530"/>
      <c r="F27" s="294"/>
      <c r="G27" s="294"/>
      <c r="H27" s="348"/>
      <c r="I27" s="35" t="s">
        <v>29</v>
      </c>
      <c r="J27" s="280"/>
      <c r="K27" s="284"/>
      <c r="L27" s="302"/>
      <c r="M27" s="302"/>
      <c r="N27" s="30">
        <v>98</v>
      </c>
      <c r="O27" s="11"/>
      <c r="P27" s="31"/>
      <c r="R27" s="277">
        <f t="shared" si="0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7" ht="14.65" customHeight="1">
      <c r="A28" s="28"/>
      <c r="B28" s="568"/>
      <c r="C28" s="362"/>
      <c r="D28" s="531"/>
      <c r="E28" s="525"/>
      <c r="F28" s="416"/>
      <c r="G28" s="294"/>
      <c r="H28" s="348"/>
      <c r="I28" s="36" t="s">
        <v>15</v>
      </c>
      <c r="J28" s="323"/>
      <c r="K28" s="284"/>
      <c r="L28" s="302"/>
      <c r="M28" s="302">
        <f>AVERAGE([7]Brewhouse!$AT$4:$AT$11,[7]Brewhouse!$AT$13:$AT$16,[7]Brewhouse!$AT$18:$AT$30)</f>
        <v>93.22262799886262</v>
      </c>
      <c r="N28" s="30">
        <v>98</v>
      </c>
      <c r="O28" s="11"/>
      <c r="P28" s="31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1:27" ht="14.65" customHeight="1">
      <c r="A29" s="28"/>
      <c r="B29" s="568"/>
      <c r="C29" s="362"/>
      <c r="D29" s="529"/>
      <c r="E29" s="530"/>
      <c r="F29" s="416"/>
      <c r="G29" s="294"/>
      <c r="H29" s="348"/>
      <c r="I29" s="37" t="s">
        <v>16</v>
      </c>
      <c r="J29" s="323"/>
      <c r="K29" s="284"/>
      <c r="L29" s="302"/>
      <c r="M29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97.792958274585203</v>
      </c>
      <c r="N29" s="30">
        <v>98</v>
      </c>
      <c r="O29" s="11"/>
      <c r="P29" s="31" t="s">
        <v>41</v>
      </c>
      <c r="R29" s="277">
        <f t="shared" si="0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1:27" ht="14.65" customHeight="1">
      <c r="A30" s="28"/>
      <c r="B30" s="568"/>
      <c r="C30" s="362"/>
      <c r="D30" s="531"/>
      <c r="E30" s="525"/>
      <c r="F30" s="294"/>
      <c r="G30" s="294"/>
      <c r="H30" s="348"/>
      <c r="I30" s="410" t="s">
        <v>158</v>
      </c>
      <c r="J30" s="326"/>
      <c r="K30" s="284"/>
      <c r="L30" s="305"/>
      <c r="M30" s="305"/>
      <c r="N30" s="30">
        <v>98</v>
      </c>
      <c r="O30" s="11"/>
      <c r="P30" s="31"/>
      <c r="R30" s="277">
        <f t="shared" si="0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1:27" ht="14.65" customHeight="1">
      <c r="A31" s="28"/>
      <c r="B31" s="568"/>
      <c r="C31" s="362"/>
      <c r="D31" s="529"/>
      <c r="E31" s="530"/>
      <c r="F31" s="294"/>
      <c r="G31" s="294"/>
      <c r="H31" s="348"/>
      <c r="I31" s="409" t="s">
        <v>157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0"/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  <c r="AA31" s="471"/>
    </row>
    <row r="32" spans="1:27" ht="15" customHeight="1" thickBot="1">
      <c r="A32" s="28"/>
      <c r="B32" s="568"/>
      <c r="C32" s="362"/>
      <c r="D32" s="531"/>
      <c r="E32" s="525"/>
      <c r="F32" s="294"/>
      <c r="G32" s="294"/>
      <c r="H32" s="348"/>
      <c r="I32" s="405" t="s">
        <v>156</v>
      </c>
      <c r="J32" s="327"/>
      <c r="K32" s="406"/>
      <c r="L32" s="407"/>
      <c r="M32" s="407"/>
      <c r="N32" s="408">
        <v>98</v>
      </c>
      <c r="O32" s="11"/>
      <c r="P32" s="31"/>
      <c r="R32" s="277">
        <f t="shared" si="0"/>
        <v>0</v>
      </c>
      <c r="S32" s="471" t="e">
        <f t="shared" si="1"/>
        <v>#N/A</v>
      </c>
      <c r="T32" s="471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1" t="e">
        <f t="shared" si="8"/>
        <v>#N/A</v>
      </c>
      <c r="AA32" s="471"/>
    </row>
    <row r="33" spans="1:56" ht="15" customHeight="1" thickBot="1">
      <c r="A33" s="28"/>
      <c r="B33" s="568"/>
      <c r="C33" s="349"/>
      <c r="D33" s="522"/>
      <c r="E33" s="523"/>
      <c r="F33" s="294"/>
      <c r="G33" s="294"/>
      <c r="H33" s="348"/>
      <c r="I33" s="1"/>
      <c r="J33" s="39"/>
      <c r="K33" s="403">
        <f>SUM(K23:K32)</f>
        <v>34</v>
      </c>
      <c r="L33" s="404">
        <f>((L23*K23)+(L24*K24)+(L25*K25)+(L26*K26)+(L27*K27)+(K30*L30)+(L28*K28)+(L29*K29)+(L32*K32))/(K33)</f>
        <v>97.69607384633052</v>
      </c>
      <c r="M33" s="404">
        <f>AVERAGE('[9]Jan30th-31st'!$L$42,'[10]Feb 27th-28th'!$L$45,'[11]Mar 31st'!$L$42,'[12]Apr 30th'!$L$41,'[13]May 29th '!$L$35,'[14]June 30th'!$L$32,[15]July31st!$L$36,'[16]Aug 31st'!$L$32,L33)</f>
        <v>97.947486474683757</v>
      </c>
      <c r="N33" s="40">
        <v>98</v>
      </c>
      <c r="O33" s="11"/>
      <c r="P33" s="31"/>
      <c r="R33" s="277">
        <f t="shared" si="0"/>
        <v>0</v>
      </c>
      <c r="S33" s="471" t="e">
        <f t="shared" si="1"/>
        <v>#N/A</v>
      </c>
      <c r="T33" s="471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1" t="e">
        <f t="shared" si="8"/>
        <v>#N/A</v>
      </c>
      <c r="AA33" s="471"/>
    </row>
    <row r="34" spans="1:56" ht="15.75" thickBot="1">
      <c r="B34" s="589"/>
      <c r="C34" s="350"/>
      <c r="D34" s="524"/>
      <c r="E34" s="525"/>
      <c r="F34" s="294"/>
      <c r="G34" s="42"/>
      <c r="H34" s="41"/>
      <c r="I34" s="42"/>
      <c r="J34" s="42"/>
      <c r="K34" s="351"/>
      <c r="L34" s="348"/>
      <c r="M34" s="348"/>
      <c r="N34" s="11"/>
      <c r="O34" s="294"/>
      <c r="P34" s="12"/>
      <c r="R34" s="277">
        <f t="shared" si="0"/>
        <v>0</v>
      </c>
      <c r="S34" s="471" t="e">
        <f t="shared" si="1"/>
        <v>#N/A</v>
      </c>
      <c r="T34" s="471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1" t="e">
        <f t="shared" si="8"/>
        <v>#N/A</v>
      </c>
      <c r="AA34" s="471"/>
    </row>
    <row r="35" spans="1:56" ht="15.75" thickBot="1">
      <c r="B35" s="519"/>
      <c r="C35" s="362"/>
      <c r="D35" s="522"/>
      <c r="E35" s="523"/>
      <c r="F35" s="294"/>
      <c r="G35" s="42"/>
      <c r="H35" s="41"/>
      <c r="I35" s="42"/>
      <c r="J35" s="526" t="s">
        <v>129</v>
      </c>
      <c r="K35" s="526"/>
      <c r="L35" s="294"/>
      <c r="M35" s="294"/>
      <c r="N35" s="294"/>
      <c r="O35" s="294"/>
      <c r="P35" s="12"/>
    </row>
    <row r="36" spans="1:56" ht="15.75" thickBot="1">
      <c r="B36" s="520"/>
      <c r="C36" s="362"/>
      <c r="D36" s="524"/>
      <c r="E36" s="525"/>
      <c r="F36" s="294"/>
      <c r="G36" s="42"/>
      <c r="H36" s="42"/>
      <c r="I36" s="42"/>
      <c r="J36" s="292" t="s">
        <v>17</v>
      </c>
      <c r="K36" s="293"/>
      <c r="L36" s="527" t="s">
        <v>136</v>
      </c>
      <c r="M36" s="527"/>
      <c r="N36" s="528"/>
      <c r="O36" s="294"/>
      <c r="P36" s="12"/>
    </row>
    <row r="37" spans="1:56" ht="15" customHeight="1" thickBot="1">
      <c r="B37" s="520"/>
      <c r="C37" s="349"/>
      <c r="D37" s="529"/>
      <c r="E37" s="530"/>
      <c r="F37" s="294"/>
      <c r="G37" s="42"/>
      <c r="H37" s="42"/>
      <c r="I37" s="42"/>
      <c r="J37" s="287" t="s">
        <v>6</v>
      </c>
      <c r="K37" s="324"/>
      <c r="L37" s="472" t="s">
        <v>37</v>
      </c>
      <c r="M37" s="473" t="s">
        <v>38</v>
      </c>
      <c r="N37" s="473" t="s">
        <v>84</v>
      </c>
      <c r="O37" s="294"/>
      <c r="P37" s="12"/>
    </row>
    <row r="38" spans="1:56" ht="15.75" customHeight="1" thickBot="1">
      <c r="B38" s="520"/>
      <c r="C38" s="349"/>
      <c r="D38" s="531"/>
      <c r="E38" s="525"/>
      <c r="F38" s="294"/>
      <c r="G38" s="42"/>
      <c r="H38" s="42"/>
      <c r="I38" s="42"/>
      <c r="J38" s="345" t="s">
        <v>9</v>
      </c>
      <c r="K38" s="324">
        <v>7</v>
      </c>
      <c r="L38" s="484">
        <f>AVERAGE('Oct 1st'!K52,'Oct 2nd'!K44,'Oct 5th'!K51,'Oct 6th'!K58,K47)</f>
        <v>6.8</v>
      </c>
      <c r="M38" s="485">
        <f>AVERAGE('[9]Jan30th-31st'!$L$47,L38,'[10]Feb 26th '!$L$39,'[11]Mar 31st'!$L$47,'[12]Apr 30th'!$L$46,'[13]May 29th '!$L$40,'[14]June 30th'!$L$39,[15]July31st!$L$41,'[16]Aug 31st'!$L$37,'[17]Sept 30th'!$L$37)</f>
        <v>6.5535341470124084</v>
      </c>
      <c r="N38" s="415">
        <v>9.1999999999999993</v>
      </c>
      <c r="O38" s="294"/>
      <c r="P38" s="12"/>
    </row>
    <row r="39" spans="1:56" ht="15" customHeight="1">
      <c r="B39" s="520"/>
      <c r="C39" s="349"/>
      <c r="D39" s="529"/>
      <c r="E39" s="530"/>
      <c r="F39" s="294"/>
      <c r="G39" s="42"/>
      <c r="H39" s="42"/>
      <c r="I39" s="42"/>
      <c r="J39" s="288" t="s">
        <v>40</v>
      </c>
      <c r="K39" s="324"/>
      <c r="L39" s="294"/>
      <c r="M39" s="294"/>
      <c r="N39" s="294"/>
      <c r="O39" s="294"/>
      <c r="P39" s="12"/>
    </row>
    <row r="40" spans="1:56" ht="15" customHeight="1">
      <c r="B40" s="520"/>
      <c r="C40" s="349"/>
      <c r="D40" s="531"/>
      <c r="E40" s="525"/>
      <c r="F40" s="294"/>
      <c r="G40" s="42"/>
      <c r="H40" s="42"/>
      <c r="I40" s="42"/>
      <c r="J40" s="289" t="s">
        <v>33</v>
      </c>
      <c r="K40" s="324"/>
      <c r="L40" s="294"/>
      <c r="M40" s="294"/>
      <c r="N40" s="294"/>
      <c r="O40" s="294"/>
      <c r="P40" s="12"/>
    </row>
    <row r="41" spans="1:56" ht="15">
      <c r="B41" s="520"/>
      <c r="C41" s="349"/>
      <c r="D41" s="529"/>
      <c r="E41" s="530"/>
      <c r="F41" s="294"/>
      <c r="G41" s="42"/>
      <c r="H41" s="42"/>
      <c r="I41" s="42"/>
      <c r="J41" s="290" t="s">
        <v>16</v>
      </c>
      <c r="K41" s="324"/>
      <c r="L41" s="294"/>
      <c r="M41" s="294"/>
      <c r="N41" s="294"/>
      <c r="O41" s="294"/>
      <c r="P41" s="12"/>
      <c r="BC41" s="44"/>
      <c r="BD41" s="44"/>
    </row>
    <row r="42" spans="1:56" ht="15">
      <c r="B42" s="520"/>
      <c r="C42" s="349"/>
      <c r="D42" s="531"/>
      <c r="E42" s="525"/>
      <c r="F42" s="294"/>
      <c r="G42" s="42"/>
      <c r="H42" s="42"/>
      <c r="I42" s="42"/>
      <c r="J42" s="291" t="s">
        <v>15</v>
      </c>
      <c r="K42" s="324"/>
      <c r="L42" s="294"/>
      <c r="M42" s="294"/>
      <c r="N42" s="294"/>
      <c r="O42" s="294"/>
      <c r="P42" s="12"/>
      <c r="BC42" s="44"/>
      <c r="BD42" s="44"/>
    </row>
    <row r="43" spans="1:56" ht="15">
      <c r="B43" s="520"/>
      <c r="C43" s="349"/>
      <c r="D43" s="529"/>
      <c r="E43" s="530"/>
      <c r="F43" s="294"/>
      <c r="G43" s="42"/>
      <c r="H43" s="42"/>
      <c r="I43" s="42"/>
      <c r="J43" s="291" t="s">
        <v>149</v>
      </c>
      <c r="K43" s="324"/>
      <c r="L43" s="294"/>
      <c r="M43" s="294"/>
      <c r="N43" s="294"/>
      <c r="O43" s="294"/>
      <c r="P43" s="12"/>
      <c r="BC43" s="44"/>
      <c r="BD43" s="44"/>
    </row>
    <row r="44" spans="1:56" ht="15.75" thickBot="1">
      <c r="B44" s="521"/>
      <c r="C44" s="350"/>
      <c r="D44" s="532"/>
      <c r="E44" s="533"/>
      <c r="F44" s="294" t="s">
        <v>165</v>
      </c>
      <c r="G44" s="42"/>
      <c r="H44" s="42"/>
      <c r="I44" s="42"/>
      <c r="J44" s="291" t="s">
        <v>148</v>
      </c>
      <c r="K44" s="324"/>
      <c r="L44" s="294"/>
      <c r="M44" s="294"/>
      <c r="N44" s="294" t="s">
        <v>41</v>
      </c>
      <c r="O44" s="294"/>
      <c r="P44" s="12"/>
      <c r="BC44" s="44"/>
      <c r="BD44" s="44"/>
    </row>
    <row r="45" spans="1:56" ht="17.649999999999999" customHeight="1" thickBot="1">
      <c r="B45" s="312" t="s">
        <v>139</v>
      </c>
      <c r="C45" s="313"/>
      <c r="D45" s="512"/>
      <c r="E45" s="513"/>
      <c r="F45" s="294"/>
      <c r="J45" s="295" t="s">
        <v>134</v>
      </c>
      <c r="K45" s="324"/>
      <c r="L45" s="294"/>
      <c r="M45" s="294"/>
      <c r="N45" s="294"/>
      <c r="O45" s="294"/>
      <c r="P45" s="12"/>
      <c r="BC45" s="44"/>
      <c r="BD45" s="44"/>
    </row>
    <row r="46" spans="1:56" ht="17.649999999999999" customHeight="1">
      <c r="B46" s="363"/>
      <c r="C46" s="364"/>
      <c r="D46" s="365"/>
      <c r="E46" s="365"/>
      <c r="F46" s="294"/>
      <c r="G46" s="42"/>
      <c r="H46" s="42"/>
      <c r="I46" s="42"/>
      <c r="J46" s="295" t="s">
        <v>131</v>
      </c>
      <c r="K46" s="324"/>
      <c r="L46" s="294"/>
      <c r="M46" s="294"/>
      <c r="N46" s="294"/>
      <c r="O46" s="294"/>
      <c r="P46" s="12"/>
      <c r="BC46" s="44"/>
      <c r="BD46" s="44"/>
    </row>
    <row r="47" spans="1:56" ht="15.6" customHeight="1">
      <c r="B47" s="45"/>
      <c r="C47" s="11"/>
      <c r="D47" s="11"/>
      <c r="E47" s="46"/>
      <c r="F47" s="294"/>
      <c r="G47" s="42"/>
      <c r="H47" s="42"/>
      <c r="I47" s="42"/>
      <c r="J47" s="346" t="s">
        <v>130</v>
      </c>
      <c r="K47" s="324">
        <f>SUM(K37:K46)</f>
        <v>7</v>
      </c>
      <c r="L47" s="294"/>
      <c r="M47" s="294"/>
      <c r="N47" s="294"/>
      <c r="O47" s="294"/>
      <c r="P47" s="12"/>
    </row>
    <row r="48" spans="1:56" ht="20.25" customHeight="1">
      <c r="B48" s="15" t="s">
        <v>42</v>
      </c>
      <c r="C48" s="1" t="s">
        <v>43</v>
      </c>
      <c r="D48" s="1"/>
      <c r="E48" s="1"/>
      <c r="F48" s="294"/>
      <c r="G48" s="42"/>
      <c r="H48" s="41"/>
      <c r="I48" s="42"/>
      <c r="L48" s="42"/>
      <c r="N48" s="315"/>
      <c r="P48" s="334"/>
    </row>
    <row r="49" spans="2:57" ht="15" customHeight="1" thickBot="1"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1"/>
      <c r="O49" s="48"/>
      <c r="P49" s="49"/>
    </row>
    <row r="50" spans="2:57" ht="15" customHeight="1" thickBot="1">
      <c r="B50" s="504" t="s">
        <v>17</v>
      </c>
      <c r="C50" s="504" t="s">
        <v>44</v>
      </c>
      <c r="D50" s="515" t="s">
        <v>45</v>
      </c>
      <c r="E50" s="517" t="s">
        <v>46</v>
      </c>
      <c r="F50" s="510" t="s">
        <v>47</v>
      </c>
      <c r="G50" s="502" t="s">
        <v>48</v>
      </c>
      <c r="H50" s="504" t="s">
        <v>49</v>
      </c>
      <c r="I50" s="504" t="s">
        <v>50</v>
      </c>
      <c r="J50" s="496" t="s">
        <v>28</v>
      </c>
      <c r="K50" s="506" t="s">
        <v>51</v>
      </c>
      <c r="L50" s="508" t="s">
        <v>52</v>
      </c>
      <c r="M50" s="496" t="s">
        <v>53</v>
      </c>
      <c r="N50" s="13"/>
      <c r="O50" s="13"/>
      <c r="P50" s="50"/>
    </row>
    <row r="51" spans="2:57" ht="28.5" customHeight="1" thickTop="1" thickBot="1">
      <c r="B51" s="505"/>
      <c r="C51" s="514"/>
      <c r="D51" s="516"/>
      <c r="E51" s="518"/>
      <c r="F51" s="511"/>
      <c r="G51" s="503"/>
      <c r="H51" s="505"/>
      <c r="I51" s="505"/>
      <c r="J51" s="497"/>
      <c r="K51" s="507"/>
      <c r="L51" s="509"/>
      <c r="M51" s="497"/>
      <c r="N51" s="13"/>
      <c r="O51" s="13"/>
      <c r="P51" s="50"/>
      <c r="Q51" s="355"/>
      <c r="AB51" s="474">
        <v>43474</v>
      </c>
      <c r="AC51" s="474">
        <v>43475</v>
      </c>
      <c r="AD51" s="474">
        <v>43476</v>
      </c>
      <c r="AE51" s="474">
        <v>43477</v>
      </c>
      <c r="AF51" s="474">
        <v>43478</v>
      </c>
      <c r="AG51" s="474">
        <v>43479</v>
      </c>
      <c r="AH51" s="474">
        <v>43480</v>
      </c>
      <c r="AI51" s="474">
        <v>43481</v>
      </c>
      <c r="AJ51" s="474">
        <v>43482</v>
      </c>
      <c r="AK51" s="474">
        <v>43483</v>
      </c>
      <c r="AL51" s="474">
        <v>43484</v>
      </c>
      <c r="AM51" s="474">
        <v>43485</v>
      </c>
      <c r="AN51" s="474">
        <v>43486</v>
      </c>
      <c r="AO51" s="474">
        <v>43487</v>
      </c>
      <c r="AP51" s="474">
        <v>43488</v>
      </c>
      <c r="AQ51" s="474">
        <v>43489</v>
      </c>
      <c r="AR51" s="474">
        <v>43490</v>
      </c>
      <c r="AS51" s="474">
        <v>43491</v>
      </c>
      <c r="AT51" s="474">
        <v>43492</v>
      </c>
      <c r="AU51" s="474">
        <v>43493</v>
      </c>
      <c r="AV51" s="474">
        <v>43494</v>
      </c>
      <c r="AW51" s="474">
        <v>43495</v>
      </c>
      <c r="AX51" s="474">
        <v>43496</v>
      </c>
    </row>
    <row r="52" spans="2:57" s="54" customFormat="1" ht="36.75" customHeight="1" thickBot="1">
      <c r="B52" s="455" t="str">
        <f>J37</f>
        <v>CARIB</v>
      </c>
      <c r="C52" s="478">
        <v>46302</v>
      </c>
      <c r="D52" s="444">
        <f>[18]October_2026!$J$3</f>
        <v>102.69999999999999</v>
      </c>
      <c r="E52" s="442"/>
      <c r="F52" s="443"/>
      <c r="G52" s="443">
        <f>[18]October_2026!$J$7</f>
        <v>96.8</v>
      </c>
      <c r="H52" s="457"/>
      <c r="I52" s="457"/>
      <c r="J52" s="447" t="s">
        <v>150</v>
      </c>
      <c r="K52" s="448">
        <f>[19]October_2026!$J$18</f>
        <v>0.33964912280701753</v>
      </c>
      <c r="L52" s="456">
        <f>(((D52+E52)-G52)/(D52+E52))*100</f>
        <v>5.744888023369028</v>
      </c>
      <c r="M52" s="454" t="s">
        <v>172</v>
      </c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[20]January_2019!L5</f>
        <v>0</v>
      </c>
      <c r="AC52" s="57">
        <f>[20]January_2019!M5</f>
        <v>0</v>
      </c>
      <c r="AD52" s="57">
        <f>[20]January_2019!N5</f>
        <v>0</v>
      </c>
      <c r="AE52" s="57">
        <f>[20]January_2019!O5</f>
        <v>0</v>
      </c>
      <c r="AF52" s="57">
        <f>[20]January_2019!P5</f>
        <v>0</v>
      </c>
      <c r="AG52" s="57">
        <f>[20]January_2019!Q5</f>
        <v>0</v>
      </c>
      <c r="AH52" s="57">
        <f>[20]January_2019!R5</f>
        <v>0</v>
      </c>
      <c r="AI52" s="57">
        <f>[20]January_2019!S5</f>
        <v>0</v>
      </c>
      <c r="AJ52" s="57">
        <f>[20]January_2019!T5</f>
        <v>0</v>
      </c>
      <c r="AK52" s="57">
        <f>[20]January_2019!U5</f>
        <v>0</v>
      </c>
      <c r="AL52" s="57">
        <f>[20]January_2019!V5</f>
        <v>0</v>
      </c>
      <c r="AM52" s="57">
        <f>[20]January_2019!W5</f>
        <v>0</v>
      </c>
      <c r="AN52" s="57">
        <f>[20]January_2019!X5</f>
        <v>0</v>
      </c>
      <c r="AO52" s="57">
        <f>[20]January_2019!Y5</f>
        <v>0</v>
      </c>
      <c r="AP52" s="57">
        <f>[20]January_2019!Z5</f>
        <v>0</v>
      </c>
      <c r="AQ52" s="57">
        <f>[20]January_2019!AA5</f>
        <v>0</v>
      </c>
      <c r="AR52" s="57">
        <f>[20]January_2019!AB5</f>
        <v>0</v>
      </c>
      <c r="AS52" s="57">
        <f>[20]January_2019!AC5</f>
        <v>0</v>
      </c>
      <c r="AT52" s="57">
        <f>[20]January_2019!AD5</f>
        <v>0</v>
      </c>
      <c r="AU52" s="57">
        <f>[20]January_2019!AE5</f>
        <v>0</v>
      </c>
      <c r="AV52" s="57">
        <f>[20]January_2019!AF5</f>
        <v>0</v>
      </c>
      <c r="AW52" s="57">
        <f>[20]January_2019!AG5</f>
        <v>0</v>
      </c>
      <c r="AX52" s="277">
        <f>[20]January_2019!AH5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14.25" customHeight="1" thickBot="1">
      <c r="B53" s="479"/>
      <c r="C53" s="478"/>
      <c r="D53" s="441"/>
      <c r="E53" s="442"/>
      <c r="F53" s="443"/>
      <c r="G53" s="444"/>
      <c r="H53" s="457"/>
      <c r="I53" s="457"/>
      <c r="J53" s="475"/>
      <c r="K53" s="448"/>
      <c r="L53" s="456"/>
      <c r="M53" s="454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[20]January_2019!L6</f>
        <v>0</v>
      </c>
      <c r="AC53" s="57">
        <f>[20]January_2019!M6</f>
        <v>0</v>
      </c>
      <c r="AD53" s="57">
        <f>[20]January_2019!N6</f>
        <v>0</v>
      </c>
      <c r="AE53" s="57">
        <f>[20]January_2019!O6</f>
        <v>0</v>
      </c>
      <c r="AF53" s="57">
        <f>[20]January_2019!P6</f>
        <v>0</v>
      </c>
      <c r="AG53" s="57">
        <f>[20]January_2019!Q6</f>
        <v>0</v>
      </c>
      <c r="AH53" s="57">
        <f>[20]January_2019!R6</f>
        <v>0</v>
      </c>
      <c r="AI53" s="57">
        <f>[20]January_2019!S6</f>
        <v>0</v>
      </c>
      <c r="AJ53" s="57">
        <f>[20]January_2019!T6</f>
        <v>0</v>
      </c>
      <c r="AK53" s="57">
        <f>[20]January_2019!U6</f>
        <v>0</v>
      </c>
      <c r="AL53" s="57">
        <f>[20]January_2019!V6</f>
        <v>0</v>
      </c>
      <c r="AM53" s="57">
        <f>[20]January_2019!W6</f>
        <v>0</v>
      </c>
      <c r="AN53" s="57">
        <f>[20]January_2019!X6</f>
        <v>0</v>
      </c>
      <c r="AO53" s="57">
        <f>[20]January_2019!Y6</f>
        <v>0</v>
      </c>
      <c r="AP53" s="57">
        <f>[20]January_2019!Z6</f>
        <v>0</v>
      </c>
      <c r="AQ53" s="57">
        <f>[20]January_2019!AA6</f>
        <v>0</v>
      </c>
      <c r="AR53" s="57">
        <f>[20]January_2019!AB6</f>
        <v>0</v>
      </c>
      <c r="AS53" s="57">
        <f>[20]January_2019!AC6</f>
        <v>0</v>
      </c>
      <c r="AT53" s="57">
        <f>[20]January_2019!AD6</f>
        <v>0</v>
      </c>
      <c r="AU53" s="57">
        <f>[20]January_2019!AE6</f>
        <v>0</v>
      </c>
      <c r="AV53" s="57">
        <f>[20]January_2019!AF6</f>
        <v>0</v>
      </c>
      <c r="AW53" s="57">
        <f>[20]January_2019!AG6</f>
        <v>0</v>
      </c>
      <c r="AX53" s="277">
        <f>[20]January_2019!AH6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37.15" hidden="1" customHeight="1" thickBot="1">
      <c r="B54" s="455" t="str">
        <f>J37</f>
        <v>CARIB</v>
      </c>
      <c r="C54" s="478">
        <v>46301</v>
      </c>
      <c r="D54" s="441"/>
      <c r="E54" s="442"/>
      <c r="F54" s="443"/>
      <c r="G54" s="443"/>
      <c r="H54" s="445"/>
      <c r="I54" s="445"/>
      <c r="J54" s="447" t="s">
        <v>150</v>
      </c>
      <c r="K54" s="448"/>
      <c r="L54" s="456" t="e">
        <f>(((D54+E54)-G54)/(D54+E54))*100</f>
        <v>#DIV/0!</v>
      </c>
      <c r="M54" s="454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[20]January_2019!L7</f>
        <v>285.8</v>
      </c>
      <c r="AC54" s="57">
        <f>[20]January_2019!M7</f>
        <v>508.1</v>
      </c>
      <c r="AD54" s="57">
        <f>[20]January_2019!N7</f>
        <v>0</v>
      </c>
      <c r="AE54" s="57">
        <f>[20]January_2019!O7</f>
        <v>0</v>
      </c>
      <c r="AF54" s="57">
        <f>[20]January_2019!P7</f>
        <v>109.56666666666666</v>
      </c>
      <c r="AG54" s="57">
        <f>[20]January_2019!Q7</f>
        <v>297.64999999999998</v>
      </c>
      <c r="AH54" s="57">
        <f>[20]January_2019!R7</f>
        <v>122.3</v>
      </c>
      <c r="AI54" s="57">
        <f>[20]January_2019!S7</f>
        <v>0</v>
      </c>
      <c r="AJ54" s="57">
        <f>[20]January_2019!T7</f>
        <v>294.7</v>
      </c>
      <c r="AK54" s="57">
        <f>[20]January_2019!U7</f>
        <v>280.5</v>
      </c>
      <c r="AL54" s="57">
        <f>[20]January_2019!V7</f>
        <v>0</v>
      </c>
      <c r="AM54" s="57">
        <f>[20]January_2019!W7</f>
        <v>0</v>
      </c>
      <c r="AN54" s="57">
        <f>[20]January_2019!X7</f>
        <v>188.25</v>
      </c>
      <c r="AO54" s="57">
        <f>[20]January_2019!Y7</f>
        <v>295.7</v>
      </c>
      <c r="AP54" s="57">
        <f>[20]January_2019!Z7</f>
        <v>257.8</v>
      </c>
      <c r="AQ54" s="57">
        <f>[20]January_2019!AA7</f>
        <v>291.2</v>
      </c>
      <c r="AR54" s="57">
        <f>[20]January_2019!AB7</f>
        <v>187</v>
      </c>
      <c r="AS54" s="57">
        <f>[20]January_2019!AC7</f>
        <v>0</v>
      </c>
      <c r="AT54" s="57">
        <f>[20]January_2019!AD7</f>
        <v>0</v>
      </c>
      <c r="AU54" s="57">
        <f>[20]January_2019!AE7</f>
        <v>485.1</v>
      </c>
      <c r="AV54" s="57">
        <f>[20]January_2019!AF7</f>
        <v>171.55</v>
      </c>
      <c r="AW54" s="57">
        <f>[20]January_2019!AG7</f>
        <v>423.8</v>
      </c>
      <c r="AX54" s="277">
        <f>[20]January_2019!AH7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18.600000000000001" hidden="1" customHeight="1" thickBot="1">
      <c r="B55" s="477"/>
      <c r="C55" s="429"/>
      <c r="D55" s="430"/>
      <c r="E55" s="431"/>
      <c r="F55" s="432"/>
      <c r="G55" s="433"/>
      <c r="H55" s="457"/>
      <c r="I55" s="457"/>
      <c r="J55" s="450"/>
      <c r="K55" s="435"/>
      <c r="L55" s="451"/>
      <c r="M55" s="420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38.65" hidden="1" customHeight="1" thickBot="1">
      <c r="B56" s="486"/>
      <c r="C56" s="478"/>
      <c r="D56" s="441"/>
      <c r="E56" s="442"/>
      <c r="F56" s="443"/>
      <c r="G56" s="444"/>
      <c r="H56" s="457"/>
      <c r="I56" s="457"/>
      <c r="J56" s="447"/>
      <c r="K56" s="458"/>
      <c r="L56" s="456"/>
      <c r="M56" s="454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15" hidden="1">
      <c r="B57" s="452"/>
      <c r="C57" s="429"/>
      <c r="D57" s="430"/>
      <c r="E57" s="431"/>
      <c r="F57" s="432"/>
      <c r="G57" s="433"/>
      <c r="H57" s="434"/>
      <c r="I57" s="449"/>
      <c r="J57" s="450"/>
      <c r="K57" s="435"/>
      <c r="L57" s="451"/>
      <c r="M57" s="420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7.15" hidden="1" customHeight="1" thickBot="1">
      <c r="B58" s="480"/>
      <c r="C58" s="478"/>
      <c r="D58" s="441"/>
      <c r="E58" s="442"/>
      <c r="F58" s="443"/>
      <c r="G58" s="444"/>
      <c r="H58" s="445"/>
      <c r="I58" s="446"/>
      <c r="J58" s="447"/>
      <c r="K58" s="448"/>
      <c r="L58" s="456"/>
      <c r="M58" s="454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16.5" hidden="1" customHeight="1" thickBot="1">
      <c r="B59" s="436"/>
      <c r="C59" s="422"/>
      <c r="D59" s="423"/>
      <c r="E59" s="424"/>
      <c r="F59" s="425"/>
      <c r="G59" s="426"/>
      <c r="H59" s="427"/>
      <c r="I59" s="437"/>
      <c r="J59" s="438"/>
      <c r="K59" s="428"/>
      <c r="L59" s="439"/>
      <c r="M59" s="421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414"/>
      <c r="AC59" s="414"/>
      <c r="AD59" s="414"/>
      <c r="AE59" s="414"/>
      <c r="AF59" s="414"/>
      <c r="AG59" s="414"/>
      <c r="AH59" s="414"/>
      <c r="AI59" s="414"/>
      <c r="AJ59" s="414"/>
      <c r="AK59" s="414"/>
      <c r="AL59" s="414"/>
      <c r="AM59" s="414"/>
      <c r="AN59" s="414"/>
      <c r="AO59" s="414"/>
      <c r="AP59" s="414"/>
      <c r="AQ59" s="414"/>
      <c r="AR59" s="414"/>
      <c r="AS59" s="414"/>
      <c r="AT59" s="414"/>
      <c r="AU59" s="414"/>
      <c r="AV59" s="414"/>
      <c r="AW59" s="414"/>
    </row>
    <row r="60" spans="2:57" s="54" customFormat="1" ht="37.15" hidden="1" customHeight="1" thickBot="1">
      <c r="B60" s="455"/>
      <c r="C60" s="440"/>
      <c r="D60" s="441"/>
      <c r="E60" s="442"/>
      <c r="F60" s="443"/>
      <c r="G60" s="444"/>
      <c r="H60" s="445"/>
      <c r="I60" s="446"/>
      <c r="J60" s="447"/>
      <c r="K60" s="448"/>
      <c r="L60" s="456"/>
      <c r="M60" s="453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7.15" customHeight="1">
      <c r="B61" s="465"/>
      <c r="C61" s="429"/>
      <c r="D61" s="459"/>
      <c r="E61" s="460"/>
      <c r="F61" s="461"/>
      <c r="G61" s="459"/>
      <c r="H61" s="462"/>
      <c r="I61" s="462"/>
      <c r="J61" s="462"/>
      <c r="K61" s="463"/>
      <c r="L61" s="464"/>
      <c r="M61" s="50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ht="18" customHeight="1" thickBot="1">
      <c r="B62" s="59"/>
      <c r="C62" s="30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 t="s">
        <v>41</v>
      </c>
      <c r="O62" s="56"/>
      <c r="P62" s="60"/>
    </row>
    <row r="63" spans="2:57" ht="15.75" thickBot="1">
      <c r="B63" s="498" t="s">
        <v>55</v>
      </c>
      <c r="C63" s="499"/>
      <c r="D63" s="499"/>
      <c r="E63" s="499"/>
      <c r="F63" s="500"/>
      <c r="G63" s="498" t="s">
        <v>56</v>
      </c>
      <c r="H63" s="499"/>
      <c r="I63" s="499"/>
      <c r="J63" s="500"/>
      <c r="K63" s="498" t="s">
        <v>51</v>
      </c>
      <c r="L63" s="499"/>
      <c r="M63" s="499"/>
      <c r="N63" s="501"/>
      <c r="O63" s="56"/>
      <c r="P63" s="50"/>
    </row>
    <row r="64" spans="2:57" ht="15">
      <c r="B64" s="61" t="s">
        <v>17</v>
      </c>
      <c r="C64" s="62" t="s">
        <v>36</v>
      </c>
      <c r="D64" s="62" t="s">
        <v>37</v>
      </c>
      <c r="E64" s="62" t="s">
        <v>38</v>
      </c>
      <c r="F64" s="63" t="s">
        <v>39</v>
      </c>
      <c r="G64" s="62" t="s">
        <v>36</v>
      </c>
      <c r="H64" s="62" t="s">
        <v>37</v>
      </c>
      <c r="I64" s="62" t="s">
        <v>38</v>
      </c>
      <c r="J64" s="63" t="s">
        <v>39</v>
      </c>
      <c r="K64" s="62" t="s">
        <v>36</v>
      </c>
      <c r="L64" s="62" t="s">
        <v>37</v>
      </c>
      <c r="M64" s="62" t="s">
        <v>38</v>
      </c>
      <c r="N64" s="63" t="s">
        <v>39</v>
      </c>
      <c r="O64" s="56"/>
      <c r="P64" s="64"/>
    </row>
    <row r="65" spans="2:16" ht="15">
      <c r="B65" s="29" t="s">
        <v>6</v>
      </c>
      <c r="C65" s="65">
        <f>L52</f>
        <v>5.744888023369028</v>
      </c>
      <c r="D65" s="76">
        <v>5.2478618284480651</v>
      </c>
      <c r="E65" s="76">
        <v>6.3923476153523184</v>
      </c>
      <c r="F65" s="66">
        <v>4.8</v>
      </c>
      <c r="G65" s="65">
        <f>[18]October_2026!$J$11</f>
        <v>6.1252557068905515</v>
      </c>
      <c r="H65" s="476">
        <v>5.963275310235316</v>
      </c>
      <c r="I65" s="476">
        <v>6.5069923206308973</v>
      </c>
      <c r="J65" s="66">
        <v>4.8</v>
      </c>
      <c r="K65" s="67">
        <f>AVERAGE(K52)</f>
        <v>0.33964912280701753</v>
      </c>
      <c r="L65" s="194">
        <v>0.73442105263157886</v>
      </c>
      <c r="M65" s="194">
        <v>0.54799259796201205</v>
      </c>
      <c r="N65" s="68">
        <v>1</v>
      </c>
      <c r="O65" s="56"/>
      <c r="P65" s="69"/>
    </row>
    <row r="66" spans="2:16" ht="15">
      <c r="B66" s="33" t="s">
        <v>9</v>
      </c>
      <c r="C66" s="65"/>
      <c r="D66" s="76"/>
      <c r="E66" s="76">
        <v>6.034529382425224</v>
      </c>
      <c r="F66" s="66">
        <v>4.8</v>
      </c>
      <c r="G66" s="65"/>
      <c r="H66" s="76"/>
      <c r="I66" s="76">
        <v>5.9275658832823668</v>
      </c>
      <c r="J66" s="66">
        <v>4.8</v>
      </c>
      <c r="K66" s="67"/>
      <c r="L66" s="194"/>
      <c r="M66" s="194">
        <v>0.68249290906882254</v>
      </c>
      <c r="N66" s="68">
        <v>1</v>
      </c>
      <c r="P66" s="69"/>
    </row>
    <row r="67" spans="2:16" ht="15">
      <c r="B67" s="34" t="s">
        <v>40</v>
      </c>
      <c r="C67" s="65"/>
      <c r="D67" s="76"/>
      <c r="E67" s="76">
        <v>10.890214570112384</v>
      </c>
      <c r="F67" s="66">
        <v>5.5</v>
      </c>
      <c r="G67" s="65"/>
      <c r="H67" s="76"/>
      <c r="I67" s="76">
        <v>11.797659278069149</v>
      </c>
      <c r="J67" s="66">
        <v>5.5</v>
      </c>
      <c r="K67" s="67"/>
      <c r="L67" s="194"/>
      <c r="M67" s="194">
        <v>0.35370190356844494</v>
      </c>
      <c r="N67" s="68">
        <v>1</v>
      </c>
      <c r="P67" s="69"/>
    </row>
    <row r="68" spans="2:16" ht="15">
      <c r="B68" s="22" t="s">
        <v>33</v>
      </c>
      <c r="C68" s="65"/>
      <c r="D68" s="76">
        <v>2.6160971335586405</v>
      </c>
      <c r="E68" s="76">
        <v>4.6053599467161712</v>
      </c>
      <c r="F68" s="66">
        <v>3.3</v>
      </c>
      <c r="G68" s="65"/>
      <c r="H68" s="76">
        <v>4.0562064167659644</v>
      </c>
      <c r="I68" s="76">
        <v>4.7835858167498584</v>
      </c>
      <c r="J68" s="66">
        <v>3.3</v>
      </c>
      <c r="K68" s="67"/>
      <c r="L68" s="194">
        <v>1.3649122807017544</v>
      </c>
      <c r="M68" s="194">
        <v>0.83244019138755987</v>
      </c>
      <c r="N68" s="68">
        <v>1</v>
      </c>
      <c r="P68" s="69"/>
    </row>
    <row r="69" spans="2:16" ht="15">
      <c r="B69" s="35" t="s">
        <v>164</v>
      </c>
      <c r="C69" s="65"/>
      <c r="D69" s="76"/>
      <c r="E69" s="76"/>
      <c r="F69" s="66">
        <v>3.3</v>
      </c>
      <c r="G69" s="282"/>
      <c r="H69" s="76"/>
      <c r="I69" s="76"/>
      <c r="J69" s="66">
        <v>3</v>
      </c>
      <c r="K69" s="67"/>
      <c r="L69" s="194"/>
      <c r="M69" s="194"/>
      <c r="N69" s="68">
        <v>1</v>
      </c>
      <c r="P69" s="69"/>
    </row>
    <row r="70" spans="2:16" ht="15">
      <c r="B70" s="36" t="s">
        <v>15</v>
      </c>
      <c r="C70" s="65"/>
      <c r="D70" s="76"/>
      <c r="E70" s="76">
        <v>6.3233965672990236</v>
      </c>
      <c r="F70" s="70">
        <v>5.5</v>
      </c>
      <c r="G70" s="65"/>
      <c r="H70" s="76"/>
      <c r="I70" s="76">
        <v>7.9667553186446929</v>
      </c>
      <c r="J70" s="66">
        <v>5.5</v>
      </c>
      <c r="K70" s="67"/>
      <c r="L70" s="194"/>
      <c r="M70" s="194">
        <v>0.5883625730994152</v>
      </c>
      <c r="N70" s="68">
        <v>1</v>
      </c>
      <c r="P70" s="69"/>
    </row>
    <row r="71" spans="2:16" ht="15">
      <c r="B71" s="37" t="s">
        <v>16</v>
      </c>
      <c r="C71" s="481"/>
      <c r="D71" s="76"/>
      <c r="E71" s="76">
        <v>3.9973372218347856</v>
      </c>
      <c r="F71" s="66">
        <v>3.3</v>
      </c>
      <c r="G71" s="282"/>
      <c r="H71" s="76"/>
      <c r="I71" s="76">
        <v>5.1096183510504902</v>
      </c>
      <c r="J71" s="66">
        <v>3.3</v>
      </c>
      <c r="K71" s="67"/>
      <c r="L71" s="194"/>
      <c r="M71" s="194">
        <v>0.89057130004498408</v>
      </c>
      <c r="N71" s="71">
        <v>1</v>
      </c>
      <c r="P71" s="69"/>
    </row>
    <row r="72" spans="2:16" ht="15.75" thickBot="1">
      <c r="B72" s="38" t="s">
        <v>163</v>
      </c>
      <c r="C72" s="65"/>
      <c r="D72" s="76"/>
      <c r="E72" s="76"/>
      <c r="F72" s="66">
        <v>7.5</v>
      </c>
      <c r="G72" s="282"/>
      <c r="H72" s="76"/>
      <c r="I72" s="76"/>
      <c r="J72" s="66">
        <v>7.5</v>
      </c>
      <c r="K72" s="67"/>
      <c r="L72" s="194"/>
      <c r="M72" s="194"/>
      <c r="N72" s="71">
        <v>1</v>
      </c>
      <c r="P72" s="69"/>
    </row>
    <row r="73" spans="2:16" ht="15.75" thickBot="1">
      <c r="B73" s="413" t="s">
        <v>161</v>
      </c>
      <c r="C73" s="65"/>
      <c r="D73" s="76"/>
      <c r="E73" s="76"/>
      <c r="F73" s="66">
        <v>4.8</v>
      </c>
      <c r="G73" s="282"/>
      <c r="H73" s="76"/>
      <c r="I73" s="76"/>
      <c r="J73" s="66">
        <v>4.8</v>
      </c>
      <c r="K73" s="67"/>
      <c r="L73" s="194"/>
      <c r="M73" s="194"/>
      <c r="N73" s="71">
        <v>1</v>
      </c>
      <c r="O73" s="74"/>
      <c r="P73" s="75"/>
    </row>
    <row r="74" spans="2:16" ht="15">
      <c r="D74" s="76">
        <v>4.5923616523772459</v>
      </c>
      <c r="E74" s="76">
        <v>6.3183992828523285</v>
      </c>
      <c r="F74" s="341">
        <v>5.5</v>
      </c>
      <c r="H74" s="76">
        <v>5.3491958047256141</v>
      </c>
      <c r="I74" s="76">
        <v>6.620534077895524</v>
      </c>
      <c r="J74" s="341">
        <v>5.5</v>
      </c>
      <c r="L74" s="194">
        <v>0.8395029239766082</v>
      </c>
      <c r="M74" s="194">
        <v>0.60307140602546827</v>
      </c>
      <c r="N74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1:N21"/>
    <mergeCell ref="D22:E22"/>
    <mergeCell ref="B23:B34"/>
    <mergeCell ref="D23:E24"/>
    <mergeCell ref="D25:E26"/>
    <mergeCell ref="D27:E28"/>
    <mergeCell ref="D29:E30"/>
    <mergeCell ref="D31:E32"/>
    <mergeCell ref="D33:E34"/>
    <mergeCell ref="B35:B44"/>
    <mergeCell ref="D35:E36"/>
    <mergeCell ref="J35:K35"/>
    <mergeCell ref="L36:N36"/>
    <mergeCell ref="D37:E38"/>
    <mergeCell ref="D39:E40"/>
    <mergeCell ref="D41:E42"/>
    <mergeCell ref="D43:E44"/>
    <mergeCell ref="D45:E45"/>
    <mergeCell ref="B50:B51"/>
    <mergeCell ref="C50:C51"/>
    <mergeCell ref="D50:D51"/>
    <mergeCell ref="E50:E51"/>
    <mergeCell ref="M50:M51"/>
    <mergeCell ref="B63:F63"/>
    <mergeCell ref="G63:J63"/>
    <mergeCell ref="K63:N63"/>
    <mergeCell ref="G50:G51"/>
    <mergeCell ref="H50:H51"/>
    <mergeCell ref="I50:I51"/>
    <mergeCell ref="J50:J51"/>
    <mergeCell ref="K50:K51"/>
    <mergeCell ref="L50:L51"/>
    <mergeCell ref="F50:F51"/>
  </mergeCells>
  <conditionalFormatting sqref="B45:B46">
    <cfRule type="cellIs" dxfId="1343" priority="104" operator="notBetween">
      <formula>#REF!</formula>
      <formula>#REF!</formula>
    </cfRule>
  </conditionalFormatting>
  <conditionalFormatting sqref="C49">
    <cfRule type="cellIs" dxfId="1342" priority="187" stopIfTrue="1" operator="greaterThan">
      <formula>100</formula>
    </cfRule>
    <cfRule type="cellIs" dxfId="1341" priority="186" stopIfTrue="1" operator="lessThan">
      <formula>96</formula>
    </cfRule>
  </conditionalFormatting>
  <conditionalFormatting sqref="C65:C66">
    <cfRule type="cellIs" dxfId="1340" priority="68" stopIfTrue="1" operator="lessThanOrEqual">
      <formula>0</formula>
    </cfRule>
    <cfRule type="cellIs" dxfId="1339" priority="69" stopIfTrue="1" operator="greaterThan">
      <formula>$F65</formula>
    </cfRule>
    <cfRule type="cellIs" dxfId="1338" priority="70" stopIfTrue="1" operator="lessThanOrEqual">
      <formula>0</formula>
    </cfRule>
    <cfRule type="cellIs" dxfId="1337" priority="67" stopIfTrue="1" operator="greaterThan">
      <formula>$F65</formula>
    </cfRule>
  </conditionalFormatting>
  <conditionalFormatting sqref="C67:C69 C71:C73">
    <cfRule type="cellIs" dxfId="1336" priority="76" stopIfTrue="1" operator="greaterThan">
      <formula>$F70</formula>
    </cfRule>
  </conditionalFormatting>
  <conditionalFormatting sqref="C67:C69">
    <cfRule type="cellIs" dxfId="1335" priority="77" stopIfTrue="1" operator="lessThanOrEqual">
      <formula>0</formula>
    </cfRule>
  </conditionalFormatting>
  <conditionalFormatting sqref="C70">
    <cfRule type="cellIs" dxfId="1334" priority="189" stopIfTrue="1" operator="lessThanOrEqual">
      <formula>0</formula>
    </cfRule>
    <cfRule type="cellIs" dxfId="1333" priority="188" stopIfTrue="1" operator="greaterThan">
      <formula>$F65</formula>
    </cfRule>
    <cfRule type="cellIs" dxfId="1332" priority="190" stopIfTrue="1" operator="greaterThan">
      <formula>$F65</formula>
    </cfRule>
    <cfRule type="cellIs" dxfId="1331" priority="191" stopIfTrue="1" operator="lessThanOrEqual">
      <formula>0</formula>
    </cfRule>
  </conditionalFormatting>
  <conditionalFormatting sqref="C71:C73">
    <cfRule type="cellIs" dxfId="1330" priority="78" stopIfTrue="1" operator="lessThanOrEqual">
      <formula>0</formula>
    </cfRule>
  </conditionalFormatting>
  <conditionalFormatting sqref="C76:C80">
    <cfRule type="cellIs" dxfId="1329" priority="178" stopIfTrue="1" operator="lessThanOrEqual">
      <formula>0</formula>
    </cfRule>
  </conditionalFormatting>
  <conditionalFormatting sqref="C77:C80">
    <cfRule type="cellIs" dxfId="1328" priority="177" stopIfTrue="1" operator="greaterThan">
      <formula>$F$76</formula>
    </cfRule>
  </conditionalFormatting>
  <conditionalFormatting sqref="C82">
    <cfRule type="cellIs" dxfId="1327" priority="180" stopIfTrue="1" operator="lessThanOrEqual">
      <formula>0</formula>
    </cfRule>
    <cfRule type="cellIs" dxfId="1326" priority="179" stopIfTrue="1" operator="greaterThan">
      <formula>$F$76</formula>
    </cfRule>
  </conditionalFormatting>
  <conditionalFormatting sqref="C70:D70">
    <cfRule type="cellIs" dxfId="1325" priority="65" stopIfTrue="1" operator="greaterThan">
      <formula>$J70</formula>
    </cfRule>
    <cfRule type="cellIs" dxfId="1324" priority="66" stopIfTrue="1" operator="lessThanOrEqual">
      <formula>0</formula>
    </cfRule>
  </conditionalFormatting>
  <conditionalFormatting sqref="C76:D76 D78:D84">
    <cfRule type="cellIs" dxfId="1323" priority="172" stopIfTrue="1" operator="greaterThan">
      <formula>4.5</formula>
    </cfRule>
  </conditionalFormatting>
  <conditionalFormatting sqref="D45:D46">
    <cfRule type="cellIs" dxfId="1322" priority="105" operator="notBetween">
      <formula>#REF!</formula>
      <formula>#REF!</formula>
    </cfRule>
  </conditionalFormatting>
  <conditionalFormatting sqref="D65:D69 D71:D72">
    <cfRule type="cellIs" dxfId="1321" priority="75" stopIfTrue="1" operator="lessThanOrEqual">
      <formula>0</formula>
    </cfRule>
  </conditionalFormatting>
  <conditionalFormatting sqref="D65:D69 D71:D74">
    <cfRule type="cellIs" dxfId="1320" priority="71" stopIfTrue="1" operator="lessThanOrEqual">
      <formula>0</formula>
    </cfRule>
    <cfRule type="cellIs" dxfId="1319" priority="72" stopIfTrue="1" operator="greaterThan">
      <formula>$F65</formula>
    </cfRule>
  </conditionalFormatting>
  <conditionalFormatting sqref="D73:D74">
    <cfRule type="cellIs" dxfId="1318" priority="73" stopIfTrue="1" operator="lessThanOrEqual">
      <formula>0</formula>
    </cfRule>
  </conditionalFormatting>
  <conditionalFormatting sqref="D74">
    <cfRule type="cellIs" dxfId="1317" priority="74" stopIfTrue="1" operator="lessThanOrEqual">
      <formula>0</formula>
    </cfRule>
  </conditionalFormatting>
  <conditionalFormatting sqref="D76 D78:D84">
    <cfRule type="cellIs" dxfId="1316" priority="173" stopIfTrue="1" operator="lessThanOrEqual">
      <formula>0</formula>
    </cfRule>
  </conditionalFormatting>
  <conditionalFormatting sqref="D77">
    <cfRule type="cellIs" dxfId="1315" priority="164" stopIfTrue="1" operator="greaterThan">
      <formula>$F$76</formula>
    </cfRule>
    <cfRule type="cellIs" dxfId="1314" priority="165" stopIfTrue="1" operator="lessThanOrEqual">
      <formula>0</formula>
    </cfRule>
  </conditionalFormatting>
  <conditionalFormatting sqref="E10:E20">
    <cfRule type="cellIs" dxfId="1313" priority="8" operator="lessThan">
      <formula>48</formula>
    </cfRule>
  </conditionalFormatting>
  <conditionalFormatting sqref="E48 E49:F49">
    <cfRule type="cellIs" dxfId="1312" priority="169" stopIfTrue="1" operator="greaterThan">
      <formula>100</formula>
    </cfRule>
  </conditionalFormatting>
  <conditionalFormatting sqref="E49">
    <cfRule type="cellIs" dxfId="1311" priority="167" stopIfTrue="1" operator="greaterThan">
      <formula>100</formula>
    </cfRule>
    <cfRule type="cellIs" dxfId="1310" priority="166" stopIfTrue="1" operator="lessThan">
      <formula>96.8</formula>
    </cfRule>
  </conditionalFormatting>
  <conditionalFormatting sqref="E65:E73">
    <cfRule type="cellIs" dxfId="1309" priority="38" stopIfTrue="1" operator="lessThanOrEqual">
      <formula>0</formula>
    </cfRule>
  </conditionalFormatting>
  <conditionalFormatting sqref="E65:E74">
    <cfRule type="cellIs" dxfId="1308" priority="39" stopIfTrue="1" operator="greaterThan">
      <formula>$F65</formula>
    </cfRule>
    <cfRule type="cellIs" dxfId="1307" priority="40" stopIfTrue="1" operator="lessThanOrEqual">
      <formula>0</formula>
    </cfRule>
  </conditionalFormatting>
  <conditionalFormatting sqref="E74">
    <cfRule type="cellIs" dxfId="1306" priority="41" stopIfTrue="1" operator="lessThanOrEqual">
      <formula>0</formula>
    </cfRule>
  </conditionalFormatting>
  <conditionalFormatting sqref="E76:E84">
    <cfRule type="cellIs" dxfId="1305" priority="158" stopIfTrue="1" operator="greaterThan">
      <formula>4.5</formula>
    </cfRule>
    <cfRule type="cellIs" dxfId="1304" priority="159" stopIfTrue="1" operator="lessThanOrEqual">
      <formula>0</formula>
    </cfRule>
  </conditionalFormatting>
  <conditionalFormatting sqref="E49:F49 E48">
    <cfRule type="cellIs" dxfId="1303" priority="168" stopIfTrue="1" operator="lessThan">
      <formula>96.5</formula>
    </cfRule>
  </conditionalFormatting>
  <conditionalFormatting sqref="F10:F20">
    <cfRule type="cellIs" dxfId="1302" priority="9" operator="greaterThan">
      <formula>60</formula>
    </cfRule>
  </conditionalFormatting>
  <conditionalFormatting sqref="F49">
    <cfRule type="cellIs" dxfId="1301" priority="184" stopIfTrue="1" operator="lessThan">
      <formula>96.8</formula>
    </cfRule>
    <cfRule type="cellIs" dxfId="1300" priority="185" stopIfTrue="1" operator="greaterThan">
      <formula>100</formula>
    </cfRule>
  </conditionalFormatting>
  <conditionalFormatting sqref="G20">
    <cfRule type="expression" dxfId="1299" priority="13">
      <formula>IF(+(IF(G20&lt;S20,0,IF(G20&gt;T20,0,1)))=0,1)</formula>
    </cfRule>
  </conditionalFormatting>
  <conditionalFormatting sqref="G65:G68 F74">
    <cfRule type="cellIs" dxfId="1298" priority="48" stopIfTrue="1" operator="lessThanOrEqual">
      <formula>0</formula>
    </cfRule>
    <cfRule type="cellIs" dxfId="1297" priority="47" stopIfTrue="1" operator="greaterThan">
      <formula>$F65</formula>
    </cfRule>
  </conditionalFormatting>
  <conditionalFormatting sqref="G67:G68">
    <cfRule type="cellIs" dxfId="1296" priority="34" stopIfTrue="1" operator="lessThanOrEqual">
      <formula>0</formula>
    </cfRule>
    <cfRule type="cellIs" dxfId="1295" priority="33" stopIfTrue="1" operator="greaterThan">
      <formula>$F67</formula>
    </cfRule>
  </conditionalFormatting>
  <conditionalFormatting sqref="G69:G73">
    <cfRule type="cellIs" dxfId="1294" priority="50" stopIfTrue="1" operator="lessThanOrEqual">
      <formula>0</formula>
    </cfRule>
    <cfRule type="cellIs" dxfId="1293" priority="49" stopIfTrue="1" operator="greaterThan">
      <formula>$J69</formula>
    </cfRule>
  </conditionalFormatting>
  <conditionalFormatting sqref="G70">
    <cfRule type="cellIs" dxfId="1292" priority="193" stopIfTrue="1" operator="lessThanOrEqual">
      <formula>0</formula>
    </cfRule>
    <cfRule type="cellIs" dxfId="1291" priority="192" stopIfTrue="1" operator="greaterThan">
      <formula>$F65</formula>
    </cfRule>
  </conditionalFormatting>
  <conditionalFormatting sqref="G78:G83 C81 C83">
    <cfRule type="cellIs" dxfId="1290" priority="181" stopIfTrue="1" operator="greaterThan">
      <formula>4.5</formula>
    </cfRule>
    <cfRule type="cellIs" dxfId="1289" priority="182" stopIfTrue="1" operator="lessThanOrEqual">
      <formula>0</formula>
    </cfRule>
  </conditionalFormatting>
  <conditionalFormatting sqref="G77:H77">
    <cfRule type="cellIs" dxfId="1288" priority="162" stopIfTrue="1" operator="greaterThan">
      <formula>$F$76</formula>
    </cfRule>
    <cfRule type="cellIs" dxfId="1287" priority="163" stopIfTrue="1" operator="lessThanOrEqual">
      <formula>0</formula>
    </cfRule>
  </conditionalFormatting>
  <conditionalFormatting sqref="H34:H35 H48">
    <cfRule type="cellIs" dxfId="1286" priority="160" stopIfTrue="1" operator="greaterThan">
      <formula>0</formula>
    </cfRule>
  </conditionalFormatting>
  <conditionalFormatting sqref="H52">
    <cfRule type="cellIs" dxfId="1285" priority="52" stopIfTrue="1" operator="lessThanOrEqual">
      <formula>0</formula>
    </cfRule>
    <cfRule type="cellIs" dxfId="1284" priority="53" stopIfTrue="1" operator="greaterThan">
      <formula>$F$65</formula>
    </cfRule>
    <cfRule type="cellIs" dxfId="1283" priority="61" stopIfTrue="1" operator="greaterThan">
      <formula>$F$68</formula>
    </cfRule>
    <cfRule type="cellIs" dxfId="1282" priority="62" stopIfTrue="1" operator="lessThanOrEqual">
      <formula>0</formula>
    </cfRule>
    <cfRule type="cellIs" dxfId="1281" priority="63" stopIfTrue="1" operator="greaterThan">
      <formula>$F$66</formula>
    </cfRule>
  </conditionalFormatting>
  <conditionalFormatting sqref="H52:H53">
    <cfRule type="cellIs" dxfId="1280" priority="64" stopIfTrue="1" operator="lessThanOrEqual">
      <formula>0</formula>
    </cfRule>
  </conditionalFormatting>
  <conditionalFormatting sqref="H53 H55:H56">
    <cfRule type="cellIs" dxfId="1279" priority="90" stopIfTrue="1" operator="lessThanOrEqual">
      <formula>0</formula>
    </cfRule>
  </conditionalFormatting>
  <conditionalFormatting sqref="H53">
    <cfRule type="cellIs" dxfId="1278" priority="79" stopIfTrue="1" operator="greaterThan">
      <formula>$F$65</formula>
    </cfRule>
    <cfRule type="cellIs" dxfId="1277" priority="87" stopIfTrue="1" operator="greaterThan">
      <formula>$F$68</formula>
    </cfRule>
    <cfRule type="cellIs" dxfId="1276" priority="88" stopIfTrue="1" operator="lessThanOrEqual">
      <formula>0</formula>
    </cfRule>
    <cfRule type="cellIs" dxfId="1275" priority="89" stopIfTrue="1" operator="greaterThan">
      <formula>$F$66</formula>
    </cfRule>
  </conditionalFormatting>
  <conditionalFormatting sqref="H54">
    <cfRule type="cellIs" dxfId="1274" priority="30" stopIfTrue="1" operator="greaterThan">
      <formula>$F$68</formula>
    </cfRule>
    <cfRule type="cellIs" dxfId="1273" priority="29" stopIfTrue="1" operator="lessThanOrEqual">
      <formula>0</formula>
    </cfRule>
    <cfRule type="cellIs" dxfId="1272" priority="28" stopIfTrue="1" operator="greaterThan">
      <formula>$F$70</formula>
    </cfRule>
    <cfRule type="cellIs" dxfId="1271" priority="31" stopIfTrue="1" operator="lessThanOrEqual">
      <formula>0</formula>
    </cfRule>
    <cfRule type="cellIs" dxfId="1270" priority="20" stopIfTrue="1" operator="greaterThan">
      <formula>$F$67</formula>
    </cfRule>
    <cfRule type="cellIs" dxfId="1269" priority="19" stopIfTrue="1" operator="lessThanOrEqual">
      <formula>0</formula>
    </cfRule>
  </conditionalFormatting>
  <conditionalFormatting sqref="H55:H56">
    <cfRule type="cellIs" dxfId="1268" priority="103" stopIfTrue="1" operator="lessThanOrEqual">
      <formula>0</formula>
    </cfRule>
    <cfRule type="cellIs" dxfId="1267" priority="100" stopIfTrue="1" operator="greaterThan">
      <formula>$F$68</formula>
    </cfRule>
    <cfRule type="cellIs" dxfId="1266" priority="92" stopIfTrue="1" operator="greaterThan">
      <formula>$F$65</formula>
    </cfRule>
    <cfRule type="cellIs" dxfId="1265" priority="102" stopIfTrue="1" operator="greaterThan">
      <formula>$F$66</formula>
    </cfRule>
    <cfRule type="cellIs" dxfId="1264" priority="101" stopIfTrue="1" operator="lessThanOrEqual">
      <formula>0</formula>
    </cfRule>
  </conditionalFormatting>
  <conditionalFormatting sqref="H57:H58">
    <cfRule type="cellIs" dxfId="1263" priority="136" stopIfTrue="1" operator="greaterThan">
      <formula>#REF!</formula>
    </cfRule>
    <cfRule type="cellIs" dxfId="1262" priority="137" stopIfTrue="1" operator="lessThanOrEqual">
      <formula>0</formula>
    </cfRule>
    <cfRule type="cellIs" dxfId="1261" priority="127" stopIfTrue="1" operator="lessThanOrEqual">
      <formula>0</formula>
    </cfRule>
    <cfRule type="cellIs" dxfId="1260" priority="128" stopIfTrue="1" operator="greaterThan">
      <formula>#REF!</formula>
    </cfRule>
  </conditionalFormatting>
  <conditionalFormatting sqref="H59">
    <cfRule type="cellIs" dxfId="1259" priority="151" stopIfTrue="1" operator="lessThanOrEqual">
      <formula>0</formula>
    </cfRule>
    <cfRule type="cellIs" dxfId="1258" priority="149" stopIfTrue="1" operator="lessThanOrEqual">
      <formula>0</formula>
    </cfRule>
    <cfRule type="cellIs" dxfId="1257" priority="139" stopIfTrue="1" operator="lessThanOrEqual">
      <formula>0</formula>
    </cfRule>
    <cfRule type="cellIs" dxfId="1256" priority="140" stopIfTrue="1" operator="greaterThan">
      <formula>$F$33</formula>
    </cfRule>
    <cfRule type="cellIs" dxfId="1255" priority="148" stopIfTrue="1" operator="greaterThan">
      <formula>$F$36</formula>
    </cfRule>
    <cfRule type="cellIs" dxfId="1254" priority="150" stopIfTrue="1" operator="greaterThan">
      <formula>$F$34</formula>
    </cfRule>
  </conditionalFormatting>
  <conditionalFormatting sqref="H60:H61">
    <cfRule type="cellIs" dxfId="1253" priority="124" stopIfTrue="1" operator="greaterThan">
      <formula>#REF!</formula>
    </cfRule>
    <cfRule type="cellIs" dxfId="1252" priority="125" stopIfTrue="1" operator="lessThanOrEqual">
      <formula>0</formula>
    </cfRule>
    <cfRule type="cellIs" dxfId="1251" priority="115" stopIfTrue="1" operator="lessThanOrEqual">
      <formula>0</formula>
    </cfRule>
    <cfRule type="cellIs" dxfId="1250" priority="116" stopIfTrue="1" operator="greaterThan">
      <formula>#REF!</formula>
    </cfRule>
  </conditionalFormatting>
  <conditionalFormatting sqref="H76 H78:H84">
    <cfRule type="cellIs" dxfId="1249" priority="174" stopIfTrue="1" operator="greaterThan">
      <formula>4.5</formula>
    </cfRule>
    <cfRule type="cellIs" dxfId="1248" priority="175" stopIfTrue="1" operator="lessThanOrEqual">
      <formula>0</formula>
    </cfRule>
  </conditionalFormatting>
  <conditionalFormatting sqref="H52:I52">
    <cfRule type="cellIs" dxfId="1247" priority="54" stopIfTrue="1" operator="lessThanOrEqual">
      <formula>0</formula>
    </cfRule>
  </conditionalFormatting>
  <conditionalFormatting sqref="H52:I53 H55:I56">
    <cfRule type="cellIs" dxfId="1246" priority="51" stopIfTrue="1" operator="greaterThan">
      <formula>$F$67</formula>
    </cfRule>
  </conditionalFormatting>
  <conditionalFormatting sqref="H53:I53">
    <cfRule type="cellIs" dxfId="1245" priority="80" stopIfTrue="1" operator="lessThanOrEqual">
      <formula>0</formula>
    </cfRule>
  </conditionalFormatting>
  <conditionalFormatting sqref="H54:I54">
    <cfRule type="cellIs" dxfId="1244" priority="21" stopIfTrue="1" operator="lessThanOrEqual">
      <formula>0</formula>
    </cfRule>
    <cfRule type="cellIs" dxfId="1243" priority="18" stopIfTrue="1" operator="greaterThan">
      <formula>$F$69</formula>
    </cfRule>
  </conditionalFormatting>
  <conditionalFormatting sqref="H55:I56">
    <cfRule type="cellIs" dxfId="1242" priority="93" stopIfTrue="1" operator="lessThanOrEqual">
      <formula>0</formula>
    </cfRule>
  </conditionalFormatting>
  <conditionalFormatting sqref="H57:I58">
    <cfRule type="cellIs" dxfId="1241" priority="129" stopIfTrue="1" operator="lessThanOrEqual">
      <formula>0</formula>
    </cfRule>
    <cfRule type="cellIs" dxfId="1240" priority="134" stopIfTrue="1" operator="greaterThan">
      <formula>#REF!</formula>
    </cfRule>
    <cfRule type="cellIs" dxfId="1239" priority="135" stopIfTrue="1" operator="lessThanOrEqual">
      <formula>0</formula>
    </cfRule>
    <cfRule type="cellIs" dxfId="1238" priority="126" stopIfTrue="1" operator="greaterThan">
      <formula>#REF!</formula>
    </cfRule>
  </conditionalFormatting>
  <conditionalFormatting sqref="H59:I59">
    <cfRule type="cellIs" dxfId="1237" priority="138" stopIfTrue="1" operator="greaterThan">
      <formula>$F$35</formula>
    </cfRule>
    <cfRule type="cellIs" dxfId="1236" priority="141" stopIfTrue="1" operator="lessThanOrEqual">
      <formula>0</formula>
    </cfRule>
  </conditionalFormatting>
  <conditionalFormatting sqref="H60:I61">
    <cfRule type="cellIs" dxfId="1235" priority="114" stopIfTrue="1" operator="greaterThan">
      <formula>#REF!</formula>
    </cfRule>
    <cfRule type="cellIs" dxfId="1234" priority="117" stopIfTrue="1" operator="lessThanOrEqual">
      <formula>0</formula>
    </cfRule>
    <cfRule type="cellIs" dxfId="1233" priority="122" stopIfTrue="1" operator="greaterThan">
      <formula>#REF!</formula>
    </cfRule>
    <cfRule type="cellIs" dxfId="1232" priority="123" stopIfTrue="1" operator="lessThanOrEqual">
      <formula>0</formula>
    </cfRule>
  </conditionalFormatting>
  <conditionalFormatting sqref="H65:I72">
    <cfRule type="cellIs" dxfId="1231" priority="37" stopIfTrue="1" operator="lessThanOrEqual">
      <formula>0</formula>
    </cfRule>
    <cfRule type="cellIs" dxfId="1230" priority="36" stopIfTrue="1" operator="greaterThan">
      <formula>$J65</formula>
    </cfRule>
  </conditionalFormatting>
  <conditionalFormatting sqref="H73:I73">
    <cfRule type="cellIs" dxfId="1229" priority="44" operator="greaterThan">
      <formula>5.3</formula>
    </cfRule>
  </conditionalFormatting>
  <conditionalFormatting sqref="H74:I74">
    <cfRule type="cellIs" dxfId="1228" priority="43" stopIfTrue="1" operator="lessThanOrEqual">
      <formula>0</formula>
    </cfRule>
    <cfRule type="cellIs" dxfId="1227" priority="42" stopIfTrue="1" operator="greaterThan">
      <formula>$J74</formula>
    </cfRule>
  </conditionalFormatting>
  <conditionalFormatting sqref="I52">
    <cfRule type="cellIs" dxfId="1226" priority="57" stopIfTrue="1" operator="greaterThan">
      <formula>$F$67</formula>
    </cfRule>
    <cfRule type="cellIs" dxfId="1225" priority="55" stopIfTrue="1" operator="greaterThan">
      <formula>$F$65</formula>
    </cfRule>
    <cfRule type="cellIs" dxfId="1224" priority="58" stopIfTrue="1" operator="lessThanOrEqual">
      <formula>0</formula>
    </cfRule>
    <cfRule type="cellIs" dxfId="1223" priority="59" stopIfTrue="1" operator="greaterThan">
      <formula>$F$65</formula>
    </cfRule>
    <cfRule type="cellIs" dxfId="1222" priority="60" stopIfTrue="1" operator="lessThanOrEqual">
      <formula>0</formula>
    </cfRule>
    <cfRule type="cellIs" dxfId="1221" priority="56" stopIfTrue="1" operator="lessThanOrEqual">
      <formula>0</formula>
    </cfRule>
  </conditionalFormatting>
  <conditionalFormatting sqref="I53">
    <cfRule type="cellIs" dxfId="1220" priority="81" stopIfTrue="1" operator="greaterThan">
      <formula>$F$65</formula>
    </cfRule>
    <cfRule type="cellIs" dxfId="1219" priority="82" stopIfTrue="1" operator="lessThanOrEqual">
      <formula>0</formula>
    </cfRule>
    <cfRule type="cellIs" dxfId="1218" priority="84" stopIfTrue="1" operator="lessThanOrEqual">
      <formula>0</formula>
    </cfRule>
    <cfRule type="cellIs" dxfId="1217" priority="85" stopIfTrue="1" operator="greaterThan">
      <formula>$F$65</formula>
    </cfRule>
    <cfRule type="cellIs" dxfId="1216" priority="86" stopIfTrue="1" operator="lessThanOrEqual">
      <formula>0</formula>
    </cfRule>
    <cfRule type="cellIs" dxfId="1215" priority="83" stopIfTrue="1" operator="greaterThan">
      <formula>$F$67</formula>
    </cfRule>
  </conditionalFormatting>
  <conditionalFormatting sqref="I54">
    <cfRule type="cellIs" dxfId="1214" priority="22" stopIfTrue="1" operator="greaterThan">
      <formula>$F$67</formula>
    </cfRule>
    <cfRule type="cellIs" dxfId="1213" priority="24" stopIfTrue="1" operator="greaterThan">
      <formula>$F$69</formula>
    </cfRule>
    <cfRule type="cellIs" dxfId="1212" priority="23" stopIfTrue="1" operator="lessThanOrEqual">
      <formula>0</formula>
    </cfRule>
    <cfRule type="cellIs" dxfId="1211" priority="27" stopIfTrue="1" operator="lessThanOrEqual">
      <formula>0</formula>
    </cfRule>
    <cfRule type="cellIs" dxfId="1210" priority="26" stopIfTrue="1" operator="greaterThan">
      <formula>$F$67</formula>
    </cfRule>
    <cfRule type="cellIs" dxfId="1209" priority="25" stopIfTrue="1" operator="lessThanOrEqual">
      <formula>0</formula>
    </cfRule>
  </conditionalFormatting>
  <conditionalFormatting sqref="I55:I56">
    <cfRule type="cellIs" dxfId="1208" priority="96" stopIfTrue="1" operator="greaterThan">
      <formula>$F$67</formula>
    </cfRule>
    <cfRule type="cellIs" dxfId="1207" priority="97" stopIfTrue="1" operator="lessThanOrEqual">
      <formula>0</formula>
    </cfRule>
    <cfRule type="cellIs" dxfId="1206" priority="98" stopIfTrue="1" operator="greaterThan">
      <formula>$F$65</formula>
    </cfRule>
    <cfRule type="cellIs" dxfId="1205" priority="99" stopIfTrue="1" operator="lessThanOrEqual">
      <formula>0</formula>
    </cfRule>
    <cfRule type="cellIs" dxfId="1204" priority="94" stopIfTrue="1" operator="greaterThan">
      <formula>$F$65</formula>
    </cfRule>
    <cfRule type="cellIs" dxfId="1203" priority="95" stopIfTrue="1" operator="lessThanOrEqual">
      <formula>0</formula>
    </cfRule>
  </conditionalFormatting>
  <conditionalFormatting sqref="I57:I58">
    <cfRule type="cellIs" dxfId="1202" priority="133" stopIfTrue="1" operator="lessThanOrEqual">
      <formula>0</formula>
    </cfRule>
    <cfRule type="cellIs" dxfId="1201" priority="132" stopIfTrue="1" operator="greaterThan">
      <formula>#REF!</formula>
    </cfRule>
    <cfRule type="cellIs" dxfId="1200" priority="131" stopIfTrue="1" operator="lessThanOrEqual">
      <formula>0</formula>
    </cfRule>
    <cfRule type="cellIs" dxfId="1199" priority="130" stopIfTrue="1" operator="greaterThan">
      <formula>#REF!</formula>
    </cfRule>
  </conditionalFormatting>
  <conditionalFormatting sqref="I59">
    <cfRule type="cellIs" dxfId="1198" priority="144" stopIfTrue="1" operator="greaterThan">
      <formula>$F$35</formula>
    </cfRule>
    <cfRule type="cellIs" dxfId="1197" priority="145" stopIfTrue="1" operator="lessThanOrEqual">
      <formula>0</formula>
    </cfRule>
    <cfRule type="cellIs" dxfId="1196" priority="146" stopIfTrue="1" operator="greaterThan">
      <formula>$F$33</formula>
    </cfRule>
    <cfRule type="cellIs" dxfId="1195" priority="147" stopIfTrue="1" operator="lessThanOrEqual">
      <formula>0</formula>
    </cfRule>
    <cfRule type="cellIs" dxfId="1194" priority="143" stopIfTrue="1" operator="lessThanOrEqual">
      <formula>0</formula>
    </cfRule>
    <cfRule type="cellIs" dxfId="1193" priority="142" stopIfTrue="1" operator="greaterThan">
      <formula>$F$33</formula>
    </cfRule>
  </conditionalFormatting>
  <conditionalFormatting sqref="I60:I61">
    <cfRule type="cellIs" dxfId="1192" priority="121" stopIfTrue="1" operator="lessThanOrEqual">
      <formula>0</formula>
    </cfRule>
    <cfRule type="cellIs" dxfId="1191" priority="118" stopIfTrue="1" operator="greaterThan">
      <formula>#REF!</formula>
    </cfRule>
    <cfRule type="cellIs" dxfId="1190" priority="119" stopIfTrue="1" operator="lessThanOrEqual">
      <formula>0</formula>
    </cfRule>
    <cfRule type="cellIs" dxfId="1189" priority="120" stopIfTrue="1" operator="greaterThan">
      <formula>#REF!</formula>
    </cfRule>
  </conditionalFormatting>
  <conditionalFormatting sqref="I76:I84">
    <cfRule type="cellIs" dxfId="1188" priority="171" stopIfTrue="1" operator="lessThanOrEqual">
      <formula>0</formula>
    </cfRule>
    <cfRule type="cellIs" dxfId="1187" priority="170" stopIfTrue="1" operator="greaterThan">
      <formula>4.5</formula>
    </cfRule>
  </conditionalFormatting>
  <conditionalFormatting sqref="I10:J20">
    <cfRule type="cellIs" dxfId="1186" priority="2" operator="lessThan">
      <formula>97.9</formula>
    </cfRule>
  </conditionalFormatting>
  <conditionalFormatting sqref="J23:J25">
    <cfRule type="cellIs" dxfId="1185" priority="17" operator="lessThan">
      <formula>97.95</formula>
    </cfRule>
  </conditionalFormatting>
  <conditionalFormatting sqref="J24:J27">
    <cfRule type="cellIs" dxfId="1184" priority="152" operator="lessThan">
      <formula>97.4</formula>
    </cfRule>
  </conditionalFormatting>
  <conditionalFormatting sqref="J28:J29">
    <cfRule type="cellIs" dxfId="1183" priority="153" operator="lessThan">
      <formula>98</formula>
    </cfRule>
  </conditionalFormatting>
  <conditionalFormatting sqref="J30:J31">
    <cfRule type="cellIs" dxfId="1182" priority="154" stopIfTrue="1" operator="lessThan">
      <formula>96.8</formula>
    </cfRule>
    <cfRule type="cellIs" dxfId="1181" priority="155" stopIfTrue="1" operator="greaterThan">
      <formula>100</formula>
    </cfRule>
  </conditionalFormatting>
  <conditionalFormatting sqref="J30:J32">
    <cfRule type="cellIs" dxfId="1180" priority="156" operator="lessThan">
      <formula>98</formula>
    </cfRule>
  </conditionalFormatting>
  <conditionalFormatting sqref="J61">
    <cfRule type="cellIs" dxfId="1179" priority="109" stopIfTrue="1" operator="lessThanOrEqual">
      <formula>0</formula>
    </cfRule>
    <cfRule type="cellIs" dxfId="1178" priority="110" stopIfTrue="1" operator="greaterThan">
      <formula>#REF!</formula>
    </cfRule>
    <cfRule type="cellIs" dxfId="1177" priority="111" stopIfTrue="1" operator="lessThanOrEqual">
      <formula>0</formula>
    </cfRule>
    <cfRule type="cellIs" dxfId="1176" priority="106" stopIfTrue="1" operator="greaterThan">
      <formula>#REF!</formula>
    </cfRule>
    <cfRule type="cellIs" dxfId="1175" priority="107" stopIfTrue="1" operator="lessThanOrEqual">
      <formula>0</formula>
    </cfRule>
    <cfRule type="cellIs" dxfId="1174" priority="108" stopIfTrue="1" operator="greaterThan">
      <formula>#REF!</formula>
    </cfRule>
    <cfRule type="cellIs" dxfId="1173" priority="112" stopIfTrue="1" operator="greaterThan">
      <formula>#REF!</formula>
    </cfRule>
    <cfRule type="cellIs" dxfId="1172" priority="113" stopIfTrue="1" operator="lessThanOrEqual">
      <formula>0</formula>
    </cfRule>
  </conditionalFormatting>
  <conditionalFormatting sqref="J74">
    <cfRule type="cellIs" dxfId="1171" priority="46" stopIfTrue="1" operator="lessThanOrEqual">
      <formula>0</formula>
    </cfRule>
    <cfRule type="cellIs" dxfId="1170" priority="45" stopIfTrue="1" operator="greaterThan">
      <formula>$F74</formula>
    </cfRule>
  </conditionalFormatting>
  <conditionalFormatting sqref="K10:K20">
    <cfRule type="cellIs" dxfId="1169" priority="5" operator="greaterThan">
      <formula>6.4</formula>
    </cfRule>
    <cfRule type="cellIs" dxfId="1168" priority="4" operator="lessThan">
      <formula>4</formula>
    </cfRule>
    <cfRule type="cellIs" dxfId="1167" priority="3" operator="greaterThan">
      <formula>6</formula>
    </cfRule>
  </conditionalFormatting>
  <conditionalFormatting sqref="K52:K61">
    <cfRule type="cellIs" dxfId="1166" priority="91" stopIfTrue="1" operator="lessThan">
      <formula>100%</formula>
    </cfRule>
  </conditionalFormatting>
  <conditionalFormatting sqref="K65:K73">
    <cfRule type="cellIs" dxfId="1165" priority="35" stopIfTrue="1" operator="lessThan">
      <formula>100%</formula>
    </cfRule>
  </conditionalFormatting>
  <conditionalFormatting sqref="K76:K81">
    <cfRule type="cellIs" dxfId="1164" priority="176" stopIfTrue="1" operator="lessThan">
      <formula>100%</formula>
    </cfRule>
  </conditionalFormatting>
  <conditionalFormatting sqref="K83:K84">
    <cfRule type="cellIs" dxfId="1163" priority="183" stopIfTrue="1" operator="lessThan">
      <formula>100%</formula>
    </cfRule>
  </conditionalFormatting>
  <conditionalFormatting sqref="L10:L20">
    <cfRule type="cellIs" dxfId="1162" priority="6" operator="between">
      <formula>61</formula>
      <formula>65</formula>
    </cfRule>
    <cfRule type="cellIs" dxfId="1161" priority="7" operator="greaterThan">
      <formula>65</formula>
    </cfRule>
  </conditionalFormatting>
  <conditionalFormatting sqref="L23:M34">
    <cfRule type="cellIs" dxfId="1160" priority="16" operator="lessThan">
      <formula>97.95</formula>
    </cfRule>
  </conditionalFormatting>
  <conditionalFormatting sqref="L38:N38">
    <cfRule type="cellIs" dxfId="1159" priority="15" operator="notEqual">
      <formula>#REF!</formula>
    </cfRule>
  </conditionalFormatting>
  <conditionalFormatting sqref="L65:N74">
    <cfRule type="cellIs" dxfId="1158" priority="32" stopIfTrue="1" operator="lessThan">
      <formula>100%</formula>
    </cfRule>
  </conditionalFormatting>
  <conditionalFormatting sqref="L76:N84">
    <cfRule type="cellIs" dxfId="1157" priority="161" stopIfTrue="1" operator="lessThan">
      <formula>100%</formula>
    </cfRule>
  </conditionalFormatting>
  <conditionalFormatting sqref="M20">
    <cfRule type="expression" dxfId="1156" priority="12">
      <formula>IF(+(IF(M20&lt;U20,0,IF(M20&gt;V20,0,1)))=0,1)</formula>
    </cfRule>
  </conditionalFormatting>
  <conditionalFormatting sqref="M10:N19 H10:H20 G19">
    <cfRule type="expression" dxfId="1155" priority="14">
      <formula>IF(+(IF(G10&lt;#REF!,0,IF(G10&gt;#REF!,0,1)))=0,1)</formula>
    </cfRule>
  </conditionalFormatting>
  <conditionalFormatting sqref="N10:N20">
    <cfRule type="expression" dxfId="1154" priority="11">
      <formula>IF(+(IF(N10&lt;W10,0,IF(N10&gt;X10,0,1)))=0,1)</formula>
    </cfRule>
  </conditionalFormatting>
  <conditionalFormatting sqref="P6">
    <cfRule type="cellIs" dxfId="1153" priority="157" operator="greaterThanOrEqual">
      <formula>19</formula>
    </cfRule>
  </conditionalFormatting>
  <dataValidations count="1">
    <dataValidation type="list" allowBlank="1" showInputMessage="1" showErrorMessage="1" sqref="R8" xr:uid="{DA288607-6B2E-4158-AD0B-6AE9A5FDDE3F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8" max="16383" man="1"/>
  </rowBreaks>
  <colBreaks count="1" manualBreakCount="1">
    <brk id="15" max="89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BF4CC-4023-4B43-805E-D7BC98BC290B}">
  <sheetPr>
    <pageSetUpPr fitToPage="1"/>
  </sheetPr>
  <dimension ref="A1:BE73"/>
  <sheetViews>
    <sheetView zoomScale="85" zoomScaleNormal="85" workbookViewId="0">
      <selection activeCell="C11" sqref="C11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54" t="s">
        <v>0</v>
      </c>
      <c r="T1" s="554"/>
      <c r="U1" s="554" t="s">
        <v>1</v>
      </c>
      <c r="V1" s="554"/>
      <c r="W1" s="554" t="s">
        <v>2</v>
      </c>
      <c r="X1" s="554"/>
      <c r="Y1" s="554" t="s">
        <v>124</v>
      </c>
      <c r="Z1" s="554"/>
    </row>
    <row r="2" spans="2:29" ht="15">
      <c r="B2" s="555" t="s">
        <v>3</v>
      </c>
      <c r="C2" s="555"/>
      <c r="D2" s="555"/>
      <c r="E2" s="555"/>
      <c r="F2" s="555"/>
      <c r="G2" s="555"/>
      <c r="H2" s="555"/>
      <c r="I2" s="555"/>
      <c r="J2" s="555"/>
      <c r="K2" s="555"/>
      <c r="L2" s="555"/>
      <c r="M2" s="555"/>
      <c r="N2" s="555"/>
      <c r="O2" s="555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46304</v>
      </c>
      <c r="J4" s="397" t="s">
        <v>153</v>
      </c>
      <c r="K4" s="397"/>
      <c r="L4" s="11"/>
      <c r="M4" s="552" t="s">
        <v>8</v>
      </c>
      <c r="N4" s="553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42"/>
      <c r="D5" s="542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6" t="s">
        <v>17</v>
      </c>
      <c r="C8" s="517" t="s">
        <v>18</v>
      </c>
      <c r="D8" s="517" t="s">
        <v>19</v>
      </c>
      <c r="E8" s="356" t="s">
        <v>20</v>
      </c>
      <c r="F8" s="356" t="s">
        <v>21</v>
      </c>
      <c r="G8" s="517" t="s">
        <v>22</v>
      </c>
      <c r="H8" s="544" t="s">
        <v>144</v>
      </c>
      <c r="I8" s="517" t="s">
        <v>167</v>
      </c>
      <c r="J8" s="546" t="s">
        <v>23</v>
      </c>
      <c r="K8" s="548" t="s">
        <v>142</v>
      </c>
      <c r="L8" s="550" t="s">
        <v>24</v>
      </c>
      <c r="M8" s="359" t="s">
        <v>25</v>
      </c>
      <c r="N8" s="17" t="s">
        <v>166</v>
      </c>
      <c r="O8" s="517" t="s">
        <v>155</v>
      </c>
      <c r="P8" s="540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3"/>
      <c r="C9" s="541"/>
      <c r="D9" s="541"/>
      <c r="E9" s="357" t="s">
        <v>30</v>
      </c>
      <c r="F9" s="357" t="s">
        <v>31</v>
      </c>
      <c r="G9" s="541"/>
      <c r="H9" s="545"/>
      <c r="I9" s="541"/>
      <c r="J9" s="547"/>
      <c r="K9" s="549"/>
      <c r="L9" s="551"/>
      <c r="M9" s="20" t="s">
        <v>32</v>
      </c>
      <c r="N9" s="21" t="s">
        <v>41</v>
      </c>
      <c r="O9" s="541"/>
      <c r="P9" s="541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33" t="s">
        <v>9</v>
      </c>
      <c r="C10" s="366" t="str">
        <f>[3]Brewhouse!$A404</f>
        <v>ST345</v>
      </c>
      <c r="D10" s="279">
        <f>[3]Brewhouse!$AB404</f>
        <v>53.1</v>
      </c>
      <c r="E10" s="279">
        <f>[3]Brewhouse!$AG404</f>
        <v>49</v>
      </c>
      <c r="F10" s="278">
        <f>[3]Brewhouse!$V404</f>
        <v>59</v>
      </c>
      <c r="G10" s="279">
        <f>[3]Brewhouse!$AE404</f>
        <v>11.9</v>
      </c>
      <c r="H10" s="396">
        <v>11.9</v>
      </c>
      <c r="I10" s="368">
        <f>[3]Brewhouse!$AS404</f>
        <v>97.904074452866993</v>
      </c>
      <c r="J10" s="368">
        <f>[3]Brewhouse!$AT404</f>
        <v>98.632362577253517</v>
      </c>
      <c r="K10" s="281">
        <f>[3]Brewhouse!$Q404</f>
        <v>10.12241054613936</v>
      </c>
      <c r="L10" s="276">
        <f>[3]Brewhouse!$P404</f>
        <v>60</v>
      </c>
      <c r="M10" s="374">
        <f>[3]Brewhouse!$U404-[3]Brewhouse!$T404</f>
        <v>0.11458333333333331</v>
      </c>
      <c r="N10" s="370">
        <f>[3]Brewhouse!$AW404</f>
        <v>0.26041666666666663</v>
      </c>
      <c r="O10" s="419" t="str">
        <f>[3]Brewhouse!$AV404</f>
        <v>K. Benjamin</v>
      </c>
      <c r="P10" s="417"/>
      <c r="R10" s="277" t="str">
        <f t="shared" ref="R10:R16" si="0">B10</f>
        <v>STAG</v>
      </c>
      <c r="S10" s="471">
        <f t="shared" ref="S10:S16" si="1">VLOOKUP($B10,$R$3:$X$9,2,FALSE)</f>
        <v>11.6</v>
      </c>
      <c r="T10" s="471">
        <f t="shared" ref="T10:T16" si="2">VLOOKUP($B10,$R$3:$X$9,3,FALSE)</f>
        <v>12</v>
      </c>
      <c r="U10" s="297">
        <f t="shared" ref="U10:U16" si="3">VLOOKUP($B10,$R$3:$X$9,4,FALSE)</f>
        <v>0</v>
      </c>
      <c r="V10" s="297">
        <f t="shared" ref="V10:V16" si="4">VLOOKUP($B10,$R$3:$X$9,5,FALSE)</f>
        <v>0.118055555555556</v>
      </c>
      <c r="W10" s="297">
        <f t="shared" ref="W10:W16" si="5">VLOOKUP($B10,$R$3:$X$9,6,FALSE)</f>
        <v>0.22569444444444445</v>
      </c>
      <c r="X10" s="297">
        <f t="shared" ref="X10:X16" si="6">VLOOKUP($B10,$R$3:$X$9,7,FALSE)</f>
        <v>0.2638888888888889</v>
      </c>
      <c r="Y10" s="297">
        <f t="shared" ref="Y10:Y16" si="7">VLOOKUP($B10,$R$3:$Z$9,8,FALSE)</f>
        <v>0</v>
      </c>
      <c r="Z10" s="471">
        <f t="shared" ref="Z10:Z16" si="8">VLOOKUP($B10,$R$3:$Z$9,9,FALSE)</f>
        <v>60</v>
      </c>
    </row>
    <row r="11" spans="2:29" ht="15" customHeight="1">
      <c r="B11" s="33" t="s">
        <v>9</v>
      </c>
      <c r="C11" s="366" t="str">
        <f>[3]Brewhouse!$A405</f>
        <v>ST346</v>
      </c>
      <c r="D11" s="279">
        <f>[3]Brewhouse!$AB405</f>
        <v>53.1</v>
      </c>
      <c r="E11" s="279">
        <f>[3]Brewhouse!$AG405</f>
        <v>50.1</v>
      </c>
      <c r="F11" s="278">
        <f>[3]Brewhouse!$V405</f>
        <v>59</v>
      </c>
      <c r="G11" s="279">
        <f>[3]Brewhouse!$AE405</f>
        <v>11.7</v>
      </c>
      <c r="H11" s="396">
        <v>11.8</v>
      </c>
      <c r="I11" s="368">
        <f>[3]Brewhouse!$AS405</f>
        <v>97.964086278322426</v>
      </c>
      <c r="J11" s="368">
        <f>[3]Brewhouse!$AT405</f>
        <v>98.693537963032824</v>
      </c>
      <c r="K11" s="281">
        <f>[3]Brewhouse!$Q405</f>
        <v>8.6158192090395538</v>
      </c>
      <c r="L11" s="276">
        <f>[3]Brewhouse!$P405</f>
        <v>60</v>
      </c>
      <c r="M11" s="374">
        <f>[3]Brewhouse!$U405-[3]Brewhouse!$T405</f>
        <v>0.11180555555555549</v>
      </c>
      <c r="N11" s="370">
        <f>[3]Brewhouse!$AW405</f>
        <v>0.25624999999999998</v>
      </c>
      <c r="O11" s="419" t="str">
        <f>[3]Brewhouse!$AV405</f>
        <v>D.Gomaz</v>
      </c>
      <c r="P11" s="417"/>
      <c r="R11" s="277" t="str">
        <f t="shared" si="0"/>
        <v>STAG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33"/>
      <c r="C12" s="366"/>
      <c r="D12" s="279"/>
      <c r="E12" s="279"/>
      <c r="F12" s="278"/>
      <c r="G12" s="279"/>
      <c r="H12" s="490"/>
      <c r="I12" s="368"/>
      <c r="J12" s="368"/>
      <c r="K12" s="281"/>
      <c r="L12" s="276"/>
      <c r="M12" s="374"/>
      <c r="N12" s="370"/>
      <c r="O12" s="419"/>
      <c r="P12" s="417"/>
      <c r="R12" s="277">
        <f t="shared" si="0"/>
        <v>0</v>
      </c>
      <c r="S12" s="471" t="e">
        <f t="shared" si="1"/>
        <v>#N/A</v>
      </c>
      <c r="T12" s="471" t="e">
        <f t="shared" si="2"/>
        <v>#N/A</v>
      </c>
      <c r="U12" s="297" t="e">
        <f t="shared" si="3"/>
        <v>#N/A</v>
      </c>
      <c r="V12" s="297" t="e">
        <f t="shared" si="4"/>
        <v>#N/A</v>
      </c>
      <c r="W12" s="297" t="e">
        <f t="shared" si="5"/>
        <v>#N/A</v>
      </c>
      <c r="X12" s="297" t="e">
        <f t="shared" si="6"/>
        <v>#N/A</v>
      </c>
      <c r="Y12" s="297" t="e">
        <f t="shared" si="7"/>
        <v>#N/A</v>
      </c>
      <c r="Z12" s="471" t="e">
        <f t="shared" si="8"/>
        <v>#N/A</v>
      </c>
    </row>
    <row r="13" spans="2:29" ht="15" customHeight="1">
      <c r="B13" s="29" t="s">
        <v>6</v>
      </c>
      <c r="C13" s="366" t="str">
        <f>[4]Brewhouse!$A809</f>
        <v>CA759</v>
      </c>
      <c r="D13" s="279">
        <f>[4]Brewhouse!$AF809</f>
        <v>48.4</v>
      </c>
      <c r="E13" s="279">
        <f>[4]Brewhouse!$AI809</f>
        <v>48.6</v>
      </c>
      <c r="F13" s="278">
        <f>[4]Brewhouse!$V809</f>
        <v>59</v>
      </c>
      <c r="G13" s="279">
        <f>[4]Brewhouse!AG809</f>
        <v>11.7</v>
      </c>
      <c r="H13" s="396">
        <v>11.7</v>
      </c>
      <c r="I13" s="368">
        <f>[4]Brewhouse!$AU809</f>
        <v>94.236510026260618</v>
      </c>
      <c r="J13" s="368">
        <f>[4]Brewhouse!$AV809</f>
        <v>95.077116281876755</v>
      </c>
      <c r="K13" s="281">
        <f>[4]Brewhouse!$Q809</f>
        <v>13.16081330868761</v>
      </c>
      <c r="L13" s="276">
        <f>[4]Brewhouse!$P809</f>
        <v>60</v>
      </c>
      <c r="M13" s="374">
        <f>[4]Brewhouse!$U809-[4]Brewhouse!$T809</f>
        <v>0.11944444444444446</v>
      </c>
      <c r="N13" s="370">
        <f>[4]Brewhouse!$Z809</f>
        <v>0.25347222222222221</v>
      </c>
      <c r="O13" s="419" t="str">
        <f>[4]Brewhouse!$AX809</f>
        <v>D. Gomaz</v>
      </c>
      <c r="P13" s="417"/>
      <c r="R13" s="277" t="str">
        <f t="shared" si="0"/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 t="s">
        <v>6</v>
      </c>
      <c r="C14" s="366" t="str">
        <f>[4]Brewhouse!$A810</f>
        <v>CA760</v>
      </c>
      <c r="D14" s="279">
        <f>[4]Brewhouse!$AF810</f>
        <v>48.3</v>
      </c>
      <c r="E14" s="279">
        <f>[4]Brewhouse!$AI810</f>
        <v>48.9</v>
      </c>
      <c r="F14" s="278">
        <f>[4]Brewhouse!$V810</f>
        <v>57</v>
      </c>
      <c r="G14" s="279">
        <f>[4]Brewhouse!AG810</f>
        <v>12</v>
      </c>
      <c r="H14" s="396">
        <v>12</v>
      </c>
      <c r="I14" s="368">
        <f>[4]Brewhouse!$AU810</f>
        <v>97.015701586864395</v>
      </c>
      <c r="J14" s="368">
        <f>[4]Brewhouse!$AV810</f>
        <v>97.881268884867609</v>
      </c>
      <c r="K14" s="281">
        <f>[4]Brewhouse!$Q810</f>
        <v>12.05175600739372</v>
      </c>
      <c r="L14" s="276">
        <f>[4]Brewhouse!$P810</f>
        <v>60</v>
      </c>
      <c r="M14" s="374">
        <f>[4]Brewhouse!$U810-[4]Brewhouse!$T810</f>
        <v>0.10624999999999996</v>
      </c>
      <c r="N14" s="370">
        <f>[4]Brewhouse!$Z810</f>
        <v>0.25694444444444442</v>
      </c>
      <c r="O14" s="419" t="str">
        <f>[4]Brewhouse!$AX810</f>
        <v>D. Gomaz</v>
      </c>
      <c r="P14" s="417"/>
      <c r="R14" s="277" t="str">
        <f t="shared" si="0"/>
        <v>CARIB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29" t="s">
        <v>6</v>
      </c>
      <c r="C15" s="366" t="str">
        <f>[4]Brewhouse!$A811</f>
        <v>CA761</v>
      </c>
      <c r="D15" s="279">
        <f>[4]Brewhouse!$AF811</f>
        <v>48.8</v>
      </c>
      <c r="E15" s="279">
        <f>[4]Brewhouse!$AI811</f>
        <v>49.5</v>
      </c>
      <c r="F15" s="278">
        <f>[4]Brewhouse!$V811</f>
        <v>62</v>
      </c>
      <c r="G15" s="279">
        <f>[4]Brewhouse!AG811</f>
        <v>12</v>
      </c>
      <c r="H15" s="396">
        <v>11.7</v>
      </c>
      <c r="I15" s="368">
        <f>[4]Brewhouse!$AU811</f>
        <v>97.963974191260846</v>
      </c>
      <c r="J15" s="368">
        <f>[4]Brewhouse!$AV811</f>
        <v>98.83811575723243</v>
      </c>
      <c r="K15" s="281">
        <f>[4]Brewhouse!$Q811</f>
        <v>11.127541589648803</v>
      </c>
      <c r="L15" s="276">
        <f>[4]Brewhouse!$P811</f>
        <v>60</v>
      </c>
      <c r="M15" s="374">
        <f>[4]Brewhouse!$U811-[4]Brewhouse!$T811</f>
        <v>0.11111111111111105</v>
      </c>
      <c r="N15" s="370">
        <f>[4]Brewhouse!$Z811</f>
        <v>0.2583333333333333</v>
      </c>
      <c r="O15" s="419" t="str">
        <f>[4]Brewhouse!$AX811</f>
        <v>R. Sookram</v>
      </c>
      <c r="P15" s="417"/>
      <c r="R15" s="277" t="str">
        <f t="shared" si="0"/>
        <v>CARIB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29" t="s">
        <v>6</v>
      </c>
      <c r="C16" s="366" t="str">
        <f>[4]Brewhouse!$A812</f>
        <v>CA762</v>
      </c>
      <c r="D16" s="279">
        <f>[4]Brewhouse!$AF812</f>
        <v>48.8</v>
      </c>
      <c r="E16" s="279">
        <f>[4]Brewhouse!$AI812</f>
        <v>49.3</v>
      </c>
      <c r="F16" s="278">
        <f>[4]Brewhouse!$V812</f>
        <v>59</v>
      </c>
      <c r="G16" s="279">
        <f>[4]Brewhouse!AG812</f>
        <v>11.8</v>
      </c>
      <c r="H16" s="490">
        <v>12.3</v>
      </c>
      <c r="I16" s="368">
        <f>[4]Brewhouse!$AU812</f>
        <v>96.693476697667123</v>
      </c>
      <c r="J16" s="368">
        <f>[4]Brewhouse!$AV812</f>
        <v>97.555885759630257</v>
      </c>
      <c r="K16" s="281">
        <f>[4]Brewhouse!$Q812</f>
        <v>11.127541589648803</v>
      </c>
      <c r="L16" s="276">
        <f>[4]Brewhouse!$P812</f>
        <v>60</v>
      </c>
      <c r="M16" s="374">
        <f>[4]Brewhouse!$U812-[4]Brewhouse!$T812</f>
        <v>0.10833333333333339</v>
      </c>
      <c r="N16" s="370">
        <f>[4]Brewhouse!$Z812</f>
        <v>0.25208333333333344</v>
      </c>
      <c r="O16" s="419" t="str">
        <f>[4]Brewhouse!$AX812</f>
        <v>R. Sookram</v>
      </c>
      <c r="P16" s="417"/>
      <c r="R16" s="277" t="str">
        <f t="shared" si="0"/>
        <v>CARIB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7" ht="15" customHeight="1">
      <c r="B17" s="29" t="s">
        <v>6</v>
      </c>
      <c r="C17" s="366" t="str">
        <f>[4]Brewhouse!$A813</f>
        <v>CA763</v>
      </c>
      <c r="D17" s="279">
        <f>[4]Brewhouse!$AF813</f>
        <v>49.7</v>
      </c>
      <c r="E17" s="279">
        <f>[4]Brewhouse!$AI813</f>
        <v>50.1</v>
      </c>
      <c r="F17" s="278">
        <f>[4]Brewhouse!$V813</f>
        <v>58</v>
      </c>
      <c r="G17" s="279">
        <f>[4]Brewhouse!AG813</f>
        <v>11.7</v>
      </c>
      <c r="H17" s="490">
        <v>12.3</v>
      </c>
      <c r="I17" s="368">
        <f>[4]Brewhouse!$AU813</f>
        <v>97.50785453814089</v>
      </c>
      <c r="J17" s="368">
        <f>[4]Brewhouse!$AV813</f>
        <v>98.377469457952813</v>
      </c>
      <c r="K17" s="281">
        <f>[4]Brewhouse!$Q813</f>
        <v>9.2962962962962887</v>
      </c>
      <c r="L17" s="276">
        <f>[4]Brewhouse!$P813</f>
        <v>61</v>
      </c>
      <c r="M17" s="374">
        <f>[4]Brewhouse!$U813-[4]Brewhouse!$T813</f>
        <v>0.12222222222222223</v>
      </c>
      <c r="N17" s="370">
        <f>[4]Brewhouse!$Z813</f>
        <v>0.26111111111111118</v>
      </c>
      <c r="O17" s="419" t="str">
        <f>[4]Brewhouse!$AX813</f>
        <v>R. Sookram</v>
      </c>
      <c r="P17" s="417"/>
      <c r="R17" s="277" t="str">
        <f t="shared" ref="R17:R33" si="9">B17</f>
        <v>CARIB</v>
      </c>
      <c r="S17" s="471">
        <f t="shared" ref="S17:S33" si="10">VLOOKUP($B17,$R$3:$X$9,2,FALSE)</f>
        <v>11.6</v>
      </c>
      <c r="T17" s="471">
        <f t="shared" ref="T17:T33" si="11">VLOOKUP($B17,$R$3:$X$9,3,FALSE)</f>
        <v>12</v>
      </c>
      <c r="U17" s="297">
        <f t="shared" ref="U17:U33" si="12">VLOOKUP($B17,$R$3:$X$9,4,FALSE)</f>
        <v>0</v>
      </c>
      <c r="V17" s="297">
        <f t="shared" ref="V17:V33" si="13">VLOOKUP($B17,$R$3:$X$9,5,FALSE)</f>
        <v>0.118055555555556</v>
      </c>
      <c r="W17" s="297">
        <f t="shared" ref="W17:W33" si="14">VLOOKUP($B17,$R$3:$X$9,6,FALSE)</f>
        <v>0.22569444444444445</v>
      </c>
      <c r="X17" s="297">
        <f t="shared" ref="X17:X33" si="15">VLOOKUP($B17,$R$3:$X$9,7,FALSE)</f>
        <v>0.2638888888888889</v>
      </c>
      <c r="Y17" s="297">
        <f t="shared" ref="Y17:Y33" si="16">VLOOKUP($B17,$R$3:$Z$9,8,FALSE)</f>
        <v>0</v>
      </c>
      <c r="Z17" s="471">
        <f t="shared" ref="Z17:Z33" si="17">VLOOKUP($B17,$R$3:$Z$9,9,FALSE)</f>
        <v>60</v>
      </c>
    </row>
    <row r="18" spans="1:27" ht="15" customHeight="1">
      <c r="B18" s="29"/>
      <c r="C18" s="366"/>
      <c r="D18" s="279"/>
      <c r="E18" s="279"/>
      <c r="F18" s="278"/>
      <c r="G18" s="279"/>
      <c r="H18" s="490"/>
      <c r="I18" s="368"/>
      <c r="J18" s="368"/>
      <c r="K18" s="281"/>
      <c r="L18" s="276"/>
      <c r="M18" s="374"/>
      <c r="N18" s="370"/>
      <c r="O18" s="419"/>
      <c r="P18" s="417"/>
      <c r="R18" s="277">
        <f t="shared" si="9"/>
        <v>0</v>
      </c>
      <c r="S18" s="471" t="e">
        <f t="shared" si="10"/>
        <v>#N/A</v>
      </c>
      <c r="T18" s="471" t="e">
        <f t="shared" si="11"/>
        <v>#N/A</v>
      </c>
      <c r="U18" s="297" t="e">
        <f t="shared" si="12"/>
        <v>#N/A</v>
      </c>
      <c r="V18" s="297" t="e">
        <f t="shared" si="13"/>
        <v>#N/A</v>
      </c>
      <c r="W18" s="297" t="e">
        <f t="shared" si="14"/>
        <v>#N/A</v>
      </c>
      <c r="X18" s="297" t="e">
        <f t="shared" si="15"/>
        <v>#N/A</v>
      </c>
      <c r="Y18" s="297" t="e">
        <f t="shared" si="16"/>
        <v>#N/A</v>
      </c>
      <c r="Z18" s="471" t="e">
        <f t="shared" si="17"/>
        <v>#N/A</v>
      </c>
    </row>
    <row r="19" spans="1:27" ht="15" customHeight="1">
      <c r="B19" s="36"/>
      <c r="C19" s="366"/>
      <c r="D19" s="279"/>
      <c r="E19" s="279"/>
      <c r="F19" s="278"/>
      <c r="G19" s="279"/>
      <c r="H19" s="396"/>
      <c r="I19" s="487"/>
      <c r="J19" s="487"/>
      <c r="K19" s="488"/>
      <c r="L19" s="276"/>
      <c r="M19" s="374"/>
      <c r="N19" s="370"/>
      <c r="O19" s="419"/>
      <c r="P19" s="417"/>
      <c r="R19" s="277">
        <f t="shared" si="9"/>
        <v>0</v>
      </c>
      <c r="S19" s="471" t="e">
        <f t="shared" si="10"/>
        <v>#N/A</v>
      </c>
      <c r="T19" s="471" t="e">
        <f t="shared" si="11"/>
        <v>#N/A</v>
      </c>
      <c r="U19" s="297" t="e">
        <f t="shared" si="12"/>
        <v>#N/A</v>
      </c>
      <c r="V19" s="297" t="e">
        <f t="shared" si="13"/>
        <v>#N/A</v>
      </c>
      <c r="W19" s="297" t="e">
        <f t="shared" si="14"/>
        <v>#N/A</v>
      </c>
      <c r="X19" s="297" t="e">
        <f t="shared" si="15"/>
        <v>#N/A</v>
      </c>
      <c r="Y19" s="297" t="e">
        <f t="shared" si="16"/>
        <v>#N/A</v>
      </c>
      <c r="Z19" s="471" t="e">
        <f t="shared" si="17"/>
        <v>#N/A</v>
      </c>
    </row>
    <row r="20" spans="1:27" ht="17.25" customHeight="1" thickBot="1">
      <c r="B20" s="358"/>
      <c r="C20" s="358"/>
      <c r="D20" s="358"/>
      <c r="E20" s="358"/>
      <c r="F20" s="294"/>
      <c r="G20" s="294"/>
      <c r="H20" s="348"/>
      <c r="I20" s="566"/>
      <c r="J20" s="566"/>
      <c r="K20" s="566"/>
      <c r="L20" s="566"/>
      <c r="M20" s="566"/>
      <c r="N20" s="566"/>
      <c r="O20" s="1"/>
      <c r="P20" s="12"/>
      <c r="R20" s="277">
        <f t="shared" si="9"/>
        <v>0</v>
      </c>
      <c r="S20" s="471" t="e">
        <f t="shared" si="10"/>
        <v>#N/A</v>
      </c>
      <c r="T20" s="471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1" t="e">
        <f t="shared" si="17"/>
        <v>#N/A</v>
      </c>
    </row>
    <row r="21" spans="1:27" ht="17.25" customHeight="1" thickBot="1">
      <c r="B21" s="482" t="s">
        <v>162</v>
      </c>
      <c r="C21" s="388"/>
      <c r="D21" s="535" t="s">
        <v>35</v>
      </c>
      <c r="E21" s="536"/>
      <c r="F21" s="294"/>
      <c r="G21" s="294"/>
      <c r="H21" s="348"/>
      <c r="I21" s="24" t="s">
        <v>17</v>
      </c>
      <c r="J21" s="25"/>
      <c r="K21" s="26" t="s">
        <v>138</v>
      </c>
      <c r="L21" s="25" t="s">
        <v>37</v>
      </c>
      <c r="M21" s="25" t="s">
        <v>38</v>
      </c>
      <c r="N21" s="27" t="s">
        <v>39</v>
      </c>
      <c r="O21" s="294"/>
      <c r="P21" s="12"/>
      <c r="R21" s="277" t="str">
        <f t="shared" si="9"/>
        <v xml:space="preserve">BRAND </v>
      </c>
      <c r="S21" s="471" t="e">
        <f t="shared" si="10"/>
        <v>#N/A</v>
      </c>
      <c r="T21" s="471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1" t="e">
        <f t="shared" si="17"/>
        <v>#N/A</v>
      </c>
    </row>
    <row r="22" spans="1:27" ht="17.25" customHeight="1">
      <c r="A22" s="28"/>
      <c r="B22" s="588"/>
      <c r="C22" s="483"/>
      <c r="D22" s="522"/>
      <c r="E22" s="523"/>
      <c r="F22" s="294"/>
      <c r="G22" s="294"/>
      <c r="H22" s="348"/>
      <c r="I22" s="29" t="s">
        <v>6</v>
      </c>
      <c r="J22" s="323">
        <f>AVERAGE(I13:I17)</f>
        <v>96.683503408038774</v>
      </c>
      <c r="K22" s="284">
        <f>COUNTA([4]Brewhouse!$A$789:$A$814)</f>
        <v>26</v>
      </c>
      <c r="L22" s="305">
        <f>AVERAGE([4]Brewhouse!$AU$789:$AU$814)</f>
        <v>97.457681641414865</v>
      </c>
      <c r="M22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,[4]Brewhouse!$AU$789:$AU$814)</f>
        <v>98.301261271934862</v>
      </c>
      <c r="N22" s="30">
        <v>98</v>
      </c>
      <c r="O22" s="11"/>
      <c r="P22" s="31"/>
      <c r="R22" s="277">
        <f t="shared" si="9"/>
        <v>0</v>
      </c>
      <c r="S22" s="471" t="e">
        <f t="shared" si="10"/>
        <v>#N/A</v>
      </c>
      <c r="T22" s="471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1" t="e">
        <f t="shared" si="17"/>
        <v>#N/A</v>
      </c>
    </row>
    <row r="23" spans="1:27" ht="15" customHeight="1">
      <c r="A23" s="28"/>
      <c r="B23" s="568"/>
      <c r="C23" s="362"/>
      <c r="D23" s="524"/>
      <c r="E23" s="525"/>
      <c r="F23" s="294"/>
      <c r="G23" s="294"/>
      <c r="H23" s="348"/>
      <c r="I23" s="33" t="s">
        <v>9</v>
      </c>
      <c r="J23" s="323">
        <f>AVERAGE(I10:I11)</f>
        <v>97.93408036559471</v>
      </c>
      <c r="K23" s="284">
        <f>COUNTA([3]Brewhouse!$A$390:$A$405)</f>
        <v>16</v>
      </c>
      <c r="L23" s="302">
        <f>AVERAGE([3]Brewhouse!$AS$390:$AS$405)</f>
        <v>97.859147509759907</v>
      </c>
      <c r="M23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$388,[3]Brewhouse!$AS$390:$AS$405)</f>
        <v>98.292263066454069</v>
      </c>
      <c r="N23" s="30">
        <v>98</v>
      </c>
      <c r="O23" s="11"/>
      <c r="P23" s="31"/>
      <c r="R23" s="277">
        <f t="shared" si="9"/>
        <v>0</v>
      </c>
      <c r="S23" s="471" t="e">
        <f t="shared" si="10"/>
        <v>#N/A</v>
      </c>
      <c r="T23" s="471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1" t="e">
        <f t="shared" si="17"/>
        <v>#N/A</v>
      </c>
    </row>
    <row r="24" spans="1:27" ht="14.65" customHeight="1">
      <c r="A24" s="28"/>
      <c r="B24" s="568"/>
      <c r="C24" s="362"/>
      <c r="D24" s="529"/>
      <c r="E24" s="530"/>
      <c r="F24" s="294"/>
      <c r="G24" s="294"/>
      <c r="H24" s="348"/>
      <c r="I24" s="34" t="s">
        <v>12</v>
      </c>
      <c r="J24" s="323"/>
      <c r="K24" s="284"/>
      <c r="L24" s="302"/>
      <c r="M24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4" s="30">
        <v>98</v>
      </c>
      <c r="O24" s="11"/>
      <c r="P24" s="31"/>
      <c r="R24" s="277">
        <f t="shared" si="9"/>
        <v>0</v>
      </c>
      <c r="S24" s="471" t="e">
        <f t="shared" si="10"/>
        <v>#N/A</v>
      </c>
      <c r="T24" s="471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1" t="e">
        <f t="shared" si="17"/>
        <v>#N/A</v>
      </c>
    </row>
    <row r="25" spans="1:27" ht="14.65" customHeight="1">
      <c r="A25" s="28"/>
      <c r="B25" s="568"/>
      <c r="C25" s="362"/>
      <c r="D25" s="531"/>
      <c r="E25" s="525"/>
      <c r="F25" s="294"/>
      <c r="G25" s="294"/>
      <c r="H25" s="348"/>
      <c r="I25" s="22" t="s">
        <v>33</v>
      </c>
      <c r="J25" s="280"/>
      <c r="K25" s="284"/>
      <c r="L25" s="302"/>
      <c r="M25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97.566635166530773</v>
      </c>
      <c r="N25" s="30">
        <v>98</v>
      </c>
      <c r="O25" s="11"/>
      <c r="P25" s="31"/>
      <c r="R25" s="277">
        <f t="shared" si="9"/>
        <v>0</v>
      </c>
      <c r="S25" s="471" t="e">
        <f t="shared" si="10"/>
        <v>#N/A</v>
      </c>
      <c r="T25" s="471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1" t="e">
        <f t="shared" si="17"/>
        <v>#N/A</v>
      </c>
    </row>
    <row r="26" spans="1:27" ht="14.65" customHeight="1">
      <c r="A26" s="28"/>
      <c r="B26" s="568"/>
      <c r="C26" s="362"/>
      <c r="D26" s="529"/>
      <c r="E26" s="530"/>
      <c r="F26" s="294"/>
      <c r="G26" s="294"/>
      <c r="H26" s="348"/>
      <c r="I26" s="35" t="s">
        <v>29</v>
      </c>
      <c r="J26" s="280"/>
      <c r="K26" s="284"/>
      <c r="L26" s="302"/>
      <c r="M26" s="302"/>
      <c r="N26" s="30">
        <v>98</v>
      </c>
      <c r="O26" s="11"/>
      <c r="P26" s="31"/>
      <c r="R26" s="277">
        <f t="shared" si="9"/>
        <v>0</v>
      </c>
      <c r="S26" s="471" t="e">
        <f t="shared" si="10"/>
        <v>#N/A</v>
      </c>
      <c r="T26" s="471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1" t="e">
        <f t="shared" si="17"/>
        <v>#N/A</v>
      </c>
    </row>
    <row r="27" spans="1:27" ht="14.65" customHeight="1">
      <c r="A27" s="28"/>
      <c r="B27" s="568"/>
      <c r="C27" s="362"/>
      <c r="D27" s="531"/>
      <c r="E27" s="525"/>
      <c r="F27" s="416"/>
      <c r="G27" s="294"/>
      <c r="H27" s="348"/>
      <c r="I27" s="36" t="s">
        <v>15</v>
      </c>
      <c r="J27" s="323"/>
      <c r="K27" s="284"/>
      <c r="L27" s="302"/>
      <c r="M27" s="302">
        <f>AVERAGE([7]Brewhouse!$AT$4:$AT$11,[7]Brewhouse!$AT$13:$AT$16,[7]Brewhouse!$AT$18:$AT$30)</f>
        <v>93.22262799886262</v>
      </c>
      <c r="N27" s="30">
        <v>98</v>
      </c>
      <c r="O27" s="11"/>
      <c r="P27" s="31"/>
      <c r="R27" s="277">
        <f t="shared" si="9"/>
        <v>0</v>
      </c>
      <c r="S27" s="471" t="e">
        <f t="shared" si="10"/>
        <v>#N/A</v>
      </c>
      <c r="T27" s="471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1" t="e">
        <f t="shared" si="17"/>
        <v>#N/A</v>
      </c>
    </row>
    <row r="28" spans="1:27" ht="14.65" customHeight="1">
      <c r="A28" s="28"/>
      <c r="B28" s="568"/>
      <c r="C28" s="362"/>
      <c r="D28" s="529"/>
      <c r="E28" s="530"/>
      <c r="F28" s="416"/>
      <c r="G28" s="294"/>
      <c r="H28" s="348"/>
      <c r="I28" s="37" t="s">
        <v>16</v>
      </c>
      <c r="J28" s="323"/>
      <c r="K28" s="284"/>
      <c r="L28" s="302"/>
      <c r="M28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97.792958274585203</v>
      </c>
      <c r="N28" s="30">
        <v>98</v>
      </c>
      <c r="O28" s="11"/>
      <c r="P28" s="31" t="s">
        <v>41</v>
      </c>
      <c r="R28" s="277">
        <f t="shared" si="9"/>
        <v>0</v>
      </c>
      <c r="S28" s="471" t="e">
        <f t="shared" si="10"/>
        <v>#N/A</v>
      </c>
      <c r="T28" s="471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1" t="e">
        <f t="shared" si="17"/>
        <v>#N/A</v>
      </c>
    </row>
    <row r="29" spans="1:27" ht="14.65" customHeight="1">
      <c r="A29" s="28"/>
      <c r="B29" s="568"/>
      <c r="C29" s="362"/>
      <c r="D29" s="531"/>
      <c r="E29" s="525"/>
      <c r="F29" s="294"/>
      <c r="G29" s="294"/>
      <c r="H29" s="348"/>
      <c r="I29" s="410" t="s">
        <v>158</v>
      </c>
      <c r="J29" s="326"/>
      <c r="K29" s="284"/>
      <c r="L29" s="305"/>
      <c r="M29" s="305"/>
      <c r="N29" s="30">
        <v>98</v>
      </c>
      <c r="O29" s="11"/>
      <c r="P29" s="31"/>
      <c r="R29" s="277">
        <f t="shared" si="9"/>
        <v>0</v>
      </c>
      <c r="S29" s="471" t="e">
        <f t="shared" si="10"/>
        <v>#N/A</v>
      </c>
      <c r="T29" s="471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1" t="e">
        <f t="shared" si="17"/>
        <v>#N/A</v>
      </c>
    </row>
    <row r="30" spans="1:27" ht="14.65" customHeight="1">
      <c r="A30" s="28"/>
      <c r="B30" s="568"/>
      <c r="C30" s="362"/>
      <c r="D30" s="529"/>
      <c r="E30" s="530"/>
      <c r="F30" s="294"/>
      <c r="G30" s="294"/>
      <c r="H30" s="348"/>
      <c r="I30" s="409" t="s">
        <v>157</v>
      </c>
      <c r="J30" s="326"/>
      <c r="K30" s="284"/>
      <c r="L30" s="305"/>
      <c r="M30" s="305"/>
      <c r="N30" s="30">
        <v>98</v>
      </c>
      <c r="O30" s="11"/>
      <c r="P30" s="31"/>
      <c r="R30" s="277">
        <f t="shared" si="9"/>
        <v>0</v>
      </c>
      <c r="S30" s="471" t="e">
        <f t="shared" si="10"/>
        <v>#N/A</v>
      </c>
      <c r="T30" s="471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1" t="e">
        <f t="shared" si="17"/>
        <v>#N/A</v>
      </c>
      <c r="AA30" s="471"/>
    </row>
    <row r="31" spans="1:27" ht="15" customHeight="1" thickBot="1">
      <c r="A31" s="28"/>
      <c r="B31" s="568"/>
      <c r="C31" s="362"/>
      <c r="D31" s="531"/>
      <c r="E31" s="525"/>
      <c r="F31" s="294"/>
      <c r="G31" s="294"/>
      <c r="H31" s="348"/>
      <c r="I31" s="405" t="s">
        <v>156</v>
      </c>
      <c r="J31" s="327"/>
      <c r="K31" s="406"/>
      <c r="L31" s="407"/>
      <c r="M31" s="407"/>
      <c r="N31" s="408">
        <v>98</v>
      </c>
      <c r="O31" s="11"/>
      <c r="P31" s="31"/>
      <c r="R31" s="277">
        <f t="shared" si="9"/>
        <v>0</v>
      </c>
      <c r="S31" s="471" t="e">
        <f t="shared" si="10"/>
        <v>#N/A</v>
      </c>
      <c r="T31" s="471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1" t="e">
        <f t="shared" si="17"/>
        <v>#N/A</v>
      </c>
      <c r="AA31" s="471"/>
    </row>
    <row r="32" spans="1:27" ht="15" customHeight="1" thickBot="1">
      <c r="A32" s="28"/>
      <c r="B32" s="568"/>
      <c r="C32" s="349"/>
      <c r="D32" s="522"/>
      <c r="E32" s="523"/>
      <c r="F32" s="294"/>
      <c r="G32" s="294"/>
      <c r="H32" s="348"/>
      <c r="I32" s="1"/>
      <c r="J32" s="39"/>
      <c r="K32" s="403">
        <f>SUM(K22:K31)</f>
        <v>42</v>
      </c>
      <c r="L32" s="404">
        <f>((L22*K22)+(L23*K23)+(L24*K24)+(L25*K25)+(L26*K26)+(K29*L29)+(L27*K27)+(L28*K28)+(L31*K31))/(K32)</f>
        <v>97.610621019832038</v>
      </c>
      <c r="M32" s="404">
        <f>AVERAGE('[9]Jan30th-31st'!$L$42,'[10]Feb 27th-28th'!$L$45,'[11]Mar 31st'!$L$42,'[12]Apr 30th'!$L$41,'[13]May 29th '!$L$35,'[14]June 30th'!$L$32,[15]July31st!$L$36,'[16]Aug 31st'!$L$32,L32)</f>
        <v>97.93680487137145</v>
      </c>
      <c r="N32" s="40">
        <v>98</v>
      </c>
      <c r="O32" s="11"/>
      <c r="P32" s="31"/>
      <c r="R32" s="277">
        <f t="shared" si="9"/>
        <v>0</v>
      </c>
      <c r="S32" s="471" t="e">
        <f t="shared" si="10"/>
        <v>#N/A</v>
      </c>
      <c r="T32" s="471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1" t="e">
        <f t="shared" si="17"/>
        <v>#N/A</v>
      </c>
      <c r="AA32" s="471"/>
    </row>
    <row r="33" spans="2:56" ht="15.75" thickBot="1">
      <c r="B33" s="589"/>
      <c r="C33" s="350"/>
      <c r="D33" s="524"/>
      <c r="E33" s="525"/>
      <c r="F33" s="294"/>
      <c r="G33" s="42"/>
      <c r="H33" s="41"/>
      <c r="I33" s="42"/>
      <c r="J33" s="42"/>
      <c r="K33" s="351"/>
      <c r="L33" s="348"/>
      <c r="M33" s="348"/>
      <c r="N33" s="11"/>
      <c r="O33" s="294"/>
      <c r="P33" s="12"/>
      <c r="R33" s="277">
        <f t="shared" si="9"/>
        <v>0</v>
      </c>
      <c r="S33" s="471" t="e">
        <f t="shared" si="10"/>
        <v>#N/A</v>
      </c>
      <c r="T33" s="471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1" t="e">
        <f t="shared" si="17"/>
        <v>#N/A</v>
      </c>
      <c r="AA33" s="471"/>
    </row>
    <row r="34" spans="2:56" ht="15.75" thickBot="1">
      <c r="B34" s="519"/>
      <c r="C34" s="362"/>
      <c r="D34" s="522"/>
      <c r="E34" s="523"/>
      <c r="F34" s="294"/>
      <c r="G34" s="42"/>
      <c r="H34" s="41"/>
      <c r="I34" s="42"/>
      <c r="J34" s="526" t="s">
        <v>129</v>
      </c>
      <c r="K34" s="526"/>
      <c r="L34" s="294"/>
      <c r="M34" s="294"/>
      <c r="N34" s="294"/>
      <c r="O34" s="294"/>
      <c r="P34" s="12"/>
    </row>
    <row r="35" spans="2:56" ht="15.75" thickBot="1">
      <c r="B35" s="520"/>
      <c r="C35" s="362"/>
      <c r="D35" s="524"/>
      <c r="E35" s="525"/>
      <c r="F35" s="294"/>
      <c r="G35" s="42"/>
      <c r="H35" s="42"/>
      <c r="I35" s="42"/>
      <c r="J35" s="292" t="s">
        <v>17</v>
      </c>
      <c r="K35" s="293"/>
      <c r="L35" s="527" t="s">
        <v>136</v>
      </c>
      <c r="M35" s="527"/>
      <c r="N35" s="528"/>
      <c r="O35" s="294"/>
      <c r="P35" s="12"/>
    </row>
    <row r="36" spans="2:56" ht="15" customHeight="1" thickBot="1">
      <c r="B36" s="520"/>
      <c r="C36" s="349"/>
      <c r="D36" s="529"/>
      <c r="E36" s="530"/>
      <c r="F36" s="294"/>
      <c r="G36" s="42"/>
      <c r="H36" s="42"/>
      <c r="I36" s="42"/>
      <c r="J36" s="287" t="s">
        <v>6</v>
      </c>
      <c r="K36" s="324">
        <v>5</v>
      </c>
      <c r="L36" s="472" t="s">
        <v>37</v>
      </c>
      <c r="M36" s="473" t="s">
        <v>38</v>
      </c>
      <c r="N36" s="473" t="s">
        <v>84</v>
      </c>
      <c r="O36" s="294"/>
      <c r="P36" s="12"/>
    </row>
    <row r="37" spans="2:56" ht="15.75" customHeight="1" thickBot="1">
      <c r="B37" s="520"/>
      <c r="C37" s="349"/>
      <c r="D37" s="531"/>
      <c r="E37" s="525"/>
      <c r="F37" s="294"/>
      <c r="G37" s="42"/>
      <c r="H37" s="42"/>
      <c r="I37" s="42"/>
      <c r="J37" s="345" t="s">
        <v>9</v>
      </c>
      <c r="K37" s="324">
        <v>2</v>
      </c>
      <c r="L37" s="484">
        <f>AVERAGE('Oct 1st'!K52,'Oct 2nd'!K44,'Oct 5th'!K51,'Oct 6th'!K58,'Oct 7th'!K47,K46)</f>
        <v>6.833333333333333</v>
      </c>
      <c r="M37" s="485">
        <f>AVERAGE('[9]Jan30th-31st'!$L$47,L37,'[10]Feb 26th '!$L$39,'[11]Mar 31st'!$L$47,'[12]Apr 30th'!$L$46,'[13]May 29th '!$L$40,'[14]June 30th'!$L$39,[15]July31st!$L$41,'[16]Aug 31st'!$L$37,'[17]Sept 30th'!$L$37)</f>
        <v>6.5568674803457414</v>
      </c>
      <c r="N37" s="415">
        <v>9.1999999999999993</v>
      </c>
      <c r="O37" s="294"/>
      <c r="P37" s="12"/>
    </row>
    <row r="38" spans="2:56" ht="15" customHeight="1">
      <c r="B38" s="520"/>
      <c r="C38" s="349"/>
      <c r="D38" s="529"/>
      <c r="E38" s="530"/>
      <c r="F38" s="294"/>
      <c r="G38" s="42"/>
      <c r="H38" s="42"/>
      <c r="I38" s="42"/>
      <c r="J38" s="288" t="s">
        <v>40</v>
      </c>
      <c r="K38" s="324"/>
      <c r="L38" s="294"/>
      <c r="M38" s="294"/>
      <c r="N38" s="294"/>
      <c r="O38" s="294"/>
      <c r="P38" s="12"/>
    </row>
    <row r="39" spans="2:56" ht="15" customHeight="1">
      <c r="B39" s="520"/>
      <c r="C39" s="349"/>
      <c r="D39" s="531"/>
      <c r="E39" s="525"/>
      <c r="F39" s="294"/>
      <c r="G39" s="42"/>
      <c r="H39" s="42"/>
      <c r="I39" s="42"/>
      <c r="J39" s="289" t="s">
        <v>33</v>
      </c>
      <c r="K39" s="324"/>
      <c r="L39" s="294"/>
      <c r="M39" s="294"/>
      <c r="N39" s="294"/>
      <c r="O39" s="294"/>
      <c r="P39" s="12"/>
    </row>
    <row r="40" spans="2:56" ht="15">
      <c r="B40" s="520"/>
      <c r="C40" s="349"/>
      <c r="D40" s="529"/>
      <c r="E40" s="530"/>
      <c r="F40" s="294"/>
      <c r="G40" s="42"/>
      <c r="H40" s="42"/>
      <c r="I40" s="42"/>
      <c r="J40" s="290" t="s">
        <v>16</v>
      </c>
      <c r="K40" s="324"/>
      <c r="L40" s="294"/>
      <c r="M40" s="294"/>
      <c r="N40" s="294"/>
      <c r="O40" s="294"/>
      <c r="P40" s="12"/>
      <c r="BC40" s="44"/>
      <c r="BD40" s="44"/>
    </row>
    <row r="41" spans="2:56" ht="15">
      <c r="B41" s="520"/>
      <c r="C41" s="349"/>
      <c r="D41" s="531"/>
      <c r="E41" s="525"/>
      <c r="F41" s="294"/>
      <c r="G41" s="42"/>
      <c r="H41" s="42"/>
      <c r="I41" s="42"/>
      <c r="J41" s="291" t="s">
        <v>15</v>
      </c>
      <c r="K41" s="324"/>
      <c r="L41" s="294"/>
      <c r="M41" s="294"/>
      <c r="N41" s="294"/>
      <c r="O41" s="294"/>
      <c r="P41" s="12"/>
      <c r="BC41" s="44"/>
      <c r="BD41" s="44"/>
    </row>
    <row r="42" spans="2:56" ht="15">
      <c r="B42" s="520"/>
      <c r="C42" s="349"/>
      <c r="D42" s="529"/>
      <c r="E42" s="530"/>
      <c r="F42" s="294"/>
      <c r="G42" s="42"/>
      <c r="H42" s="42"/>
      <c r="I42" s="42"/>
      <c r="J42" s="291" t="s">
        <v>149</v>
      </c>
      <c r="K42" s="324"/>
      <c r="L42" s="294"/>
      <c r="M42" s="294"/>
      <c r="N42" s="294"/>
      <c r="O42" s="294"/>
      <c r="P42" s="12"/>
      <c r="BC42" s="44"/>
      <c r="BD42" s="44"/>
    </row>
    <row r="43" spans="2:56" ht="15.75" thickBot="1">
      <c r="B43" s="521"/>
      <c r="C43" s="350"/>
      <c r="D43" s="532"/>
      <c r="E43" s="533"/>
      <c r="F43" s="294" t="s">
        <v>165</v>
      </c>
      <c r="G43" s="42"/>
      <c r="H43" s="42"/>
      <c r="I43" s="42"/>
      <c r="J43" s="291" t="s">
        <v>148</v>
      </c>
      <c r="K43" s="324"/>
      <c r="L43" s="294"/>
      <c r="M43" s="294"/>
      <c r="N43" s="294" t="s">
        <v>41</v>
      </c>
      <c r="O43" s="294"/>
      <c r="P43" s="12"/>
      <c r="BC43" s="44"/>
      <c r="BD43" s="44"/>
    </row>
    <row r="44" spans="2:56" ht="17.649999999999999" customHeight="1" thickBot="1">
      <c r="B44" s="312" t="s">
        <v>139</v>
      </c>
      <c r="C44" s="313"/>
      <c r="D44" s="512"/>
      <c r="E44" s="513"/>
      <c r="F44" s="294"/>
      <c r="J44" s="295" t="s">
        <v>134</v>
      </c>
      <c r="K44" s="324"/>
      <c r="L44" s="294"/>
      <c r="M44" s="294"/>
      <c r="N44" s="294"/>
      <c r="O44" s="294"/>
      <c r="P44" s="12"/>
      <c r="BC44" s="44"/>
      <c r="BD44" s="44"/>
    </row>
    <row r="45" spans="2:56" ht="17.649999999999999" customHeight="1">
      <c r="B45" s="363"/>
      <c r="C45" s="364"/>
      <c r="D45" s="365"/>
      <c r="E45" s="365"/>
      <c r="F45" s="294"/>
      <c r="G45" s="42"/>
      <c r="H45" s="42"/>
      <c r="I45" s="42"/>
      <c r="J45" s="295" t="s">
        <v>131</v>
      </c>
      <c r="K45" s="324"/>
      <c r="L45" s="294"/>
      <c r="M45" s="294"/>
      <c r="N45" s="294"/>
      <c r="O45" s="294"/>
      <c r="P45" s="12"/>
      <c r="BC45" s="44"/>
      <c r="BD45" s="44"/>
    </row>
    <row r="46" spans="2:56" ht="15.6" customHeight="1">
      <c r="B46" s="45"/>
      <c r="C46" s="11"/>
      <c r="D46" s="11"/>
      <c r="E46" s="46"/>
      <c r="F46" s="294"/>
      <c r="G46" s="42"/>
      <c r="H46" s="42"/>
      <c r="I46" s="42"/>
      <c r="J46" s="346" t="s">
        <v>130</v>
      </c>
      <c r="K46" s="324">
        <f>SUM(K36:K45)</f>
        <v>7</v>
      </c>
      <c r="L46" s="294"/>
      <c r="M46" s="294"/>
      <c r="N46" s="294"/>
      <c r="O46" s="294"/>
      <c r="P46" s="12"/>
    </row>
    <row r="47" spans="2:56" ht="20.25" customHeight="1">
      <c r="B47" s="15" t="s">
        <v>42</v>
      </c>
      <c r="C47" s="1" t="s">
        <v>43</v>
      </c>
      <c r="D47" s="1"/>
      <c r="E47" s="1"/>
      <c r="F47" s="294"/>
      <c r="G47" s="42"/>
      <c r="H47" s="41"/>
      <c r="I47" s="42"/>
      <c r="L47" s="42"/>
      <c r="N47" s="315"/>
      <c r="P47" s="334"/>
    </row>
    <row r="48" spans="2:56" ht="15" customHeight="1" thickBot="1"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1"/>
      <c r="O48" s="48"/>
      <c r="P48" s="49"/>
    </row>
    <row r="49" spans="2:57" ht="15" customHeight="1" thickBot="1">
      <c r="B49" s="504" t="s">
        <v>17</v>
      </c>
      <c r="C49" s="504" t="s">
        <v>44</v>
      </c>
      <c r="D49" s="515" t="s">
        <v>45</v>
      </c>
      <c r="E49" s="517" t="s">
        <v>46</v>
      </c>
      <c r="F49" s="510" t="s">
        <v>47</v>
      </c>
      <c r="G49" s="502" t="s">
        <v>48</v>
      </c>
      <c r="H49" s="504" t="s">
        <v>49</v>
      </c>
      <c r="I49" s="504" t="s">
        <v>50</v>
      </c>
      <c r="J49" s="496" t="s">
        <v>28</v>
      </c>
      <c r="K49" s="506" t="s">
        <v>51</v>
      </c>
      <c r="L49" s="508" t="s">
        <v>52</v>
      </c>
      <c r="M49" s="496" t="s">
        <v>53</v>
      </c>
      <c r="N49" s="13"/>
      <c r="O49" s="13"/>
      <c r="P49" s="50"/>
    </row>
    <row r="50" spans="2:57" ht="28.5" customHeight="1" thickTop="1" thickBot="1">
      <c r="B50" s="505"/>
      <c r="C50" s="514"/>
      <c r="D50" s="516"/>
      <c r="E50" s="518"/>
      <c r="F50" s="511"/>
      <c r="G50" s="503"/>
      <c r="H50" s="505"/>
      <c r="I50" s="505"/>
      <c r="J50" s="497"/>
      <c r="K50" s="507"/>
      <c r="L50" s="509"/>
      <c r="M50" s="497"/>
      <c r="N50" s="13"/>
      <c r="O50" s="13"/>
      <c r="P50" s="50"/>
      <c r="Q50" s="355"/>
      <c r="AB50" s="474">
        <v>43474</v>
      </c>
      <c r="AC50" s="474">
        <v>43475</v>
      </c>
      <c r="AD50" s="474">
        <v>43476</v>
      </c>
      <c r="AE50" s="474">
        <v>43477</v>
      </c>
      <c r="AF50" s="474">
        <v>43478</v>
      </c>
      <c r="AG50" s="474">
        <v>43479</v>
      </c>
      <c r="AH50" s="474">
        <v>43480</v>
      </c>
      <c r="AI50" s="474">
        <v>43481</v>
      </c>
      <c r="AJ50" s="474">
        <v>43482</v>
      </c>
      <c r="AK50" s="474">
        <v>43483</v>
      </c>
      <c r="AL50" s="474">
        <v>43484</v>
      </c>
      <c r="AM50" s="474">
        <v>43485</v>
      </c>
      <c r="AN50" s="474">
        <v>43486</v>
      </c>
      <c r="AO50" s="474">
        <v>43487</v>
      </c>
      <c r="AP50" s="474">
        <v>43488</v>
      </c>
      <c r="AQ50" s="474">
        <v>43489</v>
      </c>
      <c r="AR50" s="474">
        <v>43490</v>
      </c>
      <c r="AS50" s="474">
        <v>43491</v>
      </c>
      <c r="AT50" s="474">
        <v>43492</v>
      </c>
      <c r="AU50" s="474">
        <v>43493</v>
      </c>
      <c r="AV50" s="474">
        <v>43494</v>
      </c>
      <c r="AW50" s="474">
        <v>43495</v>
      </c>
      <c r="AX50" s="474">
        <v>43496</v>
      </c>
    </row>
    <row r="51" spans="2:57" s="54" customFormat="1" ht="36.75" customHeight="1" thickBot="1">
      <c r="B51" s="455" t="str">
        <f>J36</f>
        <v>CARIB</v>
      </c>
      <c r="C51" s="478">
        <v>46303</v>
      </c>
      <c r="D51" s="444">
        <f>[18]October_2026!$K$3</f>
        <v>302.39999999999998</v>
      </c>
      <c r="E51" s="442"/>
      <c r="F51" s="443"/>
      <c r="G51" s="443">
        <f>[18]October_2026!$K$7</f>
        <v>292.2</v>
      </c>
      <c r="H51" s="457"/>
      <c r="I51" s="457"/>
      <c r="J51" s="447" t="s">
        <v>150</v>
      </c>
      <c r="K51" s="448">
        <f>[19]October_2026!$K$18</f>
        <v>1.0252631578947369</v>
      </c>
      <c r="L51" s="475">
        <f>(((D51+E51)-G51)/(D51+E51))*100</f>
        <v>3.3730158730158695</v>
      </c>
      <c r="M51" s="454" t="s">
        <v>172</v>
      </c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[20]January_2019!L5</f>
        <v>0</v>
      </c>
      <c r="AC51" s="57">
        <f>[20]January_2019!M5</f>
        <v>0</v>
      </c>
      <c r="AD51" s="57">
        <f>[20]January_2019!N5</f>
        <v>0</v>
      </c>
      <c r="AE51" s="57">
        <f>[20]January_2019!O5</f>
        <v>0</v>
      </c>
      <c r="AF51" s="57">
        <f>[20]January_2019!P5</f>
        <v>0</v>
      </c>
      <c r="AG51" s="57">
        <f>[20]January_2019!Q5</f>
        <v>0</v>
      </c>
      <c r="AH51" s="57">
        <f>[20]January_2019!R5</f>
        <v>0</v>
      </c>
      <c r="AI51" s="57">
        <f>[20]January_2019!S5</f>
        <v>0</v>
      </c>
      <c r="AJ51" s="57">
        <f>[20]January_2019!T5</f>
        <v>0</v>
      </c>
      <c r="AK51" s="57">
        <f>[20]January_2019!U5</f>
        <v>0</v>
      </c>
      <c r="AL51" s="57">
        <f>[20]January_2019!V5</f>
        <v>0</v>
      </c>
      <c r="AM51" s="57">
        <f>[20]January_2019!W5</f>
        <v>0</v>
      </c>
      <c r="AN51" s="57">
        <f>[20]January_2019!X5</f>
        <v>0</v>
      </c>
      <c r="AO51" s="57">
        <f>[20]January_2019!Y5</f>
        <v>0</v>
      </c>
      <c r="AP51" s="57">
        <f>[20]January_2019!Z5</f>
        <v>0</v>
      </c>
      <c r="AQ51" s="57">
        <f>[20]January_2019!AA5</f>
        <v>0</v>
      </c>
      <c r="AR51" s="57">
        <f>[20]January_2019!AB5</f>
        <v>0</v>
      </c>
      <c r="AS51" s="57">
        <f>[20]January_2019!AC5</f>
        <v>0</v>
      </c>
      <c r="AT51" s="57">
        <f>[20]January_2019!AD5</f>
        <v>0</v>
      </c>
      <c r="AU51" s="57">
        <f>[20]January_2019!AE5</f>
        <v>0</v>
      </c>
      <c r="AV51" s="57">
        <f>[20]January_2019!AF5</f>
        <v>0</v>
      </c>
      <c r="AW51" s="57">
        <f>[20]January_2019!AG5</f>
        <v>0</v>
      </c>
      <c r="AX51" s="277">
        <f>[20]January_2019!AH5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14.25" customHeight="1" thickBot="1">
      <c r="B52" s="479"/>
      <c r="C52" s="478"/>
      <c r="D52" s="441"/>
      <c r="E52" s="442"/>
      <c r="F52" s="443"/>
      <c r="G52" s="444"/>
      <c r="H52" s="457"/>
      <c r="I52" s="457"/>
      <c r="J52" s="475"/>
      <c r="K52" s="448"/>
      <c r="L52" s="456"/>
      <c r="M52" s="454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[20]January_2019!L6</f>
        <v>0</v>
      </c>
      <c r="AC52" s="57">
        <f>[20]January_2019!M6</f>
        <v>0</v>
      </c>
      <c r="AD52" s="57">
        <f>[20]January_2019!N6</f>
        <v>0</v>
      </c>
      <c r="AE52" s="57">
        <f>[20]January_2019!O6</f>
        <v>0</v>
      </c>
      <c r="AF52" s="57">
        <f>[20]January_2019!P6</f>
        <v>0</v>
      </c>
      <c r="AG52" s="57">
        <f>[20]January_2019!Q6</f>
        <v>0</v>
      </c>
      <c r="AH52" s="57">
        <f>[20]January_2019!R6</f>
        <v>0</v>
      </c>
      <c r="AI52" s="57">
        <f>[20]January_2019!S6</f>
        <v>0</v>
      </c>
      <c r="AJ52" s="57">
        <f>[20]January_2019!T6</f>
        <v>0</v>
      </c>
      <c r="AK52" s="57">
        <f>[20]January_2019!U6</f>
        <v>0</v>
      </c>
      <c r="AL52" s="57">
        <f>[20]January_2019!V6</f>
        <v>0</v>
      </c>
      <c r="AM52" s="57">
        <f>[20]January_2019!W6</f>
        <v>0</v>
      </c>
      <c r="AN52" s="57">
        <f>[20]January_2019!X6</f>
        <v>0</v>
      </c>
      <c r="AO52" s="57">
        <f>[20]January_2019!Y6</f>
        <v>0</v>
      </c>
      <c r="AP52" s="57">
        <f>[20]January_2019!Z6</f>
        <v>0</v>
      </c>
      <c r="AQ52" s="57">
        <f>[20]January_2019!AA6</f>
        <v>0</v>
      </c>
      <c r="AR52" s="57">
        <f>[20]January_2019!AB6</f>
        <v>0</v>
      </c>
      <c r="AS52" s="57">
        <f>[20]January_2019!AC6</f>
        <v>0</v>
      </c>
      <c r="AT52" s="57">
        <f>[20]January_2019!AD6</f>
        <v>0</v>
      </c>
      <c r="AU52" s="57">
        <f>[20]January_2019!AE6</f>
        <v>0</v>
      </c>
      <c r="AV52" s="57">
        <f>[20]January_2019!AF6</f>
        <v>0</v>
      </c>
      <c r="AW52" s="57">
        <f>[20]January_2019!AG6</f>
        <v>0</v>
      </c>
      <c r="AX52" s="277">
        <f>[20]January_2019!AH6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37.15" customHeight="1" thickBot="1">
      <c r="B53" s="489" t="str">
        <f>J37</f>
        <v>STAG</v>
      </c>
      <c r="C53" s="478">
        <v>46303</v>
      </c>
      <c r="D53" s="441">
        <f>[18]October_2026!$K$13</f>
        <v>292</v>
      </c>
      <c r="E53" s="442"/>
      <c r="F53" s="443"/>
      <c r="G53" s="443">
        <f>[18]October_2026!$K$17</f>
        <v>278</v>
      </c>
      <c r="H53" s="445"/>
      <c r="I53" s="445"/>
      <c r="J53" s="447" t="s">
        <v>150</v>
      </c>
      <c r="K53" s="448">
        <f>[19]October_2026!$K$25</f>
        <v>0.9754385964912281</v>
      </c>
      <c r="L53" s="456">
        <f>(((D53+E53)-G53)/(D53+E53))*100</f>
        <v>4.7945205479452051</v>
      </c>
      <c r="M53" s="454" t="s">
        <v>176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[20]January_2019!L7</f>
        <v>285.8</v>
      </c>
      <c r="AC53" s="57">
        <f>[20]January_2019!M7</f>
        <v>508.1</v>
      </c>
      <c r="AD53" s="57">
        <f>[20]January_2019!N7</f>
        <v>0</v>
      </c>
      <c r="AE53" s="57">
        <f>[20]January_2019!O7</f>
        <v>0</v>
      </c>
      <c r="AF53" s="57">
        <f>[20]January_2019!P7</f>
        <v>109.56666666666666</v>
      </c>
      <c r="AG53" s="57">
        <f>[20]January_2019!Q7</f>
        <v>297.64999999999998</v>
      </c>
      <c r="AH53" s="57">
        <f>[20]January_2019!R7</f>
        <v>122.3</v>
      </c>
      <c r="AI53" s="57">
        <f>[20]January_2019!S7</f>
        <v>0</v>
      </c>
      <c r="AJ53" s="57">
        <f>[20]January_2019!T7</f>
        <v>294.7</v>
      </c>
      <c r="AK53" s="57">
        <f>[20]January_2019!U7</f>
        <v>280.5</v>
      </c>
      <c r="AL53" s="57">
        <f>[20]January_2019!V7</f>
        <v>0</v>
      </c>
      <c r="AM53" s="57">
        <f>[20]January_2019!W7</f>
        <v>0</v>
      </c>
      <c r="AN53" s="57">
        <f>[20]January_2019!X7</f>
        <v>188.25</v>
      </c>
      <c r="AO53" s="57">
        <f>[20]January_2019!Y7</f>
        <v>295.7</v>
      </c>
      <c r="AP53" s="57">
        <f>[20]January_2019!Z7</f>
        <v>257.8</v>
      </c>
      <c r="AQ53" s="57">
        <f>[20]January_2019!AA7</f>
        <v>291.2</v>
      </c>
      <c r="AR53" s="57">
        <f>[20]January_2019!AB7</f>
        <v>187</v>
      </c>
      <c r="AS53" s="57">
        <f>[20]January_2019!AC7</f>
        <v>0</v>
      </c>
      <c r="AT53" s="57">
        <f>[20]January_2019!AD7</f>
        <v>0</v>
      </c>
      <c r="AU53" s="57">
        <f>[20]January_2019!AE7</f>
        <v>485.1</v>
      </c>
      <c r="AV53" s="57">
        <f>[20]January_2019!AF7</f>
        <v>171.55</v>
      </c>
      <c r="AW53" s="57">
        <f>[20]January_2019!AG7</f>
        <v>423.8</v>
      </c>
      <c r="AX53" s="277">
        <f>[20]January_2019!AH7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8.600000000000001" hidden="1" customHeight="1" thickBot="1">
      <c r="B54" s="477"/>
      <c r="C54" s="429"/>
      <c r="D54" s="430"/>
      <c r="E54" s="431"/>
      <c r="F54" s="432"/>
      <c r="G54" s="433"/>
      <c r="H54" s="457"/>
      <c r="I54" s="457"/>
      <c r="J54" s="450"/>
      <c r="K54" s="435"/>
      <c r="L54" s="451"/>
      <c r="M54" s="420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38.65" hidden="1" customHeight="1" thickBot="1">
      <c r="B55" s="486"/>
      <c r="C55" s="478"/>
      <c r="D55" s="441"/>
      <c r="E55" s="442"/>
      <c r="F55" s="443"/>
      <c r="G55" s="444"/>
      <c r="H55" s="457"/>
      <c r="I55" s="457"/>
      <c r="J55" s="447"/>
      <c r="K55" s="458"/>
      <c r="L55" s="456"/>
      <c r="M55" s="454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15.75" hidden="1" thickBot="1">
      <c r="B56" s="452"/>
      <c r="C56" s="429"/>
      <c r="D56" s="430"/>
      <c r="E56" s="431"/>
      <c r="F56" s="432"/>
      <c r="G56" s="433"/>
      <c r="H56" s="434"/>
      <c r="I56" s="449"/>
      <c r="J56" s="450"/>
      <c r="K56" s="435"/>
      <c r="L56" s="451"/>
      <c r="M56" s="420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7.15" hidden="1" customHeight="1" thickBot="1">
      <c r="B57" s="480"/>
      <c r="C57" s="478"/>
      <c r="D57" s="441"/>
      <c r="E57" s="442"/>
      <c r="F57" s="443"/>
      <c r="G57" s="444"/>
      <c r="H57" s="445"/>
      <c r="I57" s="446"/>
      <c r="J57" s="447"/>
      <c r="K57" s="448"/>
      <c r="L57" s="456"/>
      <c r="M57" s="454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6.5" hidden="1" customHeight="1" thickBot="1">
      <c r="B58" s="436"/>
      <c r="C58" s="422"/>
      <c r="D58" s="423"/>
      <c r="E58" s="424"/>
      <c r="F58" s="425"/>
      <c r="G58" s="426"/>
      <c r="H58" s="427"/>
      <c r="I58" s="437"/>
      <c r="J58" s="438"/>
      <c r="K58" s="428"/>
      <c r="L58" s="439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414"/>
      <c r="AC58" s="414"/>
      <c r="AD58" s="414"/>
      <c r="AE58" s="414"/>
      <c r="AF58" s="414"/>
      <c r="AG58" s="414"/>
      <c r="AH58" s="414"/>
      <c r="AI58" s="414"/>
      <c r="AJ58" s="414"/>
      <c r="AK58" s="414"/>
      <c r="AL58" s="414"/>
      <c r="AM58" s="414"/>
      <c r="AN58" s="414"/>
      <c r="AO58" s="414"/>
      <c r="AP58" s="414"/>
      <c r="AQ58" s="414"/>
      <c r="AR58" s="414"/>
      <c r="AS58" s="414"/>
      <c r="AT58" s="414"/>
      <c r="AU58" s="414"/>
      <c r="AV58" s="414"/>
      <c r="AW58" s="414"/>
    </row>
    <row r="59" spans="2:57" s="54" customFormat="1" ht="37.15" hidden="1" customHeight="1" thickBot="1">
      <c r="B59" s="455"/>
      <c r="C59" s="440"/>
      <c r="D59" s="441"/>
      <c r="E59" s="442"/>
      <c r="F59" s="443"/>
      <c r="G59" s="444"/>
      <c r="H59" s="445"/>
      <c r="I59" s="446"/>
      <c r="J59" s="447"/>
      <c r="K59" s="448"/>
      <c r="L59" s="456"/>
      <c r="M59" s="453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7.15" hidden="1" customHeight="1">
      <c r="B60" s="465"/>
      <c r="C60" s="429"/>
      <c r="D60" s="459"/>
      <c r="E60" s="460"/>
      <c r="F60" s="461"/>
      <c r="G60" s="459"/>
      <c r="H60" s="462"/>
      <c r="I60" s="462"/>
      <c r="J60" s="462"/>
      <c r="K60" s="463"/>
      <c r="L60" s="464"/>
      <c r="M60" s="50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ht="18" customHeight="1" thickBot="1">
      <c r="B61" s="59"/>
      <c r="C61" s="30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 t="s">
        <v>41</v>
      </c>
      <c r="O61" s="56"/>
      <c r="P61" s="60"/>
    </row>
    <row r="62" spans="2:57" ht="15.75" thickBot="1">
      <c r="B62" s="498" t="s">
        <v>55</v>
      </c>
      <c r="C62" s="499"/>
      <c r="D62" s="499"/>
      <c r="E62" s="499"/>
      <c r="F62" s="500"/>
      <c r="G62" s="498" t="s">
        <v>56</v>
      </c>
      <c r="H62" s="499"/>
      <c r="I62" s="499"/>
      <c r="J62" s="500"/>
      <c r="K62" s="498" t="s">
        <v>51</v>
      </c>
      <c r="L62" s="499"/>
      <c r="M62" s="499"/>
      <c r="N62" s="501"/>
      <c r="O62" s="56"/>
      <c r="P62" s="50"/>
    </row>
    <row r="63" spans="2:57" ht="15">
      <c r="B63" s="61" t="s">
        <v>17</v>
      </c>
      <c r="C63" s="62" t="s">
        <v>36</v>
      </c>
      <c r="D63" s="62" t="s">
        <v>37</v>
      </c>
      <c r="E63" s="62" t="s">
        <v>38</v>
      </c>
      <c r="F63" s="63" t="s">
        <v>39</v>
      </c>
      <c r="G63" s="62" t="s">
        <v>36</v>
      </c>
      <c r="H63" s="62" t="s">
        <v>37</v>
      </c>
      <c r="I63" s="62" t="s">
        <v>38</v>
      </c>
      <c r="J63" s="63" t="s">
        <v>39</v>
      </c>
      <c r="K63" s="62" t="s">
        <v>36</v>
      </c>
      <c r="L63" s="62" t="s">
        <v>37</v>
      </c>
      <c r="M63" s="62" t="s">
        <v>38</v>
      </c>
      <c r="N63" s="63" t="s">
        <v>39</v>
      </c>
      <c r="O63" s="56"/>
      <c r="P63" s="64"/>
    </row>
    <row r="64" spans="2:57" ht="15">
      <c r="B64" s="29" t="s">
        <v>6</v>
      </c>
      <c r="C64" s="65">
        <f>L51</f>
        <v>3.3730158730158695</v>
      </c>
      <c r="D64" s="76">
        <v>4.8715736377513839</v>
      </c>
      <c r="E64" s="76">
        <v>6.3670919619142783</v>
      </c>
      <c r="F64" s="66">
        <v>4.8</v>
      </c>
      <c r="G64" s="65"/>
      <c r="H64" s="476">
        <v>5.963275310235316</v>
      </c>
      <c r="I64" s="476">
        <v>6.5069923206308973</v>
      </c>
      <c r="J64" s="66">
        <v>4.8</v>
      </c>
      <c r="K64" s="67">
        <f>AVERAGE(K51)</f>
        <v>1.0252631578947369</v>
      </c>
      <c r="L64" s="194">
        <v>0.78289473684210531</v>
      </c>
      <c r="M64" s="194">
        <v>0.55230551648688719</v>
      </c>
      <c r="N64" s="68">
        <v>1</v>
      </c>
      <c r="O64" s="56"/>
      <c r="P64" s="69"/>
    </row>
    <row r="65" spans="2:16" ht="15">
      <c r="B65" s="33" t="s">
        <v>9</v>
      </c>
      <c r="C65" s="65">
        <f>L53</f>
        <v>4.7945205479452051</v>
      </c>
      <c r="D65" s="76">
        <v>4.7945205479452051</v>
      </c>
      <c r="E65" s="76">
        <v>6.0131460057048649</v>
      </c>
      <c r="F65" s="66">
        <v>4.8</v>
      </c>
      <c r="G65" s="65"/>
      <c r="H65" s="76"/>
      <c r="I65" s="76">
        <v>5.9275658832823668</v>
      </c>
      <c r="J65" s="66">
        <v>4.8</v>
      </c>
      <c r="K65" s="67">
        <f>K53</f>
        <v>0.9754385964912281</v>
      </c>
      <c r="L65" s="194">
        <v>0.9754385964912281</v>
      </c>
      <c r="M65" s="194">
        <v>0.6892597333822218</v>
      </c>
      <c r="N65" s="68">
        <v>1</v>
      </c>
      <c r="P65" s="69"/>
    </row>
    <row r="66" spans="2:16" ht="15">
      <c r="B66" s="34" t="s">
        <v>40</v>
      </c>
      <c r="C66" s="65"/>
      <c r="D66" s="76"/>
      <c r="E66" s="76">
        <v>10.890214570112384</v>
      </c>
      <c r="F66" s="66">
        <v>5.5</v>
      </c>
      <c r="G66" s="65"/>
      <c r="H66" s="76"/>
      <c r="I66" s="76">
        <v>11.797659278069149</v>
      </c>
      <c r="J66" s="66">
        <v>5.5</v>
      </c>
      <c r="K66" s="67"/>
      <c r="L66" s="194"/>
      <c r="M66" s="194">
        <v>0.35370190356844494</v>
      </c>
      <c r="N66" s="68">
        <v>1</v>
      </c>
      <c r="P66" s="69"/>
    </row>
    <row r="67" spans="2:16" ht="15">
      <c r="B67" s="22" t="s">
        <v>33</v>
      </c>
      <c r="C67" s="65"/>
      <c r="D67" s="76">
        <v>2.6160971335586405</v>
      </c>
      <c r="E67" s="76">
        <v>4.6053599467161712</v>
      </c>
      <c r="F67" s="66">
        <v>3.3</v>
      </c>
      <c r="G67" s="65"/>
      <c r="H67" s="76">
        <v>4.0562064167659644</v>
      </c>
      <c r="I67" s="76">
        <v>4.7835858167498584</v>
      </c>
      <c r="J67" s="66">
        <v>3.3</v>
      </c>
      <c r="K67" s="67"/>
      <c r="L67" s="194">
        <v>1.3649122807017544</v>
      </c>
      <c r="M67" s="194">
        <v>0.83244019138755987</v>
      </c>
      <c r="N67" s="68">
        <v>1</v>
      </c>
      <c r="P67" s="69"/>
    </row>
    <row r="68" spans="2:16" ht="15">
      <c r="B68" s="35" t="s">
        <v>164</v>
      </c>
      <c r="C68" s="65"/>
      <c r="D68" s="76"/>
      <c r="E68" s="76"/>
      <c r="F68" s="66">
        <v>3.3</v>
      </c>
      <c r="G68" s="282"/>
      <c r="H68" s="76"/>
      <c r="I68" s="76"/>
      <c r="J68" s="66">
        <v>3</v>
      </c>
      <c r="K68" s="67"/>
      <c r="L68" s="194"/>
      <c r="M68" s="194"/>
      <c r="N68" s="68">
        <v>1</v>
      </c>
      <c r="P68" s="69"/>
    </row>
    <row r="69" spans="2:16" ht="15">
      <c r="B69" s="36" t="s">
        <v>15</v>
      </c>
      <c r="C69" s="65"/>
      <c r="D69" s="76"/>
      <c r="E69" s="76">
        <v>6.3233965672990236</v>
      </c>
      <c r="F69" s="70">
        <v>5.5</v>
      </c>
      <c r="G69" s="65"/>
      <c r="H69" s="76"/>
      <c r="I69" s="76">
        <v>7.9667553186446929</v>
      </c>
      <c r="J69" s="66">
        <v>5.5</v>
      </c>
      <c r="K69" s="67"/>
      <c r="L69" s="194"/>
      <c r="M69" s="194">
        <v>0.5883625730994152</v>
      </c>
      <c r="N69" s="68">
        <v>1</v>
      </c>
      <c r="P69" s="69"/>
    </row>
    <row r="70" spans="2:16" ht="15">
      <c r="B70" s="37" t="s">
        <v>16</v>
      </c>
      <c r="C70" s="481"/>
      <c r="D70" s="76"/>
      <c r="E70" s="76">
        <v>3.9973372218347856</v>
      </c>
      <c r="F70" s="66">
        <v>3.3</v>
      </c>
      <c r="G70" s="282"/>
      <c r="H70" s="76"/>
      <c r="I70" s="76">
        <v>5.1096183510504902</v>
      </c>
      <c r="J70" s="66">
        <v>3.3</v>
      </c>
      <c r="K70" s="67"/>
      <c r="L70" s="194"/>
      <c r="M70" s="194">
        <v>0.89057130004498408</v>
      </c>
      <c r="N70" s="71">
        <v>1</v>
      </c>
      <c r="P70" s="69"/>
    </row>
    <row r="71" spans="2:16" ht="15.75" thickBot="1">
      <c r="B71" s="38" t="s">
        <v>163</v>
      </c>
      <c r="C71" s="65"/>
      <c r="D71" s="76"/>
      <c r="E71" s="76"/>
      <c r="F71" s="66">
        <v>7.5</v>
      </c>
      <c r="G71" s="282"/>
      <c r="H71" s="76"/>
      <c r="I71" s="76"/>
      <c r="J71" s="66">
        <v>7.5</v>
      </c>
      <c r="K71" s="67"/>
      <c r="L71" s="194"/>
      <c r="M71" s="194"/>
      <c r="N71" s="71">
        <v>1</v>
      </c>
      <c r="P71" s="69"/>
    </row>
    <row r="72" spans="2:16" ht="15.75" thickBot="1">
      <c r="B72" s="413" t="s">
        <v>161</v>
      </c>
      <c r="C72" s="65"/>
      <c r="D72" s="76"/>
      <c r="E72" s="76"/>
      <c r="F72" s="66">
        <v>4.8</v>
      </c>
      <c r="G72" s="282"/>
      <c r="H72" s="76"/>
      <c r="I72" s="76"/>
      <c r="J72" s="66">
        <v>4.8</v>
      </c>
      <c r="K72" s="67"/>
      <c r="L72" s="194"/>
      <c r="M72" s="194"/>
      <c r="N72" s="71">
        <v>1</v>
      </c>
      <c r="O72" s="74"/>
      <c r="P72" s="75"/>
    </row>
    <row r="73" spans="2:16" ht="15">
      <c r="D73" s="76">
        <v>4.4514705547847022</v>
      </c>
      <c r="E73" s="76">
        <v>6.2986129247920557</v>
      </c>
      <c r="F73" s="341">
        <v>5.5</v>
      </c>
      <c r="H73" s="76">
        <v>5.3491958047256141</v>
      </c>
      <c r="I73" s="76">
        <v>6.620534077895524</v>
      </c>
      <c r="J73" s="341">
        <v>5.5</v>
      </c>
      <c r="L73" s="194">
        <v>0.87971491228070176</v>
      </c>
      <c r="M73" s="194">
        <v>0.60708529995668548</v>
      </c>
      <c r="N73" s="386">
        <v>1</v>
      </c>
    </row>
  </sheetData>
  <mergeCells count="51">
    <mergeCell ref="M49:M50"/>
    <mergeCell ref="B62:F62"/>
    <mergeCell ref="G62:J62"/>
    <mergeCell ref="K62:N62"/>
    <mergeCell ref="G49:G50"/>
    <mergeCell ref="H49:H50"/>
    <mergeCell ref="I49:I50"/>
    <mergeCell ref="J49:J50"/>
    <mergeCell ref="K49:K50"/>
    <mergeCell ref="L49:L50"/>
    <mergeCell ref="F49:F50"/>
    <mergeCell ref="D44:E44"/>
    <mergeCell ref="B49:B50"/>
    <mergeCell ref="C49:C50"/>
    <mergeCell ref="D49:D50"/>
    <mergeCell ref="E49:E50"/>
    <mergeCell ref="B34:B43"/>
    <mergeCell ref="D34:E35"/>
    <mergeCell ref="J34:K34"/>
    <mergeCell ref="L35:N35"/>
    <mergeCell ref="D36:E37"/>
    <mergeCell ref="D38:E39"/>
    <mergeCell ref="D40:E41"/>
    <mergeCell ref="D42:E43"/>
    <mergeCell ref="I20:N20"/>
    <mergeCell ref="D21:E21"/>
    <mergeCell ref="B22:B33"/>
    <mergeCell ref="D22:E23"/>
    <mergeCell ref="D24:E25"/>
    <mergeCell ref="D26:E27"/>
    <mergeCell ref="D28:E29"/>
    <mergeCell ref="D30:E31"/>
    <mergeCell ref="D32:E33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4:B45">
    <cfRule type="cellIs" dxfId="1152" priority="112" operator="notBetween">
      <formula>#REF!</formula>
      <formula>#REF!</formula>
    </cfRule>
  </conditionalFormatting>
  <conditionalFormatting sqref="C48">
    <cfRule type="cellIs" dxfId="1151" priority="195" stopIfTrue="1" operator="greaterThan">
      <formula>100</formula>
    </cfRule>
    <cfRule type="cellIs" dxfId="1150" priority="194" stopIfTrue="1" operator="lessThan">
      <formula>96</formula>
    </cfRule>
  </conditionalFormatting>
  <conditionalFormatting sqref="C64:C65">
    <cfRule type="cellIs" dxfId="1149" priority="77" stopIfTrue="1" operator="greaterThan">
      <formula>$F64</formula>
    </cfRule>
    <cfRule type="cellIs" dxfId="1148" priority="75" stopIfTrue="1" operator="greaterThan">
      <formula>$F64</formula>
    </cfRule>
    <cfRule type="cellIs" dxfId="1147" priority="76" stopIfTrue="1" operator="lessThanOrEqual">
      <formula>0</formula>
    </cfRule>
    <cfRule type="cellIs" dxfId="1146" priority="78" stopIfTrue="1" operator="lessThanOrEqual">
      <formula>0</formula>
    </cfRule>
  </conditionalFormatting>
  <conditionalFormatting sqref="C66:C68 C70:C72">
    <cfRule type="cellIs" dxfId="1145" priority="84" stopIfTrue="1" operator="greaterThan">
      <formula>$F69</formula>
    </cfRule>
  </conditionalFormatting>
  <conditionalFormatting sqref="C66:C68">
    <cfRule type="cellIs" dxfId="1144" priority="85" stopIfTrue="1" operator="lessThanOrEqual">
      <formula>0</formula>
    </cfRule>
  </conditionalFormatting>
  <conditionalFormatting sqref="C69">
    <cfRule type="cellIs" dxfId="1143" priority="196" stopIfTrue="1" operator="greaterThan">
      <formula>$F64</formula>
    </cfRule>
    <cfRule type="cellIs" dxfId="1142" priority="198" stopIfTrue="1" operator="greaterThan">
      <formula>$F64</formula>
    </cfRule>
    <cfRule type="cellIs" dxfId="1141" priority="199" stopIfTrue="1" operator="lessThanOrEqual">
      <formula>0</formula>
    </cfRule>
    <cfRule type="cellIs" dxfId="1140" priority="197" stopIfTrue="1" operator="lessThanOrEqual">
      <formula>0</formula>
    </cfRule>
  </conditionalFormatting>
  <conditionalFormatting sqref="C70:C72">
    <cfRule type="cellIs" dxfId="1139" priority="86" stopIfTrue="1" operator="lessThanOrEqual">
      <formula>0</formula>
    </cfRule>
  </conditionalFormatting>
  <conditionalFormatting sqref="C75:C79">
    <cfRule type="cellIs" dxfId="1138" priority="186" stopIfTrue="1" operator="lessThanOrEqual">
      <formula>0</formula>
    </cfRule>
  </conditionalFormatting>
  <conditionalFormatting sqref="C76:C79">
    <cfRule type="cellIs" dxfId="1137" priority="185" stopIfTrue="1" operator="greaterThan">
      <formula>$F$75</formula>
    </cfRule>
  </conditionalFormatting>
  <conditionalFormatting sqref="C81">
    <cfRule type="cellIs" dxfId="1136" priority="188" stopIfTrue="1" operator="lessThanOrEqual">
      <formula>0</formula>
    </cfRule>
    <cfRule type="cellIs" dxfId="1135" priority="187" stopIfTrue="1" operator="greaterThan">
      <formula>$F$75</formula>
    </cfRule>
  </conditionalFormatting>
  <conditionalFormatting sqref="C69:D69">
    <cfRule type="cellIs" dxfId="1134" priority="73" stopIfTrue="1" operator="greaterThan">
      <formula>$J69</formula>
    </cfRule>
    <cfRule type="cellIs" dxfId="1133" priority="74" stopIfTrue="1" operator="lessThanOrEqual">
      <formula>0</formula>
    </cfRule>
  </conditionalFormatting>
  <conditionalFormatting sqref="C75:D75 D77:D83">
    <cfRule type="cellIs" dxfId="1132" priority="180" stopIfTrue="1" operator="greaterThan">
      <formula>4.5</formula>
    </cfRule>
  </conditionalFormatting>
  <conditionalFormatting sqref="D44:D45">
    <cfRule type="cellIs" dxfId="1131" priority="113" operator="notBetween">
      <formula>#REF!</formula>
      <formula>#REF!</formula>
    </cfRule>
  </conditionalFormatting>
  <conditionalFormatting sqref="D64:D68 D70:D71">
    <cfRule type="cellIs" dxfId="1130" priority="83" stopIfTrue="1" operator="lessThanOrEqual">
      <formula>0</formula>
    </cfRule>
  </conditionalFormatting>
  <conditionalFormatting sqref="D64:D68 D70:D73">
    <cfRule type="cellIs" dxfId="1129" priority="79" stopIfTrue="1" operator="lessThanOrEqual">
      <formula>0</formula>
    </cfRule>
    <cfRule type="cellIs" dxfId="1128" priority="80" stopIfTrue="1" operator="greaterThan">
      <formula>$F64</formula>
    </cfRule>
  </conditionalFormatting>
  <conditionalFormatting sqref="D72:D73">
    <cfRule type="cellIs" dxfId="1127" priority="81" stopIfTrue="1" operator="lessThanOrEqual">
      <formula>0</formula>
    </cfRule>
  </conditionalFormatting>
  <conditionalFormatting sqref="D73">
    <cfRule type="cellIs" dxfId="1126" priority="82" stopIfTrue="1" operator="lessThanOrEqual">
      <formula>0</formula>
    </cfRule>
  </conditionalFormatting>
  <conditionalFormatting sqref="D75 D77:D83">
    <cfRule type="cellIs" dxfId="1125" priority="181" stopIfTrue="1" operator="lessThanOrEqual">
      <formula>0</formula>
    </cfRule>
  </conditionalFormatting>
  <conditionalFormatting sqref="D76">
    <cfRule type="cellIs" dxfId="1124" priority="172" stopIfTrue="1" operator="greaterThan">
      <formula>$F$75</formula>
    </cfRule>
    <cfRule type="cellIs" dxfId="1123" priority="173" stopIfTrue="1" operator="lessThanOrEqual">
      <formula>0</formula>
    </cfRule>
  </conditionalFormatting>
  <conditionalFormatting sqref="E10:E19">
    <cfRule type="cellIs" dxfId="1122" priority="17" operator="lessThan">
      <formula>48</formula>
    </cfRule>
  </conditionalFormatting>
  <conditionalFormatting sqref="E47 E48:F48">
    <cfRule type="cellIs" dxfId="1121" priority="177" stopIfTrue="1" operator="greaterThan">
      <formula>100</formula>
    </cfRule>
  </conditionalFormatting>
  <conditionalFormatting sqref="E48">
    <cfRule type="cellIs" dxfId="1120" priority="175" stopIfTrue="1" operator="greaterThan">
      <formula>100</formula>
    </cfRule>
    <cfRule type="cellIs" dxfId="1119" priority="174" stopIfTrue="1" operator="lessThan">
      <formula>96.8</formula>
    </cfRule>
  </conditionalFormatting>
  <conditionalFormatting sqref="E64:E72">
    <cfRule type="cellIs" dxfId="1118" priority="46" stopIfTrue="1" operator="lessThanOrEqual">
      <formula>0</formula>
    </cfRule>
  </conditionalFormatting>
  <conditionalFormatting sqref="E64:E73">
    <cfRule type="cellIs" dxfId="1117" priority="47" stopIfTrue="1" operator="greaterThan">
      <formula>$F64</formula>
    </cfRule>
    <cfRule type="cellIs" dxfId="1116" priority="48" stopIfTrue="1" operator="lessThanOrEqual">
      <formula>0</formula>
    </cfRule>
  </conditionalFormatting>
  <conditionalFormatting sqref="E73">
    <cfRule type="cellIs" dxfId="1115" priority="49" stopIfTrue="1" operator="lessThanOrEqual">
      <formula>0</formula>
    </cfRule>
  </conditionalFormatting>
  <conditionalFormatting sqref="E75:E83">
    <cfRule type="cellIs" dxfId="1114" priority="167" stopIfTrue="1" operator="lessThanOrEqual">
      <formula>0</formula>
    </cfRule>
    <cfRule type="cellIs" dxfId="1113" priority="166" stopIfTrue="1" operator="greaterThan">
      <formula>4.5</formula>
    </cfRule>
  </conditionalFormatting>
  <conditionalFormatting sqref="E48:F48 E47">
    <cfRule type="cellIs" dxfId="1112" priority="176" stopIfTrue="1" operator="lessThan">
      <formula>96.5</formula>
    </cfRule>
  </conditionalFormatting>
  <conditionalFormatting sqref="F10:F19">
    <cfRule type="cellIs" dxfId="1111" priority="18" operator="greaterThan">
      <formula>60</formula>
    </cfRule>
  </conditionalFormatting>
  <conditionalFormatting sqref="F48">
    <cfRule type="cellIs" dxfId="1110" priority="192" stopIfTrue="1" operator="lessThan">
      <formula>96.8</formula>
    </cfRule>
    <cfRule type="cellIs" dxfId="1109" priority="193" stopIfTrue="1" operator="greaterThan">
      <formula>100</formula>
    </cfRule>
  </conditionalFormatting>
  <conditionalFormatting sqref="G19">
    <cfRule type="expression" dxfId="1108" priority="21">
      <formula>IF(+(IF(G19&lt;S19,0,IF(G19&gt;T19,0,1)))=0,1)</formula>
    </cfRule>
  </conditionalFormatting>
  <conditionalFormatting sqref="G64:G67 F73">
    <cfRule type="cellIs" dxfId="1107" priority="55" stopIfTrue="1" operator="greaterThan">
      <formula>$F64</formula>
    </cfRule>
    <cfRule type="cellIs" dxfId="1106" priority="56" stopIfTrue="1" operator="lessThanOrEqual">
      <formula>0</formula>
    </cfRule>
  </conditionalFormatting>
  <conditionalFormatting sqref="G66:G67">
    <cfRule type="cellIs" dxfId="1105" priority="41" stopIfTrue="1" operator="greaterThan">
      <formula>$F66</formula>
    </cfRule>
    <cfRule type="cellIs" dxfId="1104" priority="42" stopIfTrue="1" operator="lessThanOrEqual">
      <formula>0</formula>
    </cfRule>
  </conditionalFormatting>
  <conditionalFormatting sqref="G68:G72">
    <cfRule type="cellIs" dxfId="1103" priority="58" stopIfTrue="1" operator="lessThanOrEqual">
      <formula>0</formula>
    </cfRule>
    <cfRule type="cellIs" dxfId="1102" priority="57" stopIfTrue="1" operator="greaterThan">
      <formula>$J68</formula>
    </cfRule>
  </conditionalFormatting>
  <conditionalFormatting sqref="G69">
    <cfRule type="cellIs" dxfId="1101" priority="201" stopIfTrue="1" operator="lessThanOrEqual">
      <formula>0</formula>
    </cfRule>
    <cfRule type="cellIs" dxfId="1100" priority="200" stopIfTrue="1" operator="greaterThan">
      <formula>$F64</formula>
    </cfRule>
  </conditionalFormatting>
  <conditionalFormatting sqref="G77:G82 C80 C82">
    <cfRule type="cellIs" dxfId="1099" priority="189" stopIfTrue="1" operator="greaterThan">
      <formula>4.5</formula>
    </cfRule>
    <cfRule type="cellIs" dxfId="1098" priority="190" stopIfTrue="1" operator="lessThanOrEqual">
      <formula>0</formula>
    </cfRule>
  </conditionalFormatting>
  <conditionalFormatting sqref="G76:H76">
    <cfRule type="cellIs" dxfId="1097" priority="171" stopIfTrue="1" operator="lessThanOrEqual">
      <formula>0</formula>
    </cfRule>
    <cfRule type="cellIs" dxfId="1096" priority="170" stopIfTrue="1" operator="greaterThan">
      <formula>$F$75</formula>
    </cfRule>
  </conditionalFormatting>
  <conditionalFormatting sqref="H10:H19">
    <cfRule type="expression" dxfId="1095" priority="10">
      <formula>IF(+(IF(H10&lt;#REF!,0,IF(H10&gt;#REF!,0,1)))=0,1)</formula>
    </cfRule>
  </conditionalFormatting>
  <conditionalFormatting sqref="H33:H34 H47">
    <cfRule type="cellIs" dxfId="1094" priority="168" stopIfTrue="1" operator="greaterThan">
      <formula>0</formula>
    </cfRule>
  </conditionalFormatting>
  <conditionalFormatting sqref="H51">
    <cfRule type="cellIs" dxfId="1093" priority="61" stopIfTrue="1" operator="greaterThan">
      <formula>$F$64</formula>
    </cfRule>
    <cfRule type="cellIs" dxfId="1092" priority="60" stopIfTrue="1" operator="lessThanOrEqual">
      <formula>0</formula>
    </cfRule>
    <cfRule type="cellIs" dxfId="1091" priority="69" stopIfTrue="1" operator="greaterThan">
      <formula>$F$67</formula>
    </cfRule>
    <cfRule type="cellIs" dxfId="1090" priority="70" stopIfTrue="1" operator="lessThanOrEqual">
      <formula>0</formula>
    </cfRule>
    <cfRule type="cellIs" dxfId="1089" priority="71" stopIfTrue="1" operator="greaterThan">
      <formula>$F$65</formula>
    </cfRule>
  </conditionalFormatting>
  <conditionalFormatting sqref="H51:H52">
    <cfRule type="cellIs" dxfId="1088" priority="72" stopIfTrue="1" operator="lessThanOrEqual">
      <formula>0</formula>
    </cfRule>
  </conditionalFormatting>
  <conditionalFormatting sqref="H52 H54:H55">
    <cfRule type="cellIs" dxfId="1087" priority="98" stopIfTrue="1" operator="lessThanOrEqual">
      <formula>0</formula>
    </cfRule>
  </conditionalFormatting>
  <conditionalFormatting sqref="H52">
    <cfRule type="cellIs" dxfId="1086" priority="97" stopIfTrue="1" operator="greaterThan">
      <formula>$F$65</formula>
    </cfRule>
    <cfRule type="cellIs" dxfId="1085" priority="87" stopIfTrue="1" operator="greaterThan">
      <formula>$F$64</formula>
    </cfRule>
    <cfRule type="cellIs" dxfId="1084" priority="95" stopIfTrue="1" operator="greaterThan">
      <formula>$F$67</formula>
    </cfRule>
    <cfRule type="cellIs" dxfId="1083" priority="96" stopIfTrue="1" operator="lessThanOrEqual">
      <formula>0</formula>
    </cfRule>
  </conditionalFormatting>
  <conditionalFormatting sqref="H53">
    <cfRule type="cellIs" dxfId="1082" priority="37" stopIfTrue="1" operator="lessThanOrEqual">
      <formula>0</formula>
    </cfRule>
    <cfRule type="cellIs" dxfId="1081" priority="28" stopIfTrue="1" operator="greaterThan">
      <formula>$F$66</formula>
    </cfRule>
    <cfRule type="cellIs" dxfId="1080" priority="36" stopIfTrue="1" operator="greaterThan">
      <formula>$F$69</formula>
    </cfRule>
    <cfRule type="cellIs" dxfId="1079" priority="27" stopIfTrue="1" operator="lessThanOrEqual">
      <formula>0</formula>
    </cfRule>
    <cfRule type="cellIs" dxfId="1078" priority="38" stopIfTrue="1" operator="greaterThan">
      <formula>$F$67</formula>
    </cfRule>
    <cfRule type="cellIs" dxfId="1077" priority="39" stopIfTrue="1" operator="lessThanOrEqual">
      <formula>0</formula>
    </cfRule>
  </conditionalFormatting>
  <conditionalFormatting sqref="H54:H55">
    <cfRule type="cellIs" dxfId="1076" priority="100" stopIfTrue="1" operator="greaterThan">
      <formula>$F$64</formula>
    </cfRule>
    <cfRule type="cellIs" dxfId="1075" priority="111" stopIfTrue="1" operator="lessThanOrEqual">
      <formula>0</formula>
    </cfRule>
    <cfRule type="cellIs" dxfId="1074" priority="110" stopIfTrue="1" operator="greaterThan">
      <formula>$F$65</formula>
    </cfRule>
    <cfRule type="cellIs" dxfId="1073" priority="109" stopIfTrue="1" operator="lessThanOrEqual">
      <formula>0</formula>
    </cfRule>
    <cfRule type="cellIs" dxfId="1072" priority="108" stopIfTrue="1" operator="greaterThan">
      <formula>$F$67</formula>
    </cfRule>
  </conditionalFormatting>
  <conditionalFormatting sqref="H56:H57">
    <cfRule type="cellIs" dxfId="1071" priority="135" stopIfTrue="1" operator="lessThanOrEqual">
      <formula>0</formula>
    </cfRule>
    <cfRule type="cellIs" dxfId="1070" priority="144" stopIfTrue="1" operator="greaterThan">
      <formula>#REF!</formula>
    </cfRule>
    <cfRule type="cellIs" dxfId="1069" priority="145" stopIfTrue="1" operator="lessThanOrEqual">
      <formula>0</formula>
    </cfRule>
    <cfRule type="cellIs" dxfId="1068" priority="136" stopIfTrue="1" operator="greaterThan">
      <formula>#REF!</formula>
    </cfRule>
  </conditionalFormatting>
  <conditionalFormatting sqref="H58">
    <cfRule type="cellIs" dxfId="1067" priority="147" stopIfTrue="1" operator="lessThanOrEqual">
      <formula>0</formula>
    </cfRule>
    <cfRule type="cellIs" dxfId="1066" priority="156" stopIfTrue="1" operator="greaterThan">
      <formula>$F$35</formula>
    </cfRule>
    <cfRule type="cellIs" dxfId="1065" priority="157" stopIfTrue="1" operator="lessThanOrEqual">
      <formula>0</formula>
    </cfRule>
    <cfRule type="cellIs" dxfId="1064" priority="158" stopIfTrue="1" operator="greaterThan">
      <formula>$F$33</formula>
    </cfRule>
    <cfRule type="cellIs" dxfId="1063" priority="159" stopIfTrue="1" operator="lessThanOrEqual">
      <formula>0</formula>
    </cfRule>
    <cfRule type="cellIs" dxfId="1062" priority="148" stopIfTrue="1" operator="greaterThan">
      <formula>$F$32</formula>
    </cfRule>
  </conditionalFormatting>
  <conditionalFormatting sqref="H59:H60">
    <cfRule type="cellIs" dxfId="1061" priority="124" stopIfTrue="1" operator="greaterThan">
      <formula>#REF!</formula>
    </cfRule>
    <cfRule type="cellIs" dxfId="1060" priority="132" stopIfTrue="1" operator="greaterThan">
      <formula>#REF!</formula>
    </cfRule>
    <cfRule type="cellIs" dxfId="1059" priority="133" stopIfTrue="1" operator="lessThanOrEqual">
      <formula>0</formula>
    </cfRule>
    <cfRule type="cellIs" dxfId="1058" priority="123" stopIfTrue="1" operator="lessThanOrEqual">
      <formula>0</formula>
    </cfRule>
  </conditionalFormatting>
  <conditionalFormatting sqref="H75 H77:H83">
    <cfRule type="cellIs" dxfId="1057" priority="183" stopIfTrue="1" operator="lessThanOrEqual">
      <formula>0</formula>
    </cfRule>
    <cfRule type="cellIs" dxfId="1056" priority="182" stopIfTrue="1" operator="greaterThan">
      <formula>4.5</formula>
    </cfRule>
  </conditionalFormatting>
  <conditionalFormatting sqref="H51:I51">
    <cfRule type="cellIs" dxfId="1055" priority="62" stopIfTrue="1" operator="lessThanOrEqual">
      <formula>0</formula>
    </cfRule>
  </conditionalFormatting>
  <conditionalFormatting sqref="H51:I52 H54:I55">
    <cfRule type="cellIs" dxfId="1054" priority="59" stopIfTrue="1" operator="greaterThan">
      <formula>$F$66</formula>
    </cfRule>
  </conditionalFormatting>
  <conditionalFormatting sqref="H52:I52">
    <cfRule type="cellIs" dxfId="1053" priority="88" stopIfTrue="1" operator="lessThanOrEqual">
      <formula>0</formula>
    </cfRule>
  </conditionalFormatting>
  <conditionalFormatting sqref="H53:I53">
    <cfRule type="cellIs" dxfId="1052" priority="26" stopIfTrue="1" operator="greaterThan">
      <formula>$F$68</formula>
    </cfRule>
    <cfRule type="cellIs" dxfId="1051" priority="29" stopIfTrue="1" operator="lessThanOrEqual">
      <formula>0</formula>
    </cfRule>
  </conditionalFormatting>
  <conditionalFormatting sqref="H54:I55">
    <cfRule type="cellIs" dxfId="1050" priority="101" stopIfTrue="1" operator="lessThanOrEqual">
      <formula>0</formula>
    </cfRule>
  </conditionalFormatting>
  <conditionalFormatting sqref="H56:I57">
    <cfRule type="cellIs" dxfId="1049" priority="143" stopIfTrue="1" operator="lessThanOrEqual">
      <formula>0</formula>
    </cfRule>
    <cfRule type="cellIs" dxfId="1048" priority="134" stopIfTrue="1" operator="greaterThan">
      <formula>#REF!</formula>
    </cfRule>
    <cfRule type="cellIs" dxfId="1047" priority="137" stopIfTrue="1" operator="lessThanOrEqual">
      <formula>0</formula>
    </cfRule>
    <cfRule type="cellIs" dxfId="1046" priority="142" stopIfTrue="1" operator="greaterThan">
      <formula>#REF!</formula>
    </cfRule>
  </conditionalFormatting>
  <conditionalFormatting sqref="H58:I58">
    <cfRule type="cellIs" dxfId="1045" priority="146" stopIfTrue="1" operator="greaterThan">
      <formula>$F$34</formula>
    </cfRule>
    <cfRule type="cellIs" dxfId="1044" priority="149" stopIfTrue="1" operator="lessThanOrEqual">
      <formula>0</formula>
    </cfRule>
  </conditionalFormatting>
  <conditionalFormatting sqref="H59:I60">
    <cfRule type="cellIs" dxfId="1043" priority="130" stopIfTrue="1" operator="greaterThan">
      <formula>#REF!</formula>
    </cfRule>
    <cfRule type="cellIs" dxfId="1042" priority="122" stopIfTrue="1" operator="greaterThan">
      <formula>#REF!</formula>
    </cfRule>
    <cfRule type="cellIs" dxfId="1041" priority="131" stopIfTrue="1" operator="lessThanOrEqual">
      <formula>0</formula>
    </cfRule>
    <cfRule type="cellIs" dxfId="1040" priority="125" stopIfTrue="1" operator="lessThanOrEqual">
      <formula>0</formula>
    </cfRule>
  </conditionalFormatting>
  <conditionalFormatting sqref="H64:I71">
    <cfRule type="cellIs" dxfId="1039" priority="44" stopIfTrue="1" operator="greaterThan">
      <formula>$J64</formula>
    </cfRule>
    <cfRule type="cellIs" dxfId="1038" priority="45" stopIfTrue="1" operator="lessThanOrEqual">
      <formula>0</formula>
    </cfRule>
  </conditionalFormatting>
  <conditionalFormatting sqref="H72:I72">
    <cfRule type="cellIs" dxfId="1037" priority="52" operator="greaterThan">
      <formula>5.3</formula>
    </cfRule>
  </conditionalFormatting>
  <conditionalFormatting sqref="H73:I73">
    <cfRule type="cellIs" dxfId="1036" priority="50" stopIfTrue="1" operator="greaterThan">
      <formula>$J73</formula>
    </cfRule>
    <cfRule type="cellIs" dxfId="1035" priority="51" stopIfTrue="1" operator="lessThanOrEqual">
      <formula>0</formula>
    </cfRule>
  </conditionalFormatting>
  <conditionalFormatting sqref="I51">
    <cfRule type="cellIs" dxfId="1034" priority="63" stopIfTrue="1" operator="greaterThan">
      <formula>$F$64</formula>
    </cfRule>
    <cfRule type="cellIs" dxfId="1033" priority="68" stopIfTrue="1" operator="lessThanOrEqual">
      <formula>0</formula>
    </cfRule>
    <cfRule type="cellIs" dxfId="1032" priority="67" stopIfTrue="1" operator="greaterThan">
      <formula>$F$64</formula>
    </cfRule>
    <cfRule type="cellIs" dxfId="1031" priority="66" stopIfTrue="1" operator="lessThanOrEqual">
      <formula>0</formula>
    </cfRule>
    <cfRule type="cellIs" dxfId="1030" priority="65" stopIfTrue="1" operator="greaterThan">
      <formula>$F$66</formula>
    </cfRule>
    <cfRule type="cellIs" dxfId="1029" priority="64" stopIfTrue="1" operator="lessThanOrEqual">
      <formula>0</formula>
    </cfRule>
  </conditionalFormatting>
  <conditionalFormatting sqref="I52">
    <cfRule type="cellIs" dxfId="1028" priority="91" stopIfTrue="1" operator="greaterThan">
      <formula>$F$66</formula>
    </cfRule>
    <cfRule type="cellIs" dxfId="1027" priority="94" stopIfTrue="1" operator="lessThanOrEqual">
      <formula>0</formula>
    </cfRule>
    <cfRule type="cellIs" dxfId="1026" priority="89" stopIfTrue="1" operator="greaterThan">
      <formula>$F$64</formula>
    </cfRule>
    <cfRule type="cellIs" dxfId="1025" priority="93" stopIfTrue="1" operator="greaterThan">
      <formula>$F$64</formula>
    </cfRule>
    <cfRule type="cellIs" dxfId="1024" priority="92" stopIfTrue="1" operator="lessThanOrEqual">
      <formula>0</formula>
    </cfRule>
    <cfRule type="cellIs" dxfId="1023" priority="90" stopIfTrue="1" operator="lessThanOrEqual">
      <formula>0</formula>
    </cfRule>
  </conditionalFormatting>
  <conditionalFormatting sqref="I53">
    <cfRule type="cellIs" dxfId="1022" priority="31" stopIfTrue="1" operator="lessThanOrEqual">
      <formula>0</formula>
    </cfRule>
    <cfRule type="cellIs" dxfId="1021" priority="30" stopIfTrue="1" operator="greaterThan">
      <formula>$F$66</formula>
    </cfRule>
    <cfRule type="cellIs" dxfId="1020" priority="35" stopIfTrue="1" operator="lessThanOrEqual">
      <formula>0</formula>
    </cfRule>
    <cfRule type="cellIs" dxfId="1019" priority="33" stopIfTrue="1" operator="lessThanOrEqual">
      <formula>0</formula>
    </cfRule>
    <cfRule type="cellIs" dxfId="1018" priority="32" stopIfTrue="1" operator="greaterThan">
      <formula>$F$68</formula>
    </cfRule>
    <cfRule type="cellIs" dxfId="1017" priority="34" stopIfTrue="1" operator="greaterThan">
      <formula>$F$66</formula>
    </cfRule>
  </conditionalFormatting>
  <conditionalFormatting sqref="I54:I55">
    <cfRule type="cellIs" dxfId="1016" priority="107" stopIfTrue="1" operator="lessThanOrEqual">
      <formula>0</formula>
    </cfRule>
    <cfRule type="cellIs" dxfId="1015" priority="102" stopIfTrue="1" operator="greaterThan">
      <formula>$F$64</formula>
    </cfRule>
    <cfRule type="cellIs" dxfId="1014" priority="104" stopIfTrue="1" operator="greaterThan">
      <formula>$F$66</formula>
    </cfRule>
    <cfRule type="cellIs" dxfId="1013" priority="105" stopIfTrue="1" operator="lessThanOrEqual">
      <formula>0</formula>
    </cfRule>
    <cfRule type="cellIs" dxfId="1012" priority="106" stopIfTrue="1" operator="greaterThan">
      <formula>$F$64</formula>
    </cfRule>
    <cfRule type="cellIs" dxfId="1011" priority="103" stopIfTrue="1" operator="lessThanOrEqual">
      <formula>0</formula>
    </cfRule>
  </conditionalFormatting>
  <conditionalFormatting sqref="I56:I57">
    <cfRule type="cellIs" dxfId="1010" priority="141" stopIfTrue="1" operator="lessThanOrEqual">
      <formula>0</formula>
    </cfRule>
    <cfRule type="cellIs" dxfId="1009" priority="139" stopIfTrue="1" operator="lessThanOrEqual">
      <formula>0</formula>
    </cfRule>
    <cfRule type="cellIs" dxfId="1008" priority="140" stopIfTrue="1" operator="greaterThan">
      <formula>#REF!</formula>
    </cfRule>
    <cfRule type="cellIs" dxfId="1007" priority="138" stopIfTrue="1" operator="greaterThan">
      <formula>#REF!</formula>
    </cfRule>
  </conditionalFormatting>
  <conditionalFormatting sqref="I58">
    <cfRule type="cellIs" dxfId="1006" priority="154" stopIfTrue="1" operator="greaterThan">
      <formula>$F$32</formula>
    </cfRule>
    <cfRule type="cellIs" dxfId="1005" priority="155" stopIfTrue="1" operator="lessThanOrEqual">
      <formula>0</formula>
    </cfRule>
    <cfRule type="cellIs" dxfId="1004" priority="151" stopIfTrue="1" operator="lessThanOrEqual">
      <formula>0</formula>
    </cfRule>
    <cfRule type="cellIs" dxfId="1003" priority="153" stopIfTrue="1" operator="lessThanOrEqual">
      <formula>0</formula>
    </cfRule>
    <cfRule type="cellIs" dxfId="1002" priority="150" stopIfTrue="1" operator="greaterThan">
      <formula>$F$32</formula>
    </cfRule>
    <cfRule type="cellIs" dxfId="1001" priority="152" stopIfTrue="1" operator="greaterThan">
      <formula>$F$34</formula>
    </cfRule>
  </conditionalFormatting>
  <conditionalFormatting sqref="I59:I60">
    <cfRule type="cellIs" dxfId="1000" priority="126" stopIfTrue="1" operator="greaterThan">
      <formula>#REF!</formula>
    </cfRule>
    <cfRule type="cellIs" dxfId="999" priority="127" stopIfTrue="1" operator="lessThanOrEqual">
      <formula>0</formula>
    </cfRule>
    <cfRule type="cellIs" dxfId="998" priority="128" stopIfTrue="1" operator="greaterThan">
      <formula>#REF!</formula>
    </cfRule>
    <cfRule type="cellIs" dxfId="997" priority="129" stopIfTrue="1" operator="lessThanOrEqual">
      <formula>0</formula>
    </cfRule>
  </conditionalFormatting>
  <conditionalFormatting sqref="I75:I83">
    <cfRule type="cellIs" dxfId="996" priority="179" stopIfTrue="1" operator="lessThanOrEqual">
      <formula>0</formula>
    </cfRule>
    <cfRule type="cellIs" dxfId="995" priority="178" stopIfTrue="1" operator="greaterThan">
      <formula>4.5</formula>
    </cfRule>
  </conditionalFormatting>
  <conditionalFormatting sqref="I10:J19">
    <cfRule type="cellIs" dxfId="994" priority="11" operator="lessThan">
      <formula>97.9</formula>
    </cfRule>
  </conditionalFormatting>
  <conditionalFormatting sqref="J22:J24">
    <cfRule type="cellIs" dxfId="993" priority="25" operator="lessThan">
      <formula>97.95</formula>
    </cfRule>
  </conditionalFormatting>
  <conditionalFormatting sqref="J23:J26">
    <cfRule type="cellIs" dxfId="992" priority="160" operator="lessThan">
      <formula>97.4</formula>
    </cfRule>
  </conditionalFormatting>
  <conditionalFormatting sqref="J27:J28">
    <cfRule type="cellIs" dxfId="991" priority="161" operator="lessThan">
      <formula>98</formula>
    </cfRule>
  </conditionalFormatting>
  <conditionalFormatting sqref="J29:J30">
    <cfRule type="cellIs" dxfId="990" priority="162" stopIfTrue="1" operator="lessThan">
      <formula>96.8</formula>
    </cfRule>
    <cfRule type="cellIs" dxfId="989" priority="163" stopIfTrue="1" operator="greaterThan">
      <formula>100</formula>
    </cfRule>
  </conditionalFormatting>
  <conditionalFormatting sqref="J29:J31">
    <cfRule type="cellIs" dxfId="988" priority="164" operator="lessThan">
      <formula>98</formula>
    </cfRule>
  </conditionalFormatting>
  <conditionalFormatting sqref="J60">
    <cfRule type="cellIs" dxfId="987" priority="119" stopIfTrue="1" operator="lessThanOrEqual">
      <formula>0</formula>
    </cfRule>
    <cfRule type="cellIs" dxfId="986" priority="121" stopIfTrue="1" operator="lessThanOrEqual">
      <formula>0</formula>
    </cfRule>
    <cfRule type="cellIs" dxfId="985" priority="120" stopIfTrue="1" operator="greaterThan">
      <formula>#REF!</formula>
    </cfRule>
    <cfRule type="cellIs" dxfId="984" priority="118" stopIfTrue="1" operator="greaterThan">
      <formula>#REF!</formula>
    </cfRule>
    <cfRule type="cellIs" dxfId="983" priority="117" stopIfTrue="1" operator="lessThanOrEqual">
      <formula>0</formula>
    </cfRule>
    <cfRule type="cellIs" dxfId="982" priority="116" stopIfTrue="1" operator="greaterThan">
      <formula>#REF!</formula>
    </cfRule>
    <cfRule type="cellIs" dxfId="981" priority="115" stopIfTrue="1" operator="lessThanOrEqual">
      <formula>0</formula>
    </cfRule>
    <cfRule type="cellIs" dxfId="980" priority="114" stopIfTrue="1" operator="greaterThan">
      <formula>#REF!</formula>
    </cfRule>
  </conditionalFormatting>
  <conditionalFormatting sqref="J73">
    <cfRule type="cellIs" dxfId="979" priority="53" stopIfTrue="1" operator="greaterThan">
      <formula>$F73</formula>
    </cfRule>
    <cfRule type="cellIs" dxfId="978" priority="54" stopIfTrue="1" operator="lessThanOrEqual">
      <formula>0</formula>
    </cfRule>
  </conditionalFormatting>
  <conditionalFormatting sqref="K10:K19">
    <cfRule type="cellIs" dxfId="977" priority="12" operator="greaterThan">
      <formula>6</formula>
    </cfRule>
    <cfRule type="cellIs" dxfId="976" priority="13" operator="lessThan">
      <formula>4</formula>
    </cfRule>
    <cfRule type="cellIs" dxfId="975" priority="14" operator="greaterThan">
      <formula>6.4</formula>
    </cfRule>
  </conditionalFormatting>
  <conditionalFormatting sqref="K51:K60">
    <cfRule type="cellIs" dxfId="974" priority="99" stopIfTrue="1" operator="lessThan">
      <formula>100%</formula>
    </cfRule>
  </conditionalFormatting>
  <conditionalFormatting sqref="K64:K72">
    <cfRule type="cellIs" dxfId="973" priority="43" stopIfTrue="1" operator="lessThan">
      <formula>100%</formula>
    </cfRule>
  </conditionalFormatting>
  <conditionalFormatting sqref="K75:K80">
    <cfRule type="cellIs" dxfId="972" priority="184" stopIfTrue="1" operator="lessThan">
      <formula>100%</formula>
    </cfRule>
  </conditionalFormatting>
  <conditionalFormatting sqref="K82:K83">
    <cfRule type="cellIs" dxfId="971" priority="191" stopIfTrue="1" operator="lessThan">
      <formula>100%</formula>
    </cfRule>
  </conditionalFormatting>
  <conditionalFormatting sqref="L10:L19">
    <cfRule type="cellIs" dxfId="970" priority="15" operator="between">
      <formula>61</formula>
      <formula>65</formula>
    </cfRule>
    <cfRule type="cellIs" dxfId="969" priority="16" operator="greaterThan">
      <formula>65</formula>
    </cfRule>
  </conditionalFormatting>
  <conditionalFormatting sqref="L22:M33">
    <cfRule type="cellIs" dxfId="968" priority="24" operator="lessThan">
      <formula>97.95</formula>
    </cfRule>
  </conditionalFormatting>
  <conditionalFormatting sqref="L37:N37">
    <cfRule type="cellIs" dxfId="967" priority="23" operator="notEqual">
      <formula>#REF!</formula>
    </cfRule>
  </conditionalFormatting>
  <conditionalFormatting sqref="L64:N73">
    <cfRule type="cellIs" dxfId="966" priority="40" stopIfTrue="1" operator="lessThan">
      <formula>100%</formula>
    </cfRule>
  </conditionalFormatting>
  <conditionalFormatting sqref="L75:N83">
    <cfRule type="cellIs" dxfId="965" priority="169" stopIfTrue="1" operator="lessThan">
      <formula>100%</formula>
    </cfRule>
  </conditionalFormatting>
  <conditionalFormatting sqref="M19">
    <cfRule type="expression" dxfId="964" priority="20">
      <formula>IF(+(IF(M19&lt;U19,0,IF(M19&gt;V19,0,1)))=0,1)</formula>
    </cfRule>
  </conditionalFormatting>
  <conditionalFormatting sqref="M10:N18 G13:H17 G18">
    <cfRule type="expression" dxfId="963" priority="22">
      <formula>IF(+(IF(G10&lt;#REF!,0,IF(G10&gt;#REF!,0,1)))=0,1)</formula>
    </cfRule>
  </conditionalFormatting>
  <conditionalFormatting sqref="N10:N19">
    <cfRule type="expression" dxfId="962" priority="19">
      <formula>IF(+(IF(N10&lt;W10,0,IF(N10&gt;X10,0,1)))=0,1)</formula>
    </cfRule>
  </conditionalFormatting>
  <conditionalFormatting sqref="P6">
    <cfRule type="cellIs" dxfId="961" priority="165" operator="greaterThanOrEqual">
      <formula>19</formula>
    </cfRule>
  </conditionalFormatting>
  <dataValidations count="1">
    <dataValidation type="list" allowBlank="1" showInputMessage="1" showErrorMessage="1" sqref="R8" xr:uid="{0ED923DB-7F7C-463A-B0EA-BD9DF7DC6E62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7" max="16383" man="1"/>
  </rowBreaks>
  <colBreaks count="1" manualBreakCount="1">
    <brk id="15" max="89" man="1"/>
  </col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93284-292E-4031-978C-5E67F7AE6BB8}">
  <sheetPr>
    <pageSetUpPr fitToPage="1"/>
  </sheetPr>
  <dimension ref="A1:BE84"/>
  <sheetViews>
    <sheetView topLeftCell="A37" zoomScale="85" zoomScaleNormal="85" workbookViewId="0">
      <selection activeCell="E10" sqref="E10:E1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54" t="s">
        <v>0</v>
      </c>
      <c r="T1" s="554"/>
      <c r="U1" s="554" t="s">
        <v>1</v>
      </c>
      <c r="V1" s="554"/>
      <c r="W1" s="554" t="s">
        <v>2</v>
      </c>
      <c r="X1" s="554"/>
      <c r="Y1" s="554" t="s">
        <v>124</v>
      </c>
      <c r="Z1" s="554"/>
    </row>
    <row r="2" spans="2:29" ht="15">
      <c r="B2" s="555" t="s">
        <v>3</v>
      </c>
      <c r="C2" s="555"/>
      <c r="D2" s="555"/>
      <c r="E2" s="555"/>
      <c r="F2" s="555"/>
      <c r="G2" s="555"/>
      <c r="H2" s="555"/>
      <c r="I2" s="555"/>
      <c r="J2" s="555"/>
      <c r="K2" s="555"/>
      <c r="L2" s="555"/>
      <c r="M2" s="555"/>
      <c r="N2" s="555"/>
      <c r="O2" s="555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46307</v>
      </c>
      <c r="J4" s="397" t="s">
        <v>153</v>
      </c>
      <c r="K4" s="397"/>
      <c r="L4" s="11"/>
      <c r="M4" s="552" t="s">
        <v>8</v>
      </c>
      <c r="N4" s="553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42"/>
      <c r="D5" s="542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6" t="s">
        <v>17</v>
      </c>
      <c r="C8" s="517" t="s">
        <v>18</v>
      </c>
      <c r="D8" s="517" t="s">
        <v>19</v>
      </c>
      <c r="E8" s="356" t="s">
        <v>20</v>
      </c>
      <c r="F8" s="356" t="s">
        <v>21</v>
      </c>
      <c r="G8" s="517" t="s">
        <v>22</v>
      </c>
      <c r="H8" s="544" t="s">
        <v>144</v>
      </c>
      <c r="I8" s="517" t="s">
        <v>167</v>
      </c>
      <c r="J8" s="546" t="s">
        <v>23</v>
      </c>
      <c r="K8" s="548" t="s">
        <v>142</v>
      </c>
      <c r="L8" s="550" t="s">
        <v>24</v>
      </c>
      <c r="M8" s="359" t="s">
        <v>25</v>
      </c>
      <c r="N8" s="17" t="s">
        <v>166</v>
      </c>
      <c r="O8" s="517" t="s">
        <v>155</v>
      </c>
      <c r="P8" s="540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3"/>
      <c r="C9" s="541"/>
      <c r="D9" s="541"/>
      <c r="E9" s="357" t="s">
        <v>30</v>
      </c>
      <c r="F9" s="357" t="s">
        <v>31</v>
      </c>
      <c r="G9" s="541"/>
      <c r="H9" s="545"/>
      <c r="I9" s="541"/>
      <c r="J9" s="547"/>
      <c r="K9" s="549"/>
      <c r="L9" s="551"/>
      <c r="M9" s="20" t="s">
        <v>32</v>
      </c>
      <c r="N9" s="21" t="s">
        <v>41</v>
      </c>
      <c r="O9" s="541"/>
      <c r="P9" s="541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[4]Brewhouse!$A814</f>
        <v>CA764</v>
      </c>
      <c r="D10" s="279">
        <f>[4]Brewhouse!$AF814</f>
        <v>49.1</v>
      </c>
      <c r="E10" s="279">
        <f>[4]Brewhouse!$AI814</f>
        <v>49.5</v>
      </c>
      <c r="F10" s="278">
        <f>[4]Brewhouse!$V814</f>
        <v>60</v>
      </c>
      <c r="G10" s="279">
        <f>[4]Brewhouse!AG814</f>
        <v>12</v>
      </c>
      <c r="H10" s="490">
        <v>12.1</v>
      </c>
      <c r="I10" s="368">
        <f>[4]Brewhouse!$AU814</f>
        <v>98.693894286323896</v>
      </c>
      <c r="J10" s="368">
        <f>[4]Brewhouse!$AV814</f>
        <v>99.574203204894033</v>
      </c>
      <c r="K10" s="281">
        <f>[4]Brewhouse!$Q814</f>
        <v>10.407407407407403</v>
      </c>
      <c r="L10" s="276">
        <f>[4]Brewhouse!$P814</f>
        <v>62</v>
      </c>
      <c r="M10" s="374">
        <f>[4]Brewhouse!$U814-[4]Brewhouse!$T814</f>
        <v>0.11597222222222214</v>
      </c>
      <c r="N10" s="370">
        <f>[4]Brewhouse!$Z814</f>
        <v>0.27222222222222214</v>
      </c>
      <c r="O10" s="419" t="str">
        <f>[4]Brewhouse!$AX814</f>
        <v>K. Benjamin</v>
      </c>
      <c r="P10" s="417"/>
      <c r="R10" s="277" t="str">
        <f t="shared" ref="R10:R28" si="0">B10</f>
        <v>CARIB</v>
      </c>
      <c r="S10" s="471">
        <f t="shared" ref="S10:S28" si="1">VLOOKUP($B10,$R$3:$X$9,2,FALSE)</f>
        <v>11.6</v>
      </c>
      <c r="T10" s="471">
        <f t="shared" ref="T10:T28" si="2">VLOOKUP($B10,$R$3:$X$9,3,FALSE)</f>
        <v>12</v>
      </c>
      <c r="U10" s="297">
        <f t="shared" ref="U10:U28" si="3">VLOOKUP($B10,$R$3:$X$9,4,FALSE)</f>
        <v>0</v>
      </c>
      <c r="V10" s="297">
        <f t="shared" ref="V10:V28" si="4">VLOOKUP($B10,$R$3:$X$9,5,FALSE)</f>
        <v>0.118055555555556</v>
      </c>
      <c r="W10" s="297">
        <f t="shared" ref="W10:W28" si="5">VLOOKUP($B10,$R$3:$X$9,6,FALSE)</f>
        <v>0.22569444444444445</v>
      </c>
      <c r="X10" s="297">
        <f t="shared" ref="X10:X28" si="6">VLOOKUP($B10,$R$3:$X$9,7,FALSE)</f>
        <v>0.2638888888888889</v>
      </c>
      <c r="Y10" s="297">
        <f t="shared" ref="Y10:Y28" si="7">VLOOKUP($B10,$R$3:$Z$9,8,FALSE)</f>
        <v>0</v>
      </c>
      <c r="Z10" s="471">
        <f t="shared" ref="Z10:Z28" si="8">VLOOKUP($B10,$R$3:$Z$9,9,FALSE)</f>
        <v>60</v>
      </c>
    </row>
    <row r="11" spans="2:29" ht="15" customHeight="1">
      <c r="B11" s="29" t="s">
        <v>6</v>
      </c>
      <c r="C11" s="366" t="str">
        <f>[4]Brewhouse!$A815</f>
        <v>CA765</v>
      </c>
      <c r="D11" s="279">
        <f>[4]Brewhouse!$AF815</f>
        <v>49.8</v>
      </c>
      <c r="E11" s="279">
        <f>[4]Brewhouse!$AI815</f>
        <v>50.1</v>
      </c>
      <c r="F11" s="278">
        <f>[4]Brewhouse!$V815</f>
        <v>63</v>
      </c>
      <c r="G11" s="279">
        <f>[4]Brewhouse!AG815</f>
        <v>11.8</v>
      </c>
      <c r="H11" s="396">
        <v>11.8</v>
      </c>
      <c r="I11" s="368">
        <f>[4]Brewhouse!$AU815</f>
        <v>98.262539199860527</v>
      </c>
      <c r="J11" s="368">
        <f>[4]Brewhouse!$AV815</f>
        <v>99.138942729360579</v>
      </c>
      <c r="K11" s="281">
        <f>[4]Brewhouse!$Q815</f>
        <v>9.1111111111111143</v>
      </c>
      <c r="L11" s="276">
        <f>[4]Brewhouse!$P815</f>
        <v>59</v>
      </c>
      <c r="M11" s="374">
        <f>[4]Brewhouse!$U815-[4]Brewhouse!$T815</f>
        <v>0.12708333333333338</v>
      </c>
      <c r="N11" s="370">
        <f>[4]Brewhouse!$Z815</f>
        <v>0.29097222222222224</v>
      </c>
      <c r="O11" s="419" t="str">
        <f>[4]Brewhouse!$AX815</f>
        <v>K. Benjamin</v>
      </c>
      <c r="P11" s="417"/>
      <c r="R11" s="277" t="str">
        <f t="shared" si="0"/>
        <v>CARIB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29" t="s">
        <v>6</v>
      </c>
      <c r="C12" s="366" t="str">
        <f>[4]Brewhouse!$A816</f>
        <v>CA766</v>
      </c>
      <c r="D12" s="279">
        <f>[4]Brewhouse!$AF816</f>
        <v>48.2</v>
      </c>
      <c r="E12" s="279">
        <f>[4]Brewhouse!$AI816</f>
        <v>49.9</v>
      </c>
      <c r="F12" s="278">
        <f>[4]Brewhouse!$V816</f>
        <v>63</v>
      </c>
      <c r="G12" s="279">
        <f>[4]Brewhouse!AG816</f>
        <v>11.7</v>
      </c>
      <c r="H12" s="396">
        <v>11.7</v>
      </c>
      <c r="I12" s="368">
        <f>[4]Brewhouse!$AU816</f>
        <v>97.239656159599406</v>
      </c>
      <c r="J12" s="368">
        <f>[4]Brewhouse!$AV816</f>
        <v>98.106821614261435</v>
      </c>
      <c r="K12" s="281">
        <f>[4]Brewhouse!$Q816</f>
        <v>12.074074074074066</v>
      </c>
      <c r="L12" s="276">
        <f>[4]Brewhouse!$P816</f>
        <v>60</v>
      </c>
      <c r="M12" s="374">
        <f>[4]Brewhouse!$U816-[4]Brewhouse!$T816</f>
        <v>0.12291666666666667</v>
      </c>
      <c r="N12" s="370">
        <f>[4]Brewhouse!$Z816</f>
        <v>0.29583333333333334</v>
      </c>
      <c r="O12" s="419" t="str">
        <f>[4]Brewhouse!$AX816</f>
        <v>K. Benjamin</v>
      </c>
      <c r="P12" s="417"/>
      <c r="R12" s="277" t="str">
        <f t="shared" si="0"/>
        <v>CARIB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29" t="s">
        <v>6</v>
      </c>
      <c r="C13" s="366" t="str">
        <f>[4]Brewhouse!$A817</f>
        <v>CA767</v>
      </c>
      <c r="D13" s="279">
        <f>[4]Brewhouse!$AF817</f>
        <v>42.7</v>
      </c>
      <c r="E13" s="279">
        <f>[4]Brewhouse!$AI817</f>
        <v>43.2</v>
      </c>
      <c r="F13" s="278">
        <f>[4]Brewhouse!$V817</f>
        <v>56</v>
      </c>
      <c r="G13" s="279">
        <f>[4]Brewhouse!AG817</f>
        <v>11.7</v>
      </c>
      <c r="H13" s="396">
        <v>11.8</v>
      </c>
      <c r="I13" s="368">
        <f>[4]Brewhouse!$AU817</f>
        <v>83.765786690009421</v>
      </c>
      <c r="J13" s="368">
        <f>[4]Brewhouse!$AV817</f>
        <v>84.512992250557105</v>
      </c>
      <c r="K13" s="281">
        <f>[4]Brewhouse!$Q817</f>
        <v>22.402957486136778</v>
      </c>
      <c r="L13" s="276">
        <f>[4]Brewhouse!$P817</f>
        <v>60</v>
      </c>
      <c r="M13" s="374">
        <f>[4]Brewhouse!$U817-[4]Brewhouse!$T817</f>
        <v>0.11180555555555549</v>
      </c>
      <c r="N13" s="370">
        <f>[4]Brewhouse!$Z817</f>
        <v>0.25486111111111109</v>
      </c>
      <c r="O13" s="419" t="str">
        <f>[4]Brewhouse!$AX817</f>
        <v>D. Gomaz</v>
      </c>
      <c r="P13" s="417"/>
      <c r="R13" s="277" t="str">
        <f t="shared" si="0"/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 t="s">
        <v>6</v>
      </c>
      <c r="C14" s="366" t="str">
        <f>[4]Brewhouse!$A818</f>
        <v>CA768</v>
      </c>
      <c r="D14" s="279">
        <f>[4]Brewhouse!$AF818</f>
        <v>45.4</v>
      </c>
      <c r="E14" s="279">
        <f>[4]Brewhouse!$AI818</f>
        <v>50.1</v>
      </c>
      <c r="F14" s="278">
        <f>[4]Brewhouse!$V818</f>
        <v>56</v>
      </c>
      <c r="G14" s="279">
        <f>[4]Brewhouse!AG818</f>
        <v>12</v>
      </c>
      <c r="H14" s="396">
        <v>12</v>
      </c>
      <c r="I14" s="368">
        <f>[4]Brewhouse!$AU818</f>
        <v>99.766292415070296</v>
      </c>
      <c r="J14" s="368">
        <f>[4]Brewhouse!$AV818</f>
        <v>100.65622530286895</v>
      </c>
      <c r="K14" s="281">
        <f>[4]Brewhouse!$Q818</f>
        <v>17.412199630314234</v>
      </c>
      <c r="L14" s="276">
        <f>[4]Brewhouse!$P818</f>
        <v>58</v>
      </c>
      <c r="M14" s="374">
        <f>[4]Brewhouse!$U818-[4]Brewhouse!$T818</f>
        <v>0.10763888888888895</v>
      </c>
      <c r="N14" s="370">
        <f>[4]Brewhouse!$Z818</f>
        <v>0.29166666666666674</v>
      </c>
      <c r="O14" s="419" t="str">
        <f>[4]Brewhouse!$AX818</f>
        <v>D. Gomaz</v>
      </c>
      <c r="P14" s="417"/>
      <c r="R14" s="277" t="str">
        <f t="shared" si="0"/>
        <v>CARIB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29" t="s">
        <v>6</v>
      </c>
      <c r="C15" s="366" t="str">
        <f>[4]Brewhouse!$A819</f>
        <v>CA769</v>
      </c>
      <c r="D15" s="279">
        <f>[4]Brewhouse!$AF819</f>
        <v>50.3</v>
      </c>
      <c r="E15" s="279">
        <f>[4]Brewhouse!$AI819</f>
        <v>50.8</v>
      </c>
      <c r="F15" s="278">
        <f>[4]Brewhouse!$V819</f>
        <v>63</v>
      </c>
      <c r="G15" s="279">
        <f>[4]Brewhouse!AG819</f>
        <v>11.8</v>
      </c>
      <c r="H15" s="396">
        <v>11.9</v>
      </c>
      <c r="I15" s="368">
        <f>[4]Brewhouse!$AU819</f>
        <v>99.511739849218969</v>
      </c>
      <c r="J15" s="368">
        <f>[4]Brewhouse!$AV819</f>
        <v>100.39934361361757</v>
      </c>
      <c r="K15" s="281">
        <f>[4]Brewhouse!$Q819</f>
        <v>11.312384473197778</v>
      </c>
      <c r="L15" s="276">
        <f>[4]Brewhouse!$P819</f>
        <v>58</v>
      </c>
      <c r="M15" s="374">
        <f>[4]Brewhouse!$U819-[4]Brewhouse!$T819</f>
        <v>0.11527777777777781</v>
      </c>
      <c r="N15" s="370">
        <f>[4]Brewhouse!$Z819</f>
        <v>0.29791666666666672</v>
      </c>
      <c r="O15" s="419" t="str">
        <f>[4]Brewhouse!$AX819</f>
        <v>R. Sookram</v>
      </c>
      <c r="P15" s="417"/>
      <c r="R15" s="277" t="str">
        <f t="shared" si="0"/>
        <v>CARIB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29" t="s">
        <v>6</v>
      </c>
      <c r="C16" s="366" t="str">
        <f>[4]Brewhouse!$A820</f>
        <v>CA770</v>
      </c>
      <c r="D16" s="279">
        <f>[4]Brewhouse!$AF820</f>
        <v>49.5</v>
      </c>
      <c r="E16" s="279">
        <f>[4]Brewhouse!$AI820</f>
        <v>50.3</v>
      </c>
      <c r="F16" s="278">
        <f>[4]Brewhouse!$V820</f>
        <v>59</v>
      </c>
      <c r="G16" s="279">
        <f>[4]Brewhouse!AG820</f>
        <v>11.7</v>
      </c>
      <c r="H16" s="396">
        <v>11.7</v>
      </c>
      <c r="I16" s="368">
        <f>[4]Brewhouse!$AU820</f>
        <v>97.807901274623262</v>
      </c>
      <c r="J16" s="368">
        <f>[4]Brewhouse!$AV820</f>
        <v>98.52500001825814</v>
      </c>
      <c r="K16" s="281">
        <f>[4]Brewhouse!$Q820</f>
        <v>9.8336414048059151</v>
      </c>
      <c r="L16" s="276">
        <f>[4]Brewhouse!$P820</f>
        <v>60</v>
      </c>
      <c r="M16" s="374">
        <f>[4]Brewhouse!$U820-[4]Brewhouse!$T820</f>
        <v>0.11180555555555549</v>
      </c>
      <c r="N16" s="370">
        <f>[4]Brewhouse!$Z820</f>
        <v>0.26597222222222217</v>
      </c>
      <c r="O16" s="419" t="str">
        <f>[4]Brewhouse!$AX820</f>
        <v>R. Sookram</v>
      </c>
      <c r="P16" s="417"/>
      <c r="R16" s="277" t="str">
        <f t="shared" si="0"/>
        <v>CARIB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2:26" ht="15" customHeight="1">
      <c r="B17" s="29"/>
      <c r="C17" s="366"/>
      <c r="D17" s="279"/>
      <c r="E17" s="279"/>
      <c r="F17" s="278"/>
      <c r="G17" s="279"/>
      <c r="H17" s="490"/>
      <c r="I17" s="368"/>
      <c r="J17" s="368"/>
      <c r="K17" s="281"/>
      <c r="L17" s="276"/>
      <c r="M17" s="374"/>
      <c r="N17" s="370"/>
      <c r="O17" s="419"/>
      <c r="P17" s="417"/>
      <c r="R17" s="277">
        <f t="shared" si="0"/>
        <v>0</v>
      </c>
      <c r="S17" s="471" t="e">
        <f t="shared" si="1"/>
        <v>#N/A</v>
      </c>
      <c r="T17" s="471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1" t="e">
        <f t="shared" si="8"/>
        <v>#N/A</v>
      </c>
    </row>
    <row r="18" spans="2:26" ht="15" customHeight="1">
      <c r="B18" s="29"/>
      <c r="C18" s="366"/>
      <c r="D18" s="279"/>
      <c r="E18" s="279"/>
      <c r="F18" s="278"/>
      <c r="G18" s="279"/>
      <c r="H18" s="490"/>
      <c r="I18" s="368"/>
      <c r="J18" s="368"/>
      <c r="K18" s="281"/>
      <c r="L18" s="276"/>
      <c r="M18" s="374"/>
      <c r="N18" s="370"/>
      <c r="O18" s="419"/>
      <c r="P18" s="417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2:26" ht="15" customHeight="1">
      <c r="B19" s="495">
        <v>46305</v>
      </c>
      <c r="C19" s="366"/>
      <c r="D19" s="279"/>
      <c r="E19" s="279"/>
      <c r="F19" s="278"/>
      <c r="G19" s="279"/>
      <c r="H19" s="490"/>
      <c r="I19" s="368"/>
      <c r="J19" s="368"/>
      <c r="K19" s="281"/>
      <c r="L19" s="276"/>
      <c r="M19" s="374"/>
      <c r="N19" s="370"/>
      <c r="O19" s="419"/>
      <c r="P19" s="417"/>
      <c r="R19" s="277">
        <f t="shared" si="0"/>
        <v>46305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2:26" ht="15" customHeight="1">
      <c r="B20" s="34" t="s">
        <v>12</v>
      </c>
      <c r="C20" s="366" t="str">
        <f>[5]Brewhouse!$A108</f>
        <v>GU085</v>
      </c>
      <c r="D20" s="279">
        <f>[5]Brewhouse!$AF108</f>
        <v>51.5</v>
      </c>
      <c r="E20" s="279">
        <f>[5]Brewhouse!$AI108</f>
        <v>50.3</v>
      </c>
      <c r="F20" s="278">
        <f>[5]Brewhouse!$V108</f>
        <v>56</v>
      </c>
      <c r="G20" s="279">
        <f>[5]Brewhouse!$AG108</f>
        <v>16.7</v>
      </c>
      <c r="H20" s="490">
        <v>16.600000000000001</v>
      </c>
      <c r="I20" s="487">
        <f>[5]Brewhouse!$AU108</f>
        <v>91.724977525489862</v>
      </c>
      <c r="J20" s="487">
        <f>[5]Brewhouse!$AV108</f>
        <v>92.431180354931882</v>
      </c>
      <c r="K20" s="488">
        <f>[5]Brewhouse!$R108</f>
        <v>9.9642857142857117</v>
      </c>
      <c r="L20" s="276">
        <f>[5]Brewhouse!$O108</f>
        <v>58</v>
      </c>
      <c r="M20" s="374">
        <f>[5]Brewhouse!$U108-[5]Brewhouse!$T108</f>
        <v>0.11388888888888893</v>
      </c>
      <c r="N20" s="370">
        <f>[5]Brewhouse!$Z108</f>
        <v>0.27986111111111112</v>
      </c>
      <c r="O20" s="419" t="str">
        <f>[5]Brewhouse!$AW108</f>
        <v>R. Sookram</v>
      </c>
      <c r="P20" s="417"/>
      <c r="R20" s="277" t="str">
        <f t="shared" ref="R20" si="9">B20</f>
        <v>GUINNESS</v>
      </c>
      <c r="S20" s="471">
        <f t="shared" si="1"/>
        <v>17</v>
      </c>
      <c r="T20" s="471">
        <f t="shared" si="2"/>
        <v>17.5</v>
      </c>
      <c r="U20" s="297">
        <f t="shared" si="3"/>
        <v>0</v>
      </c>
      <c r="V20" s="297">
        <f t="shared" si="4"/>
        <v>0.1076388888888889</v>
      </c>
      <c r="W20" s="297">
        <f t="shared" si="5"/>
        <v>0.24652777777777779</v>
      </c>
      <c r="X20" s="297">
        <f t="shared" si="6"/>
        <v>0.28472222222222221</v>
      </c>
      <c r="Y20" s="297">
        <f t="shared" si="7"/>
        <v>0</v>
      </c>
      <c r="Z20" s="471">
        <f t="shared" si="8"/>
        <v>60</v>
      </c>
    </row>
    <row r="21" spans="2:26" ht="15" customHeight="1">
      <c r="B21" s="34" t="s">
        <v>12</v>
      </c>
      <c r="C21" s="366" t="str">
        <f>[5]Brewhouse!$A109</f>
        <v>GU086</v>
      </c>
      <c r="D21" s="279">
        <f>[5]Brewhouse!$AF109</f>
        <v>53</v>
      </c>
      <c r="E21" s="279">
        <f>[5]Brewhouse!$AI109</f>
        <v>51.6</v>
      </c>
      <c r="F21" s="278">
        <f>[5]Brewhouse!$V109</f>
        <v>79</v>
      </c>
      <c r="G21" s="279">
        <f>[5]Brewhouse!$AG109</f>
        <v>17</v>
      </c>
      <c r="H21" s="396">
        <v>17.5</v>
      </c>
      <c r="I21" s="487">
        <f>[5]Brewhouse!$AU109</f>
        <v>95.891925763467796</v>
      </c>
      <c r="J21" s="487">
        <f>[5]Brewhouse!$AV109</f>
        <v>96.630210482872457</v>
      </c>
      <c r="K21" s="488">
        <f>[5]Brewhouse!$R109</f>
        <v>7.2857142857142829</v>
      </c>
      <c r="L21" s="276">
        <f>[5]Brewhouse!$O109</f>
        <v>55</v>
      </c>
      <c r="M21" s="374">
        <f>[5]Brewhouse!$U109-[5]Brewhouse!$T109</f>
        <v>0.14513888888888887</v>
      </c>
      <c r="N21" s="370">
        <f>[5]Brewhouse!$Z109</f>
        <v>0.3208333333333333</v>
      </c>
      <c r="O21" s="419" t="str">
        <f>[5]Brewhouse!$AW109</f>
        <v>R. Sookram</v>
      </c>
      <c r="P21" s="417"/>
      <c r="R21" s="277" t="str">
        <f t="shared" si="0"/>
        <v>GUINNESS</v>
      </c>
      <c r="S21" s="471">
        <f t="shared" si="1"/>
        <v>17</v>
      </c>
      <c r="T21" s="471">
        <f t="shared" si="2"/>
        <v>17.5</v>
      </c>
      <c r="U21" s="297">
        <f t="shared" si="3"/>
        <v>0</v>
      </c>
      <c r="V21" s="297">
        <f t="shared" si="4"/>
        <v>0.1076388888888889</v>
      </c>
      <c r="W21" s="297">
        <f t="shared" si="5"/>
        <v>0.24652777777777779</v>
      </c>
      <c r="X21" s="297">
        <f t="shared" si="6"/>
        <v>0.28472222222222221</v>
      </c>
      <c r="Y21" s="297">
        <f t="shared" si="7"/>
        <v>0</v>
      </c>
      <c r="Z21" s="471">
        <f t="shared" si="8"/>
        <v>60</v>
      </c>
    </row>
    <row r="22" spans="2:26" ht="15" customHeight="1">
      <c r="B22" s="34" t="s">
        <v>12</v>
      </c>
      <c r="C22" s="366" t="str">
        <f>[5]Brewhouse!$A110</f>
        <v>GU087</v>
      </c>
      <c r="D22" s="279">
        <f>[5]Brewhouse!$AF110</f>
        <v>54.6</v>
      </c>
      <c r="E22" s="279">
        <f>[5]Brewhouse!$AI110</f>
        <v>53.1</v>
      </c>
      <c r="F22" s="278">
        <f>[5]Brewhouse!$V110</f>
        <v>72</v>
      </c>
      <c r="G22" s="279">
        <f>[5]Brewhouse!$AG110</f>
        <v>17.600000000000001</v>
      </c>
      <c r="H22" s="490">
        <v>17.600000000000001</v>
      </c>
      <c r="I22" s="487">
        <f>[5]Brewhouse!$AU110</f>
        <v>102.51304330824706</v>
      </c>
      <c r="J22" s="487">
        <f>[5]Brewhouse!$AV110</f>
        <v>103.30216588791079</v>
      </c>
      <c r="K22" s="488">
        <f>[5]Brewhouse!$R110</f>
        <v>7.4509803921568629</v>
      </c>
      <c r="L22" s="276">
        <f>[5]Brewhouse!$O110</f>
        <v>60</v>
      </c>
      <c r="M22" s="374">
        <f>[5]Brewhouse!$U110-[5]Brewhouse!$T110</f>
        <v>0.16319444444444448</v>
      </c>
      <c r="N22" s="370">
        <f>[5]Brewhouse!$Z110</f>
        <v>0.3305555555555556</v>
      </c>
      <c r="O22" s="419" t="str">
        <f>[5]Brewhouse!$AW110</f>
        <v>R. Sookram</v>
      </c>
      <c r="P22" s="417"/>
      <c r="R22" s="277" t="str">
        <f t="shared" si="0"/>
        <v>GUINNESS</v>
      </c>
      <c r="S22" s="471">
        <f t="shared" si="1"/>
        <v>17</v>
      </c>
      <c r="T22" s="471">
        <f t="shared" si="2"/>
        <v>17.5</v>
      </c>
      <c r="U22" s="297">
        <f t="shared" si="3"/>
        <v>0</v>
      </c>
      <c r="V22" s="297">
        <f t="shared" si="4"/>
        <v>0.1076388888888889</v>
      </c>
      <c r="W22" s="297">
        <f t="shared" si="5"/>
        <v>0.24652777777777779</v>
      </c>
      <c r="X22" s="297">
        <f t="shared" si="6"/>
        <v>0.28472222222222221</v>
      </c>
      <c r="Y22" s="297">
        <f t="shared" si="7"/>
        <v>0</v>
      </c>
      <c r="Z22" s="471">
        <f t="shared" si="8"/>
        <v>60</v>
      </c>
    </row>
    <row r="23" spans="2:26" ht="15" customHeight="1">
      <c r="B23" s="34" t="s">
        <v>12</v>
      </c>
      <c r="C23" s="366" t="str">
        <f>[5]Brewhouse!$A111</f>
        <v>GU088</v>
      </c>
      <c r="D23" s="279">
        <f>[5]Brewhouse!$AF111</f>
        <v>53.8</v>
      </c>
      <c r="E23" s="279">
        <f>[5]Brewhouse!$AI111</f>
        <v>52.2</v>
      </c>
      <c r="F23" s="278">
        <f>[5]Brewhouse!$V111</f>
        <v>81</v>
      </c>
      <c r="G23" s="279">
        <f>[5]Brewhouse!$AG111</f>
        <v>17.100000000000001</v>
      </c>
      <c r="H23" s="396">
        <v>17.399999999999999</v>
      </c>
      <c r="I23" s="487">
        <f>[5]Brewhouse!$AU111</f>
        <v>97.414237853051461</v>
      </c>
      <c r="J23" s="487">
        <f>[5]Brewhouse!$AV111</f>
        <v>98.164638069015211</v>
      </c>
      <c r="K23" s="488">
        <f>[5]Brewhouse!$R111</f>
        <v>5.8571428571428594</v>
      </c>
      <c r="L23" s="276">
        <f>[5]Brewhouse!$O111</f>
        <v>59</v>
      </c>
      <c r="M23" s="374">
        <f>[5]Brewhouse!$U111-[5]Brewhouse!$T111</f>
        <v>0.14722222222222225</v>
      </c>
      <c r="N23" s="370">
        <f>[5]Brewhouse!$Z111</f>
        <v>0.33055555555555555</v>
      </c>
      <c r="O23" s="419" t="str">
        <f>[5]Brewhouse!$AW111</f>
        <v>R. Sookram</v>
      </c>
      <c r="P23" s="417"/>
      <c r="R23" s="277" t="str">
        <f t="shared" si="0"/>
        <v>GUINNESS</v>
      </c>
      <c r="S23" s="471">
        <f t="shared" si="1"/>
        <v>17</v>
      </c>
      <c r="T23" s="471">
        <f t="shared" si="2"/>
        <v>17.5</v>
      </c>
      <c r="U23" s="297">
        <f t="shared" si="3"/>
        <v>0</v>
      </c>
      <c r="V23" s="297">
        <f t="shared" si="4"/>
        <v>0.1076388888888889</v>
      </c>
      <c r="W23" s="297">
        <f t="shared" si="5"/>
        <v>0.24652777777777779</v>
      </c>
      <c r="X23" s="297">
        <f t="shared" si="6"/>
        <v>0.28472222222222221</v>
      </c>
      <c r="Y23" s="297">
        <f t="shared" si="7"/>
        <v>0</v>
      </c>
      <c r="Z23" s="471">
        <f t="shared" si="8"/>
        <v>60</v>
      </c>
    </row>
    <row r="24" spans="2:26" ht="15" customHeight="1">
      <c r="B24" s="34" t="s">
        <v>12</v>
      </c>
      <c r="C24" s="366" t="str">
        <f>[5]Brewhouse!$A112</f>
        <v>GU089</v>
      </c>
      <c r="D24" s="279">
        <f>[5]Brewhouse!$AF112</f>
        <v>54.1</v>
      </c>
      <c r="E24" s="279">
        <f>[5]Brewhouse!$AI112</f>
        <v>52.4</v>
      </c>
      <c r="F24" s="278">
        <f>[5]Brewhouse!$V112</f>
        <v>81</v>
      </c>
      <c r="G24" s="279">
        <f>[5]Brewhouse!$AG112</f>
        <v>17.3</v>
      </c>
      <c r="H24" s="396">
        <v>17.3</v>
      </c>
      <c r="I24" s="487">
        <f>[5]Brewhouse!$AU112</f>
        <v>98.546052316710544</v>
      </c>
      <c r="J24" s="487">
        <f>[5]Brewhouse!$AV112</f>
        <v>99.305964606755964</v>
      </c>
      <c r="K24" s="488">
        <f>[5]Brewhouse!$R112</f>
        <v>5.4901960784313699</v>
      </c>
      <c r="L24" s="276">
        <f>[5]Brewhouse!$O112</f>
        <v>58</v>
      </c>
      <c r="M24" s="374">
        <f>[5]Brewhouse!$U112-[5]Brewhouse!$T112</f>
        <v>0.13263888888888886</v>
      </c>
      <c r="N24" s="370">
        <f>[5]Brewhouse!$Z112</f>
        <v>0.31736111111111104</v>
      </c>
      <c r="O24" s="419" t="str">
        <f>[5]Brewhouse!$AW112</f>
        <v>D. Gomaz</v>
      </c>
      <c r="P24" s="417"/>
      <c r="R24" s="277" t="str">
        <f t="shared" si="0"/>
        <v>GUINNESS</v>
      </c>
      <c r="S24" s="471">
        <f t="shared" si="1"/>
        <v>17</v>
      </c>
      <c r="T24" s="471">
        <f t="shared" si="2"/>
        <v>17.5</v>
      </c>
      <c r="U24" s="297">
        <f t="shared" si="3"/>
        <v>0</v>
      </c>
      <c r="V24" s="297">
        <f t="shared" si="4"/>
        <v>0.1076388888888889</v>
      </c>
      <c r="W24" s="297">
        <f t="shared" si="5"/>
        <v>0.24652777777777779</v>
      </c>
      <c r="X24" s="297">
        <f t="shared" si="6"/>
        <v>0.28472222222222221</v>
      </c>
      <c r="Y24" s="297">
        <f t="shared" si="7"/>
        <v>0</v>
      </c>
      <c r="Z24" s="471">
        <f t="shared" si="8"/>
        <v>60</v>
      </c>
    </row>
    <row r="25" spans="2:26" ht="15" customHeight="1">
      <c r="B25" s="34" t="s">
        <v>12</v>
      </c>
      <c r="C25" s="366" t="str">
        <f>[5]Brewhouse!$A113</f>
        <v>GU090</v>
      </c>
      <c r="D25" s="279">
        <f>[5]Brewhouse!$AF113</f>
        <v>53.5</v>
      </c>
      <c r="E25" s="279">
        <f>[5]Brewhouse!$AI113</f>
        <v>52</v>
      </c>
      <c r="F25" s="278">
        <f>[5]Brewhouse!$V113</f>
        <v>61</v>
      </c>
      <c r="G25" s="279">
        <f>[5]Brewhouse!$AG113</f>
        <v>17</v>
      </c>
      <c r="H25" s="396">
        <v>17</v>
      </c>
      <c r="I25" s="487">
        <f>[5]Brewhouse!$AU113</f>
        <v>96.480717105043638</v>
      </c>
      <c r="J25" s="487">
        <f>[5]Brewhouse!$AV113</f>
        <v>97.223796033994319</v>
      </c>
      <c r="K25" s="488">
        <f>[5]Brewhouse!$R113</f>
        <v>6.3928571428571406</v>
      </c>
      <c r="L25" s="276">
        <f>[5]Brewhouse!$O113</f>
        <v>60</v>
      </c>
      <c r="M25" s="374">
        <f>[5]Brewhouse!$U113-[5]Brewhouse!$T113</f>
        <v>0.12986111111111109</v>
      </c>
      <c r="N25" s="370">
        <f>[5]Brewhouse!$Z113</f>
        <v>0.30347222222222225</v>
      </c>
      <c r="O25" s="419" t="str">
        <f>[5]Brewhouse!$AW113</f>
        <v>D. Gomaz</v>
      </c>
      <c r="P25" s="417"/>
      <c r="R25" s="277" t="str">
        <f t="shared" si="0"/>
        <v>GUINNESS</v>
      </c>
      <c r="S25" s="471">
        <f t="shared" si="1"/>
        <v>17</v>
      </c>
      <c r="T25" s="471">
        <f t="shared" si="2"/>
        <v>17.5</v>
      </c>
      <c r="U25" s="297">
        <f t="shared" si="3"/>
        <v>0</v>
      </c>
      <c r="V25" s="297">
        <f t="shared" si="4"/>
        <v>0.1076388888888889</v>
      </c>
      <c r="W25" s="297">
        <f t="shared" si="5"/>
        <v>0.24652777777777779</v>
      </c>
      <c r="X25" s="297">
        <f t="shared" si="6"/>
        <v>0.28472222222222221</v>
      </c>
      <c r="Y25" s="297">
        <f t="shared" si="7"/>
        <v>0</v>
      </c>
      <c r="Z25" s="471">
        <f t="shared" si="8"/>
        <v>60</v>
      </c>
    </row>
    <row r="26" spans="2:26" ht="15" customHeight="1">
      <c r="B26" s="34" t="s">
        <v>12</v>
      </c>
      <c r="C26" s="366" t="str">
        <f>[5]Brewhouse!$A114</f>
        <v>GU091</v>
      </c>
      <c r="D26" s="279">
        <f>[5]Brewhouse!$AF114</f>
        <v>53.7</v>
      </c>
      <c r="E26" s="279">
        <f>[5]Brewhouse!$AI114</f>
        <v>52.4</v>
      </c>
      <c r="F26" s="278">
        <f>[5]Brewhouse!$V114</f>
        <v>63</v>
      </c>
      <c r="G26" s="279">
        <f>[5]Brewhouse!$AG114</f>
        <v>17</v>
      </c>
      <c r="H26" s="396">
        <v>17.100000000000001</v>
      </c>
      <c r="I26" s="487">
        <f>[5]Brewhouse!$AU114</f>
        <v>97.067628047088249</v>
      </c>
      <c r="J26" s="487">
        <f>[5]Brewhouse!$AV114</f>
        <v>97.815489046590557</v>
      </c>
      <c r="K26" s="488">
        <f>[5]Brewhouse!$R114</f>
        <v>6.0357142857142776</v>
      </c>
      <c r="L26" s="276">
        <f>[5]Brewhouse!$O114</f>
        <v>60</v>
      </c>
      <c r="M26" s="374">
        <f>[5]Brewhouse!$U114-[5]Brewhouse!$T114</f>
        <v>0.13819444444444451</v>
      </c>
      <c r="N26" s="370">
        <f>[5]Brewhouse!$Z114</f>
        <v>0.30555555555555558</v>
      </c>
      <c r="O26" s="419" t="str">
        <f>[5]Brewhouse!$AW114</f>
        <v>D. Gomaz</v>
      </c>
      <c r="P26" s="417"/>
      <c r="R26" s="277" t="str">
        <f t="shared" si="0"/>
        <v>GUINNESS</v>
      </c>
      <c r="S26" s="471">
        <f t="shared" si="1"/>
        <v>17</v>
      </c>
      <c r="T26" s="471">
        <f t="shared" si="2"/>
        <v>17.5</v>
      </c>
      <c r="U26" s="297">
        <f t="shared" si="3"/>
        <v>0</v>
      </c>
      <c r="V26" s="297">
        <f t="shared" si="4"/>
        <v>0.1076388888888889</v>
      </c>
      <c r="W26" s="297">
        <f t="shared" si="5"/>
        <v>0.24652777777777779</v>
      </c>
      <c r="X26" s="297">
        <f t="shared" si="6"/>
        <v>0.28472222222222221</v>
      </c>
      <c r="Y26" s="297">
        <f t="shared" si="7"/>
        <v>0</v>
      </c>
      <c r="Z26" s="471">
        <f t="shared" si="8"/>
        <v>60</v>
      </c>
    </row>
    <row r="27" spans="2:26" ht="15" customHeight="1">
      <c r="B27" s="34" t="s">
        <v>12</v>
      </c>
      <c r="C27" s="366" t="str">
        <f>[5]Brewhouse!$A115</f>
        <v>GU092</v>
      </c>
      <c r="D27" s="279">
        <f>[5]Brewhouse!$AF115</f>
        <v>53.7</v>
      </c>
      <c r="E27" s="279">
        <f>[5]Brewhouse!$AI115</f>
        <v>51.9</v>
      </c>
      <c r="F27" s="278">
        <f>[5]Brewhouse!$V115</f>
        <v>63</v>
      </c>
      <c r="G27" s="279">
        <f>[5]Brewhouse!$AG115</f>
        <v>17.100000000000001</v>
      </c>
      <c r="H27" s="396">
        <v>17.100000000000001</v>
      </c>
      <c r="I27" s="487">
        <f>[5]Brewhouse!$AU115</f>
        <v>97.164945696381523</v>
      </c>
      <c r="J27" s="487">
        <f>[5]Brewhouse!$AV115</f>
        <v>97.912899811549678</v>
      </c>
      <c r="K27" s="488">
        <f>[5]Brewhouse!$R115</f>
        <v>6.0357142857142776</v>
      </c>
      <c r="L27" s="276">
        <f>[5]Brewhouse!$O115</f>
        <v>62</v>
      </c>
      <c r="M27" s="374">
        <f>[5]Brewhouse!$U115-[5]Brewhouse!$T115</f>
        <v>0.16666666666666652</v>
      </c>
      <c r="N27" s="370">
        <f>[5]Brewhouse!$Z115</f>
        <v>0.32569444444444429</v>
      </c>
      <c r="O27" s="419" t="str">
        <f>[5]Brewhouse!$AW115</f>
        <v>K. Benjamin</v>
      </c>
      <c r="P27" s="417"/>
      <c r="R27" s="277" t="str">
        <f t="shared" si="0"/>
        <v>GUINNESS</v>
      </c>
      <c r="S27" s="471">
        <f t="shared" si="1"/>
        <v>17</v>
      </c>
      <c r="T27" s="471">
        <f t="shared" si="2"/>
        <v>17.5</v>
      </c>
      <c r="U27" s="297">
        <f t="shared" si="3"/>
        <v>0</v>
      </c>
      <c r="V27" s="297">
        <f t="shared" si="4"/>
        <v>0.1076388888888889</v>
      </c>
      <c r="W27" s="297">
        <f t="shared" si="5"/>
        <v>0.24652777777777779</v>
      </c>
      <c r="X27" s="297">
        <f t="shared" si="6"/>
        <v>0.28472222222222221</v>
      </c>
      <c r="Y27" s="297">
        <f t="shared" si="7"/>
        <v>0</v>
      </c>
      <c r="Z27" s="471">
        <f t="shared" si="8"/>
        <v>60</v>
      </c>
    </row>
    <row r="28" spans="2:26" ht="15" customHeight="1">
      <c r="B28" s="34"/>
      <c r="C28" s="366"/>
      <c r="D28" s="279"/>
      <c r="E28" s="279"/>
      <c r="F28" s="278"/>
      <c r="G28" s="279"/>
      <c r="H28" s="396"/>
      <c r="I28" s="487"/>
      <c r="J28" s="487"/>
      <c r="K28" s="488"/>
      <c r="L28" s="276"/>
      <c r="M28" s="374"/>
      <c r="N28" s="370"/>
      <c r="O28" s="419"/>
      <c r="P28" s="417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2:26" ht="15" customHeight="1">
      <c r="B29" s="34"/>
      <c r="C29" s="366"/>
      <c r="D29" s="279"/>
      <c r="E29" s="279"/>
      <c r="F29" s="278"/>
      <c r="G29" s="279"/>
      <c r="H29" s="396"/>
      <c r="I29" s="487"/>
      <c r="J29" s="487"/>
      <c r="K29" s="488"/>
      <c r="L29" s="276"/>
      <c r="M29" s="374"/>
      <c r="N29" s="370"/>
      <c r="O29" s="419"/>
      <c r="P29" s="417"/>
      <c r="R29" s="277">
        <f t="shared" ref="R29:R44" si="10">B29</f>
        <v>0</v>
      </c>
      <c r="S29" s="471" t="e">
        <f t="shared" ref="S29:S44" si="11">VLOOKUP($B29,$R$3:$X$9,2,FALSE)</f>
        <v>#N/A</v>
      </c>
      <c r="T29" s="471" t="e">
        <f t="shared" ref="T29:T44" si="12">VLOOKUP($B29,$R$3:$X$9,3,FALSE)</f>
        <v>#N/A</v>
      </c>
      <c r="U29" s="297" t="e">
        <f t="shared" ref="U29:U44" si="13">VLOOKUP($B29,$R$3:$X$9,4,FALSE)</f>
        <v>#N/A</v>
      </c>
      <c r="V29" s="297" t="e">
        <f t="shared" ref="V29:V44" si="14">VLOOKUP($B29,$R$3:$X$9,5,FALSE)</f>
        <v>#N/A</v>
      </c>
      <c r="W29" s="297" t="e">
        <f t="shared" ref="W29:W44" si="15">VLOOKUP($B29,$R$3:$X$9,6,FALSE)</f>
        <v>#N/A</v>
      </c>
      <c r="X29" s="297" t="e">
        <f t="shared" ref="X29:X44" si="16">VLOOKUP($B29,$R$3:$X$9,7,FALSE)</f>
        <v>#N/A</v>
      </c>
      <c r="Y29" s="297" t="e">
        <f t="shared" ref="Y29:Y44" si="17">VLOOKUP($B29,$R$3:$Z$9,8,FALSE)</f>
        <v>#N/A</v>
      </c>
      <c r="Z29" s="471" t="e">
        <f t="shared" ref="Z29:Z44" si="18">VLOOKUP($B29,$R$3:$Z$9,9,FALSE)</f>
        <v>#N/A</v>
      </c>
    </row>
    <row r="30" spans="2:26" ht="15" customHeight="1">
      <c r="B30" s="34"/>
      <c r="C30" s="366"/>
      <c r="D30" s="279"/>
      <c r="E30" s="279"/>
      <c r="F30" s="278"/>
      <c r="G30" s="279"/>
      <c r="H30" s="396"/>
      <c r="I30" s="487"/>
      <c r="J30" s="487"/>
      <c r="K30" s="488"/>
      <c r="L30" s="276"/>
      <c r="M30" s="374"/>
      <c r="N30" s="370"/>
      <c r="O30" s="419"/>
      <c r="P30" s="417"/>
      <c r="R30" s="277">
        <f t="shared" si="10"/>
        <v>0</v>
      </c>
      <c r="S30" s="471" t="e">
        <f t="shared" si="11"/>
        <v>#N/A</v>
      </c>
      <c r="T30" s="471" t="e">
        <f t="shared" si="12"/>
        <v>#N/A</v>
      </c>
      <c r="U30" s="297" t="e">
        <f t="shared" si="13"/>
        <v>#N/A</v>
      </c>
      <c r="V30" s="297" t="e">
        <f t="shared" si="14"/>
        <v>#N/A</v>
      </c>
      <c r="W30" s="297" t="e">
        <f t="shared" si="15"/>
        <v>#N/A</v>
      </c>
      <c r="X30" s="297" t="e">
        <f t="shared" si="16"/>
        <v>#N/A</v>
      </c>
      <c r="Y30" s="297" t="e">
        <f t="shared" si="17"/>
        <v>#N/A</v>
      </c>
      <c r="Z30" s="471" t="e">
        <f t="shared" si="18"/>
        <v>#N/A</v>
      </c>
    </row>
    <row r="31" spans="2:26" ht="17.25" customHeight="1" thickBot="1">
      <c r="B31" s="358"/>
      <c r="C31" s="358"/>
      <c r="D31" s="358"/>
      <c r="E31" s="358"/>
      <c r="F31" s="294"/>
      <c r="G31" s="294"/>
      <c r="H31" s="348"/>
      <c r="I31" s="534"/>
      <c r="J31" s="534"/>
      <c r="K31" s="534"/>
      <c r="L31" s="534"/>
      <c r="M31" s="534"/>
      <c r="N31" s="534"/>
      <c r="O31" s="1"/>
      <c r="P31" s="12"/>
      <c r="R31" s="277">
        <f t="shared" si="10"/>
        <v>0</v>
      </c>
      <c r="S31" s="471" t="e">
        <f t="shared" si="11"/>
        <v>#N/A</v>
      </c>
      <c r="T31" s="471" t="e">
        <f t="shared" si="12"/>
        <v>#N/A</v>
      </c>
      <c r="U31" s="297" t="e">
        <f t="shared" si="13"/>
        <v>#N/A</v>
      </c>
      <c r="V31" s="297" t="e">
        <f t="shared" si="14"/>
        <v>#N/A</v>
      </c>
      <c r="W31" s="297" t="e">
        <f t="shared" si="15"/>
        <v>#N/A</v>
      </c>
      <c r="X31" s="297" t="e">
        <f t="shared" si="16"/>
        <v>#N/A</v>
      </c>
      <c r="Y31" s="297" t="e">
        <f t="shared" si="17"/>
        <v>#N/A</v>
      </c>
      <c r="Z31" s="471" t="e">
        <f t="shared" si="18"/>
        <v>#N/A</v>
      </c>
    </row>
    <row r="32" spans="2:26" ht="17.25" customHeight="1" thickBot="1">
      <c r="B32" s="482" t="s">
        <v>162</v>
      </c>
      <c r="C32" s="388"/>
      <c r="D32" s="535" t="s">
        <v>35</v>
      </c>
      <c r="E32" s="536"/>
      <c r="F32" s="294"/>
      <c r="G32" s="294"/>
      <c r="H32" s="348"/>
      <c r="I32" s="24" t="s">
        <v>17</v>
      </c>
      <c r="J32" s="25"/>
      <c r="K32" s="26" t="s">
        <v>138</v>
      </c>
      <c r="L32" s="25" t="s">
        <v>37</v>
      </c>
      <c r="M32" s="25" t="s">
        <v>38</v>
      </c>
      <c r="N32" s="27" t="s">
        <v>39</v>
      </c>
      <c r="O32" s="294"/>
      <c r="P32" s="12"/>
      <c r="R32" s="277" t="str">
        <f t="shared" si="10"/>
        <v xml:space="preserve">BRAND </v>
      </c>
      <c r="S32" s="471" t="e">
        <f t="shared" si="11"/>
        <v>#N/A</v>
      </c>
      <c r="T32" s="471" t="e">
        <f t="shared" si="12"/>
        <v>#N/A</v>
      </c>
      <c r="U32" s="297" t="e">
        <f t="shared" si="13"/>
        <v>#N/A</v>
      </c>
      <c r="V32" s="297" t="e">
        <f t="shared" si="14"/>
        <v>#N/A</v>
      </c>
      <c r="W32" s="297" t="e">
        <f t="shared" si="15"/>
        <v>#N/A</v>
      </c>
      <c r="X32" s="297" t="e">
        <f t="shared" si="16"/>
        <v>#N/A</v>
      </c>
      <c r="Y32" s="297" t="e">
        <f t="shared" si="17"/>
        <v>#N/A</v>
      </c>
      <c r="Z32" s="471" t="e">
        <f t="shared" si="18"/>
        <v>#N/A</v>
      </c>
    </row>
    <row r="33" spans="1:27" ht="17.25" customHeight="1">
      <c r="A33" s="28"/>
      <c r="B33" s="588"/>
      <c r="C33" s="483"/>
      <c r="D33" s="522"/>
      <c r="E33" s="523"/>
      <c r="F33" s="294"/>
      <c r="G33" s="294"/>
      <c r="H33" s="348"/>
      <c r="I33" s="29" t="s">
        <v>6</v>
      </c>
      <c r="J33" s="323">
        <f>AVERAGE(I10:I16)</f>
        <v>96.43540141067227</v>
      </c>
      <c r="K33" s="284">
        <f>COUNTA([4]Brewhouse!$A$789:$A$820)</f>
        <v>32</v>
      </c>
      <c r="L33" s="305">
        <f>AVERAGE([4]Brewhouse!$AU$789:$AU$820)</f>
        <v>97.19542619578651</v>
      </c>
      <c r="M33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,[4]Brewhouse!$AU$789:$AU$820)</f>
        <v>98.283559098193749</v>
      </c>
      <c r="N33" s="30">
        <v>98</v>
      </c>
      <c r="O33" s="11"/>
      <c r="P33" s="31"/>
      <c r="R33" s="277">
        <f t="shared" si="10"/>
        <v>0</v>
      </c>
      <c r="S33" s="471" t="e">
        <f t="shared" si="11"/>
        <v>#N/A</v>
      </c>
      <c r="T33" s="471" t="e">
        <f t="shared" si="12"/>
        <v>#N/A</v>
      </c>
      <c r="U33" s="297" t="e">
        <f t="shared" si="13"/>
        <v>#N/A</v>
      </c>
      <c r="V33" s="297" t="e">
        <f t="shared" si="14"/>
        <v>#N/A</v>
      </c>
      <c r="W33" s="297" t="e">
        <f t="shared" si="15"/>
        <v>#N/A</v>
      </c>
      <c r="X33" s="297" t="e">
        <f t="shared" si="16"/>
        <v>#N/A</v>
      </c>
      <c r="Y33" s="297" t="e">
        <f t="shared" si="17"/>
        <v>#N/A</v>
      </c>
      <c r="Z33" s="471" t="e">
        <f t="shared" si="18"/>
        <v>#N/A</v>
      </c>
    </row>
    <row r="34" spans="1:27" ht="15" customHeight="1">
      <c r="A34" s="28"/>
      <c r="B34" s="568"/>
      <c r="C34" s="362"/>
      <c r="D34" s="524"/>
      <c r="E34" s="525"/>
      <c r="F34" s="294"/>
      <c r="G34" s="294"/>
      <c r="H34" s="348"/>
      <c r="I34" s="33" t="s">
        <v>9</v>
      </c>
      <c r="J34" s="323"/>
      <c r="K34" s="284">
        <f>COUNTA([3]Brewhouse!$A$390:$A$405)</f>
        <v>16</v>
      </c>
      <c r="L34" s="302">
        <f>AVERAGE([3]Brewhouse!$AS$390:$AS$405)</f>
        <v>97.859147509759907</v>
      </c>
      <c r="M34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$388,[3]Brewhouse!$AS$390:$AS$405)</f>
        <v>98.292263066454069</v>
      </c>
      <c r="N34" s="30">
        <v>98</v>
      </c>
      <c r="O34" s="11"/>
      <c r="P34" s="31"/>
      <c r="R34" s="277">
        <f t="shared" si="10"/>
        <v>0</v>
      </c>
      <c r="S34" s="471" t="e">
        <f t="shared" si="11"/>
        <v>#N/A</v>
      </c>
      <c r="T34" s="471" t="e">
        <f t="shared" si="12"/>
        <v>#N/A</v>
      </c>
      <c r="U34" s="297" t="e">
        <f t="shared" si="13"/>
        <v>#N/A</v>
      </c>
      <c r="V34" s="297" t="e">
        <f t="shared" si="14"/>
        <v>#N/A</v>
      </c>
      <c r="W34" s="297" t="e">
        <f t="shared" si="15"/>
        <v>#N/A</v>
      </c>
      <c r="X34" s="297" t="e">
        <f t="shared" si="16"/>
        <v>#N/A</v>
      </c>
      <c r="Y34" s="297" t="e">
        <f t="shared" si="17"/>
        <v>#N/A</v>
      </c>
      <c r="Z34" s="471" t="e">
        <f t="shared" si="18"/>
        <v>#N/A</v>
      </c>
    </row>
    <row r="35" spans="1:27" ht="14.65" customHeight="1">
      <c r="A35" s="28"/>
      <c r="B35" s="568"/>
      <c r="C35" s="362"/>
      <c r="D35" s="529"/>
      <c r="E35" s="530"/>
      <c r="F35" s="294"/>
      <c r="G35" s="294"/>
      <c r="H35" s="348"/>
      <c r="I35" s="34" t="s">
        <v>12</v>
      </c>
      <c r="J35" s="323">
        <f>AVERAGE(I20:I27)</f>
        <v>97.100440951935028</v>
      </c>
      <c r="K35" s="284">
        <f>COUNTA([5]Brewhouse!$A$108:$A$115)</f>
        <v>8</v>
      </c>
      <c r="L35" s="302">
        <f>AVERAGE([5]Brewhouse!$AU$108:$AU$115)</f>
        <v>97.100440951935028</v>
      </c>
      <c r="M35" s="302">
        <f>AVERAGE([5]Brewhouse!$AU$16:$AU$23,[5]Brewhouse!$AU$25:$AU$32,[5]Brewhouse!$AU$34:$AU$41,[5]Brewhouse!$AU$43:$AU$60,[5]Brewhouse!$AU$62:$AU$69,[5]Brewhouse!$AU$71:$AU$88,[5]Brewhouse!$AU$90:$AU$97,[5]Brewhouse!$AU$99:$AU$106,[5]Brewhouse!$AU$108:$AU$115)</f>
        <v>96.550711195700543</v>
      </c>
      <c r="N35" s="30">
        <v>98</v>
      </c>
      <c r="O35" s="11"/>
      <c r="P35" s="31"/>
      <c r="R35" s="277">
        <f t="shared" si="10"/>
        <v>0</v>
      </c>
      <c r="S35" s="471" t="e">
        <f t="shared" si="11"/>
        <v>#N/A</v>
      </c>
      <c r="T35" s="471" t="e">
        <f t="shared" si="12"/>
        <v>#N/A</v>
      </c>
      <c r="U35" s="297" t="e">
        <f t="shared" si="13"/>
        <v>#N/A</v>
      </c>
      <c r="V35" s="297" t="e">
        <f t="shared" si="14"/>
        <v>#N/A</v>
      </c>
      <c r="W35" s="297" t="e">
        <f t="shared" si="15"/>
        <v>#N/A</v>
      </c>
      <c r="X35" s="297" t="e">
        <f t="shared" si="16"/>
        <v>#N/A</v>
      </c>
      <c r="Y35" s="297" t="e">
        <f t="shared" si="17"/>
        <v>#N/A</v>
      </c>
      <c r="Z35" s="471" t="e">
        <f t="shared" si="18"/>
        <v>#N/A</v>
      </c>
    </row>
    <row r="36" spans="1:27" ht="14.65" customHeight="1">
      <c r="A36" s="28"/>
      <c r="B36" s="568"/>
      <c r="C36" s="362"/>
      <c r="D36" s="531"/>
      <c r="E36" s="525"/>
      <c r="F36" s="294"/>
      <c r="G36" s="294"/>
      <c r="H36" s="348"/>
      <c r="I36" s="22" t="s">
        <v>33</v>
      </c>
      <c r="J36" s="280"/>
      <c r="K36" s="284"/>
      <c r="L36" s="302"/>
      <c r="M36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97.566635166530773</v>
      </c>
      <c r="N36" s="30">
        <v>98</v>
      </c>
      <c r="O36" s="11"/>
      <c r="P36" s="31"/>
      <c r="R36" s="277">
        <f t="shared" si="10"/>
        <v>0</v>
      </c>
      <c r="S36" s="471" t="e">
        <f t="shared" si="11"/>
        <v>#N/A</v>
      </c>
      <c r="T36" s="471" t="e">
        <f t="shared" si="12"/>
        <v>#N/A</v>
      </c>
      <c r="U36" s="297" t="e">
        <f t="shared" si="13"/>
        <v>#N/A</v>
      </c>
      <c r="V36" s="297" t="e">
        <f t="shared" si="14"/>
        <v>#N/A</v>
      </c>
      <c r="W36" s="297" t="e">
        <f t="shared" si="15"/>
        <v>#N/A</v>
      </c>
      <c r="X36" s="297" t="e">
        <f t="shared" si="16"/>
        <v>#N/A</v>
      </c>
      <c r="Y36" s="297" t="e">
        <f t="shared" si="17"/>
        <v>#N/A</v>
      </c>
      <c r="Z36" s="471" t="e">
        <f t="shared" si="18"/>
        <v>#N/A</v>
      </c>
    </row>
    <row r="37" spans="1:27" ht="14.65" customHeight="1">
      <c r="A37" s="28"/>
      <c r="B37" s="568"/>
      <c r="C37" s="362"/>
      <c r="D37" s="529"/>
      <c r="E37" s="530"/>
      <c r="F37" s="294"/>
      <c r="G37" s="294"/>
      <c r="H37" s="348"/>
      <c r="I37" s="35" t="s">
        <v>29</v>
      </c>
      <c r="J37" s="280"/>
      <c r="K37" s="284"/>
      <c r="L37" s="302"/>
      <c r="M37" s="302"/>
      <c r="N37" s="30">
        <v>98</v>
      </c>
      <c r="O37" s="11"/>
      <c r="P37" s="31"/>
      <c r="R37" s="277">
        <f t="shared" si="10"/>
        <v>0</v>
      </c>
      <c r="S37" s="471" t="e">
        <f t="shared" si="11"/>
        <v>#N/A</v>
      </c>
      <c r="T37" s="471" t="e">
        <f t="shared" si="12"/>
        <v>#N/A</v>
      </c>
      <c r="U37" s="297" t="e">
        <f t="shared" si="13"/>
        <v>#N/A</v>
      </c>
      <c r="V37" s="297" t="e">
        <f t="shared" si="14"/>
        <v>#N/A</v>
      </c>
      <c r="W37" s="297" t="e">
        <f t="shared" si="15"/>
        <v>#N/A</v>
      </c>
      <c r="X37" s="297" t="e">
        <f t="shared" si="16"/>
        <v>#N/A</v>
      </c>
      <c r="Y37" s="297" t="e">
        <f t="shared" si="17"/>
        <v>#N/A</v>
      </c>
      <c r="Z37" s="471" t="e">
        <f t="shared" si="18"/>
        <v>#N/A</v>
      </c>
    </row>
    <row r="38" spans="1:27" ht="14.65" customHeight="1">
      <c r="A38" s="28"/>
      <c r="B38" s="568"/>
      <c r="C38" s="362"/>
      <c r="D38" s="531"/>
      <c r="E38" s="525"/>
      <c r="F38" s="416"/>
      <c r="G38" s="294"/>
      <c r="H38" s="348"/>
      <c r="I38" s="36" t="s">
        <v>15</v>
      </c>
      <c r="J38" s="323"/>
      <c r="K38" s="284"/>
      <c r="L38" s="302"/>
      <c r="M38" s="302">
        <f>AVERAGE([7]Brewhouse!$AT$4:$AT$11,[7]Brewhouse!$AT$13:$AT$16,[7]Brewhouse!$AT$18:$AT$30)</f>
        <v>93.22262799886262</v>
      </c>
      <c r="N38" s="30">
        <v>98</v>
      </c>
      <c r="O38" s="11"/>
      <c r="P38" s="31"/>
      <c r="R38" s="277">
        <f t="shared" si="10"/>
        <v>0</v>
      </c>
      <c r="S38" s="471" t="e">
        <f t="shared" si="11"/>
        <v>#N/A</v>
      </c>
      <c r="T38" s="471" t="e">
        <f t="shared" si="12"/>
        <v>#N/A</v>
      </c>
      <c r="U38" s="297" t="e">
        <f t="shared" si="13"/>
        <v>#N/A</v>
      </c>
      <c r="V38" s="297" t="e">
        <f t="shared" si="14"/>
        <v>#N/A</v>
      </c>
      <c r="W38" s="297" t="e">
        <f t="shared" si="15"/>
        <v>#N/A</v>
      </c>
      <c r="X38" s="297" t="e">
        <f t="shared" si="16"/>
        <v>#N/A</v>
      </c>
      <c r="Y38" s="297" t="e">
        <f t="shared" si="17"/>
        <v>#N/A</v>
      </c>
      <c r="Z38" s="471" t="e">
        <f t="shared" si="18"/>
        <v>#N/A</v>
      </c>
    </row>
    <row r="39" spans="1:27" ht="14.65" customHeight="1">
      <c r="A39" s="28"/>
      <c r="B39" s="568"/>
      <c r="C39" s="362"/>
      <c r="D39" s="529"/>
      <c r="E39" s="530"/>
      <c r="F39" s="416"/>
      <c r="G39" s="294"/>
      <c r="H39" s="348"/>
      <c r="I39" s="37" t="s">
        <v>16</v>
      </c>
      <c r="J39" s="323"/>
      <c r="K39" s="284"/>
      <c r="L39" s="302"/>
      <c r="M39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97.792958274585203</v>
      </c>
      <c r="N39" s="30">
        <v>98</v>
      </c>
      <c r="O39" s="11"/>
      <c r="P39" s="31" t="s">
        <v>41</v>
      </c>
      <c r="R39" s="277">
        <f t="shared" si="10"/>
        <v>0</v>
      </c>
      <c r="S39" s="471" t="e">
        <f t="shared" si="11"/>
        <v>#N/A</v>
      </c>
      <c r="T39" s="471" t="e">
        <f t="shared" si="12"/>
        <v>#N/A</v>
      </c>
      <c r="U39" s="297" t="e">
        <f t="shared" si="13"/>
        <v>#N/A</v>
      </c>
      <c r="V39" s="297" t="e">
        <f t="shared" si="14"/>
        <v>#N/A</v>
      </c>
      <c r="W39" s="297" t="e">
        <f t="shared" si="15"/>
        <v>#N/A</v>
      </c>
      <c r="X39" s="297" t="e">
        <f t="shared" si="16"/>
        <v>#N/A</v>
      </c>
      <c r="Y39" s="297" t="e">
        <f t="shared" si="17"/>
        <v>#N/A</v>
      </c>
      <c r="Z39" s="471" t="e">
        <f t="shared" si="18"/>
        <v>#N/A</v>
      </c>
    </row>
    <row r="40" spans="1:27" ht="14.65" customHeight="1">
      <c r="A40" s="28"/>
      <c r="B40" s="568"/>
      <c r="C40" s="362"/>
      <c r="D40" s="531"/>
      <c r="E40" s="525"/>
      <c r="F40" s="294"/>
      <c r="G40" s="294"/>
      <c r="H40" s="348"/>
      <c r="I40" s="410" t="s">
        <v>158</v>
      </c>
      <c r="J40" s="326"/>
      <c r="K40" s="284"/>
      <c r="L40" s="305"/>
      <c r="M40" s="305"/>
      <c r="N40" s="30">
        <v>98</v>
      </c>
      <c r="O40" s="11"/>
      <c r="P40" s="31"/>
      <c r="R40" s="277">
        <f t="shared" si="10"/>
        <v>0</v>
      </c>
      <c r="S40" s="471" t="e">
        <f t="shared" si="11"/>
        <v>#N/A</v>
      </c>
      <c r="T40" s="471" t="e">
        <f t="shared" si="12"/>
        <v>#N/A</v>
      </c>
      <c r="U40" s="297" t="e">
        <f t="shared" si="13"/>
        <v>#N/A</v>
      </c>
      <c r="V40" s="297" t="e">
        <f t="shared" si="14"/>
        <v>#N/A</v>
      </c>
      <c r="W40" s="297" t="e">
        <f t="shared" si="15"/>
        <v>#N/A</v>
      </c>
      <c r="X40" s="297" t="e">
        <f t="shared" si="16"/>
        <v>#N/A</v>
      </c>
      <c r="Y40" s="297" t="e">
        <f t="shared" si="17"/>
        <v>#N/A</v>
      </c>
      <c r="Z40" s="471" t="e">
        <f t="shared" si="18"/>
        <v>#N/A</v>
      </c>
    </row>
    <row r="41" spans="1:27" ht="14.65" customHeight="1">
      <c r="A41" s="28"/>
      <c r="B41" s="568"/>
      <c r="C41" s="362"/>
      <c r="D41" s="529"/>
      <c r="E41" s="530"/>
      <c r="F41" s="294"/>
      <c r="G41" s="294"/>
      <c r="H41" s="348"/>
      <c r="I41" s="409" t="s">
        <v>157</v>
      </c>
      <c r="J41" s="326"/>
      <c r="K41" s="284"/>
      <c r="L41" s="305"/>
      <c r="M41" s="305"/>
      <c r="N41" s="30">
        <v>98</v>
      </c>
      <c r="O41" s="11"/>
      <c r="P41" s="31"/>
      <c r="R41" s="277">
        <f t="shared" si="10"/>
        <v>0</v>
      </c>
      <c r="S41" s="471" t="e">
        <f t="shared" si="11"/>
        <v>#N/A</v>
      </c>
      <c r="T41" s="471" t="e">
        <f t="shared" si="12"/>
        <v>#N/A</v>
      </c>
      <c r="U41" s="297" t="e">
        <f t="shared" si="13"/>
        <v>#N/A</v>
      </c>
      <c r="V41" s="297" t="e">
        <f t="shared" si="14"/>
        <v>#N/A</v>
      </c>
      <c r="W41" s="297" t="e">
        <f t="shared" si="15"/>
        <v>#N/A</v>
      </c>
      <c r="X41" s="297" t="e">
        <f t="shared" si="16"/>
        <v>#N/A</v>
      </c>
      <c r="Y41" s="297" t="e">
        <f t="shared" si="17"/>
        <v>#N/A</v>
      </c>
      <c r="Z41" s="471" t="e">
        <f t="shared" si="18"/>
        <v>#N/A</v>
      </c>
      <c r="AA41" s="471"/>
    </row>
    <row r="42" spans="1:27" ht="15" customHeight="1" thickBot="1">
      <c r="A42" s="28"/>
      <c r="B42" s="568"/>
      <c r="C42" s="362"/>
      <c r="D42" s="531"/>
      <c r="E42" s="525"/>
      <c r="F42" s="294"/>
      <c r="G42" s="294"/>
      <c r="H42" s="348"/>
      <c r="I42" s="405" t="s">
        <v>156</v>
      </c>
      <c r="J42" s="327"/>
      <c r="K42" s="406"/>
      <c r="L42" s="407"/>
      <c r="M42" s="407"/>
      <c r="N42" s="408">
        <v>98</v>
      </c>
      <c r="O42" s="11"/>
      <c r="P42" s="31"/>
      <c r="R42" s="277">
        <f t="shared" si="10"/>
        <v>0</v>
      </c>
      <c r="S42" s="471" t="e">
        <f t="shared" si="11"/>
        <v>#N/A</v>
      </c>
      <c r="T42" s="471" t="e">
        <f t="shared" si="12"/>
        <v>#N/A</v>
      </c>
      <c r="U42" s="297" t="e">
        <f t="shared" si="13"/>
        <v>#N/A</v>
      </c>
      <c r="V42" s="297" t="e">
        <f t="shared" si="14"/>
        <v>#N/A</v>
      </c>
      <c r="W42" s="297" t="e">
        <f t="shared" si="15"/>
        <v>#N/A</v>
      </c>
      <c r="X42" s="297" t="e">
        <f t="shared" si="16"/>
        <v>#N/A</v>
      </c>
      <c r="Y42" s="297" t="e">
        <f t="shared" si="17"/>
        <v>#N/A</v>
      </c>
      <c r="Z42" s="471" t="e">
        <f t="shared" si="18"/>
        <v>#N/A</v>
      </c>
      <c r="AA42" s="471"/>
    </row>
    <row r="43" spans="1:27" ht="15" customHeight="1" thickBot="1">
      <c r="A43" s="28"/>
      <c r="B43" s="568"/>
      <c r="C43" s="349"/>
      <c r="D43" s="522"/>
      <c r="E43" s="523"/>
      <c r="F43" s="294"/>
      <c r="G43" s="294"/>
      <c r="H43" s="348"/>
      <c r="I43" s="1"/>
      <c r="J43" s="39"/>
      <c r="K43" s="403">
        <f>SUM(K33:K42)</f>
        <v>56</v>
      </c>
      <c r="L43" s="404">
        <f>((L33*K33)+(L34*K34)+(L35*K35)+(L36*K36)+(L37*K37)+(K40*L40)+(L38*K38)+(L39*K39)+(L42*K42))/(K43)</f>
        <v>97.371491536371551</v>
      </c>
      <c r="M43" s="404">
        <f>AVERAGE('[9]Jan30th-31st'!$L$42,'[10]Feb 27th-28th'!$L$45,'[11]Mar 31st'!$L$42,'[12]Apr 30th'!$L$41,'[13]May 29th '!$L$35,'[14]June 30th'!$L$32,[15]July31st!$L$36,'[16]Aug 31st'!$L$32,L43)</f>
        <v>97.906913685938889</v>
      </c>
      <c r="N43" s="40">
        <v>98</v>
      </c>
      <c r="O43" s="11"/>
      <c r="P43" s="31"/>
      <c r="R43" s="277">
        <f t="shared" si="10"/>
        <v>0</v>
      </c>
      <c r="S43" s="471" t="e">
        <f t="shared" si="11"/>
        <v>#N/A</v>
      </c>
      <c r="T43" s="471" t="e">
        <f t="shared" si="12"/>
        <v>#N/A</v>
      </c>
      <c r="U43" s="297" t="e">
        <f t="shared" si="13"/>
        <v>#N/A</v>
      </c>
      <c r="V43" s="297" t="e">
        <f t="shared" si="14"/>
        <v>#N/A</v>
      </c>
      <c r="W43" s="297" t="e">
        <f t="shared" si="15"/>
        <v>#N/A</v>
      </c>
      <c r="X43" s="297" t="e">
        <f t="shared" si="16"/>
        <v>#N/A</v>
      </c>
      <c r="Y43" s="297" t="e">
        <f t="shared" si="17"/>
        <v>#N/A</v>
      </c>
      <c r="Z43" s="471" t="e">
        <f t="shared" si="18"/>
        <v>#N/A</v>
      </c>
      <c r="AA43" s="471"/>
    </row>
    <row r="44" spans="1:27" ht="15.75" thickBot="1">
      <c r="B44" s="589"/>
      <c r="C44" s="350"/>
      <c r="D44" s="524"/>
      <c r="E44" s="525"/>
      <c r="F44" s="294"/>
      <c r="G44" s="42"/>
      <c r="H44" s="41"/>
      <c r="I44" s="42"/>
      <c r="J44" s="42"/>
      <c r="K44" s="351"/>
      <c r="L44" s="348"/>
      <c r="M44" s="348"/>
      <c r="N44" s="11"/>
      <c r="O44" s="294"/>
      <c r="P44" s="12"/>
      <c r="R44" s="277">
        <f t="shared" si="10"/>
        <v>0</v>
      </c>
      <c r="S44" s="471" t="e">
        <f t="shared" si="11"/>
        <v>#N/A</v>
      </c>
      <c r="T44" s="471" t="e">
        <f t="shared" si="12"/>
        <v>#N/A</v>
      </c>
      <c r="U44" s="297" t="e">
        <f t="shared" si="13"/>
        <v>#N/A</v>
      </c>
      <c r="V44" s="297" t="e">
        <f t="shared" si="14"/>
        <v>#N/A</v>
      </c>
      <c r="W44" s="297" t="e">
        <f t="shared" si="15"/>
        <v>#N/A</v>
      </c>
      <c r="X44" s="297" t="e">
        <f t="shared" si="16"/>
        <v>#N/A</v>
      </c>
      <c r="Y44" s="297" t="e">
        <f t="shared" si="17"/>
        <v>#N/A</v>
      </c>
      <c r="Z44" s="471" t="e">
        <f t="shared" si="18"/>
        <v>#N/A</v>
      </c>
      <c r="AA44" s="471"/>
    </row>
    <row r="45" spans="1:27" ht="15.75" thickBot="1">
      <c r="B45" s="519"/>
      <c r="C45" s="362"/>
      <c r="D45" s="522"/>
      <c r="E45" s="523"/>
      <c r="F45" s="294"/>
      <c r="G45" s="42"/>
      <c r="H45" s="41"/>
      <c r="I45" s="42"/>
      <c r="J45" s="526" t="s">
        <v>129</v>
      </c>
      <c r="K45" s="526"/>
      <c r="L45" s="294"/>
      <c r="M45" s="294"/>
      <c r="N45" s="294"/>
      <c r="O45" s="294"/>
      <c r="P45" s="12"/>
    </row>
    <row r="46" spans="1:27" ht="15.75" thickBot="1">
      <c r="B46" s="520"/>
      <c r="C46" s="362"/>
      <c r="D46" s="524"/>
      <c r="E46" s="525"/>
      <c r="F46" s="294"/>
      <c r="G46" s="42"/>
      <c r="H46" s="42"/>
      <c r="I46" s="292" t="s">
        <v>17</v>
      </c>
      <c r="J46" s="293" t="s">
        <v>177</v>
      </c>
      <c r="K46" s="293" t="s">
        <v>178</v>
      </c>
      <c r="L46" s="527" t="s">
        <v>136</v>
      </c>
      <c r="M46" s="527"/>
      <c r="N46" s="528"/>
      <c r="O46" s="294"/>
      <c r="P46" s="12"/>
    </row>
    <row r="47" spans="1:27" ht="15" customHeight="1" thickBot="1">
      <c r="B47" s="520"/>
      <c r="C47" s="349"/>
      <c r="D47" s="529"/>
      <c r="E47" s="530"/>
      <c r="F47" s="294"/>
      <c r="G47" s="42"/>
      <c r="H47" s="42"/>
      <c r="I47" s="287" t="s">
        <v>6</v>
      </c>
      <c r="J47" s="324">
        <v>7</v>
      </c>
      <c r="K47" s="324"/>
      <c r="L47" s="472" t="s">
        <v>37</v>
      </c>
      <c r="M47" s="473" t="s">
        <v>38</v>
      </c>
      <c r="N47" s="473" t="s">
        <v>84</v>
      </c>
      <c r="O47" s="294"/>
      <c r="P47" s="12"/>
    </row>
    <row r="48" spans="1:27" ht="15.75" customHeight="1" thickBot="1">
      <c r="B48" s="520"/>
      <c r="C48" s="349"/>
      <c r="D48" s="531"/>
      <c r="E48" s="525"/>
      <c r="F48" s="294"/>
      <c r="G48" s="42"/>
      <c r="H48" s="42"/>
      <c r="I48" s="345" t="s">
        <v>9</v>
      </c>
      <c r="J48" s="324"/>
      <c r="K48" s="324"/>
      <c r="L48" s="484">
        <f>AVERAGE('Oct 1st'!K52,'Oct 2nd'!K44,'Oct 5th'!K51,'Oct 6th'!K58,'Oct 7th'!K47,'Oct 8th '!K46,'Oct 9th-10th'!J57,K57)</f>
        <v>7</v>
      </c>
      <c r="M48" s="485">
        <f>AVERAGE('[9]Jan30th-31st'!$L$47,L48,'[10]Feb 26th '!$L$39,'[11]Mar 31st'!$L$47,'[12]Apr 30th'!$L$46,'[13]May 29th '!$L$40,'[14]June 30th'!$L$39,[15]July31st!$L$41,'[16]Aug 31st'!$L$37,'[17]Sept 30th'!$L$37)</f>
        <v>6.5735341470124071</v>
      </c>
      <c r="N48" s="415">
        <v>9.1999999999999993</v>
      </c>
      <c r="O48" s="294"/>
      <c r="P48" s="12"/>
    </row>
    <row r="49" spans="2:57" ht="15" customHeight="1">
      <c r="B49" s="520"/>
      <c r="C49" s="349"/>
      <c r="D49" s="529"/>
      <c r="E49" s="530"/>
      <c r="F49" s="294"/>
      <c r="G49" s="42"/>
      <c r="H49" s="42"/>
      <c r="I49" s="288" t="s">
        <v>40</v>
      </c>
      <c r="J49" s="324"/>
      <c r="K49" s="324">
        <v>8</v>
      </c>
      <c r="L49" s="294"/>
      <c r="M49" s="294"/>
      <c r="N49" s="294"/>
      <c r="O49" s="294"/>
      <c r="P49" s="12"/>
    </row>
    <row r="50" spans="2:57" ht="15" customHeight="1">
      <c r="B50" s="520"/>
      <c r="C50" s="349"/>
      <c r="D50" s="531"/>
      <c r="E50" s="525"/>
      <c r="F50" s="294"/>
      <c r="G50" s="42"/>
      <c r="H50" s="42"/>
      <c r="I50" s="289" t="s">
        <v>33</v>
      </c>
      <c r="J50" s="324"/>
      <c r="K50" s="324"/>
      <c r="L50" s="294"/>
      <c r="M50" s="294"/>
      <c r="N50" s="294"/>
      <c r="O50" s="294"/>
      <c r="P50" s="12"/>
    </row>
    <row r="51" spans="2:57" ht="15">
      <c r="B51" s="520"/>
      <c r="C51" s="349"/>
      <c r="D51" s="529"/>
      <c r="E51" s="530"/>
      <c r="F51" s="294"/>
      <c r="G51" s="42"/>
      <c r="H51" s="42"/>
      <c r="I51" s="290" t="s">
        <v>16</v>
      </c>
      <c r="J51" s="324"/>
      <c r="K51" s="324"/>
      <c r="L51" s="294"/>
      <c r="M51" s="294"/>
      <c r="N51" s="294"/>
      <c r="O51" s="294"/>
      <c r="P51" s="12"/>
      <c r="BC51" s="44"/>
      <c r="BD51" s="44"/>
    </row>
    <row r="52" spans="2:57" ht="15">
      <c r="B52" s="520"/>
      <c r="C52" s="349"/>
      <c r="D52" s="531"/>
      <c r="E52" s="525"/>
      <c r="F52" s="294"/>
      <c r="G52" s="42"/>
      <c r="H52" s="42"/>
      <c r="I52" s="291" t="s">
        <v>15</v>
      </c>
      <c r="J52" s="324"/>
      <c r="K52" s="324"/>
      <c r="L52" s="294"/>
      <c r="M52" s="294"/>
      <c r="N52" s="294"/>
      <c r="O52" s="294"/>
      <c r="P52" s="12"/>
      <c r="BC52" s="44"/>
      <c r="BD52" s="44"/>
    </row>
    <row r="53" spans="2:57" ht="15">
      <c r="B53" s="520"/>
      <c r="C53" s="349"/>
      <c r="D53" s="529"/>
      <c r="E53" s="530"/>
      <c r="F53" s="294"/>
      <c r="G53" s="42"/>
      <c r="H53" s="42"/>
      <c r="I53" s="291" t="s">
        <v>149</v>
      </c>
      <c r="J53" s="324"/>
      <c r="K53" s="324"/>
      <c r="L53" s="294"/>
      <c r="M53" s="294"/>
      <c r="N53" s="294"/>
      <c r="O53" s="294"/>
      <c r="P53" s="12"/>
      <c r="BC53" s="44"/>
      <c r="BD53" s="44"/>
    </row>
    <row r="54" spans="2:57" ht="15.75" thickBot="1">
      <c r="B54" s="521"/>
      <c r="C54" s="350"/>
      <c r="D54" s="532"/>
      <c r="E54" s="533"/>
      <c r="F54" s="294" t="s">
        <v>165</v>
      </c>
      <c r="G54" s="42"/>
      <c r="H54" s="42"/>
      <c r="I54" s="291" t="s">
        <v>148</v>
      </c>
      <c r="J54" s="324"/>
      <c r="K54" s="324"/>
      <c r="L54" s="294"/>
      <c r="M54" s="294"/>
      <c r="N54" s="294" t="s">
        <v>41</v>
      </c>
      <c r="O54" s="294"/>
      <c r="P54" s="12"/>
      <c r="BC54" s="44"/>
      <c r="BD54" s="44"/>
    </row>
    <row r="55" spans="2:57" ht="17.649999999999999" customHeight="1" thickBot="1">
      <c r="B55" s="312" t="s">
        <v>139</v>
      </c>
      <c r="C55" s="313"/>
      <c r="D55" s="512"/>
      <c r="E55" s="513"/>
      <c r="F55" s="294"/>
      <c r="I55" s="295" t="s">
        <v>134</v>
      </c>
      <c r="J55" s="324"/>
      <c r="K55" s="324"/>
      <c r="L55" s="294"/>
      <c r="M55" s="294"/>
      <c r="N55" s="294"/>
      <c r="O55" s="294"/>
      <c r="P55" s="12"/>
      <c r="BC55" s="44"/>
      <c r="BD55" s="44"/>
    </row>
    <row r="56" spans="2:57" ht="17.649999999999999" customHeight="1">
      <c r="B56" s="363"/>
      <c r="C56" s="364"/>
      <c r="D56" s="365"/>
      <c r="E56" s="365"/>
      <c r="F56" s="294"/>
      <c r="G56" s="42"/>
      <c r="H56" s="42"/>
      <c r="I56" s="295" t="s">
        <v>131</v>
      </c>
      <c r="J56" s="324"/>
      <c r="K56" s="324"/>
      <c r="L56" s="294"/>
      <c r="M56" s="294"/>
      <c r="N56" s="294"/>
      <c r="O56" s="294"/>
      <c r="P56" s="12"/>
      <c r="BC56" s="44"/>
      <c r="BD56" s="44"/>
    </row>
    <row r="57" spans="2:57" ht="15.6" customHeight="1">
      <c r="B57" s="45"/>
      <c r="C57" s="11"/>
      <c r="D57" s="11"/>
      <c r="E57" s="46"/>
      <c r="F57" s="294"/>
      <c r="G57" s="42"/>
      <c r="H57" s="42"/>
      <c r="I57" s="346" t="s">
        <v>130</v>
      </c>
      <c r="J57" s="324">
        <f>SUM(J47:J56)</f>
        <v>7</v>
      </c>
      <c r="K57" s="324">
        <f>SUM(K47:K56)</f>
        <v>8</v>
      </c>
      <c r="L57" s="294"/>
      <c r="M57" s="294"/>
      <c r="N57" s="294"/>
      <c r="O57" s="294"/>
      <c r="P57" s="12"/>
    </row>
    <row r="58" spans="2:57" ht="20.25" customHeight="1">
      <c r="B58" s="15" t="s">
        <v>42</v>
      </c>
      <c r="C58" s="1" t="s">
        <v>43</v>
      </c>
      <c r="D58" s="1"/>
      <c r="E58" s="1"/>
      <c r="F58" s="294"/>
      <c r="G58" s="42"/>
      <c r="H58" s="41"/>
      <c r="I58" s="42"/>
      <c r="L58" s="42"/>
      <c r="N58" s="315"/>
      <c r="P58" s="334"/>
    </row>
    <row r="59" spans="2:57" ht="15" customHeight="1" thickBot="1">
      <c r="B59" s="48"/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1"/>
      <c r="O59" s="48"/>
      <c r="P59" s="49"/>
    </row>
    <row r="60" spans="2:57" ht="15" customHeight="1" thickBot="1">
      <c r="B60" s="504" t="s">
        <v>17</v>
      </c>
      <c r="C60" s="504" t="s">
        <v>44</v>
      </c>
      <c r="D60" s="515" t="s">
        <v>45</v>
      </c>
      <c r="E60" s="517" t="s">
        <v>46</v>
      </c>
      <c r="F60" s="510" t="s">
        <v>47</v>
      </c>
      <c r="G60" s="502" t="s">
        <v>48</v>
      </c>
      <c r="H60" s="504" t="s">
        <v>49</v>
      </c>
      <c r="I60" s="504" t="s">
        <v>50</v>
      </c>
      <c r="J60" s="496" t="s">
        <v>28</v>
      </c>
      <c r="K60" s="506" t="s">
        <v>51</v>
      </c>
      <c r="L60" s="508" t="s">
        <v>52</v>
      </c>
      <c r="M60" s="496" t="s">
        <v>53</v>
      </c>
      <c r="N60" s="13"/>
      <c r="O60" s="13"/>
      <c r="P60" s="50"/>
    </row>
    <row r="61" spans="2:57" ht="28.5" customHeight="1" thickTop="1" thickBot="1">
      <c r="B61" s="505"/>
      <c r="C61" s="514"/>
      <c r="D61" s="516"/>
      <c r="E61" s="518"/>
      <c r="F61" s="511"/>
      <c r="G61" s="503"/>
      <c r="H61" s="505"/>
      <c r="I61" s="505"/>
      <c r="J61" s="497"/>
      <c r="K61" s="507"/>
      <c r="L61" s="509"/>
      <c r="M61" s="497"/>
      <c r="N61" s="13"/>
      <c r="O61" s="13"/>
      <c r="P61" s="50"/>
      <c r="Q61" s="355"/>
      <c r="AB61" s="474">
        <v>43474</v>
      </c>
      <c r="AC61" s="474">
        <v>43475</v>
      </c>
      <c r="AD61" s="474">
        <v>43476</v>
      </c>
      <c r="AE61" s="474">
        <v>43477</v>
      </c>
      <c r="AF61" s="474">
        <v>43478</v>
      </c>
      <c r="AG61" s="474">
        <v>43479</v>
      </c>
      <c r="AH61" s="474">
        <v>43480</v>
      </c>
      <c r="AI61" s="474">
        <v>43481</v>
      </c>
      <c r="AJ61" s="474">
        <v>43482</v>
      </c>
      <c r="AK61" s="474">
        <v>43483</v>
      </c>
      <c r="AL61" s="474">
        <v>43484</v>
      </c>
      <c r="AM61" s="474">
        <v>43485</v>
      </c>
      <c r="AN61" s="474">
        <v>43486</v>
      </c>
      <c r="AO61" s="474">
        <v>43487</v>
      </c>
      <c r="AP61" s="474">
        <v>43488</v>
      </c>
      <c r="AQ61" s="474">
        <v>43489</v>
      </c>
      <c r="AR61" s="474">
        <v>43490</v>
      </c>
      <c r="AS61" s="474">
        <v>43491</v>
      </c>
      <c r="AT61" s="474">
        <v>43492</v>
      </c>
      <c r="AU61" s="474">
        <v>43493</v>
      </c>
      <c r="AV61" s="474">
        <v>43494</v>
      </c>
      <c r="AW61" s="474">
        <v>43495</v>
      </c>
      <c r="AX61" s="474">
        <v>43496</v>
      </c>
    </row>
    <row r="62" spans="2:57" s="54" customFormat="1" ht="36.75" customHeight="1" thickBot="1">
      <c r="B62" s="489" t="str">
        <f>I34</f>
        <v>STAG</v>
      </c>
      <c r="C62" s="478">
        <v>46304</v>
      </c>
      <c r="D62" s="444">
        <f>[18]October_2026!$L$13</f>
        <v>101.1</v>
      </c>
      <c r="E62" s="442"/>
      <c r="F62" s="443"/>
      <c r="G62" s="443">
        <f>[18]October_2026!$L$17</f>
        <v>95.2</v>
      </c>
      <c r="H62" s="457"/>
      <c r="I62" s="457"/>
      <c r="J62" s="447" t="s">
        <v>150</v>
      </c>
      <c r="K62" s="448">
        <f>[19]October_2026!$L$25</f>
        <v>0.33403508771929824</v>
      </c>
      <c r="L62" s="456">
        <f>(((D62+E62)-G62)/(D62+E62))*100</f>
        <v>5.8358061325420296</v>
      </c>
      <c r="M62" s="454" t="s">
        <v>172</v>
      </c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>
        <f>[20]January_2019!L5</f>
        <v>0</v>
      </c>
      <c r="AC62" s="57">
        <f>[20]January_2019!M5</f>
        <v>0</v>
      </c>
      <c r="AD62" s="57">
        <f>[20]January_2019!N5</f>
        <v>0</v>
      </c>
      <c r="AE62" s="57">
        <f>[20]January_2019!O5</f>
        <v>0</v>
      </c>
      <c r="AF62" s="57">
        <f>[20]January_2019!P5</f>
        <v>0</v>
      </c>
      <c r="AG62" s="57">
        <f>[20]January_2019!Q5</f>
        <v>0</v>
      </c>
      <c r="AH62" s="57">
        <f>[20]January_2019!R5</f>
        <v>0</v>
      </c>
      <c r="AI62" s="57">
        <f>[20]January_2019!S5</f>
        <v>0</v>
      </c>
      <c r="AJ62" s="57">
        <f>[20]January_2019!T5</f>
        <v>0</v>
      </c>
      <c r="AK62" s="57">
        <f>[20]January_2019!U5</f>
        <v>0</v>
      </c>
      <c r="AL62" s="57">
        <f>[20]January_2019!V5</f>
        <v>0</v>
      </c>
      <c r="AM62" s="57">
        <f>[20]January_2019!W5</f>
        <v>0</v>
      </c>
      <c r="AN62" s="57">
        <f>[20]January_2019!X5</f>
        <v>0</v>
      </c>
      <c r="AO62" s="57">
        <f>[20]January_2019!Y5</f>
        <v>0</v>
      </c>
      <c r="AP62" s="57">
        <f>[20]January_2019!Z5</f>
        <v>0</v>
      </c>
      <c r="AQ62" s="57">
        <f>[20]January_2019!AA5</f>
        <v>0</v>
      </c>
      <c r="AR62" s="57">
        <f>[20]January_2019!AB5</f>
        <v>0</v>
      </c>
      <c r="AS62" s="57">
        <f>[20]January_2019!AC5</f>
        <v>0</v>
      </c>
      <c r="AT62" s="57">
        <f>[20]January_2019!AD5</f>
        <v>0</v>
      </c>
      <c r="AU62" s="57">
        <f>[20]January_2019!AE5</f>
        <v>0</v>
      </c>
      <c r="AV62" s="57">
        <f>[20]January_2019!AF5</f>
        <v>0</v>
      </c>
      <c r="AW62" s="57">
        <f>[20]January_2019!AG5</f>
        <v>0</v>
      </c>
      <c r="AX62" s="277">
        <f>[20]January_2019!AH5</f>
        <v>0</v>
      </c>
      <c r="AY62" s="277"/>
      <c r="AZ62" s="277"/>
      <c r="BA62" s="277"/>
      <c r="BB62" s="277"/>
      <c r="BC62" s="277"/>
      <c r="BD62" s="277"/>
      <c r="BE62" s="277"/>
    </row>
    <row r="63" spans="2:57" s="54" customFormat="1" ht="14.25" hidden="1" customHeight="1" thickBot="1">
      <c r="B63" s="479"/>
      <c r="C63" s="478"/>
      <c r="D63" s="441"/>
      <c r="E63" s="442"/>
      <c r="F63" s="443"/>
      <c r="G63" s="444"/>
      <c r="H63" s="457"/>
      <c r="I63" s="457"/>
      <c r="J63" s="475"/>
      <c r="K63" s="448"/>
      <c r="L63" s="456"/>
      <c r="M63" s="45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>
        <f>[20]January_2019!L6</f>
        <v>0</v>
      </c>
      <c r="AC63" s="57">
        <f>[20]January_2019!M6</f>
        <v>0</v>
      </c>
      <c r="AD63" s="57">
        <f>[20]January_2019!N6</f>
        <v>0</v>
      </c>
      <c r="AE63" s="57">
        <f>[20]January_2019!O6</f>
        <v>0</v>
      </c>
      <c r="AF63" s="57">
        <f>[20]January_2019!P6</f>
        <v>0</v>
      </c>
      <c r="AG63" s="57">
        <f>[20]January_2019!Q6</f>
        <v>0</v>
      </c>
      <c r="AH63" s="57">
        <f>[20]January_2019!R6</f>
        <v>0</v>
      </c>
      <c r="AI63" s="57">
        <f>[20]January_2019!S6</f>
        <v>0</v>
      </c>
      <c r="AJ63" s="57">
        <f>[20]January_2019!T6</f>
        <v>0</v>
      </c>
      <c r="AK63" s="57">
        <f>[20]January_2019!U6</f>
        <v>0</v>
      </c>
      <c r="AL63" s="57">
        <f>[20]January_2019!V6</f>
        <v>0</v>
      </c>
      <c r="AM63" s="57">
        <f>[20]January_2019!W6</f>
        <v>0</v>
      </c>
      <c r="AN63" s="57">
        <f>[20]January_2019!X6</f>
        <v>0</v>
      </c>
      <c r="AO63" s="57">
        <f>[20]January_2019!Y6</f>
        <v>0</v>
      </c>
      <c r="AP63" s="57">
        <f>[20]January_2019!Z6</f>
        <v>0</v>
      </c>
      <c r="AQ63" s="57">
        <f>[20]January_2019!AA6</f>
        <v>0</v>
      </c>
      <c r="AR63" s="57">
        <f>[20]January_2019!AB6</f>
        <v>0</v>
      </c>
      <c r="AS63" s="57">
        <f>[20]January_2019!AC6</f>
        <v>0</v>
      </c>
      <c r="AT63" s="57">
        <f>[20]January_2019!AD6</f>
        <v>0</v>
      </c>
      <c r="AU63" s="57">
        <f>[20]January_2019!AE6</f>
        <v>0</v>
      </c>
      <c r="AV63" s="57">
        <f>[20]January_2019!AF6</f>
        <v>0</v>
      </c>
      <c r="AW63" s="57">
        <f>[20]January_2019!AG6</f>
        <v>0</v>
      </c>
      <c r="AX63" s="277">
        <f>[20]January_2019!AH6</f>
        <v>0</v>
      </c>
      <c r="AY63" s="277"/>
      <c r="AZ63" s="277"/>
      <c r="BA63" s="277"/>
      <c r="BB63" s="277"/>
      <c r="BC63" s="277"/>
      <c r="BD63" s="277"/>
      <c r="BE63" s="277"/>
    </row>
    <row r="64" spans="2:57" s="54" customFormat="1" ht="37.15" hidden="1" customHeight="1" thickBot="1">
      <c r="B64" s="489">
        <f>J48</f>
        <v>0</v>
      </c>
      <c r="C64" s="478">
        <v>46303</v>
      </c>
      <c r="D64" s="441">
        <f>[18]October_2026!$K$13</f>
        <v>292</v>
      </c>
      <c r="E64" s="442"/>
      <c r="F64" s="443"/>
      <c r="G64" s="443">
        <f>[18]October_2026!$K$17</f>
        <v>278</v>
      </c>
      <c r="H64" s="445"/>
      <c r="I64" s="445"/>
      <c r="J64" s="447" t="s">
        <v>150</v>
      </c>
      <c r="K64" s="448">
        <f>[19]October_2026!$K$25</f>
        <v>0.9754385964912281</v>
      </c>
      <c r="L64" s="456">
        <f>(((D64+E64)-G64)/(D64+E64))*100</f>
        <v>4.7945205479452051</v>
      </c>
      <c r="M64" s="454" t="s">
        <v>176</v>
      </c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>
        <f>[20]January_2019!L7</f>
        <v>285.8</v>
      </c>
      <c r="AC64" s="57">
        <f>[20]January_2019!M7</f>
        <v>508.1</v>
      </c>
      <c r="AD64" s="57">
        <f>[20]January_2019!N7</f>
        <v>0</v>
      </c>
      <c r="AE64" s="57">
        <f>[20]January_2019!O7</f>
        <v>0</v>
      </c>
      <c r="AF64" s="57">
        <f>[20]January_2019!P7</f>
        <v>109.56666666666666</v>
      </c>
      <c r="AG64" s="57">
        <f>[20]January_2019!Q7</f>
        <v>297.64999999999998</v>
      </c>
      <c r="AH64" s="57">
        <f>[20]January_2019!R7</f>
        <v>122.3</v>
      </c>
      <c r="AI64" s="57">
        <f>[20]January_2019!S7</f>
        <v>0</v>
      </c>
      <c r="AJ64" s="57">
        <f>[20]January_2019!T7</f>
        <v>294.7</v>
      </c>
      <c r="AK64" s="57">
        <f>[20]January_2019!U7</f>
        <v>280.5</v>
      </c>
      <c r="AL64" s="57">
        <f>[20]January_2019!V7</f>
        <v>0</v>
      </c>
      <c r="AM64" s="57">
        <f>[20]January_2019!W7</f>
        <v>0</v>
      </c>
      <c r="AN64" s="57">
        <f>[20]January_2019!X7</f>
        <v>188.25</v>
      </c>
      <c r="AO64" s="57">
        <f>[20]January_2019!Y7</f>
        <v>295.7</v>
      </c>
      <c r="AP64" s="57">
        <f>[20]January_2019!Z7</f>
        <v>257.8</v>
      </c>
      <c r="AQ64" s="57">
        <f>[20]January_2019!AA7</f>
        <v>291.2</v>
      </c>
      <c r="AR64" s="57">
        <f>[20]January_2019!AB7</f>
        <v>187</v>
      </c>
      <c r="AS64" s="57">
        <f>[20]January_2019!AC7</f>
        <v>0</v>
      </c>
      <c r="AT64" s="57">
        <f>[20]January_2019!AD7</f>
        <v>0</v>
      </c>
      <c r="AU64" s="57">
        <f>[20]January_2019!AE7</f>
        <v>485.1</v>
      </c>
      <c r="AV64" s="57">
        <f>[20]January_2019!AF7</f>
        <v>171.55</v>
      </c>
      <c r="AW64" s="57">
        <f>[20]January_2019!AG7</f>
        <v>423.8</v>
      </c>
      <c r="AX64" s="277">
        <f>[20]January_2019!AH7</f>
        <v>0</v>
      </c>
      <c r="AY64" s="277"/>
      <c r="AZ64" s="277"/>
      <c r="BA64" s="277"/>
      <c r="BB64" s="277"/>
      <c r="BC64" s="277"/>
      <c r="BD64" s="277"/>
      <c r="BE64" s="277"/>
    </row>
    <row r="65" spans="2:57" s="54" customFormat="1" ht="18.600000000000001" hidden="1" customHeight="1" thickBot="1">
      <c r="B65" s="477"/>
      <c r="C65" s="429"/>
      <c r="D65" s="430"/>
      <c r="E65" s="431"/>
      <c r="F65" s="432"/>
      <c r="G65" s="433"/>
      <c r="H65" s="457"/>
      <c r="I65" s="457"/>
      <c r="J65" s="450"/>
      <c r="K65" s="435"/>
      <c r="L65" s="451"/>
      <c r="M65" s="420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s="54" customFormat="1" ht="38.65" hidden="1" customHeight="1" thickBot="1">
      <c r="B66" s="486"/>
      <c r="C66" s="478"/>
      <c r="D66" s="441"/>
      <c r="E66" s="442"/>
      <c r="F66" s="443"/>
      <c r="G66" s="444"/>
      <c r="H66" s="457"/>
      <c r="I66" s="457"/>
      <c r="J66" s="447"/>
      <c r="K66" s="458"/>
      <c r="L66" s="456"/>
      <c r="M66" s="454"/>
      <c r="N66" s="13"/>
      <c r="O66" s="13"/>
      <c r="P66" s="50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277"/>
      <c r="AY66" s="277"/>
      <c r="AZ66" s="277"/>
      <c r="BA66" s="277"/>
      <c r="BB66" s="277"/>
      <c r="BC66" s="277"/>
      <c r="BD66" s="277"/>
      <c r="BE66" s="277"/>
    </row>
    <row r="67" spans="2:57" s="54" customFormat="1" ht="15" hidden="1">
      <c r="B67" s="452"/>
      <c r="C67" s="429"/>
      <c r="D67" s="430"/>
      <c r="E67" s="431"/>
      <c r="F67" s="432"/>
      <c r="G67" s="433"/>
      <c r="H67" s="434"/>
      <c r="I67" s="449"/>
      <c r="J67" s="450"/>
      <c r="K67" s="435"/>
      <c r="L67" s="451"/>
      <c r="M67" s="420"/>
      <c r="N67" s="13"/>
      <c r="O67" s="13"/>
      <c r="P67" s="50"/>
      <c r="R67" s="275"/>
      <c r="S67" s="275"/>
      <c r="T67" s="275"/>
      <c r="U67" s="275"/>
      <c r="V67" s="275"/>
      <c r="W67" s="275"/>
      <c r="X67" s="275"/>
      <c r="Y67" s="275"/>
      <c r="Z67" s="275"/>
      <c r="AA67" s="275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277"/>
      <c r="AY67" s="277"/>
      <c r="AZ67" s="277"/>
      <c r="BA67" s="277"/>
      <c r="BB67" s="277"/>
      <c r="BC67" s="277"/>
      <c r="BD67" s="277"/>
      <c r="BE67" s="277"/>
    </row>
    <row r="68" spans="2:57" s="54" customFormat="1" ht="37.15" hidden="1" customHeight="1" thickBot="1">
      <c r="B68" s="480"/>
      <c r="C68" s="478"/>
      <c r="D68" s="441"/>
      <c r="E68" s="442"/>
      <c r="F68" s="443"/>
      <c r="G68" s="444"/>
      <c r="H68" s="445"/>
      <c r="I68" s="446"/>
      <c r="J68" s="447"/>
      <c r="K68" s="448"/>
      <c r="L68" s="456"/>
      <c r="M68" s="454"/>
      <c r="N68" s="13"/>
      <c r="O68" s="13"/>
      <c r="P68" s="50"/>
      <c r="R68" s="275"/>
      <c r="S68" s="275"/>
      <c r="T68" s="275"/>
      <c r="U68" s="275"/>
      <c r="V68" s="275"/>
      <c r="W68" s="275"/>
      <c r="X68" s="275"/>
      <c r="Y68" s="275"/>
      <c r="Z68" s="275"/>
      <c r="AA68" s="275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277"/>
      <c r="AY68" s="277"/>
      <c r="AZ68" s="277"/>
      <c r="BA68" s="277"/>
      <c r="BB68" s="277"/>
      <c r="BC68" s="277"/>
      <c r="BD68" s="277"/>
      <c r="BE68" s="277"/>
    </row>
    <row r="69" spans="2:57" s="54" customFormat="1" ht="16.5" hidden="1" customHeight="1" thickBot="1">
      <c r="B69" s="436"/>
      <c r="C69" s="422"/>
      <c r="D69" s="423"/>
      <c r="E69" s="424"/>
      <c r="F69" s="425"/>
      <c r="G69" s="426"/>
      <c r="H69" s="427"/>
      <c r="I69" s="437"/>
      <c r="J69" s="438"/>
      <c r="K69" s="428"/>
      <c r="L69" s="439"/>
      <c r="M69" s="421"/>
      <c r="N69" s="13"/>
      <c r="O69" s="13"/>
      <c r="P69" s="50"/>
      <c r="R69" s="275"/>
      <c r="S69" s="275"/>
      <c r="T69" s="275"/>
      <c r="U69" s="275"/>
      <c r="V69" s="275"/>
      <c r="W69" s="275"/>
      <c r="X69" s="275"/>
      <c r="Y69" s="275"/>
      <c r="Z69" s="275"/>
      <c r="AA69" s="275"/>
      <c r="AB69" s="414"/>
      <c r="AC69" s="414"/>
      <c r="AD69" s="414"/>
      <c r="AE69" s="414"/>
      <c r="AF69" s="414"/>
      <c r="AG69" s="414"/>
      <c r="AH69" s="414"/>
      <c r="AI69" s="414"/>
      <c r="AJ69" s="414"/>
      <c r="AK69" s="414"/>
      <c r="AL69" s="414"/>
      <c r="AM69" s="414"/>
      <c r="AN69" s="414"/>
      <c r="AO69" s="414"/>
      <c r="AP69" s="414"/>
      <c r="AQ69" s="414"/>
      <c r="AR69" s="414"/>
      <c r="AS69" s="414"/>
      <c r="AT69" s="414"/>
      <c r="AU69" s="414"/>
      <c r="AV69" s="414"/>
      <c r="AW69" s="414"/>
    </row>
    <row r="70" spans="2:57" s="54" customFormat="1" ht="37.15" hidden="1" customHeight="1" thickBot="1">
      <c r="B70" s="455"/>
      <c r="C70" s="440"/>
      <c r="D70" s="441"/>
      <c r="E70" s="442"/>
      <c r="F70" s="443"/>
      <c r="G70" s="444"/>
      <c r="H70" s="445"/>
      <c r="I70" s="446"/>
      <c r="J70" s="447"/>
      <c r="K70" s="448"/>
      <c r="L70" s="456"/>
      <c r="M70" s="453"/>
      <c r="N70" s="13"/>
      <c r="O70" s="13"/>
      <c r="P70" s="50"/>
      <c r="R70" s="275"/>
      <c r="S70" s="275"/>
      <c r="T70" s="275"/>
      <c r="U70" s="275"/>
      <c r="V70" s="275"/>
      <c r="W70" s="275"/>
      <c r="X70" s="275"/>
      <c r="Y70" s="275"/>
      <c r="Z70" s="275"/>
      <c r="AA70" s="275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277"/>
      <c r="AY70" s="277"/>
      <c r="AZ70" s="277"/>
      <c r="BA70" s="277"/>
      <c r="BB70" s="277"/>
      <c r="BC70" s="277"/>
      <c r="BD70" s="277"/>
      <c r="BE70" s="277"/>
    </row>
    <row r="71" spans="2:57" s="54" customFormat="1" ht="37.15" hidden="1" customHeight="1">
      <c r="B71" s="465"/>
      <c r="C71" s="429"/>
      <c r="D71" s="459"/>
      <c r="E71" s="460"/>
      <c r="F71" s="461"/>
      <c r="G71" s="459"/>
      <c r="H71" s="462"/>
      <c r="I71" s="462"/>
      <c r="J71" s="462"/>
      <c r="K71" s="463"/>
      <c r="L71" s="464"/>
      <c r="M71" s="50"/>
      <c r="N71" s="13"/>
      <c r="O71" s="13"/>
      <c r="P71" s="50"/>
      <c r="R71" s="275"/>
      <c r="S71" s="275"/>
      <c r="T71" s="275"/>
      <c r="U71" s="275"/>
      <c r="V71" s="275"/>
      <c r="W71" s="275"/>
      <c r="X71" s="275"/>
      <c r="Y71" s="275"/>
      <c r="Z71" s="275"/>
      <c r="AA71" s="275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277"/>
      <c r="AY71" s="277"/>
      <c r="AZ71" s="277"/>
      <c r="BA71" s="277"/>
      <c r="BB71" s="277"/>
      <c r="BC71" s="277"/>
      <c r="BD71" s="277"/>
      <c r="BE71" s="277"/>
    </row>
    <row r="72" spans="2:57" ht="18" customHeight="1" thickBot="1">
      <c r="B72" s="59"/>
      <c r="C72" s="30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 t="s">
        <v>41</v>
      </c>
      <c r="O72" s="56"/>
      <c r="P72" s="60"/>
    </row>
    <row r="73" spans="2:57" ht="15.75" thickBot="1">
      <c r="B73" s="498" t="s">
        <v>55</v>
      </c>
      <c r="C73" s="499"/>
      <c r="D73" s="499"/>
      <c r="E73" s="499"/>
      <c r="F73" s="500"/>
      <c r="G73" s="498" t="s">
        <v>56</v>
      </c>
      <c r="H73" s="499"/>
      <c r="I73" s="499"/>
      <c r="J73" s="500"/>
      <c r="K73" s="498" t="s">
        <v>51</v>
      </c>
      <c r="L73" s="499"/>
      <c r="M73" s="499"/>
      <c r="N73" s="501"/>
      <c r="O73" s="56"/>
      <c r="P73" s="50"/>
    </row>
    <row r="74" spans="2:57" ht="15">
      <c r="B74" s="61" t="s">
        <v>17</v>
      </c>
      <c r="C74" s="62" t="s">
        <v>36</v>
      </c>
      <c r="D74" s="62" t="s">
        <v>37</v>
      </c>
      <c r="E74" s="62" t="s">
        <v>38</v>
      </c>
      <c r="F74" s="63" t="s">
        <v>39</v>
      </c>
      <c r="G74" s="62" t="s">
        <v>36</v>
      </c>
      <c r="H74" s="62" t="s">
        <v>37</v>
      </c>
      <c r="I74" s="62" t="s">
        <v>38</v>
      </c>
      <c r="J74" s="63" t="s">
        <v>39</v>
      </c>
      <c r="K74" s="62" t="s">
        <v>36</v>
      </c>
      <c r="L74" s="62" t="s">
        <v>37</v>
      </c>
      <c r="M74" s="62" t="s">
        <v>38</v>
      </c>
      <c r="N74" s="63" t="s">
        <v>39</v>
      </c>
      <c r="O74" s="56"/>
      <c r="P74" s="64"/>
    </row>
    <row r="75" spans="2:57" ht="15">
      <c r="B75" s="29" t="s">
        <v>6</v>
      </c>
      <c r="C75" s="65"/>
      <c r="D75" s="76">
        <v>4.8715736377513839</v>
      </c>
      <c r="E75" s="76">
        <v>6.3670919619142783</v>
      </c>
      <c r="F75" s="66">
        <v>4.8</v>
      </c>
      <c r="G75" s="65"/>
      <c r="H75" s="476">
        <v>5.5174131398167194</v>
      </c>
      <c r="I75" s="476">
        <v>6.4839783214202455</v>
      </c>
      <c r="J75" s="66">
        <v>4.8</v>
      </c>
      <c r="K75" s="67"/>
      <c r="L75" s="194">
        <v>0.78289473684210531</v>
      </c>
      <c r="M75" s="194">
        <v>0.55230551648688719</v>
      </c>
      <c r="N75" s="68">
        <v>1</v>
      </c>
      <c r="O75" s="56"/>
      <c r="P75" s="69"/>
    </row>
    <row r="76" spans="2:57" ht="15">
      <c r="B76" s="33" t="s">
        <v>9</v>
      </c>
      <c r="C76" s="65">
        <f>L62</f>
        <v>5.8358061325420296</v>
      </c>
      <c r="D76" s="76">
        <v>5.062325108114992</v>
      </c>
      <c r="E76" s="76">
        <v>6.0120934601385283</v>
      </c>
      <c r="F76" s="66">
        <v>4.8</v>
      </c>
      <c r="G76" s="65">
        <f>[18]October_2026!$L$21</f>
        <v>6.6677789297645509</v>
      </c>
      <c r="H76" s="76">
        <v>5.6760230336831157</v>
      </c>
      <c r="I76" s="76">
        <v>5.9217471497494181</v>
      </c>
      <c r="J76" s="66">
        <v>4.8</v>
      </c>
      <c r="K76" s="67">
        <f>K62</f>
        <v>0.33403508771929824</v>
      </c>
      <c r="L76" s="194">
        <v>0.65473684210526317</v>
      </c>
      <c r="M76" s="194">
        <v>0.68123957181115813</v>
      </c>
      <c r="N76" s="68">
        <v>1</v>
      </c>
      <c r="P76" s="69"/>
    </row>
    <row r="77" spans="2:57" ht="15">
      <c r="B77" s="34" t="s">
        <v>40</v>
      </c>
      <c r="C77" s="65"/>
      <c r="D77" s="76"/>
      <c r="E77" s="76">
        <v>10.890214570112384</v>
      </c>
      <c r="F77" s="66">
        <v>5.5</v>
      </c>
      <c r="G77" s="65"/>
      <c r="H77" s="76"/>
      <c r="I77" s="76">
        <v>11.797659278069149</v>
      </c>
      <c r="J77" s="66">
        <v>5.5</v>
      </c>
      <c r="K77" s="67"/>
      <c r="L77" s="194"/>
      <c r="M77" s="194">
        <v>0.35370190356844494</v>
      </c>
      <c r="N77" s="68">
        <v>1</v>
      </c>
      <c r="P77" s="69"/>
    </row>
    <row r="78" spans="2:57" ht="15">
      <c r="B78" s="22" t="s">
        <v>33</v>
      </c>
      <c r="C78" s="65"/>
      <c r="D78" s="76">
        <v>2.6160971335586405</v>
      </c>
      <c r="E78" s="76">
        <v>4.6053599467161712</v>
      </c>
      <c r="F78" s="66">
        <v>3.3</v>
      </c>
      <c r="G78" s="65"/>
      <c r="H78" s="76">
        <v>4.0562064167659644</v>
      </c>
      <c r="I78" s="76">
        <v>4.7835858167498584</v>
      </c>
      <c r="J78" s="66">
        <v>3.3</v>
      </c>
      <c r="K78" s="67"/>
      <c r="L78" s="194">
        <v>1.3649122807017544</v>
      </c>
      <c r="M78" s="194">
        <v>0.83244019138755987</v>
      </c>
      <c r="N78" s="68">
        <v>1</v>
      </c>
      <c r="P78" s="69"/>
    </row>
    <row r="79" spans="2:57" ht="15">
      <c r="B79" s="35" t="s">
        <v>164</v>
      </c>
      <c r="C79" s="65"/>
      <c r="D79" s="76"/>
      <c r="E79" s="76"/>
      <c r="F79" s="66">
        <v>3.3</v>
      </c>
      <c r="G79" s="282"/>
      <c r="H79" s="76"/>
      <c r="I79" s="76"/>
      <c r="J79" s="66">
        <v>3</v>
      </c>
      <c r="K79" s="67"/>
      <c r="L79" s="194"/>
      <c r="M79" s="194"/>
      <c r="N79" s="68">
        <v>1</v>
      </c>
      <c r="P79" s="69"/>
    </row>
    <row r="80" spans="2:57" ht="15">
      <c r="B80" s="36" t="s">
        <v>15</v>
      </c>
      <c r="C80" s="65"/>
      <c r="D80" s="76"/>
      <c r="E80" s="76">
        <v>6.3233965672990236</v>
      </c>
      <c r="F80" s="70">
        <v>5.5</v>
      </c>
      <c r="G80" s="65"/>
      <c r="H80" s="76"/>
      <c r="I80" s="76">
        <v>7.9667553186446929</v>
      </c>
      <c r="J80" s="66">
        <v>5.5</v>
      </c>
      <c r="K80" s="67"/>
      <c r="L80" s="194"/>
      <c r="M80" s="194">
        <v>0.5883625730994152</v>
      </c>
      <c r="N80" s="68">
        <v>1</v>
      </c>
      <c r="P80" s="69"/>
    </row>
    <row r="81" spans="2:16" ht="15">
      <c r="B81" s="37" t="s">
        <v>16</v>
      </c>
      <c r="C81" s="481"/>
      <c r="D81" s="76"/>
      <c r="E81" s="76">
        <v>3.9973372218347856</v>
      </c>
      <c r="F81" s="66">
        <v>3.3</v>
      </c>
      <c r="G81" s="282"/>
      <c r="H81" s="76"/>
      <c r="I81" s="76">
        <v>5.1096183510504902</v>
      </c>
      <c r="J81" s="66">
        <v>3.3</v>
      </c>
      <c r="K81" s="67"/>
      <c r="L81" s="194"/>
      <c r="M81" s="194">
        <v>0.89057130004498408</v>
      </c>
      <c r="N81" s="71">
        <v>1</v>
      </c>
      <c r="P81" s="69"/>
    </row>
    <row r="82" spans="2:16" ht="15.75" thickBot="1">
      <c r="B82" s="38" t="s">
        <v>163</v>
      </c>
      <c r="C82" s="65"/>
      <c r="D82" s="76"/>
      <c r="E82" s="76"/>
      <c r="F82" s="66">
        <v>7.5</v>
      </c>
      <c r="G82" s="282"/>
      <c r="H82" s="76"/>
      <c r="I82" s="76"/>
      <c r="J82" s="66">
        <v>7.5</v>
      </c>
      <c r="K82" s="67"/>
      <c r="L82" s="194"/>
      <c r="M82" s="194"/>
      <c r="N82" s="71">
        <v>1</v>
      </c>
      <c r="P82" s="69"/>
    </row>
    <row r="83" spans="2:16" ht="15.75" thickBot="1">
      <c r="B83" s="413" t="s">
        <v>161</v>
      </c>
      <c r="C83" s="65"/>
      <c r="D83" s="76"/>
      <c r="E83" s="76"/>
      <c r="F83" s="66">
        <v>4.8</v>
      </c>
      <c r="G83" s="282"/>
      <c r="H83" s="76"/>
      <c r="I83" s="76"/>
      <c r="J83" s="66">
        <v>4.8</v>
      </c>
      <c r="K83" s="67"/>
      <c r="L83" s="194"/>
      <c r="M83" s="194"/>
      <c r="N83" s="71">
        <v>1</v>
      </c>
      <c r="O83" s="74"/>
      <c r="P83" s="75"/>
    </row>
    <row r="84" spans="2:16" ht="15">
      <c r="D84" s="76">
        <v>4.5123409807545745</v>
      </c>
      <c r="E84" s="76">
        <v>6.2979208197735534</v>
      </c>
      <c r="F84" s="341">
        <v>5.5</v>
      </c>
      <c r="H84" s="76">
        <v>5.2060653792993694</v>
      </c>
      <c r="I84" s="76">
        <v>6.6038486315151728</v>
      </c>
      <c r="J84" s="341">
        <v>5.5</v>
      </c>
      <c r="L84" s="194">
        <v>0.81908382066276797</v>
      </c>
      <c r="M84" s="194">
        <v>0.6057128583457968</v>
      </c>
      <c r="N84" s="386">
        <v>1</v>
      </c>
    </row>
  </sheetData>
  <mergeCells count="51">
    <mergeCell ref="M60:M61"/>
    <mergeCell ref="B73:F73"/>
    <mergeCell ref="G73:J73"/>
    <mergeCell ref="K73:N73"/>
    <mergeCell ref="G60:G61"/>
    <mergeCell ref="H60:H61"/>
    <mergeCell ref="I60:I61"/>
    <mergeCell ref="J60:J61"/>
    <mergeCell ref="K60:K61"/>
    <mergeCell ref="L60:L61"/>
    <mergeCell ref="F60:F61"/>
    <mergeCell ref="D55:E55"/>
    <mergeCell ref="B60:B61"/>
    <mergeCell ref="C60:C61"/>
    <mergeCell ref="D60:D61"/>
    <mergeCell ref="E60:E61"/>
    <mergeCell ref="B45:B54"/>
    <mergeCell ref="D45:E46"/>
    <mergeCell ref="J45:K45"/>
    <mergeCell ref="L46:N46"/>
    <mergeCell ref="D47:E48"/>
    <mergeCell ref="D49:E50"/>
    <mergeCell ref="D51:E52"/>
    <mergeCell ref="D53:E54"/>
    <mergeCell ref="I31:N31"/>
    <mergeCell ref="D32:E32"/>
    <mergeCell ref="B33:B44"/>
    <mergeCell ref="D33:E34"/>
    <mergeCell ref="D35:E36"/>
    <mergeCell ref="D37:E38"/>
    <mergeCell ref="D39:E40"/>
    <mergeCell ref="D41:E42"/>
    <mergeCell ref="D43:E44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55:B56">
    <cfRule type="cellIs" dxfId="960" priority="115" operator="notBetween">
      <formula>#REF!</formula>
      <formula>#REF!</formula>
    </cfRule>
  </conditionalFormatting>
  <conditionalFormatting sqref="C59">
    <cfRule type="cellIs" dxfId="959" priority="198" stopIfTrue="1" operator="greaterThan">
      <formula>100</formula>
    </cfRule>
    <cfRule type="cellIs" dxfId="958" priority="197" stopIfTrue="1" operator="lessThan">
      <formula>96</formula>
    </cfRule>
  </conditionalFormatting>
  <conditionalFormatting sqref="C75:C76">
    <cfRule type="cellIs" dxfId="957" priority="79" stopIfTrue="1" operator="lessThanOrEqual">
      <formula>0</formula>
    </cfRule>
    <cfRule type="cellIs" dxfId="956" priority="78" stopIfTrue="1" operator="greaterThan">
      <formula>$F75</formula>
    </cfRule>
    <cfRule type="cellIs" dxfId="955" priority="80" stopIfTrue="1" operator="greaterThan">
      <formula>$F75</formula>
    </cfRule>
    <cfRule type="cellIs" dxfId="954" priority="81" stopIfTrue="1" operator="lessThanOrEqual">
      <formula>0</formula>
    </cfRule>
  </conditionalFormatting>
  <conditionalFormatting sqref="C77:C79 C81:C83">
    <cfRule type="cellIs" dxfId="953" priority="87" stopIfTrue="1" operator="greaterThan">
      <formula>$F80</formula>
    </cfRule>
  </conditionalFormatting>
  <conditionalFormatting sqref="C77:C79">
    <cfRule type="cellIs" dxfId="952" priority="88" stopIfTrue="1" operator="lessThanOrEqual">
      <formula>0</formula>
    </cfRule>
  </conditionalFormatting>
  <conditionalFormatting sqref="C80">
    <cfRule type="cellIs" dxfId="951" priority="202" stopIfTrue="1" operator="lessThanOrEqual">
      <formula>0</formula>
    </cfRule>
    <cfRule type="cellIs" dxfId="950" priority="201" stopIfTrue="1" operator="greaterThan">
      <formula>$F75</formula>
    </cfRule>
    <cfRule type="cellIs" dxfId="949" priority="200" stopIfTrue="1" operator="lessThanOrEqual">
      <formula>0</formula>
    </cfRule>
    <cfRule type="cellIs" dxfId="948" priority="199" stopIfTrue="1" operator="greaterThan">
      <formula>$F75</formula>
    </cfRule>
  </conditionalFormatting>
  <conditionalFormatting sqref="C81:C83">
    <cfRule type="cellIs" dxfId="947" priority="89" stopIfTrue="1" operator="lessThanOrEqual">
      <formula>0</formula>
    </cfRule>
  </conditionalFormatting>
  <conditionalFormatting sqref="C86:C90">
    <cfRule type="cellIs" dxfId="946" priority="189" stopIfTrue="1" operator="lessThanOrEqual">
      <formula>0</formula>
    </cfRule>
  </conditionalFormatting>
  <conditionalFormatting sqref="C87:C90">
    <cfRule type="cellIs" dxfId="945" priority="188" stopIfTrue="1" operator="greaterThan">
      <formula>$F$86</formula>
    </cfRule>
  </conditionalFormatting>
  <conditionalFormatting sqref="C92">
    <cfRule type="cellIs" dxfId="944" priority="190" stopIfTrue="1" operator="greaterThan">
      <formula>$F$86</formula>
    </cfRule>
    <cfRule type="cellIs" dxfId="943" priority="191" stopIfTrue="1" operator="lessThanOrEqual">
      <formula>0</formula>
    </cfRule>
  </conditionalFormatting>
  <conditionalFormatting sqref="C80:D80">
    <cfRule type="cellIs" dxfId="942" priority="77" stopIfTrue="1" operator="lessThanOrEqual">
      <formula>0</formula>
    </cfRule>
    <cfRule type="cellIs" dxfId="941" priority="76" stopIfTrue="1" operator="greaterThan">
      <formula>$J80</formula>
    </cfRule>
  </conditionalFormatting>
  <conditionalFormatting sqref="C86:D86 D88:D94">
    <cfRule type="cellIs" dxfId="940" priority="183" stopIfTrue="1" operator="greaterThan">
      <formula>4.5</formula>
    </cfRule>
  </conditionalFormatting>
  <conditionalFormatting sqref="D55:D56">
    <cfRule type="cellIs" dxfId="939" priority="116" operator="notBetween">
      <formula>#REF!</formula>
      <formula>#REF!</formula>
    </cfRule>
  </conditionalFormatting>
  <conditionalFormatting sqref="D75:D79 D81:D82">
    <cfRule type="cellIs" dxfId="938" priority="86" stopIfTrue="1" operator="lessThanOrEqual">
      <formula>0</formula>
    </cfRule>
  </conditionalFormatting>
  <conditionalFormatting sqref="D75:D79 D81:D84">
    <cfRule type="cellIs" dxfId="937" priority="83" stopIfTrue="1" operator="greaterThan">
      <formula>$F75</formula>
    </cfRule>
    <cfRule type="cellIs" dxfId="936" priority="82" stopIfTrue="1" operator="lessThanOrEqual">
      <formula>0</formula>
    </cfRule>
  </conditionalFormatting>
  <conditionalFormatting sqref="D83:D84">
    <cfRule type="cellIs" dxfId="935" priority="84" stopIfTrue="1" operator="lessThanOrEqual">
      <formula>0</formula>
    </cfRule>
  </conditionalFormatting>
  <conditionalFormatting sqref="D84">
    <cfRule type="cellIs" dxfId="934" priority="85" stopIfTrue="1" operator="lessThanOrEqual">
      <formula>0</formula>
    </cfRule>
  </conditionalFormatting>
  <conditionalFormatting sqref="D86 D88:D94">
    <cfRule type="cellIs" dxfId="933" priority="184" stopIfTrue="1" operator="lessThanOrEqual">
      <formula>0</formula>
    </cfRule>
  </conditionalFormatting>
  <conditionalFormatting sqref="D87">
    <cfRule type="cellIs" dxfId="932" priority="176" stopIfTrue="1" operator="lessThanOrEqual">
      <formula>0</formula>
    </cfRule>
    <cfRule type="cellIs" dxfId="931" priority="175" stopIfTrue="1" operator="greaterThan">
      <formula>$F$86</formula>
    </cfRule>
  </conditionalFormatting>
  <conditionalFormatting sqref="E10:E30">
    <cfRule type="cellIs" dxfId="930" priority="7" operator="lessThan">
      <formula>48</formula>
    </cfRule>
  </conditionalFormatting>
  <conditionalFormatting sqref="E58 E59:F59">
    <cfRule type="cellIs" dxfId="929" priority="180" stopIfTrue="1" operator="greaterThan">
      <formula>100</formula>
    </cfRule>
  </conditionalFormatting>
  <conditionalFormatting sqref="E59">
    <cfRule type="cellIs" dxfId="928" priority="178" stopIfTrue="1" operator="greaterThan">
      <formula>100</formula>
    </cfRule>
    <cfRule type="cellIs" dxfId="927" priority="177" stopIfTrue="1" operator="lessThan">
      <formula>96.8</formula>
    </cfRule>
  </conditionalFormatting>
  <conditionalFormatting sqref="E75:E83">
    <cfRule type="cellIs" dxfId="926" priority="49" stopIfTrue="1" operator="lessThanOrEqual">
      <formula>0</formula>
    </cfRule>
  </conditionalFormatting>
  <conditionalFormatting sqref="E75:E84">
    <cfRule type="cellIs" dxfId="925" priority="50" stopIfTrue="1" operator="greaterThan">
      <formula>$F75</formula>
    </cfRule>
    <cfRule type="cellIs" dxfId="924" priority="51" stopIfTrue="1" operator="lessThanOrEqual">
      <formula>0</formula>
    </cfRule>
  </conditionalFormatting>
  <conditionalFormatting sqref="E84">
    <cfRule type="cellIs" dxfId="923" priority="52" stopIfTrue="1" operator="lessThanOrEqual">
      <formula>0</formula>
    </cfRule>
  </conditionalFormatting>
  <conditionalFormatting sqref="E86:E94">
    <cfRule type="cellIs" dxfId="922" priority="170" stopIfTrue="1" operator="lessThanOrEqual">
      <formula>0</formula>
    </cfRule>
    <cfRule type="cellIs" dxfId="921" priority="169" stopIfTrue="1" operator="greaterThan">
      <formula>4.5</formula>
    </cfRule>
  </conditionalFormatting>
  <conditionalFormatting sqref="E59:F59 E58">
    <cfRule type="cellIs" dxfId="920" priority="179" stopIfTrue="1" operator="lessThan">
      <formula>96.5</formula>
    </cfRule>
  </conditionalFormatting>
  <conditionalFormatting sqref="F10:F30">
    <cfRule type="cellIs" dxfId="919" priority="8" operator="greaterThan">
      <formula>60</formula>
    </cfRule>
  </conditionalFormatting>
  <conditionalFormatting sqref="F59">
    <cfRule type="cellIs" dxfId="918" priority="195" stopIfTrue="1" operator="lessThan">
      <formula>96.8</formula>
    </cfRule>
    <cfRule type="cellIs" dxfId="917" priority="196" stopIfTrue="1" operator="greaterThan">
      <formula>100</formula>
    </cfRule>
  </conditionalFormatting>
  <conditionalFormatting sqref="G20:G30">
    <cfRule type="expression" dxfId="916" priority="10">
      <formula>IF(+(IF(G20&lt;S20,0,IF(G20&gt;T20,0,1)))=0,1)</formula>
    </cfRule>
  </conditionalFormatting>
  <conditionalFormatting sqref="G75:G78 F84">
    <cfRule type="cellIs" dxfId="915" priority="58" stopIfTrue="1" operator="greaterThan">
      <formula>$F75</formula>
    </cfRule>
    <cfRule type="cellIs" dxfId="914" priority="59" stopIfTrue="1" operator="lessThanOrEqual">
      <formula>0</formula>
    </cfRule>
  </conditionalFormatting>
  <conditionalFormatting sqref="G77:G78">
    <cfRule type="cellIs" dxfId="913" priority="44" stopIfTrue="1" operator="greaterThan">
      <formula>$F77</formula>
    </cfRule>
    <cfRule type="cellIs" dxfId="912" priority="45" stopIfTrue="1" operator="lessThanOrEqual">
      <formula>0</formula>
    </cfRule>
  </conditionalFormatting>
  <conditionalFormatting sqref="G79:G83">
    <cfRule type="cellIs" dxfId="911" priority="60" stopIfTrue="1" operator="greaterThan">
      <formula>$J79</formula>
    </cfRule>
    <cfRule type="cellIs" dxfId="910" priority="61" stopIfTrue="1" operator="lessThanOrEqual">
      <formula>0</formula>
    </cfRule>
  </conditionalFormatting>
  <conditionalFormatting sqref="G80">
    <cfRule type="cellIs" dxfId="909" priority="203" stopIfTrue="1" operator="greaterThan">
      <formula>$F75</formula>
    </cfRule>
    <cfRule type="cellIs" dxfId="908" priority="204" stopIfTrue="1" operator="lessThanOrEqual">
      <formula>0</formula>
    </cfRule>
  </conditionalFormatting>
  <conditionalFormatting sqref="G88:G93 C91 C93">
    <cfRule type="cellIs" dxfId="907" priority="193" stopIfTrue="1" operator="lessThanOrEqual">
      <formula>0</formula>
    </cfRule>
    <cfRule type="cellIs" dxfId="906" priority="192" stopIfTrue="1" operator="greaterThan">
      <formula>4.5</formula>
    </cfRule>
  </conditionalFormatting>
  <conditionalFormatting sqref="G10:H19 M10:N19">
    <cfRule type="expression" dxfId="905" priority="13">
      <formula>IF(+(IF(G10&lt;#REF!,0,IF(G10&gt;#REF!,0,1)))=0,1)</formula>
    </cfRule>
  </conditionalFormatting>
  <conditionalFormatting sqref="G87:H87">
    <cfRule type="cellIs" dxfId="904" priority="174" stopIfTrue="1" operator="lessThanOrEqual">
      <formula>0</formula>
    </cfRule>
    <cfRule type="cellIs" dxfId="903" priority="173" stopIfTrue="1" operator="greaterThan">
      <formula>$F$86</formula>
    </cfRule>
  </conditionalFormatting>
  <conditionalFormatting sqref="H20:H30">
    <cfRule type="expression" dxfId="902" priority="11">
      <formula>IF(+(IF(H20&lt;#REF!,0,IF(H20&gt;#REF!,0,1)))=0,1)</formula>
    </cfRule>
  </conditionalFormatting>
  <conditionalFormatting sqref="H44:H45 H58">
    <cfRule type="cellIs" dxfId="901" priority="171" stopIfTrue="1" operator="greaterThan">
      <formula>0</formula>
    </cfRule>
  </conditionalFormatting>
  <conditionalFormatting sqref="H62">
    <cfRule type="cellIs" dxfId="900" priority="73" stopIfTrue="1" operator="lessThanOrEqual">
      <formula>0</formula>
    </cfRule>
    <cfRule type="cellIs" dxfId="899" priority="72" stopIfTrue="1" operator="greaterThan">
      <formula>$F$78</formula>
    </cfRule>
    <cfRule type="cellIs" dxfId="898" priority="63" stopIfTrue="1" operator="lessThanOrEqual">
      <formula>0</formula>
    </cfRule>
    <cfRule type="cellIs" dxfId="897" priority="74" stopIfTrue="1" operator="greaterThan">
      <formula>$F$76</formula>
    </cfRule>
    <cfRule type="cellIs" dxfId="896" priority="64" stopIfTrue="1" operator="greaterThan">
      <formula>$F$75</formula>
    </cfRule>
  </conditionalFormatting>
  <conditionalFormatting sqref="H62:H63">
    <cfRule type="cellIs" dxfId="895" priority="75" stopIfTrue="1" operator="lessThanOrEqual">
      <formula>0</formula>
    </cfRule>
  </conditionalFormatting>
  <conditionalFormatting sqref="H63 H65:H66">
    <cfRule type="cellIs" dxfId="894" priority="101" stopIfTrue="1" operator="lessThanOrEqual">
      <formula>0</formula>
    </cfRule>
  </conditionalFormatting>
  <conditionalFormatting sqref="H63">
    <cfRule type="cellIs" dxfId="893" priority="90" stopIfTrue="1" operator="greaterThan">
      <formula>$F$75</formula>
    </cfRule>
    <cfRule type="cellIs" dxfId="892" priority="99" stopIfTrue="1" operator="lessThanOrEqual">
      <formula>0</formula>
    </cfRule>
    <cfRule type="cellIs" dxfId="891" priority="98" stopIfTrue="1" operator="greaterThan">
      <formula>$F$78</formula>
    </cfRule>
    <cfRule type="cellIs" dxfId="890" priority="100" stopIfTrue="1" operator="greaterThan">
      <formula>$F$76</formula>
    </cfRule>
  </conditionalFormatting>
  <conditionalFormatting sqref="H64">
    <cfRule type="cellIs" dxfId="889" priority="42" stopIfTrue="1" operator="lessThanOrEqual">
      <formula>0</formula>
    </cfRule>
    <cfRule type="cellIs" dxfId="888" priority="30" stopIfTrue="1" operator="lessThanOrEqual">
      <formula>0</formula>
    </cfRule>
    <cfRule type="cellIs" dxfId="887" priority="31" stopIfTrue="1" operator="greaterThan">
      <formula>$F$77</formula>
    </cfRule>
    <cfRule type="cellIs" dxfId="886" priority="39" stopIfTrue="1" operator="greaterThan">
      <formula>$F$80</formula>
    </cfRule>
    <cfRule type="cellIs" dxfId="885" priority="40" stopIfTrue="1" operator="lessThanOrEqual">
      <formula>0</formula>
    </cfRule>
    <cfRule type="cellIs" dxfId="884" priority="41" stopIfTrue="1" operator="greaterThan">
      <formula>$F$78</formula>
    </cfRule>
  </conditionalFormatting>
  <conditionalFormatting sqref="H65:H66">
    <cfRule type="cellIs" dxfId="883" priority="103" stopIfTrue="1" operator="greaterThan">
      <formula>$F$75</formula>
    </cfRule>
    <cfRule type="cellIs" dxfId="882" priority="114" stopIfTrue="1" operator="lessThanOrEqual">
      <formula>0</formula>
    </cfRule>
    <cfRule type="cellIs" dxfId="881" priority="113" stopIfTrue="1" operator="greaterThan">
      <formula>$F$76</formula>
    </cfRule>
    <cfRule type="cellIs" dxfId="880" priority="112" stopIfTrue="1" operator="lessThanOrEqual">
      <formula>0</formula>
    </cfRule>
    <cfRule type="cellIs" dxfId="879" priority="111" stopIfTrue="1" operator="greaterThan">
      <formula>$F$78</formula>
    </cfRule>
  </conditionalFormatting>
  <conditionalFormatting sqref="H67:H68">
    <cfRule type="cellIs" dxfId="878" priority="139" stopIfTrue="1" operator="greaterThan">
      <formula>#REF!</formula>
    </cfRule>
    <cfRule type="cellIs" dxfId="877" priority="138" stopIfTrue="1" operator="lessThanOrEqual">
      <formula>0</formula>
    </cfRule>
    <cfRule type="cellIs" dxfId="876" priority="148" stopIfTrue="1" operator="lessThanOrEqual">
      <formula>0</formula>
    </cfRule>
    <cfRule type="cellIs" dxfId="875" priority="147" stopIfTrue="1" operator="greaterThan">
      <formula>#REF!</formula>
    </cfRule>
  </conditionalFormatting>
  <conditionalFormatting sqref="H69">
    <cfRule type="cellIs" dxfId="874" priority="161" stopIfTrue="1" operator="greaterThan">
      <formula>$F$44</formula>
    </cfRule>
    <cfRule type="cellIs" dxfId="873" priority="160" stopIfTrue="1" operator="lessThanOrEqual">
      <formula>0</formula>
    </cfRule>
    <cfRule type="cellIs" dxfId="872" priority="162" stopIfTrue="1" operator="lessThanOrEqual">
      <formula>0</formula>
    </cfRule>
    <cfRule type="cellIs" dxfId="871" priority="151" stopIfTrue="1" operator="greaterThan">
      <formula>$F$43</formula>
    </cfRule>
    <cfRule type="cellIs" dxfId="870" priority="150" stopIfTrue="1" operator="lessThanOrEqual">
      <formula>0</formula>
    </cfRule>
    <cfRule type="cellIs" dxfId="869" priority="159" stopIfTrue="1" operator="greaterThan">
      <formula>$F$46</formula>
    </cfRule>
  </conditionalFormatting>
  <conditionalFormatting sqref="H70:H71">
    <cfRule type="cellIs" dxfId="868" priority="135" stopIfTrue="1" operator="greaterThan">
      <formula>#REF!</formula>
    </cfRule>
    <cfRule type="cellIs" dxfId="867" priority="127" stopIfTrue="1" operator="greaterThan">
      <formula>#REF!</formula>
    </cfRule>
    <cfRule type="cellIs" dxfId="866" priority="136" stopIfTrue="1" operator="lessThanOrEqual">
      <formula>0</formula>
    </cfRule>
    <cfRule type="cellIs" dxfId="865" priority="126" stopIfTrue="1" operator="lessThanOrEqual">
      <formula>0</formula>
    </cfRule>
  </conditionalFormatting>
  <conditionalFormatting sqref="H86 H88:H94">
    <cfRule type="cellIs" dxfId="864" priority="185" stopIfTrue="1" operator="greaterThan">
      <formula>4.5</formula>
    </cfRule>
    <cfRule type="cellIs" dxfId="863" priority="186" stopIfTrue="1" operator="lessThanOrEqual">
      <formula>0</formula>
    </cfRule>
  </conditionalFormatting>
  <conditionalFormatting sqref="H62:I62">
    <cfRule type="cellIs" dxfId="862" priority="65" stopIfTrue="1" operator="lessThanOrEqual">
      <formula>0</formula>
    </cfRule>
  </conditionalFormatting>
  <conditionalFormatting sqref="H62:I63 H65:I66">
    <cfRule type="cellIs" dxfId="861" priority="62" stopIfTrue="1" operator="greaterThan">
      <formula>$F$77</formula>
    </cfRule>
  </conditionalFormatting>
  <conditionalFormatting sqref="H63:I63">
    <cfRule type="cellIs" dxfId="860" priority="91" stopIfTrue="1" operator="lessThanOrEqual">
      <formula>0</formula>
    </cfRule>
  </conditionalFormatting>
  <conditionalFormatting sqref="H64:I64">
    <cfRule type="cellIs" dxfId="859" priority="32" stopIfTrue="1" operator="lessThanOrEqual">
      <formula>0</formula>
    </cfRule>
    <cfRule type="cellIs" dxfId="858" priority="29" stopIfTrue="1" operator="greaterThan">
      <formula>$F$79</formula>
    </cfRule>
  </conditionalFormatting>
  <conditionalFormatting sqref="H65:I66">
    <cfRule type="cellIs" dxfId="857" priority="104" stopIfTrue="1" operator="lessThanOrEqual">
      <formula>0</formula>
    </cfRule>
  </conditionalFormatting>
  <conditionalFormatting sqref="H67:I68">
    <cfRule type="cellIs" dxfId="856" priority="140" stopIfTrue="1" operator="lessThanOrEqual">
      <formula>0</formula>
    </cfRule>
    <cfRule type="cellIs" dxfId="855" priority="137" stopIfTrue="1" operator="greaterThan">
      <formula>#REF!</formula>
    </cfRule>
    <cfRule type="cellIs" dxfId="854" priority="145" stopIfTrue="1" operator="greaterThan">
      <formula>#REF!</formula>
    </cfRule>
    <cfRule type="cellIs" dxfId="853" priority="146" stopIfTrue="1" operator="lessThanOrEqual">
      <formula>0</formula>
    </cfRule>
  </conditionalFormatting>
  <conditionalFormatting sqref="H69:I69">
    <cfRule type="cellIs" dxfId="852" priority="152" stopIfTrue="1" operator="lessThanOrEqual">
      <formula>0</formula>
    </cfRule>
    <cfRule type="cellIs" dxfId="851" priority="149" stopIfTrue="1" operator="greaterThan">
      <formula>$F$45</formula>
    </cfRule>
  </conditionalFormatting>
  <conditionalFormatting sqref="H70:I71">
    <cfRule type="cellIs" dxfId="850" priority="128" stopIfTrue="1" operator="lessThanOrEqual">
      <formula>0</formula>
    </cfRule>
    <cfRule type="cellIs" dxfId="849" priority="134" stopIfTrue="1" operator="lessThanOrEqual">
      <formula>0</formula>
    </cfRule>
    <cfRule type="cellIs" dxfId="848" priority="133" stopIfTrue="1" operator="greaterThan">
      <formula>#REF!</formula>
    </cfRule>
    <cfRule type="cellIs" dxfId="847" priority="125" stopIfTrue="1" operator="greaterThan">
      <formula>#REF!</formula>
    </cfRule>
  </conditionalFormatting>
  <conditionalFormatting sqref="H75:I82">
    <cfRule type="cellIs" dxfId="846" priority="47" stopIfTrue="1" operator="greaterThan">
      <formula>$J75</formula>
    </cfRule>
    <cfRule type="cellIs" dxfId="845" priority="48" stopIfTrue="1" operator="lessThanOrEqual">
      <formula>0</formula>
    </cfRule>
  </conditionalFormatting>
  <conditionalFormatting sqref="H83:I83">
    <cfRule type="cellIs" dxfId="844" priority="55" operator="greaterThan">
      <formula>5.3</formula>
    </cfRule>
  </conditionalFormatting>
  <conditionalFormatting sqref="H84:I84">
    <cfRule type="cellIs" dxfId="843" priority="53" stopIfTrue="1" operator="greaterThan">
      <formula>$J84</formula>
    </cfRule>
    <cfRule type="cellIs" dxfId="842" priority="54" stopIfTrue="1" operator="lessThanOrEqual">
      <formula>0</formula>
    </cfRule>
  </conditionalFormatting>
  <conditionalFormatting sqref="I62">
    <cfRule type="cellIs" dxfId="841" priority="68" stopIfTrue="1" operator="greaterThan">
      <formula>$F$77</formula>
    </cfRule>
    <cfRule type="cellIs" dxfId="840" priority="67" stopIfTrue="1" operator="lessThanOrEqual">
      <formula>0</formula>
    </cfRule>
    <cfRule type="cellIs" dxfId="839" priority="66" stopIfTrue="1" operator="greaterThan">
      <formula>$F$75</formula>
    </cfRule>
    <cfRule type="cellIs" dxfId="838" priority="71" stopIfTrue="1" operator="lessThanOrEqual">
      <formula>0</formula>
    </cfRule>
    <cfRule type="cellIs" dxfId="837" priority="70" stopIfTrue="1" operator="greaterThan">
      <formula>$F$75</formula>
    </cfRule>
    <cfRule type="cellIs" dxfId="836" priority="69" stopIfTrue="1" operator="lessThanOrEqual">
      <formula>0</formula>
    </cfRule>
  </conditionalFormatting>
  <conditionalFormatting sqref="I63">
    <cfRule type="cellIs" dxfId="835" priority="93" stopIfTrue="1" operator="lessThanOrEqual">
      <formula>0</formula>
    </cfRule>
    <cfRule type="cellIs" dxfId="834" priority="92" stopIfTrue="1" operator="greaterThan">
      <formula>$F$75</formula>
    </cfRule>
    <cfRule type="cellIs" dxfId="833" priority="94" stopIfTrue="1" operator="greaterThan">
      <formula>$F$77</formula>
    </cfRule>
    <cfRule type="cellIs" dxfId="832" priority="95" stopIfTrue="1" operator="lessThanOrEqual">
      <formula>0</formula>
    </cfRule>
    <cfRule type="cellIs" dxfId="831" priority="97" stopIfTrue="1" operator="lessThanOrEqual">
      <formula>0</formula>
    </cfRule>
    <cfRule type="cellIs" dxfId="830" priority="96" stopIfTrue="1" operator="greaterThan">
      <formula>$F$75</formula>
    </cfRule>
  </conditionalFormatting>
  <conditionalFormatting sqref="I64">
    <cfRule type="cellIs" dxfId="829" priority="37" stopIfTrue="1" operator="greaterThan">
      <formula>$F$77</formula>
    </cfRule>
    <cfRule type="cellIs" dxfId="828" priority="33" stopIfTrue="1" operator="greaterThan">
      <formula>$F$77</formula>
    </cfRule>
    <cfRule type="cellIs" dxfId="827" priority="35" stopIfTrue="1" operator="greaterThan">
      <formula>$F$79</formula>
    </cfRule>
    <cfRule type="cellIs" dxfId="826" priority="36" stopIfTrue="1" operator="lessThanOrEqual">
      <formula>0</formula>
    </cfRule>
    <cfRule type="cellIs" dxfId="825" priority="38" stopIfTrue="1" operator="lessThanOrEqual">
      <formula>0</formula>
    </cfRule>
    <cfRule type="cellIs" dxfId="824" priority="34" stopIfTrue="1" operator="lessThanOrEqual">
      <formula>0</formula>
    </cfRule>
  </conditionalFormatting>
  <conditionalFormatting sqref="I65:I66">
    <cfRule type="cellIs" dxfId="823" priority="108" stopIfTrue="1" operator="lessThanOrEqual">
      <formula>0</formula>
    </cfRule>
    <cfRule type="cellIs" dxfId="822" priority="109" stopIfTrue="1" operator="greaterThan">
      <formula>$F$75</formula>
    </cfRule>
    <cfRule type="cellIs" dxfId="821" priority="107" stopIfTrue="1" operator="greaterThan">
      <formula>$F$77</formula>
    </cfRule>
    <cfRule type="cellIs" dxfId="820" priority="106" stopIfTrue="1" operator="lessThanOrEqual">
      <formula>0</formula>
    </cfRule>
    <cfRule type="cellIs" dxfId="819" priority="105" stopIfTrue="1" operator="greaterThan">
      <formula>$F$75</formula>
    </cfRule>
    <cfRule type="cellIs" dxfId="818" priority="110" stopIfTrue="1" operator="lessThanOrEqual">
      <formula>0</formula>
    </cfRule>
  </conditionalFormatting>
  <conditionalFormatting sqref="I67:I68">
    <cfRule type="cellIs" dxfId="817" priority="144" stopIfTrue="1" operator="lessThanOrEqual">
      <formula>0</formula>
    </cfRule>
    <cfRule type="cellIs" dxfId="816" priority="143" stopIfTrue="1" operator="greaterThan">
      <formula>#REF!</formula>
    </cfRule>
    <cfRule type="cellIs" dxfId="815" priority="142" stopIfTrue="1" operator="lessThanOrEqual">
      <formula>0</formula>
    </cfRule>
    <cfRule type="cellIs" dxfId="814" priority="141" stopIfTrue="1" operator="greaterThan">
      <formula>#REF!</formula>
    </cfRule>
  </conditionalFormatting>
  <conditionalFormatting sqref="I69">
    <cfRule type="cellIs" dxfId="813" priority="157" stopIfTrue="1" operator="greaterThan">
      <formula>$F$43</formula>
    </cfRule>
    <cfRule type="cellIs" dxfId="812" priority="158" stopIfTrue="1" operator="lessThanOrEqual">
      <formula>0</formula>
    </cfRule>
    <cfRule type="cellIs" dxfId="811" priority="153" stopIfTrue="1" operator="greaterThan">
      <formula>$F$43</formula>
    </cfRule>
    <cfRule type="cellIs" dxfId="810" priority="154" stopIfTrue="1" operator="lessThanOrEqual">
      <formula>0</formula>
    </cfRule>
    <cfRule type="cellIs" dxfId="809" priority="155" stopIfTrue="1" operator="greaterThan">
      <formula>$F$45</formula>
    </cfRule>
    <cfRule type="cellIs" dxfId="808" priority="156" stopIfTrue="1" operator="lessThanOrEqual">
      <formula>0</formula>
    </cfRule>
  </conditionalFormatting>
  <conditionalFormatting sqref="I70:I71">
    <cfRule type="cellIs" dxfId="807" priority="129" stopIfTrue="1" operator="greaterThan">
      <formula>#REF!</formula>
    </cfRule>
    <cfRule type="cellIs" dxfId="806" priority="130" stopIfTrue="1" operator="lessThanOrEqual">
      <formula>0</formula>
    </cfRule>
    <cfRule type="cellIs" dxfId="805" priority="131" stopIfTrue="1" operator="greaterThan">
      <formula>#REF!</formula>
    </cfRule>
    <cfRule type="cellIs" dxfId="804" priority="132" stopIfTrue="1" operator="lessThanOrEqual">
      <formula>0</formula>
    </cfRule>
  </conditionalFormatting>
  <conditionalFormatting sqref="I86:I94">
    <cfRule type="cellIs" dxfId="803" priority="181" stopIfTrue="1" operator="greaterThan">
      <formula>4.5</formula>
    </cfRule>
    <cfRule type="cellIs" dxfId="802" priority="182" stopIfTrue="1" operator="lessThanOrEqual">
      <formula>0</formula>
    </cfRule>
  </conditionalFormatting>
  <conditionalFormatting sqref="I10:J30">
    <cfRule type="cellIs" dxfId="801" priority="1" operator="lessThan">
      <formula>97.9</formula>
    </cfRule>
  </conditionalFormatting>
  <conditionalFormatting sqref="J33:J35">
    <cfRule type="cellIs" dxfId="800" priority="28" operator="lessThan">
      <formula>97.95</formula>
    </cfRule>
  </conditionalFormatting>
  <conditionalFormatting sqref="J34:J37">
    <cfRule type="cellIs" dxfId="799" priority="163" operator="lessThan">
      <formula>97.4</formula>
    </cfRule>
  </conditionalFormatting>
  <conditionalFormatting sqref="J38:J39">
    <cfRule type="cellIs" dxfId="798" priority="164" operator="lessThan">
      <formula>98</formula>
    </cfRule>
  </conditionalFormatting>
  <conditionalFormatting sqref="J40:J41">
    <cfRule type="cellIs" dxfId="797" priority="166" stopIfTrue="1" operator="greaterThan">
      <formula>100</formula>
    </cfRule>
    <cfRule type="cellIs" dxfId="796" priority="165" stopIfTrue="1" operator="lessThan">
      <formula>96.8</formula>
    </cfRule>
  </conditionalFormatting>
  <conditionalFormatting sqref="J40:J42">
    <cfRule type="cellIs" dxfId="795" priority="167" operator="lessThan">
      <formula>98</formula>
    </cfRule>
  </conditionalFormatting>
  <conditionalFormatting sqref="J71">
    <cfRule type="cellIs" dxfId="794" priority="117" stopIfTrue="1" operator="greaterThan">
      <formula>#REF!</formula>
    </cfRule>
    <cfRule type="cellIs" dxfId="793" priority="118" stopIfTrue="1" operator="lessThanOrEqual">
      <formula>0</formula>
    </cfRule>
    <cfRule type="cellIs" dxfId="792" priority="119" stopIfTrue="1" operator="greaterThan">
      <formula>#REF!</formula>
    </cfRule>
    <cfRule type="cellIs" dxfId="791" priority="120" stopIfTrue="1" operator="lessThanOrEqual">
      <formula>0</formula>
    </cfRule>
    <cfRule type="cellIs" dxfId="790" priority="121" stopIfTrue="1" operator="greaterThan">
      <formula>#REF!</formula>
    </cfRule>
    <cfRule type="cellIs" dxfId="789" priority="122" stopIfTrue="1" operator="lessThanOrEqual">
      <formula>0</formula>
    </cfRule>
    <cfRule type="cellIs" dxfId="788" priority="123" stopIfTrue="1" operator="greaterThan">
      <formula>#REF!</formula>
    </cfRule>
    <cfRule type="cellIs" dxfId="787" priority="124" stopIfTrue="1" operator="lessThanOrEqual">
      <formula>0</formula>
    </cfRule>
  </conditionalFormatting>
  <conditionalFormatting sqref="J84">
    <cfRule type="cellIs" dxfId="786" priority="56" stopIfTrue="1" operator="greaterThan">
      <formula>$F84</formula>
    </cfRule>
    <cfRule type="cellIs" dxfId="785" priority="57" stopIfTrue="1" operator="lessThanOrEqual">
      <formula>0</formula>
    </cfRule>
  </conditionalFormatting>
  <conditionalFormatting sqref="K10:K30">
    <cfRule type="cellIs" dxfId="784" priority="4" operator="greaterThan">
      <formula>6.4</formula>
    </cfRule>
    <cfRule type="cellIs" dxfId="783" priority="2" operator="greaterThan">
      <formula>6</formula>
    </cfRule>
    <cfRule type="cellIs" dxfId="782" priority="3" operator="lessThan">
      <formula>4</formula>
    </cfRule>
  </conditionalFormatting>
  <conditionalFormatting sqref="K62:K71">
    <cfRule type="cellIs" dxfId="781" priority="102" stopIfTrue="1" operator="lessThan">
      <formula>100%</formula>
    </cfRule>
  </conditionalFormatting>
  <conditionalFormatting sqref="K75:K83">
    <cfRule type="cellIs" dxfId="780" priority="46" stopIfTrue="1" operator="lessThan">
      <formula>100%</formula>
    </cfRule>
  </conditionalFormatting>
  <conditionalFormatting sqref="K86:K91">
    <cfRule type="cellIs" dxfId="779" priority="187" stopIfTrue="1" operator="lessThan">
      <formula>100%</formula>
    </cfRule>
  </conditionalFormatting>
  <conditionalFormatting sqref="K93:K94">
    <cfRule type="cellIs" dxfId="778" priority="194" stopIfTrue="1" operator="lessThan">
      <formula>100%</formula>
    </cfRule>
  </conditionalFormatting>
  <conditionalFormatting sqref="L10:L30">
    <cfRule type="cellIs" dxfId="777" priority="6" operator="greaterThan">
      <formula>65</formula>
    </cfRule>
    <cfRule type="cellIs" dxfId="776" priority="5" operator="between">
      <formula>61</formula>
      <formula>65</formula>
    </cfRule>
  </conditionalFormatting>
  <conditionalFormatting sqref="L33:M44">
    <cfRule type="cellIs" dxfId="775" priority="27" operator="lessThan">
      <formula>97.95</formula>
    </cfRule>
  </conditionalFormatting>
  <conditionalFormatting sqref="L48:N48">
    <cfRule type="cellIs" dxfId="774" priority="26" operator="notEqual">
      <formula>#REF!</formula>
    </cfRule>
  </conditionalFormatting>
  <conditionalFormatting sqref="L75:N84">
    <cfRule type="cellIs" dxfId="773" priority="43" stopIfTrue="1" operator="lessThan">
      <formula>100%</formula>
    </cfRule>
  </conditionalFormatting>
  <conditionalFormatting sqref="L86:N94">
    <cfRule type="cellIs" dxfId="772" priority="172" stopIfTrue="1" operator="lessThan">
      <formula>100%</formula>
    </cfRule>
  </conditionalFormatting>
  <conditionalFormatting sqref="M20:M30">
    <cfRule type="expression" dxfId="771" priority="9">
      <formula>IF(+(IF(M20&lt;U20,0,IF(M20&gt;V20,0,1)))=0,1)</formula>
    </cfRule>
  </conditionalFormatting>
  <conditionalFormatting sqref="N10:N30">
    <cfRule type="expression" dxfId="770" priority="12">
      <formula>IF(+(IF(N10&lt;W10,0,IF(N10&gt;X10,0,1)))=0,1)</formula>
    </cfRule>
  </conditionalFormatting>
  <conditionalFormatting sqref="P6">
    <cfRule type="cellIs" dxfId="769" priority="168" operator="greaterThanOrEqual">
      <formula>19</formula>
    </cfRule>
  </conditionalFormatting>
  <dataValidations count="1">
    <dataValidation type="list" allowBlank="1" showInputMessage="1" showErrorMessage="1" sqref="R8" xr:uid="{33071A7C-A5F9-4311-A789-B78E15861394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8" max="16383" man="1"/>
  </rowBreaks>
  <colBreaks count="1" manualBreakCount="1">
    <brk id="15" max="89" man="1"/>
  </col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42663-6423-45B0-B3C7-1E6918378728}">
  <sheetPr>
    <pageSetUpPr fitToPage="1"/>
  </sheetPr>
  <dimension ref="A1:BE77"/>
  <sheetViews>
    <sheetView topLeftCell="B23" zoomScale="85" zoomScaleNormal="85" workbookViewId="0">
      <selection activeCell="C22" sqref="C22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54" t="s">
        <v>0</v>
      </c>
      <c r="T1" s="554"/>
      <c r="U1" s="554" t="s">
        <v>1</v>
      </c>
      <c r="V1" s="554"/>
      <c r="W1" s="554" t="s">
        <v>2</v>
      </c>
      <c r="X1" s="554"/>
      <c r="Y1" s="554" t="s">
        <v>124</v>
      </c>
      <c r="Z1" s="554"/>
    </row>
    <row r="2" spans="2:29" ht="15">
      <c r="B2" s="555" t="s">
        <v>3</v>
      </c>
      <c r="C2" s="555"/>
      <c r="D2" s="555"/>
      <c r="E2" s="555"/>
      <c r="F2" s="555"/>
      <c r="G2" s="555"/>
      <c r="H2" s="555"/>
      <c r="I2" s="555"/>
      <c r="J2" s="555"/>
      <c r="K2" s="555"/>
      <c r="L2" s="555"/>
      <c r="M2" s="555"/>
      <c r="N2" s="555"/>
      <c r="O2" s="555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46307</v>
      </c>
      <c r="J4" s="397" t="s">
        <v>153</v>
      </c>
      <c r="K4" s="397"/>
      <c r="L4" s="11"/>
      <c r="M4" s="552" t="s">
        <v>8</v>
      </c>
      <c r="N4" s="553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42"/>
      <c r="D5" s="542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6" t="s">
        <v>17</v>
      </c>
      <c r="C8" s="517" t="s">
        <v>18</v>
      </c>
      <c r="D8" s="517" t="s">
        <v>19</v>
      </c>
      <c r="E8" s="356" t="s">
        <v>20</v>
      </c>
      <c r="F8" s="356" t="s">
        <v>21</v>
      </c>
      <c r="G8" s="517" t="s">
        <v>22</v>
      </c>
      <c r="H8" s="544" t="s">
        <v>144</v>
      </c>
      <c r="I8" s="517" t="s">
        <v>167</v>
      </c>
      <c r="J8" s="546" t="s">
        <v>23</v>
      </c>
      <c r="K8" s="548" t="s">
        <v>142</v>
      </c>
      <c r="L8" s="550" t="s">
        <v>24</v>
      </c>
      <c r="M8" s="359" t="s">
        <v>25</v>
      </c>
      <c r="N8" s="17" t="s">
        <v>166</v>
      </c>
      <c r="O8" s="517" t="s">
        <v>155</v>
      </c>
      <c r="P8" s="540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3"/>
      <c r="C9" s="541"/>
      <c r="D9" s="541"/>
      <c r="E9" s="357" t="s">
        <v>30</v>
      </c>
      <c r="F9" s="357" t="s">
        <v>31</v>
      </c>
      <c r="G9" s="541"/>
      <c r="H9" s="545"/>
      <c r="I9" s="541"/>
      <c r="J9" s="547"/>
      <c r="K9" s="549"/>
      <c r="L9" s="551"/>
      <c r="M9" s="20" t="s">
        <v>32</v>
      </c>
      <c r="N9" s="21" t="s">
        <v>41</v>
      </c>
      <c r="O9" s="541"/>
      <c r="P9" s="541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33" t="s">
        <v>9</v>
      </c>
      <c r="C10" s="366" t="str">
        <f>[3]Brewhouse!$A406</f>
        <v>ST347</v>
      </c>
      <c r="D10" s="279">
        <f>[3]Brewhouse!$AB406</f>
        <v>49</v>
      </c>
      <c r="E10" s="279">
        <f>[3]Brewhouse!$AG406</f>
        <v>45.8</v>
      </c>
      <c r="F10" s="278">
        <f>[3]Brewhouse!$V406</f>
        <v>53</v>
      </c>
      <c r="G10" s="279">
        <f>[3]Brewhouse!$AE406</f>
        <v>11.6</v>
      </c>
      <c r="H10" s="396">
        <v>11.8</v>
      </c>
      <c r="I10" s="368">
        <f>[3]Brewhouse!$AS406</f>
        <v>95.297515941358313</v>
      </c>
      <c r="J10" s="368">
        <f>[3]Brewhouse!$AT406</f>
        <v>95.745997612525031</v>
      </c>
      <c r="K10" s="281">
        <f>[3]Brewhouse!$Q406</f>
        <v>10.357142857142849</v>
      </c>
      <c r="L10" s="276">
        <f>[3]Brewhouse!$P406</f>
        <v>59</v>
      </c>
      <c r="M10" s="374">
        <f>[3]Brewhouse!$U406-[3]Brewhouse!$T406</f>
        <v>0.13680555555555557</v>
      </c>
      <c r="N10" s="370">
        <f>[3]Brewhouse!$AW406</f>
        <v>0.28611111111111109</v>
      </c>
      <c r="O10" s="419" t="str">
        <f>[3]Brewhouse!$AV406</f>
        <v>R.Sookram</v>
      </c>
      <c r="P10" s="417"/>
      <c r="R10" s="277" t="str">
        <f t="shared" ref="R10:R37" si="0">B10</f>
        <v>STAG</v>
      </c>
      <c r="S10" s="471">
        <f t="shared" ref="S10:S37" si="1">VLOOKUP($B10,$R$3:$X$9,2,FALSE)</f>
        <v>11.6</v>
      </c>
      <c r="T10" s="471">
        <f t="shared" ref="T10:T37" si="2">VLOOKUP($B10,$R$3:$X$9,3,FALSE)</f>
        <v>12</v>
      </c>
      <c r="U10" s="297">
        <f t="shared" ref="U10:U37" si="3">VLOOKUP($B10,$R$3:$X$9,4,FALSE)</f>
        <v>0</v>
      </c>
      <c r="V10" s="297">
        <f t="shared" ref="V10:V37" si="4">VLOOKUP($B10,$R$3:$X$9,5,FALSE)</f>
        <v>0.118055555555556</v>
      </c>
      <c r="W10" s="297">
        <f t="shared" ref="W10:W37" si="5">VLOOKUP($B10,$R$3:$X$9,6,FALSE)</f>
        <v>0.22569444444444445</v>
      </c>
      <c r="X10" s="297">
        <f t="shared" ref="X10:X37" si="6">VLOOKUP($B10,$R$3:$X$9,7,FALSE)</f>
        <v>0.2638888888888889</v>
      </c>
      <c r="Y10" s="297">
        <f t="shared" ref="Y10:Y37" si="7">VLOOKUP($B10,$R$3:$Z$9,8,FALSE)</f>
        <v>0</v>
      </c>
      <c r="Z10" s="471">
        <f t="shared" ref="Z10:Z37" si="8">VLOOKUP($B10,$R$3:$Z$9,9,FALSE)</f>
        <v>60</v>
      </c>
    </row>
    <row r="11" spans="2:29" ht="15" customHeight="1">
      <c r="B11" s="29"/>
      <c r="C11" s="366"/>
      <c r="D11" s="279"/>
      <c r="E11" s="279"/>
      <c r="F11" s="278"/>
      <c r="G11" s="279"/>
      <c r="H11" s="396"/>
      <c r="I11" s="368"/>
      <c r="J11" s="368"/>
      <c r="K11" s="281"/>
      <c r="L11" s="276"/>
      <c r="M11" s="374"/>
      <c r="N11" s="370"/>
      <c r="O11" s="419"/>
      <c r="P11" s="417"/>
      <c r="R11" s="277">
        <f t="shared" si="0"/>
        <v>0</v>
      </c>
      <c r="S11" s="471" t="e">
        <f t="shared" si="1"/>
        <v>#N/A</v>
      </c>
      <c r="T11" s="471" t="e">
        <f t="shared" si="2"/>
        <v>#N/A</v>
      </c>
      <c r="U11" s="297" t="e">
        <f t="shared" si="3"/>
        <v>#N/A</v>
      </c>
      <c r="V11" s="297" t="e">
        <f t="shared" si="4"/>
        <v>#N/A</v>
      </c>
      <c r="W11" s="297" t="e">
        <f t="shared" si="5"/>
        <v>#N/A</v>
      </c>
      <c r="X11" s="297" t="e">
        <f t="shared" si="6"/>
        <v>#N/A</v>
      </c>
      <c r="Y11" s="297" t="e">
        <f t="shared" si="7"/>
        <v>#N/A</v>
      </c>
      <c r="Z11" s="471" t="e">
        <f t="shared" si="8"/>
        <v>#N/A</v>
      </c>
    </row>
    <row r="12" spans="2:29" ht="15" hidden="1" customHeight="1">
      <c r="B12" s="37" t="s">
        <v>16</v>
      </c>
      <c r="C12" s="366" t="str">
        <f>[8]Brewhouse!$A112</f>
        <v>SM099</v>
      </c>
      <c r="D12" s="279">
        <f>[8]Brewhouse!$AH112</f>
        <v>53</v>
      </c>
      <c r="E12" s="279">
        <f>[8]Brewhouse!$AM112</f>
        <v>51.1</v>
      </c>
      <c r="F12" s="278">
        <f>[8]Brewhouse!$Z112</f>
        <v>90</v>
      </c>
      <c r="G12" s="279">
        <f>[8]Brewhouse!$AK112</f>
        <v>17</v>
      </c>
      <c r="H12" s="396"/>
      <c r="I12" s="368">
        <f>[8]Brewhouse!$AY112</f>
        <v>97.214271955083348</v>
      </c>
      <c r="J12" s="368">
        <f>[8]Brewhouse!$AZ112</f>
        <v>97.481077972249778</v>
      </c>
      <c r="K12" s="281">
        <f>[8]Brewhouse!$U112</f>
        <v>6.754716981132086</v>
      </c>
      <c r="L12" s="276">
        <f>[8]Brewhouse!$T112</f>
        <v>60</v>
      </c>
      <c r="M12" s="374">
        <f>[8]Brewhouse!$Y112-[8]Brewhouse!$X112</f>
        <v>0.17291666666666661</v>
      </c>
      <c r="N12" s="370">
        <f>[8]Brewhouse!$AD112</f>
        <v>0.33958333333333335</v>
      </c>
      <c r="O12" s="371" t="str">
        <f>[8]Brewhouse!$BC112</f>
        <v>D. Gomaz</v>
      </c>
      <c r="P12" s="417"/>
      <c r="R12" s="277" t="str">
        <f t="shared" si="0"/>
        <v>STARMALT</v>
      </c>
      <c r="S12" s="471">
        <f t="shared" si="1"/>
        <v>17</v>
      </c>
      <c r="T12" s="471">
        <f t="shared" si="2"/>
        <v>17.399999999999999</v>
      </c>
      <c r="U12" s="297">
        <f t="shared" si="3"/>
        <v>0</v>
      </c>
      <c r="V12" s="297">
        <f t="shared" si="4"/>
        <v>0.13605324074074074</v>
      </c>
      <c r="W12" s="297">
        <f t="shared" si="5"/>
        <v>0.27430555555555552</v>
      </c>
      <c r="X12" s="297">
        <f t="shared" si="6"/>
        <v>0.30902777777777779</v>
      </c>
      <c r="Y12" s="297">
        <f t="shared" si="7"/>
        <v>0</v>
      </c>
      <c r="Z12" s="471">
        <f t="shared" si="8"/>
        <v>85</v>
      </c>
    </row>
    <row r="13" spans="2:29" ht="15" hidden="1" customHeight="1">
      <c r="B13" s="37" t="s">
        <v>16</v>
      </c>
      <c r="C13" s="366" t="str">
        <f>[8]Brewhouse!$A113</f>
        <v>SM100</v>
      </c>
      <c r="D13" s="279">
        <f>[8]Brewhouse!$AH113</f>
        <v>53</v>
      </c>
      <c r="E13" s="279">
        <f>[8]Brewhouse!$AM113</f>
        <v>51.4</v>
      </c>
      <c r="F13" s="278">
        <f>[8]Brewhouse!$Z113</f>
        <v>69</v>
      </c>
      <c r="G13" s="279">
        <f>[8]Brewhouse!$AK113</f>
        <v>17.3</v>
      </c>
      <c r="H13" s="396"/>
      <c r="I13" s="368">
        <f>[8]Brewhouse!$AY113</f>
        <v>98.862710164301788</v>
      </c>
      <c r="J13" s="368">
        <f>[8]Brewhouse!$AZ113</f>
        <v>99.136679966905078</v>
      </c>
      <c r="K13" s="281">
        <f>[8]Brewhouse!$U113</f>
        <v>7.8867924528301883</v>
      </c>
      <c r="L13" s="276">
        <f>[8]Brewhouse!$T113</f>
        <v>61</v>
      </c>
      <c r="M13" s="374">
        <f>[8]Brewhouse!$Y113-[8]Brewhouse!$X113</f>
        <v>0.13819444444444451</v>
      </c>
      <c r="N13" s="370">
        <f>[8]Brewhouse!$AD113</f>
        <v>0.32152777777777786</v>
      </c>
      <c r="O13" s="371" t="str">
        <f>[8]Brewhouse!$BC113</f>
        <v>D. Gomaz</v>
      </c>
      <c r="P13" s="417"/>
      <c r="R13" s="277" t="str">
        <f t="shared" si="0"/>
        <v>STARMALT</v>
      </c>
      <c r="S13" s="471">
        <f t="shared" si="1"/>
        <v>17</v>
      </c>
      <c r="T13" s="471">
        <f t="shared" si="2"/>
        <v>17.399999999999999</v>
      </c>
      <c r="U13" s="297">
        <f t="shared" si="3"/>
        <v>0</v>
      </c>
      <c r="V13" s="297">
        <f t="shared" si="4"/>
        <v>0.13605324074074074</v>
      </c>
      <c r="W13" s="297">
        <f t="shared" si="5"/>
        <v>0.27430555555555552</v>
      </c>
      <c r="X13" s="297">
        <f t="shared" si="6"/>
        <v>0.30902777777777779</v>
      </c>
      <c r="Y13" s="297">
        <f t="shared" si="7"/>
        <v>0</v>
      </c>
      <c r="Z13" s="471">
        <f t="shared" si="8"/>
        <v>85</v>
      </c>
    </row>
    <row r="14" spans="2:29" ht="15" hidden="1" customHeight="1">
      <c r="B14" s="37" t="s">
        <v>16</v>
      </c>
      <c r="C14" s="366" t="str">
        <f>[8]Brewhouse!$A114</f>
        <v>SM101</v>
      </c>
      <c r="D14" s="279">
        <f>[8]Brewhouse!$AH114</f>
        <v>53</v>
      </c>
      <c r="E14" s="279">
        <f>[8]Brewhouse!$AM114</f>
        <v>51.7</v>
      </c>
      <c r="F14" s="278">
        <f>[8]Brewhouse!$Z114</f>
        <v>70</v>
      </c>
      <c r="G14" s="279">
        <f>[8]Brewhouse!$AK114</f>
        <v>17.3</v>
      </c>
      <c r="H14" s="396"/>
      <c r="I14" s="368">
        <f>[8]Brewhouse!$AY114</f>
        <v>99.439729873431943</v>
      </c>
      <c r="J14" s="368">
        <f>[8]Brewhouse!$AZ114</f>
        <v>99.715298721575735</v>
      </c>
      <c r="K14" s="281">
        <f>[8]Brewhouse!$U114</f>
        <v>4.1132075471698109</v>
      </c>
      <c r="L14" s="276">
        <f>[8]Brewhouse!$T114</f>
        <v>57</v>
      </c>
      <c r="M14" s="374">
        <f>[8]Brewhouse!$Y114-[8]Brewhouse!$X114</f>
        <v>0.14861111111111125</v>
      </c>
      <c r="N14" s="370">
        <f>[8]Brewhouse!$AD114</f>
        <v>0.34444444444444444</v>
      </c>
      <c r="O14" s="371" t="str">
        <f>[8]Brewhouse!$BC114</f>
        <v>D. Gomaz</v>
      </c>
      <c r="P14" s="417"/>
      <c r="R14" s="277" t="str">
        <f t="shared" si="0"/>
        <v>STARMALT</v>
      </c>
      <c r="S14" s="471">
        <f t="shared" si="1"/>
        <v>17</v>
      </c>
      <c r="T14" s="471">
        <f t="shared" si="2"/>
        <v>17.399999999999999</v>
      </c>
      <c r="U14" s="297">
        <f t="shared" si="3"/>
        <v>0</v>
      </c>
      <c r="V14" s="297">
        <f t="shared" si="4"/>
        <v>0.13605324074074074</v>
      </c>
      <c r="W14" s="297">
        <f t="shared" si="5"/>
        <v>0.27430555555555552</v>
      </c>
      <c r="X14" s="297">
        <f t="shared" si="6"/>
        <v>0.30902777777777779</v>
      </c>
      <c r="Y14" s="297">
        <f t="shared" si="7"/>
        <v>0</v>
      </c>
      <c r="Z14" s="471">
        <f t="shared" si="8"/>
        <v>85</v>
      </c>
    </row>
    <row r="15" spans="2:29" ht="15" hidden="1" customHeight="1">
      <c r="B15" s="37" t="s">
        <v>16</v>
      </c>
      <c r="C15" s="366" t="str">
        <f>[8]Brewhouse!$A115</f>
        <v>SM102</v>
      </c>
      <c r="D15" s="279">
        <f>[8]Brewhouse!$AH115</f>
        <v>53</v>
      </c>
      <c r="E15" s="279">
        <f>[8]Brewhouse!$AM115</f>
        <v>51</v>
      </c>
      <c r="F15" s="278">
        <f>[8]Brewhouse!$Z115</f>
        <v>67</v>
      </c>
      <c r="G15" s="279">
        <f>[8]Brewhouse!$AK115</f>
        <v>17.3</v>
      </c>
      <c r="H15" s="396"/>
      <c r="I15" s="368">
        <f>[8]Brewhouse!$AY115</f>
        <v>98.013898306372198</v>
      </c>
      <c r="J15" s="368">
        <f>[8]Brewhouse!$AZ115</f>
        <v>98.285775240901714</v>
      </c>
      <c r="K15" s="281">
        <f>[8]Brewhouse!$U115</f>
        <v>7.3207547169811367</v>
      </c>
      <c r="L15" s="276">
        <f>[8]Brewhouse!$T115</f>
        <v>60</v>
      </c>
      <c r="M15" s="374">
        <f>[8]Brewhouse!$Y115-[8]Brewhouse!$X115</f>
        <v>0.15625</v>
      </c>
      <c r="N15" s="370">
        <f>[8]Brewhouse!$AD115</f>
        <v>0.35694444444444429</v>
      </c>
      <c r="O15" s="371" t="str">
        <f>[8]Brewhouse!$BC115</f>
        <v>R.Sookram</v>
      </c>
      <c r="P15" s="417"/>
      <c r="R15" s="277" t="str">
        <f t="shared" si="0"/>
        <v>STARMALT</v>
      </c>
      <c r="S15" s="471">
        <f t="shared" si="1"/>
        <v>17</v>
      </c>
      <c r="T15" s="471">
        <f t="shared" si="2"/>
        <v>17.399999999999999</v>
      </c>
      <c r="U15" s="297">
        <f t="shared" si="3"/>
        <v>0</v>
      </c>
      <c r="V15" s="297">
        <f t="shared" si="4"/>
        <v>0.13605324074074074</v>
      </c>
      <c r="W15" s="297">
        <f t="shared" si="5"/>
        <v>0.27430555555555552</v>
      </c>
      <c r="X15" s="297">
        <f t="shared" si="6"/>
        <v>0.30902777777777779</v>
      </c>
      <c r="Y15" s="297">
        <f t="shared" si="7"/>
        <v>0</v>
      </c>
      <c r="Z15" s="471">
        <f t="shared" si="8"/>
        <v>85</v>
      </c>
    </row>
    <row r="16" spans="2:29" ht="15" hidden="1" customHeight="1">
      <c r="B16" s="37" t="s">
        <v>16</v>
      </c>
      <c r="C16" s="366" t="str">
        <f>[8]Brewhouse!$A116</f>
        <v>SM103</v>
      </c>
      <c r="D16" s="279">
        <f>[8]Brewhouse!$AH116</f>
        <v>53</v>
      </c>
      <c r="E16" s="279">
        <f>[8]Brewhouse!$AM116</f>
        <v>51.9</v>
      </c>
      <c r="F16" s="278">
        <f>[8]Brewhouse!$Z116</f>
        <v>65</v>
      </c>
      <c r="G16" s="279">
        <f>[8]Brewhouse!$AK116</f>
        <v>17.36</v>
      </c>
      <c r="H16" s="396"/>
      <c r="I16" s="368">
        <f>[8]Brewhouse!$AY116</f>
        <v>95.022046186828362</v>
      </c>
      <c r="J16" s="368">
        <f>[8]Brewhouse!$AZ116</f>
        <v>95.285372684690913</v>
      </c>
      <c r="K16" s="281">
        <f>[8]Brewhouse!$U116</f>
        <v>5.0566037735849045</v>
      </c>
      <c r="L16" s="276">
        <f>[8]Brewhouse!$T116</f>
        <v>60</v>
      </c>
      <c r="M16" s="374">
        <f>[8]Brewhouse!$Y116-[8]Brewhouse!$X116</f>
        <v>0.14861111111111108</v>
      </c>
      <c r="N16" s="370">
        <f>[8]Brewhouse!$AD116</f>
        <v>0.39444444444444443</v>
      </c>
      <c r="O16" s="371" t="str">
        <f>[8]Brewhouse!$BC116</f>
        <v>R.Sookram</v>
      </c>
      <c r="P16" s="417"/>
      <c r="R16" s="277" t="str">
        <f t="shared" si="0"/>
        <v>STARMALT</v>
      </c>
      <c r="S16" s="471">
        <f t="shared" si="1"/>
        <v>17</v>
      </c>
      <c r="T16" s="471">
        <f t="shared" si="2"/>
        <v>17.399999999999999</v>
      </c>
      <c r="U16" s="297">
        <f t="shared" si="3"/>
        <v>0</v>
      </c>
      <c r="V16" s="297">
        <f t="shared" si="4"/>
        <v>0.13605324074074074</v>
      </c>
      <c r="W16" s="297">
        <f t="shared" si="5"/>
        <v>0.27430555555555552</v>
      </c>
      <c r="X16" s="297">
        <f t="shared" si="6"/>
        <v>0.30902777777777779</v>
      </c>
      <c r="Y16" s="297">
        <f t="shared" si="7"/>
        <v>0</v>
      </c>
      <c r="Z16" s="471">
        <f t="shared" si="8"/>
        <v>85</v>
      </c>
    </row>
    <row r="17" spans="1:26" ht="15" hidden="1" customHeight="1">
      <c r="B17" s="37" t="s">
        <v>16</v>
      </c>
      <c r="C17" s="366" t="str">
        <f>[8]Brewhouse!$A117</f>
        <v>SM104</v>
      </c>
      <c r="D17" s="279">
        <f>[8]Brewhouse!$AH117</f>
        <v>53</v>
      </c>
      <c r="E17" s="279">
        <f>[8]Brewhouse!$AM117</f>
        <v>51.9</v>
      </c>
      <c r="F17" s="278">
        <f>[8]Brewhouse!$Z117</f>
        <v>73</v>
      </c>
      <c r="G17" s="279">
        <f>[8]Brewhouse!$AK117</f>
        <v>17.399999999999999</v>
      </c>
      <c r="H17" s="396"/>
      <c r="I17" s="368">
        <f>[8]Brewhouse!$AY117</f>
        <v>95.022046186828362</v>
      </c>
      <c r="J17" s="368">
        <f>[8]Brewhouse!$AZ117</f>
        <v>95.285372684690913</v>
      </c>
      <c r="K17" s="281">
        <f>[8]Brewhouse!$U117</f>
        <v>6.754716981132086</v>
      </c>
      <c r="L17" s="276">
        <f>[8]Brewhouse!$T117</f>
        <v>60</v>
      </c>
      <c r="M17" s="374">
        <f>[8]Brewhouse!$Y117-[8]Brewhouse!$X117</f>
        <v>0.26458333333333334</v>
      </c>
      <c r="N17" s="370">
        <f>[8]Brewhouse!$AD117</f>
        <v>0.42083333333333334</v>
      </c>
      <c r="O17" s="371" t="str">
        <f>[8]Brewhouse!$BC117</f>
        <v>R.Sookram</v>
      </c>
      <c r="P17" s="417"/>
      <c r="R17" s="277" t="str">
        <f t="shared" si="0"/>
        <v>STARMALT</v>
      </c>
      <c r="S17" s="471">
        <f t="shared" si="1"/>
        <v>17</v>
      </c>
      <c r="T17" s="471">
        <f t="shared" si="2"/>
        <v>17.399999999999999</v>
      </c>
      <c r="U17" s="297">
        <f t="shared" si="3"/>
        <v>0</v>
      </c>
      <c r="V17" s="297">
        <f t="shared" si="4"/>
        <v>0.13605324074074074</v>
      </c>
      <c r="W17" s="297">
        <f t="shared" si="5"/>
        <v>0.27430555555555552</v>
      </c>
      <c r="X17" s="297">
        <f t="shared" si="6"/>
        <v>0.30902777777777779</v>
      </c>
      <c r="Y17" s="297">
        <f t="shared" si="7"/>
        <v>0</v>
      </c>
      <c r="Z17" s="471">
        <f t="shared" si="8"/>
        <v>85</v>
      </c>
    </row>
    <row r="18" spans="1:26" ht="15" hidden="1" customHeight="1">
      <c r="B18" s="37" t="s">
        <v>16</v>
      </c>
      <c r="C18" s="366" t="str">
        <f>[8]Brewhouse!$A118</f>
        <v>SM105</v>
      </c>
      <c r="D18" s="279">
        <f>[8]Brewhouse!$AH118</f>
        <v>50</v>
      </c>
      <c r="E18" s="279">
        <f>[8]Brewhouse!$AM118</f>
        <v>49.3</v>
      </c>
      <c r="F18" s="278">
        <f>[8]Brewhouse!$Z118</f>
        <v>70</v>
      </c>
      <c r="G18" s="279">
        <f>[8]Brewhouse!$AK118</f>
        <v>17.399999999999999</v>
      </c>
      <c r="H18" s="396"/>
      <c r="I18" s="368">
        <f>[8]Brewhouse!$AY118</f>
        <v>90.335017111661628</v>
      </c>
      <c r="J18" s="368">
        <f>[8]Brewhouse!$AZ118</f>
        <v>90.585115407273193</v>
      </c>
      <c r="K18" s="281">
        <f>[8]Brewhouse!$U118</f>
        <v>2.960000000000008</v>
      </c>
      <c r="L18" s="276">
        <f>[8]Brewhouse!$T118</f>
        <v>57</v>
      </c>
      <c r="M18" s="374">
        <f>[8]Brewhouse!$Y118-[8]Brewhouse!$X118</f>
        <v>0.15555555555555556</v>
      </c>
      <c r="N18" s="370">
        <f>[8]Brewhouse!$AD118</f>
        <v>0.36180555555555549</v>
      </c>
      <c r="O18" s="371" t="str">
        <f>[8]Brewhouse!$BC118</f>
        <v>K. Benjamin</v>
      </c>
      <c r="P18" s="417"/>
      <c r="R18" s="277" t="str">
        <f t="shared" si="0"/>
        <v>STARMALT</v>
      </c>
      <c r="S18" s="471">
        <f t="shared" si="1"/>
        <v>17</v>
      </c>
      <c r="T18" s="471">
        <f t="shared" si="2"/>
        <v>17.399999999999999</v>
      </c>
      <c r="U18" s="297">
        <f t="shared" si="3"/>
        <v>0</v>
      </c>
      <c r="V18" s="297">
        <f t="shared" si="4"/>
        <v>0.13605324074074074</v>
      </c>
      <c r="W18" s="297">
        <f t="shared" si="5"/>
        <v>0.27430555555555552</v>
      </c>
      <c r="X18" s="297">
        <f t="shared" si="6"/>
        <v>0.30902777777777779</v>
      </c>
      <c r="Y18" s="297">
        <f t="shared" si="7"/>
        <v>0</v>
      </c>
      <c r="Z18" s="471">
        <f t="shared" si="8"/>
        <v>85</v>
      </c>
    </row>
    <row r="19" spans="1:26" ht="15" hidden="1" customHeight="1">
      <c r="B19" s="37" t="s">
        <v>16</v>
      </c>
      <c r="C19" s="366" t="str">
        <f>[8]Brewhouse!$A119</f>
        <v>SM106</v>
      </c>
      <c r="D19" s="279">
        <f>[8]Brewhouse!$AH119</f>
        <v>53</v>
      </c>
      <c r="E19" s="279">
        <f>[8]Brewhouse!$AM119</f>
        <v>55.3</v>
      </c>
      <c r="F19" s="278">
        <f>[8]Brewhouse!$Z119</f>
        <v>104</v>
      </c>
      <c r="G19" s="279">
        <f>[8]Brewhouse!$AK119</f>
        <v>17.399999999999999</v>
      </c>
      <c r="H19" s="396"/>
      <c r="I19" s="368">
        <f>[8]Brewhouse!$AY119</f>
        <v>100.75694228020136</v>
      </c>
      <c r="J19" s="368">
        <f>[8]Brewhouse!$AZ119</f>
        <v>101.03775475944533</v>
      </c>
      <c r="K19" s="281">
        <f>[8]Brewhouse!$U119</f>
        <v>-0.41509433962263936</v>
      </c>
      <c r="L19" s="276">
        <f>[8]Brewhouse!$T119</f>
        <v>60</v>
      </c>
      <c r="M19" s="374">
        <f>[8]Brewhouse!$Y119-[8]Brewhouse!$X119</f>
        <v>0.1777777777777777</v>
      </c>
      <c r="N19" s="370">
        <f>[8]Brewhouse!$AD119</f>
        <v>0.39027777777777772</v>
      </c>
      <c r="O19" s="371" t="str">
        <f>[8]Brewhouse!$BC119</f>
        <v>K. Benjamin</v>
      </c>
      <c r="P19" s="417"/>
      <c r="R19" s="277" t="str">
        <f t="shared" si="0"/>
        <v>STARMALT</v>
      </c>
      <c r="S19" s="471">
        <f t="shared" si="1"/>
        <v>17</v>
      </c>
      <c r="T19" s="471">
        <f t="shared" si="2"/>
        <v>17.399999999999999</v>
      </c>
      <c r="U19" s="297">
        <f t="shared" si="3"/>
        <v>0</v>
      </c>
      <c r="V19" s="297">
        <f t="shared" si="4"/>
        <v>0.13605324074074074</v>
      </c>
      <c r="W19" s="297">
        <f t="shared" si="5"/>
        <v>0.27430555555555552</v>
      </c>
      <c r="X19" s="297">
        <f t="shared" si="6"/>
        <v>0.30902777777777779</v>
      </c>
      <c r="Y19" s="297">
        <f t="shared" si="7"/>
        <v>0</v>
      </c>
      <c r="Z19" s="471">
        <f t="shared" si="8"/>
        <v>85</v>
      </c>
    </row>
    <row r="20" spans="1:26" ht="15" customHeight="1">
      <c r="B20" s="37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371"/>
      <c r="P20" s="417"/>
      <c r="R20" s="277">
        <f t="shared" si="0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6" ht="15" customHeight="1">
      <c r="B21" s="34"/>
      <c r="C21" s="366"/>
      <c r="D21" s="279"/>
      <c r="E21" s="279"/>
      <c r="F21" s="278"/>
      <c r="G21" s="279"/>
      <c r="H21" s="396"/>
      <c r="I21" s="487"/>
      <c r="J21" s="487"/>
      <c r="K21" s="488"/>
      <c r="L21" s="276"/>
      <c r="M21" s="374"/>
      <c r="N21" s="370"/>
      <c r="O21" s="419"/>
      <c r="P21" s="417"/>
      <c r="R21" s="277">
        <f t="shared" si="0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6" ht="15" customHeight="1">
      <c r="B22" s="34"/>
      <c r="C22" s="366"/>
      <c r="D22" s="279"/>
      <c r="E22" s="279"/>
      <c r="F22" s="278"/>
      <c r="G22" s="279"/>
      <c r="H22" s="396"/>
      <c r="I22" s="487"/>
      <c r="J22" s="487"/>
      <c r="K22" s="488"/>
      <c r="L22" s="276"/>
      <c r="M22" s="374"/>
      <c r="N22" s="370"/>
      <c r="O22" s="419"/>
      <c r="P22" s="417"/>
      <c r="R22" s="277">
        <f t="shared" si="0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6" ht="15" customHeight="1">
      <c r="B23" s="34"/>
      <c r="C23" s="366"/>
      <c r="D23" s="279"/>
      <c r="E23" s="279"/>
      <c r="F23" s="278"/>
      <c r="G23" s="279"/>
      <c r="H23" s="396"/>
      <c r="I23" s="487"/>
      <c r="J23" s="487"/>
      <c r="K23" s="488"/>
      <c r="L23" s="276"/>
      <c r="M23" s="374"/>
      <c r="N23" s="370"/>
      <c r="O23" s="419"/>
      <c r="P23" s="417"/>
      <c r="R23" s="277">
        <f t="shared" si="0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6" ht="17.25" customHeight="1" thickBot="1">
      <c r="B24" s="358"/>
      <c r="C24" s="358"/>
      <c r="D24" s="358"/>
      <c r="E24" s="358"/>
      <c r="F24" s="294"/>
      <c r="G24" s="294"/>
      <c r="H24" s="348"/>
      <c r="I24" s="534"/>
      <c r="J24" s="534"/>
      <c r="K24" s="534"/>
      <c r="L24" s="534"/>
      <c r="M24" s="534"/>
      <c r="N24" s="534"/>
      <c r="O24" s="1"/>
      <c r="P24" s="12"/>
      <c r="R24" s="277">
        <f t="shared" si="0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1:26" ht="17.25" customHeight="1" thickBot="1">
      <c r="B25" s="482" t="s">
        <v>162</v>
      </c>
      <c r="C25" s="388"/>
      <c r="D25" s="535" t="s">
        <v>35</v>
      </c>
      <c r="E25" s="536"/>
      <c r="F25" s="294"/>
      <c r="G25" s="294"/>
      <c r="H25" s="348"/>
      <c r="I25" s="24" t="s">
        <v>17</v>
      </c>
      <c r="J25" s="25"/>
      <c r="K25" s="26" t="s">
        <v>138</v>
      </c>
      <c r="L25" s="25" t="s">
        <v>37</v>
      </c>
      <c r="M25" s="25" t="s">
        <v>38</v>
      </c>
      <c r="N25" s="27" t="s">
        <v>39</v>
      </c>
      <c r="O25" s="294"/>
      <c r="P25" s="12"/>
      <c r="R25" s="277" t="str">
        <f t="shared" si="0"/>
        <v xml:space="preserve">BRAND 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6" ht="17.25" customHeight="1">
      <c r="A26" s="28"/>
      <c r="B26" s="588"/>
      <c r="C26" s="483"/>
      <c r="D26" s="522"/>
      <c r="E26" s="523"/>
      <c r="F26" s="294"/>
      <c r="G26" s="294"/>
      <c r="H26" s="348"/>
      <c r="I26" s="29" t="s">
        <v>6</v>
      </c>
      <c r="J26" s="323"/>
      <c r="K26" s="284">
        <f>COUNTA([4]Brewhouse!$A$789:$A$820)</f>
        <v>32</v>
      </c>
      <c r="L26" s="305">
        <f>AVERAGE([4]Brewhouse!$AU$789:$AU$820)</f>
        <v>97.19542619578651</v>
      </c>
      <c r="M26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,[4]Brewhouse!$AU$789:$AU$820)</f>
        <v>98.283559098193749</v>
      </c>
      <c r="N26" s="30">
        <v>98</v>
      </c>
      <c r="O26" s="11"/>
      <c r="P26" s="31"/>
      <c r="R26" s="277">
        <f t="shared" si="0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6" ht="15" customHeight="1">
      <c r="A27" s="28"/>
      <c r="B27" s="568"/>
      <c r="C27" s="362"/>
      <c r="D27" s="524"/>
      <c r="E27" s="525"/>
      <c r="F27" s="294"/>
      <c r="G27" s="294"/>
      <c r="H27" s="348"/>
      <c r="I27" s="33" t="s">
        <v>9</v>
      </c>
      <c r="J27" s="323">
        <f>I10</f>
        <v>95.297515941358313</v>
      </c>
      <c r="K27" s="284">
        <f>COUNTA([3]Brewhouse!$A$390:$A$406)</f>
        <v>17</v>
      </c>
      <c r="L27" s="302">
        <f>AVERAGE([3]Brewhouse!$AS$390:$AS$406)</f>
        <v>97.708463299853932</v>
      </c>
      <c r="M27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$388,[3]Brewhouse!$AS$390:$AS$406)</f>
        <v>98.285766868785757</v>
      </c>
      <c r="N27" s="30">
        <v>98</v>
      </c>
      <c r="O27" s="11"/>
      <c r="P27" s="31"/>
      <c r="R27" s="277">
        <f t="shared" si="0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6" ht="14.65" customHeight="1">
      <c r="A28" s="28"/>
      <c r="B28" s="568"/>
      <c r="C28" s="362"/>
      <c r="D28" s="529"/>
      <c r="E28" s="530"/>
      <c r="F28" s="294"/>
      <c r="G28" s="294"/>
      <c r="H28" s="348"/>
      <c r="I28" s="34" t="s">
        <v>12</v>
      </c>
      <c r="J28" s="323"/>
      <c r="K28" s="284">
        <f>COUNTA([5]Brewhouse!$A$108:$A$115)</f>
        <v>8</v>
      </c>
      <c r="L28" s="302">
        <f>AVERAGE([5]Brewhouse!$AU$108:$AU$115)</f>
        <v>97.100440951935028</v>
      </c>
      <c r="M28" s="302">
        <f>AVERAGE([5]Brewhouse!$AU$16:$AU$23,[5]Brewhouse!$AU$25:$AU$32,[5]Brewhouse!$AU$34:$AU$41,[5]Brewhouse!$AU$43:$AU$60,[5]Brewhouse!$AU$62:$AU$69,[5]Brewhouse!$AU$71:$AU$88,[5]Brewhouse!$AU$90:$AU$97,[5]Brewhouse!$AU$99:$AU$106,[5]Brewhouse!$AU$108:$AU$115)</f>
        <v>96.550711195700543</v>
      </c>
      <c r="N28" s="30">
        <v>98</v>
      </c>
      <c r="O28" s="11"/>
      <c r="P28" s="31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1:26" ht="14.65" customHeight="1">
      <c r="A29" s="28"/>
      <c r="B29" s="568"/>
      <c r="C29" s="362"/>
      <c r="D29" s="531"/>
      <c r="E29" s="525"/>
      <c r="F29" s="294"/>
      <c r="G29" s="294"/>
      <c r="H29" s="348"/>
      <c r="I29" s="22" t="s">
        <v>33</v>
      </c>
      <c r="J29" s="280"/>
      <c r="K29" s="284"/>
      <c r="L29" s="302"/>
      <c r="M29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97.566635166530773</v>
      </c>
      <c r="N29" s="30">
        <v>98</v>
      </c>
      <c r="O29" s="11"/>
      <c r="P29" s="31"/>
      <c r="R29" s="277">
        <f t="shared" si="0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1:26" ht="14.65" customHeight="1">
      <c r="A30" s="28"/>
      <c r="B30" s="568"/>
      <c r="C30" s="362"/>
      <c r="D30" s="529"/>
      <c r="E30" s="530"/>
      <c r="F30" s="294"/>
      <c r="G30" s="294"/>
      <c r="H30" s="348"/>
      <c r="I30" s="35" t="s">
        <v>29</v>
      </c>
      <c r="J30" s="280"/>
      <c r="K30" s="284"/>
      <c r="L30" s="302"/>
      <c r="M30" s="302"/>
      <c r="N30" s="30">
        <v>98</v>
      </c>
      <c r="O30" s="11"/>
      <c r="P30" s="31"/>
      <c r="R30" s="277">
        <f t="shared" si="0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1:26" ht="14.65" customHeight="1">
      <c r="A31" s="28"/>
      <c r="B31" s="568"/>
      <c r="C31" s="362"/>
      <c r="D31" s="531"/>
      <c r="E31" s="525"/>
      <c r="F31" s="416"/>
      <c r="G31" s="294"/>
      <c r="H31" s="348"/>
      <c r="I31" s="36" t="s">
        <v>15</v>
      </c>
      <c r="J31" s="323"/>
      <c r="K31" s="284"/>
      <c r="L31" s="302"/>
      <c r="M31" s="302">
        <f>AVERAGE([7]Brewhouse!$AT$4:$AT$11,[7]Brewhouse!$AT$13:$AT$16,[7]Brewhouse!$AT$18:$AT$30)</f>
        <v>93.22262799886262</v>
      </c>
      <c r="N31" s="30">
        <v>98</v>
      </c>
      <c r="O31" s="11"/>
      <c r="P31" s="31"/>
      <c r="R31" s="277">
        <f t="shared" si="0"/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</row>
    <row r="32" spans="1:26" ht="14.65" customHeight="1">
      <c r="A32" s="28"/>
      <c r="B32" s="568"/>
      <c r="C32" s="362"/>
      <c r="D32" s="529"/>
      <c r="E32" s="530"/>
      <c r="F32" s="416"/>
      <c r="G32" s="294"/>
      <c r="H32" s="348"/>
      <c r="I32" s="37" t="s">
        <v>16</v>
      </c>
      <c r="J32" s="323"/>
      <c r="K32" s="284"/>
      <c r="L32" s="302"/>
      <c r="M32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97.792958274585203</v>
      </c>
      <c r="N32" s="30">
        <v>98</v>
      </c>
      <c r="O32" s="11"/>
      <c r="P32" s="31" t="s">
        <v>41</v>
      </c>
      <c r="R32" s="277">
        <f t="shared" si="0"/>
        <v>0</v>
      </c>
      <c r="S32" s="471" t="e">
        <f t="shared" si="1"/>
        <v>#N/A</v>
      </c>
      <c r="T32" s="471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1" t="e">
        <f t="shared" si="8"/>
        <v>#N/A</v>
      </c>
    </row>
    <row r="33" spans="1:56" ht="14.65" customHeight="1">
      <c r="A33" s="28"/>
      <c r="B33" s="568"/>
      <c r="C33" s="362"/>
      <c r="D33" s="531"/>
      <c r="E33" s="525"/>
      <c r="F33" s="294"/>
      <c r="G33" s="294"/>
      <c r="H33" s="348"/>
      <c r="I33" s="410" t="s">
        <v>158</v>
      </c>
      <c r="J33" s="326"/>
      <c r="K33" s="284"/>
      <c r="L33" s="305"/>
      <c r="M33" s="305"/>
      <c r="N33" s="30">
        <v>98</v>
      </c>
      <c r="O33" s="11"/>
      <c r="P33" s="31"/>
      <c r="R33" s="277">
        <f t="shared" si="0"/>
        <v>0</v>
      </c>
      <c r="S33" s="471" t="e">
        <f t="shared" si="1"/>
        <v>#N/A</v>
      </c>
      <c r="T33" s="471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1" t="e">
        <f t="shared" si="8"/>
        <v>#N/A</v>
      </c>
    </row>
    <row r="34" spans="1:56" ht="14.65" customHeight="1">
      <c r="A34" s="28"/>
      <c r="B34" s="568"/>
      <c r="C34" s="362"/>
      <c r="D34" s="529"/>
      <c r="E34" s="530"/>
      <c r="F34" s="294"/>
      <c r="G34" s="294"/>
      <c r="H34" s="348"/>
      <c r="I34" s="409" t="s">
        <v>157</v>
      </c>
      <c r="J34" s="326"/>
      <c r="K34" s="284"/>
      <c r="L34" s="305"/>
      <c r="M34" s="305"/>
      <c r="N34" s="30">
        <v>98</v>
      </c>
      <c r="O34" s="11"/>
      <c r="P34" s="31"/>
      <c r="R34" s="277">
        <f t="shared" si="0"/>
        <v>0</v>
      </c>
      <c r="S34" s="471" t="e">
        <f t="shared" si="1"/>
        <v>#N/A</v>
      </c>
      <c r="T34" s="471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1" t="e">
        <f t="shared" si="8"/>
        <v>#N/A</v>
      </c>
      <c r="AA34" s="471"/>
    </row>
    <row r="35" spans="1:56" ht="15" customHeight="1" thickBot="1">
      <c r="A35" s="28"/>
      <c r="B35" s="568"/>
      <c r="C35" s="362"/>
      <c r="D35" s="531"/>
      <c r="E35" s="525"/>
      <c r="F35" s="294"/>
      <c r="G35" s="294"/>
      <c r="H35" s="348"/>
      <c r="I35" s="405" t="s">
        <v>156</v>
      </c>
      <c r="J35" s="327"/>
      <c r="K35" s="406"/>
      <c r="L35" s="407"/>
      <c r="M35" s="407"/>
      <c r="N35" s="408">
        <v>98</v>
      </c>
      <c r="O35" s="11"/>
      <c r="P35" s="31"/>
      <c r="R35" s="277">
        <f t="shared" si="0"/>
        <v>0</v>
      </c>
      <c r="S35" s="471" t="e">
        <f t="shared" si="1"/>
        <v>#N/A</v>
      </c>
      <c r="T35" s="471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1" t="e">
        <f t="shared" si="8"/>
        <v>#N/A</v>
      </c>
      <c r="AA35" s="471"/>
    </row>
    <row r="36" spans="1:56" ht="15" customHeight="1" thickBot="1">
      <c r="A36" s="28"/>
      <c r="B36" s="568"/>
      <c r="C36" s="349"/>
      <c r="D36" s="522"/>
      <c r="E36" s="523"/>
      <c r="F36" s="294"/>
      <c r="G36" s="294"/>
      <c r="H36" s="348"/>
      <c r="I36" s="1"/>
      <c r="J36" s="39"/>
      <c r="K36" s="403">
        <f>SUM(K26:K35)</f>
        <v>57</v>
      </c>
      <c r="L36" s="404">
        <f>((L26*K26)+(L27*K27)+(L28*K28)+(L29*K29)+(L30*K30)+(K33*L33)+(L31*K31)+(L32*K32)+(L35*K35))/(K36)</f>
        <v>97.335105999616943</v>
      </c>
      <c r="M36" s="404">
        <f>AVERAGE('[9]Jan30th-31st'!$L$42,'[10]Feb 27th-28th'!$L$45,'[11]Mar 31st'!$L$42,'[12]Apr 30th'!$L$41,'[13]May 29th '!$L$35,'[14]June 30th'!$L$32,[15]July31st!$L$36,'[16]Aug 31st'!$L$32,L36)</f>
        <v>97.90236549384457</v>
      </c>
      <c r="N36" s="40">
        <v>98</v>
      </c>
      <c r="O36" s="11"/>
      <c r="P36" s="31"/>
      <c r="R36" s="277">
        <f t="shared" si="0"/>
        <v>0</v>
      </c>
      <c r="S36" s="471" t="e">
        <f t="shared" si="1"/>
        <v>#N/A</v>
      </c>
      <c r="T36" s="471" t="e">
        <f t="shared" si="2"/>
        <v>#N/A</v>
      </c>
      <c r="U36" s="297" t="e">
        <f t="shared" si="3"/>
        <v>#N/A</v>
      </c>
      <c r="V36" s="297" t="e">
        <f t="shared" si="4"/>
        <v>#N/A</v>
      </c>
      <c r="W36" s="297" t="e">
        <f t="shared" si="5"/>
        <v>#N/A</v>
      </c>
      <c r="X36" s="297" t="e">
        <f t="shared" si="6"/>
        <v>#N/A</v>
      </c>
      <c r="Y36" s="297" t="e">
        <f t="shared" si="7"/>
        <v>#N/A</v>
      </c>
      <c r="Z36" s="471" t="e">
        <f t="shared" si="8"/>
        <v>#N/A</v>
      </c>
      <c r="AA36" s="471"/>
    </row>
    <row r="37" spans="1:56" ht="15.75" thickBot="1">
      <c r="B37" s="589"/>
      <c r="C37" s="350"/>
      <c r="D37" s="524"/>
      <c r="E37" s="525"/>
      <c r="F37" s="294"/>
      <c r="G37" s="42"/>
      <c r="H37" s="41"/>
      <c r="I37" s="42"/>
      <c r="J37" s="42"/>
      <c r="K37" s="351"/>
      <c r="L37" s="348"/>
      <c r="M37" s="348"/>
      <c r="N37" s="11"/>
      <c r="O37" s="294"/>
      <c r="P37" s="12"/>
      <c r="R37" s="277">
        <f t="shared" si="0"/>
        <v>0</v>
      </c>
      <c r="S37" s="471" t="e">
        <f t="shared" si="1"/>
        <v>#N/A</v>
      </c>
      <c r="T37" s="471" t="e">
        <f t="shared" si="2"/>
        <v>#N/A</v>
      </c>
      <c r="U37" s="297" t="e">
        <f t="shared" si="3"/>
        <v>#N/A</v>
      </c>
      <c r="V37" s="297" t="e">
        <f t="shared" si="4"/>
        <v>#N/A</v>
      </c>
      <c r="W37" s="297" t="e">
        <f t="shared" si="5"/>
        <v>#N/A</v>
      </c>
      <c r="X37" s="297" t="e">
        <f t="shared" si="6"/>
        <v>#N/A</v>
      </c>
      <c r="Y37" s="297" t="e">
        <f t="shared" si="7"/>
        <v>#N/A</v>
      </c>
      <c r="Z37" s="471" t="e">
        <f t="shared" si="8"/>
        <v>#N/A</v>
      </c>
      <c r="AA37" s="471"/>
    </row>
    <row r="38" spans="1:56" ht="15.75" thickBot="1">
      <c r="B38" s="519"/>
      <c r="C38" s="362"/>
      <c r="D38" s="522"/>
      <c r="E38" s="523"/>
      <c r="F38" s="294"/>
      <c r="G38" s="42"/>
      <c r="H38" s="41"/>
      <c r="I38" s="42"/>
      <c r="J38" s="526" t="s">
        <v>129</v>
      </c>
      <c r="K38" s="526"/>
      <c r="L38" s="294"/>
      <c r="M38" s="294"/>
      <c r="N38" s="294"/>
      <c r="O38" s="294"/>
      <c r="P38" s="12"/>
    </row>
    <row r="39" spans="1:56" ht="15.75" thickBot="1">
      <c r="B39" s="520"/>
      <c r="C39" s="362"/>
      <c r="D39" s="524"/>
      <c r="E39" s="525"/>
      <c r="F39" s="294"/>
      <c r="G39" s="42"/>
      <c r="H39" s="42"/>
      <c r="I39" s="42"/>
      <c r="J39" s="292" t="s">
        <v>17</v>
      </c>
      <c r="K39" s="293"/>
      <c r="L39" s="527" t="s">
        <v>136</v>
      </c>
      <c r="M39" s="527"/>
      <c r="N39" s="528"/>
      <c r="O39" s="294"/>
      <c r="P39" s="12"/>
    </row>
    <row r="40" spans="1:56" ht="15" customHeight="1" thickBot="1">
      <c r="B40" s="520"/>
      <c r="C40" s="349"/>
      <c r="D40" s="529"/>
      <c r="E40" s="530"/>
      <c r="F40" s="294"/>
      <c r="G40" s="42"/>
      <c r="H40" s="42"/>
      <c r="I40" s="42"/>
      <c r="J40" s="287" t="s">
        <v>6</v>
      </c>
      <c r="K40" s="324"/>
      <c r="L40" s="472" t="s">
        <v>37</v>
      </c>
      <c r="M40" s="473" t="s">
        <v>38</v>
      </c>
      <c r="N40" s="473" t="s">
        <v>84</v>
      </c>
      <c r="O40" s="294"/>
      <c r="P40" s="12"/>
    </row>
    <row r="41" spans="1:56" ht="15.75" customHeight="1" thickBot="1">
      <c r="B41" s="520"/>
      <c r="C41" s="349"/>
      <c r="D41" s="531"/>
      <c r="E41" s="525"/>
      <c r="F41" s="294"/>
      <c r="G41" s="42"/>
      <c r="H41" s="42"/>
      <c r="I41" s="42"/>
      <c r="J41" s="345" t="s">
        <v>9</v>
      </c>
      <c r="K41" s="324">
        <v>1</v>
      </c>
      <c r="L41" s="484">
        <f>AVERAGE('Oct 1st'!K52,'Oct 2nd'!K44,'Oct 5th'!K51,'Oct 6th'!K58,'Oct 7th'!K47,'Oct 8th '!K46,'Oct 9th-10th'!J57,'Oct 9th-10th'!K57,K50)</f>
        <v>6.333333333333333</v>
      </c>
      <c r="M41" s="485">
        <f>AVERAGE('[9]Jan30th-31st'!$L$47,L41,'[10]Feb 26th '!$L$39,'[11]Mar 31st'!$L$47,'[12]Apr 30th'!$L$46,'[13]May 29th '!$L$40,'[14]June 30th'!$L$39,[15]July31st!$L$41,'[16]Aug 31st'!$L$37,'[17]Sept 30th'!$L$37)</f>
        <v>6.5068674803457416</v>
      </c>
      <c r="N41" s="415">
        <v>9.1999999999999993</v>
      </c>
      <c r="O41" s="294"/>
      <c r="P41" s="12"/>
    </row>
    <row r="42" spans="1:56" ht="15" customHeight="1">
      <c r="B42" s="520"/>
      <c r="C42" s="349"/>
      <c r="D42" s="529"/>
      <c r="E42" s="530"/>
      <c r="F42" s="294"/>
      <c r="G42" s="42"/>
      <c r="H42" s="42"/>
      <c r="I42" s="42"/>
      <c r="J42" s="288" t="s">
        <v>40</v>
      </c>
      <c r="K42" s="324"/>
      <c r="L42" s="294"/>
      <c r="M42" s="294"/>
      <c r="N42" s="294"/>
      <c r="O42" s="294"/>
      <c r="P42" s="12"/>
    </row>
    <row r="43" spans="1:56" ht="15" customHeight="1">
      <c r="B43" s="520"/>
      <c r="C43" s="349"/>
      <c r="D43" s="531"/>
      <c r="E43" s="525"/>
      <c r="F43" s="294"/>
      <c r="G43" s="42"/>
      <c r="H43" s="42"/>
      <c r="I43" s="42"/>
      <c r="J43" s="289" t="s">
        <v>33</v>
      </c>
      <c r="K43" s="324"/>
      <c r="L43" s="294"/>
      <c r="M43" s="294"/>
      <c r="N43" s="294"/>
      <c r="O43" s="294"/>
      <c r="P43" s="12"/>
    </row>
    <row r="44" spans="1:56" ht="15">
      <c r="B44" s="520"/>
      <c r="C44" s="349"/>
      <c r="D44" s="529"/>
      <c r="E44" s="530"/>
      <c r="F44" s="294"/>
      <c r="G44" s="42"/>
      <c r="H44" s="42"/>
      <c r="I44" s="42"/>
      <c r="J44" s="290" t="s">
        <v>16</v>
      </c>
      <c r="K44" s="324"/>
      <c r="L44" s="294"/>
      <c r="M44" s="294"/>
      <c r="N44" s="294"/>
      <c r="O44" s="294"/>
      <c r="P44" s="12"/>
      <c r="BC44" s="44"/>
      <c r="BD44" s="44"/>
    </row>
    <row r="45" spans="1:56" ht="15">
      <c r="B45" s="520"/>
      <c r="C45" s="349"/>
      <c r="D45" s="531"/>
      <c r="E45" s="525"/>
      <c r="F45" s="294"/>
      <c r="G45" s="42"/>
      <c r="H45" s="42"/>
      <c r="I45" s="42"/>
      <c r="J45" s="291" t="s">
        <v>15</v>
      </c>
      <c r="K45" s="324"/>
      <c r="L45" s="294"/>
      <c r="M45" s="294"/>
      <c r="N45" s="294"/>
      <c r="O45" s="294"/>
      <c r="P45" s="12"/>
      <c r="BC45" s="44"/>
      <c r="BD45" s="44"/>
    </row>
    <row r="46" spans="1:56" ht="15">
      <c r="B46" s="520"/>
      <c r="C46" s="349"/>
      <c r="D46" s="529"/>
      <c r="E46" s="530"/>
      <c r="F46" s="294"/>
      <c r="G46" s="42"/>
      <c r="H46" s="42"/>
      <c r="I46" s="42"/>
      <c r="J46" s="291" t="s">
        <v>149</v>
      </c>
      <c r="K46" s="324"/>
      <c r="L46" s="294"/>
      <c r="M46" s="294"/>
      <c r="N46" s="294"/>
      <c r="O46" s="294"/>
      <c r="P46" s="12"/>
      <c r="BC46" s="44"/>
      <c r="BD46" s="44"/>
    </row>
    <row r="47" spans="1:56" ht="15.75" thickBot="1">
      <c r="B47" s="521"/>
      <c r="C47" s="350"/>
      <c r="D47" s="532"/>
      <c r="E47" s="533"/>
      <c r="F47" s="294" t="s">
        <v>165</v>
      </c>
      <c r="G47" s="42"/>
      <c r="H47" s="42"/>
      <c r="I47" s="42"/>
      <c r="J47" s="291" t="s">
        <v>148</v>
      </c>
      <c r="K47" s="324"/>
      <c r="L47" s="294"/>
      <c r="M47" s="294"/>
      <c r="N47" s="294" t="s">
        <v>41</v>
      </c>
      <c r="O47" s="294"/>
      <c r="P47" s="12"/>
      <c r="BC47" s="44"/>
      <c r="BD47" s="44"/>
    </row>
    <row r="48" spans="1:56" ht="17.649999999999999" customHeight="1" thickBot="1">
      <c r="B48" s="312" t="s">
        <v>139</v>
      </c>
      <c r="C48" s="313"/>
      <c r="D48" s="512"/>
      <c r="E48" s="513"/>
      <c r="F48" s="294"/>
      <c r="J48" s="295" t="s">
        <v>134</v>
      </c>
      <c r="K48" s="324"/>
      <c r="L48" s="294"/>
      <c r="M48" s="294"/>
      <c r="N48" s="294"/>
      <c r="O48" s="294"/>
      <c r="P48" s="12"/>
      <c r="BC48" s="44"/>
      <c r="BD48" s="44"/>
    </row>
    <row r="49" spans="2:57" ht="17.649999999999999" customHeight="1">
      <c r="B49" s="363"/>
      <c r="C49" s="364"/>
      <c r="D49" s="365"/>
      <c r="E49" s="365"/>
      <c r="F49" s="294"/>
      <c r="G49" s="42"/>
      <c r="H49" s="42"/>
      <c r="I49" s="42"/>
      <c r="J49" s="295" t="s">
        <v>131</v>
      </c>
      <c r="K49" s="324"/>
      <c r="L49" s="294"/>
      <c r="M49" s="294"/>
      <c r="N49" s="294"/>
      <c r="O49" s="294"/>
      <c r="P49" s="12"/>
      <c r="BC49" s="44"/>
      <c r="BD49" s="44"/>
    </row>
    <row r="50" spans="2:57" ht="15.6" customHeight="1">
      <c r="B50" s="45"/>
      <c r="C50" s="11"/>
      <c r="D50" s="11"/>
      <c r="E50" s="46"/>
      <c r="F50" s="294"/>
      <c r="G50" s="42"/>
      <c r="H50" s="42"/>
      <c r="I50" s="42"/>
      <c r="J50" s="346" t="s">
        <v>130</v>
      </c>
      <c r="K50" s="324">
        <f>SUM(K40:K49)</f>
        <v>1</v>
      </c>
      <c r="L50" s="294"/>
      <c r="M50" s="294"/>
      <c r="N50" s="294"/>
      <c r="O50" s="294"/>
      <c r="P50" s="12"/>
    </row>
    <row r="51" spans="2:57" ht="20.25" customHeight="1">
      <c r="B51" s="15" t="s">
        <v>42</v>
      </c>
      <c r="C51" s="1" t="s">
        <v>43</v>
      </c>
      <c r="D51" s="1"/>
      <c r="E51" s="1"/>
      <c r="F51" s="294"/>
      <c r="G51" s="42"/>
      <c r="H51" s="41"/>
      <c r="I51" s="42"/>
      <c r="L51" s="42"/>
      <c r="N51" s="315"/>
      <c r="P51" s="334"/>
    </row>
    <row r="52" spans="2:57" ht="15" customHeight="1" thickBot="1"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1"/>
      <c r="O52" s="48"/>
      <c r="P52" s="49"/>
    </row>
    <row r="53" spans="2:57" ht="15" customHeight="1" thickBot="1">
      <c r="B53" s="504" t="s">
        <v>17</v>
      </c>
      <c r="C53" s="504" t="s">
        <v>44</v>
      </c>
      <c r="D53" s="515" t="s">
        <v>45</v>
      </c>
      <c r="E53" s="517" t="s">
        <v>46</v>
      </c>
      <c r="F53" s="510" t="s">
        <v>47</v>
      </c>
      <c r="G53" s="502" t="s">
        <v>48</v>
      </c>
      <c r="H53" s="504" t="s">
        <v>49</v>
      </c>
      <c r="I53" s="504" t="s">
        <v>50</v>
      </c>
      <c r="J53" s="496" t="s">
        <v>28</v>
      </c>
      <c r="K53" s="506" t="s">
        <v>51</v>
      </c>
      <c r="L53" s="508" t="s">
        <v>52</v>
      </c>
      <c r="M53" s="496" t="s">
        <v>53</v>
      </c>
      <c r="N53" s="13"/>
      <c r="O53" s="13"/>
      <c r="P53" s="50"/>
    </row>
    <row r="54" spans="2:57" ht="28.5" customHeight="1" thickTop="1" thickBot="1">
      <c r="B54" s="505"/>
      <c r="C54" s="514"/>
      <c r="D54" s="516"/>
      <c r="E54" s="518"/>
      <c r="F54" s="511"/>
      <c r="G54" s="503"/>
      <c r="H54" s="505"/>
      <c r="I54" s="505"/>
      <c r="J54" s="497"/>
      <c r="K54" s="507"/>
      <c r="L54" s="509"/>
      <c r="M54" s="497"/>
      <c r="N54" s="13"/>
      <c r="O54" s="13"/>
      <c r="P54" s="50"/>
      <c r="Q54" s="355"/>
      <c r="AB54" s="474">
        <v>43474</v>
      </c>
      <c r="AC54" s="474">
        <v>43475</v>
      </c>
      <c r="AD54" s="474">
        <v>43476</v>
      </c>
      <c r="AE54" s="474">
        <v>43477</v>
      </c>
      <c r="AF54" s="474">
        <v>43478</v>
      </c>
      <c r="AG54" s="474">
        <v>43479</v>
      </c>
      <c r="AH54" s="474">
        <v>43480</v>
      </c>
      <c r="AI54" s="474">
        <v>43481</v>
      </c>
      <c r="AJ54" s="474">
        <v>43482</v>
      </c>
      <c r="AK54" s="474">
        <v>43483</v>
      </c>
      <c r="AL54" s="474">
        <v>43484</v>
      </c>
      <c r="AM54" s="474">
        <v>43485</v>
      </c>
      <c r="AN54" s="474">
        <v>43486</v>
      </c>
      <c r="AO54" s="474">
        <v>43487</v>
      </c>
      <c r="AP54" s="474">
        <v>43488</v>
      </c>
      <c r="AQ54" s="474">
        <v>43489</v>
      </c>
      <c r="AR54" s="474">
        <v>43490</v>
      </c>
      <c r="AS54" s="474">
        <v>43491</v>
      </c>
      <c r="AT54" s="474">
        <v>43492</v>
      </c>
      <c r="AU54" s="474">
        <v>43493</v>
      </c>
      <c r="AV54" s="474">
        <v>43494</v>
      </c>
      <c r="AW54" s="474">
        <v>43495</v>
      </c>
      <c r="AX54" s="474">
        <v>43496</v>
      </c>
    </row>
    <row r="55" spans="2:57" s="54" customFormat="1" ht="36.75" customHeight="1" thickBot="1">
      <c r="B55" s="455" t="str">
        <f>I26</f>
        <v>CARIB</v>
      </c>
      <c r="C55" s="478">
        <v>46307</v>
      </c>
      <c r="D55" s="444">
        <f>[18]October_2026!$O$3</f>
        <v>405.7</v>
      </c>
      <c r="E55" s="442"/>
      <c r="F55" s="443"/>
      <c r="G55" s="443">
        <f>[18]October_2026!$O$7</f>
        <v>382.3</v>
      </c>
      <c r="H55" s="457"/>
      <c r="I55" s="457"/>
      <c r="J55" s="447" t="s">
        <v>173</v>
      </c>
      <c r="K55" s="448">
        <f>[19]October_2026!$O$18</f>
        <v>0.67070175438596491</v>
      </c>
      <c r="L55" s="456">
        <f>(((D55+E55)-G55)/(D55+E55))*100</f>
        <v>5.7678087256593482</v>
      </c>
      <c r="M55" s="454" t="s">
        <v>171</v>
      </c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[20]January_2019!L5</f>
        <v>0</v>
      </c>
      <c r="AC55" s="57">
        <f>[20]January_2019!M5</f>
        <v>0</v>
      </c>
      <c r="AD55" s="57">
        <f>[20]January_2019!N5</f>
        <v>0</v>
      </c>
      <c r="AE55" s="57">
        <f>[20]January_2019!O5</f>
        <v>0</v>
      </c>
      <c r="AF55" s="57">
        <f>[20]January_2019!P5</f>
        <v>0</v>
      </c>
      <c r="AG55" s="57">
        <f>[20]January_2019!Q5</f>
        <v>0</v>
      </c>
      <c r="AH55" s="57">
        <f>[20]January_2019!R5</f>
        <v>0</v>
      </c>
      <c r="AI55" s="57">
        <f>[20]January_2019!S5</f>
        <v>0</v>
      </c>
      <c r="AJ55" s="57">
        <f>[20]January_2019!T5</f>
        <v>0</v>
      </c>
      <c r="AK55" s="57">
        <f>[20]January_2019!U5</f>
        <v>0</v>
      </c>
      <c r="AL55" s="57">
        <f>[20]January_2019!V5</f>
        <v>0</v>
      </c>
      <c r="AM55" s="57">
        <f>[20]January_2019!W5</f>
        <v>0</v>
      </c>
      <c r="AN55" s="57">
        <f>[20]January_2019!X5</f>
        <v>0</v>
      </c>
      <c r="AO55" s="57">
        <f>[20]January_2019!Y5</f>
        <v>0</v>
      </c>
      <c r="AP55" s="57">
        <f>[20]January_2019!Z5</f>
        <v>0</v>
      </c>
      <c r="AQ55" s="57">
        <f>[20]January_2019!AA5</f>
        <v>0</v>
      </c>
      <c r="AR55" s="57">
        <f>[20]January_2019!AB5</f>
        <v>0</v>
      </c>
      <c r="AS55" s="57">
        <f>[20]January_2019!AC5</f>
        <v>0</v>
      </c>
      <c r="AT55" s="57">
        <f>[20]January_2019!AD5</f>
        <v>0</v>
      </c>
      <c r="AU55" s="57">
        <f>[20]January_2019!AE5</f>
        <v>0</v>
      </c>
      <c r="AV55" s="57">
        <f>[20]January_2019!AF5</f>
        <v>0</v>
      </c>
      <c r="AW55" s="57">
        <f>[20]January_2019!AG5</f>
        <v>0</v>
      </c>
      <c r="AX55" s="277">
        <f>[20]January_2019!AH5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4.25" hidden="1" customHeight="1" thickBot="1">
      <c r="B56" s="479"/>
      <c r="C56" s="478"/>
      <c r="D56" s="441"/>
      <c r="E56" s="442"/>
      <c r="F56" s="443"/>
      <c r="G56" s="444"/>
      <c r="H56" s="457"/>
      <c r="I56" s="457"/>
      <c r="J56" s="475"/>
      <c r="K56" s="448"/>
      <c r="L56" s="456"/>
      <c r="M56" s="454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[20]January_2019!L6</f>
        <v>0</v>
      </c>
      <c r="AC56" s="57">
        <f>[20]January_2019!M6</f>
        <v>0</v>
      </c>
      <c r="AD56" s="57">
        <f>[20]January_2019!N6</f>
        <v>0</v>
      </c>
      <c r="AE56" s="57">
        <f>[20]January_2019!O6</f>
        <v>0</v>
      </c>
      <c r="AF56" s="57">
        <f>[20]January_2019!P6</f>
        <v>0</v>
      </c>
      <c r="AG56" s="57">
        <f>[20]January_2019!Q6</f>
        <v>0</v>
      </c>
      <c r="AH56" s="57">
        <f>[20]January_2019!R6</f>
        <v>0</v>
      </c>
      <c r="AI56" s="57">
        <f>[20]January_2019!S6</f>
        <v>0</v>
      </c>
      <c r="AJ56" s="57">
        <f>[20]January_2019!T6</f>
        <v>0</v>
      </c>
      <c r="AK56" s="57">
        <f>[20]January_2019!U6</f>
        <v>0</v>
      </c>
      <c r="AL56" s="57">
        <f>[20]January_2019!V6</f>
        <v>0</v>
      </c>
      <c r="AM56" s="57">
        <f>[20]January_2019!W6</f>
        <v>0</v>
      </c>
      <c r="AN56" s="57">
        <f>[20]January_2019!X6</f>
        <v>0</v>
      </c>
      <c r="AO56" s="57">
        <f>[20]January_2019!Y6</f>
        <v>0</v>
      </c>
      <c r="AP56" s="57">
        <f>[20]January_2019!Z6</f>
        <v>0</v>
      </c>
      <c r="AQ56" s="57">
        <f>[20]January_2019!AA6</f>
        <v>0</v>
      </c>
      <c r="AR56" s="57">
        <f>[20]January_2019!AB6</f>
        <v>0</v>
      </c>
      <c r="AS56" s="57">
        <f>[20]January_2019!AC6</f>
        <v>0</v>
      </c>
      <c r="AT56" s="57">
        <f>[20]January_2019!AD6</f>
        <v>0</v>
      </c>
      <c r="AU56" s="57">
        <f>[20]January_2019!AE6</f>
        <v>0</v>
      </c>
      <c r="AV56" s="57">
        <f>[20]January_2019!AF6</f>
        <v>0</v>
      </c>
      <c r="AW56" s="57">
        <f>[20]January_2019!AG6</f>
        <v>0</v>
      </c>
      <c r="AX56" s="277">
        <f>[20]January_2019!AH6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37.15" hidden="1" customHeight="1" thickBot="1">
      <c r="B57" s="489" t="str">
        <f>J41</f>
        <v>STAG</v>
      </c>
      <c r="C57" s="478">
        <v>46303</v>
      </c>
      <c r="D57" s="441">
        <f>[18]October_2026!$K$13</f>
        <v>292</v>
      </c>
      <c r="E57" s="442"/>
      <c r="F57" s="443"/>
      <c r="G57" s="443">
        <f>[18]October_2026!$K$17</f>
        <v>278</v>
      </c>
      <c r="H57" s="445"/>
      <c r="I57" s="445"/>
      <c r="J57" s="447" t="s">
        <v>150</v>
      </c>
      <c r="K57" s="448">
        <f>[19]October_2026!$K$25</f>
        <v>0.9754385964912281</v>
      </c>
      <c r="L57" s="456">
        <f>(((D57+E57)-G57)/(D57+E57))*100</f>
        <v>4.7945205479452051</v>
      </c>
      <c r="M57" s="454" t="s">
        <v>176</v>
      </c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[20]January_2019!L7</f>
        <v>285.8</v>
      </c>
      <c r="AC57" s="57">
        <f>[20]January_2019!M7</f>
        <v>508.1</v>
      </c>
      <c r="AD57" s="57">
        <f>[20]January_2019!N7</f>
        <v>0</v>
      </c>
      <c r="AE57" s="57">
        <f>[20]January_2019!O7</f>
        <v>0</v>
      </c>
      <c r="AF57" s="57">
        <f>[20]January_2019!P7</f>
        <v>109.56666666666666</v>
      </c>
      <c r="AG57" s="57">
        <f>[20]January_2019!Q7</f>
        <v>297.64999999999998</v>
      </c>
      <c r="AH57" s="57">
        <f>[20]January_2019!R7</f>
        <v>122.3</v>
      </c>
      <c r="AI57" s="57">
        <f>[20]January_2019!S7</f>
        <v>0</v>
      </c>
      <c r="AJ57" s="57">
        <f>[20]January_2019!T7</f>
        <v>294.7</v>
      </c>
      <c r="AK57" s="57">
        <f>[20]January_2019!U7</f>
        <v>280.5</v>
      </c>
      <c r="AL57" s="57">
        <f>[20]January_2019!V7</f>
        <v>0</v>
      </c>
      <c r="AM57" s="57">
        <f>[20]January_2019!W7</f>
        <v>0</v>
      </c>
      <c r="AN57" s="57">
        <f>[20]January_2019!X7</f>
        <v>188.25</v>
      </c>
      <c r="AO57" s="57">
        <f>[20]January_2019!Y7</f>
        <v>295.7</v>
      </c>
      <c r="AP57" s="57">
        <f>[20]January_2019!Z7</f>
        <v>257.8</v>
      </c>
      <c r="AQ57" s="57">
        <f>[20]January_2019!AA7</f>
        <v>291.2</v>
      </c>
      <c r="AR57" s="57">
        <f>[20]January_2019!AB7</f>
        <v>187</v>
      </c>
      <c r="AS57" s="57">
        <f>[20]January_2019!AC7</f>
        <v>0</v>
      </c>
      <c r="AT57" s="57">
        <f>[20]January_2019!AD7</f>
        <v>0</v>
      </c>
      <c r="AU57" s="57">
        <f>[20]January_2019!AE7</f>
        <v>485.1</v>
      </c>
      <c r="AV57" s="57">
        <f>[20]January_2019!AF7</f>
        <v>171.55</v>
      </c>
      <c r="AW57" s="57">
        <f>[20]January_2019!AG7</f>
        <v>423.8</v>
      </c>
      <c r="AX57" s="277">
        <f>[20]January_2019!AH7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18.600000000000001" hidden="1" customHeight="1" thickBot="1">
      <c r="B58" s="477"/>
      <c r="C58" s="429"/>
      <c r="D58" s="430"/>
      <c r="E58" s="431"/>
      <c r="F58" s="432"/>
      <c r="G58" s="433"/>
      <c r="H58" s="457"/>
      <c r="I58" s="457"/>
      <c r="J58" s="450"/>
      <c r="K58" s="435"/>
      <c r="L58" s="451"/>
      <c r="M58" s="420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8.65" hidden="1" customHeight="1" thickBot="1">
      <c r="B59" s="486"/>
      <c r="C59" s="478"/>
      <c r="D59" s="441"/>
      <c r="E59" s="442"/>
      <c r="F59" s="443"/>
      <c r="G59" s="444"/>
      <c r="H59" s="457"/>
      <c r="I59" s="457"/>
      <c r="J59" s="447"/>
      <c r="K59" s="458"/>
      <c r="L59" s="456"/>
      <c r="M59" s="454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5" hidden="1">
      <c r="B60" s="452"/>
      <c r="C60" s="429"/>
      <c r="D60" s="430"/>
      <c r="E60" s="431"/>
      <c r="F60" s="432"/>
      <c r="G60" s="433"/>
      <c r="H60" s="434"/>
      <c r="I60" s="449"/>
      <c r="J60" s="450"/>
      <c r="K60" s="435"/>
      <c r="L60" s="451"/>
      <c r="M60" s="420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7.15" hidden="1" customHeight="1" thickBot="1">
      <c r="B61" s="480"/>
      <c r="C61" s="478"/>
      <c r="D61" s="441"/>
      <c r="E61" s="442"/>
      <c r="F61" s="443"/>
      <c r="G61" s="444"/>
      <c r="H61" s="445"/>
      <c r="I61" s="446"/>
      <c r="J61" s="447"/>
      <c r="K61" s="448"/>
      <c r="L61" s="456"/>
      <c r="M61" s="454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16.5" hidden="1" customHeight="1" thickBot="1">
      <c r="B62" s="436"/>
      <c r="C62" s="422"/>
      <c r="D62" s="423"/>
      <c r="E62" s="424"/>
      <c r="F62" s="425"/>
      <c r="G62" s="426"/>
      <c r="H62" s="427"/>
      <c r="I62" s="437"/>
      <c r="J62" s="438"/>
      <c r="K62" s="428"/>
      <c r="L62" s="439"/>
      <c r="M62" s="421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414"/>
      <c r="AC62" s="414"/>
      <c r="AD62" s="414"/>
      <c r="AE62" s="414"/>
      <c r="AF62" s="414"/>
      <c r="AG62" s="414"/>
      <c r="AH62" s="414"/>
      <c r="AI62" s="414"/>
      <c r="AJ62" s="414"/>
      <c r="AK62" s="414"/>
      <c r="AL62" s="414"/>
      <c r="AM62" s="414"/>
      <c r="AN62" s="414"/>
      <c r="AO62" s="414"/>
      <c r="AP62" s="414"/>
      <c r="AQ62" s="414"/>
      <c r="AR62" s="414"/>
      <c r="AS62" s="414"/>
      <c r="AT62" s="414"/>
      <c r="AU62" s="414"/>
      <c r="AV62" s="414"/>
      <c r="AW62" s="414"/>
    </row>
    <row r="63" spans="2:57" s="54" customFormat="1" ht="37.15" hidden="1" customHeight="1" thickBot="1">
      <c r="B63" s="455"/>
      <c r="C63" s="440"/>
      <c r="D63" s="441"/>
      <c r="E63" s="442"/>
      <c r="F63" s="443"/>
      <c r="G63" s="444"/>
      <c r="H63" s="445"/>
      <c r="I63" s="446"/>
      <c r="J63" s="447"/>
      <c r="K63" s="448"/>
      <c r="L63" s="456"/>
      <c r="M63" s="453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s="54" customFormat="1" ht="37.15" hidden="1" customHeight="1">
      <c r="B64" s="465"/>
      <c r="C64" s="429"/>
      <c r="D64" s="459"/>
      <c r="E64" s="460"/>
      <c r="F64" s="461"/>
      <c r="G64" s="459"/>
      <c r="H64" s="462"/>
      <c r="I64" s="462"/>
      <c r="J64" s="462"/>
      <c r="K64" s="463"/>
      <c r="L64" s="464"/>
      <c r="M64" s="50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277"/>
      <c r="AY64" s="277"/>
      <c r="AZ64" s="277"/>
      <c r="BA64" s="277"/>
      <c r="BB64" s="277"/>
      <c r="BC64" s="277"/>
      <c r="BD64" s="277"/>
      <c r="BE64" s="277"/>
    </row>
    <row r="65" spans="2:16" ht="18" customHeight="1" thickBot="1">
      <c r="B65" s="59"/>
      <c r="C65" s="30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 t="s">
        <v>41</v>
      </c>
      <c r="O65" s="56"/>
      <c r="P65" s="60"/>
    </row>
    <row r="66" spans="2:16" ht="15.75" thickBot="1">
      <c r="B66" s="498" t="s">
        <v>55</v>
      </c>
      <c r="C66" s="499"/>
      <c r="D66" s="499"/>
      <c r="E66" s="499"/>
      <c r="F66" s="500"/>
      <c r="G66" s="498" t="s">
        <v>56</v>
      </c>
      <c r="H66" s="499"/>
      <c r="I66" s="499"/>
      <c r="J66" s="500"/>
      <c r="K66" s="498" t="s">
        <v>51</v>
      </c>
      <c r="L66" s="499"/>
      <c r="M66" s="499"/>
      <c r="N66" s="501"/>
      <c r="O66" s="56"/>
      <c r="P66" s="50"/>
    </row>
    <row r="67" spans="2:16" ht="15">
      <c r="B67" s="61" t="s">
        <v>17</v>
      </c>
      <c r="C67" s="62" t="s">
        <v>36</v>
      </c>
      <c r="D67" s="62" t="s">
        <v>37</v>
      </c>
      <c r="E67" s="62" t="s">
        <v>38</v>
      </c>
      <c r="F67" s="63" t="s">
        <v>39</v>
      </c>
      <c r="G67" s="62" t="s">
        <v>36</v>
      </c>
      <c r="H67" s="62" t="s">
        <v>37</v>
      </c>
      <c r="I67" s="62" t="s">
        <v>38</v>
      </c>
      <c r="J67" s="63" t="s">
        <v>39</v>
      </c>
      <c r="K67" s="62" t="s">
        <v>36</v>
      </c>
      <c r="L67" s="62" t="s">
        <v>37</v>
      </c>
      <c r="M67" s="62" t="s">
        <v>38</v>
      </c>
      <c r="N67" s="63" t="s">
        <v>39</v>
      </c>
      <c r="O67" s="56"/>
      <c r="P67" s="64"/>
    </row>
    <row r="68" spans="2:16" ht="15">
      <c r="B68" s="29" t="s">
        <v>6</v>
      </c>
      <c r="C68" s="65">
        <f>L55</f>
        <v>5.7678087256593482</v>
      </c>
      <c r="D68" s="76">
        <v>5.0617025726835605</v>
      </c>
      <c r="E68" s="76">
        <v>6.3604414265175544</v>
      </c>
      <c r="F68" s="66">
        <v>4.8</v>
      </c>
      <c r="G68" s="65">
        <f>[18]October_2026!$O$11</f>
        <v>6.8300073390577118</v>
      </c>
      <c r="H68" s="476">
        <v>5.7985102036843639</v>
      </c>
      <c r="I68" s="476">
        <v>6.4878376975724041</v>
      </c>
      <c r="J68" s="66">
        <v>4.8</v>
      </c>
      <c r="K68" s="67">
        <f>K55</f>
        <v>0.67070175438596491</v>
      </c>
      <c r="L68" s="194">
        <v>0.76686716791979959</v>
      </c>
      <c r="M68" s="194">
        <v>0.55336583801067774</v>
      </c>
      <c r="N68" s="68">
        <v>1</v>
      </c>
      <c r="O68" s="56"/>
      <c r="P68" s="69"/>
    </row>
    <row r="69" spans="2:16" ht="15">
      <c r="B69" s="33" t="s">
        <v>9</v>
      </c>
      <c r="C69" s="65"/>
      <c r="D69" s="76">
        <v>5.062325108114992</v>
      </c>
      <c r="E69" s="76">
        <v>6.0120934601385283</v>
      </c>
      <c r="F69" s="66">
        <v>4.8</v>
      </c>
      <c r="G69" s="65"/>
      <c r="H69" s="76">
        <v>5.6760230336831157</v>
      </c>
      <c r="I69" s="76">
        <v>5.9217471497494181</v>
      </c>
      <c r="J69" s="66">
        <v>4.8</v>
      </c>
      <c r="K69" s="67"/>
      <c r="L69" s="194">
        <v>0.65473684210526317</v>
      </c>
      <c r="M69" s="194">
        <v>0.68123957181115813</v>
      </c>
      <c r="N69" s="68">
        <v>1</v>
      </c>
      <c r="P69" s="69"/>
    </row>
    <row r="70" spans="2:16" ht="15">
      <c r="B70" s="34" t="s">
        <v>40</v>
      </c>
      <c r="C70" s="65"/>
      <c r="D70" s="76"/>
      <c r="E70" s="76">
        <v>10.890214570112384</v>
      </c>
      <c r="F70" s="66">
        <v>5.5</v>
      </c>
      <c r="G70" s="65"/>
      <c r="H70" s="76"/>
      <c r="I70" s="76">
        <v>11.797659278069149</v>
      </c>
      <c r="J70" s="66">
        <v>5.5</v>
      </c>
      <c r="K70" s="67"/>
      <c r="L70" s="194"/>
      <c r="M70" s="194">
        <v>0.35370190356844494</v>
      </c>
      <c r="N70" s="68">
        <v>1</v>
      </c>
      <c r="P70" s="69"/>
    </row>
    <row r="71" spans="2:16" ht="15">
      <c r="B71" s="22" t="s">
        <v>33</v>
      </c>
      <c r="C71" s="65"/>
      <c r="D71" s="76">
        <v>2.6160971335586405</v>
      </c>
      <c r="E71" s="76">
        <v>4.6053599467161712</v>
      </c>
      <c r="F71" s="66">
        <v>3.3</v>
      </c>
      <c r="G71" s="65"/>
      <c r="H71" s="76">
        <v>4.0562064167659644</v>
      </c>
      <c r="I71" s="76">
        <v>4.7835858167498584</v>
      </c>
      <c r="J71" s="66">
        <v>3.3</v>
      </c>
      <c r="K71" s="67"/>
      <c r="L71" s="194">
        <v>1.3649122807017544</v>
      </c>
      <c r="M71" s="194">
        <v>0.83244019138755987</v>
      </c>
      <c r="N71" s="68">
        <v>1</v>
      </c>
      <c r="P71" s="69"/>
    </row>
    <row r="72" spans="2:16" ht="15">
      <c r="B72" s="35" t="s">
        <v>164</v>
      </c>
      <c r="C72" s="65"/>
      <c r="D72" s="76"/>
      <c r="E72" s="76"/>
      <c r="F72" s="66">
        <v>3.3</v>
      </c>
      <c r="G72" s="282"/>
      <c r="H72" s="76"/>
      <c r="I72" s="76"/>
      <c r="J72" s="66">
        <v>3</v>
      </c>
      <c r="K72" s="67"/>
      <c r="L72" s="194"/>
      <c r="M72" s="194"/>
      <c r="N72" s="68">
        <v>1</v>
      </c>
      <c r="P72" s="69"/>
    </row>
    <row r="73" spans="2:16" ht="15">
      <c r="B73" s="36" t="s">
        <v>15</v>
      </c>
      <c r="C73" s="65"/>
      <c r="D73" s="76"/>
      <c r="E73" s="76">
        <v>6.3233965672990236</v>
      </c>
      <c r="F73" s="70">
        <v>5.5</v>
      </c>
      <c r="G73" s="65"/>
      <c r="H73" s="76"/>
      <c r="I73" s="76">
        <v>7.9667553186446929</v>
      </c>
      <c r="J73" s="66">
        <v>5.5</v>
      </c>
      <c r="K73" s="67"/>
      <c r="L73" s="194"/>
      <c r="M73" s="194">
        <v>0.5883625730994152</v>
      </c>
      <c r="N73" s="68">
        <v>1</v>
      </c>
      <c r="P73" s="69"/>
    </row>
    <row r="74" spans="2:16" ht="15">
      <c r="B74" s="37" t="s">
        <v>16</v>
      </c>
      <c r="C74" s="481"/>
      <c r="D74" s="76"/>
      <c r="E74" s="76">
        <v>3.9973372218347856</v>
      </c>
      <c r="F74" s="66">
        <v>3.3</v>
      </c>
      <c r="G74" s="282"/>
      <c r="H74" s="76"/>
      <c r="I74" s="76">
        <v>5.1096183510504902</v>
      </c>
      <c r="J74" s="66">
        <v>3.3</v>
      </c>
      <c r="K74" s="67"/>
      <c r="L74" s="194"/>
      <c r="M74" s="194">
        <v>0.89057130004498408</v>
      </c>
      <c r="N74" s="71">
        <v>1</v>
      </c>
      <c r="P74" s="69"/>
    </row>
    <row r="75" spans="2:16" ht="15.75" thickBot="1">
      <c r="B75" s="38" t="s">
        <v>163</v>
      </c>
      <c r="C75" s="65"/>
      <c r="D75" s="76"/>
      <c r="E75" s="76"/>
      <c r="F75" s="66">
        <v>7.5</v>
      </c>
      <c r="G75" s="282"/>
      <c r="H75" s="76"/>
      <c r="I75" s="76"/>
      <c r="J75" s="66">
        <v>7.5</v>
      </c>
      <c r="K75" s="67"/>
      <c r="L75" s="194"/>
      <c r="M75" s="194"/>
      <c r="N75" s="71">
        <v>1</v>
      </c>
      <c r="P75" s="69"/>
    </row>
    <row r="76" spans="2:16" ht="15.75" thickBot="1">
      <c r="B76" s="413" t="s">
        <v>161</v>
      </c>
      <c r="C76" s="65"/>
      <c r="D76" s="76"/>
      <c r="E76" s="76"/>
      <c r="F76" s="66">
        <v>4.8</v>
      </c>
      <c r="G76" s="282"/>
      <c r="H76" s="76"/>
      <c r="I76" s="76"/>
      <c r="J76" s="66">
        <v>4.8</v>
      </c>
      <c r="K76" s="67"/>
      <c r="L76" s="194"/>
      <c r="M76" s="194"/>
      <c r="N76" s="71">
        <v>1</v>
      </c>
      <c r="O76" s="74"/>
      <c r="P76" s="75"/>
    </row>
    <row r="77" spans="2:16" ht="15">
      <c r="D77" s="76">
        <v>4.7006414166620489</v>
      </c>
      <c r="E77" s="76">
        <v>6.2947585755243551</v>
      </c>
      <c r="F77" s="341">
        <v>5.5</v>
      </c>
      <c r="H77" s="76">
        <v>5.4371284316169559</v>
      </c>
      <c r="I77" s="76">
        <v>6.6050831455670282</v>
      </c>
      <c r="J77" s="341">
        <v>5.5</v>
      </c>
      <c r="L77" s="194">
        <v>0.80424561403508787</v>
      </c>
      <c r="M77" s="194">
        <v>0.60603788058401398</v>
      </c>
      <c r="N77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4:N24"/>
    <mergeCell ref="D25:E25"/>
    <mergeCell ref="B26:B37"/>
    <mergeCell ref="D26:E27"/>
    <mergeCell ref="D28:E29"/>
    <mergeCell ref="D30:E31"/>
    <mergeCell ref="D32:E33"/>
    <mergeCell ref="D34:E35"/>
    <mergeCell ref="D36:E37"/>
    <mergeCell ref="B38:B47"/>
    <mergeCell ref="D38:E39"/>
    <mergeCell ref="J38:K38"/>
    <mergeCell ref="L39:N39"/>
    <mergeCell ref="D40:E41"/>
    <mergeCell ref="D42:E43"/>
    <mergeCell ref="D44:E45"/>
    <mergeCell ref="D46:E47"/>
    <mergeCell ref="D48:E48"/>
    <mergeCell ref="B53:B54"/>
    <mergeCell ref="C53:C54"/>
    <mergeCell ref="D53:D54"/>
    <mergeCell ref="E53:E54"/>
    <mergeCell ref="M53:M54"/>
    <mergeCell ref="B66:F66"/>
    <mergeCell ref="G66:J66"/>
    <mergeCell ref="K66:N66"/>
    <mergeCell ref="G53:G54"/>
    <mergeCell ref="H53:H54"/>
    <mergeCell ref="I53:I54"/>
    <mergeCell ref="J53:J54"/>
    <mergeCell ref="K53:K54"/>
    <mergeCell ref="L53:L54"/>
    <mergeCell ref="F53:F54"/>
  </mergeCells>
  <conditionalFormatting sqref="B48:B49">
    <cfRule type="cellIs" dxfId="768" priority="123" operator="notBetween">
      <formula>#REF!</formula>
      <formula>#REF!</formula>
    </cfRule>
  </conditionalFormatting>
  <conditionalFormatting sqref="C52">
    <cfRule type="cellIs" dxfId="767" priority="206" stopIfTrue="1" operator="greaterThan">
      <formula>100</formula>
    </cfRule>
    <cfRule type="cellIs" dxfId="766" priority="205" stopIfTrue="1" operator="lessThan">
      <formula>96</formula>
    </cfRule>
  </conditionalFormatting>
  <conditionalFormatting sqref="C68:C69">
    <cfRule type="cellIs" dxfId="765" priority="88" stopIfTrue="1" operator="greaterThan">
      <formula>$F68</formula>
    </cfRule>
    <cfRule type="cellIs" dxfId="764" priority="89" stopIfTrue="1" operator="lessThanOrEqual">
      <formula>0</formula>
    </cfRule>
    <cfRule type="cellIs" dxfId="763" priority="86" stopIfTrue="1" operator="greaterThan">
      <formula>$F68</formula>
    </cfRule>
    <cfRule type="cellIs" dxfId="762" priority="87" stopIfTrue="1" operator="lessThanOrEqual">
      <formula>0</formula>
    </cfRule>
  </conditionalFormatting>
  <conditionalFormatting sqref="C70:C72 C74:C76">
    <cfRule type="cellIs" dxfId="761" priority="95" stopIfTrue="1" operator="greaterThan">
      <formula>$F73</formula>
    </cfRule>
  </conditionalFormatting>
  <conditionalFormatting sqref="C70:C72">
    <cfRule type="cellIs" dxfId="760" priority="96" stopIfTrue="1" operator="lessThanOrEqual">
      <formula>0</formula>
    </cfRule>
  </conditionalFormatting>
  <conditionalFormatting sqref="C73">
    <cfRule type="cellIs" dxfId="759" priority="209" stopIfTrue="1" operator="greaterThan">
      <formula>$F68</formula>
    </cfRule>
    <cfRule type="cellIs" dxfId="758" priority="210" stopIfTrue="1" operator="lessThanOrEqual">
      <formula>0</formula>
    </cfRule>
    <cfRule type="cellIs" dxfId="757" priority="208" stopIfTrue="1" operator="lessThanOrEqual">
      <formula>0</formula>
    </cfRule>
    <cfRule type="cellIs" dxfId="756" priority="207" stopIfTrue="1" operator="greaterThan">
      <formula>$F68</formula>
    </cfRule>
  </conditionalFormatting>
  <conditionalFormatting sqref="C74:C76">
    <cfRule type="cellIs" dxfId="755" priority="97" stopIfTrue="1" operator="lessThanOrEqual">
      <formula>0</formula>
    </cfRule>
  </conditionalFormatting>
  <conditionalFormatting sqref="C79:C83">
    <cfRule type="cellIs" dxfId="754" priority="197" stopIfTrue="1" operator="lessThanOrEqual">
      <formula>0</formula>
    </cfRule>
  </conditionalFormatting>
  <conditionalFormatting sqref="C80:C83">
    <cfRule type="cellIs" dxfId="753" priority="196" stopIfTrue="1" operator="greaterThan">
      <formula>$F$79</formula>
    </cfRule>
  </conditionalFormatting>
  <conditionalFormatting sqref="C85">
    <cfRule type="cellIs" dxfId="752" priority="199" stopIfTrue="1" operator="lessThanOrEqual">
      <formula>0</formula>
    </cfRule>
    <cfRule type="cellIs" dxfId="751" priority="198" stopIfTrue="1" operator="greaterThan">
      <formula>$F$79</formula>
    </cfRule>
  </conditionalFormatting>
  <conditionalFormatting sqref="C73:D73">
    <cfRule type="cellIs" dxfId="750" priority="84" stopIfTrue="1" operator="greaterThan">
      <formula>$J73</formula>
    </cfRule>
    <cfRule type="cellIs" dxfId="749" priority="85" stopIfTrue="1" operator="lessThanOrEqual">
      <formula>0</formula>
    </cfRule>
  </conditionalFormatting>
  <conditionalFormatting sqref="C79:D79 D81:D87">
    <cfRule type="cellIs" dxfId="748" priority="191" stopIfTrue="1" operator="greaterThan">
      <formula>4.5</formula>
    </cfRule>
  </conditionalFormatting>
  <conditionalFormatting sqref="D48:D49">
    <cfRule type="cellIs" dxfId="747" priority="124" operator="notBetween">
      <formula>#REF!</formula>
      <formula>#REF!</formula>
    </cfRule>
  </conditionalFormatting>
  <conditionalFormatting sqref="D68:D72 D74:D75">
    <cfRule type="cellIs" dxfId="746" priority="94" stopIfTrue="1" operator="lessThanOrEqual">
      <formula>0</formula>
    </cfRule>
  </conditionalFormatting>
  <conditionalFormatting sqref="D68:D72 D74:D77">
    <cfRule type="cellIs" dxfId="745" priority="91" stopIfTrue="1" operator="greaterThan">
      <formula>$F68</formula>
    </cfRule>
    <cfRule type="cellIs" dxfId="744" priority="90" stopIfTrue="1" operator="lessThanOrEqual">
      <formula>0</formula>
    </cfRule>
  </conditionalFormatting>
  <conditionalFormatting sqref="D76:D77">
    <cfRule type="cellIs" dxfId="743" priority="92" stopIfTrue="1" operator="lessThanOrEqual">
      <formula>0</formula>
    </cfRule>
  </conditionalFormatting>
  <conditionalFormatting sqref="D77">
    <cfRule type="cellIs" dxfId="742" priority="93" stopIfTrue="1" operator="lessThanOrEqual">
      <formula>0</formula>
    </cfRule>
  </conditionalFormatting>
  <conditionalFormatting sqref="D79 D81:D87">
    <cfRule type="cellIs" dxfId="741" priority="192" stopIfTrue="1" operator="lessThanOrEqual">
      <formula>0</formula>
    </cfRule>
  </conditionalFormatting>
  <conditionalFormatting sqref="D80">
    <cfRule type="cellIs" dxfId="740" priority="183" stopIfTrue="1" operator="greaterThan">
      <formula>$F$79</formula>
    </cfRule>
    <cfRule type="cellIs" dxfId="739" priority="184" stopIfTrue="1" operator="lessThanOrEqual">
      <formula>0</formula>
    </cfRule>
  </conditionalFormatting>
  <conditionalFormatting sqref="E10:E23">
    <cfRule type="cellIs" dxfId="738" priority="17" operator="lessThan">
      <formula>48</formula>
    </cfRule>
  </conditionalFormatting>
  <conditionalFormatting sqref="E51 E52:F52">
    <cfRule type="cellIs" dxfId="737" priority="188" stopIfTrue="1" operator="greaterThan">
      <formula>100</formula>
    </cfRule>
  </conditionalFormatting>
  <conditionalFormatting sqref="E52">
    <cfRule type="cellIs" dxfId="736" priority="186" stopIfTrue="1" operator="greaterThan">
      <formula>100</formula>
    </cfRule>
    <cfRule type="cellIs" dxfId="735" priority="185" stopIfTrue="1" operator="lessThan">
      <formula>96.8</formula>
    </cfRule>
  </conditionalFormatting>
  <conditionalFormatting sqref="E68:E76">
    <cfRule type="cellIs" dxfId="734" priority="57" stopIfTrue="1" operator="lessThanOrEqual">
      <formula>0</formula>
    </cfRule>
  </conditionalFormatting>
  <conditionalFormatting sqref="E68:E77">
    <cfRule type="cellIs" dxfId="733" priority="59" stopIfTrue="1" operator="lessThanOrEqual">
      <formula>0</formula>
    </cfRule>
    <cfRule type="cellIs" dxfId="732" priority="58" stopIfTrue="1" operator="greaterThan">
      <formula>$F68</formula>
    </cfRule>
  </conditionalFormatting>
  <conditionalFormatting sqref="E77">
    <cfRule type="cellIs" dxfId="731" priority="60" stopIfTrue="1" operator="lessThanOrEqual">
      <formula>0</formula>
    </cfRule>
  </conditionalFormatting>
  <conditionalFormatting sqref="E79:E87">
    <cfRule type="cellIs" dxfId="730" priority="177" stopIfTrue="1" operator="greaterThan">
      <formula>4.5</formula>
    </cfRule>
    <cfRule type="cellIs" dxfId="729" priority="178" stopIfTrue="1" operator="lessThanOrEqual">
      <formula>0</formula>
    </cfRule>
  </conditionalFormatting>
  <conditionalFormatting sqref="E52:F52 E51">
    <cfRule type="cellIs" dxfId="728" priority="187" stopIfTrue="1" operator="lessThan">
      <formula>96.5</formula>
    </cfRule>
  </conditionalFormatting>
  <conditionalFormatting sqref="F10:F11">
    <cfRule type="cellIs" dxfId="727" priority="18" operator="greaterThan">
      <formula>60</formula>
    </cfRule>
  </conditionalFormatting>
  <conditionalFormatting sqref="F21:F23">
    <cfRule type="cellIs" dxfId="726" priority="28" operator="greaterThan">
      <formula>60</formula>
    </cfRule>
  </conditionalFormatting>
  <conditionalFormatting sqref="F52">
    <cfRule type="cellIs" dxfId="725" priority="204" stopIfTrue="1" operator="greaterThan">
      <formula>100</formula>
    </cfRule>
    <cfRule type="cellIs" dxfId="724" priority="203" stopIfTrue="1" operator="lessThan">
      <formula>96.8</formula>
    </cfRule>
  </conditionalFormatting>
  <conditionalFormatting sqref="G12:G23">
    <cfRule type="expression" dxfId="723" priority="30">
      <formula>IF(+(IF(G12&lt;S12,0,IF(G12&gt;T12,0,1)))=0,1)</formula>
    </cfRule>
  </conditionalFormatting>
  <conditionalFormatting sqref="G68:G71 F77">
    <cfRule type="cellIs" dxfId="722" priority="67" stopIfTrue="1" operator="lessThanOrEqual">
      <formula>0</formula>
    </cfRule>
    <cfRule type="cellIs" dxfId="721" priority="66" stopIfTrue="1" operator="greaterThan">
      <formula>$F68</formula>
    </cfRule>
  </conditionalFormatting>
  <conditionalFormatting sqref="G70:G71">
    <cfRule type="cellIs" dxfId="720" priority="52" stopIfTrue="1" operator="greaterThan">
      <formula>$F70</formula>
    </cfRule>
    <cfRule type="cellIs" dxfId="719" priority="53" stopIfTrue="1" operator="lessThanOrEqual">
      <formula>0</formula>
    </cfRule>
  </conditionalFormatting>
  <conditionalFormatting sqref="G72:G76">
    <cfRule type="cellIs" dxfId="718" priority="69" stopIfTrue="1" operator="lessThanOrEqual">
      <formula>0</formula>
    </cfRule>
    <cfRule type="cellIs" dxfId="717" priority="68" stopIfTrue="1" operator="greaterThan">
      <formula>$J72</formula>
    </cfRule>
  </conditionalFormatting>
  <conditionalFormatting sqref="G73">
    <cfRule type="cellIs" dxfId="716" priority="211" stopIfTrue="1" operator="greaterThan">
      <formula>$F68</formula>
    </cfRule>
    <cfRule type="cellIs" dxfId="715" priority="212" stopIfTrue="1" operator="lessThanOrEqual">
      <formula>0</formula>
    </cfRule>
  </conditionalFormatting>
  <conditionalFormatting sqref="G81:G86 C84 C86">
    <cfRule type="cellIs" dxfId="714" priority="201" stopIfTrue="1" operator="lessThanOrEqual">
      <formula>0</formula>
    </cfRule>
    <cfRule type="cellIs" dxfId="713" priority="200" stopIfTrue="1" operator="greaterThan">
      <formula>4.5</formula>
    </cfRule>
  </conditionalFormatting>
  <conditionalFormatting sqref="G11:H11">
    <cfRule type="expression" dxfId="712" priority="33">
      <formula>IF(+(IF(G11&lt;#REF!,0,IF(G11&gt;#REF!,0,1)))=0,1)</formula>
    </cfRule>
  </conditionalFormatting>
  <conditionalFormatting sqref="G80:H80">
    <cfRule type="cellIs" dxfId="711" priority="181" stopIfTrue="1" operator="greaterThan">
      <formula>$F$79</formula>
    </cfRule>
    <cfRule type="cellIs" dxfId="710" priority="182" stopIfTrue="1" operator="lessThanOrEqual">
      <formula>0</formula>
    </cfRule>
  </conditionalFormatting>
  <conditionalFormatting sqref="H10 M10:N11">
    <cfRule type="expression" dxfId="709" priority="20">
      <formula>IF(+(IF(H10&lt;#REF!,0,IF(H10&gt;#REF!,0,1)))=0,1)</formula>
    </cfRule>
  </conditionalFormatting>
  <conditionalFormatting sqref="H12:H23">
    <cfRule type="expression" dxfId="708" priority="31">
      <formula>IF(+(IF(H12&lt;#REF!,0,IF(H12&gt;#REF!,0,1)))=0,1)</formula>
    </cfRule>
  </conditionalFormatting>
  <conditionalFormatting sqref="H37:H38 H51">
    <cfRule type="cellIs" dxfId="707" priority="179" stopIfTrue="1" operator="greaterThan">
      <formula>0</formula>
    </cfRule>
  </conditionalFormatting>
  <conditionalFormatting sqref="H55">
    <cfRule type="cellIs" dxfId="706" priority="82" stopIfTrue="1" operator="greaterThan">
      <formula>$F$69</formula>
    </cfRule>
    <cfRule type="cellIs" dxfId="705" priority="81" stopIfTrue="1" operator="lessThanOrEqual">
      <formula>0</formula>
    </cfRule>
    <cfRule type="cellIs" dxfId="704" priority="80" stopIfTrue="1" operator="greaterThan">
      <formula>$F$71</formula>
    </cfRule>
    <cfRule type="cellIs" dxfId="703" priority="71" stopIfTrue="1" operator="lessThanOrEqual">
      <formula>0</formula>
    </cfRule>
    <cfRule type="cellIs" dxfId="702" priority="72" stopIfTrue="1" operator="greaterThan">
      <formula>$F$68</formula>
    </cfRule>
  </conditionalFormatting>
  <conditionalFormatting sqref="H55:H56">
    <cfRule type="cellIs" dxfId="701" priority="83" stopIfTrue="1" operator="lessThanOrEqual">
      <formula>0</formula>
    </cfRule>
  </conditionalFormatting>
  <conditionalFormatting sqref="H56 H58:H59">
    <cfRule type="cellIs" dxfId="700" priority="109" stopIfTrue="1" operator="lessThanOrEqual">
      <formula>0</formula>
    </cfRule>
  </conditionalFormatting>
  <conditionalFormatting sqref="H56">
    <cfRule type="cellIs" dxfId="699" priority="106" stopIfTrue="1" operator="greaterThan">
      <formula>$F$71</formula>
    </cfRule>
    <cfRule type="cellIs" dxfId="698" priority="98" stopIfTrue="1" operator="greaterThan">
      <formula>$F$68</formula>
    </cfRule>
    <cfRule type="cellIs" dxfId="697" priority="107" stopIfTrue="1" operator="lessThanOrEqual">
      <formula>0</formula>
    </cfRule>
    <cfRule type="cellIs" dxfId="696" priority="108" stopIfTrue="1" operator="greaterThan">
      <formula>$F$69</formula>
    </cfRule>
  </conditionalFormatting>
  <conditionalFormatting sqref="H57">
    <cfRule type="cellIs" dxfId="695" priority="38" stopIfTrue="1" operator="lessThanOrEqual">
      <formula>0</formula>
    </cfRule>
    <cfRule type="cellIs" dxfId="694" priority="39" stopIfTrue="1" operator="greaterThan">
      <formula>$F$70</formula>
    </cfRule>
    <cfRule type="cellIs" dxfId="693" priority="47" stopIfTrue="1" operator="greaterThan">
      <formula>$F$73</formula>
    </cfRule>
    <cfRule type="cellIs" dxfId="692" priority="48" stopIfTrue="1" operator="lessThanOrEqual">
      <formula>0</formula>
    </cfRule>
    <cfRule type="cellIs" dxfId="691" priority="49" stopIfTrue="1" operator="greaterThan">
      <formula>$F$71</formula>
    </cfRule>
    <cfRule type="cellIs" dxfId="690" priority="50" stopIfTrue="1" operator="lessThanOrEqual">
      <formula>0</formula>
    </cfRule>
  </conditionalFormatting>
  <conditionalFormatting sqref="H58:H59">
    <cfRule type="cellIs" dxfId="689" priority="119" stopIfTrue="1" operator="greaterThan">
      <formula>$F$71</formula>
    </cfRule>
    <cfRule type="cellIs" dxfId="688" priority="111" stopIfTrue="1" operator="greaterThan">
      <formula>$F$68</formula>
    </cfRule>
    <cfRule type="cellIs" dxfId="687" priority="121" stopIfTrue="1" operator="greaterThan">
      <formula>$F$69</formula>
    </cfRule>
    <cfRule type="cellIs" dxfId="686" priority="122" stopIfTrue="1" operator="lessThanOrEqual">
      <formula>0</formula>
    </cfRule>
    <cfRule type="cellIs" dxfId="685" priority="120" stopIfTrue="1" operator="lessThanOrEqual">
      <formula>0</formula>
    </cfRule>
  </conditionalFormatting>
  <conditionalFormatting sqref="H60:H61">
    <cfRule type="cellIs" dxfId="684" priority="147" stopIfTrue="1" operator="greaterThan">
      <formula>#REF!</formula>
    </cfRule>
    <cfRule type="cellIs" dxfId="683" priority="146" stopIfTrue="1" operator="lessThanOrEqual">
      <formula>0</formula>
    </cfRule>
    <cfRule type="cellIs" dxfId="682" priority="155" stopIfTrue="1" operator="greaterThan">
      <formula>#REF!</formula>
    </cfRule>
    <cfRule type="cellIs" dxfId="681" priority="156" stopIfTrue="1" operator="lessThanOrEqual">
      <formula>0</formula>
    </cfRule>
  </conditionalFormatting>
  <conditionalFormatting sqref="H62">
    <cfRule type="cellIs" dxfId="680" priority="170" stopIfTrue="1" operator="lessThanOrEqual">
      <formula>0</formula>
    </cfRule>
    <cfRule type="cellIs" dxfId="679" priority="167" stopIfTrue="1" operator="greaterThan">
      <formula>$F$39</formula>
    </cfRule>
    <cfRule type="cellIs" dxfId="678" priority="158" stopIfTrue="1" operator="lessThanOrEqual">
      <formula>0</formula>
    </cfRule>
    <cfRule type="cellIs" dxfId="677" priority="159" stopIfTrue="1" operator="greaterThan">
      <formula>$F$36</formula>
    </cfRule>
    <cfRule type="cellIs" dxfId="676" priority="168" stopIfTrue="1" operator="lessThanOrEqual">
      <formula>0</formula>
    </cfRule>
    <cfRule type="cellIs" dxfId="675" priority="169" stopIfTrue="1" operator="greaterThan">
      <formula>$F$37</formula>
    </cfRule>
  </conditionalFormatting>
  <conditionalFormatting sqref="H63:H64">
    <cfRule type="cellIs" dxfId="674" priority="134" stopIfTrue="1" operator="lessThanOrEqual">
      <formula>0</formula>
    </cfRule>
    <cfRule type="cellIs" dxfId="673" priority="143" stopIfTrue="1" operator="greaterThan">
      <formula>#REF!</formula>
    </cfRule>
    <cfRule type="cellIs" dxfId="672" priority="135" stopIfTrue="1" operator="greaterThan">
      <formula>#REF!</formula>
    </cfRule>
    <cfRule type="cellIs" dxfId="671" priority="144" stopIfTrue="1" operator="lessThanOrEqual">
      <formula>0</formula>
    </cfRule>
  </conditionalFormatting>
  <conditionalFormatting sqref="H79 H81:H87">
    <cfRule type="cellIs" dxfId="670" priority="193" stopIfTrue="1" operator="greaterThan">
      <formula>4.5</formula>
    </cfRule>
    <cfRule type="cellIs" dxfId="669" priority="194" stopIfTrue="1" operator="lessThanOrEqual">
      <formula>0</formula>
    </cfRule>
  </conditionalFormatting>
  <conditionalFormatting sqref="H55:I55">
    <cfRule type="cellIs" dxfId="668" priority="73" stopIfTrue="1" operator="lessThanOrEqual">
      <formula>0</formula>
    </cfRule>
  </conditionalFormatting>
  <conditionalFormatting sqref="H55:I56 H58:I59">
    <cfRule type="cellIs" dxfId="667" priority="70" stopIfTrue="1" operator="greaterThan">
      <formula>$F$70</formula>
    </cfRule>
  </conditionalFormatting>
  <conditionalFormatting sqref="H56:I56">
    <cfRule type="cellIs" dxfId="666" priority="99" stopIfTrue="1" operator="lessThanOrEqual">
      <formula>0</formula>
    </cfRule>
  </conditionalFormatting>
  <conditionalFormatting sqref="H57:I57">
    <cfRule type="cellIs" dxfId="665" priority="37" stopIfTrue="1" operator="greaterThan">
      <formula>$F$72</formula>
    </cfRule>
    <cfRule type="cellIs" dxfId="664" priority="40" stopIfTrue="1" operator="lessThanOrEqual">
      <formula>0</formula>
    </cfRule>
  </conditionalFormatting>
  <conditionalFormatting sqref="H58:I59">
    <cfRule type="cellIs" dxfId="663" priority="112" stopIfTrue="1" operator="lessThanOrEqual">
      <formula>0</formula>
    </cfRule>
  </conditionalFormatting>
  <conditionalFormatting sqref="H60:I61">
    <cfRule type="cellIs" dxfId="662" priority="145" stopIfTrue="1" operator="greaterThan">
      <formula>#REF!</formula>
    </cfRule>
    <cfRule type="cellIs" dxfId="661" priority="154" stopIfTrue="1" operator="lessThanOrEqual">
      <formula>0</formula>
    </cfRule>
    <cfRule type="cellIs" dxfId="660" priority="148" stopIfTrue="1" operator="lessThanOrEqual">
      <formula>0</formula>
    </cfRule>
    <cfRule type="cellIs" dxfId="659" priority="153" stopIfTrue="1" operator="greaterThan">
      <formula>#REF!</formula>
    </cfRule>
  </conditionalFormatting>
  <conditionalFormatting sqref="H62:I62">
    <cfRule type="cellIs" dxfId="658" priority="160" stopIfTrue="1" operator="lessThanOrEqual">
      <formula>0</formula>
    </cfRule>
    <cfRule type="cellIs" dxfId="657" priority="157" stopIfTrue="1" operator="greaterThan">
      <formula>$F$38</formula>
    </cfRule>
  </conditionalFormatting>
  <conditionalFormatting sqref="H63:I64">
    <cfRule type="cellIs" dxfId="656" priority="136" stopIfTrue="1" operator="lessThanOrEqual">
      <formula>0</formula>
    </cfRule>
    <cfRule type="cellIs" dxfId="655" priority="142" stopIfTrue="1" operator="lessThanOrEqual">
      <formula>0</formula>
    </cfRule>
    <cfRule type="cellIs" dxfId="654" priority="141" stopIfTrue="1" operator="greaterThan">
      <formula>#REF!</formula>
    </cfRule>
    <cfRule type="cellIs" dxfId="653" priority="133" stopIfTrue="1" operator="greaterThan">
      <formula>#REF!</formula>
    </cfRule>
  </conditionalFormatting>
  <conditionalFormatting sqref="H68:I75">
    <cfRule type="cellIs" dxfId="652" priority="55" stopIfTrue="1" operator="greaterThan">
      <formula>$J68</formula>
    </cfRule>
    <cfRule type="cellIs" dxfId="651" priority="56" stopIfTrue="1" operator="lessThanOrEqual">
      <formula>0</formula>
    </cfRule>
  </conditionalFormatting>
  <conditionalFormatting sqref="H76:I76">
    <cfRule type="cellIs" dxfId="650" priority="63" operator="greaterThan">
      <formula>5.3</formula>
    </cfRule>
  </conditionalFormatting>
  <conditionalFormatting sqref="H77:I77">
    <cfRule type="cellIs" dxfId="649" priority="62" stopIfTrue="1" operator="lessThanOrEqual">
      <formula>0</formula>
    </cfRule>
    <cfRule type="cellIs" dxfId="648" priority="61" stopIfTrue="1" operator="greaterThan">
      <formula>$J77</formula>
    </cfRule>
  </conditionalFormatting>
  <conditionalFormatting sqref="I55">
    <cfRule type="cellIs" dxfId="647" priority="78" stopIfTrue="1" operator="greaterThan">
      <formula>$F$68</formula>
    </cfRule>
    <cfRule type="cellIs" dxfId="646" priority="77" stopIfTrue="1" operator="lessThanOrEqual">
      <formula>0</formula>
    </cfRule>
    <cfRule type="cellIs" dxfId="645" priority="76" stopIfTrue="1" operator="greaterThan">
      <formula>$F$70</formula>
    </cfRule>
    <cfRule type="cellIs" dxfId="644" priority="75" stopIfTrue="1" operator="lessThanOrEqual">
      <formula>0</formula>
    </cfRule>
    <cfRule type="cellIs" dxfId="643" priority="74" stopIfTrue="1" operator="greaterThan">
      <formula>$F$68</formula>
    </cfRule>
    <cfRule type="cellIs" dxfId="642" priority="79" stopIfTrue="1" operator="lessThanOrEqual">
      <formula>0</formula>
    </cfRule>
  </conditionalFormatting>
  <conditionalFormatting sqref="I56">
    <cfRule type="cellIs" dxfId="641" priority="100" stopIfTrue="1" operator="greaterThan">
      <formula>$F$68</formula>
    </cfRule>
    <cfRule type="cellIs" dxfId="640" priority="101" stopIfTrue="1" operator="lessThanOrEqual">
      <formula>0</formula>
    </cfRule>
    <cfRule type="cellIs" dxfId="639" priority="103" stopIfTrue="1" operator="lessThanOrEqual">
      <formula>0</formula>
    </cfRule>
    <cfRule type="cellIs" dxfId="638" priority="105" stopIfTrue="1" operator="lessThanOrEqual">
      <formula>0</formula>
    </cfRule>
    <cfRule type="cellIs" dxfId="637" priority="104" stopIfTrue="1" operator="greaterThan">
      <formula>$F$68</formula>
    </cfRule>
    <cfRule type="cellIs" dxfId="636" priority="102" stopIfTrue="1" operator="greaterThan">
      <formula>$F$70</formula>
    </cfRule>
  </conditionalFormatting>
  <conditionalFormatting sqref="I57">
    <cfRule type="cellIs" dxfId="635" priority="42" stopIfTrue="1" operator="lessThanOrEqual">
      <formula>0</formula>
    </cfRule>
    <cfRule type="cellIs" dxfId="634" priority="41" stopIfTrue="1" operator="greaterThan">
      <formula>$F$70</formula>
    </cfRule>
    <cfRule type="cellIs" dxfId="633" priority="43" stopIfTrue="1" operator="greaterThan">
      <formula>$F$72</formula>
    </cfRule>
    <cfRule type="cellIs" dxfId="632" priority="44" stopIfTrue="1" operator="lessThanOrEqual">
      <formula>0</formula>
    </cfRule>
    <cfRule type="cellIs" dxfId="631" priority="45" stopIfTrue="1" operator="greaterThan">
      <formula>$F$70</formula>
    </cfRule>
    <cfRule type="cellIs" dxfId="630" priority="46" stopIfTrue="1" operator="lessThanOrEqual">
      <formula>0</formula>
    </cfRule>
  </conditionalFormatting>
  <conditionalFormatting sqref="I58:I59">
    <cfRule type="cellIs" dxfId="629" priority="114" stopIfTrue="1" operator="lessThanOrEqual">
      <formula>0</formula>
    </cfRule>
    <cfRule type="cellIs" dxfId="628" priority="113" stopIfTrue="1" operator="greaterThan">
      <formula>$F$68</formula>
    </cfRule>
    <cfRule type="cellIs" dxfId="627" priority="115" stopIfTrue="1" operator="greaterThan">
      <formula>$F$70</formula>
    </cfRule>
    <cfRule type="cellIs" dxfId="626" priority="118" stopIfTrue="1" operator="lessThanOrEqual">
      <formula>0</formula>
    </cfRule>
    <cfRule type="cellIs" dxfId="625" priority="117" stopIfTrue="1" operator="greaterThan">
      <formula>$F$68</formula>
    </cfRule>
    <cfRule type="cellIs" dxfId="624" priority="116" stopIfTrue="1" operator="lessThanOrEqual">
      <formula>0</formula>
    </cfRule>
  </conditionalFormatting>
  <conditionalFormatting sqref="I60:I61">
    <cfRule type="cellIs" dxfId="623" priority="152" stopIfTrue="1" operator="lessThanOrEqual">
      <formula>0</formula>
    </cfRule>
    <cfRule type="cellIs" dxfId="622" priority="151" stopIfTrue="1" operator="greaterThan">
      <formula>#REF!</formula>
    </cfRule>
    <cfRule type="cellIs" dxfId="621" priority="149" stopIfTrue="1" operator="greaterThan">
      <formula>#REF!</formula>
    </cfRule>
    <cfRule type="cellIs" dxfId="620" priority="150" stopIfTrue="1" operator="lessThanOrEqual">
      <formula>0</formula>
    </cfRule>
  </conditionalFormatting>
  <conditionalFormatting sqref="I62">
    <cfRule type="cellIs" dxfId="619" priority="161" stopIfTrue="1" operator="greaterThan">
      <formula>$F$36</formula>
    </cfRule>
    <cfRule type="cellIs" dxfId="618" priority="162" stopIfTrue="1" operator="lessThanOrEqual">
      <formula>0</formula>
    </cfRule>
    <cfRule type="cellIs" dxfId="617" priority="163" stopIfTrue="1" operator="greaterThan">
      <formula>$F$38</formula>
    </cfRule>
    <cfRule type="cellIs" dxfId="616" priority="164" stopIfTrue="1" operator="lessThanOrEqual">
      <formula>0</formula>
    </cfRule>
    <cfRule type="cellIs" dxfId="615" priority="165" stopIfTrue="1" operator="greaterThan">
      <formula>$F$36</formula>
    </cfRule>
    <cfRule type="cellIs" dxfId="614" priority="166" stopIfTrue="1" operator="lessThanOrEqual">
      <formula>0</formula>
    </cfRule>
  </conditionalFormatting>
  <conditionalFormatting sqref="I63:I64">
    <cfRule type="cellIs" dxfId="613" priority="138" stopIfTrue="1" operator="lessThanOrEqual">
      <formula>0</formula>
    </cfRule>
    <cfRule type="cellIs" dxfId="612" priority="137" stopIfTrue="1" operator="greaterThan">
      <formula>#REF!</formula>
    </cfRule>
    <cfRule type="cellIs" dxfId="611" priority="139" stopIfTrue="1" operator="greaterThan">
      <formula>#REF!</formula>
    </cfRule>
    <cfRule type="cellIs" dxfId="610" priority="140" stopIfTrue="1" operator="lessThanOrEqual">
      <formula>0</formula>
    </cfRule>
  </conditionalFormatting>
  <conditionalFormatting sqref="I79:I87">
    <cfRule type="cellIs" dxfId="609" priority="190" stopIfTrue="1" operator="lessThanOrEqual">
      <formula>0</formula>
    </cfRule>
    <cfRule type="cellIs" dxfId="608" priority="189" stopIfTrue="1" operator="greaterThan">
      <formula>4.5</formula>
    </cfRule>
  </conditionalFormatting>
  <conditionalFormatting sqref="I10:J23">
    <cfRule type="cellIs" dxfId="607" priority="11" operator="lessThan">
      <formula>97.9</formula>
    </cfRule>
  </conditionalFormatting>
  <conditionalFormatting sqref="J26:J28">
    <cfRule type="cellIs" dxfId="606" priority="36" operator="lessThan">
      <formula>97.95</formula>
    </cfRule>
  </conditionalFormatting>
  <conditionalFormatting sqref="J27:J30">
    <cfRule type="cellIs" dxfId="605" priority="171" operator="lessThan">
      <formula>97.4</formula>
    </cfRule>
  </conditionalFormatting>
  <conditionalFormatting sqref="J31:J32">
    <cfRule type="cellIs" dxfId="604" priority="172" operator="lessThan">
      <formula>98</formula>
    </cfRule>
  </conditionalFormatting>
  <conditionalFormatting sqref="J33:J34">
    <cfRule type="cellIs" dxfId="603" priority="174" stopIfTrue="1" operator="greaterThan">
      <formula>100</formula>
    </cfRule>
    <cfRule type="cellIs" dxfId="602" priority="173" stopIfTrue="1" operator="lessThan">
      <formula>96.8</formula>
    </cfRule>
  </conditionalFormatting>
  <conditionalFormatting sqref="J33:J35">
    <cfRule type="cellIs" dxfId="601" priority="175" operator="lessThan">
      <formula>98</formula>
    </cfRule>
  </conditionalFormatting>
  <conditionalFormatting sqref="J64">
    <cfRule type="cellIs" dxfId="600" priority="125" stopIfTrue="1" operator="greaterThan">
      <formula>#REF!</formula>
    </cfRule>
    <cfRule type="cellIs" dxfId="599" priority="126" stopIfTrue="1" operator="lessThanOrEqual">
      <formula>0</formula>
    </cfRule>
    <cfRule type="cellIs" dxfId="598" priority="127" stopIfTrue="1" operator="greaterThan">
      <formula>#REF!</formula>
    </cfRule>
    <cfRule type="cellIs" dxfId="597" priority="132" stopIfTrue="1" operator="lessThanOrEqual">
      <formula>0</formula>
    </cfRule>
    <cfRule type="cellIs" dxfId="596" priority="131" stopIfTrue="1" operator="greaterThan">
      <formula>#REF!</formula>
    </cfRule>
    <cfRule type="cellIs" dxfId="595" priority="129" stopIfTrue="1" operator="greaterThan">
      <formula>#REF!</formula>
    </cfRule>
    <cfRule type="cellIs" dxfId="594" priority="130" stopIfTrue="1" operator="lessThanOrEqual">
      <formula>0</formula>
    </cfRule>
    <cfRule type="cellIs" dxfId="593" priority="128" stopIfTrue="1" operator="lessThanOrEqual">
      <formula>0</formula>
    </cfRule>
  </conditionalFormatting>
  <conditionalFormatting sqref="J77">
    <cfRule type="cellIs" dxfId="592" priority="64" stopIfTrue="1" operator="greaterThan">
      <formula>$F77</formula>
    </cfRule>
    <cfRule type="cellIs" dxfId="591" priority="65" stopIfTrue="1" operator="lessThanOrEqual">
      <formula>0</formula>
    </cfRule>
  </conditionalFormatting>
  <conditionalFormatting sqref="K10:K23">
    <cfRule type="cellIs" dxfId="590" priority="14" operator="greaterThan">
      <formula>6.4</formula>
    </cfRule>
    <cfRule type="cellIs" dxfId="589" priority="13" operator="lessThan">
      <formula>4</formula>
    </cfRule>
    <cfRule type="cellIs" dxfId="588" priority="12" operator="greaterThan">
      <formula>6</formula>
    </cfRule>
  </conditionalFormatting>
  <conditionalFormatting sqref="K55:K64">
    <cfRule type="cellIs" dxfId="587" priority="110" stopIfTrue="1" operator="lessThan">
      <formula>100%</formula>
    </cfRule>
  </conditionalFormatting>
  <conditionalFormatting sqref="K68:K76">
    <cfRule type="cellIs" dxfId="586" priority="54" stopIfTrue="1" operator="lessThan">
      <formula>100%</formula>
    </cfRule>
  </conditionalFormatting>
  <conditionalFormatting sqref="K79:K84">
    <cfRule type="cellIs" dxfId="585" priority="195" stopIfTrue="1" operator="lessThan">
      <formula>100%</formula>
    </cfRule>
  </conditionalFormatting>
  <conditionalFormatting sqref="K86:K87">
    <cfRule type="cellIs" dxfId="584" priority="202" stopIfTrue="1" operator="lessThan">
      <formula>100%</formula>
    </cfRule>
  </conditionalFormatting>
  <conditionalFormatting sqref="L10:L23">
    <cfRule type="cellIs" dxfId="583" priority="16" operator="greaterThan">
      <formula>65</formula>
    </cfRule>
    <cfRule type="cellIs" dxfId="582" priority="15" operator="between">
      <formula>61</formula>
      <formula>65</formula>
    </cfRule>
  </conditionalFormatting>
  <conditionalFormatting sqref="L26:M37">
    <cfRule type="cellIs" dxfId="581" priority="35" operator="lessThan">
      <formula>97.95</formula>
    </cfRule>
  </conditionalFormatting>
  <conditionalFormatting sqref="L41:N41">
    <cfRule type="cellIs" dxfId="580" priority="34" operator="notEqual">
      <formula>#REF!</formula>
    </cfRule>
  </conditionalFormatting>
  <conditionalFormatting sqref="L68:N77">
    <cfRule type="cellIs" dxfId="579" priority="51" stopIfTrue="1" operator="lessThan">
      <formula>100%</formula>
    </cfRule>
  </conditionalFormatting>
  <conditionalFormatting sqref="L79:N87">
    <cfRule type="cellIs" dxfId="578" priority="180" stopIfTrue="1" operator="lessThan">
      <formula>100%</formula>
    </cfRule>
  </conditionalFormatting>
  <conditionalFormatting sqref="M21:M23">
    <cfRule type="expression" dxfId="577" priority="29">
      <formula>IF(+(IF(M21&lt;U21,0,IF(M21&gt;V21,0,1)))=0,1)</formula>
    </cfRule>
  </conditionalFormatting>
  <conditionalFormatting sqref="M12:N20 N21:N23">
    <cfRule type="expression" dxfId="576" priority="32">
      <formula>IF(+(IF(M12&lt;V12,0,IF(M12&gt;W12,0,1)))=0,1)</formula>
    </cfRule>
  </conditionalFormatting>
  <conditionalFormatting sqref="N10:N11">
    <cfRule type="expression" dxfId="575" priority="19">
      <formula>IF(+(IF(N10&lt;W10,0,IF(N10&gt;X10,0,1)))=0,1)</formula>
    </cfRule>
  </conditionalFormatting>
  <conditionalFormatting sqref="P6">
    <cfRule type="cellIs" dxfId="574" priority="176" operator="greaterThanOrEqual">
      <formula>19</formula>
    </cfRule>
  </conditionalFormatting>
  <dataValidations count="1">
    <dataValidation type="list" allowBlank="1" showInputMessage="1" showErrorMessage="1" sqref="R8" xr:uid="{C1202B3E-04B8-48FD-BB78-F3CBCF8929B2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1" max="16383" man="1"/>
  </rowBreaks>
  <colBreaks count="1" manualBreakCount="1">
    <brk id="15" max="89" man="1"/>
  </col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1FB7A-93BE-4CFB-BA94-8FC0B2E87727}">
  <sheetPr>
    <pageSetUpPr fitToPage="1"/>
  </sheetPr>
  <dimension ref="A1:BE75"/>
  <sheetViews>
    <sheetView topLeftCell="A5" zoomScale="85" zoomScaleNormal="85" workbookViewId="0">
      <selection activeCell="M30" sqref="L30:M30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54" t="s">
        <v>0</v>
      </c>
      <c r="T1" s="554"/>
      <c r="U1" s="554" t="s">
        <v>1</v>
      </c>
      <c r="V1" s="554"/>
      <c r="W1" s="554" t="s">
        <v>2</v>
      </c>
      <c r="X1" s="554"/>
      <c r="Y1" s="554" t="s">
        <v>124</v>
      </c>
      <c r="Z1" s="554"/>
    </row>
    <row r="2" spans="2:29" ht="15">
      <c r="B2" s="555" t="s">
        <v>3</v>
      </c>
      <c r="C2" s="555"/>
      <c r="D2" s="555"/>
      <c r="E2" s="555"/>
      <c r="F2" s="555"/>
      <c r="G2" s="555"/>
      <c r="H2" s="555"/>
      <c r="I2" s="555"/>
      <c r="J2" s="555"/>
      <c r="K2" s="555"/>
      <c r="L2" s="555"/>
      <c r="M2" s="555"/>
      <c r="N2" s="555"/>
      <c r="O2" s="555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46309</v>
      </c>
      <c r="J4" s="397" t="s">
        <v>153</v>
      </c>
      <c r="K4" s="397"/>
      <c r="L4" s="11"/>
      <c r="M4" s="552" t="s">
        <v>8</v>
      </c>
      <c r="N4" s="553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42"/>
      <c r="D5" s="542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6" t="s">
        <v>17</v>
      </c>
      <c r="C8" s="517" t="s">
        <v>18</v>
      </c>
      <c r="D8" s="517" t="s">
        <v>19</v>
      </c>
      <c r="E8" s="356" t="s">
        <v>20</v>
      </c>
      <c r="F8" s="356" t="s">
        <v>21</v>
      </c>
      <c r="G8" s="517" t="s">
        <v>22</v>
      </c>
      <c r="H8" s="544" t="s">
        <v>144</v>
      </c>
      <c r="I8" s="517" t="s">
        <v>167</v>
      </c>
      <c r="J8" s="546" t="s">
        <v>23</v>
      </c>
      <c r="K8" s="548" t="s">
        <v>142</v>
      </c>
      <c r="L8" s="550" t="s">
        <v>24</v>
      </c>
      <c r="M8" s="359" t="s">
        <v>25</v>
      </c>
      <c r="N8" s="17" t="s">
        <v>166</v>
      </c>
      <c r="O8" s="517" t="s">
        <v>155</v>
      </c>
      <c r="P8" s="540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3"/>
      <c r="C9" s="541"/>
      <c r="D9" s="541"/>
      <c r="E9" s="357" t="s">
        <v>30</v>
      </c>
      <c r="F9" s="357" t="s">
        <v>31</v>
      </c>
      <c r="G9" s="541"/>
      <c r="H9" s="545"/>
      <c r="I9" s="541"/>
      <c r="J9" s="547"/>
      <c r="K9" s="549"/>
      <c r="L9" s="551"/>
      <c r="M9" s="20" t="s">
        <v>32</v>
      </c>
      <c r="N9" s="21" t="s">
        <v>41</v>
      </c>
      <c r="O9" s="541"/>
      <c r="P9" s="541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37" t="s">
        <v>16</v>
      </c>
      <c r="C10" s="366" t="str">
        <f>[8]Brewhouse!$A112</f>
        <v>SM099</v>
      </c>
      <c r="D10" s="279">
        <f>[8]Brewhouse!$AH112</f>
        <v>53</v>
      </c>
      <c r="E10" s="279">
        <f>[8]Brewhouse!$AM112</f>
        <v>51.1</v>
      </c>
      <c r="F10" s="278">
        <f>[8]Brewhouse!$Z112</f>
        <v>90</v>
      </c>
      <c r="G10" s="279">
        <f>[8]Brewhouse!$AK112</f>
        <v>17</v>
      </c>
      <c r="H10" s="396">
        <v>17</v>
      </c>
      <c r="I10" s="368">
        <f>[8]Brewhouse!$AY112</f>
        <v>97.214271955083348</v>
      </c>
      <c r="J10" s="368">
        <f>[8]Brewhouse!$AZ112</f>
        <v>97.481077972249778</v>
      </c>
      <c r="K10" s="281">
        <f>[8]Brewhouse!$U112</f>
        <v>6.754716981132086</v>
      </c>
      <c r="L10" s="276">
        <f>[8]Brewhouse!$T112</f>
        <v>60</v>
      </c>
      <c r="M10" s="374">
        <f>[8]Brewhouse!$Y112-[8]Brewhouse!$X112</f>
        <v>0.17291666666666661</v>
      </c>
      <c r="N10" s="370">
        <f>[8]Brewhouse!$AD112</f>
        <v>0.33958333333333335</v>
      </c>
      <c r="O10" s="371" t="str">
        <f>[8]Brewhouse!$BC112</f>
        <v>D. Gomaz</v>
      </c>
      <c r="P10" s="417"/>
      <c r="R10" s="277" t="str">
        <f t="shared" ref="R10:R35" si="0">B10</f>
        <v>STARMALT</v>
      </c>
      <c r="S10" s="471">
        <f t="shared" ref="S10:S35" si="1">VLOOKUP($B10,$R$3:$X$9,2,FALSE)</f>
        <v>17</v>
      </c>
      <c r="T10" s="471">
        <f t="shared" ref="T10:T35" si="2">VLOOKUP($B10,$R$3:$X$9,3,FALSE)</f>
        <v>17.399999999999999</v>
      </c>
      <c r="U10" s="297">
        <f t="shared" ref="U10:U35" si="3">VLOOKUP($B10,$R$3:$X$9,4,FALSE)</f>
        <v>0</v>
      </c>
      <c r="V10" s="297">
        <f t="shared" ref="V10:V35" si="4">VLOOKUP($B10,$R$3:$X$9,5,FALSE)</f>
        <v>0.13605324074074074</v>
      </c>
      <c r="W10" s="297">
        <f t="shared" ref="W10:W35" si="5">VLOOKUP($B10,$R$3:$X$9,6,FALSE)</f>
        <v>0.27430555555555552</v>
      </c>
      <c r="X10" s="297">
        <f t="shared" ref="X10:X35" si="6">VLOOKUP($B10,$R$3:$X$9,7,FALSE)</f>
        <v>0.30902777777777779</v>
      </c>
      <c r="Y10" s="297">
        <f t="shared" ref="Y10:Y35" si="7">VLOOKUP($B10,$R$3:$Z$9,8,FALSE)</f>
        <v>0</v>
      </c>
      <c r="Z10" s="471">
        <f t="shared" ref="Z10:Z35" si="8">VLOOKUP($B10,$R$3:$Z$9,9,FALSE)</f>
        <v>85</v>
      </c>
    </row>
    <row r="11" spans="2:29" ht="15" customHeight="1">
      <c r="B11" s="37" t="s">
        <v>16</v>
      </c>
      <c r="C11" s="366" t="str">
        <f>[8]Brewhouse!$A113</f>
        <v>SM100</v>
      </c>
      <c r="D11" s="279">
        <f>[8]Brewhouse!$AH113</f>
        <v>53</v>
      </c>
      <c r="E11" s="279">
        <f>[8]Brewhouse!$AM113</f>
        <v>51.4</v>
      </c>
      <c r="F11" s="278">
        <f>[8]Brewhouse!$Z113</f>
        <v>69</v>
      </c>
      <c r="G11" s="279">
        <f>[8]Brewhouse!$AK113</f>
        <v>17.3</v>
      </c>
      <c r="H11" s="396">
        <v>17.3</v>
      </c>
      <c r="I11" s="368">
        <f>[8]Brewhouse!$AY113</f>
        <v>98.862710164301788</v>
      </c>
      <c r="J11" s="368">
        <f>[8]Brewhouse!$AZ113</f>
        <v>99.136679966905078</v>
      </c>
      <c r="K11" s="281">
        <f>[8]Brewhouse!$U113</f>
        <v>7.8867924528301883</v>
      </c>
      <c r="L11" s="276">
        <f>[8]Brewhouse!$T113</f>
        <v>61</v>
      </c>
      <c r="M11" s="374">
        <f>[8]Brewhouse!$Y113-[8]Brewhouse!$X113</f>
        <v>0.13819444444444451</v>
      </c>
      <c r="N11" s="370">
        <f>[8]Brewhouse!$AD113</f>
        <v>0.32152777777777786</v>
      </c>
      <c r="O11" s="371" t="str">
        <f>[8]Brewhouse!$BC113</f>
        <v>D. Gomaz</v>
      </c>
      <c r="P11" s="417"/>
      <c r="R11" s="277" t="str">
        <f t="shared" si="0"/>
        <v>STARMALT</v>
      </c>
      <c r="S11" s="471">
        <f t="shared" si="1"/>
        <v>17</v>
      </c>
      <c r="T11" s="471">
        <f t="shared" si="2"/>
        <v>17.399999999999999</v>
      </c>
      <c r="U11" s="297">
        <f t="shared" si="3"/>
        <v>0</v>
      </c>
      <c r="V11" s="297">
        <f t="shared" si="4"/>
        <v>0.13605324074074074</v>
      </c>
      <c r="W11" s="297">
        <f t="shared" si="5"/>
        <v>0.27430555555555552</v>
      </c>
      <c r="X11" s="297">
        <f t="shared" si="6"/>
        <v>0.30902777777777779</v>
      </c>
      <c r="Y11" s="297">
        <f t="shared" si="7"/>
        <v>0</v>
      </c>
      <c r="Z11" s="471">
        <f t="shared" si="8"/>
        <v>85</v>
      </c>
    </row>
    <row r="12" spans="2:29" ht="15" customHeight="1">
      <c r="B12" s="37" t="s">
        <v>16</v>
      </c>
      <c r="C12" s="366" t="str">
        <f>[8]Brewhouse!$A114</f>
        <v>SM101</v>
      </c>
      <c r="D12" s="279">
        <f>[8]Brewhouse!$AH114</f>
        <v>53</v>
      </c>
      <c r="E12" s="279">
        <f>[8]Brewhouse!$AM114</f>
        <v>51.7</v>
      </c>
      <c r="F12" s="278">
        <f>[8]Brewhouse!$Z114</f>
        <v>70</v>
      </c>
      <c r="G12" s="279">
        <f>[8]Brewhouse!$AK114</f>
        <v>17.3</v>
      </c>
      <c r="H12" s="396">
        <v>17.2</v>
      </c>
      <c r="I12" s="368">
        <f>[8]Brewhouse!$AY114</f>
        <v>99.439729873431943</v>
      </c>
      <c r="J12" s="368">
        <f>[8]Brewhouse!$AZ114</f>
        <v>99.715298721575735</v>
      </c>
      <c r="K12" s="281">
        <f>[8]Brewhouse!$U114</f>
        <v>4.1132075471698109</v>
      </c>
      <c r="L12" s="276">
        <f>[8]Brewhouse!$T114</f>
        <v>57</v>
      </c>
      <c r="M12" s="374">
        <f>[8]Brewhouse!$Y114-[8]Brewhouse!$X114</f>
        <v>0.14861111111111125</v>
      </c>
      <c r="N12" s="370">
        <f>[8]Brewhouse!$AD114</f>
        <v>0.34444444444444444</v>
      </c>
      <c r="O12" s="371" t="str">
        <f>[8]Brewhouse!$BC114</f>
        <v>D. Gomaz</v>
      </c>
      <c r="P12" s="417"/>
      <c r="R12" s="277" t="str">
        <f t="shared" si="0"/>
        <v>STARMALT</v>
      </c>
      <c r="S12" s="471">
        <f t="shared" si="1"/>
        <v>17</v>
      </c>
      <c r="T12" s="471">
        <f t="shared" si="2"/>
        <v>17.399999999999999</v>
      </c>
      <c r="U12" s="297">
        <f t="shared" si="3"/>
        <v>0</v>
      </c>
      <c r="V12" s="297">
        <f t="shared" si="4"/>
        <v>0.13605324074074074</v>
      </c>
      <c r="W12" s="297">
        <f t="shared" si="5"/>
        <v>0.27430555555555552</v>
      </c>
      <c r="X12" s="297">
        <f t="shared" si="6"/>
        <v>0.30902777777777779</v>
      </c>
      <c r="Y12" s="297">
        <f t="shared" si="7"/>
        <v>0</v>
      </c>
      <c r="Z12" s="471">
        <f t="shared" si="8"/>
        <v>85</v>
      </c>
    </row>
    <row r="13" spans="2:29" ht="15" customHeight="1">
      <c r="B13" s="37" t="s">
        <v>16</v>
      </c>
      <c r="C13" s="366" t="str">
        <f>[8]Brewhouse!$A115</f>
        <v>SM102</v>
      </c>
      <c r="D13" s="279">
        <f>[8]Brewhouse!$AH115</f>
        <v>53</v>
      </c>
      <c r="E13" s="279">
        <f>[8]Brewhouse!$AM115</f>
        <v>51</v>
      </c>
      <c r="F13" s="278">
        <f>[8]Brewhouse!$Z115</f>
        <v>67</v>
      </c>
      <c r="G13" s="279">
        <f>[8]Brewhouse!$AK115</f>
        <v>17.3</v>
      </c>
      <c r="H13" s="396">
        <v>17.3</v>
      </c>
      <c r="I13" s="368">
        <f>[8]Brewhouse!$AY115</f>
        <v>98.013898306372198</v>
      </c>
      <c r="J13" s="368">
        <f>[8]Brewhouse!$AZ115</f>
        <v>98.285775240901714</v>
      </c>
      <c r="K13" s="281">
        <f>[8]Brewhouse!$U115</f>
        <v>7.3207547169811367</v>
      </c>
      <c r="L13" s="276">
        <f>[8]Brewhouse!$T115</f>
        <v>60</v>
      </c>
      <c r="M13" s="374">
        <f>[8]Brewhouse!$Y115-[8]Brewhouse!$X115</f>
        <v>0.15625</v>
      </c>
      <c r="N13" s="370">
        <f>[8]Brewhouse!$AD115</f>
        <v>0.35694444444444429</v>
      </c>
      <c r="O13" s="371" t="str">
        <f>[8]Brewhouse!$BC115</f>
        <v>R.Sookram</v>
      </c>
      <c r="P13" s="417"/>
      <c r="R13" s="277" t="str">
        <f t="shared" si="0"/>
        <v>STARMALT</v>
      </c>
      <c r="S13" s="471">
        <f t="shared" si="1"/>
        <v>17</v>
      </c>
      <c r="T13" s="471">
        <f t="shared" si="2"/>
        <v>17.399999999999999</v>
      </c>
      <c r="U13" s="297">
        <f t="shared" si="3"/>
        <v>0</v>
      </c>
      <c r="V13" s="297">
        <f t="shared" si="4"/>
        <v>0.13605324074074074</v>
      </c>
      <c r="W13" s="297">
        <f t="shared" si="5"/>
        <v>0.27430555555555552</v>
      </c>
      <c r="X13" s="297">
        <f t="shared" si="6"/>
        <v>0.30902777777777779</v>
      </c>
      <c r="Y13" s="297">
        <f t="shared" si="7"/>
        <v>0</v>
      </c>
      <c r="Z13" s="471">
        <f t="shared" si="8"/>
        <v>85</v>
      </c>
    </row>
    <row r="14" spans="2:29" ht="15" customHeight="1">
      <c r="B14" s="37"/>
      <c r="C14" s="366"/>
      <c r="D14" s="279"/>
      <c r="E14" s="279"/>
      <c r="F14" s="278"/>
      <c r="G14" s="279"/>
      <c r="H14" s="396"/>
      <c r="I14" s="368"/>
      <c r="J14" s="368"/>
      <c r="K14" s="281"/>
      <c r="L14" s="276"/>
      <c r="M14" s="374"/>
      <c r="N14" s="370"/>
      <c r="O14" s="371"/>
      <c r="P14" s="417"/>
      <c r="R14" s="277">
        <f t="shared" si="0"/>
        <v>0</v>
      </c>
      <c r="S14" s="471" t="e">
        <f t="shared" si="1"/>
        <v>#N/A</v>
      </c>
      <c r="T14" s="471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1" t="e">
        <f t="shared" si="8"/>
        <v>#N/A</v>
      </c>
    </row>
    <row r="15" spans="2:29" ht="15" customHeight="1">
      <c r="B15" s="37"/>
      <c r="C15" s="366"/>
      <c r="D15" s="279"/>
      <c r="E15" s="279"/>
      <c r="F15" s="278"/>
      <c r="G15" s="279"/>
      <c r="H15" s="396"/>
      <c r="I15" s="368"/>
      <c r="J15" s="368"/>
      <c r="K15" s="281"/>
      <c r="L15" s="276"/>
      <c r="M15" s="374"/>
      <c r="N15" s="370"/>
      <c r="O15" s="371"/>
      <c r="P15" s="417"/>
      <c r="R15" s="277">
        <f t="shared" si="0"/>
        <v>0</v>
      </c>
      <c r="S15" s="471" t="e">
        <f t="shared" si="1"/>
        <v>#N/A</v>
      </c>
      <c r="T15" s="471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1" t="e">
        <f t="shared" si="8"/>
        <v>#N/A</v>
      </c>
    </row>
    <row r="16" spans="2:29" ht="15" hidden="1" customHeight="1">
      <c r="B16" s="37"/>
      <c r="C16" s="366"/>
      <c r="D16" s="279"/>
      <c r="E16" s="279"/>
      <c r="F16" s="278"/>
      <c r="G16" s="279"/>
      <c r="H16" s="396"/>
      <c r="I16" s="368"/>
      <c r="J16" s="368"/>
      <c r="K16" s="281"/>
      <c r="L16" s="276"/>
      <c r="M16" s="374"/>
      <c r="N16" s="370"/>
      <c r="O16" s="371"/>
      <c r="P16" s="417"/>
      <c r="R16" s="277">
        <f t="shared" si="0"/>
        <v>0</v>
      </c>
      <c r="S16" s="471" t="e">
        <f t="shared" si="1"/>
        <v>#N/A</v>
      </c>
      <c r="T16" s="471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1" t="e">
        <f t="shared" si="8"/>
        <v>#N/A</v>
      </c>
    </row>
    <row r="17" spans="1:27" ht="15" hidden="1" customHeight="1">
      <c r="B17" s="37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371"/>
      <c r="P17" s="417"/>
      <c r="R17" s="277">
        <f t="shared" si="0"/>
        <v>0</v>
      </c>
      <c r="S17" s="471" t="e">
        <f t="shared" si="1"/>
        <v>#N/A</v>
      </c>
      <c r="T17" s="471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1" t="e">
        <f t="shared" si="8"/>
        <v>#N/A</v>
      </c>
    </row>
    <row r="18" spans="1:27" ht="15" hidden="1" customHeight="1">
      <c r="B18" s="37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371"/>
      <c r="P18" s="417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7" ht="15" hidden="1" customHeight="1">
      <c r="B19" s="34"/>
      <c r="C19" s="366"/>
      <c r="D19" s="279"/>
      <c r="E19" s="279"/>
      <c r="F19" s="278"/>
      <c r="G19" s="279"/>
      <c r="H19" s="396"/>
      <c r="I19" s="487"/>
      <c r="J19" s="487"/>
      <c r="K19" s="488"/>
      <c r="L19" s="276"/>
      <c r="M19" s="374"/>
      <c r="N19" s="370"/>
      <c r="O19" s="419"/>
      <c r="P19" s="417"/>
      <c r="R19" s="277">
        <f t="shared" si="0"/>
        <v>0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7" ht="15" hidden="1" customHeight="1">
      <c r="B20" s="34"/>
      <c r="C20" s="366"/>
      <c r="D20" s="279"/>
      <c r="E20" s="279"/>
      <c r="F20" s="278"/>
      <c r="G20" s="279"/>
      <c r="H20" s="396"/>
      <c r="I20" s="487"/>
      <c r="J20" s="487"/>
      <c r="K20" s="488"/>
      <c r="L20" s="276"/>
      <c r="M20" s="374"/>
      <c r="N20" s="370"/>
      <c r="O20" s="419"/>
      <c r="P20" s="417"/>
      <c r="R20" s="277">
        <f t="shared" si="0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7" ht="15" hidden="1" customHeight="1">
      <c r="B21" s="34"/>
      <c r="C21" s="366"/>
      <c r="D21" s="279"/>
      <c r="E21" s="279"/>
      <c r="F21" s="278"/>
      <c r="G21" s="279"/>
      <c r="H21" s="396"/>
      <c r="I21" s="487"/>
      <c r="J21" s="487"/>
      <c r="K21" s="488"/>
      <c r="L21" s="276"/>
      <c r="M21" s="374"/>
      <c r="N21" s="370"/>
      <c r="O21" s="419"/>
      <c r="P21" s="417"/>
      <c r="R21" s="277">
        <f t="shared" si="0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7" ht="17.25" customHeight="1" thickBot="1">
      <c r="B22" s="358"/>
      <c r="C22" s="358"/>
      <c r="D22" s="358"/>
      <c r="E22" s="358"/>
      <c r="F22" s="294"/>
      <c r="G22" s="294"/>
      <c r="H22" s="348"/>
      <c r="I22" s="534"/>
      <c r="J22" s="534"/>
      <c r="K22" s="534"/>
      <c r="L22" s="534"/>
      <c r="M22" s="534"/>
      <c r="N22" s="534"/>
      <c r="O22" s="1"/>
      <c r="P22" s="12"/>
      <c r="R22" s="277">
        <f t="shared" si="0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7" ht="17.25" customHeight="1" thickBot="1">
      <c r="B23" s="482" t="s">
        <v>162</v>
      </c>
      <c r="C23" s="388"/>
      <c r="D23" s="535" t="s">
        <v>35</v>
      </c>
      <c r="E23" s="536"/>
      <c r="F23" s="294"/>
      <c r="G23" s="294"/>
      <c r="H23" s="348"/>
      <c r="I23" s="24" t="s">
        <v>17</v>
      </c>
      <c r="J23" s="25"/>
      <c r="K23" s="26" t="s">
        <v>138</v>
      </c>
      <c r="L23" s="25" t="s">
        <v>37</v>
      </c>
      <c r="M23" s="25" t="s">
        <v>38</v>
      </c>
      <c r="N23" s="27" t="s">
        <v>39</v>
      </c>
      <c r="O23" s="294"/>
      <c r="P23" s="12"/>
      <c r="R23" s="277" t="str">
        <f t="shared" si="0"/>
        <v xml:space="preserve">BRAND 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7" ht="17.25" customHeight="1">
      <c r="A24" s="28"/>
      <c r="B24" s="537" t="str">
        <f>I24</f>
        <v>CARIB</v>
      </c>
      <c r="C24" s="483">
        <f>[4]Process!D727</f>
        <v>11.6</v>
      </c>
      <c r="D24" s="522">
        <v>11.74</v>
      </c>
      <c r="E24" s="523"/>
      <c r="F24" s="294"/>
      <c r="G24" s="294"/>
      <c r="H24" s="348"/>
      <c r="I24" s="29" t="s">
        <v>6</v>
      </c>
      <c r="J24" s="323"/>
      <c r="K24" s="284">
        <f>COUNTA([4]Brewhouse!$A$789:$A$820)</f>
        <v>32</v>
      </c>
      <c r="L24" s="305">
        <f>AVERAGE([4]Brewhouse!$AU$789:$AU$820)</f>
        <v>97.19542619578651</v>
      </c>
      <c r="M24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,[4]Brewhouse!$AU$789:$AU$820)</f>
        <v>98.283559098193749</v>
      </c>
      <c r="N24" s="30">
        <v>98</v>
      </c>
      <c r="O24" s="11"/>
      <c r="P24" s="31"/>
      <c r="R24" s="277" t="str">
        <f t="shared" si="0"/>
        <v>CARIB</v>
      </c>
      <c r="S24" s="471">
        <f t="shared" si="1"/>
        <v>11.6</v>
      </c>
      <c r="T24" s="471">
        <f t="shared" si="2"/>
        <v>12</v>
      </c>
      <c r="U24" s="297">
        <f t="shared" si="3"/>
        <v>0</v>
      </c>
      <c r="V24" s="297">
        <f t="shared" si="4"/>
        <v>0.118055555555556</v>
      </c>
      <c r="W24" s="297">
        <f t="shared" si="5"/>
        <v>0.22569444444444445</v>
      </c>
      <c r="X24" s="297">
        <f t="shared" si="6"/>
        <v>0.2638888888888889</v>
      </c>
      <c r="Y24" s="297">
        <f t="shared" si="7"/>
        <v>0</v>
      </c>
      <c r="Z24" s="471">
        <f t="shared" si="8"/>
        <v>60</v>
      </c>
    </row>
    <row r="25" spans="1:27" ht="15" customHeight="1">
      <c r="A25" s="28"/>
      <c r="B25" s="538"/>
      <c r="C25" s="362">
        <f>[4]Process!D728</f>
        <v>11.6</v>
      </c>
      <c r="D25" s="524"/>
      <c r="E25" s="525"/>
      <c r="F25" s="294"/>
      <c r="G25" s="294"/>
      <c r="H25" s="348"/>
      <c r="I25" s="33" t="s">
        <v>9</v>
      </c>
      <c r="J25" s="323"/>
      <c r="K25" s="284">
        <f>COUNTA([3]Brewhouse!$A$390:$A$406)</f>
        <v>17</v>
      </c>
      <c r="L25" s="302">
        <f>AVERAGE([3]Brewhouse!$AS$390:$AS$406)</f>
        <v>97.708463299853932</v>
      </c>
      <c r="M25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$388,[3]Brewhouse!$AS$390:$AS$406)</f>
        <v>98.285766868785757</v>
      </c>
      <c r="N25" s="30">
        <v>98</v>
      </c>
      <c r="O25" s="11"/>
      <c r="P25" s="31"/>
      <c r="R25" s="277">
        <f t="shared" si="0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7" ht="14.65" customHeight="1">
      <c r="A26" s="28"/>
      <c r="B26" s="538"/>
      <c r="C26" s="362">
        <f>[4]Process!D729</f>
        <v>11.8</v>
      </c>
      <c r="D26" s="529">
        <v>11.63</v>
      </c>
      <c r="E26" s="530"/>
      <c r="F26" s="294"/>
      <c r="G26" s="294"/>
      <c r="H26" s="348"/>
      <c r="I26" s="34" t="s">
        <v>12</v>
      </c>
      <c r="J26" s="323"/>
      <c r="K26" s="284">
        <f>COUNTA([5]Brewhouse!$A$108:$A$115)</f>
        <v>8</v>
      </c>
      <c r="L26" s="302">
        <f>AVERAGE([5]Brewhouse!$AU$108:$AU$115)</f>
        <v>97.100440951935028</v>
      </c>
      <c r="M26" s="302">
        <f>AVERAGE([5]Brewhouse!$AU$16:$AU$23,[5]Brewhouse!$AU$25:$AU$32,[5]Brewhouse!$AU$34:$AU$41,[5]Brewhouse!$AU$43:$AU$60,[5]Brewhouse!$AU$62:$AU$69,[5]Brewhouse!$AU$71:$AU$88,[5]Brewhouse!$AU$90:$AU$97,[5]Brewhouse!$AU$99:$AU$106,[5]Brewhouse!$AU$108:$AU$115)</f>
        <v>96.550711195700543</v>
      </c>
      <c r="N26" s="30">
        <v>98</v>
      </c>
      <c r="O26" s="11"/>
      <c r="P26" s="31"/>
      <c r="R26" s="277">
        <f t="shared" si="0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7" ht="14.65" customHeight="1">
      <c r="A27" s="28"/>
      <c r="B27" s="538"/>
      <c r="C27" s="362">
        <f>[4]Process!D730</f>
        <v>11.6</v>
      </c>
      <c r="D27" s="531"/>
      <c r="E27" s="525"/>
      <c r="F27" s="294"/>
      <c r="G27" s="294"/>
      <c r="H27" s="348"/>
      <c r="I27" s="22" t="s">
        <v>33</v>
      </c>
      <c r="J27" s="280"/>
      <c r="K27" s="284"/>
      <c r="L27" s="302"/>
      <c r="M27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97.566635166530773</v>
      </c>
      <c r="N27" s="30">
        <v>98</v>
      </c>
      <c r="O27" s="11"/>
      <c r="P27" s="31"/>
      <c r="R27" s="277">
        <f t="shared" si="0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7" ht="14.65" customHeight="1">
      <c r="A28" s="28"/>
      <c r="B28" s="538"/>
      <c r="C28" s="362">
        <f>[4]Process!D731</f>
        <v>11.7</v>
      </c>
      <c r="D28" s="529">
        <v>11.72</v>
      </c>
      <c r="E28" s="530"/>
      <c r="F28" s="294"/>
      <c r="G28" s="294"/>
      <c r="H28" s="348"/>
      <c r="I28" s="35" t="s">
        <v>29</v>
      </c>
      <c r="J28" s="280"/>
      <c r="K28" s="284"/>
      <c r="L28" s="302"/>
      <c r="M28" s="302"/>
      <c r="N28" s="30">
        <v>98</v>
      </c>
      <c r="O28" s="11"/>
      <c r="P28" s="31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1:27" ht="14.65" customHeight="1">
      <c r="A29" s="28"/>
      <c r="B29" s="538"/>
      <c r="C29" s="362">
        <f>[4]Process!D732</f>
        <v>11.7</v>
      </c>
      <c r="D29" s="531"/>
      <c r="E29" s="525"/>
      <c r="F29" s="416"/>
      <c r="G29" s="294"/>
      <c r="H29" s="348"/>
      <c r="I29" s="36" t="s">
        <v>15</v>
      </c>
      <c r="J29" s="323"/>
      <c r="K29" s="284"/>
      <c r="L29" s="302"/>
      <c r="M29" s="302">
        <f>AVERAGE([7]Brewhouse!$AT$4:$AT$11,[7]Brewhouse!$AT$13:$AT$16,[7]Brewhouse!$AT$18:$AT$30)</f>
        <v>93.22262799886262</v>
      </c>
      <c r="N29" s="30">
        <v>98</v>
      </c>
      <c r="O29" s="11"/>
      <c r="P29" s="31"/>
      <c r="R29" s="277">
        <f t="shared" si="0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1:27" ht="14.65" customHeight="1">
      <c r="A30" s="28"/>
      <c r="B30" s="538"/>
      <c r="C30" s="362">
        <f>[4]Process!D733</f>
        <v>11.3</v>
      </c>
      <c r="D30" s="529">
        <v>11.68</v>
      </c>
      <c r="E30" s="530"/>
      <c r="F30" s="416"/>
      <c r="G30" s="294"/>
      <c r="H30" s="348"/>
      <c r="I30" s="37" t="s">
        <v>16</v>
      </c>
      <c r="J30" s="323">
        <f>AVERAGE(I10:I13)</f>
        <v>98.382652574797319</v>
      </c>
      <c r="K30" s="284">
        <f>COUNTA([8]Brewhouse!$A$112:$A$115)</f>
        <v>4</v>
      </c>
      <c r="L30" s="302">
        <f>AVERAGE([8]Brewhouse!$AY$112:$AY$115)</f>
        <v>98.382652574797319</v>
      </c>
      <c r="M30" s="302">
        <f>AVERAGE([8]Brewhouse!$AY$5:$AY$14,[8]Brewhouse!$AY$16:$AY$23,[8]Brewhouse!$AY$42,[8]Brewhouse!$AY$44:$AY$51,[8]Brewhouse!$AY$53:$AY$64,[8]Brewhouse!$AY$66:$AY$73,[8]Brewhouse!$AY$75:$AY$82,[8]Brewhouse!$AY$84:$AY$101,[8]Brewhouse!$AY$103:$AY$110,[8]Brewhouse!$AY$112:$AY$115)</f>
        <v>97.82070859459516</v>
      </c>
      <c r="N30" s="30">
        <v>98</v>
      </c>
      <c r="O30" s="11"/>
      <c r="P30" s="31" t="s">
        <v>41</v>
      </c>
      <c r="R30" s="277">
        <f t="shared" si="0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1:27" ht="14.65" customHeight="1">
      <c r="A31" s="28"/>
      <c r="B31" s="538"/>
      <c r="C31" s="362">
        <f>[4]Process!D734</f>
        <v>12.5</v>
      </c>
      <c r="D31" s="531"/>
      <c r="E31" s="525"/>
      <c r="F31" s="294"/>
      <c r="G31" s="294"/>
      <c r="H31" s="348"/>
      <c r="I31" s="410" t="s">
        <v>158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0"/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</row>
    <row r="32" spans="1:27" ht="14.65" customHeight="1">
      <c r="A32" s="28"/>
      <c r="B32" s="538"/>
      <c r="C32" s="362"/>
      <c r="D32" s="529"/>
      <c r="E32" s="530"/>
      <c r="F32" s="294"/>
      <c r="G32" s="294"/>
      <c r="H32" s="348"/>
      <c r="I32" s="409" t="s">
        <v>157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0"/>
        <v>0</v>
      </c>
      <c r="S32" s="471" t="e">
        <f t="shared" si="1"/>
        <v>#N/A</v>
      </c>
      <c r="T32" s="471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1" t="e">
        <f t="shared" si="8"/>
        <v>#N/A</v>
      </c>
      <c r="AA32" s="471"/>
    </row>
    <row r="33" spans="1:56" ht="15" customHeight="1" thickBot="1">
      <c r="A33" s="28"/>
      <c r="B33" s="538"/>
      <c r="C33" s="362"/>
      <c r="D33" s="531"/>
      <c r="E33" s="525"/>
      <c r="F33" s="294"/>
      <c r="G33" s="294"/>
      <c r="H33" s="348"/>
      <c r="I33" s="405" t="s">
        <v>156</v>
      </c>
      <c r="J33" s="327"/>
      <c r="K33" s="406"/>
      <c r="L33" s="407"/>
      <c r="M33" s="407"/>
      <c r="N33" s="408">
        <v>98</v>
      </c>
      <c r="O33" s="11"/>
      <c r="P33" s="31"/>
      <c r="R33" s="277">
        <f t="shared" si="0"/>
        <v>0</v>
      </c>
      <c r="S33" s="471" t="e">
        <f t="shared" si="1"/>
        <v>#N/A</v>
      </c>
      <c r="T33" s="471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1" t="e">
        <f t="shared" si="8"/>
        <v>#N/A</v>
      </c>
      <c r="AA33" s="471"/>
    </row>
    <row r="34" spans="1:56" ht="15" customHeight="1" thickBot="1">
      <c r="A34" s="28"/>
      <c r="B34" s="538"/>
      <c r="C34" s="349"/>
      <c r="D34" s="522"/>
      <c r="E34" s="523"/>
      <c r="F34" s="294"/>
      <c r="G34" s="294"/>
      <c r="H34" s="348"/>
      <c r="I34" s="1"/>
      <c r="J34" s="39"/>
      <c r="K34" s="403">
        <f>SUM(K24:K33)</f>
        <v>61</v>
      </c>
      <c r="L34" s="404">
        <f>((L24*K24)+(L25*K25)+(L26*K26)+(L27*K27)+(L28*K28)+(K31*L31)+(L29*K29)+(L30*K30)+(L33*K33))/(K34)</f>
        <v>97.403797578317295</v>
      </c>
      <c r="M34" s="404">
        <f>AVERAGE('[9]Jan30th-31st'!$L$42,'[10]Feb 27th-28th'!$L$45,'[11]Mar 31st'!$L$42,'[12]Apr 30th'!$L$41,'[13]May 29th '!$L$35,'[14]June 30th'!$L$32,[15]July31st!$L$36,'[16]Aug 31st'!$L$32,L34)</f>
        <v>97.910951941182105</v>
      </c>
      <c r="N34" s="40">
        <v>98</v>
      </c>
      <c r="O34" s="11"/>
      <c r="P34" s="31"/>
      <c r="R34" s="277">
        <f t="shared" si="0"/>
        <v>0</v>
      </c>
      <c r="S34" s="471" t="e">
        <f t="shared" si="1"/>
        <v>#N/A</v>
      </c>
      <c r="T34" s="471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1" t="e">
        <f t="shared" si="8"/>
        <v>#N/A</v>
      </c>
      <c r="AA34" s="471"/>
    </row>
    <row r="35" spans="1:56" ht="15.75" thickBot="1">
      <c r="B35" s="539"/>
      <c r="C35" s="350"/>
      <c r="D35" s="524"/>
      <c r="E35" s="525"/>
      <c r="F35" s="294"/>
      <c r="G35" s="42"/>
      <c r="H35" s="41"/>
      <c r="I35" s="42"/>
      <c r="J35" s="42"/>
      <c r="K35" s="351"/>
      <c r="L35" s="348"/>
      <c r="M35" s="348"/>
      <c r="N35" s="11"/>
      <c r="O35" s="294"/>
      <c r="P35" s="12"/>
      <c r="R35" s="277">
        <f t="shared" si="0"/>
        <v>0</v>
      </c>
      <c r="S35" s="471" t="e">
        <f t="shared" si="1"/>
        <v>#N/A</v>
      </c>
      <c r="T35" s="471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1" t="e">
        <f t="shared" si="8"/>
        <v>#N/A</v>
      </c>
      <c r="AA35" s="471"/>
    </row>
    <row r="36" spans="1:56" ht="15.75" thickBot="1">
      <c r="B36" s="519"/>
      <c r="C36" s="362"/>
      <c r="D36" s="522"/>
      <c r="E36" s="523"/>
      <c r="F36" s="294"/>
      <c r="G36" s="42"/>
      <c r="H36" s="41"/>
      <c r="I36" s="42"/>
      <c r="J36" s="526" t="s">
        <v>129</v>
      </c>
      <c r="K36" s="526"/>
      <c r="L36" s="294"/>
      <c r="M36" s="294"/>
      <c r="N36" s="294"/>
      <c r="O36" s="294"/>
      <c r="P36" s="12"/>
    </row>
    <row r="37" spans="1:56" ht="15.75" thickBot="1">
      <c r="B37" s="520"/>
      <c r="C37" s="362"/>
      <c r="D37" s="524"/>
      <c r="E37" s="525"/>
      <c r="F37" s="294"/>
      <c r="G37" s="42"/>
      <c r="H37" s="42"/>
      <c r="I37" s="42"/>
      <c r="J37" s="292" t="s">
        <v>17</v>
      </c>
      <c r="K37" s="293"/>
      <c r="L37" s="527" t="s">
        <v>136</v>
      </c>
      <c r="M37" s="527"/>
      <c r="N37" s="528"/>
      <c r="O37" s="294"/>
      <c r="P37" s="12"/>
    </row>
    <row r="38" spans="1:56" ht="15" customHeight="1" thickBot="1">
      <c r="B38" s="520"/>
      <c r="C38" s="349"/>
      <c r="D38" s="529"/>
      <c r="E38" s="530"/>
      <c r="F38" s="294"/>
      <c r="G38" s="42"/>
      <c r="H38" s="42"/>
      <c r="I38" s="42"/>
      <c r="J38" s="287" t="s">
        <v>6</v>
      </c>
      <c r="K38" s="324"/>
      <c r="L38" s="472" t="s">
        <v>37</v>
      </c>
      <c r="M38" s="473" t="s">
        <v>38</v>
      </c>
      <c r="N38" s="473" t="s">
        <v>84</v>
      </c>
      <c r="O38" s="294"/>
      <c r="P38" s="12"/>
    </row>
    <row r="39" spans="1:56" ht="15.75" customHeight="1" thickBot="1">
      <c r="B39" s="520"/>
      <c r="C39" s="349"/>
      <c r="D39" s="531"/>
      <c r="E39" s="525"/>
      <c r="F39" s="294"/>
      <c r="G39" s="42"/>
      <c r="H39" s="42"/>
      <c r="I39" s="42"/>
      <c r="J39" s="345" t="s">
        <v>9</v>
      </c>
      <c r="K39" s="324"/>
      <c r="L39" s="484">
        <f>AVERAGE('Oct 1st'!K52,'Oct 2nd'!K44,'Oct 5th'!K51,'Oct 6th'!K58,'Oct 7th'!K47,'Oct 8th '!K46,'Oct 9th-10th'!J57,'Oct 9th-10th'!K57,'Oct 12th'!K50,K48)</f>
        <v>6.1</v>
      </c>
      <c r="M39" s="485">
        <f>AVERAGE('[9]Jan30th-31st'!$L$47,L39,'[10]Feb 26th '!$L$39,'[11]Mar 31st'!$L$47,'[12]Apr 30th'!$L$46,'[13]May 29th '!$L$40,'[14]June 30th'!$L$39,[15]July31st!$L$41,'[16]Aug 31st'!$L$37,'[17]Sept 30th'!$L$37)</f>
        <v>6.4835341470124082</v>
      </c>
      <c r="N39" s="415">
        <v>9.1999999999999993</v>
      </c>
      <c r="O39" s="294"/>
      <c r="P39" s="12"/>
    </row>
    <row r="40" spans="1:56" ht="15" customHeight="1">
      <c r="B40" s="520"/>
      <c r="C40" s="349"/>
      <c r="D40" s="529"/>
      <c r="E40" s="530"/>
      <c r="F40" s="294"/>
      <c r="G40" s="42"/>
      <c r="H40" s="42"/>
      <c r="I40" s="42"/>
      <c r="J40" s="288" t="s">
        <v>40</v>
      </c>
      <c r="K40" s="324"/>
      <c r="L40" s="294"/>
      <c r="M40" s="294"/>
      <c r="N40" s="294"/>
      <c r="O40" s="294"/>
      <c r="P40" s="12"/>
    </row>
    <row r="41" spans="1:56" ht="15" customHeight="1">
      <c r="B41" s="520"/>
      <c r="C41" s="349"/>
      <c r="D41" s="531"/>
      <c r="E41" s="525"/>
      <c r="F41" s="294"/>
      <c r="G41" s="42"/>
      <c r="H41" s="42"/>
      <c r="I41" s="42"/>
      <c r="J41" s="289" t="s">
        <v>33</v>
      </c>
      <c r="K41" s="324"/>
      <c r="L41" s="294"/>
      <c r="M41" s="294"/>
      <c r="N41" s="294"/>
      <c r="O41" s="294"/>
      <c r="P41" s="12"/>
    </row>
    <row r="42" spans="1:56" ht="15">
      <c r="B42" s="520"/>
      <c r="C42" s="349"/>
      <c r="D42" s="529"/>
      <c r="E42" s="530"/>
      <c r="F42" s="294"/>
      <c r="G42" s="42"/>
      <c r="H42" s="42"/>
      <c r="I42" s="42"/>
      <c r="J42" s="290" t="s">
        <v>16</v>
      </c>
      <c r="K42" s="324">
        <v>4</v>
      </c>
      <c r="L42" s="294"/>
      <c r="M42" s="294"/>
      <c r="N42" s="294"/>
      <c r="O42" s="294"/>
      <c r="P42" s="12"/>
      <c r="BC42" s="44"/>
      <c r="BD42" s="44"/>
    </row>
    <row r="43" spans="1:56" ht="15">
      <c r="B43" s="520"/>
      <c r="C43" s="349"/>
      <c r="D43" s="531"/>
      <c r="E43" s="525"/>
      <c r="F43" s="294"/>
      <c r="G43" s="42"/>
      <c r="H43" s="42"/>
      <c r="I43" s="42"/>
      <c r="J43" s="291" t="s">
        <v>15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520"/>
      <c r="C44" s="349"/>
      <c r="D44" s="529"/>
      <c r="E44" s="530"/>
      <c r="F44" s="294"/>
      <c r="G44" s="42"/>
      <c r="H44" s="42"/>
      <c r="I44" s="42"/>
      <c r="J44" s="291" t="s">
        <v>149</v>
      </c>
      <c r="K44" s="324"/>
      <c r="L44" s="294"/>
      <c r="M44" s="294"/>
      <c r="N44" s="294"/>
      <c r="O44" s="294"/>
      <c r="P44" s="12"/>
      <c r="BC44" s="44"/>
      <c r="BD44" s="44"/>
    </row>
    <row r="45" spans="1:56" ht="15.75" thickBot="1">
      <c r="B45" s="521"/>
      <c r="C45" s="350"/>
      <c r="D45" s="532"/>
      <c r="E45" s="533"/>
      <c r="F45" s="294" t="s">
        <v>165</v>
      </c>
      <c r="G45" s="42"/>
      <c r="H45" s="42"/>
      <c r="I45" s="42"/>
      <c r="J45" s="291" t="s">
        <v>148</v>
      </c>
      <c r="K45" s="324"/>
      <c r="L45" s="294"/>
      <c r="M45" s="294"/>
      <c r="N45" s="294" t="s">
        <v>41</v>
      </c>
      <c r="O45" s="294"/>
      <c r="P45" s="12"/>
      <c r="BC45" s="44"/>
      <c r="BD45" s="44"/>
    </row>
    <row r="46" spans="1:56" ht="17.649999999999999" customHeight="1" thickBot="1">
      <c r="B46" s="312" t="s">
        <v>139</v>
      </c>
      <c r="C46" s="313"/>
      <c r="D46" s="512"/>
      <c r="E46" s="513"/>
      <c r="F46" s="294"/>
      <c r="J46" s="295" t="s">
        <v>134</v>
      </c>
      <c r="K46" s="324"/>
      <c r="L46" s="294"/>
      <c r="M46" s="294"/>
      <c r="N46" s="294"/>
      <c r="O46" s="294"/>
      <c r="P46" s="12"/>
      <c r="BC46" s="44"/>
      <c r="BD46" s="44"/>
    </row>
    <row r="47" spans="1:56" ht="17.649999999999999" customHeight="1">
      <c r="B47" s="363"/>
      <c r="C47" s="364"/>
      <c r="D47" s="365"/>
      <c r="E47" s="365"/>
      <c r="F47" s="294"/>
      <c r="G47" s="42"/>
      <c r="H47" s="42"/>
      <c r="I47" s="42"/>
      <c r="J47" s="295" t="s">
        <v>131</v>
      </c>
      <c r="K47" s="324"/>
      <c r="L47" s="294"/>
      <c r="M47" s="294"/>
      <c r="N47" s="294"/>
      <c r="O47" s="294"/>
      <c r="P47" s="12"/>
      <c r="BC47" s="44"/>
      <c r="BD47" s="44"/>
    </row>
    <row r="48" spans="1:56" ht="15.6" customHeight="1">
      <c r="B48" s="45"/>
      <c r="C48" s="11"/>
      <c r="D48" s="11"/>
      <c r="E48" s="46"/>
      <c r="F48" s="294"/>
      <c r="G48" s="42"/>
      <c r="H48" s="42"/>
      <c r="I48" s="42"/>
      <c r="J48" s="346" t="s">
        <v>130</v>
      </c>
      <c r="K48" s="324">
        <f>SUM(K38:K47)</f>
        <v>4</v>
      </c>
      <c r="L48" s="294"/>
      <c r="M48" s="294"/>
      <c r="N48" s="294"/>
      <c r="O48" s="294"/>
      <c r="P48" s="12"/>
    </row>
    <row r="49" spans="2:57" ht="20.25" customHeight="1">
      <c r="B49" s="15" t="s">
        <v>42</v>
      </c>
      <c r="C49" s="1" t="s">
        <v>43</v>
      </c>
      <c r="D49" s="1"/>
      <c r="E49" s="1"/>
      <c r="F49" s="294"/>
      <c r="G49" s="42"/>
      <c r="H49" s="41"/>
      <c r="I49" s="42"/>
      <c r="L49" s="42"/>
      <c r="N49" s="315"/>
      <c r="P49" s="334"/>
    </row>
    <row r="50" spans="2:57" ht="15" customHeight="1" thickBot="1"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1"/>
      <c r="O50" s="48"/>
      <c r="P50" s="49"/>
    </row>
    <row r="51" spans="2:57" ht="15" customHeight="1" thickBot="1">
      <c r="B51" s="504" t="s">
        <v>17</v>
      </c>
      <c r="C51" s="504" t="s">
        <v>44</v>
      </c>
      <c r="D51" s="515" t="s">
        <v>45</v>
      </c>
      <c r="E51" s="517" t="s">
        <v>46</v>
      </c>
      <c r="F51" s="510" t="s">
        <v>47</v>
      </c>
      <c r="G51" s="502" t="s">
        <v>48</v>
      </c>
      <c r="H51" s="504" t="s">
        <v>49</v>
      </c>
      <c r="I51" s="504" t="s">
        <v>50</v>
      </c>
      <c r="J51" s="496" t="s">
        <v>28</v>
      </c>
      <c r="K51" s="506" t="s">
        <v>51</v>
      </c>
      <c r="L51" s="508" t="s">
        <v>52</v>
      </c>
      <c r="M51" s="496" t="s">
        <v>53</v>
      </c>
      <c r="N51" s="13"/>
      <c r="O51" s="13"/>
      <c r="P51" s="50"/>
    </row>
    <row r="52" spans="2:57" ht="28.5" customHeight="1" thickTop="1" thickBot="1">
      <c r="B52" s="505"/>
      <c r="C52" s="514"/>
      <c r="D52" s="516"/>
      <c r="E52" s="518"/>
      <c r="F52" s="511"/>
      <c r="G52" s="503"/>
      <c r="H52" s="505"/>
      <c r="I52" s="505"/>
      <c r="J52" s="497"/>
      <c r="K52" s="507"/>
      <c r="L52" s="509"/>
      <c r="M52" s="497"/>
      <c r="N52" s="13"/>
      <c r="O52" s="13"/>
      <c r="P52" s="50"/>
      <c r="Q52" s="355"/>
      <c r="AB52" s="474">
        <v>43474</v>
      </c>
      <c r="AC52" s="474">
        <v>43475</v>
      </c>
      <c r="AD52" s="474">
        <v>43476</v>
      </c>
      <c r="AE52" s="474">
        <v>43477</v>
      </c>
      <c r="AF52" s="474">
        <v>43478</v>
      </c>
      <c r="AG52" s="474">
        <v>43479</v>
      </c>
      <c r="AH52" s="474">
        <v>43480</v>
      </c>
      <c r="AI52" s="474">
        <v>43481</v>
      </c>
      <c r="AJ52" s="474">
        <v>43482</v>
      </c>
      <c r="AK52" s="474">
        <v>43483</v>
      </c>
      <c r="AL52" s="474">
        <v>43484</v>
      </c>
      <c r="AM52" s="474">
        <v>43485</v>
      </c>
      <c r="AN52" s="474">
        <v>43486</v>
      </c>
      <c r="AO52" s="474">
        <v>43487</v>
      </c>
      <c r="AP52" s="474">
        <v>43488</v>
      </c>
      <c r="AQ52" s="474">
        <v>43489</v>
      </c>
      <c r="AR52" s="474">
        <v>43490</v>
      </c>
      <c r="AS52" s="474">
        <v>43491</v>
      </c>
      <c r="AT52" s="474">
        <v>43492</v>
      </c>
      <c r="AU52" s="474">
        <v>43493</v>
      </c>
      <c r="AV52" s="474">
        <v>43494</v>
      </c>
      <c r="AW52" s="474">
        <v>43495</v>
      </c>
      <c r="AX52" s="474">
        <v>43496</v>
      </c>
    </row>
    <row r="53" spans="2:57" s="54" customFormat="1" ht="36.75" customHeight="1" thickBot="1">
      <c r="B53" s="455" t="str">
        <f>I24</f>
        <v>CARIB</v>
      </c>
      <c r="C53" s="478">
        <v>46308</v>
      </c>
      <c r="D53" s="444">
        <f>[18]October_2026!$P$3</f>
        <v>403.29999999999995</v>
      </c>
      <c r="E53" s="442"/>
      <c r="F53" s="443"/>
      <c r="G53" s="443">
        <f>[18]October_2026!$P$7</f>
        <v>381.9</v>
      </c>
      <c r="H53" s="457"/>
      <c r="I53" s="457"/>
      <c r="J53" s="447" t="s">
        <v>150</v>
      </c>
      <c r="K53" s="448">
        <f>[19]October_2026!$P$18</f>
        <v>1.3399999999999999</v>
      </c>
      <c r="L53" s="456">
        <f>(((D53+E53)-G53)/(D53+E53))*100</f>
        <v>5.3062236548475026</v>
      </c>
      <c r="M53" s="454" t="s">
        <v>172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[20]January_2019!L5</f>
        <v>0</v>
      </c>
      <c r="AC53" s="57">
        <f>[20]January_2019!M5</f>
        <v>0</v>
      </c>
      <c r="AD53" s="57">
        <f>[20]January_2019!N5</f>
        <v>0</v>
      </c>
      <c r="AE53" s="57">
        <f>[20]January_2019!O5</f>
        <v>0</v>
      </c>
      <c r="AF53" s="57">
        <f>[20]January_2019!P5</f>
        <v>0</v>
      </c>
      <c r="AG53" s="57">
        <f>[20]January_2019!Q5</f>
        <v>0</v>
      </c>
      <c r="AH53" s="57">
        <f>[20]January_2019!R5</f>
        <v>0</v>
      </c>
      <c r="AI53" s="57">
        <f>[20]January_2019!S5</f>
        <v>0</v>
      </c>
      <c r="AJ53" s="57">
        <f>[20]January_2019!T5</f>
        <v>0</v>
      </c>
      <c r="AK53" s="57">
        <f>[20]January_2019!U5</f>
        <v>0</v>
      </c>
      <c r="AL53" s="57">
        <f>[20]January_2019!V5</f>
        <v>0</v>
      </c>
      <c r="AM53" s="57">
        <f>[20]January_2019!W5</f>
        <v>0</v>
      </c>
      <c r="AN53" s="57">
        <f>[20]January_2019!X5</f>
        <v>0</v>
      </c>
      <c r="AO53" s="57">
        <f>[20]January_2019!Y5</f>
        <v>0</v>
      </c>
      <c r="AP53" s="57">
        <f>[20]January_2019!Z5</f>
        <v>0</v>
      </c>
      <c r="AQ53" s="57">
        <f>[20]January_2019!AA5</f>
        <v>0</v>
      </c>
      <c r="AR53" s="57">
        <f>[20]January_2019!AB5</f>
        <v>0</v>
      </c>
      <c r="AS53" s="57">
        <f>[20]January_2019!AC5</f>
        <v>0</v>
      </c>
      <c r="AT53" s="57">
        <f>[20]January_2019!AD5</f>
        <v>0</v>
      </c>
      <c r="AU53" s="57">
        <f>[20]January_2019!AE5</f>
        <v>0</v>
      </c>
      <c r="AV53" s="57">
        <f>[20]January_2019!AF5</f>
        <v>0</v>
      </c>
      <c r="AW53" s="57">
        <f>[20]January_2019!AG5</f>
        <v>0</v>
      </c>
      <c r="AX53" s="277">
        <f>[20]January_2019!AH5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4.25" hidden="1" customHeight="1" thickBot="1">
      <c r="B54" s="479"/>
      <c r="C54" s="478"/>
      <c r="D54" s="441"/>
      <c r="E54" s="442"/>
      <c r="F54" s="443"/>
      <c r="G54" s="444"/>
      <c r="H54" s="457"/>
      <c r="I54" s="457"/>
      <c r="J54" s="475"/>
      <c r="K54" s="448"/>
      <c r="L54" s="456"/>
      <c r="M54" s="454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[20]January_2019!L6</f>
        <v>0</v>
      </c>
      <c r="AC54" s="57">
        <f>[20]January_2019!M6</f>
        <v>0</v>
      </c>
      <c r="AD54" s="57">
        <f>[20]January_2019!N6</f>
        <v>0</v>
      </c>
      <c r="AE54" s="57">
        <f>[20]January_2019!O6</f>
        <v>0</v>
      </c>
      <c r="AF54" s="57">
        <f>[20]January_2019!P6</f>
        <v>0</v>
      </c>
      <c r="AG54" s="57">
        <f>[20]January_2019!Q6</f>
        <v>0</v>
      </c>
      <c r="AH54" s="57">
        <f>[20]January_2019!R6</f>
        <v>0</v>
      </c>
      <c r="AI54" s="57">
        <f>[20]January_2019!S6</f>
        <v>0</v>
      </c>
      <c r="AJ54" s="57">
        <f>[20]January_2019!T6</f>
        <v>0</v>
      </c>
      <c r="AK54" s="57">
        <f>[20]January_2019!U6</f>
        <v>0</v>
      </c>
      <c r="AL54" s="57">
        <f>[20]January_2019!V6</f>
        <v>0</v>
      </c>
      <c r="AM54" s="57">
        <f>[20]January_2019!W6</f>
        <v>0</v>
      </c>
      <c r="AN54" s="57">
        <f>[20]January_2019!X6</f>
        <v>0</v>
      </c>
      <c r="AO54" s="57">
        <f>[20]January_2019!Y6</f>
        <v>0</v>
      </c>
      <c r="AP54" s="57">
        <f>[20]January_2019!Z6</f>
        <v>0</v>
      </c>
      <c r="AQ54" s="57">
        <f>[20]January_2019!AA6</f>
        <v>0</v>
      </c>
      <c r="AR54" s="57">
        <f>[20]January_2019!AB6</f>
        <v>0</v>
      </c>
      <c r="AS54" s="57">
        <f>[20]January_2019!AC6</f>
        <v>0</v>
      </c>
      <c r="AT54" s="57">
        <f>[20]January_2019!AD6</f>
        <v>0</v>
      </c>
      <c r="AU54" s="57">
        <f>[20]January_2019!AE6</f>
        <v>0</v>
      </c>
      <c r="AV54" s="57">
        <f>[20]January_2019!AF6</f>
        <v>0</v>
      </c>
      <c r="AW54" s="57">
        <f>[20]January_2019!AG6</f>
        <v>0</v>
      </c>
      <c r="AX54" s="277">
        <f>[20]January_2019!AH6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37.15" hidden="1" customHeight="1" thickBot="1">
      <c r="B55" s="489" t="str">
        <f>J39</f>
        <v>STAG</v>
      </c>
      <c r="C55" s="478">
        <v>46303</v>
      </c>
      <c r="D55" s="441">
        <f>[18]October_2026!$K$13</f>
        <v>292</v>
      </c>
      <c r="E55" s="442"/>
      <c r="F55" s="443"/>
      <c r="G55" s="443">
        <f>[18]October_2026!$K$17</f>
        <v>278</v>
      </c>
      <c r="H55" s="445"/>
      <c r="I55" s="445"/>
      <c r="J55" s="447" t="s">
        <v>150</v>
      </c>
      <c r="K55" s="448">
        <f>[19]October_2026!$K$25</f>
        <v>0.9754385964912281</v>
      </c>
      <c r="L55" s="456">
        <f>(((D55+E55)-G55)/(D55+E55))*100</f>
        <v>4.7945205479452051</v>
      </c>
      <c r="M55" s="454" t="s">
        <v>176</v>
      </c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[20]January_2019!L7</f>
        <v>285.8</v>
      </c>
      <c r="AC55" s="57">
        <f>[20]January_2019!M7</f>
        <v>508.1</v>
      </c>
      <c r="AD55" s="57">
        <f>[20]January_2019!N7</f>
        <v>0</v>
      </c>
      <c r="AE55" s="57">
        <f>[20]January_2019!O7</f>
        <v>0</v>
      </c>
      <c r="AF55" s="57">
        <f>[20]January_2019!P7</f>
        <v>109.56666666666666</v>
      </c>
      <c r="AG55" s="57">
        <f>[20]January_2019!Q7</f>
        <v>297.64999999999998</v>
      </c>
      <c r="AH55" s="57">
        <f>[20]January_2019!R7</f>
        <v>122.3</v>
      </c>
      <c r="AI55" s="57">
        <f>[20]January_2019!S7</f>
        <v>0</v>
      </c>
      <c r="AJ55" s="57">
        <f>[20]January_2019!T7</f>
        <v>294.7</v>
      </c>
      <c r="AK55" s="57">
        <f>[20]January_2019!U7</f>
        <v>280.5</v>
      </c>
      <c r="AL55" s="57">
        <f>[20]January_2019!V7</f>
        <v>0</v>
      </c>
      <c r="AM55" s="57">
        <f>[20]January_2019!W7</f>
        <v>0</v>
      </c>
      <c r="AN55" s="57">
        <f>[20]January_2019!X7</f>
        <v>188.25</v>
      </c>
      <c r="AO55" s="57">
        <f>[20]January_2019!Y7</f>
        <v>295.7</v>
      </c>
      <c r="AP55" s="57">
        <f>[20]January_2019!Z7</f>
        <v>257.8</v>
      </c>
      <c r="AQ55" s="57">
        <f>[20]January_2019!AA7</f>
        <v>291.2</v>
      </c>
      <c r="AR55" s="57">
        <f>[20]January_2019!AB7</f>
        <v>187</v>
      </c>
      <c r="AS55" s="57">
        <f>[20]January_2019!AC7</f>
        <v>0</v>
      </c>
      <c r="AT55" s="57">
        <f>[20]January_2019!AD7</f>
        <v>0</v>
      </c>
      <c r="AU55" s="57">
        <f>[20]January_2019!AE7</f>
        <v>485.1</v>
      </c>
      <c r="AV55" s="57">
        <f>[20]January_2019!AF7</f>
        <v>171.55</v>
      </c>
      <c r="AW55" s="57">
        <f>[20]January_2019!AG7</f>
        <v>423.8</v>
      </c>
      <c r="AX55" s="277">
        <f>[20]January_2019!AH7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8.600000000000001" hidden="1" customHeight="1" thickBot="1">
      <c r="B56" s="477"/>
      <c r="C56" s="429"/>
      <c r="D56" s="430"/>
      <c r="E56" s="431"/>
      <c r="F56" s="432"/>
      <c r="G56" s="433"/>
      <c r="H56" s="457"/>
      <c r="I56" s="457"/>
      <c r="J56" s="450"/>
      <c r="K56" s="435"/>
      <c r="L56" s="451"/>
      <c r="M56" s="420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8.65" hidden="1" customHeight="1" thickBot="1">
      <c r="B57" s="486"/>
      <c r="C57" s="478"/>
      <c r="D57" s="441"/>
      <c r="E57" s="442"/>
      <c r="F57" s="443"/>
      <c r="G57" s="444"/>
      <c r="H57" s="457"/>
      <c r="I57" s="457"/>
      <c r="J57" s="447"/>
      <c r="K57" s="458"/>
      <c r="L57" s="456"/>
      <c r="M57" s="454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5" hidden="1">
      <c r="B58" s="452"/>
      <c r="C58" s="429"/>
      <c r="D58" s="430"/>
      <c r="E58" s="431"/>
      <c r="F58" s="432"/>
      <c r="G58" s="433"/>
      <c r="H58" s="434"/>
      <c r="I58" s="449"/>
      <c r="J58" s="450"/>
      <c r="K58" s="435"/>
      <c r="L58" s="451"/>
      <c r="M58" s="420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0"/>
      <c r="C59" s="478"/>
      <c r="D59" s="441"/>
      <c r="E59" s="442"/>
      <c r="F59" s="443"/>
      <c r="G59" s="444"/>
      <c r="H59" s="445"/>
      <c r="I59" s="446"/>
      <c r="J59" s="447"/>
      <c r="K59" s="448"/>
      <c r="L59" s="456"/>
      <c r="M59" s="454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6.5" hidden="1" customHeight="1" thickBot="1">
      <c r="B60" s="436"/>
      <c r="C60" s="422"/>
      <c r="D60" s="423"/>
      <c r="E60" s="424"/>
      <c r="F60" s="425"/>
      <c r="G60" s="426"/>
      <c r="H60" s="427"/>
      <c r="I60" s="437"/>
      <c r="J60" s="438"/>
      <c r="K60" s="428"/>
      <c r="L60" s="439"/>
      <c r="M60" s="421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414"/>
      <c r="AC60" s="414"/>
      <c r="AD60" s="414"/>
      <c r="AE60" s="414"/>
      <c r="AF60" s="414"/>
      <c r="AG60" s="414"/>
      <c r="AH60" s="414"/>
      <c r="AI60" s="414"/>
      <c r="AJ60" s="414"/>
      <c r="AK60" s="414"/>
      <c r="AL60" s="414"/>
      <c r="AM60" s="414"/>
      <c r="AN60" s="414"/>
      <c r="AO60" s="414"/>
      <c r="AP60" s="414"/>
      <c r="AQ60" s="414"/>
      <c r="AR60" s="414"/>
      <c r="AS60" s="414"/>
      <c r="AT60" s="414"/>
      <c r="AU60" s="414"/>
      <c r="AV60" s="414"/>
      <c r="AW60" s="414"/>
    </row>
    <row r="61" spans="2:57" s="54" customFormat="1" ht="37.15" hidden="1" customHeight="1" thickBot="1">
      <c r="B61" s="455"/>
      <c r="C61" s="440"/>
      <c r="D61" s="441"/>
      <c r="E61" s="442"/>
      <c r="F61" s="443"/>
      <c r="G61" s="444"/>
      <c r="H61" s="445"/>
      <c r="I61" s="446"/>
      <c r="J61" s="447"/>
      <c r="K61" s="448"/>
      <c r="L61" s="456"/>
      <c r="M61" s="453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hidden="1" customHeight="1">
      <c r="B62" s="465"/>
      <c r="C62" s="429"/>
      <c r="D62" s="459"/>
      <c r="E62" s="460"/>
      <c r="F62" s="461"/>
      <c r="G62" s="459"/>
      <c r="H62" s="462"/>
      <c r="I62" s="462"/>
      <c r="J62" s="462"/>
      <c r="K62" s="463"/>
      <c r="L62" s="464"/>
      <c r="M62" s="5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ht="18" customHeight="1" thickBot="1">
      <c r="B63" s="59"/>
      <c r="C63" s="30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 t="s">
        <v>41</v>
      </c>
      <c r="O63" s="56"/>
      <c r="P63" s="60"/>
    </row>
    <row r="64" spans="2:57" ht="15.75" thickBot="1">
      <c r="B64" s="498" t="s">
        <v>55</v>
      </c>
      <c r="C64" s="499"/>
      <c r="D64" s="499"/>
      <c r="E64" s="499"/>
      <c r="F64" s="500"/>
      <c r="G64" s="498" t="s">
        <v>56</v>
      </c>
      <c r="H64" s="499"/>
      <c r="I64" s="499"/>
      <c r="J64" s="500"/>
      <c r="K64" s="498" t="s">
        <v>51</v>
      </c>
      <c r="L64" s="499"/>
      <c r="M64" s="499"/>
      <c r="N64" s="501"/>
      <c r="O64" s="56"/>
      <c r="P64" s="50"/>
    </row>
    <row r="65" spans="2:16" ht="15">
      <c r="B65" s="61" t="s">
        <v>17</v>
      </c>
      <c r="C65" s="62" t="s">
        <v>36</v>
      </c>
      <c r="D65" s="62" t="s">
        <v>37</v>
      </c>
      <c r="E65" s="62" t="s">
        <v>38</v>
      </c>
      <c r="F65" s="63" t="s">
        <v>39</v>
      </c>
      <c r="G65" s="62" t="s">
        <v>36</v>
      </c>
      <c r="H65" s="62" t="s">
        <v>37</v>
      </c>
      <c r="I65" s="62" t="s">
        <v>38</v>
      </c>
      <c r="J65" s="63" t="s">
        <v>39</v>
      </c>
      <c r="K65" s="62" t="s">
        <v>36</v>
      </c>
      <c r="L65" s="62" t="s">
        <v>37</v>
      </c>
      <c r="M65" s="62" t="s">
        <v>38</v>
      </c>
      <c r="N65" s="63" t="s">
        <v>39</v>
      </c>
      <c r="O65" s="56"/>
      <c r="P65" s="64"/>
    </row>
    <row r="66" spans="2:16" ht="15">
      <c r="B66" s="29" t="s">
        <v>6</v>
      </c>
      <c r="C66" s="65">
        <f>L53</f>
        <v>5.3062236548475026</v>
      </c>
      <c r="D66" s="76">
        <v>5.1042881202228392</v>
      </c>
      <c r="E66" s="76">
        <v>6.3489383714896226</v>
      </c>
      <c r="F66" s="66">
        <v>4.8</v>
      </c>
      <c r="G66" s="65">
        <f>[18]October_2026!$P$11</f>
        <v>5.6924136073155003</v>
      </c>
      <c r="H66" s="476">
        <v>5.7800862786879019</v>
      </c>
      <c r="I66" s="476">
        <v>6.4792264099398515</v>
      </c>
      <c r="J66" s="66">
        <v>4.8</v>
      </c>
      <c r="K66" s="67">
        <f>K53</f>
        <v>1.3399999999999999</v>
      </c>
      <c r="L66" s="194">
        <v>0.83850877192982465</v>
      </c>
      <c r="M66" s="194">
        <v>0.56034816813416244</v>
      </c>
      <c r="N66" s="68">
        <v>1</v>
      </c>
      <c r="O66" s="56"/>
      <c r="P66" s="69"/>
    </row>
    <row r="67" spans="2:16" ht="15">
      <c r="B67" s="33" t="s">
        <v>9</v>
      </c>
      <c r="C67" s="65"/>
      <c r="D67" s="76">
        <v>5.062325108114992</v>
      </c>
      <c r="E67" s="76">
        <v>6.0120934601385283</v>
      </c>
      <c r="F67" s="66">
        <v>4.8</v>
      </c>
      <c r="G67" s="65"/>
      <c r="H67" s="76">
        <v>5.6760230336831157</v>
      </c>
      <c r="I67" s="76">
        <v>5.9217471497494181</v>
      </c>
      <c r="J67" s="66">
        <v>4.8</v>
      </c>
      <c r="K67" s="67"/>
      <c r="L67" s="194">
        <v>0.65473684210526317</v>
      </c>
      <c r="M67" s="194">
        <v>0.68123957181115813</v>
      </c>
      <c r="N67" s="68">
        <v>1</v>
      </c>
      <c r="P67" s="69"/>
    </row>
    <row r="68" spans="2:16" ht="15">
      <c r="B68" s="34" t="s">
        <v>40</v>
      </c>
      <c r="C68" s="65"/>
      <c r="D68" s="76"/>
      <c r="E68" s="76">
        <v>10.890214570112384</v>
      </c>
      <c r="F68" s="66">
        <v>5.5</v>
      </c>
      <c r="G68" s="65"/>
      <c r="H68" s="76"/>
      <c r="I68" s="76">
        <v>11.797659278069149</v>
      </c>
      <c r="J68" s="66">
        <v>5.5</v>
      </c>
      <c r="K68" s="67"/>
      <c r="L68" s="194"/>
      <c r="M68" s="194">
        <v>0.35370190356844494</v>
      </c>
      <c r="N68" s="68">
        <v>1</v>
      </c>
      <c r="P68" s="69"/>
    </row>
    <row r="69" spans="2:16" ht="15">
      <c r="B69" s="22" t="s">
        <v>33</v>
      </c>
      <c r="C69" s="65"/>
      <c r="D69" s="76">
        <v>2.6160971335586405</v>
      </c>
      <c r="E69" s="76">
        <v>4.6053599467161712</v>
      </c>
      <c r="F69" s="66">
        <v>3.3</v>
      </c>
      <c r="G69" s="65"/>
      <c r="H69" s="76">
        <v>4.0562064167659644</v>
      </c>
      <c r="I69" s="76">
        <v>4.7835858167498584</v>
      </c>
      <c r="J69" s="66">
        <v>3.3</v>
      </c>
      <c r="K69" s="67"/>
      <c r="L69" s="194">
        <v>1.3649122807017544</v>
      </c>
      <c r="M69" s="194">
        <v>0.83244019138755987</v>
      </c>
      <c r="N69" s="68">
        <v>1</v>
      </c>
      <c r="P69" s="69"/>
    </row>
    <row r="70" spans="2:16" ht="15">
      <c r="B70" s="35" t="s">
        <v>164</v>
      </c>
      <c r="C70" s="65"/>
      <c r="D70" s="76"/>
      <c r="E70" s="76"/>
      <c r="F70" s="66">
        <v>3.3</v>
      </c>
      <c r="G70" s="282"/>
      <c r="H70" s="76"/>
      <c r="I70" s="76"/>
      <c r="J70" s="66">
        <v>3</v>
      </c>
      <c r="K70" s="67"/>
      <c r="L70" s="194"/>
      <c r="M70" s="194"/>
      <c r="N70" s="68">
        <v>1</v>
      </c>
      <c r="P70" s="69"/>
    </row>
    <row r="71" spans="2:16" ht="15">
      <c r="B71" s="36" t="s">
        <v>15</v>
      </c>
      <c r="C71" s="65"/>
      <c r="D71" s="76"/>
      <c r="E71" s="76">
        <v>6.3233965672990236</v>
      </c>
      <c r="F71" s="70">
        <v>5.5</v>
      </c>
      <c r="G71" s="65"/>
      <c r="H71" s="76"/>
      <c r="I71" s="76">
        <v>7.9667553186446929</v>
      </c>
      <c r="J71" s="66">
        <v>5.5</v>
      </c>
      <c r="K71" s="67"/>
      <c r="L71" s="194"/>
      <c r="M71" s="194">
        <v>0.5883625730994152</v>
      </c>
      <c r="N71" s="68">
        <v>1</v>
      </c>
      <c r="P71" s="69"/>
    </row>
    <row r="72" spans="2:16" ht="15">
      <c r="B72" s="37" t="s">
        <v>16</v>
      </c>
      <c r="C72" s="481"/>
      <c r="D72" s="76"/>
      <c r="E72" s="76">
        <v>3.9973372218347856</v>
      </c>
      <c r="F72" s="66">
        <v>3.3</v>
      </c>
      <c r="G72" s="282"/>
      <c r="H72" s="76"/>
      <c r="I72" s="76">
        <v>5.1096183510504902</v>
      </c>
      <c r="J72" s="66">
        <v>3.3</v>
      </c>
      <c r="K72" s="67"/>
      <c r="L72" s="194"/>
      <c r="M72" s="194">
        <v>0.89057130004498408</v>
      </c>
      <c r="N72" s="71">
        <v>1</v>
      </c>
      <c r="P72" s="69"/>
    </row>
    <row r="73" spans="2:16" ht="15.75" thickBot="1">
      <c r="B73" s="38" t="s">
        <v>163</v>
      </c>
      <c r="C73" s="65"/>
      <c r="D73" s="76"/>
      <c r="E73" s="76"/>
      <c r="F73" s="66">
        <v>7.5</v>
      </c>
      <c r="G73" s="282"/>
      <c r="H73" s="76"/>
      <c r="I73" s="76"/>
      <c r="J73" s="66">
        <v>7.5</v>
      </c>
      <c r="K73" s="67"/>
      <c r="L73" s="194"/>
      <c r="M73" s="194"/>
      <c r="N73" s="71">
        <v>1</v>
      </c>
      <c r="P73" s="69"/>
    </row>
    <row r="74" spans="2:16" ht="15.75" thickBot="1">
      <c r="B74" s="413" t="s">
        <v>161</v>
      </c>
      <c r="C74" s="65"/>
      <c r="D74" s="76"/>
      <c r="E74" s="76"/>
      <c r="F74" s="66">
        <v>4.8</v>
      </c>
      <c r="G74" s="282"/>
      <c r="H74" s="76"/>
      <c r="I74" s="76"/>
      <c r="J74" s="66">
        <v>4.8</v>
      </c>
      <c r="K74" s="67"/>
      <c r="L74" s="194"/>
      <c r="M74" s="194"/>
      <c r="N74" s="71">
        <v>1</v>
      </c>
      <c r="O74" s="74"/>
      <c r="P74" s="75"/>
    </row>
    <row r="75" spans="2:16" ht="15">
      <c r="D75" s="76">
        <v>4.7792166009812664</v>
      </c>
      <c r="E75" s="76">
        <v>6.288931170676876</v>
      </c>
      <c r="F75" s="341">
        <v>5.5</v>
      </c>
      <c r="H75" s="76">
        <v>5.4684048546829418</v>
      </c>
      <c r="I75" s="76">
        <v>6.6002205481880569</v>
      </c>
      <c r="J75" s="341">
        <v>5.5</v>
      </c>
      <c r="L75" s="194">
        <v>0.85295055821371613</v>
      </c>
      <c r="M75" s="194">
        <v>0.60969030287174719</v>
      </c>
      <c r="N75" s="386">
        <v>1</v>
      </c>
    </row>
  </sheetData>
  <mergeCells count="51">
    <mergeCell ref="M51:M52"/>
    <mergeCell ref="B64:F64"/>
    <mergeCell ref="G64:J64"/>
    <mergeCell ref="K64:N64"/>
    <mergeCell ref="G51:G52"/>
    <mergeCell ref="H51:H52"/>
    <mergeCell ref="I51:I52"/>
    <mergeCell ref="J51:J52"/>
    <mergeCell ref="K51:K52"/>
    <mergeCell ref="L51:L52"/>
    <mergeCell ref="F51:F52"/>
    <mergeCell ref="D46:E46"/>
    <mergeCell ref="B51:B52"/>
    <mergeCell ref="C51:C52"/>
    <mergeCell ref="D51:D52"/>
    <mergeCell ref="E51:E52"/>
    <mergeCell ref="B36:B45"/>
    <mergeCell ref="D36:E37"/>
    <mergeCell ref="J36:K36"/>
    <mergeCell ref="L37:N37"/>
    <mergeCell ref="D38:E39"/>
    <mergeCell ref="D40:E41"/>
    <mergeCell ref="D42:E43"/>
    <mergeCell ref="D44:E45"/>
    <mergeCell ref="I22:N22"/>
    <mergeCell ref="D23:E23"/>
    <mergeCell ref="B24:B35"/>
    <mergeCell ref="D24:E25"/>
    <mergeCell ref="D26:E27"/>
    <mergeCell ref="D28:E29"/>
    <mergeCell ref="D30:E31"/>
    <mergeCell ref="D32:E33"/>
    <mergeCell ref="D34:E35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6:B47">
    <cfRule type="cellIs" dxfId="573" priority="106" operator="notBetween">
      <formula>#REF!</formula>
      <formula>#REF!</formula>
    </cfRule>
  </conditionalFormatting>
  <conditionalFormatting sqref="C50">
    <cfRule type="cellIs" dxfId="572" priority="189" stopIfTrue="1" operator="greaterThan">
      <formula>100</formula>
    </cfRule>
    <cfRule type="cellIs" dxfId="571" priority="188" stopIfTrue="1" operator="lessThan">
      <formula>96</formula>
    </cfRule>
  </conditionalFormatting>
  <conditionalFormatting sqref="C66:C67">
    <cfRule type="cellIs" dxfId="570" priority="69" stopIfTrue="1" operator="greaterThan">
      <formula>$F66</formula>
    </cfRule>
    <cfRule type="cellIs" dxfId="569" priority="71" stopIfTrue="1" operator="greaterThan">
      <formula>$F66</formula>
    </cfRule>
    <cfRule type="cellIs" dxfId="568" priority="72" stopIfTrue="1" operator="lessThanOrEqual">
      <formula>0</formula>
    </cfRule>
    <cfRule type="cellIs" dxfId="567" priority="70" stopIfTrue="1" operator="lessThanOrEqual">
      <formula>0</formula>
    </cfRule>
  </conditionalFormatting>
  <conditionalFormatting sqref="C68:C70 C72:C74">
    <cfRule type="cellIs" dxfId="566" priority="78" stopIfTrue="1" operator="greaterThan">
      <formula>$F71</formula>
    </cfRule>
  </conditionalFormatting>
  <conditionalFormatting sqref="C68:C70">
    <cfRule type="cellIs" dxfId="565" priority="79" stopIfTrue="1" operator="lessThanOrEqual">
      <formula>0</formula>
    </cfRule>
  </conditionalFormatting>
  <conditionalFormatting sqref="C71">
    <cfRule type="cellIs" dxfId="564" priority="190" stopIfTrue="1" operator="greaterThan">
      <formula>$F66</formula>
    </cfRule>
    <cfRule type="cellIs" dxfId="563" priority="193" stopIfTrue="1" operator="lessThanOrEqual">
      <formula>0</formula>
    </cfRule>
    <cfRule type="cellIs" dxfId="562" priority="192" stopIfTrue="1" operator="greaterThan">
      <formula>$F66</formula>
    </cfRule>
    <cfRule type="cellIs" dxfId="561" priority="191" stopIfTrue="1" operator="lessThanOrEqual">
      <formula>0</formula>
    </cfRule>
  </conditionalFormatting>
  <conditionalFormatting sqref="C72:C74">
    <cfRule type="cellIs" dxfId="560" priority="80" stopIfTrue="1" operator="lessThanOrEqual">
      <formula>0</formula>
    </cfRule>
  </conditionalFormatting>
  <conditionalFormatting sqref="C77:C81">
    <cfRule type="cellIs" dxfId="559" priority="180" stopIfTrue="1" operator="lessThanOrEqual">
      <formula>0</formula>
    </cfRule>
  </conditionalFormatting>
  <conditionalFormatting sqref="C78:C81">
    <cfRule type="cellIs" dxfId="558" priority="179" stopIfTrue="1" operator="greaterThan">
      <formula>$F$77</formula>
    </cfRule>
  </conditionalFormatting>
  <conditionalFormatting sqref="C83">
    <cfRule type="cellIs" dxfId="557" priority="181" stopIfTrue="1" operator="greaterThan">
      <formula>$F$77</formula>
    </cfRule>
    <cfRule type="cellIs" dxfId="556" priority="182" stopIfTrue="1" operator="lessThanOrEqual">
      <formula>0</formula>
    </cfRule>
  </conditionalFormatting>
  <conditionalFormatting sqref="C71:D71">
    <cfRule type="cellIs" dxfId="555" priority="67" stopIfTrue="1" operator="greaterThan">
      <formula>$J71</formula>
    </cfRule>
    <cfRule type="cellIs" dxfId="554" priority="68" stopIfTrue="1" operator="lessThanOrEqual">
      <formula>0</formula>
    </cfRule>
  </conditionalFormatting>
  <conditionalFormatting sqref="C77:D77 D79:D85">
    <cfRule type="cellIs" dxfId="553" priority="174" stopIfTrue="1" operator="greaterThan">
      <formula>4.5</formula>
    </cfRule>
  </conditionalFormatting>
  <conditionalFormatting sqref="D46:D47">
    <cfRule type="cellIs" dxfId="552" priority="107" operator="notBetween">
      <formula>#REF!</formula>
      <formula>#REF!</formula>
    </cfRule>
  </conditionalFormatting>
  <conditionalFormatting sqref="D66:D70 D72:D73">
    <cfRule type="cellIs" dxfId="551" priority="77" stopIfTrue="1" operator="lessThanOrEqual">
      <formula>0</formula>
    </cfRule>
  </conditionalFormatting>
  <conditionalFormatting sqref="D66:D70 D72:D75">
    <cfRule type="cellIs" dxfId="550" priority="74" stopIfTrue="1" operator="greaterThan">
      <formula>$F66</formula>
    </cfRule>
    <cfRule type="cellIs" dxfId="549" priority="73" stopIfTrue="1" operator="lessThanOrEqual">
      <formula>0</formula>
    </cfRule>
  </conditionalFormatting>
  <conditionalFormatting sqref="D74:D75">
    <cfRule type="cellIs" dxfId="548" priority="75" stopIfTrue="1" operator="lessThanOrEqual">
      <formula>0</formula>
    </cfRule>
  </conditionalFormatting>
  <conditionalFormatting sqref="D75">
    <cfRule type="cellIs" dxfId="547" priority="76" stopIfTrue="1" operator="lessThanOrEqual">
      <formula>0</formula>
    </cfRule>
  </conditionalFormatting>
  <conditionalFormatting sqref="D77 D79:D85">
    <cfRule type="cellIs" dxfId="546" priority="175" stopIfTrue="1" operator="lessThanOrEqual">
      <formula>0</formula>
    </cfRule>
  </conditionalFormatting>
  <conditionalFormatting sqref="D78">
    <cfRule type="cellIs" dxfId="545" priority="166" stopIfTrue="1" operator="greaterThan">
      <formula>$F$77</formula>
    </cfRule>
    <cfRule type="cellIs" dxfId="544" priority="167" stopIfTrue="1" operator="lessThanOrEqual">
      <formula>0</formula>
    </cfRule>
  </conditionalFormatting>
  <conditionalFormatting sqref="E10:E21">
    <cfRule type="cellIs" dxfId="543" priority="7" operator="lessThan">
      <formula>48</formula>
    </cfRule>
  </conditionalFormatting>
  <conditionalFormatting sqref="E49 E50:F50">
    <cfRule type="cellIs" dxfId="542" priority="171" stopIfTrue="1" operator="greaterThan">
      <formula>100</formula>
    </cfRule>
  </conditionalFormatting>
  <conditionalFormatting sqref="E50">
    <cfRule type="cellIs" dxfId="541" priority="169" stopIfTrue="1" operator="greaterThan">
      <formula>100</formula>
    </cfRule>
    <cfRule type="cellIs" dxfId="540" priority="168" stopIfTrue="1" operator="lessThan">
      <formula>96.8</formula>
    </cfRule>
  </conditionalFormatting>
  <conditionalFormatting sqref="E66:E74">
    <cfRule type="cellIs" dxfId="539" priority="40" stopIfTrue="1" operator="lessThanOrEqual">
      <formula>0</formula>
    </cfRule>
  </conditionalFormatting>
  <conditionalFormatting sqref="E66:E75">
    <cfRule type="cellIs" dxfId="538" priority="41" stopIfTrue="1" operator="greaterThan">
      <formula>$F66</formula>
    </cfRule>
    <cfRule type="cellIs" dxfId="537" priority="42" stopIfTrue="1" operator="lessThanOrEqual">
      <formula>0</formula>
    </cfRule>
  </conditionalFormatting>
  <conditionalFormatting sqref="E75">
    <cfRule type="cellIs" dxfId="536" priority="43" stopIfTrue="1" operator="lessThanOrEqual">
      <formula>0</formula>
    </cfRule>
  </conditionalFormatting>
  <conditionalFormatting sqref="E77:E85">
    <cfRule type="cellIs" dxfId="535" priority="160" stopIfTrue="1" operator="greaterThan">
      <formula>4.5</formula>
    </cfRule>
    <cfRule type="cellIs" dxfId="534" priority="161" stopIfTrue="1" operator="lessThanOrEqual">
      <formula>0</formula>
    </cfRule>
  </conditionalFormatting>
  <conditionalFormatting sqref="E50:F50 E49">
    <cfRule type="cellIs" dxfId="533" priority="170" stopIfTrue="1" operator="lessThan">
      <formula>96.5</formula>
    </cfRule>
  </conditionalFormatting>
  <conditionalFormatting sqref="F19:F21">
    <cfRule type="cellIs" dxfId="532" priority="11" operator="greaterThan">
      <formula>60</formula>
    </cfRule>
  </conditionalFormatting>
  <conditionalFormatting sqref="F50">
    <cfRule type="cellIs" dxfId="531" priority="186" stopIfTrue="1" operator="lessThan">
      <formula>96.8</formula>
    </cfRule>
    <cfRule type="cellIs" dxfId="530" priority="187" stopIfTrue="1" operator="greaterThan">
      <formula>100</formula>
    </cfRule>
  </conditionalFormatting>
  <conditionalFormatting sqref="G10:G21">
    <cfRule type="expression" dxfId="529" priority="13">
      <formula>IF(+(IF(G10&lt;S10,0,IF(G10&gt;T10,0,1)))=0,1)</formula>
    </cfRule>
  </conditionalFormatting>
  <conditionalFormatting sqref="G66:G69 F75">
    <cfRule type="cellIs" dxfId="528" priority="49" stopIfTrue="1" operator="greaterThan">
      <formula>$F66</formula>
    </cfRule>
    <cfRule type="cellIs" dxfId="527" priority="50" stopIfTrue="1" operator="lessThanOrEqual">
      <formula>0</formula>
    </cfRule>
  </conditionalFormatting>
  <conditionalFormatting sqref="G68:G69">
    <cfRule type="cellIs" dxfId="526" priority="36" stopIfTrue="1" operator="lessThanOrEqual">
      <formula>0</formula>
    </cfRule>
    <cfRule type="cellIs" dxfId="525" priority="35" stopIfTrue="1" operator="greaterThan">
      <formula>$F68</formula>
    </cfRule>
  </conditionalFormatting>
  <conditionalFormatting sqref="G70:G74">
    <cfRule type="cellIs" dxfId="524" priority="52" stopIfTrue="1" operator="lessThanOrEqual">
      <formula>0</formula>
    </cfRule>
    <cfRule type="cellIs" dxfId="523" priority="51" stopIfTrue="1" operator="greaterThan">
      <formula>$J70</formula>
    </cfRule>
  </conditionalFormatting>
  <conditionalFormatting sqref="G71">
    <cfRule type="cellIs" dxfId="522" priority="194" stopIfTrue="1" operator="greaterThan">
      <formula>$F66</formula>
    </cfRule>
    <cfRule type="cellIs" dxfId="521" priority="195" stopIfTrue="1" operator="lessThanOrEqual">
      <formula>0</formula>
    </cfRule>
  </conditionalFormatting>
  <conditionalFormatting sqref="G79:G84 C82 C84">
    <cfRule type="cellIs" dxfId="520" priority="184" stopIfTrue="1" operator="lessThanOrEqual">
      <formula>0</formula>
    </cfRule>
    <cfRule type="cellIs" dxfId="519" priority="183" stopIfTrue="1" operator="greaterThan">
      <formula>4.5</formula>
    </cfRule>
  </conditionalFormatting>
  <conditionalFormatting sqref="G78:H78">
    <cfRule type="cellIs" dxfId="518" priority="165" stopIfTrue="1" operator="lessThanOrEqual">
      <formula>0</formula>
    </cfRule>
    <cfRule type="cellIs" dxfId="517" priority="164" stopIfTrue="1" operator="greaterThan">
      <formula>$F$77</formula>
    </cfRule>
  </conditionalFormatting>
  <conditionalFormatting sqref="H10:H21">
    <cfRule type="expression" dxfId="516" priority="14">
      <formula>IF(+(IF(H10&lt;#REF!,0,IF(H10&gt;#REF!,0,1)))=0,1)</formula>
    </cfRule>
  </conditionalFormatting>
  <conditionalFormatting sqref="H35:H36 H49">
    <cfRule type="cellIs" dxfId="515" priority="162" stopIfTrue="1" operator="greaterThan">
      <formula>0</formula>
    </cfRule>
  </conditionalFormatting>
  <conditionalFormatting sqref="H53">
    <cfRule type="cellIs" dxfId="514" priority="55" stopIfTrue="1" operator="greaterThan">
      <formula>$F$66</formula>
    </cfRule>
    <cfRule type="cellIs" dxfId="513" priority="63" stopIfTrue="1" operator="greaterThan">
      <formula>$F$69</formula>
    </cfRule>
    <cfRule type="cellIs" dxfId="512" priority="64" stopIfTrue="1" operator="lessThanOrEqual">
      <formula>0</formula>
    </cfRule>
    <cfRule type="cellIs" dxfId="511" priority="65" stopIfTrue="1" operator="greaterThan">
      <formula>$F$67</formula>
    </cfRule>
    <cfRule type="cellIs" dxfId="510" priority="54" stopIfTrue="1" operator="lessThanOrEqual">
      <formula>0</formula>
    </cfRule>
  </conditionalFormatting>
  <conditionalFormatting sqref="H53:H54">
    <cfRule type="cellIs" dxfId="509" priority="66" stopIfTrue="1" operator="lessThanOrEqual">
      <formula>0</formula>
    </cfRule>
  </conditionalFormatting>
  <conditionalFormatting sqref="H54 H56:H57">
    <cfRule type="cellIs" dxfId="508" priority="92" stopIfTrue="1" operator="lessThanOrEqual">
      <formula>0</formula>
    </cfRule>
  </conditionalFormatting>
  <conditionalFormatting sqref="H54">
    <cfRule type="cellIs" dxfId="507" priority="89" stopIfTrue="1" operator="greaterThan">
      <formula>$F$69</formula>
    </cfRule>
    <cfRule type="cellIs" dxfId="506" priority="91" stopIfTrue="1" operator="greaterThan">
      <formula>$F$67</formula>
    </cfRule>
    <cfRule type="cellIs" dxfId="505" priority="90" stopIfTrue="1" operator="lessThanOrEqual">
      <formula>0</formula>
    </cfRule>
    <cfRule type="cellIs" dxfId="504" priority="81" stopIfTrue="1" operator="greaterThan">
      <formula>$F$66</formula>
    </cfRule>
  </conditionalFormatting>
  <conditionalFormatting sqref="H55">
    <cfRule type="cellIs" dxfId="503" priority="21" stopIfTrue="1" operator="lessThanOrEqual">
      <formula>0</formula>
    </cfRule>
    <cfRule type="cellIs" dxfId="502" priority="22" stopIfTrue="1" operator="greaterThan">
      <formula>$F$68</formula>
    </cfRule>
    <cfRule type="cellIs" dxfId="501" priority="30" stopIfTrue="1" operator="greaterThan">
      <formula>$F$71</formula>
    </cfRule>
    <cfRule type="cellIs" dxfId="500" priority="31" stopIfTrue="1" operator="lessThanOrEqual">
      <formula>0</formula>
    </cfRule>
    <cfRule type="cellIs" dxfId="499" priority="32" stopIfTrue="1" operator="greaterThan">
      <formula>$F$69</formula>
    </cfRule>
    <cfRule type="cellIs" dxfId="498" priority="33" stopIfTrue="1" operator="lessThanOrEqual">
      <formula>0</formula>
    </cfRule>
  </conditionalFormatting>
  <conditionalFormatting sqref="H56:H57">
    <cfRule type="cellIs" dxfId="497" priority="104" stopIfTrue="1" operator="greaterThan">
      <formula>$F$67</formula>
    </cfRule>
    <cfRule type="cellIs" dxfId="496" priority="103" stopIfTrue="1" operator="lessThanOrEqual">
      <formula>0</formula>
    </cfRule>
    <cfRule type="cellIs" dxfId="495" priority="102" stopIfTrue="1" operator="greaterThan">
      <formula>$F$69</formula>
    </cfRule>
    <cfRule type="cellIs" dxfId="494" priority="94" stopIfTrue="1" operator="greaterThan">
      <formula>$F$66</formula>
    </cfRule>
    <cfRule type="cellIs" dxfId="493" priority="105" stopIfTrue="1" operator="lessThanOrEqual">
      <formula>0</formula>
    </cfRule>
  </conditionalFormatting>
  <conditionalFormatting sqref="H58:H59">
    <cfRule type="cellIs" dxfId="492" priority="129" stopIfTrue="1" operator="lessThanOrEqual">
      <formula>0</formula>
    </cfRule>
    <cfRule type="cellIs" dxfId="491" priority="138" stopIfTrue="1" operator="greaterThan">
      <formula>#REF!</formula>
    </cfRule>
    <cfRule type="cellIs" dxfId="490" priority="139" stopIfTrue="1" operator="lessThanOrEqual">
      <formula>0</formula>
    </cfRule>
    <cfRule type="cellIs" dxfId="489" priority="130" stopIfTrue="1" operator="greaterThan">
      <formula>#REF!</formula>
    </cfRule>
  </conditionalFormatting>
  <conditionalFormatting sqref="H60">
    <cfRule type="cellIs" dxfId="488" priority="153" stopIfTrue="1" operator="lessThanOrEqual">
      <formula>0</formula>
    </cfRule>
    <cfRule type="cellIs" dxfId="487" priority="141" stopIfTrue="1" operator="lessThanOrEqual">
      <formula>0</formula>
    </cfRule>
    <cfRule type="cellIs" dxfId="486" priority="142" stopIfTrue="1" operator="greaterThan">
      <formula>$F$34</formula>
    </cfRule>
    <cfRule type="cellIs" dxfId="485" priority="152" stopIfTrue="1" operator="greaterThan">
      <formula>$F$35</formula>
    </cfRule>
    <cfRule type="cellIs" dxfId="484" priority="151" stopIfTrue="1" operator="lessThanOrEqual">
      <formula>0</formula>
    </cfRule>
    <cfRule type="cellIs" dxfId="483" priority="150" stopIfTrue="1" operator="greaterThan">
      <formula>$F$37</formula>
    </cfRule>
  </conditionalFormatting>
  <conditionalFormatting sqref="H61:H62">
    <cfRule type="cellIs" dxfId="482" priority="126" stopIfTrue="1" operator="greaterThan">
      <formula>#REF!</formula>
    </cfRule>
    <cfRule type="cellIs" dxfId="481" priority="118" stopIfTrue="1" operator="greaterThan">
      <formula>#REF!</formula>
    </cfRule>
    <cfRule type="cellIs" dxfId="480" priority="117" stopIfTrue="1" operator="lessThanOrEqual">
      <formula>0</formula>
    </cfRule>
    <cfRule type="cellIs" dxfId="479" priority="127" stopIfTrue="1" operator="lessThanOrEqual">
      <formula>0</formula>
    </cfRule>
  </conditionalFormatting>
  <conditionalFormatting sqref="H77 H79:H85">
    <cfRule type="cellIs" dxfId="478" priority="176" stopIfTrue="1" operator="greaterThan">
      <formula>4.5</formula>
    </cfRule>
    <cfRule type="cellIs" dxfId="477" priority="177" stopIfTrue="1" operator="lessThanOrEqual">
      <formula>0</formula>
    </cfRule>
  </conditionalFormatting>
  <conditionalFormatting sqref="H53:I53">
    <cfRule type="cellIs" dxfId="476" priority="56" stopIfTrue="1" operator="lessThanOrEqual">
      <formula>0</formula>
    </cfRule>
  </conditionalFormatting>
  <conditionalFormatting sqref="H53:I54 H56:I57">
    <cfRule type="cellIs" dxfId="475" priority="53" stopIfTrue="1" operator="greaterThan">
      <formula>$F$68</formula>
    </cfRule>
  </conditionalFormatting>
  <conditionalFormatting sqref="H54:I54">
    <cfRule type="cellIs" dxfId="474" priority="82" stopIfTrue="1" operator="lessThanOrEqual">
      <formula>0</formula>
    </cfRule>
  </conditionalFormatting>
  <conditionalFormatting sqref="H55:I55">
    <cfRule type="cellIs" dxfId="473" priority="20" stopIfTrue="1" operator="greaterThan">
      <formula>$F$70</formula>
    </cfRule>
    <cfRule type="cellIs" dxfId="472" priority="23" stopIfTrue="1" operator="lessThanOrEqual">
      <formula>0</formula>
    </cfRule>
  </conditionalFormatting>
  <conditionalFormatting sqref="H56:I57">
    <cfRule type="cellIs" dxfId="471" priority="95" stopIfTrue="1" operator="lessThanOrEqual">
      <formula>0</formula>
    </cfRule>
  </conditionalFormatting>
  <conditionalFormatting sqref="H58:I59">
    <cfRule type="cellIs" dxfId="470" priority="136" stopIfTrue="1" operator="greaterThan">
      <formula>#REF!</formula>
    </cfRule>
    <cfRule type="cellIs" dxfId="469" priority="131" stopIfTrue="1" operator="lessThanOrEqual">
      <formula>0</formula>
    </cfRule>
    <cfRule type="cellIs" dxfId="468" priority="137" stopIfTrue="1" operator="lessThanOrEqual">
      <formula>0</formula>
    </cfRule>
    <cfRule type="cellIs" dxfId="467" priority="128" stopIfTrue="1" operator="greaterThan">
      <formula>#REF!</formula>
    </cfRule>
  </conditionalFormatting>
  <conditionalFormatting sqref="H60:I60">
    <cfRule type="cellIs" dxfId="466" priority="140" stopIfTrue="1" operator="greaterThan">
      <formula>$F$36</formula>
    </cfRule>
    <cfRule type="cellIs" dxfId="465" priority="143" stopIfTrue="1" operator="lessThanOrEqual">
      <formula>0</formula>
    </cfRule>
  </conditionalFormatting>
  <conditionalFormatting sqref="H61:I62">
    <cfRule type="cellIs" dxfId="464" priority="116" stopIfTrue="1" operator="greaterThan">
      <formula>#REF!</formula>
    </cfRule>
    <cfRule type="cellIs" dxfId="463" priority="119" stopIfTrue="1" operator="lessThanOrEqual">
      <formula>0</formula>
    </cfRule>
    <cfRule type="cellIs" dxfId="462" priority="124" stopIfTrue="1" operator="greaterThan">
      <formula>#REF!</formula>
    </cfRule>
    <cfRule type="cellIs" dxfId="461" priority="125" stopIfTrue="1" operator="lessThanOrEqual">
      <formula>0</formula>
    </cfRule>
  </conditionalFormatting>
  <conditionalFormatting sqref="H66:I73">
    <cfRule type="cellIs" dxfId="460" priority="39" stopIfTrue="1" operator="lessThanOrEqual">
      <formula>0</formula>
    </cfRule>
    <cfRule type="cellIs" dxfId="459" priority="38" stopIfTrue="1" operator="greaterThan">
      <formula>$J66</formula>
    </cfRule>
  </conditionalFormatting>
  <conditionalFormatting sqref="H74:I74">
    <cfRule type="cellIs" dxfId="458" priority="46" operator="greaterThan">
      <formula>5.3</formula>
    </cfRule>
  </conditionalFormatting>
  <conditionalFormatting sqref="H75:I75">
    <cfRule type="cellIs" dxfId="457" priority="45" stopIfTrue="1" operator="lessThanOrEqual">
      <formula>0</formula>
    </cfRule>
    <cfRule type="cellIs" dxfId="456" priority="44" stopIfTrue="1" operator="greaterThan">
      <formula>$J75</formula>
    </cfRule>
  </conditionalFormatting>
  <conditionalFormatting sqref="I53">
    <cfRule type="cellIs" dxfId="455" priority="59" stopIfTrue="1" operator="greaterThan">
      <formula>$F$68</formula>
    </cfRule>
    <cfRule type="cellIs" dxfId="454" priority="58" stopIfTrue="1" operator="lessThanOrEqual">
      <formula>0</formula>
    </cfRule>
    <cfRule type="cellIs" dxfId="453" priority="57" stopIfTrue="1" operator="greaterThan">
      <formula>$F$66</formula>
    </cfRule>
    <cfRule type="cellIs" dxfId="452" priority="62" stopIfTrue="1" operator="lessThanOrEqual">
      <formula>0</formula>
    </cfRule>
    <cfRule type="cellIs" dxfId="451" priority="61" stopIfTrue="1" operator="greaterThan">
      <formula>$F$66</formula>
    </cfRule>
    <cfRule type="cellIs" dxfId="450" priority="60" stopIfTrue="1" operator="lessThanOrEqual">
      <formula>0</formula>
    </cfRule>
  </conditionalFormatting>
  <conditionalFormatting sqref="I54">
    <cfRule type="cellIs" dxfId="449" priority="84" stopIfTrue="1" operator="lessThanOrEqual">
      <formula>0</formula>
    </cfRule>
    <cfRule type="cellIs" dxfId="448" priority="83" stopIfTrue="1" operator="greaterThan">
      <formula>$F$66</formula>
    </cfRule>
    <cfRule type="cellIs" dxfId="447" priority="88" stopIfTrue="1" operator="lessThanOrEqual">
      <formula>0</formula>
    </cfRule>
    <cfRule type="cellIs" dxfId="446" priority="87" stopIfTrue="1" operator="greaterThan">
      <formula>$F$66</formula>
    </cfRule>
    <cfRule type="cellIs" dxfId="445" priority="86" stopIfTrue="1" operator="lessThanOrEqual">
      <formula>0</formula>
    </cfRule>
    <cfRule type="cellIs" dxfId="444" priority="85" stopIfTrue="1" operator="greaterThan">
      <formula>$F$68</formula>
    </cfRule>
  </conditionalFormatting>
  <conditionalFormatting sqref="I55">
    <cfRule type="cellIs" dxfId="443" priority="28" stopIfTrue="1" operator="greaterThan">
      <formula>$F$68</formula>
    </cfRule>
    <cfRule type="cellIs" dxfId="442" priority="27" stopIfTrue="1" operator="lessThanOrEqual">
      <formula>0</formula>
    </cfRule>
    <cfRule type="cellIs" dxfId="441" priority="26" stopIfTrue="1" operator="greaterThan">
      <formula>$F$70</formula>
    </cfRule>
    <cfRule type="cellIs" dxfId="440" priority="25" stopIfTrue="1" operator="lessThanOrEqual">
      <formula>0</formula>
    </cfRule>
    <cfRule type="cellIs" dxfId="439" priority="24" stopIfTrue="1" operator="greaterThan">
      <formula>$F$68</formula>
    </cfRule>
    <cfRule type="cellIs" dxfId="438" priority="29" stopIfTrue="1" operator="lessThanOrEqual">
      <formula>0</formula>
    </cfRule>
  </conditionalFormatting>
  <conditionalFormatting sqref="I56:I57">
    <cfRule type="cellIs" dxfId="437" priority="99" stopIfTrue="1" operator="lessThanOrEqual">
      <formula>0</formula>
    </cfRule>
    <cfRule type="cellIs" dxfId="436" priority="100" stopIfTrue="1" operator="greaterThan">
      <formula>$F$66</formula>
    </cfRule>
    <cfRule type="cellIs" dxfId="435" priority="101" stopIfTrue="1" operator="lessThanOrEqual">
      <formula>0</formula>
    </cfRule>
    <cfRule type="cellIs" dxfId="434" priority="96" stopIfTrue="1" operator="greaterThan">
      <formula>$F$66</formula>
    </cfRule>
    <cfRule type="cellIs" dxfId="433" priority="97" stopIfTrue="1" operator="lessThanOrEqual">
      <formula>0</formula>
    </cfRule>
    <cfRule type="cellIs" dxfId="432" priority="98" stopIfTrue="1" operator="greaterThan">
      <formula>$F$68</formula>
    </cfRule>
  </conditionalFormatting>
  <conditionalFormatting sqref="I58:I59">
    <cfRule type="cellIs" dxfId="431" priority="132" stopIfTrue="1" operator="greaterThan">
      <formula>#REF!</formula>
    </cfRule>
    <cfRule type="cellIs" dxfId="430" priority="135" stopIfTrue="1" operator="lessThanOrEqual">
      <formula>0</formula>
    </cfRule>
    <cfRule type="cellIs" dxfId="429" priority="134" stopIfTrue="1" operator="greaterThan">
      <formula>#REF!</formula>
    </cfRule>
    <cfRule type="cellIs" dxfId="428" priority="133" stopIfTrue="1" operator="lessThanOrEqual">
      <formula>0</formula>
    </cfRule>
  </conditionalFormatting>
  <conditionalFormatting sqref="I60">
    <cfRule type="cellIs" dxfId="427" priority="147" stopIfTrue="1" operator="lessThanOrEqual">
      <formula>0</formula>
    </cfRule>
    <cfRule type="cellIs" dxfId="426" priority="148" stopIfTrue="1" operator="greaterThan">
      <formula>$F$34</formula>
    </cfRule>
    <cfRule type="cellIs" dxfId="425" priority="149" stopIfTrue="1" operator="lessThanOrEqual">
      <formula>0</formula>
    </cfRule>
    <cfRule type="cellIs" dxfId="424" priority="146" stopIfTrue="1" operator="greaterThan">
      <formula>$F$36</formula>
    </cfRule>
    <cfRule type="cellIs" dxfId="423" priority="145" stopIfTrue="1" operator="lessThanOrEqual">
      <formula>0</formula>
    </cfRule>
    <cfRule type="cellIs" dxfId="422" priority="144" stopIfTrue="1" operator="greaterThan">
      <formula>$F$34</formula>
    </cfRule>
  </conditionalFormatting>
  <conditionalFormatting sqref="I61:I62">
    <cfRule type="cellIs" dxfId="421" priority="120" stopIfTrue="1" operator="greaterThan">
      <formula>#REF!</formula>
    </cfRule>
    <cfRule type="cellIs" dxfId="420" priority="121" stopIfTrue="1" operator="lessThanOrEqual">
      <formula>0</formula>
    </cfRule>
    <cfRule type="cellIs" dxfId="419" priority="122" stopIfTrue="1" operator="greaterThan">
      <formula>#REF!</formula>
    </cfRule>
    <cfRule type="cellIs" dxfId="418" priority="123" stopIfTrue="1" operator="lessThanOrEqual">
      <formula>0</formula>
    </cfRule>
  </conditionalFormatting>
  <conditionalFormatting sqref="I77:I85">
    <cfRule type="cellIs" dxfId="417" priority="173" stopIfTrue="1" operator="lessThanOrEqual">
      <formula>0</formula>
    </cfRule>
    <cfRule type="cellIs" dxfId="416" priority="172" stopIfTrue="1" operator="greaterThan">
      <formula>4.5</formula>
    </cfRule>
  </conditionalFormatting>
  <conditionalFormatting sqref="I10:J21">
    <cfRule type="cellIs" dxfId="415" priority="1" operator="lessThan">
      <formula>97.9</formula>
    </cfRule>
  </conditionalFormatting>
  <conditionalFormatting sqref="J24:J26">
    <cfRule type="cellIs" dxfId="414" priority="19" operator="lessThan">
      <formula>97.95</formula>
    </cfRule>
  </conditionalFormatting>
  <conditionalFormatting sqref="J25:J28">
    <cfRule type="cellIs" dxfId="413" priority="154" operator="lessThan">
      <formula>97.4</formula>
    </cfRule>
  </conditionalFormatting>
  <conditionalFormatting sqref="J29:J30">
    <cfRule type="cellIs" dxfId="412" priority="155" operator="lessThan">
      <formula>98</formula>
    </cfRule>
  </conditionalFormatting>
  <conditionalFormatting sqref="J31:J32">
    <cfRule type="cellIs" dxfId="411" priority="156" stopIfTrue="1" operator="lessThan">
      <formula>96.8</formula>
    </cfRule>
    <cfRule type="cellIs" dxfId="410" priority="157" stopIfTrue="1" operator="greaterThan">
      <formula>100</formula>
    </cfRule>
  </conditionalFormatting>
  <conditionalFormatting sqref="J31:J33">
    <cfRule type="cellIs" dxfId="409" priority="158" operator="lessThan">
      <formula>98</formula>
    </cfRule>
  </conditionalFormatting>
  <conditionalFormatting sqref="J62">
    <cfRule type="cellIs" dxfId="408" priority="112" stopIfTrue="1" operator="greaterThan">
      <formula>#REF!</formula>
    </cfRule>
    <cfRule type="cellIs" dxfId="407" priority="113" stopIfTrue="1" operator="lessThanOrEqual">
      <formula>0</formula>
    </cfRule>
    <cfRule type="cellIs" dxfId="406" priority="114" stopIfTrue="1" operator="greaterThan">
      <formula>#REF!</formula>
    </cfRule>
    <cfRule type="cellIs" dxfId="405" priority="115" stopIfTrue="1" operator="lessThanOrEqual">
      <formula>0</formula>
    </cfRule>
    <cfRule type="cellIs" dxfId="404" priority="108" stopIfTrue="1" operator="greaterThan">
      <formula>#REF!</formula>
    </cfRule>
    <cfRule type="cellIs" dxfId="403" priority="109" stopIfTrue="1" operator="lessThanOrEqual">
      <formula>0</formula>
    </cfRule>
    <cfRule type="cellIs" dxfId="402" priority="110" stopIfTrue="1" operator="greaterThan">
      <formula>#REF!</formula>
    </cfRule>
    <cfRule type="cellIs" dxfId="401" priority="111" stopIfTrue="1" operator="lessThanOrEqual">
      <formula>0</formula>
    </cfRule>
  </conditionalFormatting>
  <conditionalFormatting sqref="J75">
    <cfRule type="cellIs" dxfId="400" priority="47" stopIfTrue="1" operator="greaterThan">
      <formula>$F75</formula>
    </cfRule>
    <cfRule type="cellIs" dxfId="399" priority="48" stopIfTrue="1" operator="lessThanOrEqual">
      <formula>0</formula>
    </cfRule>
  </conditionalFormatting>
  <conditionalFormatting sqref="K10:K21">
    <cfRule type="cellIs" dxfId="398" priority="3" operator="lessThan">
      <formula>4</formula>
    </cfRule>
    <cfRule type="cellIs" dxfId="397" priority="2" operator="greaterThan">
      <formula>6</formula>
    </cfRule>
    <cfRule type="cellIs" dxfId="396" priority="4" operator="greaterThan">
      <formula>6.4</formula>
    </cfRule>
  </conditionalFormatting>
  <conditionalFormatting sqref="K53:K62">
    <cfRule type="cellIs" dxfId="395" priority="93" stopIfTrue="1" operator="lessThan">
      <formula>100%</formula>
    </cfRule>
  </conditionalFormatting>
  <conditionalFormatting sqref="K66:K74">
    <cfRule type="cellIs" dxfId="394" priority="37" stopIfTrue="1" operator="lessThan">
      <formula>100%</formula>
    </cfRule>
  </conditionalFormatting>
  <conditionalFormatting sqref="K77:K82">
    <cfRule type="cellIs" dxfId="393" priority="178" stopIfTrue="1" operator="lessThan">
      <formula>100%</formula>
    </cfRule>
  </conditionalFormatting>
  <conditionalFormatting sqref="K84:K85">
    <cfRule type="cellIs" dxfId="392" priority="185" stopIfTrue="1" operator="lessThan">
      <formula>100%</formula>
    </cfRule>
  </conditionalFormatting>
  <conditionalFormatting sqref="L10:L21">
    <cfRule type="cellIs" dxfId="391" priority="5" operator="between">
      <formula>61</formula>
      <formula>65</formula>
    </cfRule>
    <cfRule type="cellIs" dxfId="390" priority="6" operator="greaterThan">
      <formula>65</formula>
    </cfRule>
  </conditionalFormatting>
  <conditionalFormatting sqref="L24:M35">
    <cfRule type="cellIs" dxfId="389" priority="18" operator="lessThan">
      <formula>97.95</formula>
    </cfRule>
  </conditionalFormatting>
  <conditionalFormatting sqref="L39:N39">
    <cfRule type="cellIs" dxfId="388" priority="17" operator="notEqual">
      <formula>#REF!</formula>
    </cfRule>
  </conditionalFormatting>
  <conditionalFormatting sqref="L66:N75">
    <cfRule type="cellIs" dxfId="387" priority="34" stopIfTrue="1" operator="lessThan">
      <formula>100%</formula>
    </cfRule>
  </conditionalFormatting>
  <conditionalFormatting sqref="L77:N85">
    <cfRule type="cellIs" dxfId="386" priority="163" stopIfTrue="1" operator="lessThan">
      <formula>100%</formula>
    </cfRule>
  </conditionalFormatting>
  <conditionalFormatting sqref="M19:M21">
    <cfRule type="expression" dxfId="385" priority="12">
      <formula>IF(+(IF(M19&lt;U19,0,IF(M19&gt;V19,0,1)))=0,1)</formula>
    </cfRule>
  </conditionalFormatting>
  <conditionalFormatting sqref="M10:N18 N19:N21">
    <cfRule type="expression" dxfId="384" priority="15">
      <formula>IF(+(IF(M10&lt;V10,0,IF(M10&gt;W10,0,1)))=0,1)</formula>
    </cfRule>
  </conditionalFormatting>
  <conditionalFormatting sqref="P6">
    <cfRule type="cellIs" dxfId="383" priority="159" operator="greaterThanOrEqual">
      <formula>19</formula>
    </cfRule>
  </conditionalFormatting>
  <dataValidations count="1">
    <dataValidation type="list" allowBlank="1" showInputMessage="1" showErrorMessage="1" sqref="R8" xr:uid="{6D74642B-8D7A-4722-9E78-DF93675F8D4B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9" max="16383" man="1"/>
  </rowBreaks>
  <colBreaks count="1" manualBreakCount="1">
    <brk id="15" max="89" man="1"/>
  </col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5D4E9-E8ED-4EC0-93B9-81F35DB837D6}">
  <sheetPr>
    <pageSetUpPr fitToPage="1"/>
  </sheetPr>
  <dimension ref="A1:BE75"/>
  <sheetViews>
    <sheetView topLeftCell="B8" zoomScale="85" zoomScaleNormal="85" workbookViewId="0">
      <selection activeCell="C20" sqref="C20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54" t="s">
        <v>0</v>
      </c>
      <c r="T1" s="554"/>
      <c r="U1" s="554" t="s">
        <v>1</v>
      </c>
      <c r="V1" s="554"/>
      <c r="W1" s="554" t="s">
        <v>2</v>
      </c>
      <c r="X1" s="554"/>
      <c r="Y1" s="554" t="s">
        <v>124</v>
      </c>
      <c r="Z1" s="554"/>
    </row>
    <row r="2" spans="2:29" ht="15">
      <c r="B2" s="555" t="s">
        <v>3</v>
      </c>
      <c r="C2" s="555"/>
      <c r="D2" s="555"/>
      <c r="E2" s="555"/>
      <c r="F2" s="555"/>
      <c r="G2" s="555"/>
      <c r="H2" s="555"/>
      <c r="I2" s="555"/>
      <c r="J2" s="555"/>
      <c r="K2" s="555"/>
      <c r="L2" s="555"/>
      <c r="M2" s="555"/>
      <c r="N2" s="555"/>
      <c r="O2" s="555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46310</v>
      </c>
      <c r="J4" s="397" t="s">
        <v>180</v>
      </c>
      <c r="K4" s="397"/>
      <c r="L4" s="11"/>
      <c r="M4" s="552" t="s">
        <v>8</v>
      </c>
      <c r="N4" s="553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42"/>
      <c r="D5" s="542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179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6" t="s">
        <v>17</v>
      </c>
      <c r="C8" s="517" t="s">
        <v>18</v>
      </c>
      <c r="D8" s="517" t="s">
        <v>19</v>
      </c>
      <c r="E8" s="356" t="s">
        <v>20</v>
      </c>
      <c r="F8" s="356" t="s">
        <v>21</v>
      </c>
      <c r="G8" s="517" t="s">
        <v>22</v>
      </c>
      <c r="H8" s="544" t="s">
        <v>144</v>
      </c>
      <c r="I8" s="517" t="s">
        <v>167</v>
      </c>
      <c r="J8" s="546" t="s">
        <v>23</v>
      </c>
      <c r="K8" s="548" t="s">
        <v>142</v>
      </c>
      <c r="L8" s="550" t="s">
        <v>24</v>
      </c>
      <c r="M8" s="359" t="s">
        <v>25</v>
      </c>
      <c r="N8" s="17" t="s">
        <v>166</v>
      </c>
      <c r="O8" s="517" t="s">
        <v>155</v>
      </c>
      <c r="P8" s="540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3"/>
      <c r="C9" s="541"/>
      <c r="D9" s="541"/>
      <c r="E9" s="357" t="s">
        <v>30</v>
      </c>
      <c r="F9" s="357" t="s">
        <v>31</v>
      </c>
      <c r="G9" s="541"/>
      <c r="H9" s="545"/>
      <c r="I9" s="541"/>
      <c r="J9" s="547"/>
      <c r="K9" s="549"/>
      <c r="L9" s="551"/>
      <c r="M9" s="20" t="s">
        <v>32</v>
      </c>
      <c r="N9" s="21" t="s">
        <v>41</v>
      </c>
      <c r="O9" s="541"/>
      <c r="P9" s="541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hidden="1" customHeight="1">
      <c r="B10" s="37"/>
      <c r="C10" s="366"/>
      <c r="D10" s="279"/>
      <c r="E10" s="279"/>
      <c r="F10" s="278"/>
      <c r="G10" s="279"/>
      <c r="H10" s="396"/>
      <c r="I10" s="368"/>
      <c r="J10" s="368"/>
      <c r="K10" s="281"/>
      <c r="L10" s="276"/>
      <c r="M10" s="374"/>
      <c r="N10" s="370"/>
      <c r="O10" s="371"/>
      <c r="P10" s="417"/>
      <c r="R10" s="277">
        <f t="shared" ref="R10:R35" si="0">B10</f>
        <v>0</v>
      </c>
      <c r="S10" s="471" t="e">
        <f t="shared" ref="S10:S35" si="1">VLOOKUP($B10,$R$3:$X$9,2,FALSE)</f>
        <v>#N/A</v>
      </c>
      <c r="T10" s="471" t="e">
        <f t="shared" ref="T10:T35" si="2">VLOOKUP($B10,$R$3:$X$9,3,FALSE)</f>
        <v>#N/A</v>
      </c>
      <c r="U10" s="297" t="e">
        <f t="shared" ref="U10:U35" si="3">VLOOKUP($B10,$R$3:$X$9,4,FALSE)</f>
        <v>#N/A</v>
      </c>
      <c r="V10" s="297" t="e">
        <f t="shared" ref="V10:V35" si="4">VLOOKUP($B10,$R$3:$X$9,5,FALSE)</f>
        <v>#N/A</v>
      </c>
      <c r="W10" s="297" t="e">
        <f t="shared" ref="W10:W35" si="5">VLOOKUP($B10,$R$3:$X$9,6,FALSE)</f>
        <v>#N/A</v>
      </c>
      <c r="X10" s="297" t="e">
        <f t="shared" ref="X10:X35" si="6">VLOOKUP($B10,$R$3:$X$9,7,FALSE)</f>
        <v>#N/A</v>
      </c>
      <c r="Y10" s="297" t="e">
        <f t="shared" ref="Y10:Y35" si="7">VLOOKUP($B10,$R$3:$Z$9,8,FALSE)</f>
        <v>#N/A</v>
      </c>
      <c r="Z10" s="471" t="e">
        <f t="shared" ref="Z10:Z35" si="8">VLOOKUP($B10,$R$3:$Z$9,9,FALSE)</f>
        <v>#N/A</v>
      </c>
    </row>
    <row r="11" spans="2:29" ht="15" hidden="1" customHeight="1">
      <c r="B11" s="37"/>
      <c r="C11" s="366"/>
      <c r="D11" s="279"/>
      <c r="E11" s="279"/>
      <c r="F11" s="278"/>
      <c r="G11" s="279"/>
      <c r="H11" s="396"/>
      <c r="I11" s="368"/>
      <c r="J11" s="368"/>
      <c r="K11" s="281"/>
      <c r="L11" s="276"/>
      <c r="M11" s="374"/>
      <c r="N11" s="370"/>
      <c r="O11" s="371"/>
      <c r="P11" s="417"/>
      <c r="R11" s="277">
        <f t="shared" si="0"/>
        <v>0</v>
      </c>
      <c r="S11" s="471" t="e">
        <f t="shared" si="1"/>
        <v>#N/A</v>
      </c>
      <c r="T11" s="471" t="e">
        <f t="shared" si="2"/>
        <v>#N/A</v>
      </c>
      <c r="U11" s="297" t="e">
        <f t="shared" si="3"/>
        <v>#N/A</v>
      </c>
      <c r="V11" s="297" t="e">
        <f t="shared" si="4"/>
        <v>#N/A</v>
      </c>
      <c r="W11" s="297" t="e">
        <f t="shared" si="5"/>
        <v>#N/A</v>
      </c>
      <c r="X11" s="297" t="e">
        <f t="shared" si="6"/>
        <v>#N/A</v>
      </c>
      <c r="Y11" s="297" t="e">
        <f t="shared" si="7"/>
        <v>#N/A</v>
      </c>
      <c r="Z11" s="471" t="e">
        <f t="shared" si="8"/>
        <v>#N/A</v>
      </c>
    </row>
    <row r="12" spans="2:29" ht="15" hidden="1" customHeight="1">
      <c r="B12" s="37"/>
      <c r="C12" s="366"/>
      <c r="D12" s="279"/>
      <c r="E12" s="279"/>
      <c r="F12" s="278"/>
      <c r="G12" s="279"/>
      <c r="H12" s="396"/>
      <c r="I12" s="368"/>
      <c r="J12" s="368"/>
      <c r="K12" s="281"/>
      <c r="L12" s="276"/>
      <c r="M12" s="374"/>
      <c r="N12" s="370"/>
      <c r="O12" s="371"/>
      <c r="P12" s="417"/>
      <c r="R12" s="277">
        <f t="shared" si="0"/>
        <v>0</v>
      </c>
      <c r="S12" s="471" t="e">
        <f t="shared" si="1"/>
        <v>#N/A</v>
      </c>
      <c r="T12" s="471" t="e">
        <f t="shared" si="2"/>
        <v>#N/A</v>
      </c>
      <c r="U12" s="297" t="e">
        <f t="shared" si="3"/>
        <v>#N/A</v>
      </c>
      <c r="V12" s="297" t="e">
        <f t="shared" si="4"/>
        <v>#N/A</v>
      </c>
      <c r="W12" s="297" t="e">
        <f t="shared" si="5"/>
        <v>#N/A</v>
      </c>
      <c r="X12" s="297" t="e">
        <f t="shared" si="6"/>
        <v>#N/A</v>
      </c>
      <c r="Y12" s="297" t="e">
        <f t="shared" si="7"/>
        <v>#N/A</v>
      </c>
      <c r="Z12" s="471" t="e">
        <f t="shared" si="8"/>
        <v>#N/A</v>
      </c>
    </row>
    <row r="13" spans="2:29" ht="15" hidden="1" customHeight="1">
      <c r="B13" s="37"/>
      <c r="C13" s="366"/>
      <c r="D13" s="279"/>
      <c r="E13" s="279"/>
      <c r="F13" s="278"/>
      <c r="G13" s="279"/>
      <c r="H13" s="396"/>
      <c r="I13" s="368"/>
      <c r="J13" s="368"/>
      <c r="K13" s="281"/>
      <c r="L13" s="276"/>
      <c r="M13" s="374"/>
      <c r="N13" s="370"/>
      <c r="O13" s="371"/>
      <c r="P13" s="417"/>
      <c r="R13" s="277">
        <f t="shared" si="0"/>
        <v>0</v>
      </c>
      <c r="S13" s="471" t="e">
        <f t="shared" si="1"/>
        <v>#N/A</v>
      </c>
      <c r="T13" s="471" t="e">
        <f t="shared" si="2"/>
        <v>#N/A</v>
      </c>
      <c r="U13" s="297" t="e">
        <f t="shared" si="3"/>
        <v>#N/A</v>
      </c>
      <c r="V13" s="297" t="e">
        <f t="shared" si="4"/>
        <v>#N/A</v>
      </c>
      <c r="W13" s="297" t="e">
        <f t="shared" si="5"/>
        <v>#N/A</v>
      </c>
      <c r="X13" s="297" t="e">
        <f t="shared" si="6"/>
        <v>#N/A</v>
      </c>
      <c r="Y13" s="297" t="e">
        <f t="shared" si="7"/>
        <v>#N/A</v>
      </c>
      <c r="Z13" s="471" t="e">
        <f t="shared" si="8"/>
        <v>#N/A</v>
      </c>
    </row>
    <row r="14" spans="2:29" ht="15" customHeight="1">
      <c r="B14" s="37" t="s">
        <v>16</v>
      </c>
      <c r="C14" s="366" t="str">
        <f>[8]Brewhouse!$A116</f>
        <v>SM103</v>
      </c>
      <c r="D14" s="279">
        <f>[8]Brewhouse!$AH116</f>
        <v>53</v>
      </c>
      <c r="E14" s="279">
        <f>[8]Brewhouse!$AM116</f>
        <v>51.9</v>
      </c>
      <c r="F14" s="278">
        <f>[8]Brewhouse!$Z116</f>
        <v>65</v>
      </c>
      <c r="G14" s="279">
        <f>[8]Brewhouse!$AK116</f>
        <v>17.36</v>
      </c>
      <c r="H14" s="396">
        <v>17.3</v>
      </c>
      <c r="I14" s="368">
        <f>[8]Brewhouse!$AY116</f>
        <v>95.022046186828362</v>
      </c>
      <c r="J14" s="368">
        <f>[8]Brewhouse!$AZ116</f>
        <v>95.285372684690913</v>
      </c>
      <c r="K14" s="281">
        <f>[8]Brewhouse!$U116</f>
        <v>5.0566037735849045</v>
      </c>
      <c r="L14" s="276">
        <f>[8]Brewhouse!$T116</f>
        <v>60</v>
      </c>
      <c r="M14" s="374">
        <f>[8]Brewhouse!$Y116-[8]Brewhouse!$X116</f>
        <v>0.14861111111111108</v>
      </c>
      <c r="N14" s="370">
        <f>[8]Brewhouse!$AD116</f>
        <v>0.39444444444444443</v>
      </c>
      <c r="O14" s="371" t="str">
        <f>[8]Brewhouse!$BC116</f>
        <v>R.Sookram</v>
      </c>
      <c r="P14" s="417"/>
      <c r="R14" s="277" t="str">
        <f t="shared" si="0"/>
        <v>STARMALT</v>
      </c>
      <c r="S14" s="471">
        <f t="shared" si="1"/>
        <v>17</v>
      </c>
      <c r="T14" s="471">
        <f t="shared" si="2"/>
        <v>17.399999999999999</v>
      </c>
      <c r="U14" s="297">
        <f t="shared" si="3"/>
        <v>0</v>
      </c>
      <c r="V14" s="297">
        <f t="shared" si="4"/>
        <v>0.13605324074074074</v>
      </c>
      <c r="W14" s="297">
        <f t="shared" si="5"/>
        <v>0.27430555555555552</v>
      </c>
      <c r="X14" s="297">
        <f t="shared" si="6"/>
        <v>0.30902777777777779</v>
      </c>
      <c r="Y14" s="297">
        <f t="shared" si="7"/>
        <v>0</v>
      </c>
      <c r="Z14" s="471">
        <f t="shared" si="8"/>
        <v>85</v>
      </c>
    </row>
    <row r="15" spans="2:29" ht="15" customHeight="1">
      <c r="B15" s="37" t="s">
        <v>16</v>
      </c>
      <c r="C15" s="366" t="str">
        <f>[8]Brewhouse!$A117</f>
        <v>SM104</v>
      </c>
      <c r="D15" s="279">
        <f>[8]Brewhouse!$AH117</f>
        <v>53</v>
      </c>
      <c r="E15" s="279">
        <f>[8]Brewhouse!$AM117</f>
        <v>51.9</v>
      </c>
      <c r="F15" s="278">
        <f>[8]Brewhouse!$Z117</f>
        <v>73</v>
      </c>
      <c r="G15" s="279">
        <f>[8]Brewhouse!$AK117</f>
        <v>17.399999999999999</v>
      </c>
      <c r="H15" s="396">
        <v>17.2</v>
      </c>
      <c r="I15" s="368">
        <f>[8]Brewhouse!$AY117</f>
        <v>95.022046186828362</v>
      </c>
      <c r="J15" s="368">
        <f>[8]Brewhouse!$AZ117</f>
        <v>95.285372684690913</v>
      </c>
      <c r="K15" s="281">
        <f>[8]Brewhouse!$U117</f>
        <v>6.754716981132086</v>
      </c>
      <c r="L15" s="276">
        <f>[8]Brewhouse!$T117</f>
        <v>60</v>
      </c>
      <c r="M15" s="374">
        <f>[8]Brewhouse!$Y117-[8]Brewhouse!$X117</f>
        <v>0.26458333333333334</v>
      </c>
      <c r="N15" s="370">
        <f>[8]Brewhouse!$AD117</f>
        <v>0.42083333333333334</v>
      </c>
      <c r="O15" s="371" t="str">
        <f>[8]Brewhouse!$BC117</f>
        <v>R.Sookram</v>
      </c>
      <c r="P15" s="417"/>
      <c r="R15" s="277" t="str">
        <f t="shared" si="0"/>
        <v>STARMALT</v>
      </c>
      <c r="S15" s="471">
        <f t="shared" si="1"/>
        <v>17</v>
      </c>
      <c r="T15" s="471">
        <f t="shared" si="2"/>
        <v>17.399999999999999</v>
      </c>
      <c r="U15" s="297">
        <f t="shared" si="3"/>
        <v>0</v>
      </c>
      <c r="V15" s="297">
        <f t="shared" si="4"/>
        <v>0.13605324074074074</v>
      </c>
      <c r="W15" s="297">
        <f t="shared" si="5"/>
        <v>0.27430555555555552</v>
      </c>
      <c r="X15" s="297">
        <f t="shared" si="6"/>
        <v>0.30902777777777779</v>
      </c>
      <c r="Y15" s="297">
        <f t="shared" si="7"/>
        <v>0</v>
      </c>
      <c r="Z15" s="471">
        <f t="shared" si="8"/>
        <v>85</v>
      </c>
    </row>
    <row r="16" spans="2:29" ht="15" customHeight="1">
      <c r="B16" s="37" t="s">
        <v>16</v>
      </c>
      <c r="C16" s="366" t="str">
        <f>[8]Brewhouse!$A118</f>
        <v>SM105</v>
      </c>
      <c r="D16" s="279">
        <f>[8]Brewhouse!$AH118</f>
        <v>50</v>
      </c>
      <c r="E16" s="279">
        <f>[8]Brewhouse!$AM118</f>
        <v>49.3</v>
      </c>
      <c r="F16" s="278">
        <f>[8]Brewhouse!$Z118</f>
        <v>70</v>
      </c>
      <c r="G16" s="279">
        <f>[8]Brewhouse!$AK118</f>
        <v>17.399999999999999</v>
      </c>
      <c r="H16" s="396">
        <v>17.3</v>
      </c>
      <c r="I16" s="368">
        <f>[8]Brewhouse!$AY118</f>
        <v>90.335017111661628</v>
      </c>
      <c r="J16" s="368">
        <f>[8]Brewhouse!$AZ118</f>
        <v>90.585115407273193</v>
      </c>
      <c r="K16" s="281">
        <f>[8]Brewhouse!$U118</f>
        <v>2.960000000000008</v>
      </c>
      <c r="L16" s="276">
        <f>[8]Brewhouse!$T118</f>
        <v>57</v>
      </c>
      <c r="M16" s="374">
        <f>[8]Brewhouse!$Y118-[8]Brewhouse!$X118</f>
        <v>0.15555555555555556</v>
      </c>
      <c r="N16" s="370">
        <f>[8]Brewhouse!$AD118</f>
        <v>0.36180555555555549</v>
      </c>
      <c r="O16" s="371" t="str">
        <f>[8]Brewhouse!$BC118</f>
        <v>K. Benjamin</v>
      </c>
      <c r="P16" s="417"/>
      <c r="R16" s="277" t="str">
        <f t="shared" si="0"/>
        <v>STARMALT</v>
      </c>
      <c r="S16" s="471">
        <f t="shared" si="1"/>
        <v>17</v>
      </c>
      <c r="T16" s="471">
        <f t="shared" si="2"/>
        <v>17.399999999999999</v>
      </c>
      <c r="U16" s="297">
        <f t="shared" si="3"/>
        <v>0</v>
      </c>
      <c r="V16" s="297">
        <f t="shared" si="4"/>
        <v>0.13605324074074074</v>
      </c>
      <c r="W16" s="297">
        <f t="shared" si="5"/>
        <v>0.27430555555555552</v>
      </c>
      <c r="X16" s="297">
        <f t="shared" si="6"/>
        <v>0.30902777777777779</v>
      </c>
      <c r="Y16" s="297">
        <f t="shared" si="7"/>
        <v>0</v>
      </c>
      <c r="Z16" s="471">
        <f t="shared" si="8"/>
        <v>85</v>
      </c>
    </row>
    <row r="17" spans="1:27" ht="15" customHeight="1">
      <c r="B17" s="37" t="s">
        <v>16</v>
      </c>
      <c r="C17" s="366" t="str">
        <f>[8]Brewhouse!$A119</f>
        <v>SM106</v>
      </c>
      <c r="D17" s="279">
        <f>[8]Brewhouse!$AH119</f>
        <v>53</v>
      </c>
      <c r="E17" s="279">
        <f>[8]Brewhouse!$AM119</f>
        <v>55.3</v>
      </c>
      <c r="F17" s="278">
        <f>[8]Brewhouse!$Z119</f>
        <v>104</v>
      </c>
      <c r="G17" s="279">
        <f>[8]Brewhouse!$AK119</f>
        <v>17.399999999999999</v>
      </c>
      <c r="H17" s="396">
        <v>17.399999999999999</v>
      </c>
      <c r="I17" s="368">
        <f>[8]Brewhouse!$AY119</f>
        <v>100.75694228020136</v>
      </c>
      <c r="J17" s="368">
        <f>[8]Brewhouse!$AZ119</f>
        <v>101.03775475944533</v>
      </c>
      <c r="K17" s="281">
        <f>[8]Brewhouse!$U119</f>
        <v>-0.41509433962263936</v>
      </c>
      <c r="L17" s="276">
        <f>[8]Brewhouse!$T119</f>
        <v>60</v>
      </c>
      <c r="M17" s="374">
        <f>[8]Brewhouse!$Y119-[8]Brewhouse!$X119</f>
        <v>0.1777777777777777</v>
      </c>
      <c r="N17" s="370">
        <f>[8]Brewhouse!$AD119</f>
        <v>0.39027777777777772</v>
      </c>
      <c r="O17" s="371" t="str">
        <f>[8]Brewhouse!$BC119</f>
        <v>K. Benjamin</v>
      </c>
      <c r="P17" s="417"/>
      <c r="R17" s="277" t="str">
        <f t="shared" si="0"/>
        <v>STARMALT</v>
      </c>
      <c r="S17" s="471">
        <f t="shared" si="1"/>
        <v>17</v>
      </c>
      <c r="T17" s="471">
        <f t="shared" si="2"/>
        <v>17.399999999999999</v>
      </c>
      <c r="U17" s="297">
        <f t="shared" si="3"/>
        <v>0</v>
      </c>
      <c r="V17" s="297">
        <f t="shared" si="4"/>
        <v>0.13605324074074074</v>
      </c>
      <c r="W17" s="297">
        <f t="shared" si="5"/>
        <v>0.27430555555555552</v>
      </c>
      <c r="X17" s="297">
        <f t="shared" si="6"/>
        <v>0.30902777777777779</v>
      </c>
      <c r="Y17" s="297">
        <f t="shared" si="7"/>
        <v>0</v>
      </c>
      <c r="Z17" s="471">
        <f t="shared" si="8"/>
        <v>85</v>
      </c>
    </row>
    <row r="18" spans="1:27" ht="15" customHeight="1">
      <c r="B18" s="37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371"/>
      <c r="P18" s="417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7" ht="15" customHeight="1">
      <c r="B19" s="33" t="s">
        <v>9</v>
      </c>
      <c r="C19" s="366" t="str">
        <f>[3]Brewhouse!$A407</f>
        <v>ST348</v>
      </c>
      <c r="D19" s="279">
        <f>[3]Brewhouse!$AB407</f>
        <v>53.1</v>
      </c>
      <c r="E19" s="279">
        <f>[3]Brewhouse!$AG407</f>
        <v>47.3</v>
      </c>
      <c r="F19" s="278">
        <f>[3]Brewhouse!$V407</f>
        <v>59</v>
      </c>
      <c r="G19" s="279">
        <f>[3]Brewhouse!$AE407</f>
        <v>11.6</v>
      </c>
      <c r="H19" s="396"/>
      <c r="I19" s="368">
        <f>[3]Brewhouse!$AS407</f>
        <v>93.180114647449273</v>
      </c>
      <c r="J19" s="368">
        <f>[3]Brewhouse!$AT407</f>
        <v>93.625283549664189</v>
      </c>
      <c r="K19" s="281">
        <f>[3]Brewhouse!$Q407</f>
        <v>11.440677966101701</v>
      </c>
      <c r="L19" s="276">
        <f>[3]Brewhouse!$P407</f>
        <v>59</v>
      </c>
      <c r="M19" s="374">
        <f>[3]Brewhouse!$U407-[3]Brewhouse!$T407</f>
        <v>0.12222222222222234</v>
      </c>
      <c r="N19" s="370">
        <f>[3]Brewhouse!$AW407</f>
        <v>0.28055555555555567</v>
      </c>
      <c r="O19" s="419" t="str">
        <f>[3]Brewhouse!$AV407</f>
        <v>D.Gomaz</v>
      </c>
      <c r="P19" s="417"/>
      <c r="R19" s="277" t="str">
        <f t="shared" si="0"/>
        <v>STAG</v>
      </c>
      <c r="S19" s="471">
        <f t="shared" si="1"/>
        <v>11.6</v>
      </c>
      <c r="T19" s="471">
        <f t="shared" si="2"/>
        <v>12</v>
      </c>
      <c r="U19" s="297">
        <f t="shared" si="3"/>
        <v>0</v>
      </c>
      <c r="V19" s="297">
        <f t="shared" si="4"/>
        <v>0.118055555555556</v>
      </c>
      <c r="W19" s="297">
        <f t="shared" si="5"/>
        <v>0.22569444444444445</v>
      </c>
      <c r="X19" s="297">
        <f t="shared" si="6"/>
        <v>0.2638888888888889</v>
      </c>
      <c r="Y19" s="297">
        <f t="shared" si="7"/>
        <v>0</v>
      </c>
      <c r="Z19" s="471">
        <f t="shared" si="8"/>
        <v>60</v>
      </c>
    </row>
    <row r="20" spans="1:27" ht="15" customHeight="1">
      <c r="B20" s="33" t="s">
        <v>9</v>
      </c>
      <c r="C20" s="366" t="str">
        <f>[3]Brewhouse!$A408</f>
        <v>ST349</v>
      </c>
      <c r="D20" s="279">
        <f>[3]Brewhouse!$AB408</f>
        <v>53.1</v>
      </c>
      <c r="E20" s="279">
        <f>[3]Brewhouse!$AG408</f>
        <v>48.7</v>
      </c>
      <c r="F20" s="278">
        <f>[3]Brewhouse!$V408</f>
        <v>57</v>
      </c>
      <c r="G20" s="279">
        <f>[3]Brewhouse!$AE408</f>
        <v>11.8</v>
      </c>
      <c r="H20" s="396"/>
      <c r="I20" s="368">
        <f>[3]Brewhouse!$AS408</f>
        <v>96.457135100043914</v>
      </c>
      <c r="J20" s="368">
        <f>[3]Brewhouse!$AT408</f>
        <v>96.919492946283697</v>
      </c>
      <c r="K20" s="281">
        <f>[3]Brewhouse!$Q408</f>
        <v>10.499058380414318</v>
      </c>
      <c r="L20" s="276">
        <f>[3]Brewhouse!$P408</f>
        <v>60</v>
      </c>
      <c r="M20" s="374">
        <f>[3]Brewhouse!$U408-[3]Brewhouse!$T408</f>
        <v>0.11875000000000013</v>
      </c>
      <c r="N20" s="370">
        <f>[3]Brewhouse!$AW408</f>
        <v>0.28263888888888888</v>
      </c>
      <c r="O20" s="419" t="str">
        <f>[3]Brewhouse!$AV408</f>
        <v>D.Gomaz</v>
      </c>
      <c r="P20" s="417"/>
      <c r="R20" s="277" t="str">
        <f t="shared" si="0"/>
        <v>STAG</v>
      </c>
      <c r="S20" s="471">
        <f t="shared" si="1"/>
        <v>11.6</v>
      </c>
      <c r="T20" s="471">
        <f t="shared" si="2"/>
        <v>12</v>
      </c>
      <c r="U20" s="297">
        <f t="shared" si="3"/>
        <v>0</v>
      </c>
      <c r="V20" s="297">
        <f t="shared" si="4"/>
        <v>0.118055555555556</v>
      </c>
      <c r="W20" s="297">
        <f t="shared" si="5"/>
        <v>0.22569444444444445</v>
      </c>
      <c r="X20" s="297">
        <f t="shared" si="6"/>
        <v>0.2638888888888889</v>
      </c>
      <c r="Y20" s="297">
        <f t="shared" si="7"/>
        <v>0</v>
      </c>
      <c r="Z20" s="471">
        <f t="shared" si="8"/>
        <v>60</v>
      </c>
    </row>
    <row r="21" spans="1:27" ht="15" customHeight="1">
      <c r="B21" s="34"/>
      <c r="C21" s="366"/>
      <c r="D21" s="279"/>
      <c r="E21" s="279"/>
      <c r="F21" s="278"/>
      <c r="G21" s="279"/>
      <c r="H21" s="396"/>
      <c r="I21" s="487"/>
      <c r="J21" s="487"/>
      <c r="K21" s="488"/>
      <c r="L21" s="276"/>
      <c r="M21" s="374"/>
      <c r="N21" s="370"/>
      <c r="O21" s="419"/>
      <c r="P21" s="417"/>
      <c r="R21" s="277">
        <f t="shared" si="0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7" ht="17.25" customHeight="1" thickBot="1">
      <c r="B22" s="358"/>
      <c r="C22" s="358"/>
      <c r="D22" s="358"/>
      <c r="E22" s="358"/>
      <c r="F22" s="294"/>
      <c r="G22" s="294"/>
      <c r="H22" s="348"/>
      <c r="I22" s="534"/>
      <c r="J22" s="534"/>
      <c r="K22" s="534"/>
      <c r="L22" s="534"/>
      <c r="M22" s="534"/>
      <c r="N22" s="534"/>
      <c r="O22" s="1"/>
      <c r="P22" s="12"/>
      <c r="R22" s="277">
        <f t="shared" si="0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7" ht="17.25" customHeight="1" thickBot="1">
      <c r="B23" s="482" t="s">
        <v>162</v>
      </c>
      <c r="C23" s="388"/>
      <c r="D23" s="535" t="s">
        <v>35</v>
      </c>
      <c r="E23" s="536"/>
      <c r="F23" s="294"/>
      <c r="G23" s="294"/>
      <c r="H23" s="348"/>
      <c r="I23" s="24" t="s">
        <v>17</v>
      </c>
      <c r="J23" s="25"/>
      <c r="K23" s="26" t="s">
        <v>138</v>
      </c>
      <c r="L23" s="25" t="s">
        <v>37</v>
      </c>
      <c r="M23" s="25" t="s">
        <v>38</v>
      </c>
      <c r="N23" s="27" t="s">
        <v>39</v>
      </c>
      <c r="O23" s="294"/>
      <c r="P23" s="12"/>
      <c r="R23" s="277" t="str">
        <f t="shared" si="0"/>
        <v xml:space="preserve">BRAND 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7" ht="17.25" customHeight="1">
      <c r="A24" s="28"/>
      <c r="B24" s="537" t="str">
        <f>I24</f>
        <v>CARIB</v>
      </c>
      <c r="C24" s="483">
        <f>[4]Process!D755</f>
        <v>11.9</v>
      </c>
      <c r="D24" s="522">
        <v>11.85</v>
      </c>
      <c r="E24" s="523"/>
      <c r="F24" s="294"/>
      <c r="G24" s="294"/>
      <c r="H24" s="348"/>
      <c r="I24" s="29" t="s">
        <v>6</v>
      </c>
      <c r="J24" s="323"/>
      <c r="K24" s="284">
        <f>COUNTA([4]Brewhouse!$A$789:$A$820)</f>
        <v>32</v>
      </c>
      <c r="L24" s="305">
        <f>AVERAGE([4]Brewhouse!$AU$789:$AU$820)</f>
        <v>97.19542619578651</v>
      </c>
      <c r="M24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,[4]Brewhouse!$AU$789:$AU$820)</f>
        <v>98.283559098193749</v>
      </c>
      <c r="N24" s="30">
        <v>98</v>
      </c>
      <c r="O24" s="11"/>
      <c r="P24" s="31"/>
      <c r="R24" s="277" t="str">
        <f t="shared" si="0"/>
        <v>CARIB</v>
      </c>
      <c r="S24" s="471">
        <f t="shared" si="1"/>
        <v>11.6</v>
      </c>
      <c r="T24" s="471">
        <f t="shared" si="2"/>
        <v>12</v>
      </c>
      <c r="U24" s="297">
        <f t="shared" si="3"/>
        <v>0</v>
      </c>
      <c r="V24" s="297">
        <f t="shared" si="4"/>
        <v>0.118055555555556</v>
      </c>
      <c r="W24" s="297">
        <f t="shared" si="5"/>
        <v>0.22569444444444445</v>
      </c>
      <c r="X24" s="297">
        <f t="shared" si="6"/>
        <v>0.2638888888888889</v>
      </c>
      <c r="Y24" s="297">
        <f t="shared" si="7"/>
        <v>0</v>
      </c>
      <c r="Z24" s="471">
        <f t="shared" si="8"/>
        <v>60</v>
      </c>
    </row>
    <row r="25" spans="1:27" ht="15" customHeight="1">
      <c r="A25" s="28"/>
      <c r="B25" s="538"/>
      <c r="C25" s="362">
        <f>[4]Process!D756</f>
        <v>11.7</v>
      </c>
      <c r="D25" s="524"/>
      <c r="E25" s="525"/>
      <c r="F25" s="294"/>
      <c r="G25" s="294"/>
      <c r="H25" s="348"/>
      <c r="I25" s="33" t="s">
        <v>9</v>
      </c>
      <c r="J25" s="323"/>
      <c r="K25" s="284">
        <f>COUNTA([3]Brewhouse!$A$390:$A$406)</f>
        <v>17</v>
      </c>
      <c r="L25" s="302">
        <f>AVERAGE([3]Brewhouse!$AS$390:$AS$406)</f>
        <v>97.708463299853932</v>
      </c>
      <c r="M25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$388,[3]Brewhouse!$AS$390:$AS$406)</f>
        <v>98.285766868785757</v>
      </c>
      <c r="N25" s="30">
        <v>98</v>
      </c>
      <c r="O25" s="11"/>
      <c r="P25" s="31"/>
      <c r="R25" s="277">
        <f t="shared" si="0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7" ht="14.65" customHeight="1">
      <c r="A26" s="28"/>
      <c r="B26" s="538"/>
      <c r="C26" s="362">
        <f>[4]Process!D757</f>
        <v>11.9</v>
      </c>
      <c r="D26" s="529">
        <v>11.79</v>
      </c>
      <c r="E26" s="530"/>
      <c r="F26" s="294"/>
      <c r="G26" s="294"/>
      <c r="H26" s="348"/>
      <c r="I26" s="34" t="s">
        <v>12</v>
      </c>
      <c r="J26" s="323"/>
      <c r="K26" s="284">
        <f>COUNTA([5]Brewhouse!$A$108:$A$115)</f>
        <v>8</v>
      </c>
      <c r="L26" s="302">
        <f>AVERAGE([5]Brewhouse!$AU$108:$AU$115)</f>
        <v>97.100440951935028</v>
      </c>
      <c r="M26" s="302">
        <f>AVERAGE([5]Brewhouse!$AU$16:$AU$23,[5]Brewhouse!$AU$25:$AU$32,[5]Brewhouse!$AU$34:$AU$41,[5]Brewhouse!$AU$43:$AU$60,[5]Brewhouse!$AU$62:$AU$69,[5]Brewhouse!$AU$71:$AU$88,[5]Brewhouse!$AU$90:$AU$97,[5]Brewhouse!$AU$99:$AU$106,[5]Brewhouse!$AU$108:$AU$115)</f>
        <v>96.550711195700543</v>
      </c>
      <c r="N26" s="30">
        <v>98</v>
      </c>
      <c r="O26" s="11"/>
      <c r="P26" s="31"/>
      <c r="R26" s="277">
        <f t="shared" si="0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7" ht="14.65" customHeight="1">
      <c r="A27" s="28"/>
      <c r="B27" s="538"/>
      <c r="C27" s="362">
        <f>[4]Process!D758</f>
        <v>12</v>
      </c>
      <c r="D27" s="531"/>
      <c r="E27" s="525"/>
      <c r="F27" s="294"/>
      <c r="G27" s="294"/>
      <c r="H27" s="348"/>
      <c r="I27" s="22" t="s">
        <v>33</v>
      </c>
      <c r="J27" s="280"/>
      <c r="K27" s="284"/>
      <c r="L27" s="302"/>
      <c r="M27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97.566635166530773</v>
      </c>
      <c r="N27" s="30">
        <v>98</v>
      </c>
      <c r="O27" s="11"/>
      <c r="P27" s="31"/>
      <c r="R27" s="277">
        <f t="shared" si="0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7" ht="14.65" customHeight="1">
      <c r="A28" s="28"/>
      <c r="B28" s="538"/>
      <c r="C28" s="362">
        <f>[4]Process!D759</f>
        <v>11.9</v>
      </c>
      <c r="D28" s="529">
        <v>11.81</v>
      </c>
      <c r="E28" s="530"/>
      <c r="F28" s="294"/>
      <c r="G28" s="294"/>
      <c r="H28" s="348"/>
      <c r="I28" s="35" t="s">
        <v>29</v>
      </c>
      <c r="J28" s="280"/>
      <c r="K28" s="284"/>
      <c r="L28" s="302"/>
      <c r="M28" s="302"/>
      <c r="N28" s="30">
        <v>98</v>
      </c>
      <c r="O28" s="11"/>
      <c r="P28" s="31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1:27" ht="14.65" customHeight="1">
      <c r="A29" s="28"/>
      <c r="B29" s="538"/>
      <c r="C29" s="362">
        <f>[4]Process!D760</f>
        <v>12</v>
      </c>
      <c r="D29" s="531"/>
      <c r="E29" s="525"/>
      <c r="F29" s="416"/>
      <c r="G29" s="294"/>
      <c r="H29" s="348"/>
      <c r="I29" s="36" t="s">
        <v>15</v>
      </c>
      <c r="J29" s="323"/>
      <c r="K29" s="284"/>
      <c r="L29" s="302"/>
      <c r="M29" s="302">
        <f>AVERAGE([7]Brewhouse!$AT$4:$AT$11,[7]Brewhouse!$AT$13:$AT$16,[7]Brewhouse!$AT$18:$AT$30)</f>
        <v>93.22262799886262</v>
      </c>
      <c r="N29" s="30">
        <v>98</v>
      </c>
      <c r="O29" s="11"/>
      <c r="P29" s="31"/>
      <c r="R29" s="277">
        <f t="shared" si="0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1:27" ht="14.65" customHeight="1">
      <c r="A30" s="28"/>
      <c r="B30" s="538"/>
      <c r="C30" s="362">
        <f>[4]Process!D761</f>
        <v>11.9</v>
      </c>
      <c r="D30" s="529">
        <v>11.7</v>
      </c>
      <c r="E30" s="530"/>
      <c r="F30" s="416"/>
      <c r="G30" s="294"/>
      <c r="H30" s="348"/>
      <c r="I30" s="37" t="s">
        <v>16</v>
      </c>
      <c r="J30" s="323">
        <f>AVERAGE(I14:I17)</f>
        <v>95.284012941379927</v>
      </c>
      <c r="K30" s="284">
        <f>COUNTA([8]Brewhouse!$A$112:$A$119)</f>
        <v>8</v>
      </c>
      <c r="L30" s="302">
        <f>AVERAGE([8]Brewhouse!$AY$112:$AY$119)</f>
        <v>96.833332758088616</v>
      </c>
      <c r="M30" s="302">
        <f>AVERAGE([8]Brewhouse!$AY$5:$AY$14,[8]Brewhouse!$AY$16:$AY$23,[8]Brewhouse!$AY$42,[8]Brewhouse!$AY$44:$AY$51,[8]Brewhouse!$AY$53:$AY$64,[8]Brewhouse!$AY$66:$AY$73,[8]Brewhouse!$AY$75:$AY$82,[8]Brewhouse!$AY$84:$AY$101,[8]Brewhouse!$AY$103:$AY$110,[8]Brewhouse!$AY$112:$AY$119)</f>
        <v>97.706699801192229</v>
      </c>
      <c r="N30" s="30">
        <v>98</v>
      </c>
      <c r="O30" s="11"/>
      <c r="P30" s="31" t="s">
        <v>41</v>
      </c>
      <c r="R30" s="277">
        <f t="shared" si="0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1:27" ht="14.65" customHeight="1">
      <c r="A31" s="28"/>
      <c r="B31" s="538"/>
      <c r="C31" s="362">
        <f>[4]Process!D762</f>
        <v>12</v>
      </c>
      <c r="D31" s="531"/>
      <c r="E31" s="525"/>
      <c r="F31" s="294"/>
      <c r="G31" s="294"/>
      <c r="H31" s="348"/>
      <c r="I31" s="410" t="s">
        <v>158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0"/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</row>
    <row r="32" spans="1:27" ht="14.65" customHeight="1">
      <c r="A32" s="28"/>
      <c r="B32" s="538"/>
      <c r="C32" s="362"/>
      <c r="D32" s="529"/>
      <c r="E32" s="530"/>
      <c r="F32" s="294"/>
      <c r="G32" s="294"/>
      <c r="H32" s="348"/>
      <c r="I32" s="409" t="s">
        <v>157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0"/>
        <v>0</v>
      </c>
      <c r="S32" s="471" t="e">
        <f t="shared" si="1"/>
        <v>#N/A</v>
      </c>
      <c r="T32" s="471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1" t="e">
        <f t="shared" si="8"/>
        <v>#N/A</v>
      </c>
      <c r="AA32" s="471"/>
    </row>
    <row r="33" spans="1:56" ht="15" customHeight="1" thickBot="1">
      <c r="A33" s="28"/>
      <c r="B33" s="538"/>
      <c r="C33" s="362"/>
      <c r="D33" s="531"/>
      <c r="E33" s="525"/>
      <c r="F33" s="294"/>
      <c r="G33" s="294"/>
      <c r="H33" s="348"/>
      <c r="I33" s="405" t="s">
        <v>156</v>
      </c>
      <c r="J33" s="327"/>
      <c r="K33" s="406"/>
      <c r="L33" s="407"/>
      <c r="M33" s="407"/>
      <c r="N33" s="408">
        <v>98</v>
      </c>
      <c r="O33" s="11"/>
      <c r="P33" s="31"/>
      <c r="R33" s="277">
        <f t="shared" si="0"/>
        <v>0</v>
      </c>
      <c r="S33" s="471" t="e">
        <f t="shared" si="1"/>
        <v>#N/A</v>
      </c>
      <c r="T33" s="471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1" t="e">
        <f t="shared" si="8"/>
        <v>#N/A</v>
      </c>
      <c r="AA33" s="471"/>
    </row>
    <row r="34" spans="1:56" ht="15" customHeight="1" thickBot="1">
      <c r="A34" s="28"/>
      <c r="B34" s="538"/>
      <c r="C34" s="349"/>
      <c r="D34" s="522"/>
      <c r="E34" s="523"/>
      <c r="F34" s="294"/>
      <c r="G34" s="294"/>
      <c r="H34" s="348"/>
      <c r="I34" s="1"/>
      <c r="J34" s="39"/>
      <c r="K34" s="403">
        <f>SUM(K24:K33)</f>
        <v>65</v>
      </c>
      <c r="L34" s="404">
        <f>((L24*K24)+(L25*K25)+(L26*K26)+(L27*K27)+(L28*K28)+(K31*L31)+(L29*K29)+(L30*K30)+(L33*K33))/(K34)</f>
        <v>97.27334929296731</v>
      </c>
      <c r="M34" s="404">
        <f>AVERAGE('[9]Jan30th-31st'!$L$42,'[10]Feb 27th-28th'!$L$45,'[11]Mar 31st'!$L$42,'[12]Apr 30th'!$L$41,'[13]May 29th '!$L$35,'[14]June 30th'!$L$32,[15]July31st!$L$36,'[16]Aug 31st'!$L$32,L34)</f>
        <v>97.894645905513357</v>
      </c>
      <c r="N34" s="40">
        <v>98</v>
      </c>
      <c r="O34" s="11"/>
      <c r="P34" s="31"/>
      <c r="R34" s="277">
        <f t="shared" si="0"/>
        <v>0</v>
      </c>
      <c r="S34" s="471" t="e">
        <f t="shared" si="1"/>
        <v>#N/A</v>
      </c>
      <c r="T34" s="471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1" t="e">
        <f t="shared" si="8"/>
        <v>#N/A</v>
      </c>
      <c r="AA34" s="471"/>
    </row>
    <row r="35" spans="1:56" ht="15.75" thickBot="1">
      <c r="B35" s="539"/>
      <c r="C35" s="350"/>
      <c r="D35" s="524"/>
      <c r="E35" s="525"/>
      <c r="F35" s="294"/>
      <c r="G35" s="42"/>
      <c r="H35" s="41"/>
      <c r="I35" s="42"/>
      <c r="J35" s="42"/>
      <c r="K35" s="351"/>
      <c r="L35" s="348"/>
      <c r="M35" s="348"/>
      <c r="N35" s="11"/>
      <c r="O35" s="294"/>
      <c r="P35" s="12"/>
      <c r="R35" s="277">
        <f t="shared" si="0"/>
        <v>0</v>
      </c>
      <c r="S35" s="471" t="e">
        <f t="shared" si="1"/>
        <v>#N/A</v>
      </c>
      <c r="T35" s="471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1" t="e">
        <f t="shared" si="8"/>
        <v>#N/A</v>
      </c>
      <c r="AA35" s="471"/>
    </row>
    <row r="36" spans="1:56" ht="15.75" thickBot="1">
      <c r="B36" s="519"/>
      <c r="C36" s="362"/>
      <c r="D36" s="522"/>
      <c r="E36" s="523"/>
      <c r="F36" s="294"/>
      <c r="G36" s="42"/>
      <c r="H36" s="41"/>
      <c r="I36" s="42"/>
      <c r="J36" s="526" t="s">
        <v>129</v>
      </c>
      <c r="K36" s="526"/>
      <c r="L36" s="294"/>
      <c r="M36" s="294"/>
      <c r="N36" s="294"/>
      <c r="O36" s="294"/>
      <c r="P36" s="12"/>
    </row>
    <row r="37" spans="1:56" ht="15.75" thickBot="1">
      <c r="B37" s="520"/>
      <c r="C37" s="362"/>
      <c r="D37" s="524"/>
      <c r="E37" s="525"/>
      <c r="F37" s="294"/>
      <c r="G37" s="42"/>
      <c r="H37" s="42"/>
      <c r="I37" s="42"/>
      <c r="J37" s="292" t="s">
        <v>17</v>
      </c>
      <c r="K37" s="293"/>
      <c r="L37" s="527" t="s">
        <v>136</v>
      </c>
      <c r="M37" s="527"/>
      <c r="N37" s="528"/>
      <c r="O37" s="294"/>
      <c r="P37" s="12"/>
    </row>
    <row r="38" spans="1:56" ht="15" customHeight="1" thickBot="1">
      <c r="B38" s="520"/>
      <c r="C38" s="349"/>
      <c r="D38" s="529"/>
      <c r="E38" s="530"/>
      <c r="F38" s="294"/>
      <c r="G38" s="42"/>
      <c r="H38" s="42"/>
      <c r="I38" s="42"/>
      <c r="J38" s="287" t="s">
        <v>6</v>
      </c>
      <c r="K38" s="324"/>
      <c r="L38" s="472" t="s">
        <v>37</v>
      </c>
      <c r="M38" s="473" t="s">
        <v>38</v>
      </c>
      <c r="N38" s="473" t="s">
        <v>84</v>
      </c>
      <c r="O38" s="294"/>
      <c r="P38" s="12"/>
    </row>
    <row r="39" spans="1:56" ht="15.75" customHeight="1" thickBot="1">
      <c r="B39" s="520"/>
      <c r="C39" s="349"/>
      <c r="D39" s="531"/>
      <c r="E39" s="525"/>
      <c r="F39" s="294"/>
      <c r="G39" s="42"/>
      <c r="H39" s="42"/>
      <c r="I39" s="42"/>
      <c r="J39" s="345" t="s">
        <v>9</v>
      </c>
      <c r="K39" s="324">
        <v>2</v>
      </c>
      <c r="L39" s="484">
        <f>AVERAGE('Oct 1st'!K52,'Oct 2nd'!K44,'Oct 5th'!K51,'Oct 6th'!K58,'Oct 7th'!K47,'Oct 8th '!K46,'Oct 9th-10th'!J57,'Oct 9th-10th'!K57,K48)</f>
        <v>6.8888888888888893</v>
      </c>
      <c r="M39" s="485">
        <f>AVERAGE('[9]Jan30th-31st'!$L$47,L39,'[10]Feb 26th '!$L$39,'[11]Mar 31st'!$L$47,'[12]Apr 30th'!$L$46,'[13]May 29th '!$L$40,'[14]June 30th'!$L$39,[15]July31st!$L$41,'[16]Aug 31st'!$L$37,'[17]Sept 30th'!$L$37)</f>
        <v>6.5624230359012969</v>
      </c>
      <c r="N39" s="415">
        <v>9.1999999999999993</v>
      </c>
      <c r="O39" s="294"/>
      <c r="P39" s="12"/>
    </row>
    <row r="40" spans="1:56" ht="15" customHeight="1">
      <c r="B40" s="520"/>
      <c r="C40" s="349"/>
      <c r="D40" s="529"/>
      <c r="E40" s="530"/>
      <c r="F40" s="294"/>
      <c r="G40" s="42"/>
      <c r="H40" s="42"/>
      <c r="I40" s="42"/>
      <c r="J40" s="288" t="s">
        <v>40</v>
      </c>
      <c r="K40" s="324"/>
      <c r="L40" s="294"/>
      <c r="M40" s="294"/>
      <c r="N40" s="294"/>
      <c r="O40" s="294"/>
      <c r="P40" s="12"/>
    </row>
    <row r="41" spans="1:56" ht="15" customHeight="1">
      <c r="B41" s="520"/>
      <c r="C41" s="349"/>
      <c r="D41" s="531"/>
      <c r="E41" s="525"/>
      <c r="F41" s="294"/>
      <c r="G41" s="42"/>
      <c r="H41" s="42"/>
      <c r="I41" s="42"/>
      <c r="J41" s="289" t="s">
        <v>33</v>
      </c>
      <c r="K41" s="324"/>
      <c r="L41" s="294"/>
      <c r="M41" s="294"/>
      <c r="N41" s="294"/>
      <c r="O41" s="294"/>
      <c r="P41" s="12"/>
    </row>
    <row r="42" spans="1:56" ht="15">
      <c r="B42" s="520"/>
      <c r="C42" s="349"/>
      <c r="D42" s="529"/>
      <c r="E42" s="530"/>
      <c r="F42" s="294"/>
      <c r="G42" s="42"/>
      <c r="H42" s="42"/>
      <c r="I42" s="42"/>
      <c r="J42" s="290" t="s">
        <v>16</v>
      </c>
      <c r="K42" s="324">
        <v>4</v>
      </c>
      <c r="L42" s="294"/>
      <c r="M42" s="294"/>
      <c r="N42" s="294"/>
      <c r="O42" s="294"/>
      <c r="P42" s="12"/>
      <c r="BC42" s="44"/>
      <c r="BD42" s="44"/>
    </row>
    <row r="43" spans="1:56" ht="15">
      <c r="B43" s="520"/>
      <c r="C43" s="349"/>
      <c r="D43" s="531"/>
      <c r="E43" s="525"/>
      <c r="F43" s="294"/>
      <c r="G43" s="42"/>
      <c r="H43" s="42"/>
      <c r="I43" s="42"/>
      <c r="J43" s="291" t="s">
        <v>15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520"/>
      <c r="C44" s="349"/>
      <c r="D44" s="529"/>
      <c r="E44" s="530"/>
      <c r="F44" s="294"/>
      <c r="G44" s="42"/>
      <c r="H44" s="42"/>
      <c r="I44" s="42"/>
      <c r="J44" s="291" t="s">
        <v>149</v>
      </c>
      <c r="K44" s="324"/>
      <c r="L44" s="294"/>
      <c r="M44" s="294"/>
      <c r="N44" s="294"/>
      <c r="O44" s="294"/>
      <c r="P44" s="12"/>
      <c r="BC44" s="44"/>
      <c r="BD44" s="44"/>
    </row>
    <row r="45" spans="1:56" ht="15.75" thickBot="1">
      <c r="B45" s="521"/>
      <c r="C45" s="350"/>
      <c r="D45" s="532"/>
      <c r="E45" s="533"/>
      <c r="F45" s="294" t="s">
        <v>165</v>
      </c>
      <c r="G45" s="42"/>
      <c r="H45" s="42"/>
      <c r="I45" s="42"/>
      <c r="J45" s="291" t="s">
        <v>148</v>
      </c>
      <c r="K45" s="324"/>
      <c r="L45" s="294"/>
      <c r="M45" s="294"/>
      <c r="N45" s="294" t="s">
        <v>41</v>
      </c>
      <c r="O45" s="294"/>
      <c r="P45" s="12"/>
      <c r="BC45" s="44"/>
      <c r="BD45" s="44"/>
    </row>
    <row r="46" spans="1:56" ht="17.649999999999999" customHeight="1" thickBot="1">
      <c r="B46" s="312" t="s">
        <v>139</v>
      </c>
      <c r="C46" s="313"/>
      <c r="D46" s="512"/>
      <c r="E46" s="513"/>
      <c r="F46" s="294"/>
      <c r="J46" s="295" t="s">
        <v>134</v>
      </c>
      <c r="K46" s="324"/>
      <c r="L46" s="294"/>
      <c r="M46" s="294"/>
      <c r="N46" s="294"/>
      <c r="O46" s="294"/>
      <c r="P46" s="12"/>
      <c r="BC46" s="44"/>
      <c r="BD46" s="44"/>
    </row>
    <row r="47" spans="1:56" ht="17.649999999999999" customHeight="1">
      <c r="B47" s="363"/>
      <c r="C47" s="364"/>
      <c r="D47" s="365"/>
      <c r="E47" s="365"/>
      <c r="F47" s="294"/>
      <c r="G47" s="42"/>
      <c r="H47" s="42"/>
      <c r="I47" s="42"/>
      <c r="J47" s="295" t="s">
        <v>131</v>
      </c>
      <c r="K47" s="324"/>
      <c r="L47" s="294"/>
      <c r="M47" s="294"/>
      <c r="N47" s="294"/>
      <c r="O47" s="294"/>
      <c r="P47" s="12"/>
      <c r="BC47" s="44"/>
      <c r="BD47" s="44"/>
    </row>
    <row r="48" spans="1:56" ht="15.6" customHeight="1">
      <c r="B48" s="45"/>
      <c r="C48" s="11"/>
      <c r="D48" s="11"/>
      <c r="E48" s="46"/>
      <c r="F48" s="294"/>
      <c r="G48" s="42"/>
      <c r="H48" s="42"/>
      <c r="I48" s="42"/>
      <c r="J48" s="346" t="s">
        <v>130</v>
      </c>
      <c r="K48" s="324">
        <f>SUM(K38:K47)</f>
        <v>6</v>
      </c>
      <c r="L48" s="294"/>
      <c r="M48" s="294"/>
      <c r="N48" s="294"/>
      <c r="O48" s="294"/>
      <c r="P48" s="12"/>
    </row>
    <row r="49" spans="2:57" ht="20.25" customHeight="1">
      <c r="B49" s="15" t="s">
        <v>42</v>
      </c>
      <c r="C49" s="1" t="s">
        <v>43</v>
      </c>
      <c r="D49" s="1"/>
      <c r="E49" s="1"/>
      <c r="F49" s="294"/>
      <c r="G49" s="42"/>
      <c r="H49" s="41"/>
      <c r="I49" s="42"/>
      <c r="L49" s="42"/>
      <c r="N49" s="315"/>
      <c r="P49" s="334"/>
    </row>
    <row r="50" spans="2:57" ht="15" customHeight="1" thickBot="1"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1"/>
      <c r="O50" s="48"/>
      <c r="P50" s="49"/>
    </row>
    <row r="51" spans="2:57" ht="15" customHeight="1" thickBot="1">
      <c r="B51" s="504" t="s">
        <v>17</v>
      </c>
      <c r="C51" s="504" t="s">
        <v>44</v>
      </c>
      <c r="D51" s="515" t="s">
        <v>45</v>
      </c>
      <c r="E51" s="517" t="s">
        <v>46</v>
      </c>
      <c r="F51" s="510" t="s">
        <v>47</v>
      </c>
      <c r="G51" s="502" t="s">
        <v>48</v>
      </c>
      <c r="H51" s="504" t="s">
        <v>49</v>
      </c>
      <c r="I51" s="504" t="s">
        <v>50</v>
      </c>
      <c r="J51" s="496" t="s">
        <v>28</v>
      </c>
      <c r="K51" s="506" t="s">
        <v>51</v>
      </c>
      <c r="L51" s="508" t="s">
        <v>52</v>
      </c>
      <c r="M51" s="496" t="s">
        <v>53</v>
      </c>
      <c r="N51" s="13"/>
      <c r="O51" s="13"/>
      <c r="P51" s="50"/>
    </row>
    <row r="52" spans="2:57" ht="28.5" customHeight="1" thickTop="1" thickBot="1">
      <c r="B52" s="505"/>
      <c r="C52" s="514"/>
      <c r="D52" s="516"/>
      <c r="E52" s="518"/>
      <c r="F52" s="511"/>
      <c r="G52" s="503"/>
      <c r="H52" s="505"/>
      <c r="I52" s="505"/>
      <c r="J52" s="497"/>
      <c r="K52" s="507"/>
      <c r="L52" s="509"/>
      <c r="M52" s="497"/>
      <c r="N52" s="13"/>
      <c r="O52" s="13"/>
      <c r="P52" s="50"/>
      <c r="Q52" s="355"/>
      <c r="AB52" s="474">
        <v>43474</v>
      </c>
      <c r="AC52" s="474">
        <v>43475</v>
      </c>
      <c r="AD52" s="474">
        <v>43476</v>
      </c>
      <c r="AE52" s="474">
        <v>43477</v>
      </c>
      <c r="AF52" s="474">
        <v>43478</v>
      </c>
      <c r="AG52" s="474">
        <v>43479</v>
      </c>
      <c r="AH52" s="474">
        <v>43480</v>
      </c>
      <c r="AI52" s="474">
        <v>43481</v>
      </c>
      <c r="AJ52" s="474">
        <v>43482</v>
      </c>
      <c r="AK52" s="474">
        <v>43483</v>
      </c>
      <c r="AL52" s="474">
        <v>43484</v>
      </c>
      <c r="AM52" s="474">
        <v>43485</v>
      </c>
      <c r="AN52" s="474">
        <v>43486</v>
      </c>
      <c r="AO52" s="474">
        <v>43487</v>
      </c>
      <c r="AP52" s="474">
        <v>43488</v>
      </c>
      <c r="AQ52" s="474">
        <v>43489</v>
      </c>
      <c r="AR52" s="474">
        <v>43490</v>
      </c>
      <c r="AS52" s="474">
        <v>43491</v>
      </c>
      <c r="AT52" s="474">
        <v>43492</v>
      </c>
      <c r="AU52" s="474">
        <v>43493</v>
      </c>
      <c r="AV52" s="474">
        <v>43494</v>
      </c>
      <c r="AW52" s="474">
        <v>43495</v>
      </c>
      <c r="AX52" s="474">
        <v>43496</v>
      </c>
    </row>
    <row r="53" spans="2:57" s="54" customFormat="1" ht="36.75" customHeight="1" thickBot="1">
      <c r="B53" s="455" t="str">
        <f>I24</f>
        <v>CARIB</v>
      </c>
      <c r="C53" s="478">
        <v>46309</v>
      </c>
      <c r="D53" s="444">
        <f>[18]October_2026!$Q$3</f>
        <v>399.1</v>
      </c>
      <c r="E53" s="442"/>
      <c r="F53" s="443"/>
      <c r="G53" s="443">
        <f>[18]October_2026!$Q$7</f>
        <v>384.7</v>
      </c>
      <c r="H53" s="457"/>
      <c r="I53" s="457"/>
      <c r="J53" s="447" t="s">
        <v>150</v>
      </c>
      <c r="K53" s="448">
        <f>[19]October_2026!$Q$18</f>
        <v>1.3498245614035087</v>
      </c>
      <c r="L53" s="456">
        <f>(((D53+E53)-G53)/(D53+E53))*100</f>
        <v>3.6081182660987303</v>
      </c>
      <c r="M53" s="454" t="s">
        <v>172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[20]January_2019!L5</f>
        <v>0</v>
      </c>
      <c r="AC53" s="57">
        <f>[20]January_2019!M5</f>
        <v>0</v>
      </c>
      <c r="AD53" s="57">
        <f>[20]January_2019!N5</f>
        <v>0</v>
      </c>
      <c r="AE53" s="57">
        <f>[20]January_2019!O5</f>
        <v>0</v>
      </c>
      <c r="AF53" s="57">
        <f>[20]January_2019!P5</f>
        <v>0</v>
      </c>
      <c r="AG53" s="57">
        <f>[20]January_2019!Q5</f>
        <v>0</v>
      </c>
      <c r="AH53" s="57">
        <f>[20]January_2019!R5</f>
        <v>0</v>
      </c>
      <c r="AI53" s="57">
        <f>[20]January_2019!S5</f>
        <v>0</v>
      </c>
      <c r="AJ53" s="57">
        <f>[20]January_2019!T5</f>
        <v>0</v>
      </c>
      <c r="AK53" s="57">
        <f>[20]January_2019!U5</f>
        <v>0</v>
      </c>
      <c r="AL53" s="57">
        <f>[20]January_2019!V5</f>
        <v>0</v>
      </c>
      <c r="AM53" s="57">
        <f>[20]January_2019!W5</f>
        <v>0</v>
      </c>
      <c r="AN53" s="57">
        <f>[20]January_2019!X5</f>
        <v>0</v>
      </c>
      <c r="AO53" s="57">
        <f>[20]January_2019!Y5</f>
        <v>0</v>
      </c>
      <c r="AP53" s="57">
        <f>[20]January_2019!Z5</f>
        <v>0</v>
      </c>
      <c r="AQ53" s="57">
        <f>[20]January_2019!AA5</f>
        <v>0</v>
      </c>
      <c r="AR53" s="57">
        <f>[20]January_2019!AB5</f>
        <v>0</v>
      </c>
      <c r="AS53" s="57">
        <f>[20]January_2019!AC5</f>
        <v>0</v>
      </c>
      <c r="AT53" s="57">
        <f>[20]January_2019!AD5</f>
        <v>0</v>
      </c>
      <c r="AU53" s="57">
        <f>[20]January_2019!AE5</f>
        <v>0</v>
      </c>
      <c r="AV53" s="57">
        <f>[20]January_2019!AF5</f>
        <v>0</v>
      </c>
      <c r="AW53" s="57">
        <f>[20]January_2019!AG5</f>
        <v>0</v>
      </c>
      <c r="AX53" s="277">
        <f>[20]January_2019!AH5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4.25" hidden="1" customHeight="1" thickBot="1">
      <c r="B54" s="479"/>
      <c r="C54" s="478"/>
      <c r="D54" s="441"/>
      <c r="E54" s="442"/>
      <c r="F54" s="443"/>
      <c r="G54" s="444"/>
      <c r="H54" s="457"/>
      <c r="I54" s="457"/>
      <c r="J54" s="475"/>
      <c r="K54" s="448"/>
      <c r="L54" s="456"/>
      <c r="M54" s="454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[20]January_2019!L6</f>
        <v>0</v>
      </c>
      <c r="AC54" s="57">
        <f>[20]January_2019!M6</f>
        <v>0</v>
      </c>
      <c r="AD54" s="57">
        <f>[20]January_2019!N6</f>
        <v>0</v>
      </c>
      <c r="AE54" s="57">
        <f>[20]January_2019!O6</f>
        <v>0</v>
      </c>
      <c r="AF54" s="57">
        <f>[20]January_2019!P6</f>
        <v>0</v>
      </c>
      <c r="AG54" s="57">
        <f>[20]January_2019!Q6</f>
        <v>0</v>
      </c>
      <c r="AH54" s="57">
        <f>[20]January_2019!R6</f>
        <v>0</v>
      </c>
      <c r="AI54" s="57">
        <f>[20]January_2019!S6</f>
        <v>0</v>
      </c>
      <c r="AJ54" s="57">
        <f>[20]January_2019!T6</f>
        <v>0</v>
      </c>
      <c r="AK54" s="57">
        <f>[20]January_2019!U6</f>
        <v>0</v>
      </c>
      <c r="AL54" s="57">
        <f>[20]January_2019!V6</f>
        <v>0</v>
      </c>
      <c r="AM54" s="57">
        <f>[20]January_2019!W6</f>
        <v>0</v>
      </c>
      <c r="AN54" s="57">
        <f>[20]January_2019!X6</f>
        <v>0</v>
      </c>
      <c r="AO54" s="57">
        <f>[20]January_2019!Y6</f>
        <v>0</v>
      </c>
      <c r="AP54" s="57">
        <f>[20]January_2019!Z6</f>
        <v>0</v>
      </c>
      <c r="AQ54" s="57">
        <f>[20]January_2019!AA6</f>
        <v>0</v>
      </c>
      <c r="AR54" s="57">
        <f>[20]January_2019!AB6</f>
        <v>0</v>
      </c>
      <c r="AS54" s="57">
        <f>[20]January_2019!AC6</f>
        <v>0</v>
      </c>
      <c r="AT54" s="57">
        <f>[20]January_2019!AD6</f>
        <v>0</v>
      </c>
      <c r="AU54" s="57">
        <f>[20]January_2019!AE6</f>
        <v>0</v>
      </c>
      <c r="AV54" s="57">
        <f>[20]January_2019!AF6</f>
        <v>0</v>
      </c>
      <c r="AW54" s="57">
        <f>[20]January_2019!AG6</f>
        <v>0</v>
      </c>
      <c r="AX54" s="277">
        <f>[20]January_2019!AH6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37.15" hidden="1" customHeight="1" thickBot="1">
      <c r="B55" s="489" t="str">
        <f>J39</f>
        <v>STAG</v>
      </c>
      <c r="C55" s="478">
        <v>46303</v>
      </c>
      <c r="D55" s="441">
        <f>[18]October_2026!$K$13</f>
        <v>292</v>
      </c>
      <c r="E55" s="442"/>
      <c r="F55" s="443"/>
      <c r="G55" s="443">
        <f>[18]October_2026!$K$17</f>
        <v>278</v>
      </c>
      <c r="H55" s="445"/>
      <c r="I55" s="445"/>
      <c r="J55" s="447" t="s">
        <v>150</v>
      </c>
      <c r="K55" s="448">
        <f>[19]October_2026!$K$25</f>
        <v>0.9754385964912281</v>
      </c>
      <c r="L55" s="456">
        <f>(((D55+E55)-G55)/(D55+E55))*100</f>
        <v>4.7945205479452051</v>
      </c>
      <c r="M55" s="454" t="s">
        <v>176</v>
      </c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[20]January_2019!L7</f>
        <v>285.8</v>
      </c>
      <c r="AC55" s="57">
        <f>[20]January_2019!M7</f>
        <v>508.1</v>
      </c>
      <c r="AD55" s="57">
        <f>[20]January_2019!N7</f>
        <v>0</v>
      </c>
      <c r="AE55" s="57">
        <f>[20]January_2019!O7</f>
        <v>0</v>
      </c>
      <c r="AF55" s="57">
        <f>[20]January_2019!P7</f>
        <v>109.56666666666666</v>
      </c>
      <c r="AG55" s="57">
        <f>[20]January_2019!Q7</f>
        <v>297.64999999999998</v>
      </c>
      <c r="AH55" s="57">
        <f>[20]January_2019!R7</f>
        <v>122.3</v>
      </c>
      <c r="AI55" s="57">
        <f>[20]January_2019!S7</f>
        <v>0</v>
      </c>
      <c r="AJ55" s="57">
        <f>[20]January_2019!T7</f>
        <v>294.7</v>
      </c>
      <c r="AK55" s="57">
        <f>[20]January_2019!U7</f>
        <v>280.5</v>
      </c>
      <c r="AL55" s="57">
        <f>[20]January_2019!V7</f>
        <v>0</v>
      </c>
      <c r="AM55" s="57">
        <f>[20]January_2019!W7</f>
        <v>0</v>
      </c>
      <c r="AN55" s="57">
        <f>[20]January_2019!X7</f>
        <v>188.25</v>
      </c>
      <c r="AO55" s="57">
        <f>[20]January_2019!Y7</f>
        <v>295.7</v>
      </c>
      <c r="AP55" s="57">
        <f>[20]January_2019!Z7</f>
        <v>257.8</v>
      </c>
      <c r="AQ55" s="57">
        <f>[20]January_2019!AA7</f>
        <v>291.2</v>
      </c>
      <c r="AR55" s="57">
        <f>[20]January_2019!AB7</f>
        <v>187</v>
      </c>
      <c r="AS55" s="57">
        <f>[20]January_2019!AC7</f>
        <v>0</v>
      </c>
      <c r="AT55" s="57">
        <f>[20]January_2019!AD7</f>
        <v>0</v>
      </c>
      <c r="AU55" s="57">
        <f>[20]January_2019!AE7</f>
        <v>485.1</v>
      </c>
      <c r="AV55" s="57">
        <f>[20]January_2019!AF7</f>
        <v>171.55</v>
      </c>
      <c r="AW55" s="57">
        <f>[20]January_2019!AG7</f>
        <v>423.8</v>
      </c>
      <c r="AX55" s="277">
        <f>[20]January_2019!AH7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8.600000000000001" hidden="1" customHeight="1" thickBot="1">
      <c r="B56" s="477"/>
      <c r="C56" s="429"/>
      <c r="D56" s="430"/>
      <c r="E56" s="431"/>
      <c r="F56" s="432"/>
      <c r="G56" s="433"/>
      <c r="H56" s="457"/>
      <c r="I56" s="457"/>
      <c r="J56" s="450"/>
      <c r="K56" s="435"/>
      <c r="L56" s="451"/>
      <c r="M56" s="420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8.65" hidden="1" customHeight="1" thickBot="1">
      <c r="B57" s="486"/>
      <c r="C57" s="478"/>
      <c r="D57" s="441"/>
      <c r="E57" s="442"/>
      <c r="F57" s="443"/>
      <c r="G57" s="444"/>
      <c r="H57" s="457"/>
      <c r="I57" s="457"/>
      <c r="J57" s="447"/>
      <c r="K57" s="458"/>
      <c r="L57" s="456"/>
      <c r="M57" s="454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5" hidden="1">
      <c r="B58" s="452"/>
      <c r="C58" s="429"/>
      <c r="D58" s="430"/>
      <c r="E58" s="431"/>
      <c r="F58" s="432"/>
      <c r="G58" s="433"/>
      <c r="H58" s="434"/>
      <c r="I58" s="449"/>
      <c r="J58" s="450"/>
      <c r="K58" s="435"/>
      <c r="L58" s="451"/>
      <c r="M58" s="420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0"/>
      <c r="C59" s="478"/>
      <c r="D59" s="441"/>
      <c r="E59" s="442"/>
      <c r="F59" s="443"/>
      <c r="G59" s="444"/>
      <c r="H59" s="445"/>
      <c r="I59" s="446"/>
      <c r="J59" s="447"/>
      <c r="K59" s="448"/>
      <c r="L59" s="456"/>
      <c r="M59" s="454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6.5" hidden="1" customHeight="1" thickBot="1">
      <c r="B60" s="436"/>
      <c r="C60" s="422"/>
      <c r="D60" s="423"/>
      <c r="E60" s="424"/>
      <c r="F60" s="425"/>
      <c r="G60" s="426"/>
      <c r="H60" s="427"/>
      <c r="I60" s="437"/>
      <c r="J60" s="438"/>
      <c r="K60" s="428"/>
      <c r="L60" s="439"/>
      <c r="M60" s="421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414"/>
      <c r="AC60" s="414"/>
      <c r="AD60" s="414"/>
      <c r="AE60" s="414"/>
      <c r="AF60" s="414"/>
      <c r="AG60" s="414"/>
      <c r="AH60" s="414"/>
      <c r="AI60" s="414"/>
      <c r="AJ60" s="414"/>
      <c r="AK60" s="414"/>
      <c r="AL60" s="414"/>
      <c r="AM60" s="414"/>
      <c r="AN60" s="414"/>
      <c r="AO60" s="414"/>
      <c r="AP60" s="414"/>
      <c r="AQ60" s="414"/>
      <c r="AR60" s="414"/>
      <c r="AS60" s="414"/>
      <c r="AT60" s="414"/>
      <c r="AU60" s="414"/>
      <c r="AV60" s="414"/>
      <c r="AW60" s="414"/>
    </row>
    <row r="61" spans="2:57" s="54" customFormat="1" ht="37.15" hidden="1" customHeight="1" thickBot="1">
      <c r="B61" s="455"/>
      <c r="C61" s="440"/>
      <c r="D61" s="441"/>
      <c r="E61" s="442"/>
      <c r="F61" s="443"/>
      <c r="G61" s="444"/>
      <c r="H61" s="445"/>
      <c r="I61" s="446"/>
      <c r="J61" s="447"/>
      <c r="K61" s="448"/>
      <c r="L61" s="456"/>
      <c r="M61" s="453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hidden="1" customHeight="1">
      <c r="B62" s="465"/>
      <c r="C62" s="429"/>
      <c r="D62" s="459"/>
      <c r="E62" s="460"/>
      <c r="F62" s="461"/>
      <c r="G62" s="459"/>
      <c r="H62" s="462"/>
      <c r="I62" s="462"/>
      <c r="J62" s="462"/>
      <c r="K62" s="463"/>
      <c r="L62" s="464"/>
      <c r="M62" s="5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ht="18" customHeight="1" thickBot="1">
      <c r="B63" s="59"/>
      <c r="C63" s="30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 t="s">
        <v>41</v>
      </c>
      <c r="O63" s="56"/>
      <c r="P63" s="60"/>
    </row>
    <row r="64" spans="2:57" ht="15.75" thickBot="1">
      <c r="B64" s="498" t="s">
        <v>55</v>
      </c>
      <c r="C64" s="499"/>
      <c r="D64" s="499"/>
      <c r="E64" s="499"/>
      <c r="F64" s="500"/>
      <c r="G64" s="498" t="s">
        <v>56</v>
      </c>
      <c r="H64" s="499"/>
      <c r="I64" s="499"/>
      <c r="J64" s="500"/>
      <c r="K64" s="498" t="s">
        <v>51</v>
      </c>
      <c r="L64" s="499"/>
      <c r="M64" s="499"/>
      <c r="N64" s="501"/>
      <c r="O64" s="56"/>
      <c r="P64" s="50"/>
    </row>
    <row r="65" spans="2:16" ht="15">
      <c r="B65" s="61" t="s">
        <v>17</v>
      </c>
      <c r="C65" s="62" t="s">
        <v>36</v>
      </c>
      <c r="D65" s="62" t="s">
        <v>37</v>
      </c>
      <c r="E65" s="62" t="s">
        <v>38</v>
      </c>
      <c r="F65" s="63" t="s">
        <v>39</v>
      </c>
      <c r="G65" s="62" t="s">
        <v>36</v>
      </c>
      <c r="H65" s="62" t="s">
        <v>37</v>
      </c>
      <c r="I65" s="62" t="s">
        <v>38</v>
      </c>
      <c r="J65" s="63" t="s">
        <v>39</v>
      </c>
      <c r="K65" s="62" t="s">
        <v>36</v>
      </c>
      <c r="L65" s="62" t="s">
        <v>37</v>
      </c>
      <c r="M65" s="62" t="s">
        <v>38</v>
      </c>
      <c r="N65" s="63" t="s">
        <v>39</v>
      </c>
      <c r="O65" s="56"/>
      <c r="P65" s="64"/>
    </row>
    <row r="66" spans="2:16" ht="15">
      <c r="B66" s="29" t="s">
        <v>6</v>
      </c>
      <c r="C66" s="65">
        <f>L53</f>
        <v>3.6081182660987303</v>
      </c>
      <c r="D66" s="76">
        <v>4.8843377044349463</v>
      </c>
      <c r="E66" s="76">
        <v>6.3196596167476651</v>
      </c>
      <c r="F66" s="66">
        <v>4.8</v>
      </c>
      <c r="G66" s="65">
        <f>[18]October_2026!$Q$11</f>
        <v>6.0063111503290374</v>
      </c>
      <c r="H66" s="476">
        <v>5.8137215288910422</v>
      </c>
      <c r="I66" s="476">
        <v>6.4741327412302496</v>
      </c>
      <c r="J66" s="66">
        <v>4.8</v>
      </c>
      <c r="K66" s="67">
        <f>K53</f>
        <v>1.3498245614035087</v>
      </c>
      <c r="L66" s="194">
        <v>0.89532163742690063</v>
      </c>
      <c r="M66" s="194">
        <v>0.56729407318690295</v>
      </c>
      <c r="N66" s="68">
        <v>1</v>
      </c>
      <c r="O66" s="56"/>
      <c r="P66" s="69"/>
    </row>
    <row r="67" spans="2:16" ht="15">
      <c r="B67" s="33" t="s">
        <v>9</v>
      </c>
      <c r="C67" s="65"/>
      <c r="D67" s="76">
        <v>5.062325108114992</v>
      </c>
      <c r="E67" s="76">
        <v>6.0120934601385283</v>
      </c>
      <c r="F67" s="66">
        <v>4.8</v>
      </c>
      <c r="G67" s="65"/>
      <c r="H67" s="76">
        <v>5.6760230336831157</v>
      </c>
      <c r="I67" s="76">
        <v>5.9217471497494181</v>
      </c>
      <c r="J67" s="66">
        <v>4.8</v>
      </c>
      <c r="K67" s="67"/>
      <c r="L67" s="194">
        <v>0.65473684210526317</v>
      </c>
      <c r="M67" s="194">
        <v>0.68123957181115813</v>
      </c>
      <c r="N67" s="68">
        <v>1</v>
      </c>
      <c r="P67" s="69"/>
    </row>
    <row r="68" spans="2:16" ht="15">
      <c r="B68" s="34" t="s">
        <v>40</v>
      </c>
      <c r="C68" s="65"/>
      <c r="D68" s="76"/>
      <c r="E68" s="76">
        <v>10.890214570112384</v>
      </c>
      <c r="F68" s="66">
        <v>5.5</v>
      </c>
      <c r="G68" s="65"/>
      <c r="H68" s="76"/>
      <c r="I68" s="76">
        <v>11.797659278069149</v>
      </c>
      <c r="J68" s="66">
        <v>5.5</v>
      </c>
      <c r="K68" s="67"/>
      <c r="L68" s="194"/>
      <c r="M68" s="194">
        <v>0.35370190356844494</v>
      </c>
      <c r="N68" s="68">
        <v>1</v>
      </c>
      <c r="P68" s="69"/>
    </row>
    <row r="69" spans="2:16" ht="15">
      <c r="B69" s="22" t="s">
        <v>33</v>
      </c>
      <c r="C69" s="65"/>
      <c r="D69" s="76">
        <v>2.6160971335586405</v>
      </c>
      <c r="E69" s="76">
        <v>4.6053599467161712</v>
      </c>
      <c r="F69" s="66">
        <v>3.3</v>
      </c>
      <c r="G69" s="65"/>
      <c r="H69" s="76">
        <v>4.0562064167659644</v>
      </c>
      <c r="I69" s="76">
        <v>4.7835858167498584</v>
      </c>
      <c r="J69" s="66">
        <v>3.3</v>
      </c>
      <c r="K69" s="67"/>
      <c r="L69" s="194">
        <v>1.3649122807017544</v>
      </c>
      <c r="M69" s="194">
        <v>0.83244019138755987</v>
      </c>
      <c r="N69" s="68">
        <v>1</v>
      </c>
      <c r="P69" s="69"/>
    </row>
    <row r="70" spans="2:16" ht="15">
      <c r="B70" s="35" t="s">
        <v>164</v>
      </c>
      <c r="C70" s="65"/>
      <c r="D70" s="76"/>
      <c r="E70" s="76"/>
      <c r="F70" s="66">
        <v>3.3</v>
      </c>
      <c r="G70" s="282"/>
      <c r="H70" s="76"/>
      <c r="I70" s="76"/>
      <c r="J70" s="66">
        <v>3</v>
      </c>
      <c r="K70" s="67"/>
      <c r="L70" s="194"/>
      <c r="M70" s="194"/>
      <c r="N70" s="68">
        <v>1</v>
      </c>
      <c r="P70" s="69"/>
    </row>
    <row r="71" spans="2:16" ht="15">
      <c r="B71" s="36" t="s">
        <v>15</v>
      </c>
      <c r="C71" s="65"/>
      <c r="D71" s="76"/>
      <c r="E71" s="76">
        <v>6.3233965672990236</v>
      </c>
      <c r="F71" s="70">
        <v>5.5</v>
      </c>
      <c r="G71" s="65"/>
      <c r="H71" s="76"/>
      <c r="I71" s="76">
        <v>7.9667553186446929</v>
      </c>
      <c r="J71" s="66">
        <v>5.5</v>
      </c>
      <c r="K71" s="67"/>
      <c r="L71" s="194"/>
      <c r="M71" s="194">
        <v>0.5883625730994152</v>
      </c>
      <c r="N71" s="68">
        <v>1</v>
      </c>
      <c r="P71" s="69"/>
    </row>
    <row r="72" spans="2:16" ht="15">
      <c r="B72" s="37" t="s">
        <v>16</v>
      </c>
      <c r="C72" s="481"/>
      <c r="D72" s="76"/>
      <c r="E72" s="76">
        <v>3.9973372218347856</v>
      </c>
      <c r="F72" s="66">
        <v>3.3</v>
      </c>
      <c r="G72" s="282"/>
      <c r="H72" s="76"/>
      <c r="I72" s="76">
        <v>5.1096183510504902</v>
      </c>
      <c r="J72" s="66">
        <v>3.3</v>
      </c>
      <c r="K72" s="67"/>
      <c r="L72" s="194"/>
      <c r="M72" s="194">
        <v>0.89057130004498408</v>
      </c>
      <c r="N72" s="71">
        <v>1</v>
      </c>
      <c r="P72" s="69"/>
    </row>
    <row r="73" spans="2:16" ht="15.75" thickBot="1">
      <c r="B73" s="38" t="s">
        <v>163</v>
      </c>
      <c r="C73" s="65"/>
      <c r="D73" s="76"/>
      <c r="E73" s="76"/>
      <c r="F73" s="66">
        <v>7.5</v>
      </c>
      <c r="G73" s="282"/>
      <c r="H73" s="76"/>
      <c r="I73" s="76"/>
      <c r="J73" s="66">
        <v>7.5</v>
      </c>
      <c r="K73" s="67"/>
      <c r="L73" s="194"/>
      <c r="M73" s="194"/>
      <c r="N73" s="71">
        <v>1</v>
      </c>
      <c r="P73" s="69"/>
    </row>
    <row r="74" spans="2:16" ht="15.75" thickBot="1">
      <c r="B74" s="413" t="s">
        <v>161</v>
      </c>
      <c r="C74" s="65"/>
      <c r="D74" s="76"/>
      <c r="E74" s="76"/>
      <c r="F74" s="66">
        <v>4.8</v>
      </c>
      <c r="G74" s="282"/>
      <c r="H74" s="76"/>
      <c r="I74" s="76"/>
      <c r="J74" s="66">
        <v>4.8</v>
      </c>
      <c r="K74" s="67"/>
      <c r="L74" s="194"/>
      <c r="M74" s="194"/>
      <c r="N74" s="71">
        <v>1</v>
      </c>
      <c r="O74" s="74"/>
      <c r="P74" s="75"/>
    </row>
    <row r="75" spans="2:16" ht="15">
      <c r="D75" s="76">
        <v>4.6459577743880658</v>
      </c>
      <c r="E75" s="76">
        <v>6.2733830806368092</v>
      </c>
      <c r="F75" s="341">
        <v>5.5</v>
      </c>
      <c r="H75" s="76">
        <v>5.5274134543295537</v>
      </c>
      <c r="I75" s="76">
        <v>6.5970551006743632</v>
      </c>
      <c r="J75" s="341">
        <v>5.5</v>
      </c>
      <c r="L75" s="194">
        <v>0.89435672514619879</v>
      </c>
      <c r="M75" s="194">
        <v>0.61335520196054827</v>
      </c>
      <c r="N75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2:N22"/>
    <mergeCell ref="D23:E23"/>
    <mergeCell ref="B24:B35"/>
    <mergeCell ref="D24:E25"/>
    <mergeCell ref="D26:E27"/>
    <mergeCell ref="D28:E29"/>
    <mergeCell ref="D30:E31"/>
    <mergeCell ref="D32:E33"/>
    <mergeCell ref="D34:E35"/>
    <mergeCell ref="B36:B45"/>
    <mergeCell ref="D36:E37"/>
    <mergeCell ref="J36:K36"/>
    <mergeCell ref="L37:N37"/>
    <mergeCell ref="D38:E39"/>
    <mergeCell ref="D40:E41"/>
    <mergeCell ref="D42:E43"/>
    <mergeCell ref="D44:E45"/>
    <mergeCell ref="D46:E46"/>
    <mergeCell ref="B51:B52"/>
    <mergeCell ref="C51:C52"/>
    <mergeCell ref="D51:D52"/>
    <mergeCell ref="E51:E52"/>
    <mergeCell ref="M51:M52"/>
    <mergeCell ref="B64:F64"/>
    <mergeCell ref="G64:J64"/>
    <mergeCell ref="K64:N64"/>
    <mergeCell ref="G51:G52"/>
    <mergeCell ref="H51:H52"/>
    <mergeCell ref="I51:I52"/>
    <mergeCell ref="J51:J52"/>
    <mergeCell ref="K51:K52"/>
    <mergeCell ref="L51:L52"/>
    <mergeCell ref="F51:F52"/>
  </mergeCells>
  <conditionalFormatting sqref="B46:B47">
    <cfRule type="cellIs" dxfId="382" priority="113" operator="notBetween">
      <formula>#REF!</formula>
      <formula>#REF!</formula>
    </cfRule>
  </conditionalFormatting>
  <conditionalFormatting sqref="C50">
    <cfRule type="cellIs" dxfId="381" priority="195" stopIfTrue="1" operator="lessThan">
      <formula>96</formula>
    </cfRule>
    <cfRule type="cellIs" dxfId="380" priority="196" stopIfTrue="1" operator="greaterThan">
      <formula>100</formula>
    </cfRule>
  </conditionalFormatting>
  <conditionalFormatting sqref="C66:C67">
    <cfRule type="cellIs" dxfId="379" priority="77" stopIfTrue="1" operator="lessThanOrEqual">
      <formula>0</formula>
    </cfRule>
    <cfRule type="cellIs" dxfId="378" priority="78" stopIfTrue="1" operator="greaterThan">
      <formula>$F66</formula>
    </cfRule>
    <cfRule type="cellIs" dxfId="377" priority="79" stopIfTrue="1" operator="lessThanOrEqual">
      <formula>0</formula>
    </cfRule>
    <cfRule type="cellIs" dxfId="376" priority="76" stopIfTrue="1" operator="greaterThan">
      <formula>$F66</formula>
    </cfRule>
  </conditionalFormatting>
  <conditionalFormatting sqref="C68:C70 C72:C74">
    <cfRule type="cellIs" dxfId="375" priority="85" stopIfTrue="1" operator="greaterThan">
      <formula>$F71</formula>
    </cfRule>
  </conditionalFormatting>
  <conditionalFormatting sqref="C68:C70">
    <cfRule type="cellIs" dxfId="374" priority="86" stopIfTrue="1" operator="lessThanOrEqual">
      <formula>0</formula>
    </cfRule>
  </conditionalFormatting>
  <conditionalFormatting sqref="C71">
    <cfRule type="cellIs" dxfId="373" priority="199" stopIfTrue="1" operator="greaterThan">
      <formula>$F66</formula>
    </cfRule>
    <cfRule type="cellIs" dxfId="372" priority="200" stopIfTrue="1" operator="lessThanOrEqual">
      <formula>0</formula>
    </cfRule>
    <cfRule type="cellIs" dxfId="371" priority="197" stopIfTrue="1" operator="greaterThan">
      <formula>$F66</formula>
    </cfRule>
    <cfRule type="cellIs" dxfId="370" priority="198" stopIfTrue="1" operator="lessThanOrEqual">
      <formula>0</formula>
    </cfRule>
  </conditionalFormatting>
  <conditionalFormatting sqref="C72:C74">
    <cfRule type="cellIs" dxfId="369" priority="87" stopIfTrue="1" operator="lessThanOrEqual">
      <formula>0</formula>
    </cfRule>
  </conditionalFormatting>
  <conditionalFormatting sqref="C77:C81">
    <cfRule type="cellIs" dxfId="368" priority="187" stopIfTrue="1" operator="lessThanOrEqual">
      <formula>0</formula>
    </cfRule>
  </conditionalFormatting>
  <conditionalFormatting sqref="C78:C81">
    <cfRule type="cellIs" dxfId="367" priority="186" stopIfTrue="1" operator="greaterThan">
      <formula>$F$77</formula>
    </cfRule>
  </conditionalFormatting>
  <conditionalFormatting sqref="C83">
    <cfRule type="cellIs" dxfId="366" priority="188" stopIfTrue="1" operator="greaterThan">
      <formula>$F$77</formula>
    </cfRule>
    <cfRule type="cellIs" dxfId="365" priority="189" stopIfTrue="1" operator="lessThanOrEqual">
      <formula>0</formula>
    </cfRule>
  </conditionalFormatting>
  <conditionalFormatting sqref="C71:D71">
    <cfRule type="cellIs" dxfId="364" priority="74" stopIfTrue="1" operator="greaterThan">
      <formula>$J71</formula>
    </cfRule>
    <cfRule type="cellIs" dxfId="363" priority="75" stopIfTrue="1" operator="lessThanOrEqual">
      <formula>0</formula>
    </cfRule>
  </conditionalFormatting>
  <conditionalFormatting sqref="C77:D77 D79:D85">
    <cfRule type="cellIs" dxfId="362" priority="181" stopIfTrue="1" operator="greaterThan">
      <formula>4.5</formula>
    </cfRule>
  </conditionalFormatting>
  <conditionalFormatting sqref="D46:D47">
    <cfRule type="cellIs" dxfId="361" priority="114" operator="notBetween">
      <formula>#REF!</formula>
      <formula>#REF!</formula>
    </cfRule>
  </conditionalFormatting>
  <conditionalFormatting sqref="D66:D70 D72:D73">
    <cfRule type="cellIs" dxfId="360" priority="84" stopIfTrue="1" operator="lessThanOrEqual">
      <formula>0</formula>
    </cfRule>
  </conditionalFormatting>
  <conditionalFormatting sqref="D66:D70 D72:D75">
    <cfRule type="cellIs" dxfId="359" priority="81" stopIfTrue="1" operator="greaterThan">
      <formula>$F66</formula>
    </cfRule>
    <cfRule type="cellIs" dxfId="358" priority="80" stopIfTrue="1" operator="lessThanOrEqual">
      <formula>0</formula>
    </cfRule>
  </conditionalFormatting>
  <conditionalFormatting sqref="D74:D75">
    <cfRule type="cellIs" dxfId="357" priority="82" stopIfTrue="1" operator="lessThanOrEqual">
      <formula>0</formula>
    </cfRule>
  </conditionalFormatting>
  <conditionalFormatting sqref="D75">
    <cfRule type="cellIs" dxfId="356" priority="83" stopIfTrue="1" operator="lessThanOrEqual">
      <formula>0</formula>
    </cfRule>
  </conditionalFormatting>
  <conditionalFormatting sqref="D77 D79:D85">
    <cfRule type="cellIs" dxfId="355" priority="182" stopIfTrue="1" operator="lessThanOrEqual">
      <formula>0</formula>
    </cfRule>
  </conditionalFormatting>
  <conditionalFormatting sqref="D78">
    <cfRule type="cellIs" dxfId="354" priority="174" stopIfTrue="1" operator="lessThanOrEqual">
      <formula>0</formula>
    </cfRule>
    <cfRule type="cellIs" dxfId="353" priority="173" stopIfTrue="1" operator="greaterThan">
      <formula>$F$77</formula>
    </cfRule>
  </conditionalFormatting>
  <conditionalFormatting sqref="E10:E21">
    <cfRule type="cellIs" dxfId="352" priority="8" operator="lessThan">
      <formula>48</formula>
    </cfRule>
  </conditionalFormatting>
  <conditionalFormatting sqref="E49 E50:F50">
    <cfRule type="cellIs" dxfId="351" priority="178" stopIfTrue="1" operator="greaterThan">
      <formula>100</formula>
    </cfRule>
  </conditionalFormatting>
  <conditionalFormatting sqref="E50">
    <cfRule type="cellIs" dxfId="350" priority="175" stopIfTrue="1" operator="lessThan">
      <formula>96.8</formula>
    </cfRule>
    <cfRule type="cellIs" dxfId="349" priority="176" stopIfTrue="1" operator="greaterThan">
      <formula>100</formula>
    </cfRule>
  </conditionalFormatting>
  <conditionalFormatting sqref="E66:E74">
    <cfRule type="cellIs" dxfId="348" priority="47" stopIfTrue="1" operator="lessThanOrEqual">
      <formula>0</formula>
    </cfRule>
  </conditionalFormatting>
  <conditionalFormatting sqref="E66:E75">
    <cfRule type="cellIs" dxfId="347" priority="49" stopIfTrue="1" operator="lessThanOrEqual">
      <formula>0</formula>
    </cfRule>
    <cfRule type="cellIs" dxfId="346" priority="48" stopIfTrue="1" operator="greaterThan">
      <formula>$F66</formula>
    </cfRule>
  </conditionalFormatting>
  <conditionalFormatting sqref="E75">
    <cfRule type="cellIs" dxfId="345" priority="50" stopIfTrue="1" operator="lessThanOrEqual">
      <formula>0</formula>
    </cfRule>
  </conditionalFormatting>
  <conditionalFormatting sqref="E77:E85">
    <cfRule type="cellIs" dxfId="344" priority="167" stopIfTrue="1" operator="greaterThan">
      <formula>4.5</formula>
    </cfRule>
    <cfRule type="cellIs" dxfId="343" priority="168" stopIfTrue="1" operator="lessThanOrEqual">
      <formula>0</formula>
    </cfRule>
  </conditionalFormatting>
  <conditionalFormatting sqref="E50:F50 E49">
    <cfRule type="cellIs" dxfId="342" priority="177" stopIfTrue="1" operator="lessThan">
      <formula>96.5</formula>
    </cfRule>
  </conditionalFormatting>
  <conditionalFormatting sqref="F19:F21">
    <cfRule type="cellIs" dxfId="341" priority="9" operator="greaterThan">
      <formula>60</formula>
    </cfRule>
  </conditionalFormatting>
  <conditionalFormatting sqref="F50">
    <cfRule type="cellIs" dxfId="340" priority="194" stopIfTrue="1" operator="greaterThan">
      <formula>100</formula>
    </cfRule>
    <cfRule type="cellIs" dxfId="339" priority="193" stopIfTrue="1" operator="lessThan">
      <formula>96.8</formula>
    </cfRule>
  </conditionalFormatting>
  <conditionalFormatting sqref="G10:G18 G21">
    <cfRule type="expression" dxfId="338" priority="21">
      <formula>IF(+(IF(G10&lt;S10,0,IF(G10&gt;T10,0,1)))=0,1)</formula>
    </cfRule>
  </conditionalFormatting>
  <conditionalFormatting sqref="G66:G69 F75">
    <cfRule type="cellIs" dxfId="337" priority="56" stopIfTrue="1" operator="greaterThan">
      <formula>$F66</formula>
    </cfRule>
    <cfRule type="cellIs" dxfId="336" priority="57" stopIfTrue="1" operator="lessThanOrEqual">
      <formula>0</formula>
    </cfRule>
  </conditionalFormatting>
  <conditionalFormatting sqref="G68:G69">
    <cfRule type="cellIs" dxfId="335" priority="42" stopIfTrue="1" operator="greaterThan">
      <formula>$F68</formula>
    </cfRule>
    <cfRule type="cellIs" dxfId="334" priority="43" stopIfTrue="1" operator="lessThanOrEqual">
      <formula>0</formula>
    </cfRule>
  </conditionalFormatting>
  <conditionalFormatting sqref="G70:G74">
    <cfRule type="cellIs" dxfId="333" priority="59" stopIfTrue="1" operator="lessThanOrEqual">
      <formula>0</formula>
    </cfRule>
    <cfRule type="cellIs" dxfId="332" priority="58" stopIfTrue="1" operator="greaterThan">
      <formula>$J70</formula>
    </cfRule>
  </conditionalFormatting>
  <conditionalFormatting sqref="G71">
    <cfRule type="cellIs" dxfId="331" priority="202" stopIfTrue="1" operator="lessThanOrEqual">
      <formula>0</formula>
    </cfRule>
    <cfRule type="cellIs" dxfId="330" priority="201" stopIfTrue="1" operator="greaterThan">
      <formula>$F66</formula>
    </cfRule>
  </conditionalFormatting>
  <conditionalFormatting sqref="G79:G84 C82 C84">
    <cfRule type="cellIs" dxfId="329" priority="191" stopIfTrue="1" operator="lessThanOrEqual">
      <formula>0</formula>
    </cfRule>
    <cfRule type="cellIs" dxfId="328" priority="190" stopIfTrue="1" operator="greaterThan">
      <formula>4.5</formula>
    </cfRule>
  </conditionalFormatting>
  <conditionalFormatting sqref="G78:H78">
    <cfRule type="cellIs" dxfId="327" priority="171" stopIfTrue="1" operator="greaterThan">
      <formula>$F$77</formula>
    </cfRule>
    <cfRule type="cellIs" dxfId="326" priority="172" stopIfTrue="1" operator="lessThanOrEqual">
      <formula>0</formula>
    </cfRule>
  </conditionalFormatting>
  <conditionalFormatting sqref="H10:H21 M19:N20">
    <cfRule type="expression" dxfId="325" priority="11">
      <formula>IF(+(IF(H10&lt;#REF!,0,IF(H10&gt;#REF!,0,1)))=0,1)</formula>
    </cfRule>
  </conditionalFormatting>
  <conditionalFormatting sqref="H35:H36 H49">
    <cfRule type="cellIs" dxfId="324" priority="169" stopIfTrue="1" operator="greaterThan">
      <formula>0</formula>
    </cfRule>
  </conditionalFormatting>
  <conditionalFormatting sqref="H53">
    <cfRule type="cellIs" dxfId="323" priority="62" stopIfTrue="1" operator="greaterThan">
      <formula>$F$66</formula>
    </cfRule>
    <cfRule type="cellIs" dxfId="322" priority="71" stopIfTrue="1" operator="lessThanOrEqual">
      <formula>0</formula>
    </cfRule>
    <cfRule type="cellIs" dxfId="321" priority="70" stopIfTrue="1" operator="greaterThan">
      <formula>$F$69</formula>
    </cfRule>
    <cfRule type="cellIs" dxfId="320" priority="72" stopIfTrue="1" operator="greaterThan">
      <formula>$F$67</formula>
    </cfRule>
    <cfRule type="cellIs" dxfId="319" priority="61" stopIfTrue="1" operator="lessThanOrEqual">
      <formula>0</formula>
    </cfRule>
  </conditionalFormatting>
  <conditionalFormatting sqref="H53:H54">
    <cfRule type="cellIs" dxfId="318" priority="73" stopIfTrue="1" operator="lessThanOrEqual">
      <formula>0</formula>
    </cfRule>
  </conditionalFormatting>
  <conditionalFormatting sqref="H54 H56:H57">
    <cfRule type="cellIs" dxfId="317" priority="99" stopIfTrue="1" operator="lessThanOrEqual">
      <formula>0</formula>
    </cfRule>
  </conditionalFormatting>
  <conditionalFormatting sqref="H54">
    <cfRule type="cellIs" dxfId="316" priority="88" stopIfTrue="1" operator="greaterThan">
      <formula>$F$66</formula>
    </cfRule>
    <cfRule type="cellIs" dxfId="315" priority="96" stopIfTrue="1" operator="greaterThan">
      <formula>$F$69</formula>
    </cfRule>
    <cfRule type="cellIs" dxfId="314" priority="97" stopIfTrue="1" operator="lessThanOrEqual">
      <formula>0</formula>
    </cfRule>
    <cfRule type="cellIs" dxfId="313" priority="98" stopIfTrue="1" operator="greaterThan">
      <formula>$F$67</formula>
    </cfRule>
  </conditionalFormatting>
  <conditionalFormatting sqref="H55">
    <cfRule type="cellIs" dxfId="312" priority="28" stopIfTrue="1" operator="lessThanOrEqual">
      <formula>0</formula>
    </cfRule>
    <cfRule type="cellIs" dxfId="311" priority="39" stopIfTrue="1" operator="greaterThan">
      <formula>$F$69</formula>
    </cfRule>
    <cfRule type="cellIs" dxfId="310" priority="38" stopIfTrue="1" operator="lessThanOrEqual">
      <formula>0</formula>
    </cfRule>
    <cfRule type="cellIs" dxfId="309" priority="37" stopIfTrue="1" operator="greaterThan">
      <formula>$F$71</formula>
    </cfRule>
    <cfRule type="cellIs" dxfId="308" priority="29" stopIfTrue="1" operator="greaterThan">
      <formula>$F$68</formula>
    </cfRule>
    <cfRule type="cellIs" dxfId="307" priority="40" stopIfTrue="1" operator="lessThanOrEqual">
      <formula>0</formula>
    </cfRule>
  </conditionalFormatting>
  <conditionalFormatting sqref="H56:H57">
    <cfRule type="cellIs" dxfId="306" priority="112" stopIfTrue="1" operator="lessThanOrEqual">
      <formula>0</formula>
    </cfRule>
    <cfRule type="cellIs" dxfId="305" priority="111" stopIfTrue="1" operator="greaterThan">
      <formula>$F$67</formula>
    </cfRule>
    <cfRule type="cellIs" dxfId="304" priority="110" stopIfTrue="1" operator="lessThanOrEqual">
      <formula>0</formula>
    </cfRule>
    <cfRule type="cellIs" dxfId="303" priority="109" stopIfTrue="1" operator="greaterThan">
      <formula>$F$69</formula>
    </cfRule>
    <cfRule type="cellIs" dxfId="302" priority="101" stopIfTrue="1" operator="greaterThan">
      <formula>$F$66</formula>
    </cfRule>
  </conditionalFormatting>
  <conditionalFormatting sqref="H58:H59">
    <cfRule type="cellIs" dxfId="301" priority="136" stopIfTrue="1" operator="lessThanOrEqual">
      <formula>0</formula>
    </cfRule>
    <cfRule type="cellIs" dxfId="300" priority="145" stopIfTrue="1" operator="greaterThan">
      <formula>#REF!</formula>
    </cfRule>
    <cfRule type="cellIs" dxfId="299" priority="146" stopIfTrue="1" operator="lessThanOrEqual">
      <formula>0</formula>
    </cfRule>
    <cfRule type="cellIs" dxfId="298" priority="137" stopIfTrue="1" operator="greaterThan">
      <formula>#REF!</formula>
    </cfRule>
  </conditionalFormatting>
  <conditionalFormatting sqref="H60">
    <cfRule type="cellIs" dxfId="297" priority="148" stopIfTrue="1" operator="lessThanOrEqual">
      <formula>0</formula>
    </cfRule>
    <cfRule type="cellIs" dxfId="296" priority="149" stopIfTrue="1" operator="greaterThan">
      <formula>$F$34</formula>
    </cfRule>
    <cfRule type="cellIs" dxfId="295" priority="157" stopIfTrue="1" operator="greaterThan">
      <formula>$F$37</formula>
    </cfRule>
    <cfRule type="cellIs" dxfId="294" priority="158" stopIfTrue="1" operator="lessThanOrEqual">
      <formula>0</formula>
    </cfRule>
    <cfRule type="cellIs" dxfId="293" priority="159" stopIfTrue="1" operator="greaterThan">
      <formula>$F$35</formula>
    </cfRule>
    <cfRule type="cellIs" dxfId="292" priority="160" stopIfTrue="1" operator="lessThanOrEqual">
      <formula>0</formula>
    </cfRule>
  </conditionalFormatting>
  <conditionalFormatting sqref="H61:H62">
    <cfRule type="cellIs" dxfId="291" priority="133" stopIfTrue="1" operator="greaterThan">
      <formula>#REF!</formula>
    </cfRule>
    <cfRule type="cellIs" dxfId="290" priority="124" stopIfTrue="1" operator="lessThanOrEqual">
      <formula>0</formula>
    </cfRule>
    <cfRule type="cellIs" dxfId="289" priority="134" stopIfTrue="1" operator="lessThanOrEqual">
      <formula>0</formula>
    </cfRule>
    <cfRule type="cellIs" dxfId="288" priority="125" stopIfTrue="1" operator="greaterThan">
      <formula>#REF!</formula>
    </cfRule>
  </conditionalFormatting>
  <conditionalFormatting sqref="H77 H79:H85">
    <cfRule type="cellIs" dxfId="287" priority="183" stopIfTrue="1" operator="greaterThan">
      <formula>4.5</formula>
    </cfRule>
    <cfRule type="cellIs" dxfId="286" priority="184" stopIfTrue="1" operator="lessThanOrEqual">
      <formula>0</formula>
    </cfRule>
  </conditionalFormatting>
  <conditionalFormatting sqref="H53:I53">
    <cfRule type="cellIs" dxfId="285" priority="63" stopIfTrue="1" operator="lessThanOrEqual">
      <formula>0</formula>
    </cfRule>
  </conditionalFormatting>
  <conditionalFormatting sqref="H53:I54 H56:I57">
    <cfRule type="cellIs" dxfId="284" priority="60" stopIfTrue="1" operator="greaterThan">
      <formula>$F$68</formula>
    </cfRule>
  </conditionalFormatting>
  <conditionalFormatting sqref="H54:I54">
    <cfRule type="cellIs" dxfId="283" priority="89" stopIfTrue="1" operator="lessThanOrEqual">
      <formula>0</formula>
    </cfRule>
  </conditionalFormatting>
  <conditionalFormatting sqref="H55:I55">
    <cfRule type="cellIs" dxfId="282" priority="30" stopIfTrue="1" operator="lessThanOrEqual">
      <formula>0</formula>
    </cfRule>
    <cfRule type="cellIs" dxfId="281" priority="27" stopIfTrue="1" operator="greaterThan">
      <formula>$F$70</formula>
    </cfRule>
  </conditionalFormatting>
  <conditionalFormatting sqref="H56:I57">
    <cfRule type="cellIs" dxfId="280" priority="102" stopIfTrue="1" operator="lessThanOrEqual">
      <formula>0</formula>
    </cfRule>
  </conditionalFormatting>
  <conditionalFormatting sqref="H58:I59">
    <cfRule type="cellIs" dxfId="279" priority="144" stopIfTrue="1" operator="lessThanOrEqual">
      <formula>0</formula>
    </cfRule>
    <cfRule type="cellIs" dxfId="278" priority="143" stopIfTrue="1" operator="greaterThan">
      <formula>#REF!</formula>
    </cfRule>
    <cfRule type="cellIs" dxfId="277" priority="138" stopIfTrue="1" operator="lessThanOrEqual">
      <formula>0</formula>
    </cfRule>
    <cfRule type="cellIs" dxfId="276" priority="135" stopIfTrue="1" operator="greaterThan">
      <formula>#REF!</formula>
    </cfRule>
  </conditionalFormatting>
  <conditionalFormatting sqref="H60:I60">
    <cfRule type="cellIs" dxfId="275" priority="147" stopIfTrue="1" operator="greaterThan">
      <formula>$F$36</formula>
    </cfRule>
    <cfRule type="cellIs" dxfId="274" priority="150" stopIfTrue="1" operator="lessThanOrEqual">
      <formula>0</formula>
    </cfRule>
  </conditionalFormatting>
  <conditionalFormatting sqref="H61:I62">
    <cfRule type="cellIs" dxfId="273" priority="123" stopIfTrue="1" operator="greaterThan">
      <formula>#REF!</formula>
    </cfRule>
    <cfRule type="cellIs" dxfId="272" priority="126" stopIfTrue="1" operator="lessThanOrEqual">
      <formula>0</formula>
    </cfRule>
    <cfRule type="cellIs" dxfId="271" priority="132" stopIfTrue="1" operator="lessThanOrEqual">
      <formula>0</formula>
    </cfRule>
    <cfRule type="cellIs" dxfId="270" priority="131" stopIfTrue="1" operator="greaterThan">
      <formula>#REF!</formula>
    </cfRule>
  </conditionalFormatting>
  <conditionalFormatting sqref="H66:I73">
    <cfRule type="cellIs" dxfId="269" priority="45" stopIfTrue="1" operator="greaterThan">
      <formula>$J66</formula>
    </cfRule>
    <cfRule type="cellIs" dxfId="268" priority="46" stopIfTrue="1" operator="lessThanOrEqual">
      <formula>0</formula>
    </cfRule>
  </conditionalFormatting>
  <conditionalFormatting sqref="H74:I74">
    <cfRule type="cellIs" dxfId="267" priority="53" operator="greaterThan">
      <formula>5.3</formula>
    </cfRule>
  </conditionalFormatting>
  <conditionalFormatting sqref="H75:I75">
    <cfRule type="cellIs" dxfId="266" priority="52" stopIfTrue="1" operator="lessThanOrEqual">
      <formula>0</formula>
    </cfRule>
    <cfRule type="cellIs" dxfId="265" priority="51" stopIfTrue="1" operator="greaterThan">
      <formula>$J75</formula>
    </cfRule>
  </conditionalFormatting>
  <conditionalFormatting sqref="I53">
    <cfRule type="cellIs" dxfId="264" priority="66" stopIfTrue="1" operator="greaterThan">
      <formula>$F$68</formula>
    </cfRule>
    <cfRule type="cellIs" dxfId="263" priority="65" stopIfTrue="1" operator="lessThanOrEqual">
      <formula>0</formula>
    </cfRule>
    <cfRule type="cellIs" dxfId="262" priority="64" stopIfTrue="1" operator="greaterThan">
      <formula>$F$66</formula>
    </cfRule>
    <cfRule type="cellIs" dxfId="261" priority="69" stopIfTrue="1" operator="lessThanOrEqual">
      <formula>0</formula>
    </cfRule>
    <cfRule type="cellIs" dxfId="260" priority="68" stopIfTrue="1" operator="greaterThan">
      <formula>$F$66</formula>
    </cfRule>
    <cfRule type="cellIs" dxfId="259" priority="67" stopIfTrue="1" operator="lessThanOrEqual">
      <formula>0</formula>
    </cfRule>
  </conditionalFormatting>
  <conditionalFormatting sqref="I54">
    <cfRule type="cellIs" dxfId="258" priority="94" stopIfTrue="1" operator="greaterThan">
      <formula>$F$66</formula>
    </cfRule>
    <cfRule type="cellIs" dxfId="257" priority="93" stopIfTrue="1" operator="lessThanOrEqual">
      <formula>0</formula>
    </cfRule>
    <cfRule type="cellIs" dxfId="256" priority="95" stopIfTrue="1" operator="lessThanOrEqual">
      <formula>0</formula>
    </cfRule>
    <cfRule type="cellIs" dxfId="255" priority="92" stopIfTrue="1" operator="greaterThan">
      <formula>$F$68</formula>
    </cfRule>
    <cfRule type="cellIs" dxfId="254" priority="91" stopIfTrue="1" operator="lessThanOrEqual">
      <formula>0</formula>
    </cfRule>
    <cfRule type="cellIs" dxfId="253" priority="90" stopIfTrue="1" operator="greaterThan">
      <formula>$F$66</formula>
    </cfRule>
  </conditionalFormatting>
  <conditionalFormatting sqref="I55">
    <cfRule type="cellIs" dxfId="252" priority="34" stopIfTrue="1" operator="lessThanOrEqual">
      <formula>0</formula>
    </cfRule>
    <cfRule type="cellIs" dxfId="251" priority="33" stopIfTrue="1" operator="greaterThan">
      <formula>$F$70</formula>
    </cfRule>
    <cfRule type="cellIs" dxfId="250" priority="32" stopIfTrue="1" operator="lessThanOrEqual">
      <formula>0</formula>
    </cfRule>
    <cfRule type="cellIs" dxfId="249" priority="35" stopIfTrue="1" operator="greaterThan">
      <formula>$F$68</formula>
    </cfRule>
    <cfRule type="cellIs" dxfId="248" priority="31" stopIfTrue="1" operator="greaterThan">
      <formula>$F$68</formula>
    </cfRule>
    <cfRule type="cellIs" dxfId="247" priority="36" stopIfTrue="1" operator="lessThanOrEqual">
      <formula>0</formula>
    </cfRule>
  </conditionalFormatting>
  <conditionalFormatting sqref="I56:I57">
    <cfRule type="cellIs" dxfId="246" priority="106" stopIfTrue="1" operator="lessThanOrEqual">
      <formula>0</formula>
    </cfRule>
    <cfRule type="cellIs" dxfId="245" priority="107" stopIfTrue="1" operator="greaterThan">
      <formula>$F$66</formula>
    </cfRule>
    <cfRule type="cellIs" dxfId="244" priority="105" stopIfTrue="1" operator="greaterThan">
      <formula>$F$68</formula>
    </cfRule>
    <cfRule type="cellIs" dxfId="243" priority="103" stopIfTrue="1" operator="greaterThan">
      <formula>$F$66</formula>
    </cfRule>
    <cfRule type="cellIs" dxfId="242" priority="104" stopIfTrue="1" operator="lessThanOrEqual">
      <formula>0</formula>
    </cfRule>
    <cfRule type="cellIs" dxfId="241" priority="108" stopIfTrue="1" operator="lessThanOrEqual">
      <formula>0</formula>
    </cfRule>
  </conditionalFormatting>
  <conditionalFormatting sqref="I58:I59">
    <cfRule type="cellIs" dxfId="240" priority="139" stopIfTrue="1" operator="greaterThan">
      <formula>#REF!</formula>
    </cfRule>
    <cfRule type="cellIs" dxfId="239" priority="140" stopIfTrue="1" operator="lessThanOrEqual">
      <formula>0</formula>
    </cfRule>
    <cfRule type="cellIs" dxfId="238" priority="141" stopIfTrue="1" operator="greaterThan">
      <formula>#REF!</formula>
    </cfRule>
    <cfRule type="cellIs" dxfId="237" priority="142" stopIfTrue="1" operator="lessThanOrEqual">
      <formula>0</formula>
    </cfRule>
  </conditionalFormatting>
  <conditionalFormatting sqref="I60">
    <cfRule type="cellIs" dxfId="236" priority="151" stopIfTrue="1" operator="greaterThan">
      <formula>$F$34</formula>
    </cfRule>
    <cfRule type="cellIs" dxfId="235" priority="152" stopIfTrue="1" operator="lessThanOrEqual">
      <formula>0</formula>
    </cfRule>
    <cfRule type="cellIs" dxfId="234" priority="153" stopIfTrue="1" operator="greaterThan">
      <formula>$F$36</formula>
    </cfRule>
    <cfRule type="cellIs" dxfId="233" priority="155" stopIfTrue="1" operator="greaterThan">
      <formula>$F$34</formula>
    </cfRule>
    <cfRule type="cellIs" dxfId="232" priority="156" stopIfTrue="1" operator="lessThanOrEqual">
      <formula>0</formula>
    </cfRule>
    <cfRule type="cellIs" dxfId="231" priority="154" stopIfTrue="1" operator="lessThanOrEqual">
      <formula>0</formula>
    </cfRule>
  </conditionalFormatting>
  <conditionalFormatting sqref="I61:I62">
    <cfRule type="cellIs" dxfId="230" priority="127" stopIfTrue="1" operator="greaterThan">
      <formula>#REF!</formula>
    </cfRule>
    <cfRule type="cellIs" dxfId="229" priority="128" stopIfTrue="1" operator="lessThanOrEqual">
      <formula>0</formula>
    </cfRule>
    <cfRule type="cellIs" dxfId="228" priority="129" stopIfTrue="1" operator="greaterThan">
      <formula>#REF!</formula>
    </cfRule>
    <cfRule type="cellIs" dxfId="227" priority="130" stopIfTrue="1" operator="lessThanOrEqual">
      <formula>0</formula>
    </cfRule>
  </conditionalFormatting>
  <conditionalFormatting sqref="I77:I85">
    <cfRule type="cellIs" dxfId="226" priority="180" stopIfTrue="1" operator="lessThanOrEqual">
      <formula>0</formula>
    </cfRule>
    <cfRule type="cellIs" dxfId="225" priority="179" stopIfTrue="1" operator="greaterThan">
      <formula>4.5</formula>
    </cfRule>
  </conditionalFormatting>
  <conditionalFormatting sqref="I10:J21">
    <cfRule type="cellIs" dxfId="224" priority="2" operator="lessThan">
      <formula>97.9</formula>
    </cfRule>
  </conditionalFormatting>
  <conditionalFormatting sqref="J24:J26">
    <cfRule type="cellIs" dxfId="223" priority="26" operator="lessThan">
      <formula>97.95</formula>
    </cfRule>
  </conditionalFormatting>
  <conditionalFormatting sqref="J25:J28">
    <cfRule type="cellIs" dxfId="222" priority="161" operator="lessThan">
      <formula>97.4</formula>
    </cfRule>
  </conditionalFormatting>
  <conditionalFormatting sqref="J29:J30">
    <cfRule type="cellIs" dxfId="221" priority="162" operator="lessThan">
      <formula>98</formula>
    </cfRule>
  </conditionalFormatting>
  <conditionalFormatting sqref="J31:J32">
    <cfRule type="cellIs" dxfId="220" priority="164" stopIfTrue="1" operator="greaterThan">
      <formula>100</formula>
    </cfRule>
    <cfRule type="cellIs" dxfId="219" priority="163" stopIfTrue="1" operator="lessThan">
      <formula>96.8</formula>
    </cfRule>
  </conditionalFormatting>
  <conditionalFormatting sqref="J31:J33">
    <cfRule type="cellIs" dxfId="218" priority="165" operator="lessThan">
      <formula>98</formula>
    </cfRule>
  </conditionalFormatting>
  <conditionalFormatting sqref="J62">
    <cfRule type="cellIs" dxfId="217" priority="115" stopIfTrue="1" operator="greaterThan">
      <formula>#REF!</formula>
    </cfRule>
    <cfRule type="cellIs" dxfId="216" priority="116" stopIfTrue="1" operator="lessThanOrEqual">
      <formula>0</formula>
    </cfRule>
    <cfRule type="cellIs" dxfId="215" priority="118" stopIfTrue="1" operator="lessThanOrEqual">
      <formula>0</formula>
    </cfRule>
    <cfRule type="cellIs" dxfId="214" priority="119" stopIfTrue="1" operator="greaterThan">
      <formula>#REF!</formula>
    </cfRule>
    <cfRule type="cellIs" dxfId="213" priority="120" stopIfTrue="1" operator="lessThanOrEqual">
      <formula>0</formula>
    </cfRule>
    <cfRule type="cellIs" dxfId="212" priority="121" stopIfTrue="1" operator="greaterThan">
      <formula>#REF!</formula>
    </cfRule>
    <cfRule type="cellIs" dxfId="211" priority="122" stopIfTrue="1" operator="lessThanOrEqual">
      <formula>0</formula>
    </cfRule>
    <cfRule type="cellIs" dxfId="210" priority="117" stopIfTrue="1" operator="greaterThan">
      <formula>#REF!</formula>
    </cfRule>
  </conditionalFormatting>
  <conditionalFormatting sqref="J75">
    <cfRule type="cellIs" dxfId="209" priority="54" stopIfTrue="1" operator="greaterThan">
      <formula>$F75</formula>
    </cfRule>
    <cfRule type="cellIs" dxfId="208" priority="55" stopIfTrue="1" operator="lessThanOrEqual">
      <formula>0</formula>
    </cfRule>
  </conditionalFormatting>
  <conditionalFormatting sqref="K10:K21">
    <cfRule type="cellIs" dxfId="207" priority="3" operator="greaterThan">
      <formula>6</formula>
    </cfRule>
    <cfRule type="cellIs" dxfId="206" priority="5" operator="greaterThan">
      <formula>6.4</formula>
    </cfRule>
    <cfRule type="cellIs" dxfId="205" priority="4" operator="lessThan">
      <formula>4</formula>
    </cfRule>
  </conditionalFormatting>
  <conditionalFormatting sqref="K53:K62">
    <cfRule type="cellIs" dxfId="204" priority="100" stopIfTrue="1" operator="lessThan">
      <formula>100%</formula>
    </cfRule>
  </conditionalFormatting>
  <conditionalFormatting sqref="K66:K74">
    <cfRule type="cellIs" dxfId="203" priority="44" stopIfTrue="1" operator="lessThan">
      <formula>100%</formula>
    </cfRule>
  </conditionalFormatting>
  <conditionalFormatting sqref="K77:K82">
    <cfRule type="cellIs" dxfId="202" priority="185" stopIfTrue="1" operator="lessThan">
      <formula>100%</formula>
    </cfRule>
  </conditionalFormatting>
  <conditionalFormatting sqref="K84:K85">
    <cfRule type="cellIs" dxfId="201" priority="192" stopIfTrue="1" operator="lessThan">
      <formula>100%</formula>
    </cfRule>
  </conditionalFormatting>
  <conditionalFormatting sqref="L10:L21">
    <cfRule type="cellIs" dxfId="200" priority="6" operator="between">
      <formula>61</formula>
      <formula>65</formula>
    </cfRule>
    <cfRule type="cellIs" dxfId="199" priority="7" operator="greaterThan">
      <formula>65</formula>
    </cfRule>
  </conditionalFormatting>
  <conditionalFormatting sqref="L24:M35">
    <cfRule type="cellIs" dxfId="198" priority="1" operator="lessThan">
      <formula>97.95</formula>
    </cfRule>
  </conditionalFormatting>
  <conditionalFormatting sqref="L39:N39">
    <cfRule type="cellIs" dxfId="197" priority="24" operator="notEqual">
      <formula>#REF!</formula>
    </cfRule>
  </conditionalFormatting>
  <conditionalFormatting sqref="L66:N75">
    <cfRule type="cellIs" dxfId="196" priority="41" stopIfTrue="1" operator="lessThan">
      <formula>100%</formula>
    </cfRule>
  </conditionalFormatting>
  <conditionalFormatting sqref="L77:N85">
    <cfRule type="cellIs" dxfId="195" priority="170" stopIfTrue="1" operator="lessThan">
      <formula>100%</formula>
    </cfRule>
  </conditionalFormatting>
  <conditionalFormatting sqref="M21">
    <cfRule type="expression" dxfId="194" priority="20">
      <formula>IF(+(IF(M21&lt;U21,0,IF(M21&gt;V21,0,1)))=0,1)</formula>
    </cfRule>
  </conditionalFormatting>
  <conditionalFormatting sqref="M10:N18">
    <cfRule type="expression" dxfId="193" priority="23">
      <formula>IF(+(IF(M10&lt;V10,0,IF(M10&gt;W10,0,1)))=0,1)</formula>
    </cfRule>
  </conditionalFormatting>
  <conditionalFormatting sqref="N19:N21">
    <cfRule type="expression" dxfId="192" priority="10">
      <formula>IF(+(IF(N19&lt;W19,0,IF(N19&gt;X19,0,1)))=0,1)</formula>
    </cfRule>
  </conditionalFormatting>
  <conditionalFormatting sqref="P6">
    <cfRule type="cellIs" dxfId="191" priority="166" operator="greaterThanOrEqual">
      <formula>19</formula>
    </cfRule>
  </conditionalFormatting>
  <dataValidations disablePrompts="1" count="1">
    <dataValidation type="list" allowBlank="1" showInputMessage="1" showErrorMessage="1" sqref="R8" xr:uid="{09280AEC-5DAC-4D88-B1FB-35E2E0B0028E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9" max="16383" man="1"/>
  </rowBreaks>
  <colBreaks count="1" manualBreakCount="1">
    <brk id="15" max="89" man="1"/>
  </col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232D0-ABCE-4E2C-8268-2997A7A63B08}">
  <sheetPr>
    <pageSetUpPr fitToPage="1"/>
  </sheetPr>
  <dimension ref="A1:BE75"/>
  <sheetViews>
    <sheetView tabSelected="1" topLeftCell="B3" zoomScale="85" zoomScaleNormal="85" workbookViewId="0">
      <selection activeCell="I37" sqref="I3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49.57031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54" t="s">
        <v>0</v>
      </c>
      <c r="T1" s="554"/>
      <c r="U1" s="554" t="s">
        <v>1</v>
      </c>
      <c r="V1" s="554"/>
      <c r="W1" s="554" t="s">
        <v>2</v>
      </c>
      <c r="X1" s="554"/>
      <c r="Y1" s="554" t="s">
        <v>124</v>
      </c>
      <c r="Z1" s="554"/>
    </row>
    <row r="2" spans="2:29" ht="15">
      <c r="B2" s="555" t="s">
        <v>3</v>
      </c>
      <c r="C2" s="555"/>
      <c r="D2" s="555"/>
      <c r="E2" s="555"/>
      <c r="F2" s="555"/>
      <c r="G2" s="555"/>
      <c r="H2" s="555"/>
      <c r="I2" s="555"/>
      <c r="J2" s="555"/>
      <c r="K2" s="555"/>
      <c r="L2" s="555"/>
      <c r="M2" s="555"/>
      <c r="N2" s="555"/>
      <c r="O2" s="555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46311</v>
      </c>
      <c r="J4" s="397" t="s">
        <v>180</v>
      </c>
      <c r="K4" s="397"/>
      <c r="L4" s="11"/>
      <c r="M4" s="552" t="s">
        <v>8</v>
      </c>
      <c r="N4" s="553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42"/>
      <c r="D5" s="542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179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6" t="s">
        <v>17</v>
      </c>
      <c r="C8" s="517" t="s">
        <v>18</v>
      </c>
      <c r="D8" s="517" t="s">
        <v>19</v>
      </c>
      <c r="E8" s="356" t="s">
        <v>20</v>
      </c>
      <c r="F8" s="356" t="s">
        <v>21</v>
      </c>
      <c r="G8" s="517" t="s">
        <v>22</v>
      </c>
      <c r="H8" s="544" t="s">
        <v>144</v>
      </c>
      <c r="I8" s="517" t="s">
        <v>167</v>
      </c>
      <c r="J8" s="546" t="s">
        <v>23</v>
      </c>
      <c r="K8" s="548" t="s">
        <v>142</v>
      </c>
      <c r="L8" s="550" t="s">
        <v>24</v>
      </c>
      <c r="M8" s="359" t="s">
        <v>25</v>
      </c>
      <c r="N8" s="17" t="s">
        <v>166</v>
      </c>
      <c r="O8" s="517" t="s">
        <v>155</v>
      </c>
      <c r="P8" s="540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3"/>
      <c r="C9" s="541"/>
      <c r="D9" s="541"/>
      <c r="E9" s="357" t="s">
        <v>30</v>
      </c>
      <c r="F9" s="357" t="s">
        <v>31</v>
      </c>
      <c r="G9" s="541"/>
      <c r="H9" s="545"/>
      <c r="I9" s="541"/>
      <c r="J9" s="547"/>
      <c r="K9" s="549"/>
      <c r="L9" s="551"/>
      <c r="M9" s="20" t="s">
        <v>32</v>
      </c>
      <c r="N9" s="21" t="s">
        <v>41</v>
      </c>
      <c r="O9" s="541"/>
      <c r="P9" s="541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33" t="s">
        <v>9</v>
      </c>
      <c r="C10" s="366" t="str">
        <f>[3]Brewhouse!$A409</f>
        <v>ST350</v>
      </c>
      <c r="D10" s="279">
        <f>[3]Brewhouse!$AB409</f>
        <v>53.1</v>
      </c>
      <c r="E10" s="279">
        <f>[3]Brewhouse!$AG409</f>
        <v>47.6</v>
      </c>
      <c r="F10" s="278">
        <f>[3]Brewhouse!$V409</f>
        <v>55</v>
      </c>
      <c r="G10" s="279">
        <f>[3]Brewhouse!$AE409</f>
        <v>11.6</v>
      </c>
      <c r="H10" s="396">
        <v>11.9</v>
      </c>
      <c r="I10" s="368">
        <f>[3]Brewhouse!$AS409</f>
        <v>93.415950198989805</v>
      </c>
      <c r="J10" s="368">
        <f>[3]Brewhouse!$AT409</f>
        <v>93.862695123452028</v>
      </c>
      <c r="K10" s="281">
        <f>[3]Brewhouse!$Q409</f>
        <v>12.193973634651604</v>
      </c>
      <c r="L10" s="276">
        <f>[3]Brewhouse!$P409</f>
        <v>84</v>
      </c>
      <c r="M10" s="374">
        <f>[3]Brewhouse!$U409-[3]Brewhouse!$T409</f>
        <v>0.12430555555555567</v>
      </c>
      <c r="N10" s="370">
        <f>[3]Brewhouse!$AW409</f>
        <v>0.28819444444444464</v>
      </c>
      <c r="O10" s="419" t="str">
        <f>[3]Brewhouse!$AV409</f>
        <v>R.Sookram</v>
      </c>
      <c r="P10" s="417"/>
      <c r="R10" s="277" t="str">
        <f t="shared" ref="R10:R35" si="0">B10</f>
        <v>STAG</v>
      </c>
      <c r="S10" s="471">
        <f t="shared" ref="S10:S35" si="1">VLOOKUP($B10,$R$3:$X$9,2,FALSE)</f>
        <v>11.6</v>
      </c>
      <c r="T10" s="471">
        <f t="shared" ref="T10:T35" si="2">VLOOKUP($B10,$R$3:$X$9,3,FALSE)</f>
        <v>12</v>
      </c>
      <c r="U10" s="297">
        <f t="shared" ref="U10:U35" si="3">VLOOKUP($B10,$R$3:$X$9,4,FALSE)</f>
        <v>0</v>
      </c>
      <c r="V10" s="297">
        <f t="shared" ref="V10:V35" si="4">VLOOKUP($B10,$R$3:$X$9,5,FALSE)</f>
        <v>0.118055555555556</v>
      </c>
      <c r="W10" s="297">
        <f t="shared" ref="W10:W35" si="5">VLOOKUP($B10,$R$3:$X$9,6,FALSE)</f>
        <v>0.22569444444444445</v>
      </c>
      <c r="X10" s="297">
        <f t="shared" ref="X10:X35" si="6">VLOOKUP($B10,$R$3:$X$9,7,FALSE)</f>
        <v>0.2638888888888889</v>
      </c>
      <c r="Y10" s="297">
        <f t="shared" ref="Y10:Y35" si="7">VLOOKUP($B10,$R$3:$Z$9,8,FALSE)</f>
        <v>0</v>
      </c>
      <c r="Z10" s="471">
        <f t="shared" ref="Z10:Z35" si="8">VLOOKUP($B10,$R$3:$Z$9,9,FALSE)</f>
        <v>60</v>
      </c>
    </row>
    <row r="11" spans="2:29" ht="15" customHeight="1">
      <c r="B11" s="33" t="s">
        <v>9</v>
      </c>
      <c r="C11" s="366" t="str">
        <f>[3]Brewhouse!$A410</f>
        <v>ST351</v>
      </c>
      <c r="D11" s="279">
        <f>[3]Brewhouse!$AB410</f>
        <v>53</v>
      </c>
      <c r="E11" s="279">
        <f>[3]Brewhouse!$AG410</f>
        <v>48.5</v>
      </c>
      <c r="F11" s="278">
        <f>[3]Brewhouse!$V410</f>
        <v>55</v>
      </c>
      <c r="G11" s="279">
        <f>[3]Brewhouse!$AE410</f>
        <v>12</v>
      </c>
      <c r="H11" s="396">
        <v>12.2</v>
      </c>
      <c r="I11" s="368">
        <f>[3]Brewhouse!$AS410</f>
        <v>98.887369370655151</v>
      </c>
      <c r="J11" s="368">
        <f>[3]Brewhouse!$AT410</f>
        <v>99.359963682625121</v>
      </c>
      <c r="K11" s="281">
        <f>[3]Brewhouse!$Q410</f>
        <v>10.518867924528294</v>
      </c>
      <c r="L11" s="276">
        <f>[3]Brewhouse!$P410</f>
        <v>62</v>
      </c>
      <c r="M11" s="374">
        <f>[3]Brewhouse!$U410-[3]Brewhouse!$T410</f>
        <v>0.11249999999999999</v>
      </c>
      <c r="N11" s="370">
        <f>[3]Brewhouse!$AW410</f>
        <v>0.26527777777777772</v>
      </c>
      <c r="O11" s="419" t="str">
        <f>[3]Brewhouse!$AV410</f>
        <v>K. Benjamin</v>
      </c>
      <c r="P11" s="417"/>
      <c r="R11" s="277" t="str">
        <f t="shared" si="0"/>
        <v>STAG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33" t="s">
        <v>9</v>
      </c>
      <c r="C12" s="366" t="str">
        <f>[3]Brewhouse!$A411</f>
        <v>ST352</v>
      </c>
      <c r="D12" s="279">
        <f>[3]Brewhouse!$AB411</f>
        <v>53</v>
      </c>
      <c r="E12" s="279">
        <f>[3]Brewhouse!$AG411</f>
        <v>48.7</v>
      </c>
      <c r="F12" s="278">
        <f>[3]Brewhouse!$V411</f>
        <v>60</v>
      </c>
      <c r="G12" s="279">
        <f>[3]Brewhouse!$AE411</f>
        <v>11.7</v>
      </c>
      <c r="H12" s="396">
        <v>12.1</v>
      </c>
      <c r="I12" s="368">
        <f>[3]Brewhouse!$AS411</f>
        <v>96.564061891895477</v>
      </c>
      <c r="J12" s="368">
        <f>[3]Brewhouse!$AT411</f>
        <v>97.02570766418394</v>
      </c>
      <c r="K12" s="281">
        <f>[3]Brewhouse!$Q411</f>
        <v>10.141509433962264</v>
      </c>
      <c r="L12" s="276">
        <f>[3]Brewhouse!$P411</f>
        <v>60</v>
      </c>
      <c r="M12" s="374">
        <f>[3]Brewhouse!$U411-[3]Brewhouse!$T411</f>
        <v>0.13194444444444442</v>
      </c>
      <c r="N12" s="370">
        <f>[3]Brewhouse!$AW411</f>
        <v>0.29236111111111107</v>
      </c>
      <c r="O12" s="419" t="str">
        <f>[3]Brewhouse!$AV411</f>
        <v>K. Benjamin</v>
      </c>
      <c r="P12" s="417"/>
      <c r="R12" s="277" t="str">
        <f t="shared" si="0"/>
        <v>STAG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33" t="s">
        <v>9</v>
      </c>
      <c r="C13" s="366" t="str">
        <f>[3]Brewhouse!$A412</f>
        <v>ST353</v>
      </c>
      <c r="D13" s="279">
        <f>[3]Brewhouse!$AB412</f>
        <v>53</v>
      </c>
      <c r="E13" s="279">
        <f>[3]Brewhouse!$AG412</f>
        <v>49.6</v>
      </c>
      <c r="F13" s="278">
        <f>[3]Brewhouse!$V412</f>
        <v>59</v>
      </c>
      <c r="G13" s="279">
        <f>[3]Brewhouse!$AE412</f>
        <v>11.6</v>
      </c>
      <c r="H13" s="396">
        <v>11.9</v>
      </c>
      <c r="I13" s="368">
        <f>[3]Brewhouse!$AS412</f>
        <v>97.587398831026462</v>
      </c>
      <c r="J13" s="368">
        <f>[3]Brewhouse!$AT412</f>
        <v>98.053780431639396</v>
      </c>
      <c r="K13" s="281">
        <f>[3]Brewhouse!$Q412</f>
        <v>8.2547169811320753</v>
      </c>
      <c r="L13" s="276">
        <f>[3]Brewhouse!$P412</f>
        <v>62</v>
      </c>
      <c r="M13" s="374">
        <f>[3]Brewhouse!$U412-[3]Brewhouse!$T412</f>
        <v>0.1166666666666667</v>
      </c>
      <c r="N13" s="370">
        <f>[3]Brewhouse!$AW412</f>
        <v>0.30069444444444449</v>
      </c>
      <c r="O13" s="419" t="str">
        <f>[3]Brewhouse!$AV412</f>
        <v>K. Benjamin</v>
      </c>
      <c r="P13" s="417"/>
      <c r="R13" s="277" t="str">
        <f t="shared" si="0"/>
        <v>STAG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33" t="s">
        <v>9</v>
      </c>
      <c r="C14" s="366" t="str">
        <f>[3]Brewhouse!$A413</f>
        <v>ST354</v>
      </c>
      <c r="D14" s="279">
        <f>[3]Brewhouse!$AB413</f>
        <v>53</v>
      </c>
      <c r="E14" s="279">
        <f>[3]Brewhouse!$AG413</f>
        <v>49.6</v>
      </c>
      <c r="F14" s="278">
        <f>[3]Brewhouse!$V413</f>
        <v>57</v>
      </c>
      <c r="G14" s="279">
        <f>[3]Brewhouse!$AE413</f>
        <v>11.7</v>
      </c>
      <c r="H14" s="396">
        <v>11.9</v>
      </c>
      <c r="I14" s="368">
        <f>[3]Brewhouse!$AS413</f>
        <v>98.224447954469326</v>
      </c>
      <c r="J14" s="368">
        <f>[3]Brewhouse!$AT413</f>
        <v>98.694188651730215</v>
      </c>
      <c r="K14" s="281">
        <f>[3]Brewhouse!$Q413</f>
        <v>8.4433962264150964</v>
      </c>
      <c r="L14" s="276">
        <f>[3]Brewhouse!$P413</f>
        <v>61</v>
      </c>
      <c r="M14" s="374">
        <f>[3]Brewhouse!$U413-[3]Brewhouse!$T413</f>
        <v>0.11597222222222225</v>
      </c>
      <c r="N14" s="370">
        <f>[3]Brewhouse!$AW413</f>
        <v>0.30902777777777779</v>
      </c>
      <c r="O14" s="419" t="str">
        <f>[3]Brewhouse!$AV413</f>
        <v>D.Gomaz</v>
      </c>
      <c r="P14" s="417"/>
      <c r="R14" s="277" t="str">
        <f t="shared" si="0"/>
        <v>STAG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33" t="s">
        <v>9</v>
      </c>
      <c r="C15" s="366" t="str">
        <f>[3]Brewhouse!$A414</f>
        <v>ST355</v>
      </c>
      <c r="D15" s="279">
        <f>[3]Brewhouse!$AB414</f>
        <v>53</v>
      </c>
      <c r="E15" s="279">
        <f>[3]Brewhouse!$AG414</f>
        <v>49.6</v>
      </c>
      <c r="F15" s="278">
        <f>[3]Brewhouse!$V414</f>
        <v>57</v>
      </c>
      <c r="G15" s="279">
        <f>[3]Brewhouse!$AE414</f>
        <v>11.6</v>
      </c>
      <c r="H15" s="396">
        <v>11.6</v>
      </c>
      <c r="I15" s="368">
        <f>[3]Brewhouse!$AS414</f>
        <v>97.21825181855985</v>
      </c>
      <c r="J15" s="368">
        <f>[3]Brewhouse!$AT414</f>
        <v>97.683335647241762</v>
      </c>
      <c r="K15" s="281">
        <f>[3]Brewhouse!$Q414</f>
        <v>8.4433962264150964</v>
      </c>
      <c r="L15" s="276">
        <f>[3]Brewhouse!$P414</f>
        <v>60</v>
      </c>
      <c r="M15" s="374">
        <f>[3]Brewhouse!$U414-[3]Brewhouse!$T414</f>
        <v>0.11249999999999993</v>
      </c>
      <c r="N15" s="370">
        <f>[3]Brewhouse!$AW414</f>
        <v>0.31458333333333333</v>
      </c>
      <c r="O15" s="419" t="str">
        <f>[3]Brewhouse!$AV414</f>
        <v>D.Gomaz</v>
      </c>
      <c r="P15" s="417"/>
      <c r="R15" s="277" t="str">
        <f t="shared" si="0"/>
        <v>STAG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33" t="s">
        <v>9</v>
      </c>
      <c r="C16" s="366" t="str">
        <f>[3]Brewhouse!$A415</f>
        <v>ST356</v>
      </c>
      <c r="D16" s="279">
        <f>[3]Brewhouse!$AB415</f>
        <v>53</v>
      </c>
      <c r="E16" s="279">
        <f>[3]Brewhouse!$AG415</f>
        <v>50.3</v>
      </c>
      <c r="F16" s="278">
        <f>[3]Brewhouse!$V415</f>
        <v>86</v>
      </c>
      <c r="G16" s="279">
        <f>[3]Brewhouse!$AE415</f>
        <v>11.7</v>
      </c>
      <c r="H16" s="396">
        <v>11.7</v>
      </c>
      <c r="I16" s="368">
        <f>[3]Brewhouse!$AS415</f>
        <v>101.40298160624693</v>
      </c>
      <c r="J16" s="368">
        <f>[3]Brewhouse!$AT415</f>
        <v>101.88561484806584</v>
      </c>
      <c r="K16" s="281">
        <f>[3]Brewhouse!$Q415</f>
        <v>8.2547169811320753</v>
      </c>
      <c r="L16" s="276">
        <f>[3]Brewhouse!$P415</f>
        <v>58</v>
      </c>
      <c r="M16" s="374">
        <f>[3]Brewhouse!$U415-[3]Brewhouse!$T415</f>
        <v>0.13472222222222219</v>
      </c>
      <c r="N16" s="370">
        <f>[3]Brewhouse!$AW415</f>
        <v>0.32013888888888897</v>
      </c>
      <c r="O16" s="419">
        <f>[3]Brewhouse!$AV415</f>
        <v>0</v>
      </c>
      <c r="P16" s="417"/>
      <c r="R16" s="277" t="str">
        <f t="shared" si="0"/>
        <v>STAG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7" ht="15" customHeight="1" thickBot="1">
      <c r="B17" s="33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19"/>
      <c r="P17" s="417"/>
      <c r="R17" s="277">
        <f t="shared" si="0"/>
        <v>0</v>
      </c>
      <c r="S17" s="471" t="e">
        <f t="shared" si="1"/>
        <v>#N/A</v>
      </c>
      <c r="T17" s="471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1" t="e">
        <f t="shared" si="8"/>
        <v>#N/A</v>
      </c>
    </row>
    <row r="18" spans="1:27" ht="15" hidden="1" customHeight="1">
      <c r="B18" s="33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19"/>
      <c r="P18" s="417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7" ht="15" hidden="1" customHeight="1">
      <c r="B19" s="33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19"/>
      <c r="P19" s="417"/>
      <c r="R19" s="277">
        <f t="shared" si="0"/>
        <v>0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7" ht="15" hidden="1" customHeight="1">
      <c r="B20" s="33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19"/>
      <c r="P20" s="417"/>
      <c r="R20" s="277">
        <f t="shared" si="0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7" ht="15" hidden="1" customHeight="1">
      <c r="B21" s="34"/>
      <c r="C21" s="366"/>
      <c r="D21" s="279"/>
      <c r="E21" s="279"/>
      <c r="F21" s="278"/>
      <c r="G21" s="279"/>
      <c r="H21" s="396"/>
      <c r="I21" s="487"/>
      <c r="J21" s="487"/>
      <c r="K21" s="488"/>
      <c r="L21" s="276"/>
      <c r="M21" s="374"/>
      <c r="N21" s="370"/>
      <c r="O21" s="419"/>
      <c r="P21" s="417"/>
      <c r="R21" s="277">
        <f t="shared" si="0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7" ht="17.25" hidden="1" customHeight="1" thickBot="1">
      <c r="B22" s="358"/>
      <c r="C22" s="358"/>
      <c r="D22" s="358"/>
      <c r="E22" s="358"/>
      <c r="F22" s="294"/>
      <c r="G22" s="294"/>
      <c r="H22" s="348"/>
      <c r="I22" s="534"/>
      <c r="J22" s="534"/>
      <c r="K22" s="534"/>
      <c r="L22" s="534"/>
      <c r="M22" s="534"/>
      <c r="N22" s="534"/>
      <c r="O22" s="1"/>
      <c r="P22" s="12"/>
      <c r="R22" s="277">
        <f t="shared" si="0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7" ht="17.25" customHeight="1" thickBot="1">
      <c r="B23" s="482" t="s">
        <v>162</v>
      </c>
      <c r="C23" s="388"/>
      <c r="D23" s="535" t="s">
        <v>35</v>
      </c>
      <c r="E23" s="536"/>
      <c r="F23" s="294"/>
      <c r="G23" s="294"/>
      <c r="H23" s="348"/>
      <c r="I23" s="24" t="s">
        <v>17</v>
      </c>
      <c r="J23" s="25"/>
      <c r="K23" s="26" t="s">
        <v>138</v>
      </c>
      <c r="L23" s="25" t="s">
        <v>37</v>
      </c>
      <c r="M23" s="25" t="s">
        <v>38</v>
      </c>
      <c r="N23" s="27" t="s">
        <v>39</v>
      </c>
      <c r="O23" s="294"/>
      <c r="P23" s="12"/>
      <c r="R23" s="277" t="str">
        <f t="shared" si="0"/>
        <v xml:space="preserve">BRAND 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7" ht="17.25" customHeight="1">
      <c r="A24" s="28"/>
      <c r="B24" s="537" t="str">
        <f>I24</f>
        <v>CARIB</v>
      </c>
      <c r="C24" s="483">
        <f>[4]Process!D767</f>
        <v>11.8</v>
      </c>
      <c r="D24" s="522">
        <v>11.54</v>
      </c>
      <c r="E24" s="523"/>
      <c r="F24" s="294"/>
      <c r="G24" s="294"/>
      <c r="H24" s="348"/>
      <c r="I24" s="29" t="s">
        <v>6</v>
      </c>
      <c r="J24" s="323"/>
      <c r="K24" s="284">
        <f>COUNTA([4]Brewhouse!$A$789:$A$820)</f>
        <v>32</v>
      </c>
      <c r="L24" s="305">
        <f>AVERAGE([4]Brewhouse!$AU$789:$AU$820)</f>
        <v>97.19542619578651</v>
      </c>
      <c r="M24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,[4]Brewhouse!$AU$789:$AU$820)</f>
        <v>98.283559098193749</v>
      </c>
      <c r="N24" s="30">
        <v>98</v>
      </c>
      <c r="O24" s="11"/>
      <c r="P24" s="31"/>
      <c r="R24" s="277" t="str">
        <f t="shared" si="0"/>
        <v>CARIB</v>
      </c>
      <c r="S24" s="471">
        <f t="shared" si="1"/>
        <v>11.6</v>
      </c>
      <c r="T24" s="471">
        <f t="shared" si="2"/>
        <v>12</v>
      </c>
      <c r="U24" s="297">
        <f t="shared" si="3"/>
        <v>0</v>
      </c>
      <c r="V24" s="297">
        <f t="shared" si="4"/>
        <v>0.118055555555556</v>
      </c>
      <c r="W24" s="297">
        <f t="shared" si="5"/>
        <v>0.22569444444444445</v>
      </c>
      <c r="X24" s="297">
        <f t="shared" si="6"/>
        <v>0.2638888888888889</v>
      </c>
      <c r="Y24" s="297">
        <f t="shared" si="7"/>
        <v>0</v>
      </c>
      <c r="Z24" s="471">
        <f t="shared" si="8"/>
        <v>60</v>
      </c>
    </row>
    <row r="25" spans="1:27" ht="15" customHeight="1">
      <c r="A25" s="28"/>
      <c r="B25" s="538"/>
      <c r="C25" s="362">
        <f>[4]Process!D768</f>
        <v>12</v>
      </c>
      <c r="D25" s="524"/>
      <c r="E25" s="525"/>
      <c r="F25" s="294"/>
      <c r="G25" s="294"/>
      <c r="H25" s="348"/>
      <c r="I25" s="33" t="s">
        <v>9</v>
      </c>
      <c r="J25" s="323">
        <f>AVERAGE(I10:I16)</f>
        <v>97.61435166740614</v>
      </c>
      <c r="K25" s="284">
        <f>COUNTA([3]Brewhouse!$A$390:$A$415)</f>
        <v>26</v>
      </c>
      <c r="L25" s="302">
        <f>AVERAGE([3]Brewhouse!$AS$390:$AS$415)</f>
        <v>97.460830289109722</v>
      </c>
      <c r="M25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$388,[3]Brewhouse!$AS$390:$AS$415)</f>
        <v>98.261013272190567</v>
      </c>
      <c r="N25" s="30">
        <v>98</v>
      </c>
      <c r="O25" s="11"/>
      <c r="P25" s="31"/>
      <c r="R25" s="277">
        <f t="shared" si="0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7" ht="14.65" customHeight="1">
      <c r="A26" s="28"/>
      <c r="B26" s="538"/>
      <c r="C26" s="362">
        <f>[4]Process!D769</f>
        <v>11.9</v>
      </c>
      <c r="D26" s="529">
        <v>11.51</v>
      </c>
      <c r="E26" s="530"/>
      <c r="F26" s="294"/>
      <c r="G26" s="294"/>
      <c r="H26" s="348"/>
      <c r="I26" s="34" t="s">
        <v>12</v>
      </c>
      <c r="J26" s="323"/>
      <c r="K26" s="284">
        <f>COUNTA([5]Brewhouse!$A$108:$A$115)</f>
        <v>8</v>
      </c>
      <c r="L26" s="302">
        <f>AVERAGE([5]Brewhouse!$AU$108:$AU$115)</f>
        <v>97.100440951935028</v>
      </c>
      <c r="M26" s="302">
        <f>AVERAGE([5]Brewhouse!$AU$16:$AU$23,[5]Brewhouse!$AU$25:$AU$32,[5]Brewhouse!$AU$34:$AU$41,[5]Brewhouse!$AU$43:$AU$60,[5]Brewhouse!$AU$62:$AU$69,[5]Brewhouse!$AU$71:$AU$88,[5]Brewhouse!$AU$90:$AU$97,[5]Brewhouse!$AU$99:$AU$106,[5]Brewhouse!$AU$108:$AU$115)</f>
        <v>96.550711195700543</v>
      </c>
      <c r="N26" s="30">
        <v>98</v>
      </c>
      <c r="O26" s="11"/>
      <c r="P26" s="31"/>
      <c r="R26" s="277">
        <f t="shared" si="0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7" ht="14.65" customHeight="1">
      <c r="A27" s="28"/>
      <c r="B27" s="538"/>
      <c r="C27" s="362">
        <f>[4]Process!D770</f>
        <v>11.9</v>
      </c>
      <c r="D27" s="531"/>
      <c r="E27" s="525"/>
      <c r="F27" s="294"/>
      <c r="G27" s="294"/>
      <c r="H27" s="348"/>
      <c r="I27" s="22" t="s">
        <v>33</v>
      </c>
      <c r="J27" s="280"/>
      <c r="K27" s="284"/>
      <c r="L27" s="302"/>
      <c r="M27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97.566635166530773</v>
      </c>
      <c r="N27" s="30">
        <v>98</v>
      </c>
      <c r="O27" s="11"/>
      <c r="P27" s="31"/>
      <c r="R27" s="277">
        <f t="shared" si="0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7" ht="14.65" customHeight="1">
      <c r="A28" s="28"/>
      <c r="B28" s="538"/>
      <c r="C28" s="362">
        <f>[4]Process!D771</f>
        <v>11.9</v>
      </c>
      <c r="D28" s="529">
        <v>11.73</v>
      </c>
      <c r="E28" s="530"/>
      <c r="F28" s="294"/>
      <c r="G28" s="294"/>
      <c r="H28" s="348"/>
      <c r="I28" s="35" t="s">
        <v>29</v>
      </c>
      <c r="J28" s="280"/>
      <c r="K28" s="284"/>
      <c r="L28" s="302"/>
      <c r="M28" s="302"/>
      <c r="N28" s="30">
        <v>98</v>
      </c>
      <c r="O28" s="11"/>
      <c r="P28" s="31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1:27" ht="14.65" customHeight="1">
      <c r="A29" s="28"/>
      <c r="B29" s="538"/>
      <c r="C29" s="362">
        <f>[4]Process!D772</f>
        <v>11.9</v>
      </c>
      <c r="D29" s="531"/>
      <c r="E29" s="525"/>
      <c r="F29" s="416"/>
      <c r="G29" s="294"/>
      <c r="H29" s="348"/>
      <c r="I29" s="36" t="s">
        <v>15</v>
      </c>
      <c r="J29" s="323"/>
      <c r="K29" s="284"/>
      <c r="L29" s="302"/>
      <c r="M29" s="302">
        <f>AVERAGE([7]Brewhouse!$AT$4:$AT$11,[7]Brewhouse!$AT$13:$AT$16,[7]Brewhouse!$AT$18:$AT$30)</f>
        <v>93.22262799886262</v>
      </c>
      <c r="N29" s="30">
        <v>98</v>
      </c>
      <c r="O29" s="11"/>
      <c r="P29" s="31"/>
      <c r="R29" s="277">
        <f t="shared" si="0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1:27" ht="14.65" customHeight="1">
      <c r="A30" s="28"/>
      <c r="B30" s="538"/>
      <c r="C30" s="362">
        <f>[4]Process!D773</f>
        <v>11.9</v>
      </c>
      <c r="D30" s="529">
        <v>11.35</v>
      </c>
      <c r="E30" s="530"/>
      <c r="F30" s="416"/>
      <c r="G30" s="294"/>
      <c r="H30" s="348"/>
      <c r="I30" s="37" t="s">
        <v>16</v>
      </c>
      <c r="J30" s="323"/>
      <c r="K30" s="284">
        <f>COUNTA([8]Brewhouse!$A$112:$A$119)</f>
        <v>8</v>
      </c>
      <c r="L30" s="302">
        <f>AVERAGE([8]Brewhouse!$AY$112:$AY$119)</f>
        <v>96.833332758088616</v>
      </c>
      <c r="M30" s="302">
        <f>AVERAGE([8]Brewhouse!$AY$5:$AY$14,[8]Brewhouse!$AY$16:$AY$23,[8]Brewhouse!$AY$42,[8]Brewhouse!$AY$44:$AY$51,[8]Brewhouse!$AY$53:$AY$64,[8]Brewhouse!$AY$66:$AY$73,[8]Brewhouse!$AY$75:$AY$82,[8]Brewhouse!$AY$84:$AY$101,[8]Brewhouse!$AY$103:$AY$110,[8]Brewhouse!$AY$112:$AY$119)</f>
        <v>97.706699801192229</v>
      </c>
      <c r="N30" s="30">
        <v>98</v>
      </c>
      <c r="O30" s="11"/>
      <c r="P30" s="31" t="s">
        <v>41</v>
      </c>
      <c r="R30" s="277">
        <f t="shared" si="0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1:27" ht="14.65" customHeight="1">
      <c r="A31" s="28"/>
      <c r="B31" s="538"/>
      <c r="C31" s="362">
        <f>[4]Process!D774</f>
        <v>11.9</v>
      </c>
      <c r="D31" s="531"/>
      <c r="E31" s="525"/>
      <c r="F31" s="294"/>
      <c r="G31" s="294"/>
      <c r="H31" s="348"/>
      <c r="I31" s="410" t="s">
        <v>158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0"/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</row>
    <row r="32" spans="1:27" ht="14.65" customHeight="1">
      <c r="A32" s="28"/>
      <c r="B32" s="538"/>
      <c r="C32" s="362"/>
      <c r="D32" s="529">
        <v>11.46</v>
      </c>
      <c r="E32" s="530"/>
      <c r="F32" s="294"/>
      <c r="G32" s="294"/>
      <c r="H32" s="348"/>
      <c r="I32" s="409" t="s">
        <v>157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0"/>
        <v>0</v>
      </c>
      <c r="S32" s="471" t="e">
        <f t="shared" si="1"/>
        <v>#N/A</v>
      </c>
      <c r="T32" s="471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1" t="e">
        <f t="shared" si="8"/>
        <v>#N/A</v>
      </c>
      <c r="AA32" s="471"/>
    </row>
    <row r="33" spans="1:56" ht="15" customHeight="1" thickBot="1">
      <c r="A33" s="28"/>
      <c r="B33" s="538"/>
      <c r="C33" s="362"/>
      <c r="D33" s="531"/>
      <c r="E33" s="525"/>
      <c r="F33" s="294"/>
      <c r="G33" s="294"/>
      <c r="H33" s="348"/>
      <c r="I33" s="405" t="s">
        <v>156</v>
      </c>
      <c r="J33" s="327"/>
      <c r="K33" s="406"/>
      <c r="L33" s="407"/>
      <c r="M33" s="407"/>
      <c r="N33" s="408">
        <v>98</v>
      </c>
      <c r="O33" s="11"/>
      <c r="P33" s="31"/>
      <c r="R33" s="277">
        <f t="shared" si="0"/>
        <v>0</v>
      </c>
      <c r="S33" s="471" t="e">
        <f t="shared" si="1"/>
        <v>#N/A</v>
      </c>
      <c r="T33" s="471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1" t="e">
        <f t="shared" si="8"/>
        <v>#N/A</v>
      </c>
      <c r="AA33" s="471"/>
    </row>
    <row r="34" spans="1:56" ht="15" customHeight="1" thickBot="1">
      <c r="A34" s="28"/>
      <c r="B34" s="538"/>
      <c r="C34" s="349"/>
      <c r="D34" s="522"/>
      <c r="E34" s="523"/>
      <c r="F34" s="294"/>
      <c r="G34" s="294"/>
      <c r="H34" s="348"/>
      <c r="I34" s="1"/>
      <c r="J34" s="39"/>
      <c r="K34" s="403">
        <f>SUM(K24:K33)</f>
        <v>74</v>
      </c>
      <c r="L34" s="404">
        <f>((L24*K24)+(L25*K25)+(L26*K26)+(L27*K27)+(L28*K28)+(K31*L31)+(L29*K29)+(L30*K30)+(L33*K33))/(K34)</f>
        <v>97.239262371110954</v>
      </c>
      <c r="M34" s="404">
        <f>AVERAGE('[9]Jan30th-31st'!$L$42,'[10]Feb 27th-28th'!$L$45,'[11]Mar 31st'!$L$42,'[12]Apr 30th'!$L$41,'[13]May 29th '!$L$35,'[14]June 30th'!$L$32,[15]July31st!$L$36,'[16]Aug 31st'!$L$32,L34)</f>
        <v>97.890385040281316</v>
      </c>
      <c r="N34" s="40">
        <v>98</v>
      </c>
      <c r="O34" s="11"/>
      <c r="P34" s="31"/>
      <c r="R34" s="277">
        <f t="shared" si="0"/>
        <v>0</v>
      </c>
      <c r="S34" s="471" t="e">
        <f t="shared" si="1"/>
        <v>#N/A</v>
      </c>
      <c r="T34" s="471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1" t="e">
        <f t="shared" si="8"/>
        <v>#N/A</v>
      </c>
      <c r="AA34" s="471"/>
    </row>
    <row r="35" spans="1:56" ht="15.75" thickBot="1">
      <c r="B35" s="539"/>
      <c r="C35" s="350"/>
      <c r="D35" s="524"/>
      <c r="E35" s="525"/>
      <c r="F35" s="294"/>
      <c r="G35" s="42"/>
      <c r="H35" s="41"/>
      <c r="I35" s="42"/>
      <c r="J35" s="42"/>
      <c r="K35" s="351"/>
      <c r="L35" s="348"/>
      <c r="M35" s="348"/>
      <c r="N35" s="11"/>
      <c r="O35" s="294"/>
      <c r="P35" s="12"/>
      <c r="R35" s="277">
        <f t="shared" si="0"/>
        <v>0</v>
      </c>
      <c r="S35" s="471" t="e">
        <f t="shared" si="1"/>
        <v>#N/A</v>
      </c>
      <c r="T35" s="471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1" t="e">
        <f t="shared" si="8"/>
        <v>#N/A</v>
      </c>
      <c r="AA35" s="471"/>
    </row>
    <row r="36" spans="1:56" ht="15.75" thickBot="1">
      <c r="B36" s="633" t="str">
        <f>I30</f>
        <v>STARMALT</v>
      </c>
      <c r="C36" s="362">
        <f>[8]Process!D112</f>
        <v>17</v>
      </c>
      <c r="D36" s="522">
        <v>16.77</v>
      </c>
      <c r="E36" s="523"/>
      <c r="F36" s="294"/>
      <c r="G36" s="42"/>
      <c r="H36" s="41"/>
      <c r="I36" s="42"/>
      <c r="J36" s="526" t="s">
        <v>129</v>
      </c>
      <c r="K36" s="526"/>
      <c r="L36" s="294"/>
      <c r="M36" s="294"/>
      <c r="N36" s="294"/>
      <c r="O36" s="294"/>
      <c r="P36" s="12"/>
    </row>
    <row r="37" spans="1:56" ht="15.75" thickBot="1">
      <c r="B37" s="634"/>
      <c r="C37" s="362">
        <f>[8]Process!D113</f>
        <v>17.3</v>
      </c>
      <c r="D37" s="524"/>
      <c r="E37" s="525"/>
      <c r="F37" s="294"/>
      <c r="G37" s="42"/>
      <c r="H37" s="42"/>
      <c r="I37" s="42"/>
      <c r="J37" s="292" t="s">
        <v>17</v>
      </c>
      <c r="K37" s="293"/>
      <c r="L37" s="527" t="s">
        <v>136</v>
      </c>
      <c r="M37" s="527"/>
      <c r="N37" s="528"/>
      <c r="O37" s="294"/>
      <c r="P37" s="12"/>
    </row>
    <row r="38" spans="1:56" ht="15" customHeight="1" thickBot="1">
      <c r="B38" s="634"/>
      <c r="C38" s="349">
        <f>[8]Process!D114</f>
        <v>17.3</v>
      </c>
      <c r="D38" s="529">
        <v>16.82</v>
      </c>
      <c r="E38" s="530"/>
      <c r="F38" s="294"/>
      <c r="G38" s="42"/>
      <c r="H38" s="42"/>
      <c r="I38" s="42"/>
      <c r="J38" s="287" t="s">
        <v>6</v>
      </c>
      <c r="K38" s="324"/>
      <c r="L38" s="472" t="s">
        <v>37</v>
      </c>
      <c r="M38" s="473" t="s">
        <v>38</v>
      </c>
      <c r="N38" s="473" t="s">
        <v>84</v>
      </c>
      <c r="O38" s="294"/>
      <c r="P38" s="12"/>
    </row>
    <row r="39" spans="1:56" ht="15.75" customHeight="1" thickBot="1">
      <c r="B39" s="634"/>
      <c r="C39" s="349">
        <f>[8]Process!D115</f>
        <v>17.3</v>
      </c>
      <c r="D39" s="531"/>
      <c r="E39" s="525"/>
      <c r="F39" s="294"/>
      <c r="G39" s="42"/>
      <c r="H39" s="42"/>
      <c r="I39" s="42"/>
      <c r="J39" s="345" t="s">
        <v>9</v>
      </c>
      <c r="K39" s="324">
        <v>7</v>
      </c>
      <c r="L39" s="484">
        <f>AVERAGE('Oct 1st'!K52,'Oct 2nd'!K44,'Oct 5th'!K51,'Oct 6th'!K58,'Oct 7th'!K47,'Oct 8th '!K46,'Oct 9th-10th'!J57,'Oct 9th-10th'!K57,'Oct 12th'!K50,'Oct 13th '!K48,'Oct 14th'!K48,K48)</f>
        <v>6.166666666666667</v>
      </c>
      <c r="M39" s="485">
        <f>AVERAGE('[9]Jan30th-31st'!$L$47,L39,'[10]Feb 26th '!$L$39,'[11]Mar 31st'!$L$47,'[12]Apr 30th'!$L$46,'[13]May 29th '!$L$40,'[14]June 30th'!$L$39,[15]July31st!$L$41,'[16]Aug 31st'!$L$37,'[17]Sept 30th'!$L$37)</f>
        <v>6.4902008136790759</v>
      </c>
      <c r="N39" s="415">
        <v>9.1999999999999993</v>
      </c>
      <c r="O39" s="294"/>
      <c r="P39" s="12"/>
    </row>
    <row r="40" spans="1:56" ht="15" customHeight="1">
      <c r="B40" s="634"/>
      <c r="C40" s="349">
        <f>[8]Process!D116</f>
        <v>17.36</v>
      </c>
      <c r="D40" s="529">
        <v>16.8</v>
      </c>
      <c r="E40" s="530"/>
      <c r="F40" s="294"/>
      <c r="G40" s="42"/>
      <c r="H40" s="42"/>
      <c r="I40" s="42"/>
      <c r="J40" s="288" t="s">
        <v>40</v>
      </c>
      <c r="K40" s="324"/>
      <c r="L40" s="294"/>
      <c r="M40" s="294"/>
      <c r="N40" s="294"/>
      <c r="O40" s="294"/>
      <c r="P40" s="12"/>
    </row>
    <row r="41" spans="1:56" ht="15" customHeight="1">
      <c r="B41" s="634"/>
      <c r="C41" s="349">
        <f>[8]Process!D117</f>
        <v>17.399999999999999</v>
      </c>
      <c r="D41" s="531"/>
      <c r="E41" s="525"/>
      <c r="F41" s="294"/>
      <c r="G41" s="42"/>
      <c r="H41" s="42"/>
      <c r="I41" s="42"/>
      <c r="J41" s="289" t="s">
        <v>33</v>
      </c>
      <c r="K41" s="324"/>
      <c r="L41" s="294"/>
      <c r="M41" s="294"/>
      <c r="N41" s="294"/>
      <c r="O41" s="294"/>
      <c r="P41" s="12"/>
    </row>
    <row r="42" spans="1:56" ht="15">
      <c r="B42" s="634"/>
      <c r="C42" s="349">
        <f>[8]Process!D118</f>
        <v>17.399999999999999</v>
      </c>
      <c r="D42" s="529">
        <v>16.8</v>
      </c>
      <c r="E42" s="530"/>
      <c r="F42" s="294"/>
      <c r="G42" s="42"/>
      <c r="H42" s="42"/>
      <c r="I42" s="42"/>
      <c r="J42" s="290" t="s">
        <v>16</v>
      </c>
      <c r="K42" s="324"/>
      <c r="L42" s="294"/>
      <c r="M42" s="294"/>
      <c r="N42" s="294"/>
      <c r="O42" s="294"/>
      <c r="P42" s="12"/>
      <c r="BC42" s="44"/>
      <c r="BD42" s="44"/>
    </row>
    <row r="43" spans="1:56" ht="15">
      <c r="B43" s="634"/>
      <c r="C43" s="349">
        <f>[8]Process!D119</f>
        <v>17.399999999999999</v>
      </c>
      <c r="D43" s="531"/>
      <c r="E43" s="525"/>
      <c r="F43" s="294"/>
      <c r="G43" s="42"/>
      <c r="H43" s="42"/>
      <c r="I43" s="42"/>
      <c r="J43" s="291" t="s">
        <v>15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634"/>
      <c r="C44" s="349"/>
      <c r="D44" s="529"/>
      <c r="E44" s="530"/>
      <c r="F44" s="294"/>
      <c r="G44" s="42"/>
      <c r="H44" s="42"/>
      <c r="I44" s="42"/>
      <c r="J44" s="291" t="s">
        <v>149</v>
      </c>
      <c r="K44" s="324"/>
      <c r="L44" s="294"/>
      <c r="M44" s="294"/>
      <c r="N44" s="294"/>
      <c r="O44" s="294"/>
      <c r="P44" s="12"/>
      <c r="BC44" s="44"/>
      <c r="BD44" s="44"/>
    </row>
    <row r="45" spans="1:56" ht="15.75" thickBot="1">
      <c r="B45" s="635"/>
      <c r="C45" s="350"/>
      <c r="D45" s="532"/>
      <c r="E45" s="533"/>
      <c r="F45" s="294" t="s">
        <v>165</v>
      </c>
      <c r="G45" s="42"/>
      <c r="H45" s="42"/>
      <c r="I45" s="42"/>
      <c r="J45" s="291" t="s">
        <v>148</v>
      </c>
      <c r="K45" s="324"/>
      <c r="L45" s="294"/>
      <c r="M45" s="294"/>
      <c r="N45" s="294" t="s">
        <v>41</v>
      </c>
      <c r="O45" s="294"/>
      <c r="P45" s="12"/>
      <c r="BC45" s="44"/>
      <c r="BD45" s="44"/>
    </row>
    <row r="46" spans="1:56" ht="17.649999999999999" customHeight="1" thickBot="1">
      <c r="B46" s="312" t="s">
        <v>139</v>
      </c>
      <c r="C46" s="313"/>
      <c r="D46" s="512"/>
      <c r="E46" s="513"/>
      <c r="F46" s="294"/>
      <c r="J46" s="295" t="s">
        <v>134</v>
      </c>
      <c r="K46" s="324"/>
      <c r="L46" s="294"/>
      <c r="M46" s="294"/>
      <c r="N46" s="294"/>
      <c r="O46" s="294"/>
      <c r="P46" s="12"/>
      <c r="BC46" s="44"/>
      <c r="BD46" s="44"/>
    </row>
    <row r="47" spans="1:56" ht="17.649999999999999" customHeight="1">
      <c r="B47" s="363"/>
      <c r="C47" s="364"/>
      <c r="D47" s="365"/>
      <c r="E47" s="365"/>
      <c r="F47" s="294"/>
      <c r="G47" s="42"/>
      <c r="H47" s="42"/>
      <c r="I47" s="42"/>
      <c r="J47" s="295" t="s">
        <v>131</v>
      </c>
      <c r="K47" s="324"/>
      <c r="L47" s="294"/>
      <c r="M47" s="294"/>
      <c r="N47" s="294"/>
      <c r="O47" s="294"/>
      <c r="P47" s="12"/>
      <c r="BC47" s="44"/>
      <c r="BD47" s="44"/>
    </row>
    <row r="48" spans="1:56" ht="15.6" customHeight="1">
      <c r="B48" s="45"/>
      <c r="C48" s="11"/>
      <c r="D48" s="11"/>
      <c r="E48" s="46"/>
      <c r="F48" s="294"/>
      <c r="G48" s="42"/>
      <c r="H48" s="42"/>
      <c r="I48" s="42"/>
      <c r="J48" s="346" t="s">
        <v>130</v>
      </c>
      <c r="K48" s="324">
        <f>SUM(K38:K47)</f>
        <v>7</v>
      </c>
      <c r="L48" s="294"/>
      <c r="M48" s="294"/>
      <c r="N48" s="294"/>
      <c r="O48" s="294"/>
      <c r="P48" s="12"/>
    </row>
    <row r="49" spans="2:57" ht="20.25" customHeight="1">
      <c r="B49" s="15" t="s">
        <v>42</v>
      </c>
      <c r="C49" s="1" t="s">
        <v>43</v>
      </c>
      <c r="D49" s="1"/>
      <c r="E49" s="1"/>
      <c r="F49" s="294"/>
      <c r="G49" s="42"/>
      <c r="H49" s="41"/>
      <c r="I49" s="42"/>
      <c r="L49" s="42"/>
      <c r="N49" s="315"/>
      <c r="P49" s="334"/>
    </row>
    <row r="50" spans="2:57" ht="15" customHeight="1" thickBot="1"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1"/>
      <c r="O50" s="48"/>
      <c r="P50" s="49"/>
    </row>
    <row r="51" spans="2:57" ht="15" customHeight="1" thickBot="1">
      <c r="B51" s="504" t="s">
        <v>17</v>
      </c>
      <c r="C51" s="504" t="s">
        <v>44</v>
      </c>
      <c r="D51" s="515" t="s">
        <v>45</v>
      </c>
      <c r="E51" s="517" t="s">
        <v>46</v>
      </c>
      <c r="F51" s="510" t="s">
        <v>47</v>
      </c>
      <c r="G51" s="502" t="s">
        <v>48</v>
      </c>
      <c r="H51" s="504" t="s">
        <v>49</v>
      </c>
      <c r="I51" s="504" t="s">
        <v>50</v>
      </c>
      <c r="J51" s="496" t="s">
        <v>28</v>
      </c>
      <c r="K51" s="506" t="s">
        <v>51</v>
      </c>
      <c r="L51" s="508" t="s">
        <v>52</v>
      </c>
      <c r="M51" s="496" t="s">
        <v>53</v>
      </c>
      <c r="N51" s="13"/>
      <c r="O51" s="13"/>
      <c r="P51" s="50"/>
    </row>
    <row r="52" spans="2:57" ht="28.5" customHeight="1" thickTop="1" thickBot="1">
      <c r="B52" s="505"/>
      <c r="C52" s="514"/>
      <c r="D52" s="516"/>
      <c r="E52" s="518"/>
      <c r="F52" s="511"/>
      <c r="G52" s="503"/>
      <c r="H52" s="505"/>
      <c r="I52" s="505"/>
      <c r="J52" s="497"/>
      <c r="K52" s="507"/>
      <c r="L52" s="509"/>
      <c r="M52" s="497"/>
      <c r="N52" s="13"/>
      <c r="O52" s="13"/>
      <c r="P52" s="50"/>
      <c r="Q52" s="355"/>
      <c r="AB52" s="474">
        <v>43474</v>
      </c>
      <c r="AC52" s="474">
        <v>43475</v>
      </c>
      <c r="AD52" s="474">
        <v>43476</v>
      </c>
      <c r="AE52" s="474">
        <v>43477</v>
      </c>
      <c r="AF52" s="474">
        <v>43478</v>
      </c>
      <c r="AG52" s="474">
        <v>43479</v>
      </c>
      <c r="AH52" s="474">
        <v>43480</v>
      </c>
      <c r="AI52" s="474">
        <v>43481</v>
      </c>
      <c r="AJ52" s="474">
        <v>43482</v>
      </c>
      <c r="AK52" s="474">
        <v>43483</v>
      </c>
      <c r="AL52" s="474">
        <v>43484</v>
      </c>
      <c r="AM52" s="474">
        <v>43485</v>
      </c>
      <c r="AN52" s="474">
        <v>43486</v>
      </c>
      <c r="AO52" s="474">
        <v>43487</v>
      </c>
      <c r="AP52" s="474">
        <v>43488</v>
      </c>
      <c r="AQ52" s="474">
        <v>43489</v>
      </c>
      <c r="AR52" s="474">
        <v>43490</v>
      </c>
      <c r="AS52" s="474">
        <v>43491</v>
      </c>
      <c r="AT52" s="474">
        <v>43492</v>
      </c>
      <c r="AU52" s="474">
        <v>43493</v>
      </c>
      <c r="AV52" s="474">
        <v>43494</v>
      </c>
      <c r="AW52" s="474">
        <v>43495</v>
      </c>
      <c r="AX52" s="474">
        <v>43496</v>
      </c>
    </row>
    <row r="53" spans="2:57" s="54" customFormat="1" ht="36.75" customHeight="1" thickBot="1">
      <c r="B53" s="455" t="str">
        <f>I24</f>
        <v>CARIB</v>
      </c>
      <c r="C53" s="478">
        <v>46310</v>
      </c>
      <c r="D53" s="444">
        <f>[18]October_2026!$R$3</f>
        <v>402.4</v>
      </c>
      <c r="E53" s="442"/>
      <c r="F53" s="443"/>
      <c r="G53" s="443">
        <f>[18]October_2026!$R$7</f>
        <v>374.8</v>
      </c>
      <c r="H53" s="457"/>
      <c r="I53" s="457"/>
      <c r="J53" s="447" t="s">
        <v>181</v>
      </c>
      <c r="K53" s="448">
        <f>[19]October_2026!$R$18</f>
        <v>0.43836257309941523</v>
      </c>
      <c r="L53" s="456">
        <f>(((D53+E53)-G53)/(D53+E53))*100</f>
        <v>6.858846918489057</v>
      </c>
      <c r="M53" s="454" t="s">
        <v>182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[20]January_2019!L5</f>
        <v>0</v>
      </c>
      <c r="AC53" s="57">
        <f>[20]January_2019!M5</f>
        <v>0</v>
      </c>
      <c r="AD53" s="57">
        <f>[20]January_2019!N5</f>
        <v>0</v>
      </c>
      <c r="AE53" s="57">
        <f>[20]January_2019!O5</f>
        <v>0</v>
      </c>
      <c r="AF53" s="57">
        <f>[20]January_2019!P5</f>
        <v>0</v>
      </c>
      <c r="AG53" s="57">
        <f>[20]January_2019!Q5</f>
        <v>0</v>
      </c>
      <c r="AH53" s="57">
        <f>[20]January_2019!R5</f>
        <v>0</v>
      </c>
      <c r="AI53" s="57">
        <f>[20]January_2019!S5</f>
        <v>0</v>
      </c>
      <c r="AJ53" s="57">
        <f>[20]January_2019!T5</f>
        <v>0</v>
      </c>
      <c r="AK53" s="57">
        <f>[20]January_2019!U5</f>
        <v>0</v>
      </c>
      <c r="AL53" s="57">
        <f>[20]January_2019!V5</f>
        <v>0</v>
      </c>
      <c r="AM53" s="57">
        <f>[20]January_2019!W5</f>
        <v>0</v>
      </c>
      <c r="AN53" s="57">
        <f>[20]January_2019!X5</f>
        <v>0</v>
      </c>
      <c r="AO53" s="57">
        <f>[20]January_2019!Y5</f>
        <v>0</v>
      </c>
      <c r="AP53" s="57">
        <f>[20]January_2019!Z5</f>
        <v>0</v>
      </c>
      <c r="AQ53" s="57">
        <f>[20]January_2019!AA5</f>
        <v>0</v>
      </c>
      <c r="AR53" s="57">
        <f>[20]January_2019!AB5</f>
        <v>0</v>
      </c>
      <c r="AS53" s="57">
        <f>[20]January_2019!AC5</f>
        <v>0</v>
      </c>
      <c r="AT53" s="57">
        <f>[20]January_2019!AD5</f>
        <v>0</v>
      </c>
      <c r="AU53" s="57">
        <f>[20]January_2019!AE5</f>
        <v>0</v>
      </c>
      <c r="AV53" s="57">
        <f>[20]January_2019!AF5</f>
        <v>0</v>
      </c>
      <c r="AW53" s="57">
        <f>[20]January_2019!AG5</f>
        <v>0</v>
      </c>
      <c r="AX53" s="277">
        <f>[20]January_2019!AH5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4.25" customHeight="1" thickBot="1">
      <c r="B54" s="479"/>
      <c r="C54" s="478"/>
      <c r="D54" s="441"/>
      <c r="E54" s="442"/>
      <c r="F54" s="443"/>
      <c r="G54" s="444"/>
      <c r="H54" s="457"/>
      <c r="I54" s="457"/>
      <c r="J54" s="475"/>
      <c r="K54" s="448"/>
      <c r="L54" s="456"/>
      <c r="M54" s="454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[20]January_2019!L6</f>
        <v>0</v>
      </c>
      <c r="AC54" s="57">
        <f>[20]January_2019!M6</f>
        <v>0</v>
      </c>
      <c r="AD54" s="57">
        <f>[20]January_2019!N6</f>
        <v>0</v>
      </c>
      <c r="AE54" s="57">
        <f>[20]January_2019!O6</f>
        <v>0</v>
      </c>
      <c r="AF54" s="57">
        <f>[20]January_2019!P6</f>
        <v>0</v>
      </c>
      <c r="AG54" s="57">
        <f>[20]January_2019!Q6</f>
        <v>0</v>
      </c>
      <c r="AH54" s="57">
        <f>[20]January_2019!R6</f>
        <v>0</v>
      </c>
      <c r="AI54" s="57">
        <f>[20]January_2019!S6</f>
        <v>0</v>
      </c>
      <c r="AJ54" s="57">
        <f>[20]January_2019!T6</f>
        <v>0</v>
      </c>
      <c r="AK54" s="57">
        <f>[20]January_2019!U6</f>
        <v>0</v>
      </c>
      <c r="AL54" s="57">
        <f>[20]January_2019!V6</f>
        <v>0</v>
      </c>
      <c r="AM54" s="57">
        <f>[20]January_2019!W6</f>
        <v>0</v>
      </c>
      <c r="AN54" s="57">
        <f>[20]January_2019!X6</f>
        <v>0</v>
      </c>
      <c r="AO54" s="57">
        <f>[20]January_2019!Y6</f>
        <v>0</v>
      </c>
      <c r="AP54" s="57">
        <f>[20]January_2019!Z6</f>
        <v>0</v>
      </c>
      <c r="AQ54" s="57">
        <f>[20]January_2019!AA6</f>
        <v>0</v>
      </c>
      <c r="AR54" s="57">
        <f>[20]January_2019!AB6</f>
        <v>0</v>
      </c>
      <c r="AS54" s="57">
        <f>[20]January_2019!AC6</f>
        <v>0</v>
      </c>
      <c r="AT54" s="57">
        <f>[20]January_2019!AD6</f>
        <v>0</v>
      </c>
      <c r="AU54" s="57">
        <f>[20]January_2019!AE6</f>
        <v>0</v>
      </c>
      <c r="AV54" s="57">
        <f>[20]January_2019!AF6</f>
        <v>0</v>
      </c>
      <c r="AW54" s="57">
        <f>[20]January_2019!AG6</f>
        <v>0</v>
      </c>
      <c r="AX54" s="277">
        <f>[20]January_2019!AH6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37.15" customHeight="1" thickBot="1">
      <c r="B55" s="636" t="str">
        <f>B72</f>
        <v>STARMALT</v>
      </c>
      <c r="C55" s="478">
        <v>46310</v>
      </c>
      <c r="D55" s="441">
        <f>[18]October_2026!$R$55</f>
        <v>413.59999999999997</v>
      </c>
      <c r="E55" s="442"/>
      <c r="F55" s="443"/>
      <c r="G55" s="443">
        <f>[18]October_2026!$R$59</f>
        <v>410.1</v>
      </c>
      <c r="H55" s="445"/>
      <c r="I55" s="445"/>
      <c r="J55" s="447" t="s">
        <v>173</v>
      </c>
      <c r="K55" s="448">
        <f>[19]October_2026!$R$53</f>
        <v>0.71947368421052638</v>
      </c>
      <c r="L55" s="637">
        <f>(((D55+E55)-G55)/(D55+E55))*100</f>
        <v>0.84622823984524742</v>
      </c>
      <c r="M55" s="454" t="s">
        <v>171</v>
      </c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[20]January_2019!L7</f>
        <v>285.8</v>
      </c>
      <c r="AC55" s="57">
        <f>[20]January_2019!M7</f>
        <v>508.1</v>
      </c>
      <c r="AD55" s="57">
        <f>[20]January_2019!N7</f>
        <v>0</v>
      </c>
      <c r="AE55" s="57">
        <f>[20]January_2019!O7</f>
        <v>0</v>
      </c>
      <c r="AF55" s="57">
        <f>[20]January_2019!P7</f>
        <v>109.56666666666666</v>
      </c>
      <c r="AG55" s="57">
        <f>[20]January_2019!Q7</f>
        <v>297.64999999999998</v>
      </c>
      <c r="AH55" s="57">
        <f>[20]January_2019!R7</f>
        <v>122.3</v>
      </c>
      <c r="AI55" s="57">
        <f>[20]January_2019!S7</f>
        <v>0</v>
      </c>
      <c r="AJ55" s="57">
        <f>[20]January_2019!T7</f>
        <v>294.7</v>
      </c>
      <c r="AK55" s="57">
        <f>[20]January_2019!U7</f>
        <v>280.5</v>
      </c>
      <c r="AL55" s="57">
        <f>[20]January_2019!V7</f>
        <v>0</v>
      </c>
      <c r="AM55" s="57">
        <f>[20]January_2019!W7</f>
        <v>0</v>
      </c>
      <c r="AN55" s="57">
        <f>[20]January_2019!X7</f>
        <v>188.25</v>
      </c>
      <c r="AO55" s="57">
        <f>[20]January_2019!Y7</f>
        <v>295.7</v>
      </c>
      <c r="AP55" s="57">
        <f>[20]January_2019!Z7</f>
        <v>257.8</v>
      </c>
      <c r="AQ55" s="57">
        <f>[20]January_2019!AA7</f>
        <v>291.2</v>
      </c>
      <c r="AR55" s="57">
        <f>[20]January_2019!AB7</f>
        <v>187</v>
      </c>
      <c r="AS55" s="57">
        <f>[20]January_2019!AC7</f>
        <v>0</v>
      </c>
      <c r="AT55" s="57">
        <f>[20]January_2019!AD7</f>
        <v>0</v>
      </c>
      <c r="AU55" s="57">
        <f>[20]January_2019!AE7</f>
        <v>485.1</v>
      </c>
      <c r="AV55" s="57">
        <f>[20]January_2019!AF7</f>
        <v>171.55</v>
      </c>
      <c r="AW55" s="57">
        <f>[20]January_2019!AG7</f>
        <v>423.8</v>
      </c>
      <c r="AX55" s="277">
        <f>[20]January_2019!AH7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8.600000000000001" hidden="1" customHeight="1" thickBot="1">
      <c r="B56" s="477"/>
      <c r="C56" s="429"/>
      <c r="D56" s="430"/>
      <c r="E56" s="431"/>
      <c r="F56" s="432"/>
      <c r="G56" s="433"/>
      <c r="H56" s="457"/>
      <c r="I56" s="457"/>
      <c r="J56" s="450"/>
      <c r="K56" s="435"/>
      <c r="L56" s="451"/>
      <c r="M56" s="420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8.65" hidden="1" customHeight="1" thickBot="1">
      <c r="B57" s="486"/>
      <c r="C57" s="478"/>
      <c r="D57" s="441"/>
      <c r="E57" s="442"/>
      <c r="F57" s="443"/>
      <c r="G57" s="444"/>
      <c r="H57" s="457"/>
      <c r="I57" s="457"/>
      <c r="J57" s="447"/>
      <c r="K57" s="458"/>
      <c r="L57" s="456"/>
      <c r="M57" s="454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5.75" hidden="1" thickBot="1">
      <c r="B58" s="452"/>
      <c r="C58" s="429"/>
      <c r="D58" s="430"/>
      <c r="E58" s="431"/>
      <c r="F58" s="432"/>
      <c r="G58" s="433"/>
      <c r="H58" s="434"/>
      <c r="I58" s="449"/>
      <c r="J58" s="450"/>
      <c r="K58" s="435"/>
      <c r="L58" s="451"/>
      <c r="M58" s="420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0"/>
      <c r="C59" s="478"/>
      <c r="D59" s="441"/>
      <c r="E59" s="442"/>
      <c r="F59" s="443"/>
      <c r="G59" s="444"/>
      <c r="H59" s="445"/>
      <c r="I59" s="446"/>
      <c r="J59" s="447"/>
      <c r="K59" s="448"/>
      <c r="L59" s="456"/>
      <c r="M59" s="454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6.5" hidden="1" customHeight="1" thickBot="1">
      <c r="B60" s="436"/>
      <c r="C60" s="422"/>
      <c r="D60" s="423"/>
      <c r="E60" s="424"/>
      <c r="F60" s="425"/>
      <c r="G60" s="426"/>
      <c r="H60" s="427"/>
      <c r="I60" s="437"/>
      <c r="J60" s="438"/>
      <c r="K60" s="428"/>
      <c r="L60" s="439"/>
      <c r="M60" s="421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414"/>
      <c r="AC60" s="414"/>
      <c r="AD60" s="414"/>
      <c r="AE60" s="414"/>
      <c r="AF60" s="414"/>
      <c r="AG60" s="414"/>
      <c r="AH60" s="414"/>
      <c r="AI60" s="414"/>
      <c r="AJ60" s="414"/>
      <c r="AK60" s="414"/>
      <c r="AL60" s="414"/>
      <c r="AM60" s="414"/>
      <c r="AN60" s="414"/>
      <c r="AO60" s="414"/>
      <c r="AP60" s="414"/>
      <c r="AQ60" s="414"/>
      <c r="AR60" s="414"/>
      <c r="AS60" s="414"/>
      <c r="AT60" s="414"/>
      <c r="AU60" s="414"/>
      <c r="AV60" s="414"/>
      <c r="AW60" s="414"/>
    </row>
    <row r="61" spans="2:57" s="54" customFormat="1" ht="37.15" hidden="1" customHeight="1" thickBot="1">
      <c r="B61" s="455"/>
      <c r="C61" s="440"/>
      <c r="D61" s="441"/>
      <c r="E61" s="442"/>
      <c r="F61" s="443"/>
      <c r="G61" s="444"/>
      <c r="H61" s="445"/>
      <c r="I61" s="446"/>
      <c r="J61" s="447"/>
      <c r="K61" s="448"/>
      <c r="L61" s="456"/>
      <c r="M61" s="453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customHeight="1">
      <c r="B62" s="465"/>
      <c r="C62" s="429"/>
      <c r="D62" s="459"/>
      <c r="E62" s="460"/>
      <c r="F62" s="461"/>
      <c r="G62" s="459"/>
      <c r="H62" s="462"/>
      <c r="I62" s="462"/>
      <c r="J62" s="462"/>
      <c r="K62" s="463"/>
      <c r="L62" s="464"/>
      <c r="M62" s="5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ht="18" customHeight="1" thickBot="1">
      <c r="B63" s="59"/>
      <c r="C63" s="30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 t="s">
        <v>41</v>
      </c>
      <c r="O63" s="56"/>
      <c r="P63" s="60"/>
    </row>
    <row r="64" spans="2:57" ht="15.75" thickBot="1">
      <c r="B64" s="498" t="s">
        <v>55</v>
      </c>
      <c r="C64" s="499"/>
      <c r="D64" s="499"/>
      <c r="E64" s="499"/>
      <c r="F64" s="500"/>
      <c r="G64" s="498" t="s">
        <v>56</v>
      </c>
      <c r="H64" s="499"/>
      <c r="I64" s="499"/>
      <c r="J64" s="500"/>
      <c r="K64" s="498" t="s">
        <v>51</v>
      </c>
      <c r="L64" s="499"/>
      <c r="M64" s="499"/>
      <c r="N64" s="501"/>
      <c r="O64" s="56"/>
      <c r="P64" s="50"/>
    </row>
    <row r="65" spans="2:16" ht="15">
      <c r="B65" s="61" t="s">
        <v>17</v>
      </c>
      <c r="C65" s="62" t="s">
        <v>36</v>
      </c>
      <c r="D65" s="62" t="s">
        <v>37</v>
      </c>
      <c r="E65" s="62" t="s">
        <v>38</v>
      </c>
      <c r="F65" s="63" t="s">
        <v>39</v>
      </c>
      <c r="G65" s="62" t="s">
        <v>36</v>
      </c>
      <c r="H65" s="62" t="s">
        <v>37</v>
      </c>
      <c r="I65" s="62" t="s">
        <v>38</v>
      </c>
      <c r="J65" s="63" t="s">
        <v>39</v>
      </c>
      <c r="K65" s="62" t="s">
        <v>36</v>
      </c>
      <c r="L65" s="62" t="s">
        <v>37</v>
      </c>
      <c r="M65" s="62" t="s">
        <v>38</v>
      </c>
      <c r="N65" s="63" t="s">
        <v>39</v>
      </c>
      <c r="O65" s="56"/>
      <c r="P65" s="64"/>
    </row>
    <row r="66" spans="2:16" ht="15">
      <c r="B66" s="29" t="s">
        <v>6</v>
      </c>
      <c r="C66" s="65">
        <f>L53</f>
        <v>6.858846918489057</v>
      </c>
      <c r="D66" s="76">
        <v>5.1392275118696222</v>
      </c>
      <c r="E66" s="76">
        <v>6.3254052153133342</v>
      </c>
      <c r="F66" s="66">
        <v>4.8</v>
      </c>
      <c r="G66" s="65">
        <f>[18]October_2026!$R$11</f>
        <v>10.000958106780985</v>
      </c>
      <c r="H66" s="476">
        <v>6.3592167646860949</v>
      </c>
      <c r="I66" s="476">
        <v>6.5119919624520195</v>
      </c>
      <c r="J66" s="66">
        <v>4.8</v>
      </c>
      <c r="K66" s="67">
        <f>K53</f>
        <v>0.43836257309941523</v>
      </c>
      <c r="L66" s="194">
        <v>0.84962573099415206</v>
      </c>
      <c r="M66" s="194">
        <v>0.56616961200619287</v>
      </c>
      <c r="N66" s="68">
        <v>1</v>
      </c>
      <c r="O66" s="56"/>
      <c r="P66" s="69"/>
    </row>
    <row r="67" spans="2:16" ht="15">
      <c r="B67" s="33" t="s">
        <v>9</v>
      </c>
      <c r="C67" s="65"/>
      <c r="D67" s="76">
        <v>5.062325108114992</v>
      </c>
      <c r="E67" s="76">
        <v>6.0120934601385283</v>
      </c>
      <c r="F67" s="66">
        <v>4.8</v>
      </c>
      <c r="G67" s="65"/>
      <c r="H67" s="76">
        <v>5.6760230336831157</v>
      </c>
      <c r="I67" s="76">
        <v>5.9217471497494181</v>
      </c>
      <c r="J67" s="66">
        <v>4.8</v>
      </c>
      <c r="K67" s="67"/>
      <c r="L67" s="194">
        <v>0.65473684210526317</v>
      </c>
      <c r="M67" s="194">
        <v>0.68123957181115813</v>
      </c>
      <c r="N67" s="68">
        <v>1</v>
      </c>
      <c r="P67" s="69"/>
    </row>
    <row r="68" spans="2:16" ht="15">
      <c r="B68" s="34" t="s">
        <v>40</v>
      </c>
      <c r="C68" s="65"/>
      <c r="D68" s="76"/>
      <c r="E68" s="76">
        <v>10.890214570112384</v>
      </c>
      <c r="F68" s="66">
        <v>5.5</v>
      </c>
      <c r="G68" s="65"/>
      <c r="H68" s="76"/>
      <c r="I68" s="76">
        <v>11.797659278069149</v>
      </c>
      <c r="J68" s="66">
        <v>5.5</v>
      </c>
      <c r="K68" s="67"/>
      <c r="L68" s="194"/>
      <c r="M68" s="194">
        <v>0.35370190356844494</v>
      </c>
      <c r="N68" s="68">
        <v>1</v>
      </c>
      <c r="P68" s="69"/>
    </row>
    <row r="69" spans="2:16" ht="15">
      <c r="B69" s="22" t="s">
        <v>33</v>
      </c>
      <c r="C69" s="65"/>
      <c r="D69" s="76">
        <v>2.6160971335586405</v>
      </c>
      <c r="E69" s="76">
        <v>4.6053599467161712</v>
      </c>
      <c r="F69" s="66">
        <v>3.3</v>
      </c>
      <c r="G69" s="65"/>
      <c r="H69" s="76">
        <v>4.0562064167659644</v>
      </c>
      <c r="I69" s="76">
        <v>4.7835858167498584</v>
      </c>
      <c r="J69" s="66">
        <v>3.3</v>
      </c>
      <c r="K69" s="67"/>
      <c r="L69" s="194">
        <v>1.3649122807017544</v>
      </c>
      <c r="M69" s="194">
        <v>0.83244019138755987</v>
      </c>
      <c r="N69" s="68">
        <v>1</v>
      </c>
      <c r="P69" s="69"/>
    </row>
    <row r="70" spans="2:16" ht="15">
      <c r="B70" s="35" t="s">
        <v>164</v>
      </c>
      <c r="C70" s="65"/>
      <c r="D70" s="76"/>
      <c r="E70" s="76"/>
      <c r="F70" s="66">
        <v>3.3</v>
      </c>
      <c r="G70" s="282"/>
      <c r="H70" s="76"/>
      <c r="I70" s="76"/>
      <c r="J70" s="66">
        <v>3</v>
      </c>
      <c r="K70" s="67"/>
      <c r="L70" s="194"/>
      <c r="M70" s="194"/>
      <c r="N70" s="68">
        <v>1</v>
      </c>
      <c r="P70" s="69"/>
    </row>
    <row r="71" spans="2:16" ht="15">
      <c r="B71" s="36" t="s">
        <v>15</v>
      </c>
      <c r="C71" s="65"/>
      <c r="D71" s="76"/>
      <c r="E71" s="76">
        <v>6.3233965672990236</v>
      </c>
      <c r="F71" s="70">
        <v>5.5</v>
      </c>
      <c r="G71" s="65"/>
      <c r="H71" s="76"/>
      <c r="I71" s="76">
        <v>7.9667553186446929</v>
      </c>
      <c r="J71" s="66">
        <v>5.5</v>
      </c>
      <c r="K71" s="67"/>
      <c r="L71" s="194"/>
      <c r="M71" s="194">
        <v>0.5883625730994152</v>
      </c>
      <c r="N71" s="68">
        <v>1</v>
      </c>
      <c r="P71" s="69"/>
    </row>
    <row r="72" spans="2:16" ht="15">
      <c r="B72" s="37" t="s">
        <v>16</v>
      </c>
      <c r="C72" s="481">
        <f>L55</f>
        <v>0.84622823984524742</v>
      </c>
      <c r="D72" s="76">
        <v>0.84622823984524742</v>
      </c>
      <c r="E72" s="76">
        <v>3.7586797925639486</v>
      </c>
      <c r="F72" s="66">
        <v>3.3</v>
      </c>
      <c r="G72" s="282">
        <f>[18]October_2026!$R$63</f>
        <v>4.0067212349015007</v>
      </c>
      <c r="H72" s="76">
        <v>4.0067212349015007</v>
      </c>
      <c r="I72" s="76">
        <v>5.0257518320273871</v>
      </c>
      <c r="J72" s="66">
        <v>3.3</v>
      </c>
      <c r="K72" s="67">
        <f>K55</f>
        <v>0.71947368421052638</v>
      </c>
      <c r="L72" s="194">
        <v>0.71947368421052638</v>
      </c>
      <c r="M72" s="194">
        <v>0.87835004177109433</v>
      </c>
      <c r="N72" s="71">
        <v>1</v>
      </c>
      <c r="P72" s="69"/>
    </row>
    <row r="73" spans="2:16" ht="15.75" thickBot="1">
      <c r="B73" s="38" t="s">
        <v>163</v>
      </c>
      <c r="C73" s="65"/>
      <c r="D73" s="76"/>
      <c r="E73" s="76"/>
      <c r="F73" s="66">
        <v>7.5</v>
      </c>
      <c r="G73" s="282"/>
      <c r="H73" s="76"/>
      <c r="I73" s="76"/>
      <c r="J73" s="66">
        <v>7.5</v>
      </c>
      <c r="K73" s="67"/>
      <c r="L73" s="194"/>
      <c r="M73" s="194"/>
      <c r="N73" s="71">
        <v>1</v>
      </c>
      <c r="P73" s="69"/>
    </row>
    <row r="74" spans="2:16" ht="15.75" thickBot="1">
      <c r="B74" s="413" t="s">
        <v>161</v>
      </c>
      <c r="C74" s="65"/>
      <c r="D74" s="76"/>
      <c r="E74" s="76"/>
      <c r="F74" s="66">
        <v>4.8</v>
      </c>
      <c r="G74" s="282"/>
      <c r="H74" s="76"/>
      <c r="I74" s="76"/>
      <c r="J74" s="66">
        <v>4.8</v>
      </c>
      <c r="K74" s="67"/>
      <c r="L74" s="194"/>
      <c r="M74" s="194"/>
      <c r="N74" s="71">
        <v>1</v>
      </c>
      <c r="O74" s="74"/>
      <c r="P74" s="75"/>
    </row>
    <row r="75" spans="2:16" ht="15">
      <c r="D75" s="76">
        <v>4.4884175465784679</v>
      </c>
      <c r="E75" s="76">
        <v>6.2445290482673048</v>
      </c>
      <c r="F75" s="341">
        <v>5.5</v>
      </c>
      <c r="H75" s="76">
        <v>5.713113691210312</v>
      </c>
      <c r="I75" s="76">
        <v>6.5941177554311183</v>
      </c>
      <c r="J75" s="341">
        <v>5.5</v>
      </c>
      <c r="L75" s="194">
        <v>0.84929406850459488</v>
      </c>
      <c r="M75" s="194">
        <v>0.61301750438848246</v>
      </c>
      <c r="N75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2:N22"/>
    <mergeCell ref="D23:E23"/>
    <mergeCell ref="B24:B35"/>
    <mergeCell ref="D24:E25"/>
    <mergeCell ref="D26:E27"/>
    <mergeCell ref="D28:E29"/>
    <mergeCell ref="D30:E31"/>
    <mergeCell ref="D32:E33"/>
    <mergeCell ref="D34:E35"/>
    <mergeCell ref="B36:B45"/>
    <mergeCell ref="D36:E37"/>
    <mergeCell ref="J36:K36"/>
    <mergeCell ref="L37:N37"/>
    <mergeCell ref="D38:E39"/>
    <mergeCell ref="D40:E41"/>
    <mergeCell ref="D42:E43"/>
    <mergeCell ref="D44:E45"/>
    <mergeCell ref="D46:E46"/>
    <mergeCell ref="B51:B52"/>
    <mergeCell ref="C51:C52"/>
    <mergeCell ref="D51:D52"/>
    <mergeCell ref="E51:E52"/>
    <mergeCell ref="M51:M52"/>
    <mergeCell ref="B64:F64"/>
    <mergeCell ref="G64:J64"/>
    <mergeCell ref="K64:N64"/>
    <mergeCell ref="G51:G52"/>
    <mergeCell ref="H51:H52"/>
    <mergeCell ref="I51:I52"/>
    <mergeCell ref="J51:J52"/>
    <mergeCell ref="K51:K52"/>
    <mergeCell ref="L51:L52"/>
    <mergeCell ref="F51:F52"/>
  </mergeCells>
  <conditionalFormatting sqref="B46:B47">
    <cfRule type="cellIs" dxfId="190" priority="106" operator="notBetween">
      <formula>#REF!</formula>
      <formula>#REF!</formula>
    </cfRule>
  </conditionalFormatting>
  <conditionalFormatting sqref="C50">
    <cfRule type="cellIs" dxfId="189" priority="189" stopIfTrue="1" operator="greaterThan">
      <formula>100</formula>
    </cfRule>
    <cfRule type="cellIs" dxfId="188" priority="188" stopIfTrue="1" operator="lessThan">
      <formula>96</formula>
    </cfRule>
  </conditionalFormatting>
  <conditionalFormatting sqref="C66:C67">
    <cfRule type="cellIs" dxfId="187" priority="72" stopIfTrue="1" operator="lessThanOrEqual">
      <formula>0</formula>
    </cfRule>
    <cfRule type="cellIs" dxfId="186" priority="71" stopIfTrue="1" operator="greaterThan">
      <formula>$F66</formula>
    </cfRule>
    <cfRule type="cellIs" dxfId="185" priority="70" stopIfTrue="1" operator="lessThanOrEqual">
      <formula>0</formula>
    </cfRule>
    <cfRule type="cellIs" dxfId="184" priority="69" stopIfTrue="1" operator="greaterThan">
      <formula>$F66</formula>
    </cfRule>
  </conditionalFormatting>
  <conditionalFormatting sqref="C68:C70 C72:C74">
    <cfRule type="cellIs" dxfId="183" priority="78" stopIfTrue="1" operator="greaterThan">
      <formula>$F71</formula>
    </cfRule>
  </conditionalFormatting>
  <conditionalFormatting sqref="C68:C70">
    <cfRule type="cellIs" dxfId="182" priority="79" stopIfTrue="1" operator="lessThanOrEqual">
      <formula>0</formula>
    </cfRule>
  </conditionalFormatting>
  <conditionalFormatting sqref="C71">
    <cfRule type="cellIs" dxfId="181" priority="193" stopIfTrue="1" operator="lessThanOrEqual">
      <formula>0</formula>
    </cfRule>
    <cfRule type="cellIs" dxfId="180" priority="192" stopIfTrue="1" operator="greaterThan">
      <formula>$F66</formula>
    </cfRule>
    <cfRule type="cellIs" dxfId="179" priority="191" stopIfTrue="1" operator="lessThanOrEqual">
      <formula>0</formula>
    </cfRule>
    <cfRule type="cellIs" dxfId="178" priority="190" stopIfTrue="1" operator="greaterThan">
      <formula>$F66</formula>
    </cfRule>
  </conditionalFormatting>
  <conditionalFormatting sqref="C72:C74">
    <cfRule type="cellIs" dxfId="177" priority="80" stopIfTrue="1" operator="lessThanOrEqual">
      <formula>0</formula>
    </cfRule>
  </conditionalFormatting>
  <conditionalFormatting sqref="C77:C81">
    <cfRule type="cellIs" dxfId="176" priority="180" stopIfTrue="1" operator="lessThanOrEqual">
      <formula>0</formula>
    </cfRule>
  </conditionalFormatting>
  <conditionalFormatting sqref="C78:C81">
    <cfRule type="cellIs" dxfId="175" priority="179" stopIfTrue="1" operator="greaterThan">
      <formula>$F$77</formula>
    </cfRule>
  </conditionalFormatting>
  <conditionalFormatting sqref="C83">
    <cfRule type="cellIs" dxfId="174" priority="181" stopIfTrue="1" operator="greaterThan">
      <formula>$F$77</formula>
    </cfRule>
    <cfRule type="cellIs" dxfId="173" priority="182" stopIfTrue="1" operator="lessThanOrEqual">
      <formula>0</formula>
    </cfRule>
  </conditionalFormatting>
  <conditionalFormatting sqref="C71:D71">
    <cfRule type="cellIs" dxfId="172" priority="67" stopIfTrue="1" operator="greaterThan">
      <formula>$J71</formula>
    </cfRule>
    <cfRule type="cellIs" dxfId="171" priority="68" stopIfTrue="1" operator="lessThanOrEqual">
      <formula>0</formula>
    </cfRule>
  </conditionalFormatting>
  <conditionalFormatting sqref="C77:D77 D79:D85">
    <cfRule type="cellIs" dxfId="170" priority="174" stopIfTrue="1" operator="greaterThan">
      <formula>4.5</formula>
    </cfRule>
  </conditionalFormatting>
  <conditionalFormatting sqref="D46:D47">
    <cfRule type="cellIs" dxfId="169" priority="107" operator="notBetween">
      <formula>#REF!</formula>
      <formula>#REF!</formula>
    </cfRule>
  </conditionalFormatting>
  <conditionalFormatting sqref="D66:D70 D72:D73">
    <cfRule type="cellIs" dxfId="168" priority="77" stopIfTrue="1" operator="lessThanOrEqual">
      <formula>0</formula>
    </cfRule>
  </conditionalFormatting>
  <conditionalFormatting sqref="D66:D70 D72:D75">
    <cfRule type="cellIs" dxfId="167" priority="73" stopIfTrue="1" operator="lessThanOrEqual">
      <formula>0</formula>
    </cfRule>
    <cfRule type="cellIs" dxfId="166" priority="74" stopIfTrue="1" operator="greaterThan">
      <formula>$F66</formula>
    </cfRule>
  </conditionalFormatting>
  <conditionalFormatting sqref="D74:D75">
    <cfRule type="cellIs" dxfId="165" priority="75" stopIfTrue="1" operator="lessThanOrEqual">
      <formula>0</formula>
    </cfRule>
  </conditionalFormatting>
  <conditionalFormatting sqref="D75">
    <cfRule type="cellIs" dxfId="164" priority="76" stopIfTrue="1" operator="lessThanOrEqual">
      <formula>0</formula>
    </cfRule>
  </conditionalFormatting>
  <conditionalFormatting sqref="D77 D79:D85">
    <cfRule type="cellIs" dxfId="163" priority="175" stopIfTrue="1" operator="lessThanOrEqual">
      <formula>0</formula>
    </cfRule>
  </conditionalFormatting>
  <conditionalFormatting sqref="D78">
    <cfRule type="cellIs" dxfId="162" priority="167" stopIfTrue="1" operator="lessThanOrEqual">
      <formula>0</formula>
    </cfRule>
    <cfRule type="cellIs" dxfId="161" priority="166" stopIfTrue="1" operator="greaterThan">
      <formula>$F$77</formula>
    </cfRule>
  </conditionalFormatting>
  <conditionalFormatting sqref="E10:E21">
    <cfRule type="cellIs" dxfId="160" priority="10" operator="lessThan">
      <formula>48</formula>
    </cfRule>
  </conditionalFormatting>
  <conditionalFormatting sqref="E49 E50:F50">
    <cfRule type="cellIs" dxfId="159" priority="171" stopIfTrue="1" operator="greaterThan">
      <formula>100</formula>
    </cfRule>
  </conditionalFormatting>
  <conditionalFormatting sqref="E50">
    <cfRule type="cellIs" dxfId="158" priority="169" stopIfTrue="1" operator="greaterThan">
      <formula>100</formula>
    </cfRule>
    <cfRule type="cellIs" dxfId="157" priority="168" stopIfTrue="1" operator="lessThan">
      <formula>96.8</formula>
    </cfRule>
  </conditionalFormatting>
  <conditionalFormatting sqref="E66:E74">
    <cfRule type="cellIs" dxfId="156" priority="40" stopIfTrue="1" operator="lessThanOrEqual">
      <formula>0</formula>
    </cfRule>
  </conditionalFormatting>
  <conditionalFormatting sqref="E66:E75">
    <cfRule type="cellIs" dxfId="155" priority="42" stopIfTrue="1" operator="lessThanOrEqual">
      <formula>0</formula>
    </cfRule>
    <cfRule type="cellIs" dxfId="154" priority="41" stopIfTrue="1" operator="greaterThan">
      <formula>$F66</formula>
    </cfRule>
  </conditionalFormatting>
  <conditionalFormatting sqref="E75">
    <cfRule type="cellIs" dxfId="153" priority="43" stopIfTrue="1" operator="lessThanOrEqual">
      <formula>0</formula>
    </cfRule>
  </conditionalFormatting>
  <conditionalFormatting sqref="E77:E85">
    <cfRule type="cellIs" dxfId="152" priority="160" stopIfTrue="1" operator="greaterThan">
      <formula>4.5</formula>
    </cfRule>
    <cfRule type="cellIs" dxfId="151" priority="161" stopIfTrue="1" operator="lessThanOrEqual">
      <formula>0</formula>
    </cfRule>
  </conditionalFormatting>
  <conditionalFormatting sqref="E50:F50 E49">
    <cfRule type="cellIs" dxfId="150" priority="170" stopIfTrue="1" operator="lessThan">
      <formula>96.5</formula>
    </cfRule>
  </conditionalFormatting>
  <conditionalFormatting sqref="F10:F21">
    <cfRule type="cellIs" dxfId="149" priority="1" operator="greaterThan">
      <formula>60</formula>
    </cfRule>
  </conditionalFormatting>
  <conditionalFormatting sqref="F50">
    <cfRule type="cellIs" dxfId="148" priority="186" stopIfTrue="1" operator="lessThan">
      <formula>96.8</formula>
    </cfRule>
    <cfRule type="cellIs" dxfId="147" priority="187" stopIfTrue="1" operator="greaterThan">
      <formula>100</formula>
    </cfRule>
  </conditionalFormatting>
  <conditionalFormatting sqref="G21">
    <cfRule type="expression" dxfId="146" priority="15">
      <formula>IF(+(IF(G21&lt;S21,0,IF(G21&gt;T21,0,1)))=0,1)</formula>
    </cfRule>
  </conditionalFormatting>
  <conditionalFormatting sqref="G66:G69 F75">
    <cfRule type="cellIs" dxfId="145" priority="50" stopIfTrue="1" operator="lessThanOrEqual">
      <formula>0</formula>
    </cfRule>
    <cfRule type="cellIs" dxfId="144" priority="49" stopIfTrue="1" operator="greaterThan">
      <formula>$F66</formula>
    </cfRule>
  </conditionalFormatting>
  <conditionalFormatting sqref="G68:G69">
    <cfRule type="cellIs" dxfId="143" priority="36" stopIfTrue="1" operator="lessThanOrEqual">
      <formula>0</formula>
    </cfRule>
    <cfRule type="cellIs" dxfId="142" priority="35" stopIfTrue="1" operator="greaterThan">
      <formula>$F68</formula>
    </cfRule>
  </conditionalFormatting>
  <conditionalFormatting sqref="G70:G74">
    <cfRule type="cellIs" dxfId="141" priority="51" stopIfTrue="1" operator="greaterThan">
      <formula>$J70</formula>
    </cfRule>
    <cfRule type="cellIs" dxfId="140" priority="52" stopIfTrue="1" operator="lessThanOrEqual">
      <formula>0</formula>
    </cfRule>
  </conditionalFormatting>
  <conditionalFormatting sqref="G71">
    <cfRule type="cellIs" dxfId="139" priority="195" stopIfTrue="1" operator="lessThanOrEqual">
      <formula>0</formula>
    </cfRule>
    <cfRule type="cellIs" dxfId="138" priority="194" stopIfTrue="1" operator="greaterThan">
      <formula>$F66</formula>
    </cfRule>
  </conditionalFormatting>
  <conditionalFormatting sqref="G79:G84 C82 C84">
    <cfRule type="cellIs" dxfId="137" priority="183" stopIfTrue="1" operator="greaterThan">
      <formula>4.5</formula>
    </cfRule>
    <cfRule type="cellIs" dxfId="136" priority="184" stopIfTrue="1" operator="lessThanOrEqual">
      <formula>0</formula>
    </cfRule>
  </conditionalFormatting>
  <conditionalFormatting sqref="G78:H78">
    <cfRule type="cellIs" dxfId="135" priority="165" stopIfTrue="1" operator="lessThanOrEqual">
      <formula>0</formula>
    </cfRule>
    <cfRule type="cellIs" dxfId="134" priority="164" stopIfTrue="1" operator="greaterThan">
      <formula>$F$77</formula>
    </cfRule>
  </conditionalFormatting>
  <conditionalFormatting sqref="H35:H36 H49">
    <cfRule type="cellIs" dxfId="133" priority="162" stopIfTrue="1" operator="greaterThan">
      <formula>0</formula>
    </cfRule>
  </conditionalFormatting>
  <conditionalFormatting sqref="H53">
    <cfRule type="cellIs" dxfId="132" priority="63" stopIfTrue="1" operator="greaterThan">
      <formula>$F$69</formula>
    </cfRule>
    <cfRule type="cellIs" dxfId="131" priority="64" stopIfTrue="1" operator="lessThanOrEqual">
      <formula>0</formula>
    </cfRule>
    <cfRule type="cellIs" dxfId="130" priority="65" stopIfTrue="1" operator="greaterThan">
      <formula>$F$67</formula>
    </cfRule>
    <cfRule type="cellIs" dxfId="129" priority="54" stopIfTrue="1" operator="lessThanOrEqual">
      <formula>0</formula>
    </cfRule>
    <cfRule type="cellIs" dxfId="128" priority="55" stopIfTrue="1" operator="greaterThan">
      <formula>$F$66</formula>
    </cfRule>
  </conditionalFormatting>
  <conditionalFormatting sqref="H53:H54">
    <cfRule type="cellIs" dxfId="127" priority="66" stopIfTrue="1" operator="lessThanOrEqual">
      <formula>0</formula>
    </cfRule>
  </conditionalFormatting>
  <conditionalFormatting sqref="H54 H56:H57">
    <cfRule type="cellIs" dxfId="126" priority="92" stopIfTrue="1" operator="lessThanOrEqual">
      <formula>0</formula>
    </cfRule>
  </conditionalFormatting>
  <conditionalFormatting sqref="H54">
    <cfRule type="cellIs" dxfId="125" priority="81" stopIfTrue="1" operator="greaterThan">
      <formula>$F$66</formula>
    </cfRule>
    <cfRule type="cellIs" dxfId="124" priority="89" stopIfTrue="1" operator="greaterThan">
      <formula>$F$69</formula>
    </cfRule>
    <cfRule type="cellIs" dxfId="123" priority="90" stopIfTrue="1" operator="lessThanOrEqual">
      <formula>0</formula>
    </cfRule>
    <cfRule type="cellIs" dxfId="122" priority="91" stopIfTrue="1" operator="greaterThan">
      <formula>$F$67</formula>
    </cfRule>
  </conditionalFormatting>
  <conditionalFormatting sqref="H55">
    <cfRule type="cellIs" dxfId="121" priority="22" stopIfTrue="1" operator="greaterThan">
      <formula>$F$68</formula>
    </cfRule>
    <cfRule type="cellIs" dxfId="120" priority="21" stopIfTrue="1" operator="lessThanOrEqual">
      <formula>0</formula>
    </cfRule>
    <cfRule type="cellIs" dxfId="119" priority="33" stopIfTrue="1" operator="lessThanOrEqual">
      <formula>0</formula>
    </cfRule>
    <cfRule type="cellIs" dxfId="118" priority="32" stopIfTrue="1" operator="greaterThan">
      <formula>$F$69</formula>
    </cfRule>
    <cfRule type="cellIs" dxfId="117" priority="31" stopIfTrue="1" operator="lessThanOrEqual">
      <formula>0</formula>
    </cfRule>
    <cfRule type="cellIs" dxfId="116" priority="30" stopIfTrue="1" operator="greaterThan">
      <formula>$F$71</formula>
    </cfRule>
  </conditionalFormatting>
  <conditionalFormatting sqref="H56:H57">
    <cfRule type="cellIs" dxfId="115" priority="94" stopIfTrue="1" operator="greaterThan">
      <formula>$F$66</formula>
    </cfRule>
    <cfRule type="cellIs" dxfId="114" priority="103" stopIfTrue="1" operator="lessThanOrEqual">
      <formula>0</formula>
    </cfRule>
    <cfRule type="cellIs" dxfId="113" priority="105" stopIfTrue="1" operator="lessThanOrEqual">
      <formula>0</formula>
    </cfRule>
    <cfRule type="cellIs" dxfId="112" priority="104" stopIfTrue="1" operator="greaterThan">
      <formula>$F$67</formula>
    </cfRule>
    <cfRule type="cellIs" dxfId="111" priority="102" stopIfTrue="1" operator="greaterThan">
      <formula>$F$69</formula>
    </cfRule>
  </conditionalFormatting>
  <conditionalFormatting sqref="H58:H59">
    <cfRule type="cellIs" dxfId="110" priority="138" stopIfTrue="1" operator="greaterThan">
      <formula>#REF!</formula>
    </cfRule>
    <cfRule type="cellIs" dxfId="109" priority="139" stopIfTrue="1" operator="lessThanOrEqual">
      <formula>0</formula>
    </cfRule>
    <cfRule type="cellIs" dxfId="108" priority="129" stopIfTrue="1" operator="lessThanOrEqual">
      <formula>0</formula>
    </cfRule>
    <cfRule type="cellIs" dxfId="107" priority="130" stopIfTrue="1" operator="greaterThan">
      <formula>#REF!</formula>
    </cfRule>
  </conditionalFormatting>
  <conditionalFormatting sqref="H60">
    <cfRule type="cellIs" dxfId="106" priority="153" stopIfTrue="1" operator="lessThanOrEqual">
      <formula>0</formula>
    </cfRule>
    <cfRule type="cellIs" dxfId="105" priority="151" stopIfTrue="1" operator="lessThanOrEqual">
      <formula>0</formula>
    </cfRule>
    <cfRule type="cellIs" dxfId="104" priority="141" stopIfTrue="1" operator="lessThanOrEqual">
      <formula>0</formula>
    </cfRule>
    <cfRule type="cellIs" dxfId="103" priority="142" stopIfTrue="1" operator="greaterThan">
      <formula>$F$34</formula>
    </cfRule>
    <cfRule type="cellIs" dxfId="102" priority="150" stopIfTrue="1" operator="greaterThan">
      <formula>$F$37</formula>
    </cfRule>
    <cfRule type="cellIs" dxfId="101" priority="152" stopIfTrue="1" operator="greaterThan">
      <formula>$F$35</formula>
    </cfRule>
  </conditionalFormatting>
  <conditionalFormatting sqref="H61:H62">
    <cfRule type="cellIs" dxfId="100" priority="126" stopIfTrue="1" operator="greaterThan">
      <formula>#REF!</formula>
    </cfRule>
    <cfRule type="cellIs" dxfId="99" priority="127" stopIfTrue="1" operator="lessThanOrEqual">
      <formula>0</formula>
    </cfRule>
    <cfRule type="cellIs" dxfId="98" priority="117" stopIfTrue="1" operator="lessThanOrEqual">
      <formula>0</formula>
    </cfRule>
    <cfRule type="cellIs" dxfId="97" priority="118" stopIfTrue="1" operator="greaterThan">
      <formula>#REF!</formula>
    </cfRule>
  </conditionalFormatting>
  <conditionalFormatting sqref="H77 H79:H85">
    <cfRule type="cellIs" dxfId="96" priority="177" stopIfTrue="1" operator="lessThanOrEqual">
      <formula>0</formula>
    </cfRule>
    <cfRule type="cellIs" dxfId="95" priority="176" stopIfTrue="1" operator="greaterThan">
      <formula>4.5</formula>
    </cfRule>
  </conditionalFormatting>
  <conditionalFormatting sqref="H53:I53">
    <cfRule type="cellIs" dxfId="94" priority="56" stopIfTrue="1" operator="lessThanOrEqual">
      <formula>0</formula>
    </cfRule>
  </conditionalFormatting>
  <conditionalFormatting sqref="H53:I54 H56:I57">
    <cfRule type="cellIs" dxfId="93" priority="53" stopIfTrue="1" operator="greaterThan">
      <formula>$F$68</formula>
    </cfRule>
  </conditionalFormatting>
  <conditionalFormatting sqref="H54:I54">
    <cfRule type="cellIs" dxfId="92" priority="82" stopIfTrue="1" operator="lessThanOrEqual">
      <formula>0</formula>
    </cfRule>
  </conditionalFormatting>
  <conditionalFormatting sqref="H55:I55">
    <cfRule type="cellIs" dxfId="91" priority="23" stopIfTrue="1" operator="lessThanOrEqual">
      <formula>0</formula>
    </cfRule>
    <cfRule type="cellIs" dxfId="90" priority="20" stopIfTrue="1" operator="greaterThan">
      <formula>$F$70</formula>
    </cfRule>
  </conditionalFormatting>
  <conditionalFormatting sqref="H56:I57">
    <cfRule type="cellIs" dxfId="89" priority="95" stopIfTrue="1" operator="lessThanOrEqual">
      <formula>0</formula>
    </cfRule>
  </conditionalFormatting>
  <conditionalFormatting sqref="H58:I59">
    <cfRule type="cellIs" dxfId="88" priority="131" stopIfTrue="1" operator="lessThanOrEqual">
      <formula>0</formula>
    </cfRule>
    <cfRule type="cellIs" dxfId="87" priority="136" stopIfTrue="1" operator="greaterThan">
      <formula>#REF!</formula>
    </cfRule>
    <cfRule type="cellIs" dxfId="86" priority="137" stopIfTrue="1" operator="lessThanOrEqual">
      <formula>0</formula>
    </cfRule>
    <cfRule type="cellIs" dxfId="85" priority="128" stopIfTrue="1" operator="greaterThan">
      <formula>#REF!</formula>
    </cfRule>
  </conditionalFormatting>
  <conditionalFormatting sqref="H60:I60">
    <cfRule type="cellIs" dxfId="84" priority="140" stopIfTrue="1" operator="greaterThan">
      <formula>$F$36</formula>
    </cfRule>
    <cfRule type="cellIs" dxfId="83" priority="143" stopIfTrue="1" operator="lessThanOrEqual">
      <formula>0</formula>
    </cfRule>
  </conditionalFormatting>
  <conditionalFormatting sqref="H61:I62">
    <cfRule type="cellIs" dxfId="82" priority="116" stopIfTrue="1" operator="greaterThan">
      <formula>#REF!</formula>
    </cfRule>
    <cfRule type="cellIs" dxfId="81" priority="119" stopIfTrue="1" operator="lessThanOrEqual">
      <formula>0</formula>
    </cfRule>
    <cfRule type="cellIs" dxfId="80" priority="124" stopIfTrue="1" operator="greaterThan">
      <formula>#REF!</formula>
    </cfRule>
    <cfRule type="cellIs" dxfId="79" priority="125" stopIfTrue="1" operator="lessThanOrEqual">
      <formula>0</formula>
    </cfRule>
  </conditionalFormatting>
  <conditionalFormatting sqref="H66:I73">
    <cfRule type="cellIs" dxfId="78" priority="39" stopIfTrue="1" operator="lessThanOrEqual">
      <formula>0</formula>
    </cfRule>
    <cfRule type="cellIs" dxfId="77" priority="38" stopIfTrue="1" operator="greaterThan">
      <formula>$J66</formula>
    </cfRule>
  </conditionalFormatting>
  <conditionalFormatting sqref="H74:I74">
    <cfRule type="cellIs" dxfId="76" priority="46" operator="greaterThan">
      <formula>5.3</formula>
    </cfRule>
  </conditionalFormatting>
  <conditionalFormatting sqref="H75:I75">
    <cfRule type="cellIs" dxfId="75" priority="44" stopIfTrue="1" operator="greaterThan">
      <formula>$J75</formula>
    </cfRule>
    <cfRule type="cellIs" dxfId="74" priority="45" stopIfTrue="1" operator="lessThanOrEqual">
      <formula>0</formula>
    </cfRule>
  </conditionalFormatting>
  <conditionalFormatting sqref="I53">
    <cfRule type="cellIs" dxfId="73" priority="61" stopIfTrue="1" operator="greaterThan">
      <formula>$F$66</formula>
    </cfRule>
    <cfRule type="cellIs" dxfId="72" priority="62" stopIfTrue="1" operator="lessThanOrEqual">
      <formula>0</formula>
    </cfRule>
    <cfRule type="cellIs" dxfId="71" priority="58" stopIfTrue="1" operator="lessThanOrEqual">
      <formula>0</formula>
    </cfRule>
    <cfRule type="cellIs" dxfId="70" priority="59" stopIfTrue="1" operator="greaterThan">
      <formula>$F$68</formula>
    </cfRule>
    <cfRule type="cellIs" dxfId="69" priority="57" stopIfTrue="1" operator="greaterThan">
      <formula>$F$66</formula>
    </cfRule>
    <cfRule type="cellIs" dxfId="68" priority="60" stopIfTrue="1" operator="lessThanOrEqual">
      <formula>0</formula>
    </cfRule>
  </conditionalFormatting>
  <conditionalFormatting sqref="I54">
    <cfRule type="cellIs" dxfId="67" priority="83" stopIfTrue="1" operator="greaterThan">
      <formula>$F$66</formula>
    </cfRule>
    <cfRule type="cellIs" dxfId="66" priority="84" stopIfTrue="1" operator="lessThanOrEqual">
      <formula>0</formula>
    </cfRule>
    <cfRule type="cellIs" dxfId="65" priority="86" stopIfTrue="1" operator="lessThanOrEqual">
      <formula>0</formula>
    </cfRule>
    <cfRule type="cellIs" dxfId="64" priority="87" stopIfTrue="1" operator="greaterThan">
      <formula>$F$66</formula>
    </cfRule>
    <cfRule type="cellIs" dxfId="63" priority="88" stopIfTrue="1" operator="lessThanOrEqual">
      <formula>0</formula>
    </cfRule>
    <cfRule type="cellIs" dxfId="62" priority="85" stopIfTrue="1" operator="greaterThan">
      <formula>$F$68</formula>
    </cfRule>
  </conditionalFormatting>
  <conditionalFormatting sqref="I55">
    <cfRule type="cellIs" dxfId="61" priority="28" stopIfTrue="1" operator="greaterThan">
      <formula>$F$68</formula>
    </cfRule>
    <cfRule type="cellIs" dxfId="60" priority="24" stopIfTrue="1" operator="greaterThan">
      <formula>$F$68</formula>
    </cfRule>
    <cfRule type="cellIs" dxfId="59" priority="26" stopIfTrue="1" operator="greaterThan">
      <formula>$F$70</formula>
    </cfRule>
    <cfRule type="cellIs" dxfId="58" priority="25" stopIfTrue="1" operator="lessThanOrEqual">
      <formula>0</formula>
    </cfRule>
    <cfRule type="cellIs" dxfId="57" priority="29" stopIfTrue="1" operator="lessThanOrEqual">
      <formula>0</formula>
    </cfRule>
    <cfRule type="cellIs" dxfId="56" priority="27" stopIfTrue="1" operator="lessThanOrEqual">
      <formula>0</formula>
    </cfRule>
  </conditionalFormatting>
  <conditionalFormatting sqref="I56:I57">
    <cfRule type="cellIs" dxfId="55" priority="98" stopIfTrue="1" operator="greaterThan">
      <formula>$F$68</formula>
    </cfRule>
    <cfRule type="cellIs" dxfId="54" priority="99" stopIfTrue="1" operator="lessThanOrEqual">
      <formula>0</formula>
    </cfRule>
    <cfRule type="cellIs" dxfId="53" priority="100" stopIfTrue="1" operator="greaterThan">
      <formula>$F$66</formula>
    </cfRule>
    <cfRule type="cellIs" dxfId="52" priority="101" stopIfTrue="1" operator="lessThanOrEqual">
      <formula>0</formula>
    </cfRule>
    <cfRule type="cellIs" dxfId="51" priority="96" stopIfTrue="1" operator="greaterThan">
      <formula>$F$66</formula>
    </cfRule>
    <cfRule type="cellIs" dxfId="50" priority="97" stopIfTrue="1" operator="lessThanOrEqual">
      <formula>0</formula>
    </cfRule>
  </conditionalFormatting>
  <conditionalFormatting sqref="I58:I59">
    <cfRule type="cellIs" dxfId="49" priority="135" stopIfTrue="1" operator="lessThanOrEqual">
      <formula>0</formula>
    </cfRule>
    <cfRule type="cellIs" dxfId="48" priority="134" stopIfTrue="1" operator="greaterThan">
      <formula>#REF!</formula>
    </cfRule>
    <cfRule type="cellIs" dxfId="47" priority="133" stopIfTrue="1" operator="lessThanOrEqual">
      <formula>0</formula>
    </cfRule>
    <cfRule type="cellIs" dxfId="46" priority="132" stopIfTrue="1" operator="greaterThan">
      <formula>#REF!</formula>
    </cfRule>
  </conditionalFormatting>
  <conditionalFormatting sqref="I60">
    <cfRule type="cellIs" dxfId="45" priority="146" stopIfTrue="1" operator="greaterThan">
      <formula>$F$36</formula>
    </cfRule>
    <cfRule type="cellIs" dxfId="44" priority="147" stopIfTrue="1" operator="lessThanOrEqual">
      <formula>0</formula>
    </cfRule>
    <cfRule type="cellIs" dxfId="43" priority="148" stopIfTrue="1" operator="greaterThan">
      <formula>$F$34</formula>
    </cfRule>
    <cfRule type="cellIs" dxfId="42" priority="149" stopIfTrue="1" operator="lessThanOrEqual">
      <formula>0</formula>
    </cfRule>
    <cfRule type="cellIs" dxfId="41" priority="145" stopIfTrue="1" operator="lessThanOrEqual">
      <formula>0</formula>
    </cfRule>
    <cfRule type="cellIs" dxfId="40" priority="144" stopIfTrue="1" operator="greaterThan">
      <formula>$F$34</formula>
    </cfRule>
  </conditionalFormatting>
  <conditionalFormatting sqref="I61:I62">
    <cfRule type="cellIs" dxfId="39" priority="123" stopIfTrue="1" operator="lessThanOrEqual">
      <formula>0</formula>
    </cfRule>
    <cfRule type="cellIs" dxfId="38" priority="120" stopIfTrue="1" operator="greaterThan">
      <formula>#REF!</formula>
    </cfRule>
    <cfRule type="cellIs" dxfId="37" priority="121" stopIfTrue="1" operator="lessThanOrEqual">
      <formula>0</formula>
    </cfRule>
    <cfRule type="cellIs" dxfId="36" priority="122" stopIfTrue="1" operator="greaterThan">
      <formula>#REF!</formula>
    </cfRule>
  </conditionalFormatting>
  <conditionalFormatting sqref="I77:I85">
    <cfRule type="cellIs" dxfId="35" priority="173" stopIfTrue="1" operator="lessThanOrEqual">
      <formula>0</formula>
    </cfRule>
    <cfRule type="cellIs" dxfId="34" priority="172" stopIfTrue="1" operator="greaterThan">
      <formula>4.5</formula>
    </cfRule>
  </conditionalFormatting>
  <conditionalFormatting sqref="I10:J21">
    <cfRule type="cellIs" dxfId="33" priority="4" operator="lessThan">
      <formula>97.9</formula>
    </cfRule>
  </conditionalFormatting>
  <conditionalFormatting sqref="J24:J26">
    <cfRule type="cellIs" dxfId="32" priority="19" operator="lessThan">
      <formula>97.95</formula>
    </cfRule>
  </conditionalFormatting>
  <conditionalFormatting sqref="J25:J28">
    <cfRule type="cellIs" dxfId="31" priority="154" operator="lessThan">
      <formula>97.4</formula>
    </cfRule>
  </conditionalFormatting>
  <conditionalFormatting sqref="J29:J30">
    <cfRule type="cellIs" dxfId="30" priority="155" operator="lessThan">
      <formula>98</formula>
    </cfRule>
  </conditionalFormatting>
  <conditionalFormatting sqref="J31:J32">
    <cfRule type="cellIs" dxfId="29" priority="156" stopIfTrue="1" operator="lessThan">
      <formula>96.8</formula>
    </cfRule>
    <cfRule type="cellIs" dxfId="28" priority="157" stopIfTrue="1" operator="greaterThan">
      <formula>100</formula>
    </cfRule>
  </conditionalFormatting>
  <conditionalFormatting sqref="J31:J33">
    <cfRule type="cellIs" dxfId="27" priority="158" operator="lessThan">
      <formula>98</formula>
    </cfRule>
  </conditionalFormatting>
  <conditionalFormatting sqref="J62">
    <cfRule type="cellIs" dxfId="26" priority="111" stopIfTrue="1" operator="lessThanOrEqual">
      <formula>0</formula>
    </cfRule>
    <cfRule type="cellIs" dxfId="25" priority="112" stopIfTrue="1" operator="greaterThan">
      <formula>#REF!</formula>
    </cfRule>
    <cfRule type="cellIs" dxfId="24" priority="113" stopIfTrue="1" operator="lessThanOrEqual">
      <formula>0</formula>
    </cfRule>
    <cfRule type="cellIs" dxfId="23" priority="108" stopIfTrue="1" operator="greaterThan">
      <formula>#REF!</formula>
    </cfRule>
    <cfRule type="cellIs" dxfId="22" priority="109" stopIfTrue="1" operator="lessThanOrEqual">
      <formula>0</formula>
    </cfRule>
    <cfRule type="cellIs" dxfId="21" priority="110" stopIfTrue="1" operator="greaterThan">
      <formula>#REF!</formula>
    </cfRule>
    <cfRule type="cellIs" dxfId="20" priority="114" stopIfTrue="1" operator="greaterThan">
      <formula>#REF!</formula>
    </cfRule>
    <cfRule type="cellIs" dxfId="19" priority="115" stopIfTrue="1" operator="lessThanOrEqual">
      <formula>0</formula>
    </cfRule>
  </conditionalFormatting>
  <conditionalFormatting sqref="J75">
    <cfRule type="cellIs" dxfId="18" priority="48" stopIfTrue="1" operator="lessThanOrEqual">
      <formula>0</formula>
    </cfRule>
    <cfRule type="cellIs" dxfId="17" priority="47" stopIfTrue="1" operator="greaterThan">
      <formula>$F75</formula>
    </cfRule>
  </conditionalFormatting>
  <conditionalFormatting sqref="K10:K21">
    <cfRule type="cellIs" dxfId="16" priority="7" operator="greaterThan">
      <formula>6.4</formula>
    </cfRule>
    <cfRule type="cellIs" dxfId="15" priority="5" operator="greaterThan">
      <formula>6</formula>
    </cfRule>
    <cfRule type="cellIs" dxfId="14" priority="6" operator="lessThan">
      <formula>4</formula>
    </cfRule>
  </conditionalFormatting>
  <conditionalFormatting sqref="K53:K62">
    <cfRule type="cellIs" dxfId="13" priority="93" stopIfTrue="1" operator="lessThan">
      <formula>100%</formula>
    </cfRule>
  </conditionalFormatting>
  <conditionalFormatting sqref="K66:K74">
    <cfRule type="cellIs" dxfId="12" priority="37" stopIfTrue="1" operator="lessThan">
      <formula>100%</formula>
    </cfRule>
  </conditionalFormatting>
  <conditionalFormatting sqref="K77:K82">
    <cfRule type="cellIs" dxfId="11" priority="178" stopIfTrue="1" operator="lessThan">
      <formula>100%</formula>
    </cfRule>
  </conditionalFormatting>
  <conditionalFormatting sqref="K84:K85">
    <cfRule type="cellIs" dxfId="10" priority="185" stopIfTrue="1" operator="lessThan">
      <formula>100%</formula>
    </cfRule>
  </conditionalFormatting>
  <conditionalFormatting sqref="L10:L21">
    <cfRule type="cellIs" dxfId="9" priority="8" operator="between">
      <formula>61</formula>
      <formula>65</formula>
    </cfRule>
    <cfRule type="cellIs" dxfId="8" priority="9" operator="greaterThan">
      <formula>65</formula>
    </cfRule>
  </conditionalFormatting>
  <conditionalFormatting sqref="L24:M35">
    <cfRule type="cellIs" dxfId="7" priority="3" operator="lessThan">
      <formula>97.95</formula>
    </cfRule>
  </conditionalFormatting>
  <conditionalFormatting sqref="L39:N39">
    <cfRule type="cellIs" dxfId="6" priority="17" operator="notEqual">
      <formula>#REF!</formula>
    </cfRule>
  </conditionalFormatting>
  <conditionalFormatting sqref="L66:N75">
    <cfRule type="cellIs" dxfId="5" priority="34" stopIfTrue="1" operator="lessThan">
      <formula>100%</formula>
    </cfRule>
  </conditionalFormatting>
  <conditionalFormatting sqref="L77:N85">
    <cfRule type="cellIs" dxfId="4" priority="163" stopIfTrue="1" operator="lessThan">
      <formula>100%</formula>
    </cfRule>
  </conditionalFormatting>
  <conditionalFormatting sqref="M21">
    <cfRule type="expression" dxfId="3" priority="14">
      <formula>IF(+(IF(M21&lt;U21,0,IF(M21&gt;V21,0,1)))=0,1)</formula>
    </cfRule>
  </conditionalFormatting>
  <conditionalFormatting sqref="M10:N20 H10:H21">
    <cfRule type="expression" dxfId="2" priority="13">
      <formula>IF(+(IF(H10&lt;#REF!,0,IF(H10&gt;#REF!,0,1)))=0,1)</formula>
    </cfRule>
  </conditionalFormatting>
  <conditionalFormatting sqref="N10:N21">
    <cfRule type="expression" dxfId="1" priority="2">
      <formula>IF(+(IF(N10&lt;W10,0,IF(N10&gt;X10,0,1)))=0,1)</formula>
    </cfRule>
  </conditionalFormatting>
  <conditionalFormatting sqref="P6">
    <cfRule type="cellIs" dxfId="0" priority="159" operator="greaterThanOrEqual">
      <formula>19</formula>
    </cfRule>
  </conditionalFormatting>
  <dataValidations count="1">
    <dataValidation type="list" allowBlank="1" showInputMessage="1" showErrorMessage="1" sqref="R8" xr:uid="{889F9DFE-BD39-439C-BD21-4B9B6A043885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9" max="16383" man="1"/>
  </rowBreaks>
  <colBreaks count="1" manualBreakCount="1">
    <brk id="15" max="89" man="1"/>
  </col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D082-4AFA-460E-ADC3-B4C1126FF311}">
  <sheetPr codeName="Sheet18">
    <tabColor rgb="FFC00000"/>
    <pageSetUpPr fitToPage="1"/>
  </sheetPr>
  <dimension ref="B1:O73"/>
  <sheetViews>
    <sheetView showZeros="0" topLeftCell="A53" workbookViewId="0">
      <selection activeCell="J56" sqref="J56:J65"/>
    </sheetView>
  </sheetViews>
  <sheetFormatPr defaultColWidth="9.42578125" defaultRowHeight="12.75"/>
  <cols>
    <col min="1" max="1" width="9.42578125" style="78"/>
    <col min="2" max="2" width="12.5703125" style="78" customWidth="1"/>
    <col min="3" max="3" width="9.42578125" style="78" hidden="1" customWidth="1"/>
    <col min="4" max="4" width="9.5703125" style="78" customWidth="1"/>
    <col min="5" max="5" width="8.5703125" style="78" customWidth="1"/>
    <col min="6" max="6" width="14.42578125" style="78" hidden="1" customWidth="1"/>
    <col min="7" max="8" width="9.42578125" style="78" bestFit="1" customWidth="1"/>
    <col min="9" max="9" width="11.5703125" style="78" hidden="1" customWidth="1"/>
    <col min="10" max="10" width="11" style="78" bestFit="1" customWidth="1"/>
    <col min="11" max="11" width="16.42578125" style="78" customWidth="1"/>
    <col min="12" max="12" width="13.42578125" style="78" customWidth="1"/>
    <col min="13" max="16384" width="9.42578125" style="78"/>
  </cols>
  <sheetData>
    <row r="1" spans="2:14" ht="13.5" hidden="1" thickBot="1"/>
    <row r="2" spans="2:14" ht="15.75" hidden="1" thickBot="1">
      <c r="B2" s="590" t="s">
        <v>58</v>
      </c>
      <c r="C2" s="590"/>
      <c r="D2" s="590"/>
      <c r="E2" s="590"/>
      <c r="F2" s="590"/>
      <c r="G2" s="590"/>
      <c r="H2" s="590"/>
      <c r="I2" s="590"/>
      <c r="J2" s="590"/>
      <c r="K2" s="590"/>
    </row>
    <row r="3" spans="2:14" ht="15.75" hidden="1" thickBot="1">
      <c r="B3" s="79"/>
    </row>
    <row r="4" spans="2:14" ht="13.5" hidden="1" thickBot="1">
      <c r="B4" s="78" t="s">
        <v>7</v>
      </c>
      <c r="C4" s="591">
        <v>41431</v>
      </c>
      <c r="D4" s="591"/>
    </row>
    <row r="5" spans="2:14" ht="13.5" hidden="1" thickBot="1">
      <c r="C5" s="78" t="s">
        <v>41</v>
      </c>
    </row>
    <row r="6" spans="2:14" ht="15" hidden="1" thickBot="1">
      <c r="B6" s="5" t="s">
        <v>13</v>
      </c>
    </row>
    <row r="7" spans="2:14" ht="13.5" hidden="1" thickBot="1"/>
    <row r="8" spans="2:14" ht="25.5" hidden="1" customHeight="1" thickBot="1">
      <c r="B8" s="592" t="s">
        <v>17</v>
      </c>
      <c r="C8" s="594" t="s">
        <v>18</v>
      </c>
      <c r="D8" s="594" t="s">
        <v>59</v>
      </c>
      <c r="E8" s="80" t="s">
        <v>20</v>
      </c>
      <c r="F8" s="81" t="s">
        <v>21</v>
      </c>
      <c r="G8" s="594" t="s">
        <v>60</v>
      </c>
      <c r="H8" s="594" t="s">
        <v>61</v>
      </c>
      <c r="I8" s="596" t="s">
        <v>62</v>
      </c>
      <c r="J8" s="82" t="s">
        <v>25</v>
      </c>
      <c r="K8" s="598" t="s">
        <v>28</v>
      </c>
    </row>
    <row r="9" spans="2:14" ht="26.25" hidden="1" thickBot="1">
      <c r="B9" s="593"/>
      <c r="C9" s="595"/>
      <c r="D9" s="595"/>
      <c r="E9" s="83" t="s">
        <v>30</v>
      </c>
      <c r="F9" s="84" t="s">
        <v>63</v>
      </c>
      <c r="G9" s="595"/>
      <c r="H9" s="595"/>
      <c r="I9" s="597"/>
      <c r="J9" s="85" t="s">
        <v>32</v>
      </c>
      <c r="K9" s="599"/>
      <c r="L9" s="86"/>
      <c r="M9" s="86"/>
      <c r="N9" s="86"/>
    </row>
    <row r="10" spans="2:14" ht="13.5" hidden="1" thickBot="1">
      <c r="B10" s="87" t="s">
        <v>64</v>
      </c>
      <c r="C10" s="88" t="str">
        <f>[40]Brewhouse!A5359</f>
        <v>CA236</v>
      </c>
      <c r="D10" s="88">
        <f>[40]Brewhouse!B5359</f>
        <v>41437</v>
      </c>
      <c r="E10" s="89">
        <f>[40]Brewhouse!AG5359</f>
        <v>49.011000000000003</v>
      </c>
      <c r="F10" s="90">
        <f>[40]Brewhouse!T5359</f>
        <v>60</v>
      </c>
      <c r="G10" s="91">
        <f>[40]Brewhouse!I5359</f>
        <v>19.79</v>
      </c>
      <c r="H10" s="92">
        <f>[40]Brewhouse!AS5359</f>
        <v>94.981545664755075</v>
      </c>
      <c r="I10" s="92">
        <f>[40]Brewhouse!AT5359</f>
        <v>97.074072469002047</v>
      </c>
      <c r="J10" s="93">
        <f>[40]Brewhouse!S5359-[40]Brewhouse!R5359</f>
        <v>0.10694444444444451</v>
      </c>
      <c r="K10" s="94"/>
      <c r="N10" s="95"/>
    </row>
    <row r="11" spans="2:14" ht="13.5" hidden="1" thickBot="1">
      <c r="B11" s="96"/>
      <c r="C11" s="88" t="str">
        <f>[40]Brewhouse!A5360</f>
        <v>CA237</v>
      </c>
      <c r="D11" s="88">
        <f>[40]Brewhouse!B5360</f>
        <v>41437</v>
      </c>
      <c r="E11" s="89">
        <f>[40]Brewhouse!AG5360</f>
        <v>48.531999999999996</v>
      </c>
      <c r="F11" s="90">
        <f>[40]Brewhouse!T5360</f>
        <v>68</v>
      </c>
      <c r="G11" s="91">
        <f>[40]Brewhouse!I5360</f>
        <v>17.7</v>
      </c>
      <c r="H11" s="92">
        <f>[40]Brewhouse!AS5360</f>
        <v>94.053260986347809</v>
      </c>
      <c r="I11" s="92">
        <f>[40]Brewhouse!AT5360</f>
        <v>96.1253368644918</v>
      </c>
      <c r="J11" s="93">
        <f>[40]Brewhouse!S5360-[40]Brewhouse!R5360</f>
        <v>0.10972222222222217</v>
      </c>
      <c r="K11" s="94"/>
      <c r="M11" s="97"/>
      <c r="N11" s="95"/>
    </row>
    <row r="12" spans="2:14" ht="12.75" hidden="1" customHeight="1" thickBot="1">
      <c r="B12" s="87"/>
      <c r="C12" s="88" t="str">
        <f>[40]Brewhouse!A5361</f>
        <v>CA238</v>
      </c>
      <c r="D12" s="88">
        <f>[40]Brewhouse!B5361</f>
        <v>41437</v>
      </c>
      <c r="E12" s="89">
        <f>[40]Brewhouse!AG5361</f>
        <v>50.466999999999999</v>
      </c>
      <c r="F12" s="90">
        <f>[40]Brewhouse!T5361</f>
        <v>61</v>
      </c>
      <c r="G12" s="91">
        <f>[40]Brewhouse!I5361</f>
        <v>19.7</v>
      </c>
      <c r="H12" s="92">
        <f>[40]Brewhouse!AS5361</f>
        <v>96.931393272913695</v>
      </c>
      <c r="I12" s="92">
        <f>[40]Brewhouse!AT5361</f>
        <v>99.066876931102286</v>
      </c>
      <c r="J12" s="93">
        <f>[40]Brewhouse!S5361-[40]Brewhouse!R5361</f>
        <v>0.10208333333333341</v>
      </c>
      <c r="K12" s="98"/>
    </row>
    <row r="13" spans="2:14" ht="13.5" hidden="1" thickBot="1">
      <c r="B13" s="99"/>
      <c r="C13" s="88" t="str">
        <f>[40]Brewhouse!A5362</f>
        <v>CA239</v>
      </c>
      <c r="D13" s="88">
        <f>[40]Brewhouse!B5362</f>
        <v>41437</v>
      </c>
      <c r="E13" s="89">
        <f>[40]Brewhouse!AG5362</f>
        <v>49.374000000000002</v>
      </c>
      <c r="F13" s="90">
        <f>[40]Brewhouse!T5362</f>
        <v>62</v>
      </c>
      <c r="G13" s="91">
        <f>[40]Brewhouse!I5362</f>
        <v>19</v>
      </c>
      <c r="H13" s="92">
        <f>[40]Brewhouse!AS5362</f>
        <v>95.68502653795305</v>
      </c>
      <c r="I13" s="92">
        <f>[40]Brewhouse!AT5362</f>
        <v>97.793051643192499</v>
      </c>
      <c r="J13" s="93">
        <f>[40]Brewhouse!S5362-[40]Brewhouse!R5362</f>
        <v>0.10416666666666663</v>
      </c>
      <c r="K13" s="98"/>
      <c r="M13" s="100"/>
    </row>
    <row r="14" spans="2:14" ht="13.5" hidden="1" thickBot="1">
      <c r="B14" s="101"/>
      <c r="C14" s="88"/>
      <c r="D14" s="88"/>
      <c r="E14" s="89"/>
      <c r="F14" s="90"/>
      <c r="G14" s="91"/>
      <c r="H14" s="92"/>
      <c r="I14" s="92"/>
      <c r="J14" s="93"/>
      <c r="K14" s="98"/>
    </row>
    <row r="15" spans="2:14" ht="12.75" hidden="1" customHeight="1" thickBot="1">
      <c r="B15" s="99"/>
      <c r="C15" s="88"/>
      <c r="D15" s="88"/>
      <c r="E15" s="89"/>
      <c r="F15" s="90"/>
      <c r="G15" s="91"/>
      <c r="H15" s="92"/>
      <c r="I15" s="92"/>
      <c r="J15" s="93"/>
      <c r="K15" s="98"/>
    </row>
    <row r="16" spans="2:14" ht="13.5" hidden="1" thickBot="1">
      <c r="B16" s="102"/>
      <c r="C16" s="88"/>
      <c r="D16" s="88"/>
      <c r="E16" s="89"/>
      <c r="F16" s="90"/>
      <c r="G16" s="91"/>
      <c r="H16" s="92"/>
      <c r="I16" s="92"/>
      <c r="J16" s="93"/>
      <c r="K16" s="98"/>
      <c r="L16" s="78" t="s">
        <v>65</v>
      </c>
    </row>
    <row r="17" spans="2:11" ht="13.5" hidden="1" thickBot="1">
      <c r="B17" s="99"/>
      <c r="C17" s="88"/>
      <c r="D17" s="103"/>
      <c r="E17" s="92"/>
      <c r="F17" s="90"/>
      <c r="G17" s="91"/>
      <c r="H17" s="104"/>
      <c r="I17" s="105"/>
      <c r="J17" s="93"/>
      <c r="K17" s="106"/>
    </row>
    <row r="18" spans="2:11" ht="13.5" hidden="1" thickBot="1">
      <c r="B18" s="99"/>
      <c r="C18" s="88"/>
      <c r="D18" s="103"/>
      <c r="E18" s="92"/>
      <c r="F18" s="90"/>
      <c r="G18" s="91"/>
      <c r="H18" s="104"/>
      <c r="I18" s="105"/>
      <c r="J18" s="93"/>
      <c r="K18" s="106"/>
    </row>
    <row r="19" spans="2:11" ht="13.5" hidden="1" thickBot="1">
      <c r="B19" s="107"/>
      <c r="C19" s="108"/>
      <c r="D19" s="109"/>
      <c r="E19" s="110"/>
      <c r="F19" s="111"/>
      <c r="G19" s="112"/>
      <c r="H19" s="113"/>
      <c r="I19" s="114"/>
      <c r="J19" s="115"/>
      <c r="K19" s="116"/>
    </row>
    <row r="20" spans="2:11" ht="14.25" hidden="1" thickTop="1" thickBot="1">
      <c r="C20" s="117"/>
      <c r="D20" s="118"/>
      <c r="E20" s="119"/>
      <c r="F20" s="97"/>
      <c r="G20" s="120"/>
      <c r="H20" s="97"/>
      <c r="I20" s="121">
        <f>AVERAGE(I10:I13)</f>
        <v>97.514834476947158</v>
      </c>
      <c r="J20" s="97"/>
      <c r="K20" s="122"/>
    </row>
    <row r="21" spans="2:11" ht="13.5" hidden="1" thickBot="1">
      <c r="B21" s="86" t="s">
        <v>66</v>
      </c>
      <c r="C21" s="118"/>
      <c r="D21" s="123" t="s">
        <v>67</v>
      </c>
      <c r="E21" s="124" t="s">
        <v>68</v>
      </c>
      <c r="F21" s="600" t="s">
        <v>69</v>
      </c>
      <c r="G21" s="601"/>
      <c r="H21" s="337"/>
      <c r="I21" s="125"/>
      <c r="J21" s="97"/>
      <c r="K21" s="126" t="s">
        <v>24</v>
      </c>
    </row>
    <row r="22" spans="2:11" ht="13.5" hidden="1" thickBot="1">
      <c r="B22" s="117"/>
      <c r="C22" s="118"/>
      <c r="D22" s="127"/>
      <c r="E22" s="92"/>
      <c r="F22" s="128" t="s">
        <v>70</v>
      </c>
      <c r="G22" s="129" t="s">
        <v>71</v>
      </c>
      <c r="H22" s="338"/>
      <c r="I22" s="117"/>
      <c r="J22" s="97"/>
      <c r="K22" s="130"/>
    </row>
    <row r="23" spans="2:11" ht="15.75" hidden="1" thickBot="1">
      <c r="B23" s="117"/>
      <c r="C23" s="118"/>
      <c r="D23" s="131"/>
      <c r="E23" s="88" t="str">
        <f>C10</f>
        <v>CA236</v>
      </c>
      <c r="F23" s="132"/>
      <c r="G23" s="133"/>
      <c r="H23" s="136"/>
      <c r="I23" s="134"/>
      <c r="J23" s="97"/>
      <c r="K23" s="135">
        <f>[40]Brewhouse!N5359</f>
        <v>60</v>
      </c>
    </row>
    <row r="24" spans="2:11" ht="15.75" hidden="1" thickBot="1">
      <c r="B24" s="117"/>
      <c r="C24" s="118"/>
      <c r="D24" s="131"/>
      <c r="E24" s="88" t="str">
        <f>C11</f>
        <v>CA237</v>
      </c>
      <c r="F24" s="132"/>
      <c r="G24" s="133"/>
      <c r="H24" s="136"/>
      <c r="I24" s="134"/>
      <c r="J24" s="97"/>
      <c r="K24" s="135">
        <f>[40]Brewhouse!N5360</f>
        <v>60</v>
      </c>
    </row>
    <row r="25" spans="2:11" ht="15.75" hidden="1" thickBot="1">
      <c r="B25" s="117"/>
      <c r="C25" s="118"/>
      <c r="D25" s="131"/>
      <c r="E25" s="88" t="str">
        <f>C12</f>
        <v>CA238</v>
      </c>
      <c r="F25" s="132"/>
      <c r="G25" s="133"/>
      <c r="H25" s="136"/>
      <c r="I25" s="134"/>
      <c r="J25" s="97"/>
      <c r="K25" s="135">
        <f>[40]Brewhouse!N5361</f>
        <v>60</v>
      </c>
    </row>
    <row r="26" spans="2:11" ht="15.75" hidden="1" thickBot="1">
      <c r="B26" s="117"/>
      <c r="C26" s="118"/>
      <c r="D26" s="131"/>
      <c r="E26" s="88" t="str">
        <f>C13</f>
        <v>CA239</v>
      </c>
      <c r="F26" s="132"/>
      <c r="G26" s="133"/>
      <c r="H26" s="136"/>
      <c r="I26" s="134"/>
      <c r="J26" s="97"/>
      <c r="K26" s="135">
        <f>[40]Brewhouse!N5362</f>
        <v>60</v>
      </c>
    </row>
    <row r="27" spans="2:11" ht="15.75" hidden="1" thickBot="1">
      <c r="B27" s="117"/>
      <c r="C27" s="118"/>
      <c r="D27" s="131"/>
      <c r="E27" s="88">
        <f>C14</f>
        <v>0</v>
      </c>
      <c r="F27" s="132"/>
      <c r="G27" s="133"/>
      <c r="H27" s="136"/>
      <c r="I27" s="134"/>
      <c r="J27" s="97"/>
      <c r="K27" s="135"/>
    </row>
    <row r="28" spans="2:11" ht="15.75" hidden="1" thickBot="1">
      <c r="B28" s="117"/>
      <c r="C28" s="118"/>
      <c r="D28" s="131"/>
      <c r="E28" s="88"/>
      <c r="F28" s="132"/>
      <c r="G28" s="133"/>
      <c r="H28" s="136"/>
      <c r="I28" s="134"/>
      <c r="J28" s="97"/>
      <c r="K28" s="135"/>
    </row>
    <row r="29" spans="2:11" ht="15.75" hidden="1" thickBot="1">
      <c r="B29" s="117"/>
      <c r="C29" s="118"/>
      <c r="D29" s="131"/>
      <c r="E29" s="88">
        <f>C15</f>
        <v>0</v>
      </c>
      <c r="F29" s="132"/>
      <c r="G29" s="133"/>
      <c r="H29" s="136"/>
      <c r="I29" s="134"/>
      <c r="J29" s="97"/>
      <c r="K29" s="135"/>
    </row>
    <row r="30" spans="2:11" ht="13.5" hidden="1" thickBot="1">
      <c r="C30" s="117"/>
      <c r="D30" s="137"/>
      <c r="E30" s="108"/>
      <c r="F30" s="138"/>
      <c r="G30" s="139"/>
      <c r="H30" s="336"/>
      <c r="I30" s="120"/>
      <c r="J30" s="97"/>
      <c r="K30" s="140"/>
    </row>
    <row r="31" spans="2:11" ht="13.5" hidden="1" thickBot="1">
      <c r="F31" s="97"/>
    </row>
    <row r="32" spans="2:11" ht="13.5" hidden="1" thickBot="1">
      <c r="B32" s="141" t="s">
        <v>17</v>
      </c>
      <c r="C32" s="142" t="s">
        <v>36</v>
      </c>
      <c r="D32" s="142" t="s">
        <v>37</v>
      </c>
      <c r="E32" s="143" t="s">
        <v>39</v>
      </c>
      <c r="F32" s="144"/>
      <c r="G32" s="144"/>
    </row>
    <row r="33" spans="2:15" ht="13.5" hidden="1" thickBot="1">
      <c r="B33" s="87" t="s">
        <v>64</v>
      </c>
      <c r="C33" s="145">
        <f>AVERAGE(H10:H13)</f>
        <v>95.4128066154924</v>
      </c>
      <c r="D33" s="146">
        <f>AVERAGE([40]Brewhouse!$AS$5347:$AS$5362)</f>
        <v>96.296241624200576</v>
      </c>
      <c r="E33" s="147">
        <v>96</v>
      </c>
    </row>
    <row r="34" spans="2:15" ht="13.5" hidden="1" thickBot="1">
      <c r="B34" s="99" t="s">
        <v>72</v>
      </c>
      <c r="C34" s="100"/>
      <c r="D34" s="146">
        <f>AVERAGE([41]Brewhouse!$AQ$641:$AQ$644)</f>
        <v>94.359266355846486</v>
      </c>
      <c r="E34" s="147">
        <v>96</v>
      </c>
    </row>
    <row r="35" spans="2:15" ht="13.5" hidden="1" thickBot="1">
      <c r="B35" s="101" t="s">
        <v>73</v>
      </c>
      <c r="C35" s="145"/>
      <c r="D35" s="146"/>
      <c r="E35" s="147">
        <v>96</v>
      </c>
      <c r="F35" s="100"/>
      <c r="G35" s="100"/>
    </row>
    <row r="36" spans="2:15" ht="13.5" hidden="1" thickBot="1">
      <c r="B36" s="148" t="s">
        <v>74</v>
      </c>
      <c r="C36" s="145"/>
      <c r="D36" s="149">
        <f>AVERAGE([42]Brewhouse!$AU$708:$AU$711)</f>
        <v>95.049759132870761</v>
      </c>
      <c r="E36" s="147">
        <v>96</v>
      </c>
    </row>
    <row r="37" spans="2:15" ht="13.5" hidden="1" thickBot="1">
      <c r="B37" s="150" t="s">
        <v>75</v>
      </c>
      <c r="C37" s="145"/>
      <c r="D37" s="151">
        <f>AVERAGE([43]Brewhouse!$AY$943:$AY$946)</f>
        <v>95.307332180967137</v>
      </c>
      <c r="E37" s="147">
        <v>96</v>
      </c>
    </row>
    <row r="38" spans="2:15" ht="13.5" hidden="1" thickBot="1">
      <c r="B38" s="102" t="s">
        <v>76</v>
      </c>
      <c r="C38" s="152"/>
      <c r="D38" s="153"/>
      <c r="E38" s="147">
        <v>96</v>
      </c>
    </row>
    <row r="39" spans="2:15" ht="13.5" hidden="1" thickBot="1">
      <c r="B39" s="154" t="s">
        <v>77</v>
      </c>
      <c r="C39" s="155"/>
      <c r="D39" s="156"/>
      <c r="E39" s="157">
        <v>96</v>
      </c>
      <c r="F39" s="100"/>
      <c r="G39" s="100"/>
    </row>
    <row r="40" spans="2:15" ht="14.25" hidden="1" thickTop="1" thickBot="1">
      <c r="B40" s="158"/>
      <c r="C40" s="159"/>
      <c r="D40" s="121">
        <f>AVERAGE(D33:D39)</f>
        <v>95.253149823471233</v>
      </c>
      <c r="E40" s="100"/>
      <c r="F40" s="100"/>
      <c r="G40" s="100"/>
    </row>
    <row r="41" spans="2:15" ht="15" hidden="1" thickBot="1">
      <c r="B41" s="5" t="s">
        <v>42</v>
      </c>
      <c r="C41" s="78" t="s">
        <v>78</v>
      </c>
      <c r="D41" s="335"/>
    </row>
    <row r="42" spans="2:15" ht="13.5" hidden="1" thickBot="1"/>
    <row r="43" spans="2:15" ht="12.75" hidden="1" customHeight="1" thickBot="1">
      <c r="B43" s="592" t="s">
        <v>17</v>
      </c>
      <c r="C43" s="594" t="s">
        <v>18</v>
      </c>
      <c r="D43" s="594" t="s">
        <v>44</v>
      </c>
      <c r="E43" s="594" t="s">
        <v>79</v>
      </c>
      <c r="F43" s="594" t="s">
        <v>51</v>
      </c>
      <c r="G43" s="594" t="s">
        <v>48</v>
      </c>
      <c r="H43" s="609" t="s">
        <v>28</v>
      </c>
      <c r="I43" s="610"/>
      <c r="J43" s="610"/>
      <c r="K43" s="598" t="s">
        <v>27</v>
      </c>
    </row>
    <row r="44" spans="2:15" ht="15.75" hidden="1" customHeight="1" thickBot="1">
      <c r="B44" s="605"/>
      <c r="C44" s="606"/>
      <c r="D44" s="606"/>
      <c r="E44" s="606"/>
      <c r="F44" s="606"/>
      <c r="G44" s="606"/>
      <c r="H44" s="611"/>
      <c r="I44" s="612"/>
      <c r="J44" s="612"/>
      <c r="K44" s="602"/>
      <c r="L44" s="86"/>
      <c r="M44" s="86"/>
      <c r="N44" s="86"/>
      <c r="O44" s="86"/>
    </row>
    <row r="45" spans="2:15" ht="15" hidden="1" customHeight="1" thickBot="1">
      <c r="B45" s="87"/>
      <c r="C45" s="160"/>
      <c r="D45" s="161"/>
      <c r="E45" s="163"/>
      <c r="F45" s="164"/>
      <c r="G45" s="162"/>
      <c r="H45" s="603"/>
      <c r="I45" s="604"/>
      <c r="J45" s="604"/>
      <c r="K45" s="165"/>
      <c r="L45" s="166"/>
      <c r="N45" s="95"/>
    </row>
    <row r="46" spans="2:15" ht="13.5" hidden="1" thickBot="1">
      <c r="B46" s="99"/>
      <c r="C46" s="160"/>
      <c r="D46" s="167"/>
      <c r="E46" s="163"/>
      <c r="F46" s="168"/>
      <c r="G46" s="162"/>
      <c r="H46" s="613"/>
      <c r="I46" s="614"/>
      <c r="J46" s="614"/>
      <c r="K46" s="169"/>
      <c r="L46" s="166"/>
      <c r="M46" s="97"/>
      <c r="N46" s="95"/>
      <c r="O46" s="100"/>
    </row>
    <row r="47" spans="2:15" ht="13.5" hidden="1" thickBot="1">
      <c r="B47" s="99"/>
      <c r="C47" s="160"/>
      <c r="D47" s="103"/>
      <c r="E47" s="170"/>
      <c r="F47" s="168"/>
      <c r="G47" s="162"/>
      <c r="H47" s="613"/>
      <c r="I47" s="614"/>
      <c r="J47" s="614"/>
      <c r="K47" s="169"/>
    </row>
    <row r="48" spans="2:15" ht="13.5" hidden="1" thickBot="1">
      <c r="B48" s="102"/>
      <c r="C48" s="160"/>
      <c r="D48" s="167"/>
      <c r="E48" s="128"/>
      <c r="F48" s="168"/>
      <c r="G48" s="171"/>
      <c r="H48" s="613"/>
      <c r="I48" s="614"/>
      <c r="J48" s="614"/>
      <c r="K48" s="172"/>
    </row>
    <row r="49" spans="2:11" ht="13.5" hidden="1" thickBot="1">
      <c r="B49" s="101"/>
      <c r="C49" s="160"/>
      <c r="D49" s="167"/>
      <c r="E49" s="170"/>
      <c r="F49" s="163"/>
      <c r="G49" s="162"/>
      <c r="H49" s="607"/>
      <c r="I49" s="608"/>
      <c r="J49" s="608"/>
      <c r="K49" s="172"/>
    </row>
    <row r="50" spans="2:11" ht="13.5" hidden="1" thickBot="1">
      <c r="B50" s="173"/>
      <c r="C50" s="160"/>
      <c r="E50" s="168"/>
      <c r="F50" s="168"/>
      <c r="G50" s="145"/>
      <c r="H50" s="607"/>
      <c r="I50" s="608"/>
      <c r="J50" s="608"/>
      <c r="K50" s="172"/>
    </row>
    <row r="51" spans="2:11" ht="13.5" hidden="1" thickBot="1">
      <c r="B51" s="174"/>
      <c r="C51" s="160"/>
      <c r="D51" s="167"/>
      <c r="E51" s="175"/>
      <c r="F51" s="175"/>
      <c r="G51" s="176"/>
      <c r="H51" s="607"/>
      <c r="I51" s="608"/>
      <c r="J51" s="608"/>
      <c r="K51" s="177"/>
    </row>
    <row r="52" spans="2:11" ht="13.5" hidden="1" thickBot="1">
      <c r="B52" s="178"/>
      <c r="C52" s="179"/>
      <c r="D52" s="180"/>
      <c r="E52" s="181"/>
      <c r="F52" s="181"/>
      <c r="G52" s="182"/>
      <c r="H52" s="615"/>
      <c r="I52" s="616"/>
      <c r="J52" s="616"/>
      <c r="K52" s="183"/>
    </row>
    <row r="53" spans="2:11" ht="13.5" thickBot="1">
      <c r="B53" s="184"/>
      <c r="C53" s="117"/>
      <c r="D53" s="617" t="s">
        <v>80</v>
      </c>
      <c r="E53" s="617"/>
      <c r="F53" s="617"/>
      <c r="G53" s="617"/>
      <c r="H53" s="617"/>
      <c r="I53" s="617"/>
      <c r="J53" s="617"/>
      <c r="K53" s="185"/>
    </row>
    <row r="54" spans="2:11" ht="13.5" thickBot="1">
      <c r="B54" s="618" t="s">
        <v>55</v>
      </c>
      <c r="C54" s="619"/>
      <c r="D54" s="619"/>
      <c r="E54" s="620"/>
      <c r="F54" s="618" t="s">
        <v>56</v>
      </c>
      <c r="G54" s="619"/>
      <c r="H54" s="620"/>
      <c r="I54" s="621" t="s">
        <v>81</v>
      </c>
      <c r="J54" s="622"/>
      <c r="K54" s="623"/>
    </row>
    <row r="55" spans="2:11">
      <c r="B55" s="186" t="s">
        <v>17</v>
      </c>
      <c r="C55" s="187" t="s">
        <v>36</v>
      </c>
      <c r="D55" s="187" t="s">
        <v>37</v>
      </c>
      <c r="E55" s="188" t="s">
        <v>39</v>
      </c>
      <c r="F55" s="187" t="s">
        <v>36</v>
      </c>
      <c r="G55" s="187" t="s">
        <v>37</v>
      </c>
      <c r="H55" s="188" t="s">
        <v>39</v>
      </c>
      <c r="I55" s="189" t="s">
        <v>36</v>
      </c>
      <c r="J55" s="189" t="s">
        <v>37</v>
      </c>
      <c r="K55" s="190" t="s">
        <v>39</v>
      </c>
    </row>
    <row r="56" spans="2:11" ht="15">
      <c r="B56" s="29" t="s">
        <v>64</v>
      </c>
      <c r="C56" s="191"/>
      <c r="D56" s="76">
        <f>[39]MTD!$E5</f>
        <v>5.1392275118696222</v>
      </c>
      <c r="E56" s="192">
        <v>5</v>
      </c>
      <c r="F56" s="191"/>
      <c r="G56" s="76">
        <f>[18]October_2026!$AN3</f>
        <v>6.3592167646860949</v>
      </c>
      <c r="H56" s="192">
        <v>5</v>
      </c>
      <c r="I56" s="193"/>
      <c r="J56" s="194">
        <f>[19]October_2026!$AN13</f>
        <v>0.84962573099415206</v>
      </c>
      <c r="K56" s="195">
        <v>1</v>
      </c>
    </row>
    <row r="57" spans="2:11" ht="15">
      <c r="B57" s="33" t="s">
        <v>72</v>
      </c>
      <c r="C57" s="191"/>
      <c r="D57" s="76">
        <f>[39]MTD!$E6</f>
        <v>5.062325108114992</v>
      </c>
      <c r="E57" s="192">
        <v>5</v>
      </c>
      <c r="F57" s="191"/>
      <c r="G57" s="76">
        <f>[18]October_2026!$AN4</f>
        <v>5.6760230336831157</v>
      </c>
      <c r="H57" s="192">
        <v>5</v>
      </c>
      <c r="I57" s="196"/>
      <c r="J57" s="194">
        <f>[19]October_2026!$AN14</f>
        <v>0.65473684210526317</v>
      </c>
      <c r="K57" s="195">
        <v>1</v>
      </c>
    </row>
    <row r="58" spans="2:11" ht="15">
      <c r="B58" s="34" t="s">
        <v>73</v>
      </c>
      <c r="C58" s="191"/>
      <c r="D58" s="76" t="e">
        <f>[39]MTD!$E7</f>
        <v>#DIV/0!</v>
      </c>
      <c r="E58" s="192">
        <v>5</v>
      </c>
      <c r="F58" s="191"/>
      <c r="G58" s="76" t="e">
        <f>[18]October_2026!$AN5</f>
        <v>#DIV/0!</v>
      </c>
      <c r="H58" s="192">
        <v>5</v>
      </c>
      <c r="I58" s="196"/>
      <c r="J58" s="194" t="e">
        <f>[19]October_2026!$AN15</f>
        <v>#DIV/0!</v>
      </c>
      <c r="K58" s="195">
        <v>1</v>
      </c>
    </row>
    <row r="59" spans="2:11" ht="15">
      <c r="B59" s="197" t="s">
        <v>74</v>
      </c>
      <c r="C59" s="191"/>
      <c r="D59" s="76">
        <f>[39]MTD!$E8</f>
        <v>2.6160971335586405</v>
      </c>
      <c r="E59" s="192">
        <v>3.5</v>
      </c>
      <c r="F59" s="191"/>
      <c r="G59" s="76">
        <f>[18]October_2026!$AN6</f>
        <v>4.0562064167659644</v>
      </c>
      <c r="H59" s="192">
        <v>3.5</v>
      </c>
      <c r="I59" s="196"/>
      <c r="J59" s="194">
        <f>[19]October_2026!$AN16</f>
        <v>1.3649122807017544</v>
      </c>
      <c r="K59" s="195">
        <v>1</v>
      </c>
    </row>
    <row r="60" spans="2:11" ht="15.75" thickBot="1">
      <c r="B60" s="38" t="s">
        <v>160</v>
      </c>
      <c r="C60" s="191"/>
      <c r="D60" s="76" t="e">
        <f>[39]MTD!$E9</f>
        <v>#DIV/0!</v>
      </c>
      <c r="E60" s="192">
        <v>3.5</v>
      </c>
      <c r="F60" s="198"/>
      <c r="G60" s="76" t="e">
        <f>[18]October_2026!$AN7</f>
        <v>#DIV/0!</v>
      </c>
      <c r="H60" s="192">
        <v>3.5</v>
      </c>
      <c r="I60" s="196"/>
      <c r="J60" s="194" t="e">
        <f>[19]October_2026!$AN17</f>
        <v>#DIV/0!</v>
      </c>
      <c r="K60" s="195">
        <v>1</v>
      </c>
    </row>
    <row r="61" spans="2:11" ht="15">
      <c r="B61" s="199" t="s">
        <v>76</v>
      </c>
      <c r="C61" s="191"/>
      <c r="D61" s="76" t="e">
        <f>[39]MTD!$E10</f>
        <v>#DIV/0!</v>
      </c>
      <c r="E61" s="200">
        <v>5</v>
      </c>
      <c r="F61" s="191"/>
      <c r="G61" s="76" t="e">
        <f>[18]October_2026!$AN8</f>
        <v>#DIV/0!</v>
      </c>
      <c r="H61" s="200">
        <v>5</v>
      </c>
      <c r="I61" s="196"/>
      <c r="J61" s="194" t="e">
        <f>[19]October_2026!$AN18</f>
        <v>#DIV/0!</v>
      </c>
      <c r="K61" s="195">
        <v>1</v>
      </c>
    </row>
    <row r="62" spans="2:11" ht="15">
      <c r="B62" s="201" t="s">
        <v>82</v>
      </c>
      <c r="C62" s="202"/>
      <c r="D62" s="76">
        <f>[39]MTD!$E11</f>
        <v>0.84622823984524742</v>
      </c>
      <c r="E62" s="200">
        <v>3.3</v>
      </c>
      <c r="F62" s="202"/>
      <c r="G62" s="76">
        <f>[18]October_2026!$AN9</f>
        <v>4.0067212349015007</v>
      </c>
      <c r="H62" s="200">
        <v>3.3</v>
      </c>
      <c r="I62" s="203"/>
      <c r="J62" s="194">
        <f>[19]October_2026!$AN19</f>
        <v>0.71947368421052638</v>
      </c>
      <c r="K62" s="204">
        <v>1</v>
      </c>
    </row>
    <row r="63" spans="2:11" ht="15.75" thickBot="1">
      <c r="B63" s="38" t="s">
        <v>128</v>
      </c>
      <c r="C63" s="205"/>
      <c r="D63" s="76" t="e">
        <f>[39]MTD!$E12</f>
        <v>#DIV/0!</v>
      </c>
      <c r="E63" s="206">
        <v>3.5</v>
      </c>
      <c r="F63" s="205"/>
      <c r="G63" s="76" t="e">
        <f>[18]October_2026!$AN10</f>
        <v>#DIV/0!</v>
      </c>
      <c r="H63" s="206">
        <v>3.5</v>
      </c>
      <c r="I63" s="207"/>
      <c r="J63" s="194" t="e">
        <f>[19]October_2026!$AN20</f>
        <v>#DIV/0!</v>
      </c>
      <c r="K63" s="208">
        <v>1</v>
      </c>
    </row>
    <row r="64" spans="2:11" ht="15.75" thickBot="1">
      <c r="B64" s="412" t="s">
        <v>159</v>
      </c>
      <c r="C64" s="198"/>
      <c r="D64" s="76" t="e">
        <f>[39]MTD!$E13</f>
        <v>#DIV/0!</v>
      </c>
      <c r="E64" s="192">
        <v>5</v>
      </c>
      <c r="F64" s="198"/>
      <c r="G64" s="76" t="e">
        <f>[18]October_2026!$AN11</f>
        <v>#DIV/0!</v>
      </c>
      <c r="H64" s="192">
        <v>5</v>
      </c>
      <c r="I64" s="411"/>
      <c r="J64" s="194">
        <f>[19]October_2026!$AN21</f>
        <v>0</v>
      </c>
      <c r="K64" s="208">
        <v>1</v>
      </c>
    </row>
    <row r="65" spans="2:11">
      <c r="B65" s="209"/>
      <c r="C65" s="210"/>
      <c r="D65" s="76">
        <f>[39]MTD!$E14</f>
        <v>4.4884175465784679</v>
      </c>
      <c r="E65" s="210"/>
      <c r="F65" s="210"/>
      <c r="G65" s="76">
        <f>[18]October_2026!$AN12</f>
        <v>5.713113691210312</v>
      </c>
      <c r="H65" s="211"/>
      <c r="I65" s="212"/>
      <c r="J65" s="194">
        <f>[19]October_2026!$AN22</f>
        <v>0.84929406850459488</v>
      </c>
      <c r="K65" s="213"/>
    </row>
    <row r="66" spans="2:11">
      <c r="C66" s="214"/>
      <c r="F66" s="95"/>
    </row>
    <row r="67" spans="2:11">
      <c r="C67" s="214"/>
    </row>
    <row r="73" spans="2:11" ht="18" customHeight="1"/>
  </sheetData>
  <mergeCells count="30">
    <mergeCell ref="H52:J52"/>
    <mergeCell ref="D53:J53"/>
    <mergeCell ref="B54:E54"/>
    <mergeCell ref="F54:H54"/>
    <mergeCell ref="I54:K54"/>
    <mergeCell ref="H51:J51"/>
    <mergeCell ref="F43:F44"/>
    <mergeCell ref="G43:G44"/>
    <mergeCell ref="H43:J44"/>
    <mergeCell ref="H46:J46"/>
    <mergeCell ref="H47:J47"/>
    <mergeCell ref="H48:J48"/>
    <mergeCell ref="H49:J49"/>
    <mergeCell ref="H50:J50"/>
    <mergeCell ref="F21:G21"/>
    <mergeCell ref="K43:K44"/>
    <mergeCell ref="H45:J45"/>
    <mergeCell ref="B43:B44"/>
    <mergeCell ref="C43:C44"/>
    <mergeCell ref="D43:D44"/>
    <mergeCell ref="E43:E44"/>
    <mergeCell ref="B2:K2"/>
    <mergeCell ref="C4:D4"/>
    <mergeCell ref="B8:B9"/>
    <mergeCell ref="C8:C9"/>
    <mergeCell ref="D8:D9"/>
    <mergeCell ref="G8:G9"/>
    <mergeCell ref="H8:H9"/>
    <mergeCell ref="I8:I9"/>
    <mergeCell ref="K8:K9"/>
  </mergeCells>
  <printOptions horizontalCentered="1"/>
  <pageMargins left="0.25" right="0.24" top="0.5" bottom="0.5" header="0.5" footer="0.5"/>
  <pageSetup orientation="portrait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889C0-C575-4A8E-A1E3-979A579814DF}">
  <sheetPr codeName="Sheet19">
    <tabColor rgb="FF7030A0"/>
    <pageSetUpPr fitToPage="1"/>
  </sheetPr>
  <dimension ref="B1:O73"/>
  <sheetViews>
    <sheetView showZeros="0" topLeftCell="A54" zoomScale="115" zoomScaleNormal="115" workbookViewId="0">
      <selection activeCell="J56" sqref="J56:J65"/>
    </sheetView>
  </sheetViews>
  <sheetFormatPr defaultColWidth="9.42578125" defaultRowHeight="12.75"/>
  <cols>
    <col min="1" max="1" width="9.42578125" style="78"/>
    <col min="2" max="2" width="12.5703125" style="78" customWidth="1"/>
    <col min="3" max="3" width="9.42578125" style="78" customWidth="1"/>
    <col min="4" max="4" width="9.5703125" style="78" customWidth="1"/>
    <col min="5" max="5" width="8.5703125" style="78" customWidth="1"/>
    <col min="6" max="6" width="14.42578125" style="78" customWidth="1"/>
    <col min="7" max="7" width="11.42578125" style="78" customWidth="1"/>
    <col min="8" max="8" width="9.42578125" style="78" bestFit="1" customWidth="1"/>
    <col min="9" max="9" width="11.5703125" style="78" customWidth="1"/>
    <col min="10" max="10" width="11.5703125" style="78" bestFit="1" customWidth="1"/>
    <col min="11" max="11" width="16.42578125" style="78" customWidth="1"/>
    <col min="12" max="12" width="13.42578125" style="78" customWidth="1"/>
    <col min="13" max="16384" width="9.42578125" style="78"/>
  </cols>
  <sheetData>
    <row r="1" spans="2:14" ht="13.5" hidden="1" thickBot="1"/>
    <row r="2" spans="2:14" ht="15.75" hidden="1" thickBot="1">
      <c r="B2" s="590" t="s">
        <v>58</v>
      </c>
      <c r="C2" s="590"/>
      <c r="D2" s="590"/>
      <c r="E2" s="590"/>
      <c r="F2" s="590"/>
      <c r="G2" s="590"/>
      <c r="H2" s="590"/>
      <c r="I2" s="590"/>
      <c r="J2" s="590"/>
      <c r="K2" s="590"/>
    </row>
    <row r="3" spans="2:14" ht="15.75" hidden="1" thickBot="1">
      <c r="B3" s="79"/>
    </row>
    <row r="4" spans="2:14" ht="13.5" hidden="1" thickBot="1">
      <c r="B4" s="78" t="s">
        <v>7</v>
      </c>
      <c r="C4" s="591">
        <v>41431</v>
      </c>
      <c r="D4" s="591"/>
    </row>
    <row r="5" spans="2:14" ht="13.5" hidden="1" thickBot="1">
      <c r="C5" s="78" t="s">
        <v>41</v>
      </c>
    </row>
    <row r="6" spans="2:14" ht="15" hidden="1" thickBot="1">
      <c r="B6" s="5" t="s">
        <v>13</v>
      </c>
    </row>
    <row r="7" spans="2:14" ht="13.5" hidden="1" thickBot="1"/>
    <row r="8" spans="2:14" ht="25.5" hidden="1" customHeight="1" thickBot="1">
      <c r="B8" s="592" t="s">
        <v>17</v>
      </c>
      <c r="C8" s="594" t="s">
        <v>18</v>
      </c>
      <c r="D8" s="594" t="s">
        <v>59</v>
      </c>
      <c r="E8" s="80" t="s">
        <v>20</v>
      </c>
      <c r="F8" s="81" t="s">
        <v>21</v>
      </c>
      <c r="G8" s="594" t="s">
        <v>60</v>
      </c>
      <c r="H8" s="594" t="s">
        <v>61</v>
      </c>
      <c r="I8" s="596" t="s">
        <v>62</v>
      </c>
      <c r="J8" s="82" t="s">
        <v>25</v>
      </c>
      <c r="K8" s="598" t="s">
        <v>28</v>
      </c>
    </row>
    <row r="9" spans="2:14" ht="26.25" hidden="1" thickBot="1">
      <c r="B9" s="593"/>
      <c r="C9" s="595"/>
      <c r="D9" s="595"/>
      <c r="E9" s="83" t="s">
        <v>30</v>
      </c>
      <c r="F9" s="84" t="s">
        <v>63</v>
      </c>
      <c r="G9" s="595"/>
      <c r="H9" s="595"/>
      <c r="I9" s="597"/>
      <c r="J9" s="85" t="s">
        <v>32</v>
      </c>
      <c r="K9" s="599"/>
      <c r="L9" s="86"/>
      <c r="M9" s="86"/>
      <c r="N9" s="86"/>
    </row>
    <row r="10" spans="2:14" ht="13.5" hidden="1" thickBot="1">
      <c r="B10" s="87" t="s">
        <v>64</v>
      </c>
      <c r="C10" s="88" t="str">
        <f>[40]Brewhouse!A5359</f>
        <v>CA236</v>
      </c>
      <c r="D10" s="88">
        <f>[40]Brewhouse!B5359</f>
        <v>41437</v>
      </c>
      <c r="E10" s="89">
        <f>[40]Brewhouse!AG5359</f>
        <v>49.011000000000003</v>
      </c>
      <c r="F10" s="90">
        <f>[40]Brewhouse!T5359</f>
        <v>60</v>
      </c>
      <c r="G10" s="91">
        <f>[40]Brewhouse!I5359</f>
        <v>19.79</v>
      </c>
      <c r="H10" s="92">
        <f>[40]Brewhouse!AS5359</f>
        <v>94.981545664755075</v>
      </c>
      <c r="I10" s="92">
        <f>[40]Brewhouse!AT5359</f>
        <v>97.074072469002047</v>
      </c>
      <c r="J10" s="93">
        <f>[40]Brewhouse!S5359-[40]Brewhouse!R5359</f>
        <v>0.10694444444444451</v>
      </c>
      <c r="K10" s="94"/>
      <c r="N10" s="95"/>
    </row>
    <row r="11" spans="2:14" ht="13.5" hidden="1" thickBot="1">
      <c r="B11" s="96"/>
      <c r="C11" s="88" t="str">
        <f>[40]Brewhouse!A5360</f>
        <v>CA237</v>
      </c>
      <c r="D11" s="88">
        <f>[40]Brewhouse!B5360</f>
        <v>41437</v>
      </c>
      <c r="E11" s="89">
        <f>[40]Brewhouse!AG5360</f>
        <v>48.531999999999996</v>
      </c>
      <c r="F11" s="90">
        <f>[40]Brewhouse!T5360</f>
        <v>68</v>
      </c>
      <c r="G11" s="91">
        <f>[40]Brewhouse!I5360</f>
        <v>17.7</v>
      </c>
      <c r="H11" s="92">
        <f>[40]Brewhouse!AS5360</f>
        <v>94.053260986347809</v>
      </c>
      <c r="I11" s="92">
        <f>[40]Brewhouse!AT5360</f>
        <v>96.1253368644918</v>
      </c>
      <c r="J11" s="93">
        <f>[40]Brewhouse!S5360-[40]Brewhouse!R5360</f>
        <v>0.10972222222222217</v>
      </c>
      <c r="K11" s="94"/>
      <c r="M11" s="97"/>
      <c r="N11" s="95"/>
    </row>
    <row r="12" spans="2:14" ht="12.75" hidden="1" customHeight="1" thickBot="1">
      <c r="B12" s="87"/>
      <c r="C12" s="88" t="str">
        <f>[40]Brewhouse!A5361</f>
        <v>CA238</v>
      </c>
      <c r="D12" s="88">
        <f>[40]Brewhouse!B5361</f>
        <v>41437</v>
      </c>
      <c r="E12" s="89">
        <f>[40]Brewhouse!AG5361</f>
        <v>50.466999999999999</v>
      </c>
      <c r="F12" s="90">
        <f>[40]Brewhouse!T5361</f>
        <v>61</v>
      </c>
      <c r="G12" s="91">
        <f>[40]Brewhouse!I5361</f>
        <v>19.7</v>
      </c>
      <c r="H12" s="92">
        <f>[40]Brewhouse!AS5361</f>
        <v>96.931393272913695</v>
      </c>
      <c r="I12" s="92">
        <f>[40]Brewhouse!AT5361</f>
        <v>99.066876931102286</v>
      </c>
      <c r="J12" s="93">
        <f>[40]Brewhouse!S5361-[40]Brewhouse!R5361</f>
        <v>0.10208333333333341</v>
      </c>
      <c r="K12" s="98"/>
    </row>
    <row r="13" spans="2:14" ht="13.5" hidden="1" thickBot="1">
      <c r="B13" s="99"/>
      <c r="C13" s="88" t="str">
        <f>[40]Brewhouse!A5362</f>
        <v>CA239</v>
      </c>
      <c r="D13" s="88">
        <f>[40]Brewhouse!B5362</f>
        <v>41437</v>
      </c>
      <c r="E13" s="89">
        <f>[40]Brewhouse!AG5362</f>
        <v>49.374000000000002</v>
      </c>
      <c r="F13" s="90">
        <f>[40]Brewhouse!T5362</f>
        <v>62</v>
      </c>
      <c r="G13" s="91">
        <f>[40]Brewhouse!I5362</f>
        <v>19</v>
      </c>
      <c r="H13" s="92">
        <f>[40]Brewhouse!AS5362</f>
        <v>95.68502653795305</v>
      </c>
      <c r="I13" s="92">
        <f>[40]Brewhouse!AT5362</f>
        <v>97.793051643192499</v>
      </c>
      <c r="J13" s="93">
        <f>[40]Brewhouse!S5362-[40]Brewhouse!R5362</f>
        <v>0.10416666666666663</v>
      </c>
      <c r="K13" s="98"/>
      <c r="M13" s="100"/>
    </row>
    <row r="14" spans="2:14" ht="13.5" hidden="1" thickBot="1">
      <c r="B14" s="101"/>
      <c r="C14" s="88"/>
      <c r="D14" s="88"/>
      <c r="E14" s="89"/>
      <c r="F14" s="90"/>
      <c r="G14" s="91"/>
      <c r="H14" s="92"/>
      <c r="I14" s="92"/>
      <c r="J14" s="93"/>
      <c r="K14" s="98"/>
    </row>
    <row r="15" spans="2:14" ht="12.75" hidden="1" customHeight="1" thickBot="1">
      <c r="B15" s="99"/>
      <c r="C15" s="88"/>
      <c r="D15" s="88"/>
      <c r="E15" s="89"/>
      <c r="F15" s="90"/>
      <c r="G15" s="91"/>
      <c r="H15" s="92"/>
      <c r="I15" s="92"/>
      <c r="J15" s="93"/>
      <c r="K15" s="98"/>
    </row>
    <row r="16" spans="2:14" ht="13.5" hidden="1" thickBot="1">
      <c r="B16" s="102"/>
      <c r="C16" s="88"/>
      <c r="D16" s="88"/>
      <c r="E16" s="89"/>
      <c r="F16" s="90"/>
      <c r="G16" s="91"/>
      <c r="H16" s="92"/>
      <c r="I16" s="92"/>
      <c r="J16" s="93"/>
      <c r="K16" s="98"/>
      <c r="L16" s="78" t="s">
        <v>65</v>
      </c>
    </row>
    <row r="17" spans="2:11" ht="13.5" hidden="1" thickBot="1">
      <c r="B17" s="99"/>
      <c r="C17" s="88"/>
      <c r="D17" s="103"/>
      <c r="E17" s="92"/>
      <c r="F17" s="90"/>
      <c r="G17" s="91"/>
      <c r="H17" s="104"/>
      <c r="I17" s="105"/>
      <c r="J17" s="93"/>
      <c r="K17" s="106"/>
    </row>
    <row r="18" spans="2:11" ht="13.5" hidden="1" thickBot="1">
      <c r="B18" s="99"/>
      <c r="C18" s="88"/>
      <c r="D18" s="103"/>
      <c r="E18" s="92"/>
      <c r="F18" s="90"/>
      <c r="G18" s="91"/>
      <c r="H18" s="104"/>
      <c r="I18" s="105"/>
      <c r="J18" s="93"/>
      <c r="K18" s="106"/>
    </row>
    <row r="19" spans="2:11" ht="13.5" hidden="1" thickBot="1">
      <c r="B19" s="107"/>
      <c r="C19" s="108"/>
      <c r="D19" s="109"/>
      <c r="E19" s="110"/>
      <c r="F19" s="111"/>
      <c r="G19" s="112"/>
      <c r="H19" s="113"/>
      <c r="I19" s="114"/>
      <c r="J19" s="115"/>
      <c r="K19" s="116"/>
    </row>
    <row r="20" spans="2:11" ht="14.25" hidden="1" thickTop="1" thickBot="1">
      <c r="C20" s="117"/>
      <c r="D20" s="118"/>
      <c r="E20" s="119"/>
      <c r="F20" s="97"/>
      <c r="G20" s="120"/>
      <c r="H20" s="97"/>
      <c r="I20" s="121">
        <f>AVERAGE(I10:I13)</f>
        <v>97.514834476947158</v>
      </c>
      <c r="J20" s="97"/>
      <c r="K20" s="122"/>
    </row>
    <row r="21" spans="2:11" ht="13.5" hidden="1" thickBot="1">
      <c r="B21" s="86" t="s">
        <v>66</v>
      </c>
      <c r="C21" s="118"/>
      <c r="D21" s="123" t="s">
        <v>67</v>
      </c>
      <c r="E21" s="124" t="s">
        <v>68</v>
      </c>
      <c r="F21" s="600" t="s">
        <v>69</v>
      </c>
      <c r="G21" s="601"/>
      <c r="H21" s="337"/>
      <c r="I21" s="125"/>
      <c r="J21" s="97"/>
      <c r="K21" s="126" t="s">
        <v>24</v>
      </c>
    </row>
    <row r="22" spans="2:11" ht="13.5" hidden="1" thickBot="1">
      <c r="B22" s="117"/>
      <c r="C22" s="118"/>
      <c r="D22" s="127"/>
      <c r="E22" s="92"/>
      <c r="F22" s="128" t="s">
        <v>70</v>
      </c>
      <c r="G22" s="129" t="s">
        <v>71</v>
      </c>
      <c r="H22" s="338"/>
      <c r="I22" s="117"/>
      <c r="J22" s="97"/>
      <c r="K22" s="130"/>
    </row>
    <row r="23" spans="2:11" ht="15.75" hidden="1" thickBot="1">
      <c r="B23" s="117"/>
      <c r="C23" s="118"/>
      <c r="D23" s="131"/>
      <c r="E23" s="88" t="str">
        <f>C10</f>
        <v>CA236</v>
      </c>
      <c r="F23" s="132"/>
      <c r="G23" s="133"/>
      <c r="H23" s="136"/>
      <c r="I23" s="134"/>
      <c r="J23" s="97"/>
      <c r="K23" s="135">
        <f>[40]Brewhouse!N5359</f>
        <v>60</v>
      </c>
    </row>
    <row r="24" spans="2:11" ht="15.75" hidden="1" thickBot="1">
      <c r="B24" s="117"/>
      <c r="C24" s="118"/>
      <c r="D24" s="131"/>
      <c r="E24" s="88" t="str">
        <f>C11</f>
        <v>CA237</v>
      </c>
      <c r="F24" s="132"/>
      <c r="G24" s="133"/>
      <c r="H24" s="136"/>
      <c r="I24" s="134"/>
      <c r="J24" s="97"/>
      <c r="K24" s="135">
        <f>[40]Brewhouse!N5360</f>
        <v>60</v>
      </c>
    </row>
    <row r="25" spans="2:11" ht="15.75" hidden="1" thickBot="1">
      <c r="B25" s="117"/>
      <c r="C25" s="118"/>
      <c r="D25" s="131"/>
      <c r="E25" s="88" t="str">
        <f>C12</f>
        <v>CA238</v>
      </c>
      <c r="F25" s="132"/>
      <c r="G25" s="133"/>
      <c r="H25" s="136"/>
      <c r="I25" s="134"/>
      <c r="J25" s="97"/>
      <c r="K25" s="135">
        <f>[40]Brewhouse!N5361</f>
        <v>60</v>
      </c>
    </row>
    <row r="26" spans="2:11" ht="15.75" hidden="1" thickBot="1">
      <c r="B26" s="117"/>
      <c r="C26" s="118"/>
      <c r="D26" s="131"/>
      <c r="E26" s="88" t="str">
        <f>C13</f>
        <v>CA239</v>
      </c>
      <c r="F26" s="132"/>
      <c r="G26" s="133"/>
      <c r="H26" s="136"/>
      <c r="I26" s="134"/>
      <c r="J26" s="97"/>
      <c r="K26" s="135">
        <f>[40]Brewhouse!N5362</f>
        <v>60</v>
      </c>
    </row>
    <row r="27" spans="2:11" ht="15.75" hidden="1" thickBot="1">
      <c r="B27" s="117"/>
      <c r="C27" s="118"/>
      <c r="D27" s="131"/>
      <c r="E27" s="88">
        <f>C14</f>
        <v>0</v>
      </c>
      <c r="F27" s="132"/>
      <c r="G27" s="133"/>
      <c r="H27" s="136"/>
      <c r="I27" s="134"/>
      <c r="J27" s="97"/>
      <c r="K27" s="135"/>
    </row>
    <row r="28" spans="2:11" ht="15.75" hidden="1" thickBot="1">
      <c r="B28" s="117"/>
      <c r="C28" s="118"/>
      <c r="D28" s="131"/>
      <c r="E28" s="88"/>
      <c r="F28" s="132"/>
      <c r="G28" s="133"/>
      <c r="H28" s="136"/>
      <c r="I28" s="134"/>
      <c r="J28" s="97"/>
      <c r="K28" s="135"/>
    </row>
    <row r="29" spans="2:11" ht="15.75" hidden="1" thickBot="1">
      <c r="B29" s="117"/>
      <c r="C29" s="118"/>
      <c r="D29" s="131"/>
      <c r="E29" s="88">
        <f>C15</f>
        <v>0</v>
      </c>
      <c r="F29" s="132"/>
      <c r="G29" s="133"/>
      <c r="H29" s="136"/>
      <c r="I29" s="134"/>
      <c r="J29" s="97"/>
      <c r="K29" s="135"/>
    </row>
    <row r="30" spans="2:11" ht="13.5" hidden="1" thickBot="1">
      <c r="C30" s="117"/>
      <c r="D30" s="137"/>
      <c r="E30" s="108"/>
      <c r="F30" s="138"/>
      <c r="G30" s="139"/>
      <c r="H30" s="336"/>
      <c r="I30" s="120"/>
      <c r="J30" s="97"/>
      <c r="K30" s="140"/>
    </row>
    <row r="31" spans="2:11" ht="13.5" hidden="1" thickBot="1">
      <c r="F31" s="97"/>
    </row>
    <row r="32" spans="2:11" ht="13.5" hidden="1" thickBot="1">
      <c r="B32" s="141" t="s">
        <v>17</v>
      </c>
      <c r="C32" s="142" t="s">
        <v>36</v>
      </c>
      <c r="D32" s="142" t="s">
        <v>37</v>
      </c>
      <c r="E32" s="143" t="s">
        <v>39</v>
      </c>
      <c r="F32" s="144"/>
      <c r="G32" s="144"/>
    </row>
    <row r="33" spans="2:15" ht="13.5" hidden="1" thickBot="1">
      <c r="B33" s="87" t="s">
        <v>64</v>
      </c>
      <c r="C33" s="145">
        <f>AVERAGE(H10:H13)</f>
        <v>95.4128066154924</v>
      </c>
      <c r="D33" s="146">
        <f>AVERAGE([40]Brewhouse!$AS$5347:$AS$5362)</f>
        <v>96.296241624200576</v>
      </c>
      <c r="E33" s="147">
        <v>96</v>
      </c>
    </row>
    <row r="34" spans="2:15" ht="13.5" hidden="1" thickBot="1">
      <c r="B34" s="99" t="s">
        <v>72</v>
      </c>
      <c r="C34" s="100"/>
      <c r="D34" s="146">
        <f>AVERAGE([41]Brewhouse!$AQ$641:$AQ$644)</f>
        <v>94.359266355846486</v>
      </c>
      <c r="E34" s="147">
        <v>96</v>
      </c>
    </row>
    <row r="35" spans="2:15" ht="13.5" hidden="1" thickBot="1">
      <c r="B35" s="101" t="s">
        <v>73</v>
      </c>
      <c r="C35" s="145"/>
      <c r="D35" s="146"/>
      <c r="E35" s="147">
        <v>96</v>
      </c>
      <c r="F35" s="100"/>
      <c r="G35" s="100"/>
    </row>
    <row r="36" spans="2:15" ht="13.5" hidden="1" thickBot="1">
      <c r="B36" s="148" t="s">
        <v>74</v>
      </c>
      <c r="C36" s="145"/>
      <c r="D36" s="149">
        <f>AVERAGE([42]Brewhouse!$AU$708:$AU$711)</f>
        <v>95.049759132870761</v>
      </c>
      <c r="E36" s="147">
        <v>96</v>
      </c>
    </row>
    <row r="37" spans="2:15" ht="13.5" hidden="1" thickBot="1">
      <c r="B37" s="150" t="s">
        <v>75</v>
      </c>
      <c r="C37" s="145"/>
      <c r="D37" s="151">
        <f>AVERAGE([43]Brewhouse!$AY$943:$AY$946)</f>
        <v>95.307332180967137</v>
      </c>
      <c r="E37" s="147">
        <v>96</v>
      </c>
    </row>
    <row r="38" spans="2:15" ht="13.5" hidden="1" thickBot="1">
      <c r="B38" s="102" t="s">
        <v>76</v>
      </c>
      <c r="C38" s="152"/>
      <c r="D38" s="153"/>
      <c r="E38" s="147">
        <v>96</v>
      </c>
    </row>
    <row r="39" spans="2:15" ht="13.5" hidden="1" thickBot="1">
      <c r="B39" s="154" t="s">
        <v>77</v>
      </c>
      <c r="C39" s="155"/>
      <c r="D39" s="156"/>
      <c r="E39" s="157">
        <v>96</v>
      </c>
      <c r="F39" s="100"/>
      <c r="G39" s="100"/>
    </row>
    <row r="40" spans="2:15" ht="14.25" hidden="1" thickTop="1" thickBot="1">
      <c r="B40" s="158"/>
      <c r="C40" s="159"/>
      <c r="D40" s="121">
        <f>AVERAGE(D33:D39)</f>
        <v>95.253149823471233</v>
      </c>
      <c r="E40" s="100"/>
      <c r="F40" s="100"/>
      <c r="G40" s="100"/>
    </row>
    <row r="41" spans="2:15" ht="15" hidden="1" thickBot="1">
      <c r="B41" s="5" t="s">
        <v>42</v>
      </c>
      <c r="C41" s="78" t="s">
        <v>78</v>
      </c>
      <c r="D41" s="335"/>
    </row>
    <row r="42" spans="2:15" ht="13.5" hidden="1" thickBot="1"/>
    <row r="43" spans="2:15" ht="12.75" hidden="1" customHeight="1" thickBot="1">
      <c r="B43" s="592" t="s">
        <v>17</v>
      </c>
      <c r="C43" s="594" t="s">
        <v>18</v>
      </c>
      <c r="D43" s="594" t="s">
        <v>44</v>
      </c>
      <c r="E43" s="594" t="s">
        <v>79</v>
      </c>
      <c r="F43" s="594" t="s">
        <v>51</v>
      </c>
      <c r="G43" s="594" t="s">
        <v>48</v>
      </c>
      <c r="H43" s="609" t="s">
        <v>28</v>
      </c>
      <c r="I43" s="610"/>
      <c r="J43" s="610"/>
      <c r="K43" s="598" t="s">
        <v>27</v>
      </c>
    </row>
    <row r="44" spans="2:15" ht="15.75" hidden="1" customHeight="1" thickBot="1">
      <c r="B44" s="605"/>
      <c r="C44" s="606"/>
      <c r="D44" s="606"/>
      <c r="E44" s="606"/>
      <c r="F44" s="606"/>
      <c r="G44" s="606"/>
      <c r="H44" s="611"/>
      <c r="I44" s="612"/>
      <c r="J44" s="612"/>
      <c r="K44" s="602"/>
      <c r="L44" s="86"/>
      <c r="M44" s="86"/>
      <c r="N44" s="86"/>
      <c r="O44" s="86"/>
    </row>
    <row r="45" spans="2:15" ht="15" hidden="1" customHeight="1" thickBot="1">
      <c r="B45" s="87"/>
      <c r="C45" s="160"/>
      <c r="D45" s="161"/>
      <c r="E45" s="163"/>
      <c r="F45" s="164"/>
      <c r="G45" s="162"/>
      <c r="H45" s="603"/>
      <c r="I45" s="604"/>
      <c r="J45" s="604"/>
      <c r="K45" s="165"/>
      <c r="L45" s="166"/>
      <c r="N45" s="95"/>
    </row>
    <row r="46" spans="2:15" ht="13.5" hidden="1" thickBot="1">
      <c r="B46" s="99"/>
      <c r="C46" s="160"/>
      <c r="D46" s="167"/>
      <c r="E46" s="163"/>
      <c r="F46" s="168"/>
      <c r="G46" s="162"/>
      <c r="H46" s="613"/>
      <c r="I46" s="614"/>
      <c r="J46" s="614"/>
      <c r="K46" s="169"/>
      <c r="L46" s="166"/>
      <c r="M46" s="97"/>
      <c r="N46" s="95"/>
      <c r="O46" s="100"/>
    </row>
    <row r="47" spans="2:15" ht="13.5" hidden="1" thickBot="1">
      <c r="B47" s="99"/>
      <c r="C47" s="160"/>
      <c r="D47" s="103"/>
      <c r="E47" s="170"/>
      <c r="F47" s="168"/>
      <c r="G47" s="162"/>
      <c r="H47" s="613"/>
      <c r="I47" s="614"/>
      <c r="J47" s="614"/>
      <c r="K47" s="169"/>
    </row>
    <row r="48" spans="2:15" ht="13.5" hidden="1" thickBot="1">
      <c r="B48" s="102"/>
      <c r="C48" s="160"/>
      <c r="D48" s="167"/>
      <c r="E48" s="128"/>
      <c r="F48" s="168"/>
      <c r="G48" s="171"/>
      <c r="H48" s="613"/>
      <c r="I48" s="614"/>
      <c r="J48" s="614"/>
      <c r="K48" s="172"/>
    </row>
    <row r="49" spans="2:11" ht="13.5" hidden="1" thickBot="1">
      <c r="B49" s="101"/>
      <c r="C49" s="160"/>
      <c r="D49" s="167"/>
      <c r="E49" s="170"/>
      <c r="F49" s="163"/>
      <c r="G49" s="162"/>
      <c r="H49" s="607"/>
      <c r="I49" s="608"/>
      <c r="J49" s="608"/>
      <c r="K49" s="172"/>
    </row>
    <row r="50" spans="2:11" ht="13.5" hidden="1" thickBot="1">
      <c r="B50" s="173"/>
      <c r="C50" s="160"/>
      <c r="E50" s="168"/>
      <c r="F50" s="168"/>
      <c r="G50" s="145"/>
      <c r="H50" s="607"/>
      <c r="I50" s="608"/>
      <c r="J50" s="608"/>
      <c r="K50" s="172"/>
    </row>
    <row r="51" spans="2:11" ht="13.5" hidden="1" thickBot="1">
      <c r="B51" s="174"/>
      <c r="C51" s="160"/>
      <c r="D51" s="167"/>
      <c r="E51" s="175"/>
      <c r="F51" s="175"/>
      <c r="G51" s="176"/>
      <c r="H51" s="607"/>
      <c r="I51" s="608"/>
      <c r="J51" s="608"/>
      <c r="K51" s="177"/>
    </row>
    <row r="52" spans="2:11" ht="13.5" hidden="1" thickBot="1">
      <c r="B52" s="178"/>
      <c r="C52" s="179"/>
      <c r="D52" s="180"/>
      <c r="E52" s="181"/>
      <c r="F52" s="181"/>
      <c r="G52" s="182"/>
      <c r="H52" s="615"/>
      <c r="I52" s="616"/>
      <c r="J52" s="616"/>
      <c r="K52" s="183"/>
    </row>
    <row r="53" spans="2:11" ht="13.5" thickBot="1">
      <c r="B53" s="184"/>
      <c r="C53" s="117"/>
      <c r="D53" s="617" t="s">
        <v>80</v>
      </c>
      <c r="E53" s="617"/>
      <c r="F53" s="617"/>
      <c r="G53" s="617"/>
      <c r="H53" s="617"/>
      <c r="I53" s="617"/>
      <c r="J53" s="617"/>
      <c r="K53" s="185"/>
    </row>
    <row r="54" spans="2:11" ht="13.5" thickBot="1">
      <c r="B54" s="618" t="s">
        <v>55</v>
      </c>
      <c r="C54" s="619"/>
      <c r="D54" s="619"/>
      <c r="E54" s="620"/>
      <c r="F54" s="618" t="s">
        <v>56</v>
      </c>
      <c r="G54" s="619"/>
      <c r="H54" s="620"/>
      <c r="I54" s="621" t="s">
        <v>81</v>
      </c>
      <c r="J54" s="622"/>
      <c r="K54" s="623"/>
    </row>
    <row r="55" spans="2:11">
      <c r="B55" s="186" t="s">
        <v>17</v>
      </c>
      <c r="C55" s="187" t="s">
        <v>36</v>
      </c>
      <c r="D55" s="187" t="s">
        <v>38</v>
      </c>
      <c r="E55" s="188" t="s">
        <v>39</v>
      </c>
      <c r="F55" s="187" t="s">
        <v>36</v>
      </c>
      <c r="G55" s="187" t="s">
        <v>38</v>
      </c>
      <c r="H55" s="188" t="s">
        <v>39</v>
      </c>
      <c r="I55" s="189" t="s">
        <v>36</v>
      </c>
      <c r="J55" s="189" t="s">
        <v>38</v>
      </c>
      <c r="K55" s="190" t="s">
        <v>39</v>
      </c>
    </row>
    <row r="56" spans="2:11" ht="15">
      <c r="B56" s="29" t="s">
        <v>64</v>
      </c>
      <c r="C56" s="191"/>
      <c r="D56" s="76">
        <f>'[39]YTD 2026'!$E5</f>
        <v>6.3254052153133342</v>
      </c>
      <c r="E56" s="192">
        <v>5</v>
      </c>
      <c r="F56" s="191"/>
      <c r="G56" s="76">
        <f>[18]October_2026!$AQ3</f>
        <v>6.5119919624520195</v>
      </c>
      <c r="H56" s="192">
        <v>5</v>
      </c>
      <c r="I56" s="193"/>
      <c r="J56" s="194">
        <f>[19]October_2026!$AQ13</f>
        <v>0.56616961200619287</v>
      </c>
      <c r="K56" s="195">
        <v>1</v>
      </c>
    </row>
    <row r="57" spans="2:11" ht="15">
      <c r="B57" s="33" t="s">
        <v>72</v>
      </c>
      <c r="C57" s="191"/>
      <c r="D57" s="76">
        <f>'[39]YTD 2026'!$E6</f>
        <v>6.0120934601385283</v>
      </c>
      <c r="E57" s="192">
        <v>5</v>
      </c>
      <c r="F57" s="191"/>
      <c r="G57" s="76">
        <f>[18]October_2026!$AQ4</f>
        <v>5.9217471497494181</v>
      </c>
      <c r="H57" s="192">
        <v>5</v>
      </c>
      <c r="I57" s="196"/>
      <c r="J57" s="194">
        <f>[19]October_2026!$AQ14</f>
        <v>0.68123957181115813</v>
      </c>
      <c r="K57" s="195">
        <v>1</v>
      </c>
    </row>
    <row r="58" spans="2:11" ht="15">
      <c r="B58" s="34" t="s">
        <v>73</v>
      </c>
      <c r="C58" s="191"/>
      <c r="D58" s="76">
        <f>'[39]YTD 2026'!$E7</f>
        <v>10.890214570112384</v>
      </c>
      <c r="E58" s="192">
        <v>5</v>
      </c>
      <c r="F58" s="191"/>
      <c r="G58" s="76">
        <f>[18]October_2026!$AQ5</f>
        <v>11.797659278069149</v>
      </c>
      <c r="H58" s="192">
        <v>5</v>
      </c>
      <c r="I58" s="196"/>
      <c r="J58" s="194">
        <f>[19]October_2026!$AQ15</f>
        <v>0.35370190356844494</v>
      </c>
      <c r="K58" s="195">
        <v>1</v>
      </c>
    </row>
    <row r="59" spans="2:11" ht="15">
      <c r="B59" s="197" t="s">
        <v>74</v>
      </c>
      <c r="C59" s="191"/>
      <c r="D59" s="76">
        <f>'[39]YTD 2026'!$E8</f>
        <v>4.6053599467161712</v>
      </c>
      <c r="E59" s="192">
        <v>3.5</v>
      </c>
      <c r="F59" s="191"/>
      <c r="G59" s="76">
        <f>[18]October_2026!$AQ6</f>
        <v>4.7835858167498584</v>
      </c>
      <c r="H59" s="192">
        <v>3.5</v>
      </c>
      <c r="I59" s="196"/>
      <c r="J59" s="194">
        <f>[19]October_2026!$AQ16</f>
        <v>0.83244019138755987</v>
      </c>
      <c r="K59" s="195">
        <v>1</v>
      </c>
    </row>
    <row r="60" spans="2:11" ht="15.75" thickBot="1">
      <c r="B60" s="38" t="s">
        <v>160</v>
      </c>
      <c r="C60" s="191"/>
      <c r="D60" s="76" t="e">
        <f>'[39]YTD 2026'!$E9</f>
        <v>#DIV/0!</v>
      </c>
      <c r="E60" s="192">
        <v>3.5</v>
      </c>
      <c r="F60" s="198"/>
      <c r="G60" s="76" t="e">
        <f>[18]October_2026!$AQ7</f>
        <v>#DIV/0!</v>
      </c>
      <c r="H60" s="192">
        <v>3.5</v>
      </c>
      <c r="I60" s="196"/>
      <c r="J60" s="194" t="e">
        <f>[19]October_2026!$AQ17</f>
        <v>#DIV/0!</v>
      </c>
      <c r="K60" s="195">
        <v>1</v>
      </c>
    </row>
    <row r="61" spans="2:11" ht="15">
      <c r="B61" s="199" t="s">
        <v>76</v>
      </c>
      <c r="C61" s="191"/>
      <c r="D61" s="76">
        <f>'[39]YTD 2026'!$E10</f>
        <v>6.3233965672990236</v>
      </c>
      <c r="E61" s="200">
        <v>5</v>
      </c>
      <c r="F61" s="191"/>
      <c r="G61" s="76">
        <f>[18]October_2026!$AQ8</f>
        <v>7.9667553186446929</v>
      </c>
      <c r="H61" s="200">
        <v>5</v>
      </c>
      <c r="I61" s="196"/>
      <c r="J61" s="194">
        <f>[19]October_2026!$AQ18</f>
        <v>0.5883625730994152</v>
      </c>
      <c r="K61" s="195">
        <v>1</v>
      </c>
    </row>
    <row r="62" spans="2:11" ht="15">
      <c r="B62" s="201" t="s">
        <v>82</v>
      </c>
      <c r="C62" s="202"/>
      <c r="D62" s="76">
        <f>'[39]YTD 2026'!$E11</f>
        <v>3.7586797925639486</v>
      </c>
      <c r="E62" s="200">
        <v>3.3</v>
      </c>
      <c r="F62" s="202"/>
      <c r="G62" s="76">
        <f>[18]October_2026!$AQ9</f>
        <v>5.0257518320273871</v>
      </c>
      <c r="H62" s="200">
        <v>3.3</v>
      </c>
      <c r="I62" s="203"/>
      <c r="J62" s="194">
        <f>[19]October_2026!$AQ19</f>
        <v>0.87835004177109433</v>
      </c>
      <c r="K62" s="204">
        <v>1</v>
      </c>
    </row>
    <row r="63" spans="2:11" ht="15.75" thickBot="1">
      <c r="B63" s="38" t="s">
        <v>128</v>
      </c>
      <c r="C63" s="205"/>
      <c r="D63" s="76" t="e">
        <f>'[39]YTD 2026'!$E12</f>
        <v>#DIV/0!</v>
      </c>
      <c r="E63" s="206">
        <v>3.5</v>
      </c>
      <c r="F63" s="205"/>
      <c r="G63" s="76" t="e">
        <f>[18]October_2026!$AQ10</f>
        <v>#DIV/0!</v>
      </c>
      <c r="H63" s="206">
        <v>3.5</v>
      </c>
      <c r="I63" s="207"/>
      <c r="J63" s="194" t="e">
        <f>[19]October_2026!$AQ20</f>
        <v>#DIV/0!</v>
      </c>
      <c r="K63" s="208">
        <v>1</v>
      </c>
    </row>
    <row r="64" spans="2:11" ht="15.75" thickBot="1">
      <c r="B64" s="412" t="s">
        <v>159</v>
      </c>
      <c r="C64" s="205"/>
      <c r="D64" s="76" t="e">
        <f>'[39]YTD 2026'!$E13</f>
        <v>#DIV/0!</v>
      </c>
      <c r="E64" s="206">
        <v>5</v>
      </c>
      <c r="F64" s="205"/>
      <c r="G64" s="76" t="e">
        <f>[18]October_2026!$AQ11</f>
        <v>#DIV/0!</v>
      </c>
      <c r="H64" s="206">
        <v>5</v>
      </c>
      <c r="I64" s="207"/>
      <c r="J64" s="194" t="e">
        <f>[19]October_2026!$AQ21</f>
        <v>#DIV/0!</v>
      </c>
      <c r="K64" s="208">
        <v>1</v>
      </c>
    </row>
    <row r="65" spans="2:11">
      <c r="B65" s="209"/>
      <c r="C65" s="210"/>
      <c r="D65" s="76">
        <f>'[39]YTD 2026'!$E14</f>
        <v>6.2445290482673048</v>
      </c>
      <c r="E65" s="210"/>
      <c r="F65" s="210"/>
      <c r="G65" s="76">
        <f>[18]October_2026!$AQ12</f>
        <v>6.5941177554311183</v>
      </c>
      <c r="H65" s="211"/>
      <c r="I65" s="212"/>
      <c r="J65" s="194">
        <f>[19]October_2026!$AQ22</f>
        <v>0.61301750438848246</v>
      </c>
      <c r="K65" s="213"/>
    </row>
    <row r="66" spans="2:11">
      <c r="C66" s="214"/>
      <c r="F66" s="95"/>
    </row>
    <row r="67" spans="2:11">
      <c r="C67" s="214"/>
    </row>
    <row r="73" spans="2:11" ht="18" customHeight="1"/>
  </sheetData>
  <mergeCells count="30">
    <mergeCell ref="H52:J52"/>
    <mergeCell ref="D53:J53"/>
    <mergeCell ref="B54:E54"/>
    <mergeCell ref="F54:H54"/>
    <mergeCell ref="I54:K54"/>
    <mergeCell ref="H51:J51"/>
    <mergeCell ref="F43:F44"/>
    <mergeCell ref="G43:G44"/>
    <mergeCell ref="H43:J44"/>
    <mergeCell ref="H46:J46"/>
    <mergeCell ref="H47:J47"/>
    <mergeCell ref="H48:J48"/>
    <mergeCell ref="H49:J49"/>
    <mergeCell ref="H50:J50"/>
    <mergeCell ref="F21:G21"/>
    <mergeCell ref="K43:K44"/>
    <mergeCell ref="H45:J45"/>
    <mergeCell ref="B43:B44"/>
    <mergeCell ref="C43:C44"/>
    <mergeCell ref="D43:D44"/>
    <mergeCell ref="E43:E44"/>
    <mergeCell ref="B2:K2"/>
    <mergeCell ref="C4:D4"/>
    <mergeCell ref="B8:B9"/>
    <mergeCell ref="C8:C9"/>
    <mergeCell ref="D8:D9"/>
    <mergeCell ref="G8:G9"/>
    <mergeCell ref="H8:H9"/>
    <mergeCell ref="I8:I9"/>
    <mergeCell ref="K8:K9"/>
  </mergeCells>
  <printOptions horizontalCentered="1"/>
  <pageMargins left="0.25" right="0.24" top="0.5" bottom="0.5" header="0.5" footer="0.5"/>
  <pageSetup scale="90" orientation="portrait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FDA13-74B1-4009-90C9-5A553EBA7938}">
  <sheetPr codeName="Sheet20">
    <tabColor rgb="FFFFFF00"/>
  </sheetPr>
  <dimension ref="A1:M38"/>
  <sheetViews>
    <sheetView topLeftCell="B16" workbookViewId="0">
      <selection activeCell="E70" sqref="E70"/>
    </sheetView>
  </sheetViews>
  <sheetFormatPr defaultRowHeight="12.75"/>
  <cols>
    <col min="2" max="2" width="9.5703125" customWidth="1"/>
    <col min="3" max="3" width="11" customWidth="1"/>
    <col min="4" max="4" width="13.5703125" customWidth="1"/>
    <col min="5" max="5" width="15.5703125" customWidth="1"/>
    <col min="11" max="11" width="10.42578125" bestFit="1" customWidth="1"/>
    <col min="12" max="12" width="15.42578125" bestFit="1" customWidth="1"/>
    <col min="13" max="13" width="12.28515625" bestFit="1" customWidth="1"/>
  </cols>
  <sheetData>
    <row r="1" spans="1:13" ht="15">
      <c r="A1" s="215"/>
      <c r="B1" s="215"/>
      <c r="C1" s="215"/>
      <c r="D1" s="215"/>
      <c r="E1" s="215"/>
      <c r="F1" s="215"/>
      <c r="G1" s="215"/>
      <c r="H1" s="215"/>
      <c r="I1" s="215"/>
      <c r="J1" s="215"/>
      <c r="K1" s="215"/>
    </row>
    <row r="2" spans="1:13" ht="15.75">
      <c r="A2" s="215"/>
      <c r="B2" s="624" t="s">
        <v>34</v>
      </c>
      <c r="C2" s="624"/>
      <c r="D2" s="624"/>
      <c r="E2" s="215"/>
      <c r="F2" s="215"/>
      <c r="G2" s="215"/>
      <c r="H2" s="215"/>
      <c r="I2" s="215"/>
      <c r="J2" s="215"/>
      <c r="K2" s="215"/>
    </row>
    <row r="3" spans="1:13" s="219" customFormat="1" ht="15.75">
      <c r="A3" s="216"/>
      <c r="B3" s="217" t="s">
        <v>84</v>
      </c>
      <c r="C3" s="218" t="s">
        <v>85</v>
      </c>
      <c r="D3" s="218" t="s">
        <v>86</v>
      </c>
      <c r="E3" s="218" t="s">
        <v>87</v>
      </c>
      <c r="F3" s="218" t="s">
        <v>88</v>
      </c>
      <c r="G3" s="218" t="s">
        <v>89</v>
      </c>
      <c r="H3" s="218" t="s">
        <v>90</v>
      </c>
      <c r="I3" s="218" t="s">
        <v>91</v>
      </c>
      <c r="J3" s="218" t="s">
        <v>92</v>
      </c>
      <c r="K3" s="218" t="s">
        <v>93</v>
      </c>
      <c r="L3" s="218" t="s">
        <v>94</v>
      </c>
      <c r="M3" s="218" t="s">
        <v>95</v>
      </c>
    </row>
    <row r="4" spans="1:13" ht="15">
      <c r="A4" s="215"/>
      <c r="B4" s="220">
        <v>98</v>
      </c>
      <c r="C4" s="221" t="s">
        <v>64</v>
      </c>
      <c r="D4" s="222"/>
      <c r="E4" s="223"/>
      <c r="F4" s="223"/>
      <c r="G4" s="223"/>
      <c r="H4" s="223"/>
      <c r="I4" s="223"/>
      <c r="J4" s="223"/>
      <c r="K4" s="223"/>
      <c r="L4" s="223"/>
    </row>
    <row r="5" spans="1:13" ht="15">
      <c r="A5" s="215"/>
      <c r="B5" s="220">
        <v>98</v>
      </c>
      <c r="C5" s="224" t="s">
        <v>72</v>
      </c>
      <c r="D5" s="223"/>
      <c r="E5" s="223"/>
      <c r="F5" s="223"/>
      <c r="G5" s="223"/>
      <c r="H5" s="223"/>
      <c r="I5" s="223"/>
      <c r="J5" s="223"/>
      <c r="K5" s="223"/>
      <c r="L5" s="223"/>
    </row>
    <row r="6" spans="1:13" ht="15">
      <c r="A6" s="215"/>
      <c r="B6" s="220">
        <v>98</v>
      </c>
      <c r="C6" s="225" t="s">
        <v>96</v>
      </c>
      <c r="D6" s="222"/>
      <c r="E6" s="223"/>
      <c r="F6" s="223"/>
      <c r="G6" s="223"/>
      <c r="H6" s="223"/>
      <c r="I6" s="223"/>
      <c r="J6" s="223"/>
      <c r="K6" s="223"/>
      <c r="L6" s="223"/>
    </row>
    <row r="7" spans="1:13" ht="15">
      <c r="A7" s="215"/>
      <c r="B7" s="220">
        <v>98</v>
      </c>
      <c r="C7" s="226" t="s">
        <v>76</v>
      </c>
      <c r="D7" s="223"/>
      <c r="E7" s="223"/>
      <c r="F7" s="223"/>
      <c r="G7" s="223"/>
      <c r="H7" s="223"/>
      <c r="I7" s="223"/>
      <c r="J7" s="223"/>
      <c r="K7" s="223"/>
      <c r="L7" s="223"/>
    </row>
    <row r="8" spans="1:13" ht="15">
      <c r="A8" s="215"/>
      <c r="B8" s="220">
        <v>98</v>
      </c>
      <c r="C8" s="227" t="s">
        <v>83</v>
      </c>
      <c r="D8" s="222"/>
      <c r="E8" s="223"/>
      <c r="F8" s="223"/>
      <c r="G8" s="223"/>
      <c r="H8" s="223"/>
      <c r="I8" s="223"/>
      <c r="J8" s="223"/>
      <c r="K8" s="223"/>
      <c r="L8" s="223"/>
    </row>
    <row r="9" spans="1:13" ht="15">
      <c r="A9" s="215"/>
      <c r="B9" s="220">
        <v>98</v>
      </c>
      <c r="C9" s="228" t="s">
        <v>97</v>
      </c>
      <c r="D9" s="223"/>
      <c r="E9" s="223"/>
      <c r="F9" s="223"/>
      <c r="G9" s="223"/>
      <c r="H9" s="223"/>
      <c r="I9" s="223"/>
      <c r="J9" s="223"/>
      <c r="K9" s="223"/>
      <c r="L9" s="223"/>
    </row>
    <row r="10" spans="1:13" ht="15">
      <c r="A10" s="215"/>
      <c r="B10" s="220">
        <v>98</v>
      </c>
      <c r="C10" s="229" t="s">
        <v>98</v>
      </c>
      <c r="D10" s="222"/>
      <c r="E10" s="223"/>
      <c r="F10" s="223"/>
      <c r="G10" s="223"/>
      <c r="H10" s="223"/>
      <c r="I10" s="223"/>
      <c r="J10" s="223"/>
      <c r="K10" s="223"/>
      <c r="L10" s="223"/>
    </row>
    <row r="11" spans="1:13" ht="15">
      <c r="A11" s="215"/>
      <c r="B11" s="220">
        <v>98</v>
      </c>
      <c r="C11" s="230" t="s">
        <v>74</v>
      </c>
      <c r="D11" s="223"/>
      <c r="E11" s="223"/>
      <c r="F11" s="223"/>
      <c r="G11" s="223"/>
      <c r="H11" s="223"/>
      <c r="I11" s="223"/>
      <c r="J11" s="223"/>
      <c r="K11" s="223"/>
      <c r="L11" s="223"/>
    </row>
    <row r="12" spans="1:13" s="219" customFormat="1" ht="15.75">
      <c r="A12" s="216"/>
      <c r="B12" s="231">
        <v>98</v>
      </c>
      <c r="C12" s="232" t="s">
        <v>99</v>
      </c>
      <c r="D12" s="233"/>
      <c r="E12" s="234"/>
      <c r="F12" s="234"/>
      <c r="G12" s="234"/>
      <c r="H12" s="234"/>
      <c r="I12" s="234"/>
      <c r="J12" s="234"/>
      <c r="K12" s="234"/>
      <c r="L12" s="234"/>
    </row>
    <row r="13" spans="1:13" ht="15">
      <c r="A13" s="215"/>
      <c r="B13" s="215"/>
      <c r="C13" s="215"/>
      <c r="D13" s="215"/>
      <c r="E13" s="215"/>
      <c r="F13" s="215"/>
      <c r="G13" s="215"/>
      <c r="H13" s="215"/>
      <c r="I13" s="215"/>
      <c r="J13" s="215"/>
      <c r="K13" s="215"/>
    </row>
    <row r="14" spans="1:13" ht="15.75">
      <c r="A14" s="215"/>
      <c r="B14" s="624" t="s">
        <v>100</v>
      </c>
      <c r="C14" s="624"/>
      <c r="D14" s="624"/>
      <c r="E14" s="215"/>
      <c r="F14" s="215"/>
      <c r="G14" s="215"/>
      <c r="H14" s="215"/>
      <c r="I14" s="215"/>
      <c r="J14" s="215"/>
      <c r="K14" s="215"/>
    </row>
    <row r="15" spans="1:13" ht="15.75">
      <c r="A15" s="215"/>
      <c r="B15" s="217" t="s">
        <v>84</v>
      </c>
      <c r="C15" s="218" t="s">
        <v>85</v>
      </c>
      <c r="D15" s="218" t="s">
        <v>86</v>
      </c>
      <c r="E15" s="218" t="s">
        <v>87</v>
      </c>
      <c r="F15" s="218" t="s">
        <v>88</v>
      </c>
      <c r="G15" s="218" t="s">
        <v>89</v>
      </c>
      <c r="H15" s="218" t="s">
        <v>90</v>
      </c>
      <c r="I15" s="218" t="s">
        <v>91</v>
      </c>
      <c r="J15" s="218" t="s">
        <v>92</v>
      </c>
      <c r="K15" s="218" t="s">
        <v>93</v>
      </c>
      <c r="L15" s="218" t="s">
        <v>94</v>
      </c>
      <c r="M15" s="218" t="s">
        <v>95</v>
      </c>
    </row>
    <row r="16" spans="1:13" ht="15">
      <c r="A16" s="215"/>
      <c r="B16" s="220">
        <v>4.8</v>
      </c>
      <c r="C16" s="221" t="s">
        <v>64</v>
      </c>
      <c r="D16" s="222"/>
      <c r="E16" s="222"/>
      <c r="F16" s="222"/>
      <c r="G16" s="222"/>
      <c r="H16" s="222"/>
      <c r="I16" s="222"/>
      <c r="J16" s="222"/>
      <c r="K16" s="222"/>
      <c r="L16" s="222"/>
      <c r="M16" s="222"/>
    </row>
    <row r="17" spans="1:13" ht="15">
      <c r="A17" s="215"/>
      <c r="B17" s="220">
        <v>4.8</v>
      </c>
      <c r="C17" s="224" t="s">
        <v>72</v>
      </c>
      <c r="D17" s="223"/>
      <c r="E17" s="223"/>
      <c r="F17" s="223"/>
      <c r="G17" s="223"/>
      <c r="H17" s="223"/>
      <c r="I17" s="223"/>
      <c r="J17" s="223"/>
      <c r="K17" s="223"/>
      <c r="L17" s="223"/>
      <c r="M17" s="223"/>
    </row>
    <row r="18" spans="1:13" ht="15">
      <c r="A18" s="215"/>
      <c r="B18" s="220">
        <v>5.5</v>
      </c>
      <c r="C18" s="225" t="s">
        <v>96</v>
      </c>
      <c r="D18" s="222"/>
      <c r="E18" s="222"/>
      <c r="F18" s="222"/>
      <c r="G18" s="222"/>
      <c r="H18" s="222"/>
      <c r="I18" s="222"/>
      <c r="J18" s="222"/>
      <c r="K18" s="222"/>
      <c r="L18" s="222"/>
      <c r="M18" s="222"/>
    </row>
    <row r="19" spans="1:13" ht="15">
      <c r="A19" s="215"/>
      <c r="B19" s="220">
        <v>3.3</v>
      </c>
      <c r="C19" s="230" t="s">
        <v>74</v>
      </c>
      <c r="D19" s="223"/>
      <c r="E19" s="223"/>
      <c r="F19" s="223"/>
      <c r="G19" s="223"/>
      <c r="H19" s="223"/>
      <c r="I19" s="223"/>
      <c r="J19" s="223"/>
      <c r="K19" s="223"/>
      <c r="L19" s="223"/>
      <c r="M19" s="223"/>
    </row>
    <row r="20" spans="1:13" ht="15">
      <c r="A20" s="215"/>
      <c r="B20" s="220">
        <v>3.3</v>
      </c>
      <c r="C20" s="228" t="s">
        <v>97</v>
      </c>
      <c r="D20" s="222"/>
      <c r="E20" s="222"/>
      <c r="F20" s="222"/>
      <c r="G20" s="222"/>
      <c r="H20" s="222"/>
      <c r="I20" s="222"/>
      <c r="J20" s="222"/>
      <c r="K20" s="222"/>
      <c r="L20" s="222"/>
      <c r="M20" s="222"/>
    </row>
    <row r="21" spans="1:13" ht="15">
      <c r="A21" s="215"/>
      <c r="B21" s="220">
        <v>5.5</v>
      </c>
      <c r="C21" s="226" t="s">
        <v>76</v>
      </c>
      <c r="D21" s="223"/>
      <c r="E21" s="223"/>
      <c r="F21" s="223"/>
      <c r="G21" s="223"/>
      <c r="H21" s="223"/>
      <c r="I21" s="223"/>
      <c r="J21" s="223"/>
      <c r="K21" s="223"/>
      <c r="L21" s="223"/>
      <c r="M21" s="223"/>
    </row>
    <row r="22" spans="1:13" ht="15">
      <c r="A22" s="215"/>
      <c r="B22" s="220">
        <v>3.3</v>
      </c>
      <c r="C22" s="229" t="s">
        <v>98</v>
      </c>
      <c r="D22" s="222"/>
      <c r="E22" s="222"/>
      <c r="F22" s="222"/>
      <c r="G22" s="222"/>
      <c r="H22" s="222"/>
      <c r="I22" s="222"/>
      <c r="J22" s="222"/>
      <c r="K22" s="222"/>
      <c r="L22" s="222"/>
      <c r="M22" s="222"/>
    </row>
    <row r="23" spans="1:13" ht="15">
      <c r="A23" s="215"/>
      <c r="B23" s="220">
        <v>7.5</v>
      </c>
      <c r="C23" s="227" t="s">
        <v>83</v>
      </c>
      <c r="D23" s="223"/>
      <c r="E23" s="223"/>
      <c r="F23" s="223"/>
      <c r="G23" s="223"/>
      <c r="H23" s="223"/>
      <c r="I23" s="223"/>
      <c r="J23" s="223"/>
      <c r="K23" s="223"/>
      <c r="L23" s="223"/>
      <c r="M23" s="223"/>
    </row>
    <row r="24" spans="1:13" s="219" customFormat="1" ht="15.75">
      <c r="A24" s="216"/>
      <c r="B24" s="216"/>
      <c r="C24" s="232" t="s">
        <v>99</v>
      </c>
      <c r="D24" s="233"/>
      <c r="E24" s="233"/>
      <c r="F24" s="233"/>
      <c r="G24" s="233"/>
      <c r="H24" s="233"/>
      <c r="I24" s="233"/>
      <c r="J24" s="233"/>
      <c r="K24" s="233"/>
      <c r="L24" s="233"/>
      <c r="M24" s="233"/>
    </row>
    <row r="25" spans="1:13" ht="15">
      <c r="A25" s="215"/>
      <c r="B25" s="215"/>
      <c r="C25" s="215"/>
      <c r="D25" s="215"/>
      <c r="E25" s="215"/>
      <c r="F25" s="215"/>
      <c r="G25" s="215"/>
      <c r="H25" s="215"/>
      <c r="I25" s="215"/>
      <c r="J25" s="215"/>
      <c r="K25" s="215"/>
    </row>
    <row r="26" spans="1:13" ht="15">
      <c r="A26" s="215"/>
      <c r="B26" s="215"/>
      <c r="C26" s="215"/>
      <c r="D26" s="215"/>
      <c r="E26" s="215"/>
      <c r="F26" s="215"/>
      <c r="G26" s="215"/>
      <c r="H26" s="215"/>
      <c r="I26" s="215"/>
      <c r="J26" s="215"/>
      <c r="K26" s="215"/>
    </row>
    <row r="27" spans="1:13" ht="15.75">
      <c r="A27" s="215"/>
      <c r="B27" s="624" t="s">
        <v>101</v>
      </c>
      <c r="C27" s="624"/>
      <c r="D27" s="624"/>
      <c r="E27" s="215"/>
      <c r="F27" s="215"/>
      <c r="G27" s="215"/>
      <c r="H27" s="215"/>
      <c r="I27" s="215"/>
      <c r="J27" s="215"/>
      <c r="K27" s="215"/>
    </row>
    <row r="28" spans="1:13" ht="15.75">
      <c r="A28" s="215"/>
      <c r="B28" s="217" t="s">
        <v>84</v>
      </c>
      <c r="C28" s="235" t="s">
        <v>85</v>
      </c>
      <c r="D28" s="218" t="s">
        <v>86</v>
      </c>
      <c r="E28" s="218" t="s">
        <v>87</v>
      </c>
      <c r="F28" s="218" t="s">
        <v>88</v>
      </c>
      <c r="G28" s="218" t="s">
        <v>89</v>
      </c>
      <c r="H28" s="218" t="s">
        <v>90</v>
      </c>
      <c r="I28" s="218" t="s">
        <v>91</v>
      </c>
      <c r="J28" s="218" t="s">
        <v>92</v>
      </c>
      <c r="K28" s="218" t="s">
        <v>93</v>
      </c>
      <c r="L28" s="218" t="s">
        <v>94</v>
      </c>
      <c r="M28" s="218" t="s">
        <v>95</v>
      </c>
    </row>
    <row r="29" spans="1:13" ht="15">
      <c r="A29" s="215"/>
      <c r="B29" s="220">
        <v>4.5999999999999996</v>
      </c>
      <c r="C29" s="236" t="s">
        <v>64</v>
      </c>
      <c r="D29" s="222"/>
      <c r="E29" s="222"/>
      <c r="F29" s="222"/>
      <c r="G29" s="222"/>
      <c r="H29" s="222"/>
      <c r="I29" s="222"/>
      <c r="J29" s="237"/>
      <c r="K29" s="237"/>
      <c r="L29" s="237"/>
      <c r="M29" s="237"/>
    </row>
    <row r="30" spans="1:13" ht="15">
      <c r="A30" s="215"/>
      <c r="B30" s="220">
        <v>4.5999999999999996</v>
      </c>
      <c r="C30" s="238" t="s">
        <v>72</v>
      </c>
      <c r="D30" s="223"/>
      <c r="E30" s="223"/>
      <c r="F30" s="223"/>
      <c r="G30" s="223"/>
      <c r="H30" s="223"/>
      <c r="I30" s="223"/>
      <c r="J30" s="239"/>
      <c r="K30" s="239"/>
      <c r="L30" s="239"/>
      <c r="M30" s="239"/>
    </row>
    <row r="31" spans="1:13" ht="15">
      <c r="A31" s="215"/>
      <c r="B31" s="220">
        <v>5</v>
      </c>
      <c r="C31" s="240" t="s">
        <v>96</v>
      </c>
      <c r="D31" s="222"/>
      <c r="E31" s="222"/>
      <c r="F31" s="222"/>
      <c r="G31" s="222"/>
      <c r="H31" s="222"/>
      <c r="I31" s="222"/>
      <c r="J31" s="237"/>
      <c r="K31" s="237"/>
      <c r="L31" s="237"/>
      <c r="M31" s="237"/>
    </row>
    <row r="32" spans="1:13" ht="15">
      <c r="A32" s="215"/>
      <c r="B32" s="220">
        <v>5</v>
      </c>
      <c r="C32" s="241" t="s">
        <v>76</v>
      </c>
      <c r="D32" s="223"/>
      <c r="E32" s="223"/>
      <c r="F32" s="223"/>
      <c r="G32" s="223"/>
      <c r="H32" s="223"/>
      <c r="I32" s="223"/>
      <c r="J32" s="239"/>
      <c r="K32" s="239"/>
      <c r="L32" s="239"/>
      <c r="M32" s="239"/>
    </row>
    <row r="33" spans="1:13" ht="15">
      <c r="A33" s="215"/>
      <c r="B33" s="220">
        <v>7.5</v>
      </c>
      <c r="C33" s="242" t="s">
        <v>83</v>
      </c>
      <c r="D33" s="222"/>
      <c r="E33" s="222"/>
      <c r="F33" s="222"/>
      <c r="G33" s="222"/>
      <c r="H33" s="222"/>
      <c r="I33" s="222"/>
      <c r="J33" s="222"/>
      <c r="K33" s="222"/>
      <c r="L33" s="222"/>
      <c r="M33" s="243"/>
    </row>
    <row r="34" spans="1:13" ht="15">
      <c r="A34" s="215"/>
      <c r="B34" s="220">
        <v>3.3</v>
      </c>
      <c r="C34" s="244" t="s">
        <v>97</v>
      </c>
      <c r="D34" s="223"/>
      <c r="E34" s="223"/>
      <c r="F34" s="223"/>
      <c r="G34" s="223"/>
      <c r="H34" s="223"/>
      <c r="I34" s="223"/>
      <c r="J34" s="223"/>
      <c r="K34" s="223"/>
      <c r="L34" s="223"/>
      <c r="M34" s="245"/>
    </row>
    <row r="35" spans="1:13" ht="15">
      <c r="A35" s="215"/>
      <c r="B35" s="220">
        <v>3.3</v>
      </c>
      <c r="C35" s="246" t="s">
        <v>98</v>
      </c>
      <c r="D35" s="222"/>
      <c r="E35" s="222"/>
      <c r="F35" s="222"/>
      <c r="G35" s="222"/>
      <c r="H35" s="222"/>
      <c r="I35" s="222"/>
      <c r="J35" s="237"/>
      <c r="K35" s="237"/>
      <c r="L35" s="237"/>
      <c r="M35" s="237"/>
    </row>
    <row r="36" spans="1:13" ht="15">
      <c r="A36" s="215"/>
      <c r="B36" s="220">
        <v>3.3</v>
      </c>
      <c r="C36" s="247" t="s">
        <v>74</v>
      </c>
      <c r="D36" s="223"/>
      <c r="E36" s="223"/>
      <c r="F36" s="223"/>
      <c r="G36" s="223"/>
      <c r="H36" s="223"/>
      <c r="I36" s="223"/>
      <c r="J36" s="239"/>
      <c r="K36" s="239"/>
      <c r="L36" s="239"/>
      <c r="M36" s="239"/>
    </row>
    <row r="37" spans="1:13" ht="15.75">
      <c r="A37" s="215"/>
      <c r="B37" s="231">
        <v>4.5</v>
      </c>
      <c r="C37" s="248" t="s">
        <v>99</v>
      </c>
      <c r="D37" s="233"/>
      <c r="E37" s="233"/>
      <c r="F37" s="233"/>
      <c r="G37" s="233"/>
      <c r="H37" s="233"/>
      <c r="I37" s="233"/>
      <c r="J37" s="249"/>
      <c r="K37" s="249"/>
      <c r="L37" s="249"/>
      <c r="M37" s="249"/>
    </row>
    <row r="38" spans="1:13" ht="15">
      <c r="A38" s="215"/>
      <c r="B38" s="215"/>
      <c r="C38" s="215"/>
      <c r="D38" s="215"/>
      <c r="E38" s="215"/>
      <c r="F38" s="215"/>
      <c r="G38" s="215"/>
      <c r="H38" s="215"/>
      <c r="I38" s="215"/>
      <c r="J38" s="215"/>
      <c r="K38" s="215"/>
    </row>
  </sheetData>
  <mergeCells count="3">
    <mergeCell ref="B2:D2"/>
    <mergeCell ref="B14:D14"/>
    <mergeCell ref="B27:D27"/>
  </mergeCells>
  <pageMargins left="0.7" right="0.7" top="0.75" bottom="0.75" header="0.3" footer="0.3"/>
  <pageSetup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F381E-10D5-4CC1-8443-AB3C4DD2F491}">
  <sheetPr codeName="Sheet21">
    <tabColor rgb="FF92D050"/>
    <pageSetUpPr fitToPage="1"/>
  </sheetPr>
  <dimension ref="B2:W76"/>
  <sheetViews>
    <sheetView showGridLines="0" topLeftCell="A22" zoomScaleNormal="100" workbookViewId="0">
      <selection activeCell="M40" sqref="M40:M46"/>
    </sheetView>
  </sheetViews>
  <sheetFormatPr defaultRowHeight="12.75"/>
  <cols>
    <col min="1" max="1" width="2.42578125" customWidth="1"/>
    <col min="2" max="2" width="6.42578125" customWidth="1"/>
    <col min="3" max="3" width="25.42578125" customWidth="1"/>
    <col min="4" max="4" width="19.42578125" customWidth="1"/>
    <col min="5" max="5" width="15" customWidth="1"/>
    <col min="6" max="6" width="17.5703125" customWidth="1"/>
    <col min="7" max="7" width="13.42578125" customWidth="1"/>
    <col min="8" max="11" width="13.5703125" customWidth="1"/>
    <col min="12" max="12" width="17.42578125" bestFit="1" customWidth="1"/>
    <col min="13" max="15" width="17.42578125" customWidth="1"/>
    <col min="16" max="16" width="13.42578125" customWidth="1"/>
    <col min="17" max="17" width="8.5703125" customWidth="1"/>
    <col min="18" max="20" width="11.5703125" customWidth="1"/>
  </cols>
  <sheetData>
    <row r="2" spans="3:23" ht="15.75" thickBot="1">
      <c r="I2" s="250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</row>
    <row r="3" spans="3:23" ht="25.35" customHeight="1" thickTop="1" thickBot="1">
      <c r="C3" s="626" t="s">
        <v>102</v>
      </c>
      <c r="D3" s="627"/>
      <c r="E3" s="628">
        <f ca="1">TODAY()</f>
        <v>46311</v>
      </c>
      <c r="F3" s="628"/>
      <c r="G3" s="628"/>
      <c r="I3" s="251"/>
      <c r="J3" s="251"/>
      <c r="K3" s="251"/>
      <c r="L3" s="251"/>
      <c r="M3" s="251"/>
      <c r="N3" s="251"/>
      <c r="O3" s="251"/>
      <c r="P3" s="251"/>
      <c r="Q3" s="251"/>
      <c r="R3" s="251"/>
      <c r="S3" s="251"/>
      <c r="T3" s="251"/>
      <c r="U3" s="251"/>
      <c r="V3" s="251"/>
      <c r="W3" s="252"/>
    </row>
    <row r="4" spans="3:23" ht="20.100000000000001" customHeight="1" thickBot="1">
      <c r="C4" s="253" t="s">
        <v>103</v>
      </c>
      <c r="D4" s="254" t="s">
        <v>104</v>
      </c>
      <c r="E4" s="254" t="s">
        <v>37</v>
      </c>
      <c r="F4" s="255" t="s">
        <v>38</v>
      </c>
      <c r="G4" s="256" t="s">
        <v>84</v>
      </c>
      <c r="I4" s="251"/>
      <c r="J4" s="251"/>
      <c r="K4" s="251"/>
      <c r="L4" s="251"/>
      <c r="M4" s="251"/>
      <c r="N4" s="251"/>
      <c r="O4" s="251"/>
      <c r="P4" s="251"/>
      <c r="Q4" s="251"/>
      <c r="R4" s="251"/>
      <c r="S4" s="251"/>
      <c r="T4" s="251"/>
      <c r="U4" s="251"/>
      <c r="V4" s="251"/>
      <c r="W4" s="252"/>
    </row>
    <row r="5" spans="3:23" ht="20.100000000000001" customHeight="1">
      <c r="C5" s="257" t="s">
        <v>105</v>
      </c>
      <c r="D5" s="258"/>
      <c r="E5" s="259">
        <f>VLOOKUP($C5,$C$40:$P$45,7,FALSE)</f>
        <v>98.214734207097663</v>
      </c>
      <c r="F5" s="260">
        <f>VLOOKUP($C5,$C$40:$P$45,14,FALSE)</f>
        <v>97.953297795741619</v>
      </c>
      <c r="G5" s="261">
        <v>98</v>
      </c>
      <c r="I5" s="251"/>
      <c r="J5" s="262"/>
      <c r="K5" s="262"/>
      <c r="L5" s="262"/>
      <c r="M5" s="262"/>
      <c r="N5" s="262"/>
      <c r="O5" s="262"/>
      <c r="P5" s="262"/>
      <c r="Q5" s="262"/>
      <c r="R5" s="262"/>
      <c r="S5" s="262"/>
      <c r="T5" s="262"/>
      <c r="U5" s="251"/>
      <c r="V5" s="251"/>
      <c r="W5" s="252"/>
    </row>
    <row r="6" spans="3:23" ht="20.100000000000001" customHeight="1">
      <c r="C6" s="263" t="s">
        <v>106</v>
      </c>
      <c r="D6" s="258"/>
      <c r="E6" s="259">
        <f>VLOOKUP($C6,$C$40:$P$45,7,FALSE)</f>
        <v>97.831216272750581</v>
      </c>
      <c r="F6" s="260">
        <f>VLOOKUP($C6,$C$40:$P$45,14,FALSE)</f>
        <v>98.11994120800415</v>
      </c>
      <c r="G6" s="261">
        <v>98</v>
      </c>
      <c r="I6" s="251"/>
      <c r="J6" s="300"/>
      <c r="K6" s="299"/>
      <c r="L6" s="262"/>
      <c r="M6" s="262"/>
      <c r="N6" s="262"/>
      <c r="O6" s="262"/>
      <c r="P6" s="262"/>
      <c r="Q6" s="262"/>
      <c r="R6" s="262"/>
      <c r="S6" s="262"/>
      <c r="T6" s="262"/>
      <c r="U6" s="251"/>
      <c r="V6" s="251"/>
      <c r="W6" s="252"/>
    </row>
    <row r="7" spans="3:23" ht="20.100000000000001" customHeight="1">
      <c r="C7" s="263" t="s">
        <v>107</v>
      </c>
      <c r="D7" s="258"/>
      <c r="E7" s="259">
        <f>VLOOKUP($C7,$C$40:$P$45,7,FALSE)</f>
        <v>100.82497251003979</v>
      </c>
      <c r="F7" s="260">
        <f>VLOOKUP($C7,$C$40:$P$45,14,FALSE)</f>
        <v>99.564987122246436</v>
      </c>
      <c r="G7" s="261">
        <v>98</v>
      </c>
      <c r="I7" s="251"/>
      <c r="J7" s="262"/>
      <c r="K7" s="262"/>
      <c r="L7" s="262"/>
      <c r="M7" s="262"/>
      <c r="N7" s="262"/>
      <c r="O7" s="262"/>
      <c r="P7" s="262"/>
      <c r="Q7" s="262"/>
      <c r="R7" s="262"/>
      <c r="S7" s="262"/>
      <c r="T7" s="262"/>
      <c r="U7" s="251"/>
      <c r="V7" s="251"/>
      <c r="W7" s="252"/>
    </row>
    <row r="8" spans="3:23" ht="20.100000000000001" customHeight="1">
      <c r="C8" s="263" t="s">
        <v>108</v>
      </c>
      <c r="D8" s="258"/>
      <c r="E8" s="259">
        <f>VLOOKUP($C8,$C$40:$P$45,7,FALSE)</f>
        <v>97.759800403711807</v>
      </c>
      <c r="F8" s="260">
        <f>VLOOKUP($C8,$C$40:$P$45,14,FALSE)</f>
        <v>98.122212110291372</v>
      </c>
      <c r="G8" s="261">
        <v>98</v>
      </c>
      <c r="I8" s="251"/>
      <c r="J8" s="262"/>
      <c r="K8" s="262"/>
      <c r="L8" s="262"/>
      <c r="M8" s="262"/>
      <c r="N8" s="262"/>
      <c r="O8" s="262"/>
      <c r="P8" s="262"/>
      <c r="Q8" s="262"/>
      <c r="R8" s="262"/>
      <c r="S8" s="262"/>
      <c r="T8" s="262"/>
      <c r="U8" s="251"/>
      <c r="V8" s="251"/>
      <c r="W8" s="252"/>
    </row>
    <row r="9" spans="3:23" ht="20.100000000000001" customHeight="1">
      <c r="C9" s="263" t="s">
        <v>132</v>
      </c>
      <c r="D9" s="258"/>
      <c r="E9" s="259">
        <f>VLOOKUP($C9,$C$40:$P$45,7,FALSE)</f>
        <v>98.186950219332687</v>
      </c>
      <c r="F9" s="260">
        <f>VLOOKUP($C9,$C$40:$P$45,14,FALSE)</f>
        <v>98.089602299246422</v>
      </c>
      <c r="G9" s="261">
        <v>98</v>
      </c>
      <c r="I9" s="251"/>
      <c r="J9" s="262"/>
      <c r="K9" s="262"/>
      <c r="L9" s="262"/>
      <c r="M9" s="262"/>
      <c r="N9" s="262"/>
      <c r="O9" s="262"/>
      <c r="P9" s="262"/>
      <c r="Q9" s="262"/>
      <c r="R9" s="262"/>
      <c r="S9" s="262"/>
      <c r="T9" s="262"/>
      <c r="U9" s="251"/>
      <c r="V9" s="251"/>
      <c r="W9" s="252"/>
    </row>
    <row r="10" spans="3:23" ht="19.5" thickBot="1">
      <c r="C10" s="264" t="s">
        <v>99</v>
      </c>
      <c r="D10" s="265"/>
      <c r="E10" s="265">
        <f>AVERAGE(E5:E9)</f>
        <v>98.56353472258651</v>
      </c>
      <c r="F10" s="298" t="e">
        <f>P47</f>
        <v>#DIV/0!</v>
      </c>
      <c r="G10" s="261">
        <v>98</v>
      </c>
      <c r="I10" s="251"/>
      <c r="J10" s="262"/>
      <c r="K10" s="262"/>
      <c r="L10" s="262"/>
      <c r="M10" s="262"/>
      <c r="N10" s="262"/>
      <c r="O10" s="262"/>
      <c r="P10" s="262"/>
      <c r="Q10" s="262"/>
      <c r="R10" s="262"/>
      <c r="S10" s="262"/>
      <c r="T10" s="262"/>
      <c r="U10" s="251"/>
      <c r="V10" s="251"/>
      <c r="W10" s="252"/>
    </row>
    <row r="14" spans="3:23" ht="20.25" customHeight="1">
      <c r="C14" s="629" t="s">
        <v>143</v>
      </c>
      <c r="D14" s="629"/>
      <c r="E14" s="629"/>
      <c r="F14" s="629"/>
      <c r="G14" s="629"/>
      <c r="H14" s="629"/>
    </row>
    <row r="15" spans="3:23" ht="15" customHeight="1">
      <c r="C15" s="629"/>
      <c r="D15" s="629"/>
      <c r="E15" s="629"/>
      <c r="F15" s="629"/>
      <c r="G15" s="629"/>
      <c r="H15" s="629"/>
    </row>
    <row r="16" spans="3:23" ht="15" customHeight="1">
      <c r="C16" s="629"/>
      <c r="D16" s="629"/>
      <c r="E16" s="629"/>
      <c r="F16" s="629"/>
      <c r="G16" s="629"/>
      <c r="H16" s="629"/>
    </row>
    <row r="17" spans="3:8" ht="15" customHeight="1">
      <c r="C17" s="629"/>
      <c r="D17" s="629"/>
      <c r="E17" s="629"/>
      <c r="F17" s="629"/>
      <c r="G17" s="629"/>
      <c r="H17" s="629"/>
    </row>
    <row r="18" spans="3:8" ht="15" customHeight="1">
      <c r="C18" s="629"/>
      <c r="D18" s="629"/>
      <c r="E18" s="629"/>
      <c r="F18" s="629"/>
      <c r="G18" s="629"/>
      <c r="H18" s="629"/>
    </row>
    <row r="19" spans="3:8" ht="15" customHeight="1">
      <c r="C19" s="629"/>
      <c r="D19" s="629"/>
      <c r="E19" s="629"/>
      <c r="F19" s="629"/>
      <c r="G19" s="629"/>
      <c r="H19" s="629"/>
    </row>
    <row r="20" spans="3:8" ht="15" customHeight="1">
      <c r="C20" s="629"/>
      <c r="D20" s="629"/>
      <c r="E20" s="629"/>
      <c r="F20" s="629"/>
      <c r="G20" s="629"/>
      <c r="H20" s="629"/>
    </row>
    <row r="21" spans="3:8" ht="15" customHeight="1">
      <c r="C21" s="629"/>
      <c r="D21" s="629"/>
      <c r="E21" s="629"/>
      <c r="F21" s="629"/>
      <c r="G21" s="629"/>
      <c r="H21" s="629"/>
    </row>
    <row r="22" spans="3:8" ht="15" customHeight="1">
      <c r="C22" s="629"/>
      <c r="D22" s="629"/>
      <c r="E22" s="629"/>
      <c r="F22" s="629"/>
      <c r="G22" s="629"/>
      <c r="H22" s="629"/>
    </row>
    <row r="23" spans="3:8" ht="15" customHeight="1">
      <c r="C23" s="629"/>
      <c r="D23" s="629"/>
      <c r="E23" s="629"/>
      <c r="F23" s="629"/>
      <c r="G23" s="629"/>
      <c r="H23" s="629"/>
    </row>
    <row r="24" spans="3:8" ht="15" customHeight="1">
      <c r="C24" s="629"/>
      <c r="D24" s="629"/>
      <c r="E24" s="629"/>
      <c r="F24" s="629"/>
      <c r="G24" s="629"/>
      <c r="H24" s="629"/>
    </row>
    <row r="25" spans="3:8" ht="15" customHeight="1">
      <c r="C25" s="629"/>
      <c r="D25" s="629"/>
      <c r="E25" s="629"/>
      <c r="F25" s="629"/>
      <c r="G25" s="629"/>
      <c r="H25" s="629"/>
    </row>
    <row r="26" spans="3:8" ht="15" customHeight="1">
      <c r="C26" s="629"/>
      <c r="D26" s="629"/>
      <c r="E26" s="629"/>
      <c r="F26" s="629"/>
      <c r="G26" s="629"/>
      <c r="H26" s="629"/>
    </row>
    <row r="27" spans="3:8" ht="15" customHeight="1">
      <c r="C27" s="629"/>
      <c r="D27" s="629"/>
      <c r="E27" s="629"/>
      <c r="F27" s="629"/>
      <c r="G27" s="629"/>
      <c r="H27" s="629"/>
    </row>
    <row r="28" spans="3:8" ht="15" customHeight="1">
      <c r="C28" s="629"/>
      <c r="D28" s="629"/>
      <c r="E28" s="629"/>
      <c r="F28" s="629"/>
      <c r="G28" s="629"/>
      <c r="H28" s="629"/>
    </row>
    <row r="29" spans="3:8" ht="15" customHeight="1">
      <c r="C29" s="629"/>
      <c r="D29" s="629"/>
      <c r="E29" s="629"/>
      <c r="F29" s="629"/>
      <c r="G29" s="629"/>
      <c r="H29" s="629"/>
    </row>
    <row r="30" spans="3:8" ht="15" customHeight="1">
      <c r="C30" s="629"/>
      <c r="D30" s="629"/>
      <c r="E30" s="629"/>
      <c r="F30" s="629"/>
      <c r="G30" s="629"/>
      <c r="H30" s="629"/>
    </row>
    <row r="31" spans="3:8" ht="15" customHeight="1">
      <c r="C31" s="629"/>
      <c r="D31" s="629"/>
      <c r="E31" s="629"/>
      <c r="F31" s="629"/>
      <c r="G31" s="629"/>
      <c r="H31" s="629"/>
    </row>
    <row r="36" spans="2:17" ht="15" customHeight="1"/>
    <row r="37" spans="2:17" ht="15" customHeight="1"/>
    <row r="38" spans="2:17" ht="30.75" customHeight="1" thickBot="1">
      <c r="C38" s="630" t="s">
        <v>109</v>
      </c>
      <c r="D38" s="630"/>
      <c r="E38" s="630"/>
      <c r="F38" s="631">
        <f ca="1">TODAY()</f>
        <v>46311</v>
      </c>
      <c r="G38" s="631"/>
      <c r="H38" s="631"/>
      <c r="I38" s="631"/>
      <c r="J38" s="632" t="s">
        <v>110</v>
      </c>
      <c r="K38" s="632"/>
      <c r="L38" s="632"/>
      <c r="M38" s="632"/>
      <c r="N38" s="632"/>
      <c r="O38" s="632"/>
      <c r="P38" s="632"/>
    </row>
    <row r="39" spans="2:17" ht="20.25" customHeight="1" thickBot="1">
      <c r="C39" s="253" t="s">
        <v>103</v>
      </c>
      <c r="D39" s="254" t="s">
        <v>111</v>
      </c>
      <c r="E39" s="254" t="s">
        <v>112</v>
      </c>
      <c r="F39" s="254" t="s">
        <v>113</v>
      </c>
      <c r="G39" s="254" t="s">
        <v>114</v>
      </c>
      <c r="H39" s="254" t="s">
        <v>115</v>
      </c>
      <c r="I39" s="254" t="s">
        <v>116</v>
      </c>
      <c r="J39" s="255" t="s">
        <v>117</v>
      </c>
      <c r="K39" s="255" t="s">
        <v>118</v>
      </c>
      <c r="L39" s="255" t="s">
        <v>119</v>
      </c>
      <c r="M39" s="255" t="s">
        <v>120</v>
      </c>
      <c r="N39" s="255" t="s">
        <v>121</v>
      </c>
      <c r="O39" s="255" t="s">
        <v>122</v>
      </c>
      <c r="P39" s="266" t="s">
        <v>38</v>
      </c>
    </row>
    <row r="40" spans="2:17" ht="17.25" customHeight="1">
      <c r="C40" s="257" t="s">
        <v>105</v>
      </c>
      <c r="D40" s="259">
        <f>'[44]Brewer Performance'!D40</f>
        <v>96.507822129582451</v>
      </c>
      <c r="E40" s="259">
        <f>AVERAGE('[45]Feb. 1'!I12:I13,'[45]Feb. 2'!I11:I14,[45]Feb.4!I13,[45]Feb.8!I14:I16,[45]Feb.9!I14,[45]Feb.9!I17:I18,[45]Feb10!I13:I16,[45]Feb14!I17,[45]Feb14!I15:I17,[45]Feb17!I10,[45]Feb17!I19:I21,'[45]Feb 21'!I10:I12,'[45]Feb 22'!I11:I13,'[45]Feb 23'!I14:I16,'[45]Feb 24'!I10:I12,'[45]Feb 25'!I13:I15,'[45]Feb 28'!I15:I18)</f>
        <v>98.284801217583563</v>
      </c>
      <c r="F40" s="259">
        <v>98.226686244092193</v>
      </c>
      <c r="G40" s="259">
        <v>98.210530202427222</v>
      </c>
      <c r="H40" s="259">
        <f>'[46]Brewer Performance'!H40</f>
        <v>98.517352497406634</v>
      </c>
      <c r="I40" s="259">
        <v>98.214734207097663</v>
      </c>
      <c r="J40" s="258">
        <v>98.198803831827249</v>
      </c>
      <c r="K40" s="267">
        <v>97.486490472733735</v>
      </c>
      <c r="L40" s="258">
        <v>97.932459358923822</v>
      </c>
      <c r="M40" s="331"/>
      <c r="N40" s="331"/>
      <c r="O40" s="258"/>
      <c r="P40" s="268">
        <f t="shared" ref="P40:P45" si="0">AVERAGE(D40:O40)</f>
        <v>97.953297795741619</v>
      </c>
    </row>
    <row r="41" spans="2:17" ht="17.25" customHeight="1">
      <c r="C41" s="263" t="s">
        <v>106</v>
      </c>
      <c r="D41" s="259">
        <f>'[44]Brewer Performance'!D41</f>
        <v>97.99738587335284</v>
      </c>
      <c r="E41" s="259">
        <f>AVERAGE('[45]Feb. 1'!I10:I11,'[45]Feb. 2'!I10,[45]Feb.3!I11:I13,[45]Feb.4!I10:I12,[45]Feb.8!I10,[45]Feb.8!I13,[45]Feb.9!I10:I13,[45]Feb10!I10:I12,[45]Feb11!I11:I13,[45]Feb14!I13:I14,[45]Feb17!I16:I18,[45]Feb18!I13:I15,'[45]Feb 21'!I17:I19,'[45]Feb 22'!I10,'[45]Feb 22'!I20:I22,'[45]Feb 23'!I10:I11,'[45]Feb 23'!I21,'[45]Feb 25'!I10:I12,'[45]Feb 28'!I11:I14)</f>
        <v>97.918121549662388</v>
      </c>
      <c r="F41" s="259">
        <v>98.070081368185257</v>
      </c>
      <c r="G41" s="259">
        <v>97.79453968977019</v>
      </c>
      <c r="H41" s="259">
        <f>'[46]Brewer Performance'!H41</f>
        <v>98.442574874312371</v>
      </c>
      <c r="I41" s="259">
        <v>97.831216272750581</v>
      </c>
      <c r="J41" s="258">
        <v>98.459260197488078</v>
      </c>
      <c r="K41" s="267">
        <v>98.711428992063503</v>
      </c>
      <c r="L41" s="258">
        <v>97.854862054451985</v>
      </c>
      <c r="M41" s="332"/>
      <c r="N41" s="331"/>
      <c r="O41" s="258"/>
      <c r="P41" s="268">
        <f t="shared" si="0"/>
        <v>98.11994120800415</v>
      </c>
    </row>
    <row r="42" spans="2:17" ht="17.25" customHeight="1">
      <c r="C42" s="263" t="s">
        <v>107</v>
      </c>
      <c r="D42" s="259"/>
      <c r="E42" s="259"/>
      <c r="F42" s="259"/>
      <c r="G42" s="259">
        <v>98.305001734453086</v>
      </c>
      <c r="H42" s="259"/>
      <c r="I42" s="259">
        <v>100.82497251003979</v>
      </c>
      <c r="J42" s="258"/>
      <c r="K42" s="267"/>
      <c r="L42" s="258"/>
      <c r="M42" s="331"/>
      <c r="N42" s="331"/>
      <c r="O42" s="258"/>
      <c r="P42" s="268">
        <f t="shared" si="0"/>
        <v>99.564987122246436</v>
      </c>
    </row>
    <row r="43" spans="2:17" ht="17.25" customHeight="1">
      <c r="C43" s="263" t="s">
        <v>141</v>
      </c>
      <c r="D43" s="259"/>
      <c r="E43" s="259"/>
      <c r="F43" s="259"/>
      <c r="G43" s="259"/>
      <c r="H43" s="259"/>
      <c r="I43" s="259"/>
      <c r="J43" s="258"/>
      <c r="K43" s="267">
        <v>100.09286182555712</v>
      </c>
      <c r="L43" s="258"/>
      <c r="M43" s="331"/>
      <c r="N43" s="331"/>
      <c r="O43" s="258"/>
      <c r="P43" s="268"/>
    </row>
    <row r="44" spans="2:17" ht="17.25" customHeight="1">
      <c r="C44" s="263" t="s">
        <v>108</v>
      </c>
      <c r="D44" s="259">
        <f>'[44]Brewer Performance'!D43</f>
        <v>98.304611060419475</v>
      </c>
      <c r="E44" s="259">
        <f>AVERAGE('[45]Feb. 2'!I15,[45]Feb.3!I10,[45]Feb.4!I16:I17,[45]Feb.8!I19:I21,[45]Feb.9!I19:I20,[45]Feb10!I17:I18,[45]Feb11!I10,[45]Feb14!I10:I12,[45]Feb17!I11:I13,[45]Feb18!I10:I12,'[45]Feb 21'!I13,'[45]Feb 21'!I16,'[45]Feb 22'!I16:I19,'[45]Feb 23'!I17:I20,'[45]Feb 24'!I15:I18,'[45]Feb 25'!I16:I17,'[45]Feb 28'!I10,'[45]Feb 28'!I19:I20)</f>
        <v>97.289162940824014</v>
      </c>
      <c r="F44" s="259">
        <v>98.163642226187022</v>
      </c>
      <c r="G44" s="259">
        <v>97.964054285784258</v>
      </c>
      <c r="H44" s="259">
        <f>'[46]Brewer Performance'!H43</f>
        <v>98.685415156420575</v>
      </c>
      <c r="I44" s="259">
        <v>97.759800403711807</v>
      </c>
      <c r="J44" s="258">
        <v>98.532266745142223</v>
      </c>
      <c r="K44" s="258">
        <v>98.484140672420295</v>
      </c>
      <c r="L44" s="258">
        <v>97.916815501712691</v>
      </c>
      <c r="M44" s="331"/>
      <c r="N44" s="331"/>
      <c r="O44" s="258"/>
      <c r="P44" s="268">
        <f t="shared" si="0"/>
        <v>98.122212110291372</v>
      </c>
    </row>
    <row r="45" spans="2:17" ht="17.25" customHeight="1">
      <c r="C45" s="263" t="s">
        <v>132</v>
      </c>
      <c r="D45" s="259">
        <f>'[44]Brewer Performance'!D44</f>
        <v>98.673584433402866</v>
      </c>
      <c r="E45" s="259"/>
      <c r="F45" s="259"/>
      <c r="G45" s="259"/>
      <c r="H45" s="259"/>
      <c r="I45" s="259">
        <v>98.186950219332687</v>
      </c>
      <c r="J45" s="258">
        <v>97.888270164748889</v>
      </c>
      <c r="K45" s="258">
        <v>97.609604379501235</v>
      </c>
      <c r="L45" s="258"/>
      <c r="M45" s="331"/>
      <c r="N45" s="331"/>
      <c r="O45" s="258"/>
      <c r="P45" s="268">
        <f t="shared" si="0"/>
        <v>98.089602299246422</v>
      </c>
    </row>
    <row r="46" spans="2:17" ht="17.25" customHeight="1">
      <c r="C46" s="316" t="s">
        <v>140</v>
      </c>
      <c r="D46" s="317"/>
      <c r="E46" s="317"/>
      <c r="F46" s="317"/>
      <c r="G46" s="317"/>
      <c r="H46" s="317"/>
      <c r="I46" s="317"/>
      <c r="J46" s="318"/>
      <c r="K46" s="318"/>
      <c r="L46" s="318">
        <v>97.511448216434601</v>
      </c>
      <c r="M46" s="333"/>
      <c r="N46" s="333"/>
      <c r="O46" s="318"/>
      <c r="P46" s="319"/>
    </row>
    <row r="47" spans="2:17" ht="14.25" customHeight="1" thickBot="1">
      <c r="C47" s="269" t="s">
        <v>99</v>
      </c>
      <c r="D47" s="270">
        <f>'[44]Brewer Performance'!D45</f>
        <v>97.870850874189415</v>
      </c>
      <c r="E47" s="270">
        <f>AVERAGE(E40:E45)</f>
        <v>97.830695236023317</v>
      </c>
      <c r="F47" s="270">
        <f>AVERAGE(F40:F45)</f>
        <v>98.153469946154814</v>
      </c>
      <c r="G47" s="270">
        <f>AVERAGE(G40:G45)</f>
        <v>98.068531478108682</v>
      </c>
      <c r="H47" s="270">
        <f>AVERAGE(H40:H45)</f>
        <v>98.548447509379855</v>
      </c>
      <c r="I47" s="270">
        <f>AVERAGE(I40:I45)</f>
        <v>98.56353472258651</v>
      </c>
      <c r="J47" s="270">
        <f t="shared" ref="J47:O47" si="1">AVERAGE(J40:J45)</f>
        <v>98.269650234801617</v>
      </c>
      <c r="K47" s="270">
        <f t="shared" si="1"/>
        <v>98.47690526845517</v>
      </c>
      <c r="L47" s="270">
        <f t="shared" si="1"/>
        <v>97.901378971696161</v>
      </c>
      <c r="M47" s="270" t="e">
        <f t="shared" si="1"/>
        <v>#DIV/0!</v>
      </c>
      <c r="N47" s="270" t="e">
        <f t="shared" si="1"/>
        <v>#DIV/0!</v>
      </c>
      <c r="O47" s="270" t="e">
        <f t="shared" si="1"/>
        <v>#DIV/0!</v>
      </c>
      <c r="P47" s="271" t="e">
        <f>AVERAGE(D47:N47)</f>
        <v>#DIV/0!</v>
      </c>
    </row>
    <row r="48" spans="2:17" ht="15" customHeight="1">
      <c r="B48" s="625" t="s">
        <v>123</v>
      </c>
      <c r="C48" s="625"/>
      <c r="D48" s="625"/>
      <c r="E48" s="625"/>
      <c r="F48" s="625"/>
      <c r="G48" s="625"/>
      <c r="H48" s="625"/>
      <c r="I48" s="625"/>
      <c r="J48" s="625"/>
      <c r="K48" s="625"/>
      <c r="L48" s="625"/>
      <c r="M48" s="625"/>
      <c r="N48" s="625"/>
      <c r="O48" s="625"/>
      <c r="P48" s="625"/>
      <c r="Q48" s="625"/>
    </row>
    <row r="49" spans="2:17" ht="15" customHeight="1">
      <c r="B49" s="625"/>
      <c r="C49" s="625"/>
      <c r="D49" s="625"/>
      <c r="E49" s="625"/>
      <c r="F49" s="625"/>
      <c r="G49" s="625"/>
      <c r="H49" s="625"/>
      <c r="I49" s="625"/>
      <c r="J49" s="625"/>
      <c r="K49" s="625"/>
      <c r="L49" s="625"/>
      <c r="M49" s="625"/>
      <c r="N49" s="625"/>
      <c r="O49" s="625"/>
      <c r="P49" s="625"/>
      <c r="Q49" s="625"/>
    </row>
    <row r="50" spans="2:17" ht="15" customHeight="1">
      <c r="B50" s="625"/>
      <c r="C50" s="625"/>
      <c r="D50" s="625"/>
      <c r="E50" s="625"/>
      <c r="F50" s="625"/>
      <c r="G50" s="625"/>
      <c r="H50" s="625"/>
      <c r="I50" s="625"/>
      <c r="J50" s="625"/>
      <c r="K50" s="625"/>
      <c r="L50" s="625"/>
      <c r="M50" s="625"/>
      <c r="N50" s="625"/>
      <c r="O50" s="625"/>
      <c r="P50" s="625"/>
      <c r="Q50" s="625"/>
    </row>
    <row r="51" spans="2:17" ht="15" customHeight="1">
      <c r="B51" s="625"/>
      <c r="C51" s="625"/>
      <c r="D51" s="625"/>
      <c r="E51" s="625"/>
      <c r="F51" s="625"/>
      <c r="G51" s="625"/>
      <c r="H51" s="625"/>
      <c r="I51" s="625"/>
      <c r="J51" s="625"/>
      <c r="K51" s="625"/>
      <c r="L51" s="625"/>
      <c r="M51" s="625"/>
      <c r="N51" s="625"/>
      <c r="O51" s="625"/>
      <c r="P51" s="625"/>
      <c r="Q51" s="625"/>
    </row>
    <row r="52" spans="2:17" ht="15" customHeight="1">
      <c r="B52" s="625"/>
      <c r="C52" s="625"/>
      <c r="D52" s="625"/>
      <c r="E52" s="625"/>
      <c r="F52" s="625"/>
      <c r="G52" s="625"/>
      <c r="H52" s="625"/>
      <c r="I52" s="625"/>
      <c r="J52" s="625"/>
      <c r="K52" s="625"/>
      <c r="L52" s="625"/>
      <c r="M52" s="625"/>
      <c r="N52" s="625"/>
      <c r="O52" s="625"/>
      <c r="P52" s="625"/>
      <c r="Q52" s="625"/>
    </row>
    <row r="53" spans="2:17" ht="15" customHeight="1">
      <c r="B53" s="625"/>
      <c r="C53" s="625"/>
      <c r="D53" s="625"/>
      <c r="E53" s="625"/>
      <c r="F53" s="625"/>
      <c r="G53" s="625"/>
      <c r="H53" s="625"/>
      <c r="I53" s="625"/>
      <c r="J53" s="625"/>
      <c r="K53" s="625"/>
      <c r="L53" s="625"/>
      <c r="M53" s="625"/>
      <c r="N53" s="625"/>
      <c r="O53" s="625"/>
      <c r="P53" s="625"/>
      <c r="Q53" s="625"/>
    </row>
    <row r="54" spans="2:17" ht="15" customHeight="1">
      <c r="B54" s="625"/>
      <c r="C54" s="625"/>
      <c r="D54" s="625"/>
      <c r="E54" s="625"/>
      <c r="F54" s="625"/>
      <c r="G54" s="625"/>
      <c r="H54" s="625"/>
      <c r="I54" s="625"/>
      <c r="J54" s="625"/>
      <c r="K54" s="625"/>
      <c r="L54" s="625"/>
      <c r="M54" s="625"/>
      <c r="N54" s="625"/>
      <c r="O54" s="625"/>
      <c r="P54" s="625"/>
      <c r="Q54" s="625"/>
    </row>
    <row r="55" spans="2:17" ht="15" customHeight="1">
      <c r="B55" s="625"/>
      <c r="C55" s="625"/>
      <c r="D55" s="625"/>
      <c r="E55" s="625"/>
      <c r="F55" s="625"/>
      <c r="G55" s="625"/>
      <c r="H55" s="625"/>
      <c r="I55" s="625"/>
      <c r="J55" s="625"/>
      <c r="K55" s="625"/>
      <c r="L55" s="625"/>
      <c r="M55" s="625"/>
      <c r="N55" s="625"/>
      <c r="O55" s="625"/>
      <c r="P55" s="625"/>
      <c r="Q55" s="625"/>
    </row>
    <row r="56" spans="2:17" ht="15" customHeight="1">
      <c r="B56" s="625"/>
      <c r="C56" s="625"/>
      <c r="D56" s="625"/>
      <c r="E56" s="625"/>
      <c r="F56" s="625"/>
      <c r="G56" s="625"/>
      <c r="H56" s="625"/>
      <c r="I56" s="625"/>
      <c r="J56" s="625"/>
      <c r="K56" s="625"/>
      <c r="L56" s="625"/>
      <c r="M56" s="625"/>
      <c r="N56" s="625"/>
      <c r="O56" s="625"/>
      <c r="P56" s="625"/>
      <c r="Q56" s="625"/>
    </row>
    <row r="57" spans="2:17" ht="15" customHeight="1">
      <c r="B57" s="625"/>
      <c r="C57" s="625"/>
      <c r="D57" s="625"/>
      <c r="E57" s="625"/>
      <c r="F57" s="625"/>
      <c r="G57" s="625"/>
      <c r="H57" s="625"/>
      <c r="I57" s="625"/>
      <c r="J57" s="625"/>
      <c r="K57" s="625"/>
      <c r="L57" s="625"/>
      <c r="M57" s="625"/>
      <c r="N57" s="625"/>
      <c r="O57" s="625"/>
      <c r="P57" s="625"/>
      <c r="Q57" s="625"/>
    </row>
    <row r="58" spans="2:17" ht="15" customHeight="1">
      <c r="B58" s="625"/>
      <c r="C58" s="625"/>
      <c r="D58" s="625"/>
      <c r="E58" s="625"/>
      <c r="F58" s="625"/>
      <c r="G58" s="625"/>
      <c r="H58" s="625"/>
      <c r="I58" s="625"/>
      <c r="J58" s="625"/>
      <c r="K58" s="625"/>
      <c r="L58" s="625"/>
      <c r="M58" s="625"/>
      <c r="N58" s="625"/>
      <c r="O58" s="625"/>
      <c r="P58" s="625"/>
      <c r="Q58" s="625"/>
    </row>
    <row r="59" spans="2:17" ht="15" customHeight="1">
      <c r="B59" s="625"/>
      <c r="C59" s="625"/>
      <c r="D59" s="625"/>
      <c r="E59" s="625"/>
      <c r="F59" s="625"/>
      <c r="G59" s="625"/>
      <c r="H59" s="625"/>
      <c r="I59" s="625"/>
      <c r="J59" s="625"/>
      <c r="K59" s="625"/>
      <c r="L59" s="625"/>
      <c r="M59" s="625"/>
      <c r="N59" s="625"/>
      <c r="O59" s="625"/>
      <c r="P59" s="625"/>
      <c r="Q59" s="625"/>
    </row>
    <row r="60" spans="2:17" ht="15" customHeight="1">
      <c r="B60" s="625"/>
      <c r="C60" s="625"/>
      <c r="D60" s="625"/>
      <c r="E60" s="625"/>
      <c r="F60" s="625"/>
      <c r="G60" s="625"/>
      <c r="H60" s="625"/>
      <c r="I60" s="625"/>
      <c r="J60" s="625"/>
      <c r="K60" s="625"/>
      <c r="L60" s="625"/>
      <c r="M60" s="625"/>
      <c r="N60" s="625"/>
      <c r="O60" s="625"/>
      <c r="P60" s="625"/>
      <c r="Q60" s="625"/>
    </row>
    <row r="61" spans="2:17" ht="15" customHeight="1">
      <c r="B61" s="625"/>
      <c r="C61" s="625"/>
      <c r="D61" s="625"/>
      <c r="E61" s="625"/>
      <c r="F61" s="625"/>
      <c r="G61" s="625"/>
      <c r="H61" s="625"/>
      <c r="I61" s="625"/>
      <c r="J61" s="625"/>
      <c r="K61" s="625"/>
      <c r="L61" s="625"/>
      <c r="M61" s="625"/>
      <c r="N61" s="625"/>
      <c r="O61" s="625"/>
      <c r="P61" s="625"/>
      <c r="Q61" s="625"/>
    </row>
    <row r="62" spans="2:17" ht="15" customHeight="1">
      <c r="B62" s="625"/>
      <c r="C62" s="625"/>
      <c r="D62" s="625"/>
      <c r="E62" s="625"/>
      <c r="F62" s="625"/>
      <c r="G62" s="625"/>
      <c r="H62" s="625"/>
      <c r="I62" s="625"/>
      <c r="J62" s="625"/>
      <c r="K62" s="625"/>
      <c r="L62" s="625"/>
      <c r="M62" s="625"/>
      <c r="N62" s="625"/>
      <c r="O62" s="625"/>
      <c r="P62" s="625"/>
      <c r="Q62" s="625"/>
    </row>
    <row r="63" spans="2:17" ht="15" customHeight="1">
      <c r="B63" s="625"/>
      <c r="C63" s="625"/>
      <c r="D63" s="625"/>
      <c r="E63" s="625"/>
      <c r="F63" s="625"/>
      <c r="G63" s="625"/>
      <c r="H63" s="625"/>
      <c r="I63" s="625"/>
      <c r="J63" s="625"/>
      <c r="K63" s="625"/>
      <c r="L63" s="625"/>
      <c r="M63" s="625"/>
      <c r="N63" s="625"/>
      <c r="O63" s="625"/>
      <c r="P63" s="625"/>
      <c r="Q63" s="625"/>
    </row>
    <row r="64" spans="2:17" ht="15" customHeight="1">
      <c r="B64" s="625"/>
      <c r="C64" s="625"/>
      <c r="D64" s="625"/>
      <c r="E64" s="625"/>
      <c r="F64" s="625"/>
      <c r="G64" s="625"/>
      <c r="H64" s="625"/>
      <c r="I64" s="625"/>
      <c r="J64" s="625"/>
      <c r="K64" s="625"/>
      <c r="L64" s="625"/>
      <c r="M64" s="625"/>
      <c r="N64" s="625"/>
      <c r="O64" s="625"/>
      <c r="P64" s="625"/>
      <c r="Q64" s="625"/>
    </row>
    <row r="65" spans="2:17" ht="15" customHeight="1">
      <c r="B65" s="625"/>
      <c r="C65" s="625"/>
      <c r="D65" s="625"/>
      <c r="E65" s="625"/>
      <c r="F65" s="625"/>
      <c r="G65" s="625"/>
      <c r="H65" s="625"/>
      <c r="I65" s="625"/>
      <c r="J65" s="625"/>
      <c r="K65" s="625"/>
      <c r="L65" s="625"/>
      <c r="M65" s="625"/>
      <c r="N65" s="625"/>
      <c r="O65" s="625"/>
      <c r="P65" s="625"/>
      <c r="Q65" s="625"/>
    </row>
    <row r="66" spans="2:17" ht="15" customHeight="1">
      <c r="B66" s="625"/>
      <c r="C66" s="625"/>
      <c r="D66" s="625"/>
      <c r="E66" s="625"/>
      <c r="F66" s="625"/>
      <c r="G66" s="625"/>
      <c r="H66" s="625"/>
      <c r="I66" s="625"/>
      <c r="J66" s="625"/>
      <c r="K66" s="625"/>
      <c r="L66" s="625"/>
      <c r="M66" s="625"/>
      <c r="N66" s="625"/>
      <c r="O66" s="625"/>
      <c r="P66" s="625"/>
      <c r="Q66" s="625"/>
    </row>
    <row r="67" spans="2:17" ht="15" customHeight="1">
      <c r="B67" s="625"/>
      <c r="C67" s="625"/>
      <c r="D67" s="625"/>
      <c r="E67" s="625"/>
      <c r="F67" s="625"/>
      <c r="G67" s="625"/>
      <c r="H67" s="625"/>
      <c r="I67" s="625"/>
      <c r="J67" s="625"/>
      <c r="K67" s="625"/>
      <c r="L67" s="625"/>
      <c r="M67" s="625"/>
      <c r="N67" s="625"/>
      <c r="O67" s="625"/>
      <c r="P67" s="625"/>
      <c r="Q67" s="625"/>
    </row>
    <row r="68" spans="2:17" ht="15" customHeight="1">
      <c r="B68" s="625"/>
      <c r="C68" s="625"/>
      <c r="D68" s="625"/>
      <c r="E68" s="625"/>
      <c r="F68" s="625"/>
      <c r="G68" s="625"/>
      <c r="H68" s="625"/>
      <c r="I68" s="625"/>
      <c r="J68" s="625"/>
      <c r="K68" s="625"/>
      <c r="L68" s="625"/>
      <c r="M68" s="625"/>
      <c r="N68" s="625"/>
      <c r="O68" s="625"/>
      <c r="P68" s="625"/>
      <c r="Q68" s="625"/>
    </row>
    <row r="69" spans="2:17" ht="15" customHeight="1">
      <c r="B69" s="625"/>
      <c r="C69" s="625"/>
      <c r="D69" s="625"/>
      <c r="E69" s="625"/>
      <c r="F69" s="625"/>
      <c r="G69" s="625"/>
      <c r="H69" s="625"/>
      <c r="I69" s="625"/>
      <c r="J69" s="625"/>
      <c r="K69" s="625"/>
      <c r="L69" s="625"/>
      <c r="M69" s="625"/>
      <c r="N69" s="625"/>
      <c r="O69" s="625"/>
      <c r="P69" s="625"/>
      <c r="Q69" s="625"/>
    </row>
    <row r="70" spans="2:17" ht="15" customHeight="1">
      <c r="B70" s="625"/>
      <c r="C70" s="625"/>
      <c r="D70" s="625"/>
      <c r="E70" s="625"/>
      <c r="F70" s="625"/>
      <c r="G70" s="625"/>
      <c r="H70" s="625"/>
      <c r="I70" s="625"/>
      <c r="J70" s="625"/>
      <c r="K70" s="625"/>
      <c r="L70" s="625"/>
      <c r="M70" s="625"/>
      <c r="N70" s="625"/>
      <c r="O70" s="625"/>
      <c r="P70" s="625"/>
      <c r="Q70" s="625"/>
    </row>
    <row r="71" spans="2:17" ht="15" customHeight="1">
      <c r="B71" s="625"/>
      <c r="C71" s="625"/>
      <c r="D71" s="625"/>
      <c r="E71" s="625"/>
      <c r="F71" s="625"/>
      <c r="G71" s="625"/>
      <c r="H71" s="625"/>
      <c r="I71" s="625"/>
      <c r="J71" s="625"/>
      <c r="K71" s="625"/>
      <c r="L71" s="625"/>
      <c r="M71" s="625"/>
      <c r="N71" s="625"/>
      <c r="O71" s="625"/>
      <c r="P71" s="625"/>
      <c r="Q71" s="625"/>
    </row>
    <row r="72" spans="2:17" ht="15" customHeight="1">
      <c r="B72" s="625"/>
      <c r="C72" s="625"/>
      <c r="D72" s="625"/>
      <c r="E72" s="625"/>
      <c r="F72" s="625"/>
      <c r="G72" s="625"/>
      <c r="H72" s="625"/>
      <c r="I72" s="625"/>
      <c r="J72" s="625"/>
      <c r="K72" s="625"/>
      <c r="L72" s="625"/>
      <c r="M72" s="625"/>
      <c r="N72" s="625"/>
      <c r="O72" s="625"/>
      <c r="P72" s="625"/>
      <c r="Q72" s="625"/>
    </row>
    <row r="73" spans="2:17" ht="15" customHeight="1">
      <c r="B73" s="625"/>
      <c r="C73" s="625"/>
      <c r="D73" s="625"/>
      <c r="E73" s="625"/>
      <c r="F73" s="625"/>
      <c r="G73" s="625"/>
      <c r="H73" s="625"/>
      <c r="I73" s="625"/>
      <c r="J73" s="625"/>
      <c r="K73" s="625"/>
      <c r="L73" s="625"/>
      <c r="M73" s="625"/>
      <c r="N73" s="625"/>
      <c r="O73" s="625"/>
      <c r="P73" s="625"/>
      <c r="Q73" s="625"/>
    </row>
    <row r="74" spans="2:17" ht="15" customHeight="1">
      <c r="B74" s="625"/>
      <c r="C74" s="625"/>
      <c r="D74" s="625"/>
      <c r="E74" s="625"/>
      <c r="F74" s="625"/>
      <c r="G74" s="625"/>
      <c r="H74" s="625"/>
      <c r="I74" s="625"/>
      <c r="J74" s="625"/>
      <c r="K74" s="625"/>
      <c r="L74" s="625"/>
      <c r="M74" s="625"/>
      <c r="N74" s="625"/>
      <c r="O74" s="625"/>
      <c r="P74" s="625"/>
      <c r="Q74" s="625"/>
    </row>
    <row r="75" spans="2:17" ht="15" customHeight="1">
      <c r="B75" s="625"/>
      <c r="C75" s="625"/>
      <c r="D75" s="625"/>
      <c r="E75" s="625"/>
      <c r="F75" s="625"/>
      <c r="G75" s="625"/>
      <c r="H75" s="625"/>
      <c r="I75" s="625"/>
      <c r="J75" s="625"/>
      <c r="K75" s="625"/>
      <c r="L75" s="625"/>
      <c r="M75" s="625"/>
      <c r="N75" s="625"/>
      <c r="O75" s="625"/>
      <c r="P75" s="625"/>
      <c r="Q75" s="625"/>
    </row>
    <row r="76" spans="2:17">
      <c r="B76" s="625"/>
      <c r="C76" s="625"/>
      <c r="D76" s="625"/>
      <c r="E76" s="625"/>
      <c r="F76" s="625"/>
      <c r="G76" s="625"/>
      <c r="H76" s="625"/>
      <c r="I76" s="625"/>
      <c r="J76" s="625"/>
      <c r="K76" s="625"/>
      <c r="L76" s="625"/>
      <c r="M76" s="625"/>
      <c r="N76" s="625"/>
      <c r="O76" s="625"/>
      <c r="P76" s="625"/>
      <c r="Q76" s="625"/>
    </row>
  </sheetData>
  <mergeCells count="7">
    <mergeCell ref="B48:Q76"/>
    <mergeCell ref="C3:D3"/>
    <mergeCell ref="E3:G3"/>
    <mergeCell ref="C14:H31"/>
    <mergeCell ref="C38:E38"/>
    <mergeCell ref="F38:I38"/>
    <mergeCell ref="J38:P38"/>
  </mergeCells>
  <pageMargins left="0.25" right="0.25" top="0.75" bottom="0.75" header="0.3" footer="0.3"/>
  <pageSetup scale="9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3</vt:i4>
      </vt:variant>
    </vt:vector>
  </HeadingPairs>
  <TitlesOfParts>
    <vt:vector size="19" baseType="lpstr">
      <vt:lpstr>Dec 18th</vt:lpstr>
      <vt:lpstr>Oct 1st</vt:lpstr>
      <vt:lpstr>Oct 2nd</vt:lpstr>
      <vt:lpstr>Oct 5th</vt:lpstr>
      <vt:lpstr>Oct 6th</vt:lpstr>
      <vt:lpstr>Oct 7th</vt:lpstr>
      <vt:lpstr>Oct 8th </vt:lpstr>
      <vt:lpstr>Oct 9th-10th</vt:lpstr>
      <vt:lpstr>Oct 12th</vt:lpstr>
      <vt:lpstr>Oct 13th </vt:lpstr>
      <vt:lpstr>Oct 14th</vt:lpstr>
      <vt:lpstr>Oct 15th </vt:lpstr>
      <vt:lpstr>MTD_Links</vt:lpstr>
      <vt:lpstr>YTD_Links</vt:lpstr>
      <vt:lpstr>KPIs</vt:lpstr>
      <vt:lpstr>Brewer Performance</vt:lpstr>
      <vt:lpstr>'Brewer Performance'!Print_Area</vt:lpstr>
      <vt:lpstr>MTD_Links!Print_Area</vt:lpstr>
      <vt:lpstr>YTD_Links!Print_Area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Reshelle Fleming</dc:creator>
  <cp:lastModifiedBy>Reshelle Fleming</cp:lastModifiedBy>
  <cp:lastPrinted>2024-01-26T11:36:30Z</cp:lastPrinted>
  <dcterms:created xsi:type="dcterms:W3CDTF">2020-01-28T18:21:11Z</dcterms:created>
  <dcterms:modified xsi:type="dcterms:W3CDTF">2026-10-16T13:50:30Z</dcterms:modified>
</cp:coreProperties>
</file>