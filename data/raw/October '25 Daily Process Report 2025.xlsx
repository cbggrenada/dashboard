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drawings/drawing1.xml" ContentType="application/vnd.openxmlformats-officedocument.drawing+xml"/>
  <Override PartName="/xl/comments2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66522C04-49CA-4D8C-B792-421F7A813888}" xr6:coauthVersionLast="47" xr6:coauthVersionMax="47" xr10:uidLastSave="{00000000-0000-0000-0000-000000000000}"/>
  <bookViews>
    <workbookView xWindow="-120" yWindow="-120" windowWidth="29040" windowHeight="15720" tabRatio="599" firstSheet="14" activeTab="22" xr2:uid="{1120807F-7390-4E10-A66F-84111922E872}"/>
  </bookViews>
  <sheets>
    <sheet name="Dec 18th" sheetId="658" state="hidden" r:id="rId1"/>
    <sheet name="Oct. 1st" sheetId="840" r:id="rId2"/>
    <sheet name="Oct. 2nd" sheetId="841" r:id="rId3"/>
    <sheet name="Oct. 3rd" sheetId="842" r:id="rId4"/>
    <sheet name="Oct. 6th" sheetId="843" r:id="rId5"/>
    <sheet name="Oct.7th" sheetId="844" r:id="rId6"/>
    <sheet name="Oct.8th" sheetId="845" r:id="rId7"/>
    <sheet name="Oct.9th" sheetId="846" r:id="rId8"/>
    <sheet name="Oct.10th" sheetId="847" r:id="rId9"/>
    <sheet name="Oct.13th" sheetId="848" r:id="rId10"/>
    <sheet name="Oct.14th" sheetId="849" r:id="rId11"/>
    <sheet name="Oct.15th" sheetId="850" r:id="rId12"/>
    <sheet name="Oct.16th" sheetId="851" r:id="rId13"/>
    <sheet name="Oct.17th" sheetId="852" r:id="rId14"/>
    <sheet name="Oct.21st" sheetId="853" r:id="rId15"/>
    <sheet name="Oct.22nd" sheetId="854" r:id="rId16"/>
    <sheet name="Oct.23rd" sheetId="855" r:id="rId17"/>
    <sheet name="Oct.24th" sheetId="856" r:id="rId18"/>
    <sheet name="Oct.27th" sheetId="857" r:id="rId19"/>
    <sheet name="Oct.28th" sheetId="858" r:id="rId20"/>
    <sheet name="Oct.29th" sheetId="859" r:id="rId21"/>
    <sheet name="Oct.30th" sheetId="860" r:id="rId22"/>
    <sheet name="Oct.31st" sheetId="861" r:id="rId23"/>
    <sheet name="MTD_Links" sheetId="18" r:id="rId24"/>
    <sheet name="YTD_Links" sheetId="19" r:id="rId25"/>
    <sheet name="KPIs" sheetId="20" state="hidden" r:id="rId26"/>
    <sheet name="Brewer Performance" sheetId="21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Print_Area" localSheetId="26">'Brewer Performance'!$B$2:$K$35</definedName>
    <definedName name="_xlnm.Print_Area" localSheetId="23">MTD_Links!$B$2:$K$65</definedName>
    <definedName name="_xlnm.Print_Area" localSheetId="24">YTD_Links!$B$2:$K$65</definedName>
    <definedName name="ProductList" localSheetId="26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9" i="861" l="1"/>
  <c r="M29" i="861"/>
  <c r="L29" i="861"/>
  <c r="L33" i="860"/>
  <c r="M33" i="860"/>
  <c r="M30" i="861"/>
  <c r="L30" i="861"/>
  <c r="K30" i="861"/>
  <c r="M28" i="861" l="1"/>
  <c r="L28" i="861"/>
  <c r="O10" i="861" l="1"/>
  <c r="O11" i="861"/>
  <c r="O12" i="861"/>
  <c r="O13" i="861"/>
  <c r="O14" i="861"/>
  <c r="O15" i="861"/>
  <c r="O16" i="861"/>
  <c r="R10" i="861"/>
  <c r="S10" i="861"/>
  <c r="T10" i="861"/>
  <c r="U10" i="861"/>
  <c r="V10" i="861"/>
  <c r="W10" i="861"/>
  <c r="X10" i="861"/>
  <c r="Y10" i="861"/>
  <c r="Z10" i="861"/>
  <c r="R11" i="861"/>
  <c r="S11" i="861"/>
  <c r="T11" i="861"/>
  <c r="U11" i="861"/>
  <c r="V11" i="861"/>
  <c r="W11" i="861"/>
  <c r="X11" i="861"/>
  <c r="Y11" i="861"/>
  <c r="Z11" i="861"/>
  <c r="R12" i="861"/>
  <c r="S12" i="861"/>
  <c r="T12" i="861"/>
  <c r="U12" i="861"/>
  <c r="V12" i="861"/>
  <c r="W12" i="861"/>
  <c r="X12" i="861"/>
  <c r="Y12" i="861"/>
  <c r="Z12" i="861"/>
  <c r="R13" i="861"/>
  <c r="S13" i="861"/>
  <c r="T13" i="861"/>
  <c r="U13" i="861"/>
  <c r="V13" i="861"/>
  <c r="W13" i="861"/>
  <c r="X13" i="861"/>
  <c r="Y13" i="861"/>
  <c r="Z13" i="861"/>
  <c r="R14" i="861"/>
  <c r="S14" i="861"/>
  <c r="T14" i="861"/>
  <c r="U14" i="861"/>
  <c r="V14" i="861"/>
  <c r="W14" i="861"/>
  <c r="X14" i="861"/>
  <c r="Y14" i="861"/>
  <c r="Z14" i="861"/>
  <c r="R15" i="861"/>
  <c r="S15" i="861"/>
  <c r="T15" i="861"/>
  <c r="U15" i="861"/>
  <c r="V15" i="861"/>
  <c r="W15" i="861"/>
  <c r="X15" i="861"/>
  <c r="Y15" i="861"/>
  <c r="Z15" i="861"/>
  <c r="R16" i="861"/>
  <c r="S16" i="861"/>
  <c r="T16" i="861"/>
  <c r="U16" i="861"/>
  <c r="V16" i="861"/>
  <c r="W16" i="861"/>
  <c r="X16" i="861"/>
  <c r="Y16" i="861"/>
  <c r="Z16" i="861"/>
  <c r="R17" i="861"/>
  <c r="S17" i="861"/>
  <c r="T17" i="861"/>
  <c r="U17" i="861"/>
  <c r="V17" i="861"/>
  <c r="W17" i="861"/>
  <c r="X17" i="861"/>
  <c r="Y17" i="861"/>
  <c r="Z17" i="861"/>
  <c r="R18" i="861"/>
  <c r="S18" i="861"/>
  <c r="T18" i="861"/>
  <c r="U18" i="861"/>
  <c r="V18" i="861"/>
  <c r="W18" i="861"/>
  <c r="X18" i="861"/>
  <c r="Y18" i="861"/>
  <c r="Z18" i="861"/>
  <c r="R19" i="861"/>
  <c r="S19" i="861"/>
  <c r="T19" i="861"/>
  <c r="U19" i="861"/>
  <c r="V19" i="861"/>
  <c r="W19" i="861"/>
  <c r="X19" i="861"/>
  <c r="Y19" i="861"/>
  <c r="Z19" i="861"/>
  <c r="R20" i="861"/>
  <c r="S20" i="861"/>
  <c r="T20" i="861"/>
  <c r="U20" i="861"/>
  <c r="V20" i="861"/>
  <c r="W20" i="861"/>
  <c r="X20" i="861"/>
  <c r="Y20" i="861"/>
  <c r="Z20" i="861"/>
  <c r="R21" i="861"/>
  <c r="S21" i="861"/>
  <c r="T21" i="861"/>
  <c r="U21" i="861"/>
  <c r="V21" i="861"/>
  <c r="W21" i="861"/>
  <c r="X21" i="861"/>
  <c r="Y21" i="861"/>
  <c r="Z21" i="861"/>
  <c r="R22" i="861"/>
  <c r="S22" i="861"/>
  <c r="T22" i="861"/>
  <c r="U22" i="861"/>
  <c r="V22" i="861"/>
  <c r="W22" i="861"/>
  <c r="X22" i="861"/>
  <c r="Y22" i="861"/>
  <c r="Z22" i="861"/>
  <c r="R23" i="861"/>
  <c r="S23" i="861"/>
  <c r="T23" i="861"/>
  <c r="U23" i="861"/>
  <c r="V23" i="861"/>
  <c r="W23" i="861"/>
  <c r="X23" i="861"/>
  <c r="Y23" i="861"/>
  <c r="Z23" i="861"/>
  <c r="R24" i="861"/>
  <c r="S24" i="861"/>
  <c r="T24" i="861"/>
  <c r="U24" i="861"/>
  <c r="V24" i="861"/>
  <c r="W24" i="861"/>
  <c r="X24" i="861"/>
  <c r="Y24" i="861"/>
  <c r="Z24" i="861"/>
  <c r="R25" i="861"/>
  <c r="S25" i="861"/>
  <c r="T25" i="861"/>
  <c r="U25" i="861"/>
  <c r="V25" i="861"/>
  <c r="W25" i="861"/>
  <c r="X25" i="861"/>
  <c r="Y25" i="861"/>
  <c r="Z25" i="861"/>
  <c r="R26" i="861"/>
  <c r="S26" i="861"/>
  <c r="T26" i="861"/>
  <c r="U26" i="861"/>
  <c r="V26" i="861"/>
  <c r="W26" i="861"/>
  <c r="X26" i="861"/>
  <c r="Y26" i="861"/>
  <c r="Z26" i="861"/>
  <c r="R27" i="861"/>
  <c r="S27" i="861"/>
  <c r="T27" i="861"/>
  <c r="U27" i="861"/>
  <c r="V27" i="861"/>
  <c r="W27" i="861"/>
  <c r="X27" i="861"/>
  <c r="Y27" i="861"/>
  <c r="Z27" i="861"/>
  <c r="I10" i="861"/>
  <c r="J10" i="861"/>
  <c r="K10" i="861"/>
  <c r="L10" i="861"/>
  <c r="M10" i="861"/>
  <c r="N10" i="861"/>
  <c r="I11" i="861"/>
  <c r="J11" i="861"/>
  <c r="K11" i="861"/>
  <c r="L11" i="861"/>
  <c r="M11" i="861"/>
  <c r="N11" i="861"/>
  <c r="I12" i="861"/>
  <c r="J12" i="861"/>
  <c r="K12" i="861"/>
  <c r="L12" i="861"/>
  <c r="M12" i="861"/>
  <c r="N12" i="861"/>
  <c r="I13" i="861"/>
  <c r="J13" i="861"/>
  <c r="K13" i="861"/>
  <c r="L13" i="861"/>
  <c r="M13" i="861"/>
  <c r="N13" i="861"/>
  <c r="I14" i="861"/>
  <c r="J14" i="861"/>
  <c r="K14" i="861"/>
  <c r="L14" i="861"/>
  <c r="M14" i="861"/>
  <c r="N14" i="861"/>
  <c r="I15" i="861"/>
  <c r="J15" i="861"/>
  <c r="K15" i="861"/>
  <c r="L15" i="861"/>
  <c r="M15" i="861"/>
  <c r="N15" i="861"/>
  <c r="I16" i="861"/>
  <c r="J16" i="861"/>
  <c r="K16" i="861"/>
  <c r="L16" i="861"/>
  <c r="M16" i="861"/>
  <c r="N16" i="861"/>
  <c r="C10" i="861"/>
  <c r="D10" i="861"/>
  <c r="E10" i="861"/>
  <c r="F10" i="861"/>
  <c r="G10" i="861"/>
  <c r="C11" i="861"/>
  <c r="D11" i="861"/>
  <c r="E11" i="861"/>
  <c r="F11" i="861"/>
  <c r="G11" i="861"/>
  <c r="C12" i="861"/>
  <c r="D12" i="861"/>
  <c r="E12" i="861"/>
  <c r="F12" i="861"/>
  <c r="G12" i="861"/>
  <c r="C13" i="861"/>
  <c r="D13" i="861"/>
  <c r="E13" i="861"/>
  <c r="F13" i="861"/>
  <c r="G13" i="861"/>
  <c r="C14" i="861"/>
  <c r="D14" i="861"/>
  <c r="E14" i="861"/>
  <c r="F14" i="861"/>
  <c r="G14" i="861"/>
  <c r="C15" i="861"/>
  <c r="D15" i="861"/>
  <c r="E15" i="861"/>
  <c r="F15" i="861"/>
  <c r="G15" i="861"/>
  <c r="C16" i="861"/>
  <c r="D16" i="861"/>
  <c r="E16" i="861"/>
  <c r="F16" i="861"/>
  <c r="G16" i="861"/>
  <c r="F73" i="861"/>
  <c r="AX57" i="861"/>
  <c r="AW57" i="861"/>
  <c r="AV57" i="861"/>
  <c r="AU57" i="861"/>
  <c r="AT57" i="861"/>
  <c r="AS57" i="861"/>
  <c r="AR57" i="861"/>
  <c r="AQ57" i="861"/>
  <c r="AP57" i="861"/>
  <c r="AO57" i="861"/>
  <c r="AN57" i="861"/>
  <c r="AM57" i="861"/>
  <c r="AL57" i="861"/>
  <c r="AK57" i="861"/>
  <c r="AJ57" i="861"/>
  <c r="AI57" i="861"/>
  <c r="AH57" i="861"/>
  <c r="AG57" i="861"/>
  <c r="AF57" i="861"/>
  <c r="AE57" i="861"/>
  <c r="AD57" i="861"/>
  <c r="AC57" i="861"/>
  <c r="AB57" i="861"/>
  <c r="K52" i="861"/>
  <c r="C51" i="861"/>
  <c r="D50" i="861"/>
  <c r="Z39" i="861"/>
  <c r="Y39" i="861"/>
  <c r="X39" i="861"/>
  <c r="W39" i="861"/>
  <c r="V39" i="861"/>
  <c r="U39" i="861"/>
  <c r="T39" i="861"/>
  <c r="S39" i="861"/>
  <c r="R39" i="861"/>
  <c r="Z38" i="861"/>
  <c r="Y38" i="861"/>
  <c r="X38" i="861"/>
  <c r="W38" i="861"/>
  <c r="V38" i="861"/>
  <c r="U38" i="861"/>
  <c r="T38" i="861"/>
  <c r="S38" i="861"/>
  <c r="R38" i="861"/>
  <c r="Z37" i="861"/>
  <c r="Y37" i="861"/>
  <c r="X37" i="861"/>
  <c r="W37" i="861"/>
  <c r="V37" i="861"/>
  <c r="U37" i="861"/>
  <c r="T37" i="861"/>
  <c r="S37" i="861"/>
  <c r="R37" i="861"/>
  <c r="M37" i="861"/>
  <c r="Z36" i="861"/>
  <c r="Y36" i="861"/>
  <c r="X36" i="861"/>
  <c r="W36" i="861"/>
  <c r="V36" i="861"/>
  <c r="U36" i="861"/>
  <c r="T36" i="861"/>
  <c r="S36" i="861"/>
  <c r="R36" i="861"/>
  <c r="M36" i="861"/>
  <c r="Z35" i="861"/>
  <c r="Y35" i="861"/>
  <c r="X35" i="861"/>
  <c r="W35" i="861"/>
  <c r="V35" i="861"/>
  <c r="U35" i="861"/>
  <c r="T35" i="861"/>
  <c r="S35" i="861"/>
  <c r="R35" i="861"/>
  <c r="M35" i="861"/>
  <c r="Z34" i="861"/>
  <c r="Y34" i="861"/>
  <c r="X34" i="861"/>
  <c r="W34" i="861"/>
  <c r="V34" i="861"/>
  <c r="U34" i="861"/>
  <c r="T34" i="861"/>
  <c r="S34" i="861"/>
  <c r="R34" i="861"/>
  <c r="M34" i="861"/>
  <c r="Z33" i="861"/>
  <c r="Y33" i="861"/>
  <c r="X33" i="861"/>
  <c r="W33" i="861"/>
  <c r="V33" i="861"/>
  <c r="U33" i="861"/>
  <c r="T33" i="861"/>
  <c r="S33" i="861"/>
  <c r="R33" i="861"/>
  <c r="M33" i="861"/>
  <c r="Z32" i="861"/>
  <c r="Y32" i="861"/>
  <c r="X32" i="861"/>
  <c r="W32" i="861"/>
  <c r="V32" i="861"/>
  <c r="U32" i="861"/>
  <c r="T32" i="861"/>
  <c r="S32" i="861"/>
  <c r="R32" i="861"/>
  <c r="Z31" i="861"/>
  <c r="Y31" i="861"/>
  <c r="X31" i="861"/>
  <c r="W31" i="861"/>
  <c r="V31" i="861"/>
  <c r="U31" i="861"/>
  <c r="T31" i="861"/>
  <c r="S31" i="861"/>
  <c r="R31" i="861"/>
  <c r="M31" i="861"/>
  <c r="L31" i="861"/>
  <c r="K31" i="861"/>
  <c r="Z30" i="861"/>
  <c r="Y30" i="861"/>
  <c r="X30" i="861"/>
  <c r="W30" i="861"/>
  <c r="V30" i="861"/>
  <c r="U30" i="861"/>
  <c r="T30" i="861"/>
  <c r="S30" i="861"/>
  <c r="R30" i="861"/>
  <c r="Z29" i="861"/>
  <c r="Y29" i="861"/>
  <c r="X29" i="861"/>
  <c r="W29" i="861"/>
  <c r="V29" i="861"/>
  <c r="U29" i="861"/>
  <c r="T29" i="861"/>
  <c r="S29" i="861"/>
  <c r="R29" i="861"/>
  <c r="Z28" i="861"/>
  <c r="Y28" i="861"/>
  <c r="X28" i="861"/>
  <c r="W28" i="861"/>
  <c r="V28" i="861"/>
  <c r="U28" i="861"/>
  <c r="T28" i="861"/>
  <c r="S28" i="861"/>
  <c r="R28" i="861"/>
  <c r="K63" i="860"/>
  <c r="K61" i="860"/>
  <c r="J30" i="861" l="1"/>
  <c r="K72" i="860"/>
  <c r="B63" i="860"/>
  <c r="B44" i="860"/>
  <c r="C46" i="860" a="1"/>
  <c r="C46" i="860" s="1"/>
  <c r="C44" i="860" a="1"/>
  <c r="C44" i="860" s="1"/>
  <c r="F13" i="860" l="1"/>
  <c r="L10" i="860"/>
  <c r="C36" i="860" a="1"/>
  <c r="C36" i="860" s="1"/>
  <c r="C32" i="860" a="1"/>
  <c r="C32" i="860" s="1"/>
  <c r="R18" i="860"/>
  <c r="S18" i="860"/>
  <c r="T18" i="860"/>
  <c r="U18" i="860"/>
  <c r="V18" i="860"/>
  <c r="W18" i="860"/>
  <c r="X18" i="860"/>
  <c r="Y18" i="860"/>
  <c r="Z18" i="860"/>
  <c r="R19" i="860"/>
  <c r="S19" i="860"/>
  <c r="T19" i="860"/>
  <c r="U19" i="860"/>
  <c r="V19" i="860"/>
  <c r="W19" i="860"/>
  <c r="X19" i="860"/>
  <c r="Y19" i="860"/>
  <c r="Z19" i="860"/>
  <c r="R20" i="860"/>
  <c r="S20" i="860"/>
  <c r="T20" i="860"/>
  <c r="U20" i="860"/>
  <c r="V20" i="860"/>
  <c r="W20" i="860"/>
  <c r="X20" i="860"/>
  <c r="Y20" i="860"/>
  <c r="Z20" i="860"/>
  <c r="R21" i="860"/>
  <c r="S21" i="860"/>
  <c r="T21" i="860"/>
  <c r="U21" i="860"/>
  <c r="V21" i="860"/>
  <c r="W21" i="860"/>
  <c r="X21" i="860"/>
  <c r="Y21" i="860"/>
  <c r="Z21" i="860"/>
  <c r="R22" i="860"/>
  <c r="S22" i="860"/>
  <c r="T22" i="860"/>
  <c r="U22" i="860"/>
  <c r="V22" i="860"/>
  <c r="W22" i="860"/>
  <c r="X22" i="860"/>
  <c r="Y22" i="860"/>
  <c r="Z22" i="860"/>
  <c r="R23" i="860"/>
  <c r="S23" i="860"/>
  <c r="T23" i="860"/>
  <c r="U23" i="860"/>
  <c r="V23" i="860"/>
  <c r="W23" i="860"/>
  <c r="X23" i="860"/>
  <c r="Y23" i="860"/>
  <c r="Z23" i="860"/>
  <c r="R24" i="860"/>
  <c r="S24" i="860"/>
  <c r="T24" i="860"/>
  <c r="U24" i="860"/>
  <c r="V24" i="860"/>
  <c r="W24" i="860"/>
  <c r="X24" i="860"/>
  <c r="Y24" i="860"/>
  <c r="Z24" i="860"/>
  <c r="R25" i="860"/>
  <c r="S25" i="860"/>
  <c r="T25" i="860"/>
  <c r="U25" i="860"/>
  <c r="V25" i="860"/>
  <c r="W25" i="860"/>
  <c r="X25" i="860"/>
  <c r="Y25" i="860"/>
  <c r="Z25" i="860"/>
  <c r="R26" i="860"/>
  <c r="S26" i="860"/>
  <c r="T26" i="860"/>
  <c r="U26" i="860"/>
  <c r="V26" i="860"/>
  <c r="W26" i="860"/>
  <c r="X26" i="860"/>
  <c r="Y26" i="860"/>
  <c r="Z26" i="860"/>
  <c r="R27" i="860"/>
  <c r="S27" i="860"/>
  <c r="T27" i="860"/>
  <c r="U27" i="860"/>
  <c r="V27" i="860"/>
  <c r="W27" i="860"/>
  <c r="X27" i="860"/>
  <c r="Y27" i="860"/>
  <c r="Z27" i="860"/>
  <c r="R28" i="860"/>
  <c r="S28" i="860"/>
  <c r="T28" i="860"/>
  <c r="U28" i="860"/>
  <c r="V28" i="860"/>
  <c r="W28" i="860"/>
  <c r="X28" i="860"/>
  <c r="Y28" i="860"/>
  <c r="Z28" i="860"/>
  <c r="R29" i="860"/>
  <c r="S29" i="860"/>
  <c r="T29" i="860"/>
  <c r="U29" i="860"/>
  <c r="V29" i="860"/>
  <c r="W29" i="860"/>
  <c r="X29" i="860"/>
  <c r="Y29" i="860"/>
  <c r="Z29" i="860"/>
  <c r="R30" i="860"/>
  <c r="S30" i="860"/>
  <c r="T30" i="860"/>
  <c r="U30" i="860"/>
  <c r="V30" i="860"/>
  <c r="W30" i="860"/>
  <c r="X30" i="860"/>
  <c r="Y30" i="860"/>
  <c r="Z30" i="860"/>
  <c r="R31" i="860"/>
  <c r="S31" i="860"/>
  <c r="T31" i="860"/>
  <c r="U31" i="860"/>
  <c r="V31" i="860"/>
  <c r="W31" i="860"/>
  <c r="X31" i="860"/>
  <c r="Y31" i="860"/>
  <c r="Z31" i="860"/>
  <c r="R32" i="860"/>
  <c r="S32" i="860"/>
  <c r="T32" i="860"/>
  <c r="U32" i="860"/>
  <c r="V32" i="860"/>
  <c r="W32" i="860"/>
  <c r="X32" i="860"/>
  <c r="Y32" i="860"/>
  <c r="Z32" i="860"/>
  <c r="C20" i="860"/>
  <c r="D20" i="860"/>
  <c r="E20" i="860"/>
  <c r="F20" i="860"/>
  <c r="G20" i="860"/>
  <c r="I20" i="860"/>
  <c r="J34" i="860" s="1"/>
  <c r="J20" i="860"/>
  <c r="K20" i="860"/>
  <c r="L20" i="860"/>
  <c r="M20" i="860"/>
  <c r="N20" i="860"/>
  <c r="O20" i="860"/>
  <c r="R10" i="860"/>
  <c r="S10" i="860"/>
  <c r="T10" i="860"/>
  <c r="U10" i="860"/>
  <c r="V10" i="860"/>
  <c r="W10" i="860"/>
  <c r="X10" i="860"/>
  <c r="Y10" i="860"/>
  <c r="Z10" i="860"/>
  <c r="R11" i="860"/>
  <c r="S11" i="860"/>
  <c r="T11" i="860"/>
  <c r="U11" i="860"/>
  <c r="V11" i="860"/>
  <c r="W11" i="860"/>
  <c r="X11" i="860"/>
  <c r="Y11" i="860"/>
  <c r="Z11" i="860"/>
  <c r="R12" i="860"/>
  <c r="S12" i="860"/>
  <c r="T12" i="860"/>
  <c r="U12" i="860"/>
  <c r="V12" i="860"/>
  <c r="W12" i="860"/>
  <c r="X12" i="860"/>
  <c r="Y12" i="860"/>
  <c r="Z12" i="860"/>
  <c r="R13" i="860"/>
  <c r="S13" i="860"/>
  <c r="T13" i="860"/>
  <c r="U13" i="860"/>
  <c r="V13" i="860"/>
  <c r="W13" i="860"/>
  <c r="X13" i="860"/>
  <c r="Y13" i="860"/>
  <c r="Z13" i="860"/>
  <c r="R14" i="860"/>
  <c r="S14" i="860"/>
  <c r="T14" i="860"/>
  <c r="U14" i="860"/>
  <c r="V14" i="860"/>
  <c r="W14" i="860"/>
  <c r="X14" i="860"/>
  <c r="Y14" i="860"/>
  <c r="Z14" i="860"/>
  <c r="R15" i="860"/>
  <c r="S15" i="860"/>
  <c r="T15" i="860"/>
  <c r="U15" i="860"/>
  <c r="V15" i="860"/>
  <c r="W15" i="860"/>
  <c r="X15" i="860"/>
  <c r="Y15" i="860"/>
  <c r="Z15" i="860"/>
  <c r="R16" i="860"/>
  <c r="S16" i="860"/>
  <c r="T16" i="860"/>
  <c r="U16" i="860"/>
  <c r="V16" i="860"/>
  <c r="W16" i="860"/>
  <c r="X16" i="860"/>
  <c r="Y16" i="860"/>
  <c r="Z16" i="860"/>
  <c r="R17" i="860"/>
  <c r="S17" i="860"/>
  <c r="T17" i="860"/>
  <c r="U17" i="860"/>
  <c r="V17" i="860"/>
  <c r="W17" i="860"/>
  <c r="X17" i="860"/>
  <c r="Y17" i="860"/>
  <c r="Z17" i="860"/>
  <c r="C15" i="860"/>
  <c r="D15" i="860"/>
  <c r="E15" i="860"/>
  <c r="F15" i="860"/>
  <c r="G15" i="860"/>
  <c r="L15" i="860"/>
  <c r="M15" i="860"/>
  <c r="N15" i="860"/>
  <c r="O15" i="860"/>
  <c r="C16" i="860"/>
  <c r="D16" i="860"/>
  <c r="E16" i="860"/>
  <c r="F16" i="860"/>
  <c r="G16" i="860"/>
  <c r="I16" i="860"/>
  <c r="J16" i="860"/>
  <c r="L16" i="860"/>
  <c r="M16" i="860"/>
  <c r="N16" i="860"/>
  <c r="O16" i="860"/>
  <c r="C17" i="860"/>
  <c r="D17" i="860"/>
  <c r="E17" i="860"/>
  <c r="F17" i="860"/>
  <c r="G17" i="860"/>
  <c r="I17" i="860"/>
  <c r="J17" i="860"/>
  <c r="L17" i="860"/>
  <c r="M17" i="860"/>
  <c r="N17" i="860"/>
  <c r="O17" i="860"/>
  <c r="C18" i="860"/>
  <c r="D18" i="860"/>
  <c r="E18" i="860"/>
  <c r="F18" i="860"/>
  <c r="G18" i="860"/>
  <c r="I18" i="860"/>
  <c r="J18" i="860"/>
  <c r="L18" i="860"/>
  <c r="M18" i="860"/>
  <c r="N18" i="860"/>
  <c r="O18" i="860"/>
  <c r="C10" i="860"/>
  <c r="D10" i="860"/>
  <c r="E10" i="860"/>
  <c r="F10" i="860"/>
  <c r="G10" i="860"/>
  <c r="M10" i="860"/>
  <c r="O10" i="860"/>
  <c r="C11" i="860"/>
  <c r="D11" i="860"/>
  <c r="E11" i="860"/>
  <c r="F11" i="860"/>
  <c r="G11" i="860"/>
  <c r="L11" i="860"/>
  <c r="M11" i="860"/>
  <c r="O11" i="860"/>
  <c r="C12" i="860"/>
  <c r="D12" i="860"/>
  <c r="E12" i="860"/>
  <c r="F12" i="860"/>
  <c r="G12" i="860"/>
  <c r="L12" i="860"/>
  <c r="M12" i="860"/>
  <c r="O12" i="860"/>
  <c r="C13" i="860"/>
  <c r="D13" i="860"/>
  <c r="E13" i="860"/>
  <c r="G13" i="860"/>
  <c r="L13" i="860"/>
  <c r="M13" i="860"/>
  <c r="O13" i="860"/>
  <c r="B32" i="860"/>
  <c r="B61" i="860"/>
  <c r="F77" i="860"/>
  <c r="AX61" i="860"/>
  <c r="AW61" i="860"/>
  <c r="AV61" i="860"/>
  <c r="AU61" i="860"/>
  <c r="AT61" i="860"/>
  <c r="AS61" i="860"/>
  <c r="AR61" i="860"/>
  <c r="AQ61" i="860"/>
  <c r="AP61" i="860"/>
  <c r="AO61" i="860"/>
  <c r="AN61" i="860"/>
  <c r="AM61" i="860"/>
  <c r="AL61" i="860"/>
  <c r="AK61" i="860"/>
  <c r="AJ61" i="860"/>
  <c r="AI61" i="860"/>
  <c r="AH61" i="860"/>
  <c r="AG61" i="860"/>
  <c r="AF61" i="860"/>
  <c r="AE61" i="860"/>
  <c r="AD61" i="860"/>
  <c r="AC61" i="860"/>
  <c r="AB61" i="860"/>
  <c r="K56" i="860"/>
  <c r="C55" i="860"/>
  <c r="D54" i="860"/>
  <c r="Z43" i="860"/>
  <c r="Y43" i="860"/>
  <c r="X43" i="860"/>
  <c r="W43" i="860"/>
  <c r="V43" i="860"/>
  <c r="U43" i="860"/>
  <c r="T43" i="860"/>
  <c r="S43" i="860"/>
  <c r="R43" i="860"/>
  <c r="Z42" i="860"/>
  <c r="Y42" i="860"/>
  <c r="X42" i="860"/>
  <c r="W42" i="860"/>
  <c r="V42" i="860"/>
  <c r="U42" i="860"/>
  <c r="T42" i="860"/>
  <c r="S42" i="860"/>
  <c r="R42" i="860"/>
  <c r="Z41" i="860"/>
  <c r="Y41" i="860"/>
  <c r="X41" i="860"/>
  <c r="W41" i="860"/>
  <c r="V41" i="860"/>
  <c r="U41" i="860"/>
  <c r="T41" i="860"/>
  <c r="S41" i="860"/>
  <c r="R41" i="860"/>
  <c r="M41" i="860"/>
  <c r="Z40" i="860"/>
  <c r="Y40" i="860"/>
  <c r="X40" i="860"/>
  <c r="W40" i="860"/>
  <c r="V40" i="860"/>
  <c r="U40" i="860"/>
  <c r="T40" i="860"/>
  <c r="S40" i="860"/>
  <c r="R40" i="860"/>
  <c r="M40" i="860"/>
  <c r="Z39" i="860"/>
  <c r="Y39" i="860"/>
  <c r="X39" i="860"/>
  <c r="W39" i="860"/>
  <c r="V39" i="860"/>
  <c r="U39" i="860"/>
  <c r="T39" i="860"/>
  <c r="S39" i="860"/>
  <c r="R39" i="860"/>
  <c r="M39" i="860"/>
  <c r="Z38" i="860"/>
  <c r="Y38" i="860"/>
  <c r="X38" i="860"/>
  <c r="W38" i="860"/>
  <c r="V38" i="860"/>
  <c r="U38" i="860"/>
  <c r="T38" i="860"/>
  <c r="S38" i="860"/>
  <c r="R38" i="860"/>
  <c r="M38" i="860"/>
  <c r="Z37" i="860"/>
  <c r="Y37" i="860"/>
  <c r="X37" i="860"/>
  <c r="W37" i="860"/>
  <c r="V37" i="860"/>
  <c r="U37" i="860"/>
  <c r="T37" i="860"/>
  <c r="S37" i="860"/>
  <c r="R37" i="860"/>
  <c r="M37" i="860"/>
  <c r="Z36" i="860"/>
  <c r="Y36" i="860"/>
  <c r="X36" i="860"/>
  <c r="W36" i="860"/>
  <c r="V36" i="860"/>
  <c r="U36" i="860"/>
  <c r="T36" i="860"/>
  <c r="S36" i="860"/>
  <c r="R36" i="860"/>
  <c r="Z35" i="860"/>
  <c r="Y35" i="860"/>
  <c r="X35" i="860"/>
  <c r="W35" i="860"/>
  <c r="V35" i="860"/>
  <c r="U35" i="860"/>
  <c r="T35" i="860"/>
  <c r="S35" i="860"/>
  <c r="R35" i="860"/>
  <c r="M35" i="860"/>
  <c r="L35" i="860"/>
  <c r="K35" i="860"/>
  <c r="Z34" i="860"/>
  <c r="Y34" i="860"/>
  <c r="X34" i="860"/>
  <c r="W34" i="860"/>
  <c r="V34" i="860"/>
  <c r="U34" i="860"/>
  <c r="T34" i="860"/>
  <c r="S34" i="860"/>
  <c r="R34" i="860"/>
  <c r="L34" i="860"/>
  <c r="K34" i="860"/>
  <c r="Z33" i="860"/>
  <c r="Y33" i="860"/>
  <c r="X33" i="860"/>
  <c r="W33" i="860"/>
  <c r="V33" i="860"/>
  <c r="U33" i="860"/>
  <c r="T33" i="860"/>
  <c r="S33" i="860"/>
  <c r="R33" i="860"/>
  <c r="K33" i="860"/>
  <c r="M32" i="860"/>
  <c r="L32" i="860"/>
  <c r="K32" i="860"/>
  <c r="E58" i="859"/>
  <c r="K58" i="859"/>
  <c r="K42" i="860" l="1"/>
  <c r="L42" i="860" s="1"/>
  <c r="M42" i="860" s="1"/>
  <c r="K72" i="859"/>
  <c r="G58" i="859"/>
  <c r="C29" i="859" a="1"/>
  <c r="C29" i="859" s="1"/>
  <c r="M30" i="859"/>
  <c r="L30" i="859"/>
  <c r="K30" i="859"/>
  <c r="M29" i="859"/>
  <c r="L29" i="859"/>
  <c r="K29" i="859"/>
  <c r="R10" i="859"/>
  <c r="S10" i="859"/>
  <c r="T10" i="859"/>
  <c r="U10" i="859"/>
  <c r="V10" i="859"/>
  <c r="W10" i="859"/>
  <c r="X10" i="859"/>
  <c r="Y10" i="859"/>
  <c r="Z10" i="859"/>
  <c r="R11" i="859"/>
  <c r="S11" i="859"/>
  <c r="T11" i="859"/>
  <c r="U11" i="859"/>
  <c r="V11" i="859"/>
  <c r="W11" i="859"/>
  <c r="X11" i="859"/>
  <c r="Y11" i="859"/>
  <c r="Z11" i="859"/>
  <c r="R12" i="859"/>
  <c r="S12" i="859"/>
  <c r="T12" i="859"/>
  <c r="U12" i="859"/>
  <c r="V12" i="859"/>
  <c r="W12" i="859"/>
  <c r="X12" i="859"/>
  <c r="Y12" i="859"/>
  <c r="Z12" i="859"/>
  <c r="R13" i="859"/>
  <c r="S13" i="859"/>
  <c r="T13" i="859"/>
  <c r="U13" i="859"/>
  <c r="V13" i="859"/>
  <c r="W13" i="859"/>
  <c r="X13" i="859"/>
  <c r="Y13" i="859"/>
  <c r="Z13" i="859"/>
  <c r="R14" i="859"/>
  <c r="S14" i="859"/>
  <c r="T14" i="859"/>
  <c r="U14" i="859"/>
  <c r="V14" i="859"/>
  <c r="W14" i="859"/>
  <c r="X14" i="859"/>
  <c r="Y14" i="859"/>
  <c r="Z14" i="859"/>
  <c r="R15" i="859"/>
  <c r="S15" i="859"/>
  <c r="T15" i="859"/>
  <c r="U15" i="859"/>
  <c r="V15" i="859"/>
  <c r="W15" i="859"/>
  <c r="X15" i="859"/>
  <c r="Y15" i="859"/>
  <c r="Z15" i="859"/>
  <c r="R16" i="859"/>
  <c r="S16" i="859"/>
  <c r="T16" i="859"/>
  <c r="U16" i="859"/>
  <c r="V16" i="859"/>
  <c r="W16" i="859"/>
  <c r="X16" i="859"/>
  <c r="Y16" i="859"/>
  <c r="Z16" i="859"/>
  <c r="R17" i="859"/>
  <c r="S17" i="859"/>
  <c r="T17" i="859"/>
  <c r="U17" i="859"/>
  <c r="V17" i="859"/>
  <c r="W17" i="859"/>
  <c r="X17" i="859"/>
  <c r="Y17" i="859"/>
  <c r="Z17" i="859"/>
  <c r="R18" i="859"/>
  <c r="S18" i="859"/>
  <c r="T18" i="859"/>
  <c r="U18" i="859"/>
  <c r="V18" i="859"/>
  <c r="W18" i="859"/>
  <c r="X18" i="859"/>
  <c r="Y18" i="859"/>
  <c r="Z18" i="859"/>
  <c r="R19" i="859"/>
  <c r="S19" i="859"/>
  <c r="T19" i="859"/>
  <c r="U19" i="859"/>
  <c r="V19" i="859"/>
  <c r="W19" i="859"/>
  <c r="X19" i="859"/>
  <c r="Y19" i="859"/>
  <c r="Z19" i="859"/>
  <c r="R20" i="859"/>
  <c r="S20" i="859"/>
  <c r="T20" i="859"/>
  <c r="U20" i="859"/>
  <c r="V20" i="859"/>
  <c r="W20" i="859"/>
  <c r="X20" i="859"/>
  <c r="Y20" i="859"/>
  <c r="Z20" i="859"/>
  <c r="R21" i="859"/>
  <c r="S21" i="859"/>
  <c r="T21" i="859"/>
  <c r="U21" i="859"/>
  <c r="V21" i="859"/>
  <c r="W21" i="859"/>
  <c r="X21" i="859"/>
  <c r="Y21" i="859"/>
  <c r="Z21" i="859"/>
  <c r="R22" i="859"/>
  <c r="S22" i="859"/>
  <c r="T22" i="859"/>
  <c r="U22" i="859"/>
  <c r="V22" i="859"/>
  <c r="W22" i="859"/>
  <c r="X22" i="859"/>
  <c r="Y22" i="859"/>
  <c r="Z22" i="859"/>
  <c r="R23" i="859"/>
  <c r="S23" i="859"/>
  <c r="T23" i="859"/>
  <c r="U23" i="859"/>
  <c r="V23" i="859"/>
  <c r="W23" i="859"/>
  <c r="X23" i="859"/>
  <c r="Y23" i="859"/>
  <c r="Z23" i="859"/>
  <c r="R24" i="859"/>
  <c r="S24" i="859"/>
  <c r="T24" i="859"/>
  <c r="U24" i="859"/>
  <c r="V24" i="859"/>
  <c r="W24" i="859"/>
  <c r="X24" i="859"/>
  <c r="Y24" i="859"/>
  <c r="Z24" i="859"/>
  <c r="R25" i="859"/>
  <c r="S25" i="859"/>
  <c r="T25" i="859"/>
  <c r="U25" i="859"/>
  <c r="V25" i="859"/>
  <c r="W25" i="859"/>
  <c r="X25" i="859"/>
  <c r="Y25" i="859"/>
  <c r="Z25" i="859"/>
  <c r="C10" i="859"/>
  <c r="D10" i="859"/>
  <c r="E10" i="859"/>
  <c r="F10" i="859"/>
  <c r="G10" i="859"/>
  <c r="I10" i="859"/>
  <c r="J10" i="859"/>
  <c r="L10" i="859"/>
  <c r="M10" i="859"/>
  <c r="N10" i="859"/>
  <c r="O10" i="859"/>
  <c r="C11" i="859"/>
  <c r="D11" i="859"/>
  <c r="E11" i="859"/>
  <c r="F11" i="859"/>
  <c r="G11" i="859"/>
  <c r="I11" i="859"/>
  <c r="J11" i="859"/>
  <c r="L11" i="859"/>
  <c r="M11" i="859"/>
  <c r="N11" i="859"/>
  <c r="O11" i="859"/>
  <c r="C12" i="859"/>
  <c r="D12" i="859"/>
  <c r="E12" i="859"/>
  <c r="F12" i="859"/>
  <c r="G12" i="859"/>
  <c r="I12" i="859"/>
  <c r="J12" i="859"/>
  <c r="L12" i="859"/>
  <c r="M12" i="859"/>
  <c r="N12" i="859"/>
  <c r="O12" i="859"/>
  <c r="C13" i="859"/>
  <c r="D13" i="859"/>
  <c r="E13" i="859"/>
  <c r="F13" i="859"/>
  <c r="G13" i="859"/>
  <c r="I13" i="859"/>
  <c r="J13" i="859"/>
  <c r="L13" i="859"/>
  <c r="M13" i="859"/>
  <c r="N13" i="859"/>
  <c r="O13" i="859"/>
  <c r="C14" i="859"/>
  <c r="D14" i="859"/>
  <c r="E14" i="859"/>
  <c r="F14" i="859"/>
  <c r="G14" i="859"/>
  <c r="I14" i="859"/>
  <c r="J14" i="859"/>
  <c r="L14" i="859"/>
  <c r="M14" i="859"/>
  <c r="N14" i="859"/>
  <c r="O14" i="859"/>
  <c r="I16" i="859"/>
  <c r="J16" i="859"/>
  <c r="L16" i="859"/>
  <c r="M16" i="859"/>
  <c r="N16" i="859"/>
  <c r="O16" i="859"/>
  <c r="I17" i="859"/>
  <c r="J17" i="859"/>
  <c r="L17" i="859"/>
  <c r="M17" i="859"/>
  <c r="N17" i="859"/>
  <c r="O17" i="859"/>
  <c r="L18" i="859"/>
  <c r="M18" i="859"/>
  <c r="N18" i="859"/>
  <c r="O18" i="859"/>
  <c r="I19" i="859"/>
  <c r="J19" i="859"/>
  <c r="L19" i="859"/>
  <c r="M19" i="859"/>
  <c r="N19" i="859"/>
  <c r="O19" i="859"/>
  <c r="C16" i="859"/>
  <c r="D16" i="859"/>
  <c r="E16" i="859"/>
  <c r="F16" i="859"/>
  <c r="G16" i="859"/>
  <c r="C17" i="859"/>
  <c r="D17" i="859"/>
  <c r="E17" i="859"/>
  <c r="F17" i="859"/>
  <c r="G17" i="859"/>
  <c r="C18" i="859"/>
  <c r="D18" i="859"/>
  <c r="E18" i="859"/>
  <c r="F18" i="859"/>
  <c r="G18" i="859"/>
  <c r="C19" i="859"/>
  <c r="D19" i="859"/>
  <c r="E19" i="859"/>
  <c r="F19" i="859"/>
  <c r="G19" i="859"/>
  <c r="B29" i="859"/>
  <c r="Y29" i="859" s="1"/>
  <c r="D51" i="859"/>
  <c r="B58" i="859"/>
  <c r="F74" i="859"/>
  <c r="AX58" i="859"/>
  <c r="AW58" i="859"/>
  <c r="AV58" i="859"/>
  <c r="AU58" i="859"/>
  <c r="AT58" i="859"/>
  <c r="AS58" i="859"/>
  <c r="AR58" i="859"/>
  <c r="AQ58" i="859"/>
  <c r="AP58" i="859"/>
  <c r="AO58" i="859"/>
  <c r="AN58" i="859"/>
  <c r="AM58" i="859"/>
  <c r="AL58" i="859"/>
  <c r="AK58" i="859"/>
  <c r="AJ58" i="859"/>
  <c r="AI58" i="859"/>
  <c r="AH58" i="859"/>
  <c r="AG58" i="859"/>
  <c r="AF58" i="859"/>
  <c r="AE58" i="859"/>
  <c r="AD58" i="859"/>
  <c r="AC58" i="859"/>
  <c r="AB58" i="859"/>
  <c r="K53" i="859"/>
  <c r="C52" i="859"/>
  <c r="Z40" i="859"/>
  <c r="Y40" i="859"/>
  <c r="X40" i="859"/>
  <c r="W40" i="859"/>
  <c r="V40" i="859"/>
  <c r="U40" i="859"/>
  <c r="T40" i="859"/>
  <c r="S40" i="859"/>
  <c r="R40" i="859"/>
  <c r="Z39" i="859"/>
  <c r="Y39" i="859"/>
  <c r="X39" i="859"/>
  <c r="W39" i="859"/>
  <c r="V39" i="859"/>
  <c r="U39" i="859"/>
  <c r="T39" i="859"/>
  <c r="S39" i="859"/>
  <c r="R39" i="859"/>
  <c r="Z38" i="859"/>
  <c r="Y38" i="859"/>
  <c r="X38" i="859"/>
  <c r="W38" i="859"/>
  <c r="V38" i="859"/>
  <c r="U38" i="859"/>
  <c r="T38" i="859"/>
  <c r="S38" i="859"/>
  <c r="R38" i="859"/>
  <c r="M38" i="859"/>
  <c r="Z37" i="859"/>
  <c r="Y37" i="859"/>
  <c r="X37" i="859"/>
  <c r="W37" i="859"/>
  <c r="V37" i="859"/>
  <c r="U37" i="859"/>
  <c r="T37" i="859"/>
  <c r="S37" i="859"/>
  <c r="R37" i="859"/>
  <c r="M37" i="859"/>
  <c r="Z36" i="859"/>
  <c r="Y36" i="859"/>
  <c r="X36" i="859"/>
  <c r="W36" i="859"/>
  <c r="V36" i="859"/>
  <c r="U36" i="859"/>
  <c r="T36" i="859"/>
  <c r="S36" i="859"/>
  <c r="R36" i="859"/>
  <c r="M36" i="859"/>
  <c r="Z35" i="859"/>
  <c r="Y35" i="859"/>
  <c r="X35" i="859"/>
  <c r="W35" i="859"/>
  <c r="V35" i="859"/>
  <c r="U35" i="859"/>
  <c r="T35" i="859"/>
  <c r="S35" i="859"/>
  <c r="R35" i="859"/>
  <c r="M35" i="859"/>
  <c r="Z34" i="859"/>
  <c r="Y34" i="859"/>
  <c r="X34" i="859"/>
  <c r="W34" i="859"/>
  <c r="V34" i="859"/>
  <c r="U34" i="859"/>
  <c r="T34" i="859"/>
  <c r="S34" i="859"/>
  <c r="R34" i="859"/>
  <c r="M34" i="859"/>
  <c r="Z33" i="859"/>
  <c r="Y33" i="859"/>
  <c r="X33" i="859"/>
  <c r="W33" i="859"/>
  <c r="V33" i="859"/>
  <c r="U33" i="859"/>
  <c r="T33" i="859"/>
  <c r="S33" i="859"/>
  <c r="R33" i="859"/>
  <c r="Z32" i="859"/>
  <c r="Y32" i="859"/>
  <c r="X32" i="859"/>
  <c r="W32" i="859"/>
  <c r="V32" i="859"/>
  <c r="U32" i="859"/>
  <c r="T32" i="859"/>
  <c r="S32" i="859"/>
  <c r="R32" i="859"/>
  <c r="M32" i="859"/>
  <c r="L32" i="859"/>
  <c r="K32" i="859"/>
  <c r="Z31" i="859"/>
  <c r="Y31" i="859"/>
  <c r="X31" i="859"/>
  <c r="W31" i="859"/>
  <c r="V31" i="859"/>
  <c r="U31" i="859"/>
  <c r="T31" i="859"/>
  <c r="S31" i="859"/>
  <c r="R31" i="859"/>
  <c r="L31" i="859"/>
  <c r="K31" i="859"/>
  <c r="Z30" i="859"/>
  <c r="Y30" i="859"/>
  <c r="X30" i="859"/>
  <c r="W30" i="859"/>
  <c r="V30" i="859"/>
  <c r="U30" i="859"/>
  <c r="T30" i="859"/>
  <c r="S30" i="859"/>
  <c r="R30" i="859"/>
  <c r="U29" i="859"/>
  <c r="Z28" i="859"/>
  <c r="Y28" i="859"/>
  <c r="X28" i="859"/>
  <c r="W28" i="859"/>
  <c r="V28" i="859"/>
  <c r="U28" i="859"/>
  <c r="T28" i="859"/>
  <c r="S28" i="859"/>
  <c r="R28" i="859"/>
  <c r="Z27" i="859"/>
  <c r="Y27" i="859"/>
  <c r="X27" i="859"/>
  <c r="W27" i="859"/>
  <c r="V27" i="859"/>
  <c r="U27" i="859"/>
  <c r="T27" i="859"/>
  <c r="S27" i="859"/>
  <c r="R27" i="859"/>
  <c r="Z26" i="859"/>
  <c r="Y26" i="859"/>
  <c r="X26" i="859"/>
  <c r="W26" i="859"/>
  <c r="V26" i="859"/>
  <c r="U26" i="859"/>
  <c r="T26" i="859"/>
  <c r="S26" i="859"/>
  <c r="R26" i="859"/>
  <c r="K61" i="858"/>
  <c r="J30" i="859" l="1"/>
  <c r="G61" i="858"/>
  <c r="Z29" i="859"/>
  <c r="V29" i="859"/>
  <c r="W29" i="859"/>
  <c r="K39" i="859"/>
  <c r="L39" i="859" s="1"/>
  <c r="M39" i="859" s="1"/>
  <c r="X29" i="859"/>
  <c r="R29" i="859"/>
  <c r="S29" i="859"/>
  <c r="T29" i="859"/>
  <c r="B61" i="858" l="1"/>
  <c r="R10" i="858" l="1"/>
  <c r="S10" i="858"/>
  <c r="T10" i="858"/>
  <c r="U10" i="858"/>
  <c r="V10" i="858"/>
  <c r="W10" i="858"/>
  <c r="X10" i="858"/>
  <c r="Y10" i="858"/>
  <c r="Z10" i="858"/>
  <c r="C10" i="858"/>
  <c r="D10" i="858"/>
  <c r="E10" i="858"/>
  <c r="F10" i="858"/>
  <c r="G10" i="858"/>
  <c r="I10" i="858"/>
  <c r="J10" i="858"/>
  <c r="L10" i="858"/>
  <c r="M10" i="858"/>
  <c r="N10" i="858"/>
  <c r="O10" i="858"/>
  <c r="M27" i="858"/>
  <c r="L27" i="858"/>
  <c r="K27" i="858"/>
  <c r="M26" i="858"/>
  <c r="L26" i="858"/>
  <c r="K26" i="858"/>
  <c r="C21" i="858"/>
  <c r="D21" i="858"/>
  <c r="E21" i="858"/>
  <c r="F21" i="858"/>
  <c r="G21" i="858"/>
  <c r="I21" i="858"/>
  <c r="J21" i="858"/>
  <c r="L21" i="858"/>
  <c r="M21" i="858"/>
  <c r="N21" i="858"/>
  <c r="O21" i="858"/>
  <c r="C22" i="858"/>
  <c r="D22" i="858"/>
  <c r="E22" i="858"/>
  <c r="F22" i="858"/>
  <c r="G22" i="858"/>
  <c r="I22" i="858"/>
  <c r="J22" i="858"/>
  <c r="L22" i="858"/>
  <c r="M22" i="858"/>
  <c r="N22" i="858"/>
  <c r="O22" i="858"/>
  <c r="O20" i="858"/>
  <c r="N20" i="858"/>
  <c r="M20" i="858"/>
  <c r="L20" i="858"/>
  <c r="J20" i="858"/>
  <c r="I20" i="858"/>
  <c r="G20" i="858"/>
  <c r="F20" i="858"/>
  <c r="E20" i="858"/>
  <c r="D20" i="858"/>
  <c r="C20" i="858"/>
  <c r="J27" i="858" l="1"/>
  <c r="C38" i="858"/>
  <c r="C39" i="858"/>
  <c r="C40" i="858"/>
  <c r="C41" i="858"/>
  <c r="C42" i="858"/>
  <c r="C43" i="858"/>
  <c r="C44" i="858"/>
  <c r="C45" i="858"/>
  <c r="C46" i="858"/>
  <c r="C47" i="858"/>
  <c r="C48" i="858"/>
  <c r="C49" i="858"/>
  <c r="C26" i="858"/>
  <c r="C27" i="858"/>
  <c r="C28" i="858"/>
  <c r="C29" i="858"/>
  <c r="C30" i="858"/>
  <c r="C31" i="858"/>
  <c r="C32" i="858"/>
  <c r="C33" i="858"/>
  <c r="C34" i="858"/>
  <c r="C35" i="858"/>
  <c r="C36" i="858"/>
  <c r="C37" i="858"/>
  <c r="B38" i="858"/>
  <c r="B26" i="858"/>
  <c r="G55" i="858"/>
  <c r="B59" i="858" l="1"/>
  <c r="B57" i="858"/>
  <c r="B55" i="858"/>
  <c r="R11" i="858"/>
  <c r="S11" i="858"/>
  <c r="T11" i="858"/>
  <c r="U11" i="858"/>
  <c r="V11" i="858"/>
  <c r="W11" i="858"/>
  <c r="X11" i="858"/>
  <c r="Y11" i="858"/>
  <c r="Z11" i="858"/>
  <c r="R12" i="858"/>
  <c r="S12" i="858"/>
  <c r="T12" i="858"/>
  <c r="U12" i="858"/>
  <c r="V12" i="858"/>
  <c r="W12" i="858"/>
  <c r="X12" i="858"/>
  <c r="Y12" i="858"/>
  <c r="Z12" i="858"/>
  <c r="R13" i="858"/>
  <c r="S13" i="858"/>
  <c r="T13" i="858"/>
  <c r="U13" i="858"/>
  <c r="V13" i="858"/>
  <c r="W13" i="858"/>
  <c r="X13" i="858"/>
  <c r="Y13" i="858"/>
  <c r="Z13" i="858"/>
  <c r="R14" i="858"/>
  <c r="S14" i="858"/>
  <c r="T14" i="858"/>
  <c r="U14" i="858"/>
  <c r="V14" i="858"/>
  <c r="W14" i="858"/>
  <c r="X14" i="858"/>
  <c r="Y14" i="858"/>
  <c r="Z14" i="858"/>
  <c r="R15" i="858"/>
  <c r="S15" i="858"/>
  <c r="T15" i="858"/>
  <c r="U15" i="858"/>
  <c r="V15" i="858"/>
  <c r="W15" i="858"/>
  <c r="X15" i="858"/>
  <c r="Y15" i="858"/>
  <c r="Z15" i="858"/>
  <c r="R16" i="858"/>
  <c r="S16" i="858"/>
  <c r="T16" i="858"/>
  <c r="U16" i="858"/>
  <c r="V16" i="858"/>
  <c r="W16" i="858"/>
  <c r="X16" i="858"/>
  <c r="Y16" i="858"/>
  <c r="Z16" i="858"/>
  <c r="R17" i="858"/>
  <c r="S17" i="858"/>
  <c r="T17" i="858"/>
  <c r="U17" i="858"/>
  <c r="V17" i="858"/>
  <c r="W17" i="858"/>
  <c r="X17" i="858"/>
  <c r="Y17" i="858"/>
  <c r="Z17" i="858"/>
  <c r="R18" i="858"/>
  <c r="S18" i="858"/>
  <c r="T18" i="858"/>
  <c r="U18" i="858"/>
  <c r="V18" i="858"/>
  <c r="W18" i="858"/>
  <c r="X18" i="858"/>
  <c r="Y18" i="858"/>
  <c r="Z18" i="858"/>
  <c r="I11" i="858"/>
  <c r="J11" i="858"/>
  <c r="L11" i="858"/>
  <c r="M11" i="858"/>
  <c r="N11" i="858"/>
  <c r="O11" i="858"/>
  <c r="I12" i="858"/>
  <c r="J12" i="858"/>
  <c r="L12" i="858"/>
  <c r="M12" i="858"/>
  <c r="N12" i="858"/>
  <c r="O12" i="858"/>
  <c r="I13" i="858"/>
  <c r="J13" i="858"/>
  <c r="L13" i="858"/>
  <c r="M13" i="858"/>
  <c r="N13" i="858"/>
  <c r="O13" i="858"/>
  <c r="I14" i="858"/>
  <c r="J14" i="858"/>
  <c r="L14" i="858"/>
  <c r="M14" i="858"/>
  <c r="N14" i="858"/>
  <c r="O14" i="858"/>
  <c r="I15" i="858"/>
  <c r="J15" i="858"/>
  <c r="L15" i="858"/>
  <c r="M15" i="858"/>
  <c r="N15" i="858"/>
  <c r="O15" i="858"/>
  <c r="I16" i="858"/>
  <c r="J16" i="858"/>
  <c r="L16" i="858"/>
  <c r="M16" i="858"/>
  <c r="N16" i="858"/>
  <c r="O16" i="858"/>
  <c r="I17" i="858"/>
  <c r="J17" i="858"/>
  <c r="L17" i="858"/>
  <c r="M17" i="858"/>
  <c r="N17" i="858"/>
  <c r="O17" i="858"/>
  <c r="C11" i="858"/>
  <c r="D11" i="858"/>
  <c r="E11" i="858"/>
  <c r="F11" i="858"/>
  <c r="G11" i="858"/>
  <c r="C12" i="858"/>
  <c r="D12" i="858"/>
  <c r="E12" i="858"/>
  <c r="F12" i="858"/>
  <c r="G12" i="858"/>
  <c r="C13" i="858"/>
  <c r="D13" i="858"/>
  <c r="E13" i="858"/>
  <c r="F13" i="858"/>
  <c r="G13" i="858"/>
  <c r="C14" i="858"/>
  <c r="D14" i="858"/>
  <c r="E14" i="858"/>
  <c r="F14" i="858"/>
  <c r="G14" i="858"/>
  <c r="C15" i="858"/>
  <c r="D15" i="858"/>
  <c r="E15" i="858"/>
  <c r="F15" i="858"/>
  <c r="G15" i="858"/>
  <c r="C16" i="858"/>
  <c r="D16" i="858"/>
  <c r="E16" i="858"/>
  <c r="F16" i="858"/>
  <c r="G16" i="858"/>
  <c r="C17" i="858"/>
  <c r="D17" i="858"/>
  <c r="E17" i="858"/>
  <c r="F17" i="858"/>
  <c r="G17" i="858"/>
  <c r="F71" i="858"/>
  <c r="AX55" i="858"/>
  <c r="AW55" i="858"/>
  <c r="AV55" i="858"/>
  <c r="AU55" i="858"/>
  <c r="AT55" i="858"/>
  <c r="AS55" i="858"/>
  <c r="AR55" i="858"/>
  <c r="AQ55" i="858"/>
  <c r="AP55" i="858"/>
  <c r="AO55" i="858"/>
  <c r="AN55" i="858"/>
  <c r="AM55" i="858"/>
  <c r="AL55" i="858"/>
  <c r="AK55" i="858"/>
  <c r="AJ55" i="858"/>
  <c r="AI55" i="858"/>
  <c r="AH55" i="858"/>
  <c r="AG55" i="858"/>
  <c r="AF55" i="858"/>
  <c r="AE55" i="858"/>
  <c r="AD55" i="858"/>
  <c r="AC55" i="858"/>
  <c r="AB55" i="858"/>
  <c r="K50" i="858"/>
  <c r="D48" i="858"/>
  <c r="Z37" i="858"/>
  <c r="Y37" i="858"/>
  <c r="X37" i="858"/>
  <c r="W37" i="858"/>
  <c r="V37" i="858"/>
  <c r="U37" i="858"/>
  <c r="T37" i="858"/>
  <c r="S37" i="858"/>
  <c r="R37" i="858"/>
  <c r="Z36" i="858"/>
  <c r="Y36" i="858"/>
  <c r="X36" i="858"/>
  <c r="W36" i="858"/>
  <c r="V36" i="858"/>
  <c r="U36" i="858"/>
  <c r="T36" i="858"/>
  <c r="S36" i="858"/>
  <c r="R36" i="858"/>
  <c r="Z35" i="858"/>
  <c r="Y35" i="858"/>
  <c r="X35" i="858"/>
  <c r="W35" i="858"/>
  <c r="V35" i="858"/>
  <c r="U35" i="858"/>
  <c r="T35" i="858"/>
  <c r="S35" i="858"/>
  <c r="R35" i="858"/>
  <c r="M35" i="858"/>
  <c r="Z34" i="858"/>
  <c r="Y34" i="858"/>
  <c r="X34" i="858"/>
  <c r="W34" i="858"/>
  <c r="V34" i="858"/>
  <c r="U34" i="858"/>
  <c r="T34" i="858"/>
  <c r="S34" i="858"/>
  <c r="R34" i="858"/>
  <c r="M34" i="858"/>
  <c r="Z33" i="858"/>
  <c r="Y33" i="858"/>
  <c r="X33" i="858"/>
  <c r="W33" i="858"/>
  <c r="V33" i="858"/>
  <c r="U33" i="858"/>
  <c r="T33" i="858"/>
  <c r="S33" i="858"/>
  <c r="R33" i="858"/>
  <c r="M33" i="858"/>
  <c r="Z32" i="858"/>
  <c r="Y32" i="858"/>
  <c r="X32" i="858"/>
  <c r="W32" i="858"/>
  <c r="V32" i="858"/>
  <c r="U32" i="858"/>
  <c r="T32" i="858"/>
  <c r="S32" i="858"/>
  <c r="R32" i="858"/>
  <c r="M32" i="858"/>
  <c r="Z31" i="858"/>
  <c r="Y31" i="858"/>
  <c r="X31" i="858"/>
  <c r="W31" i="858"/>
  <c r="V31" i="858"/>
  <c r="U31" i="858"/>
  <c r="T31" i="858"/>
  <c r="S31" i="858"/>
  <c r="R31" i="858"/>
  <c r="M31" i="858"/>
  <c r="Z30" i="858"/>
  <c r="Y30" i="858"/>
  <c r="X30" i="858"/>
  <c r="W30" i="858"/>
  <c r="V30" i="858"/>
  <c r="U30" i="858"/>
  <c r="T30" i="858"/>
  <c r="S30" i="858"/>
  <c r="R30" i="858"/>
  <c r="Z29" i="858"/>
  <c r="Y29" i="858"/>
  <c r="X29" i="858"/>
  <c r="W29" i="858"/>
  <c r="V29" i="858"/>
  <c r="U29" i="858"/>
  <c r="T29" i="858"/>
  <c r="S29" i="858"/>
  <c r="R29" i="858"/>
  <c r="M29" i="858"/>
  <c r="L29" i="858"/>
  <c r="K29" i="858"/>
  <c r="Z28" i="858"/>
  <c r="Y28" i="858"/>
  <c r="X28" i="858"/>
  <c r="W28" i="858"/>
  <c r="V28" i="858"/>
  <c r="U28" i="858"/>
  <c r="T28" i="858"/>
  <c r="S28" i="858"/>
  <c r="R28" i="858"/>
  <c r="L28" i="858"/>
  <c r="K28" i="858"/>
  <c r="Z27" i="858"/>
  <c r="Y27" i="858"/>
  <c r="X27" i="858"/>
  <c r="W27" i="858"/>
  <c r="V27" i="858"/>
  <c r="U27" i="858"/>
  <c r="T27" i="858"/>
  <c r="S27" i="858"/>
  <c r="R27" i="858"/>
  <c r="Z26" i="858"/>
  <c r="Y26" i="858"/>
  <c r="X26" i="858"/>
  <c r="W26" i="858"/>
  <c r="V26" i="858"/>
  <c r="U26" i="858"/>
  <c r="T26" i="858"/>
  <c r="S26" i="858"/>
  <c r="R26" i="858"/>
  <c r="Z25" i="858"/>
  <c r="Y25" i="858"/>
  <c r="X25" i="858"/>
  <c r="W25" i="858"/>
  <c r="V25" i="858"/>
  <c r="U25" i="858"/>
  <c r="T25" i="858"/>
  <c r="S25" i="858"/>
  <c r="R25" i="858"/>
  <c r="Z24" i="858"/>
  <c r="Y24" i="858"/>
  <c r="X24" i="858"/>
  <c r="W24" i="858"/>
  <c r="V24" i="858"/>
  <c r="U24" i="858"/>
  <c r="T24" i="858"/>
  <c r="S24" i="858"/>
  <c r="R24" i="858"/>
  <c r="Z23" i="858"/>
  <c r="Y23" i="858"/>
  <c r="X23" i="858"/>
  <c r="W23" i="858"/>
  <c r="V23" i="858"/>
  <c r="U23" i="858"/>
  <c r="T23" i="858"/>
  <c r="S23" i="858"/>
  <c r="R23" i="858"/>
  <c r="Z22" i="858"/>
  <c r="Y22" i="858"/>
  <c r="X22" i="858"/>
  <c r="W22" i="858"/>
  <c r="V22" i="858"/>
  <c r="U22" i="858"/>
  <c r="T22" i="858"/>
  <c r="S22" i="858"/>
  <c r="R22" i="858"/>
  <c r="Z21" i="858"/>
  <c r="Y21" i="858"/>
  <c r="X21" i="858"/>
  <c r="W21" i="858"/>
  <c r="V21" i="858"/>
  <c r="U21" i="858"/>
  <c r="T21" i="858"/>
  <c r="S21" i="858"/>
  <c r="R21" i="858"/>
  <c r="Z20" i="858"/>
  <c r="Y20" i="858"/>
  <c r="X20" i="858"/>
  <c r="W20" i="858"/>
  <c r="V20" i="858"/>
  <c r="U20" i="858"/>
  <c r="T20" i="858"/>
  <c r="S20" i="858"/>
  <c r="R20" i="858"/>
  <c r="K25" i="857"/>
  <c r="J12" i="857"/>
  <c r="J11" i="857"/>
  <c r="J13" i="857"/>
  <c r="J15" i="857"/>
  <c r="J17" i="857"/>
  <c r="R10" i="857"/>
  <c r="S10" i="857"/>
  <c r="T10" i="857"/>
  <c r="U10" i="857"/>
  <c r="V10" i="857"/>
  <c r="W10" i="857"/>
  <c r="X10" i="857"/>
  <c r="Y10" i="857"/>
  <c r="Z10" i="857"/>
  <c r="R11" i="857"/>
  <c r="S11" i="857"/>
  <c r="T11" i="857"/>
  <c r="U11" i="857"/>
  <c r="V11" i="857"/>
  <c r="W11" i="857"/>
  <c r="X11" i="857"/>
  <c r="Y11" i="857"/>
  <c r="Z11" i="857"/>
  <c r="R12" i="857"/>
  <c r="S12" i="857"/>
  <c r="T12" i="857"/>
  <c r="U12" i="857"/>
  <c r="V12" i="857"/>
  <c r="W12" i="857"/>
  <c r="X12" i="857"/>
  <c r="Y12" i="857"/>
  <c r="Z12" i="857"/>
  <c r="R13" i="857"/>
  <c r="S13" i="857"/>
  <c r="T13" i="857"/>
  <c r="U13" i="857"/>
  <c r="V13" i="857"/>
  <c r="W13" i="857"/>
  <c r="X13" i="857"/>
  <c r="Y13" i="857"/>
  <c r="Z13" i="857"/>
  <c r="R14" i="857"/>
  <c r="S14" i="857"/>
  <c r="T14" i="857"/>
  <c r="U14" i="857"/>
  <c r="V14" i="857"/>
  <c r="W14" i="857"/>
  <c r="X14" i="857"/>
  <c r="Y14" i="857"/>
  <c r="Z14" i="857"/>
  <c r="L10" i="857"/>
  <c r="M10" i="857"/>
  <c r="O10" i="857"/>
  <c r="L11" i="857"/>
  <c r="M11" i="857"/>
  <c r="O11" i="857"/>
  <c r="L12" i="857"/>
  <c r="M12" i="857"/>
  <c r="O12" i="857"/>
  <c r="L13" i="857"/>
  <c r="M13" i="857"/>
  <c r="O13" i="857"/>
  <c r="L14" i="857"/>
  <c r="M14" i="857"/>
  <c r="O14" i="857"/>
  <c r="L15" i="857"/>
  <c r="M15" i="857"/>
  <c r="O15" i="857"/>
  <c r="L16" i="857"/>
  <c r="M16" i="857"/>
  <c r="O16" i="857"/>
  <c r="L17" i="857"/>
  <c r="M17" i="857"/>
  <c r="O17" i="857"/>
  <c r="C10" i="857"/>
  <c r="D10" i="857"/>
  <c r="E10" i="857"/>
  <c r="F10" i="857"/>
  <c r="G10" i="857"/>
  <c r="C11" i="857"/>
  <c r="D11" i="857"/>
  <c r="E11" i="857"/>
  <c r="F11" i="857"/>
  <c r="G11" i="857"/>
  <c r="C12" i="857"/>
  <c r="D12" i="857"/>
  <c r="E12" i="857"/>
  <c r="F12" i="857"/>
  <c r="G12" i="857"/>
  <c r="C13" i="857"/>
  <c r="D13" i="857"/>
  <c r="E13" i="857"/>
  <c r="F13" i="857"/>
  <c r="G13" i="857"/>
  <c r="C14" i="857"/>
  <c r="D14" i="857"/>
  <c r="E14" i="857"/>
  <c r="F14" i="857"/>
  <c r="G14" i="857"/>
  <c r="C15" i="857"/>
  <c r="D15" i="857"/>
  <c r="E15" i="857"/>
  <c r="F15" i="857"/>
  <c r="G15" i="857"/>
  <c r="C16" i="857"/>
  <c r="D16" i="857"/>
  <c r="E16" i="857"/>
  <c r="F16" i="857"/>
  <c r="G16" i="857"/>
  <c r="C17" i="857"/>
  <c r="D17" i="857"/>
  <c r="E17" i="857"/>
  <c r="F17" i="857"/>
  <c r="G17" i="857"/>
  <c r="F68" i="857"/>
  <c r="L58" i="857"/>
  <c r="AX54" i="857"/>
  <c r="AW54" i="857"/>
  <c r="AV54" i="857"/>
  <c r="AU54" i="857"/>
  <c r="AT54" i="857"/>
  <c r="AS54" i="857"/>
  <c r="AR54" i="857"/>
  <c r="AQ54" i="857"/>
  <c r="AP54" i="857"/>
  <c r="AO54" i="857"/>
  <c r="AN54" i="857"/>
  <c r="AM54" i="857"/>
  <c r="AL54" i="857"/>
  <c r="AK54" i="857"/>
  <c r="AJ54" i="857"/>
  <c r="AI54" i="857"/>
  <c r="AH54" i="857"/>
  <c r="AG54" i="857"/>
  <c r="AF54" i="857"/>
  <c r="AE54" i="857"/>
  <c r="AD54" i="857"/>
  <c r="AC54" i="857"/>
  <c r="AB54" i="857"/>
  <c r="K49" i="857"/>
  <c r="D47" i="857"/>
  <c r="Z36" i="857"/>
  <c r="Y36" i="857"/>
  <c r="X36" i="857"/>
  <c r="W36" i="857"/>
  <c r="V36" i="857"/>
  <c r="U36" i="857"/>
  <c r="T36" i="857"/>
  <c r="S36" i="857"/>
  <c r="R36" i="857"/>
  <c r="Z35" i="857"/>
  <c r="Y35" i="857"/>
  <c r="X35" i="857"/>
  <c r="W35" i="857"/>
  <c r="V35" i="857"/>
  <c r="U35" i="857"/>
  <c r="T35" i="857"/>
  <c r="S35" i="857"/>
  <c r="R35" i="857"/>
  <c r="Z34" i="857"/>
  <c r="Y34" i="857"/>
  <c r="X34" i="857"/>
  <c r="W34" i="857"/>
  <c r="V34" i="857"/>
  <c r="U34" i="857"/>
  <c r="T34" i="857"/>
  <c r="S34" i="857"/>
  <c r="R34" i="857"/>
  <c r="M34" i="857"/>
  <c r="Z33" i="857"/>
  <c r="Y33" i="857"/>
  <c r="X33" i="857"/>
  <c r="W33" i="857"/>
  <c r="V33" i="857"/>
  <c r="U33" i="857"/>
  <c r="T33" i="857"/>
  <c r="S33" i="857"/>
  <c r="R33" i="857"/>
  <c r="M33" i="857"/>
  <c r="Z32" i="857"/>
  <c r="Y32" i="857"/>
  <c r="X32" i="857"/>
  <c r="W32" i="857"/>
  <c r="V32" i="857"/>
  <c r="U32" i="857"/>
  <c r="T32" i="857"/>
  <c r="S32" i="857"/>
  <c r="R32" i="857"/>
  <c r="M32" i="857"/>
  <c r="Z31" i="857"/>
  <c r="Y31" i="857"/>
  <c r="X31" i="857"/>
  <c r="W31" i="857"/>
  <c r="V31" i="857"/>
  <c r="U31" i="857"/>
  <c r="T31" i="857"/>
  <c r="S31" i="857"/>
  <c r="R31" i="857"/>
  <c r="Z30" i="857"/>
  <c r="Y30" i="857"/>
  <c r="X30" i="857"/>
  <c r="W30" i="857"/>
  <c r="V30" i="857"/>
  <c r="U30" i="857"/>
  <c r="T30" i="857"/>
  <c r="S30" i="857"/>
  <c r="R30" i="857"/>
  <c r="M30" i="857"/>
  <c r="Z29" i="857"/>
  <c r="Y29" i="857"/>
  <c r="X29" i="857"/>
  <c r="W29" i="857"/>
  <c r="V29" i="857"/>
  <c r="U29" i="857"/>
  <c r="T29" i="857"/>
  <c r="S29" i="857"/>
  <c r="R29" i="857"/>
  <c r="Z28" i="857"/>
  <c r="Y28" i="857"/>
  <c r="X28" i="857"/>
  <c r="W28" i="857"/>
  <c r="V28" i="857"/>
  <c r="U28" i="857"/>
  <c r="T28" i="857"/>
  <c r="S28" i="857"/>
  <c r="R28" i="857"/>
  <c r="M28" i="857"/>
  <c r="L28" i="857"/>
  <c r="K28" i="857"/>
  <c r="Z27" i="857"/>
  <c r="Y27" i="857"/>
  <c r="X27" i="857"/>
  <c r="W27" i="857"/>
  <c r="V27" i="857"/>
  <c r="U27" i="857"/>
  <c r="T27" i="857"/>
  <c r="S27" i="857"/>
  <c r="R27" i="857"/>
  <c r="L27" i="857"/>
  <c r="K27" i="857"/>
  <c r="Z26" i="857"/>
  <c r="Y26" i="857"/>
  <c r="X26" i="857"/>
  <c r="W26" i="857"/>
  <c r="V26" i="857"/>
  <c r="U26" i="857"/>
  <c r="T26" i="857"/>
  <c r="S26" i="857"/>
  <c r="R26" i="857"/>
  <c r="M26" i="857"/>
  <c r="L26" i="857"/>
  <c r="K26" i="857"/>
  <c r="U25" i="857"/>
  <c r="Z24" i="857"/>
  <c r="Y24" i="857"/>
  <c r="X24" i="857"/>
  <c r="W24" i="857"/>
  <c r="V24" i="857"/>
  <c r="U24" i="857"/>
  <c r="T24" i="857"/>
  <c r="S24" i="857"/>
  <c r="R24" i="857"/>
  <c r="Z23" i="857"/>
  <c r="Y23" i="857"/>
  <c r="X23" i="857"/>
  <c r="W23" i="857"/>
  <c r="V23" i="857"/>
  <c r="U23" i="857"/>
  <c r="T23" i="857"/>
  <c r="S23" i="857"/>
  <c r="R23" i="857"/>
  <c r="Z22" i="857"/>
  <c r="Y22" i="857"/>
  <c r="X22" i="857"/>
  <c r="W22" i="857"/>
  <c r="V22" i="857"/>
  <c r="U22" i="857"/>
  <c r="T22" i="857"/>
  <c r="S22" i="857"/>
  <c r="R22" i="857"/>
  <c r="Z21" i="857"/>
  <c r="Y21" i="857"/>
  <c r="X21" i="857"/>
  <c r="W21" i="857"/>
  <c r="V21" i="857"/>
  <c r="U21" i="857"/>
  <c r="T21" i="857"/>
  <c r="S21" i="857"/>
  <c r="R21" i="857"/>
  <c r="Z20" i="857"/>
  <c r="Y20" i="857"/>
  <c r="X20" i="857"/>
  <c r="W20" i="857"/>
  <c r="V20" i="857"/>
  <c r="U20" i="857"/>
  <c r="T20" i="857"/>
  <c r="S20" i="857"/>
  <c r="R20" i="857"/>
  <c r="Z19" i="857"/>
  <c r="Y19" i="857"/>
  <c r="X19" i="857"/>
  <c r="W19" i="857"/>
  <c r="V19" i="857"/>
  <c r="U19" i="857"/>
  <c r="T19" i="857"/>
  <c r="S19" i="857"/>
  <c r="R19" i="857"/>
  <c r="Z18" i="857"/>
  <c r="Y18" i="857"/>
  <c r="X18" i="857"/>
  <c r="W18" i="857"/>
  <c r="V18" i="857"/>
  <c r="U18" i="857"/>
  <c r="T18" i="857"/>
  <c r="S18" i="857"/>
  <c r="R18" i="857"/>
  <c r="Z17" i="857"/>
  <c r="Y17" i="857"/>
  <c r="X17" i="857"/>
  <c r="W17" i="857"/>
  <c r="V17" i="857"/>
  <c r="U17" i="857"/>
  <c r="T17" i="857"/>
  <c r="S17" i="857"/>
  <c r="R17" i="857"/>
  <c r="Z16" i="857"/>
  <c r="Y16" i="857"/>
  <c r="X16" i="857"/>
  <c r="W16" i="857"/>
  <c r="V16" i="857"/>
  <c r="U16" i="857"/>
  <c r="T16" i="857"/>
  <c r="S16" i="857"/>
  <c r="R16" i="857"/>
  <c r="Z15" i="857"/>
  <c r="Y15" i="857"/>
  <c r="X15" i="857"/>
  <c r="W15" i="857"/>
  <c r="V15" i="857"/>
  <c r="U15" i="857"/>
  <c r="T15" i="857"/>
  <c r="S15" i="857"/>
  <c r="R15" i="857"/>
  <c r="E58" i="856"/>
  <c r="J26" i="858" l="1"/>
  <c r="K36" i="858"/>
  <c r="J16" i="857"/>
  <c r="J14" i="857"/>
  <c r="K35" i="857"/>
  <c r="V25" i="857"/>
  <c r="Y25" i="857"/>
  <c r="Z25" i="857"/>
  <c r="W25" i="857"/>
  <c r="X25" i="857"/>
  <c r="R25" i="857"/>
  <c r="S25" i="857"/>
  <c r="T25" i="857"/>
  <c r="K58" i="856"/>
  <c r="K69" i="856" s="1"/>
  <c r="G58" i="856"/>
  <c r="M31" i="857" l="1"/>
  <c r="C29" i="856" a="1"/>
  <c r="C29" i="856" s="1"/>
  <c r="B58" i="856"/>
  <c r="R10" i="856"/>
  <c r="S10" i="856"/>
  <c r="T10" i="856"/>
  <c r="U10" i="856"/>
  <c r="V10" i="856"/>
  <c r="W10" i="856"/>
  <c r="X10" i="856"/>
  <c r="Y10" i="856"/>
  <c r="Z10" i="856"/>
  <c r="R11" i="856"/>
  <c r="S11" i="856"/>
  <c r="T11" i="856"/>
  <c r="U11" i="856"/>
  <c r="V11" i="856"/>
  <c r="W11" i="856"/>
  <c r="X11" i="856"/>
  <c r="Y11" i="856"/>
  <c r="Z11" i="856"/>
  <c r="R12" i="856"/>
  <c r="S12" i="856"/>
  <c r="T12" i="856"/>
  <c r="U12" i="856"/>
  <c r="V12" i="856"/>
  <c r="W12" i="856"/>
  <c r="X12" i="856"/>
  <c r="Y12" i="856"/>
  <c r="Z12" i="856"/>
  <c r="R13" i="856"/>
  <c r="S13" i="856"/>
  <c r="T13" i="856"/>
  <c r="U13" i="856"/>
  <c r="V13" i="856"/>
  <c r="W13" i="856"/>
  <c r="X13" i="856"/>
  <c r="Y13" i="856"/>
  <c r="Z13" i="856"/>
  <c r="R14" i="856"/>
  <c r="S14" i="856"/>
  <c r="T14" i="856"/>
  <c r="U14" i="856"/>
  <c r="V14" i="856"/>
  <c r="W14" i="856"/>
  <c r="X14" i="856"/>
  <c r="Y14" i="856"/>
  <c r="Z14" i="856"/>
  <c r="R15" i="856"/>
  <c r="S15" i="856"/>
  <c r="T15" i="856"/>
  <c r="U15" i="856"/>
  <c r="V15" i="856"/>
  <c r="W15" i="856"/>
  <c r="X15" i="856"/>
  <c r="Y15" i="856"/>
  <c r="Z15" i="856"/>
  <c r="R16" i="856"/>
  <c r="S16" i="856"/>
  <c r="T16" i="856"/>
  <c r="U16" i="856"/>
  <c r="V16" i="856"/>
  <c r="W16" i="856"/>
  <c r="X16" i="856"/>
  <c r="Y16" i="856"/>
  <c r="Z16" i="856"/>
  <c r="R17" i="856"/>
  <c r="S17" i="856"/>
  <c r="T17" i="856"/>
  <c r="U17" i="856"/>
  <c r="V17" i="856"/>
  <c r="W17" i="856"/>
  <c r="X17" i="856"/>
  <c r="Y17" i="856"/>
  <c r="Z17" i="856"/>
  <c r="R18" i="856"/>
  <c r="S18" i="856"/>
  <c r="T18" i="856"/>
  <c r="U18" i="856"/>
  <c r="V18" i="856"/>
  <c r="W18" i="856"/>
  <c r="X18" i="856"/>
  <c r="Y18" i="856"/>
  <c r="Z18" i="856"/>
  <c r="R19" i="856"/>
  <c r="S19" i="856"/>
  <c r="T19" i="856"/>
  <c r="U19" i="856"/>
  <c r="V19" i="856"/>
  <c r="W19" i="856"/>
  <c r="X19" i="856"/>
  <c r="Y19" i="856"/>
  <c r="Z19" i="856"/>
  <c r="R20" i="856"/>
  <c r="S20" i="856"/>
  <c r="T20" i="856"/>
  <c r="U20" i="856"/>
  <c r="V20" i="856"/>
  <c r="W20" i="856"/>
  <c r="X20" i="856"/>
  <c r="Y20" i="856"/>
  <c r="Z20" i="856"/>
  <c r="R21" i="856"/>
  <c r="S21" i="856"/>
  <c r="T21" i="856"/>
  <c r="U21" i="856"/>
  <c r="V21" i="856"/>
  <c r="W21" i="856"/>
  <c r="X21" i="856"/>
  <c r="Y21" i="856"/>
  <c r="Z21" i="856"/>
  <c r="R22" i="856"/>
  <c r="S22" i="856"/>
  <c r="T22" i="856"/>
  <c r="U22" i="856"/>
  <c r="V22" i="856"/>
  <c r="W22" i="856"/>
  <c r="X22" i="856"/>
  <c r="Y22" i="856"/>
  <c r="Z22" i="856"/>
  <c r="R23" i="856"/>
  <c r="S23" i="856"/>
  <c r="T23" i="856"/>
  <c r="U23" i="856"/>
  <c r="V23" i="856"/>
  <c r="W23" i="856"/>
  <c r="X23" i="856"/>
  <c r="Y23" i="856"/>
  <c r="Z23" i="856"/>
  <c r="C10" i="856"/>
  <c r="D10" i="856"/>
  <c r="E10" i="856"/>
  <c r="F10" i="856"/>
  <c r="G10" i="856"/>
  <c r="I10" i="856"/>
  <c r="J10" i="856"/>
  <c r="L10" i="856"/>
  <c r="M10" i="856"/>
  <c r="N10" i="856"/>
  <c r="O10" i="856"/>
  <c r="C11" i="856"/>
  <c r="D11" i="856"/>
  <c r="E11" i="856"/>
  <c r="F11" i="856"/>
  <c r="G11" i="856"/>
  <c r="I11" i="856"/>
  <c r="J11" i="856"/>
  <c r="L11" i="856"/>
  <c r="M11" i="856"/>
  <c r="N11" i="856"/>
  <c r="O11" i="856"/>
  <c r="C12" i="856"/>
  <c r="D12" i="856"/>
  <c r="E12" i="856"/>
  <c r="F12" i="856"/>
  <c r="G12" i="856"/>
  <c r="I12" i="856"/>
  <c r="J12" i="856"/>
  <c r="L12" i="856"/>
  <c r="M12" i="856"/>
  <c r="N12" i="856"/>
  <c r="O12" i="856"/>
  <c r="C13" i="856"/>
  <c r="D13" i="856"/>
  <c r="E13" i="856"/>
  <c r="F13" i="856"/>
  <c r="G13" i="856"/>
  <c r="I13" i="856"/>
  <c r="J13" i="856"/>
  <c r="L13" i="856"/>
  <c r="M13" i="856"/>
  <c r="N13" i="856"/>
  <c r="O13" i="856"/>
  <c r="C14" i="856"/>
  <c r="D14" i="856"/>
  <c r="E14" i="856"/>
  <c r="F14" i="856"/>
  <c r="G14" i="856"/>
  <c r="I14" i="856"/>
  <c r="J14" i="856"/>
  <c r="L14" i="856"/>
  <c r="M14" i="856"/>
  <c r="N14" i="856"/>
  <c r="O14" i="856"/>
  <c r="C15" i="856"/>
  <c r="D15" i="856"/>
  <c r="E15" i="856"/>
  <c r="F15" i="856"/>
  <c r="G15" i="856"/>
  <c r="I15" i="856"/>
  <c r="J15" i="856"/>
  <c r="L15" i="856"/>
  <c r="M15" i="856"/>
  <c r="N15" i="856"/>
  <c r="O15" i="856"/>
  <c r="C16" i="856"/>
  <c r="D16" i="856"/>
  <c r="E16" i="856"/>
  <c r="F16" i="856"/>
  <c r="G16" i="856"/>
  <c r="I16" i="856"/>
  <c r="J16" i="856"/>
  <c r="L16" i="856"/>
  <c r="M16" i="856"/>
  <c r="N16" i="856"/>
  <c r="O16" i="856"/>
  <c r="C17" i="856"/>
  <c r="D17" i="856"/>
  <c r="E17" i="856"/>
  <c r="F17" i="856"/>
  <c r="G17" i="856"/>
  <c r="I17" i="856"/>
  <c r="J17" i="856"/>
  <c r="L17" i="856"/>
  <c r="M17" i="856"/>
  <c r="N17" i="856"/>
  <c r="O17" i="856"/>
  <c r="C18" i="856"/>
  <c r="D18" i="856"/>
  <c r="E18" i="856"/>
  <c r="F18" i="856"/>
  <c r="G18" i="856"/>
  <c r="J18" i="856"/>
  <c r="L18" i="856"/>
  <c r="M18" i="856"/>
  <c r="N18" i="856"/>
  <c r="O18" i="856"/>
  <c r="B29" i="856"/>
  <c r="Z29" i="856" s="1"/>
  <c r="F72" i="856"/>
  <c r="L62" i="856"/>
  <c r="AX58" i="856"/>
  <c r="AW58" i="856"/>
  <c r="AV58" i="856"/>
  <c r="AU58" i="856"/>
  <c r="AT58" i="856"/>
  <c r="AS58" i="856"/>
  <c r="AR58" i="856"/>
  <c r="AQ58" i="856"/>
  <c r="AP58" i="856"/>
  <c r="AO58" i="856"/>
  <c r="AN58" i="856"/>
  <c r="AM58" i="856"/>
  <c r="AL58" i="856"/>
  <c r="AK58" i="856"/>
  <c r="AJ58" i="856"/>
  <c r="AI58" i="856"/>
  <c r="AH58" i="856"/>
  <c r="AG58" i="856"/>
  <c r="AF58" i="856"/>
  <c r="AE58" i="856"/>
  <c r="AD58" i="856"/>
  <c r="AC58" i="856"/>
  <c r="AB58" i="856"/>
  <c r="K53" i="856"/>
  <c r="D51" i="856"/>
  <c r="Z40" i="856"/>
  <c r="Y40" i="856"/>
  <c r="X40" i="856"/>
  <c r="W40" i="856"/>
  <c r="V40" i="856"/>
  <c r="U40" i="856"/>
  <c r="T40" i="856"/>
  <c r="S40" i="856"/>
  <c r="R40" i="856"/>
  <c r="Z39" i="856"/>
  <c r="Y39" i="856"/>
  <c r="X39" i="856"/>
  <c r="W39" i="856"/>
  <c r="V39" i="856"/>
  <c r="U39" i="856"/>
  <c r="T39" i="856"/>
  <c r="S39" i="856"/>
  <c r="R39" i="856"/>
  <c r="Z38" i="856"/>
  <c r="Y38" i="856"/>
  <c r="X38" i="856"/>
  <c r="W38" i="856"/>
  <c r="V38" i="856"/>
  <c r="U38" i="856"/>
  <c r="T38" i="856"/>
  <c r="S38" i="856"/>
  <c r="R38" i="856"/>
  <c r="M38" i="856"/>
  <c r="Z37" i="856"/>
  <c r="Y37" i="856"/>
  <c r="X37" i="856"/>
  <c r="W37" i="856"/>
  <c r="V37" i="856"/>
  <c r="U37" i="856"/>
  <c r="T37" i="856"/>
  <c r="S37" i="856"/>
  <c r="R37" i="856"/>
  <c r="M37" i="856"/>
  <c r="Z36" i="856"/>
  <c r="Y36" i="856"/>
  <c r="X36" i="856"/>
  <c r="W36" i="856"/>
  <c r="V36" i="856"/>
  <c r="U36" i="856"/>
  <c r="T36" i="856"/>
  <c r="S36" i="856"/>
  <c r="R36" i="856"/>
  <c r="M36" i="856"/>
  <c r="Z35" i="856"/>
  <c r="Y35" i="856"/>
  <c r="X35" i="856"/>
  <c r="W35" i="856"/>
  <c r="V35" i="856"/>
  <c r="U35" i="856"/>
  <c r="T35" i="856"/>
  <c r="S35" i="856"/>
  <c r="R35" i="856"/>
  <c r="M35" i="856"/>
  <c r="Z34" i="856"/>
  <c r="Y34" i="856"/>
  <c r="X34" i="856"/>
  <c r="W34" i="856"/>
  <c r="V34" i="856"/>
  <c r="U34" i="856"/>
  <c r="T34" i="856"/>
  <c r="S34" i="856"/>
  <c r="R34" i="856"/>
  <c r="M34" i="856"/>
  <c r="Z33" i="856"/>
  <c r="Y33" i="856"/>
  <c r="X33" i="856"/>
  <c r="W33" i="856"/>
  <c r="V33" i="856"/>
  <c r="U33" i="856"/>
  <c r="T33" i="856"/>
  <c r="S33" i="856"/>
  <c r="R33" i="856"/>
  <c r="Z32" i="856"/>
  <c r="Y32" i="856"/>
  <c r="X32" i="856"/>
  <c r="W32" i="856"/>
  <c r="V32" i="856"/>
  <c r="U32" i="856"/>
  <c r="T32" i="856"/>
  <c r="S32" i="856"/>
  <c r="R32" i="856"/>
  <c r="M32" i="856"/>
  <c r="L32" i="856"/>
  <c r="K32" i="856"/>
  <c r="Z31" i="856"/>
  <c r="Y31" i="856"/>
  <c r="X31" i="856"/>
  <c r="W31" i="856"/>
  <c r="V31" i="856"/>
  <c r="U31" i="856"/>
  <c r="T31" i="856"/>
  <c r="S31" i="856"/>
  <c r="R31" i="856"/>
  <c r="L31" i="856"/>
  <c r="K31" i="856"/>
  <c r="Z30" i="856"/>
  <c r="Y30" i="856"/>
  <c r="X30" i="856"/>
  <c r="W30" i="856"/>
  <c r="V30" i="856"/>
  <c r="U30" i="856"/>
  <c r="T30" i="856"/>
  <c r="S30" i="856"/>
  <c r="R30" i="856"/>
  <c r="M30" i="856"/>
  <c r="L30" i="856"/>
  <c r="K30" i="856"/>
  <c r="M29" i="856"/>
  <c r="L29" i="856"/>
  <c r="K29" i="856"/>
  <c r="T29" i="856"/>
  <c r="Z28" i="856"/>
  <c r="Y28" i="856"/>
  <c r="X28" i="856"/>
  <c r="W28" i="856"/>
  <c r="V28" i="856"/>
  <c r="U28" i="856"/>
  <c r="T28" i="856"/>
  <c r="S28" i="856"/>
  <c r="R28" i="856"/>
  <c r="Z27" i="856"/>
  <c r="Y27" i="856"/>
  <c r="X27" i="856"/>
  <c r="W27" i="856"/>
  <c r="V27" i="856"/>
  <c r="U27" i="856"/>
  <c r="T27" i="856"/>
  <c r="S27" i="856"/>
  <c r="R27" i="856"/>
  <c r="Z26" i="856"/>
  <c r="Y26" i="856"/>
  <c r="X26" i="856"/>
  <c r="W26" i="856"/>
  <c r="V26" i="856"/>
  <c r="U26" i="856"/>
  <c r="T26" i="856"/>
  <c r="S26" i="856"/>
  <c r="R26" i="856"/>
  <c r="Z25" i="856"/>
  <c r="Y25" i="856"/>
  <c r="X25" i="856"/>
  <c r="W25" i="856"/>
  <c r="V25" i="856"/>
  <c r="U25" i="856"/>
  <c r="T25" i="856"/>
  <c r="S25" i="856"/>
  <c r="R25" i="856"/>
  <c r="Z24" i="856"/>
  <c r="Y24" i="856"/>
  <c r="X24" i="856"/>
  <c r="W24" i="856"/>
  <c r="V24" i="856"/>
  <c r="U24" i="856"/>
  <c r="T24" i="856"/>
  <c r="S24" i="856"/>
  <c r="R24" i="856"/>
  <c r="M25" i="855"/>
  <c r="L25" i="855"/>
  <c r="K25" i="855"/>
  <c r="L15" i="855"/>
  <c r="L14" i="855"/>
  <c r="L13" i="855"/>
  <c r="L12" i="855"/>
  <c r="L10" i="855"/>
  <c r="C10" i="855"/>
  <c r="D10" i="855"/>
  <c r="E10" i="855"/>
  <c r="F10" i="855"/>
  <c r="G10" i="855"/>
  <c r="I10" i="855"/>
  <c r="J10" i="855"/>
  <c r="M10" i="855"/>
  <c r="N10" i="855"/>
  <c r="O10" i="855"/>
  <c r="C11" i="855"/>
  <c r="D11" i="855"/>
  <c r="E11" i="855"/>
  <c r="F11" i="855"/>
  <c r="G11" i="855"/>
  <c r="I11" i="855"/>
  <c r="J11" i="855"/>
  <c r="L11" i="855"/>
  <c r="M11" i="855"/>
  <c r="N11" i="855"/>
  <c r="O11" i="855"/>
  <c r="C12" i="855"/>
  <c r="D12" i="855"/>
  <c r="E12" i="855"/>
  <c r="F12" i="855"/>
  <c r="G12" i="855"/>
  <c r="I12" i="855"/>
  <c r="J12" i="855"/>
  <c r="M12" i="855"/>
  <c r="N12" i="855"/>
  <c r="O12" i="855"/>
  <c r="C13" i="855"/>
  <c r="D13" i="855"/>
  <c r="E13" i="855"/>
  <c r="F13" i="855"/>
  <c r="G13" i="855"/>
  <c r="I13" i="855"/>
  <c r="J13" i="855"/>
  <c r="M13" i="855"/>
  <c r="N13" i="855"/>
  <c r="O13" i="855"/>
  <c r="C14" i="855"/>
  <c r="D14" i="855"/>
  <c r="E14" i="855"/>
  <c r="F14" i="855"/>
  <c r="G14" i="855"/>
  <c r="I14" i="855"/>
  <c r="J14" i="855"/>
  <c r="M14" i="855"/>
  <c r="N14" i="855"/>
  <c r="O14" i="855"/>
  <c r="C15" i="855"/>
  <c r="D15" i="855"/>
  <c r="E15" i="855"/>
  <c r="F15" i="855"/>
  <c r="G15" i="855"/>
  <c r="I15" i="855"/>
  <c r="J15" i="855"/>
  <c r="M15" i="855"/>
  <c r="O15" i="855"/>
  <c r="C16" i="855"/>
  <c r="D16" i="855"/>
  <c r="E16" i="855"/>
  <c r="F16" i="855"/>
  <c r="G16" i="855"/>
  <c r="I16" i="855"/>
  <c r="J16" i="855"/>
  <c r="L16" i="855"/>
  <c r="M16" i="855"/>
  <c r="N16" i="855"/>
  <c r="O16" i="855"/>
  <c r="C17" i="855"/>
  <c r="D17" i="855"/>
  <c r="E17" i="855"/>
  <c r="F17" i="855"/>
  <c r="G17" i="855"/>
  <c r="I17" i="855"/>
  <c r="J17" i="855"/>
  <c r="L17" i="855"/>
  <c r="M17" i="855"/>
  <c r="N17" i="855"/>
  <c r="O17" i="855"/>
  <c r="J25" i="855" l="1"/>
  <c r="K39" i="856"/>
  <c r="L39" i="856" s="1"/>
  <c r="M39" i="856" s="1"/>
  <c r="U29" i="856"/>
  <c r="V29" i="856"/>
  <c r="Y29" i="856"/>
  <c r="W29" i="856"/>
  <c r="X29" i="856"/>
  <c r="R29" i="856"/>
  <c r="S29" i="856"/>
  <c r="N15" i="855"/>
  <c r="C22" i="855" l="1" a="1"/>
  <c r="C22" i="855" s="1"/>
  <c r="K51" i="855"/>
  <c r="K60" i="855" s="1"/>
  <c r="F65" i="855"/>
  <c r="L55" i="855"/>
  <c r="B53" i="855"/>
  <c r="AX51" i="855"/>
  <c r="AW51" i="855"/>
  <c r="AV51" i="855"/>
  <c r="AU51" i="855"/>
  <c r="AT51" i="855"/>
  <c r="AS51" i="855"/>
  <c r="AR51" i="855"/>
  <c r="AQ51" i="855"/>
  <c r="AP51" i="855"/>
  <c r="AO51" i="855"/>
  <c r="AN51" i="855"/>
  <c r="AM51" i="855"/>
  <c r="AL51" i="855"/>
  <c r="AK51" i="855"/>
  <c r="AJ51" i="855"/>
  <c r="AI51" i="855"/>
  <c r="AH51" i="855"/>
  <c r="AG51" i="855"/>
  <c r="AF51" i="855"/>
  <c r="AE51" i="855"/>
  <c r="AD51" i="855"/>
  <c r="AC51" i="855"/>
  <c r="AB51" i="855"/>
  <c r="B51" i="855"/>
  <c r="K46" i="855"/>
  <c r="D44" i="855"/>
  <c r="Z33" i="855"/>
  <c r="Y33" i="855"/>
  <c r="X33" i="855"/>
  <c r="W33" i="855"/>
  <c r="V33" i="855"/>
  <c r="U33" i="855"/>
  <c r="T33" i="855"/>
  <c r="S33" i="855"/>
  <c r="R33" i="855"/>
  <c r="Z32" i="855"/>
  <c r="Y32" i="855"/>
  <c r="X32" i="855"/>
  <c r="W32" i="855"/>
  <c r="V32" i="855"/>
  <c r="U32" i="855"/>
  <c r="T32" i="855"/>
  <c r="S32" i="855"/>
  <c r="R32" i="855"/>
  <c r="Z31" i="855"/>
  <c r="Y31" i="855"/>
  <c r="X31" i="855"/>
  <c r="W31" i="855"/>
  <c r="V31" i="855"/>
  <c r="U31" i="855"/>
  <c r="T31" i="855"/>
  <c r="S31" i="855"/>
  <c r="R31" i="855"/>
  <c r="M31" i="855"/>
  <c r="Z30" i="855"/>
  <c r="Y30" i="855"/>
  <c r="X30" i="855"/>
  <c r="W30" i="855"/>
  <c r="V30" i="855"/>
  <c r="U30" i="855"/>
  <c r="T30" i="855"/>
  <c r="S30" i="855"/>
  <c r="R30" i="855"/>
  <c r="M30" i="855"/>
  <c r="Z29" i="855"/>
  <c r="Y29" i="855"/>
  <c r="X29" i="855"/>
  <c r="W29" i="855"/>
  <c r="V29" i="855"/>
  <c r="U29" i="855"/>
  <c r="T29" i="855"/>
  <c r="S29" i="855"/>
  <c r="R29" i="855"/>
  <c r="M29" i="855"/>
  <c r="Z28" i="855"/>
  <c r="Y28" i="855"/>
  <c r="X28" i="855"/>
  <c r="W28" i="855"/>
  <c r="V28" i="855"/>
  <c r="U28" i="855"/>
  <c r="T28" i="855"/>
  <c r="S28" i="855"/>
  <c r="R28" i="855"/>
  <c r="M28" i="855"/>
  <c r="Z27" i="855"/>
  <c r="Y27" i="855"/>
  <c r="X27" i="855"/>
  <c r="W27" i="855"/>
  <c r="V27" i="855"/>
  <c r="U27" i="855"/>
  <c r="T27" i="855"/>
  <c r="S27" i="855"/>
  <c r="R27" i="855"/>
  <c r="M27" i="855"/>
  <c r="Z26" i="855"/>
  <c r="Y26" i="855"/>
  <c r="X26" i="855"/>
  <c r="W26" i="855"/>
  <c r="V26" i="855"/>
  <c r="U26" i="855"/>
  <c r="T26" i="855"/>
  <c r="S26" i="855"/>
  <c r="R26" i="855"/>
  <c r="Z25" i="855"/>
  <c r="Y25" i="855"/>
  <c r="X25" i="855"/>
  <c r="W25" i="855"/>
  <c r="V25" i="855"/>
  <c r="U25" i="855"/>
  <c r="T25" i="855"/>
  <c r="S25" i="855"/>
  <c r="R25" i="855"/>
  <c r="Z24" i="855"/>
  <c r="Y24" i="855"/>
  <c r="X24" i="855"/>
  <c r="W24" i="855"/>
  <c r="V24" i="855"/>
  <c r="U24" i="855"/>
  <c r="T24" i="855"/>
  <c r="S24" i="855"/>
  <c r="R24" i="855"/>
  <c r="L24" i="855"/>
  <c r="K24" i="855"/>
  <c r="Z23" i="855"/>
  <c r="Y23" i="855"/>
  <c r="X23" i="855"/>
  <c r="W23" i="855"/>
  <c r="V23" i="855"/>
  <c r="U23" i="855"/>
  <c r="T23" i="855"/>
  <c r="S23" i="855"/>
  <c r="R23" i="855"/>
  <c r="M23" i="855"/>
  <c r="L23" i="855"/>
  <c r="K23" i="855"/>
  <c r="M22" i="855"/>
  <c r="L22" i="855"/>
  <c r="K22" i="855"/>
  <c r="B22" i="855"/>
  <c r="U22" i="855" s="1"/>
  <c r="Z21" i="855"/>
  <c r="Y21" i="855"/>
  <c r="X21" i="855"/>
  <c r="W21" i="855"/>
  <c r="V21" i="855"/>
  <c r="U21" i="855"/>
  <c r="T21" i="855"/>
  <c r="S21" i="855"/>
  <c r="R21" i="855"/>
  <c r="Z20" i="855"/>
  <c r="Y20" i="855"/>
  <c r="X20" i="855"/>
  <c r="W20" i="855"/>
  <c r="V20" i="855"/>
  <c r="U20" i="855"/>
  <c r="T20" i="855"/>
  <c r="S20" i="855"/>
  <c r="R20" i="855"/>
  <c r="Z19" i="855"/>
  <c r="Y19" i="855"/>
  <c r="X19" i="855"/>
  <c r="W19" i="855"/>
  <c r="V19" i="855"/>
  <c r="U19" i="855"/>
  <c r="T19" i="855"/>
  <c r="S19" i="855"/>
  <c r="R19" i="855"/>
  <c r="Z18" i="855"/>
  <c r="Y18" i="855"/>
  <c r="X18" i="855"/>
  <c r="W18" i="855"/>
  <c r="V18" i="855"/>
  <c r="U18" i="855"/>
  <c r="T18" i="855"/>
  <c r="S18" i="855"/>
  <c r="R18" i="855"/>
  <c r="Z17" i="855"/>
  <c r="Y17" i="855"/>
  <c r="X17" i="855"/>
  <c r="W17" i="855"/>
  <c r="V17" i="855"/>
  <c r="U17" i="855"/>
  <c r="T17" i="855"/>
  <c r="S17" i="855"/>
  <c r="R17" i="855"/>
  <c r="Z16" i="855"/>
  <c r="Y16" i="855"/>
  <c r="X16" i="855"/>
  <c r="W16" i="855"/>
  <c r="V16" i="855"/>
  <c r="U16" i="855"/>
  <c r="T16" i="855"/>
  <c r="S16" i="855"/>
  <c r="R16" i="855"/>
  <c r="Z15" i="855"/>
  <c r="Y15" i="855"/>
  <c r="X15" i="855"/>
  <c r="W15" i="855"/>
  <c r="V15" i="855"/>
  <c r="U15" i="855"/>
  <c r="T15" i="855"/>
  <c r="S15" i="855"/>
  <c r="R15" i="855"/>
  <c r="Z14" i="855"/>
  <c r="Y14" i="855"/>
  <c r="X14" i="855"/>
  <c r="W14" i="855"/>
  <c r="V14" i="855"/>
  <c r="U14" i="855"/>
  <c r="T14" i="855"/>
  <c r="S14" i="855"/>
  <c r="R14" i="855"/>
  <c r="Z13" i="855"/>
  <c r="Y13" i="855"/>
  <c r="X13" i="855"/>
  <c r="W13" i="855"/>
  <c r="V13" i="855"/>
  <c r="U13" i="855"/>
  <c r="T13" i="855"/>
  <c r="S13" i="855"/>
  <c r="R13" i="855"/>
  <c r="Z12" i="855"/>
  <c r="Y12" i="855"/>
  <c r="X12" i="855"/>
  <c r="W12" i="855"/>
  <c r="V12" i="855"/>
  <c r="U12" i="855"/>
  <c r="T12" i="855"/>
  <c r="S12" i="855"/>
  <c r="R12" i="855"/>
  <c r="Z11" i="855"/>
  <c r="Y11" i="855"/>
  <c r="X11" i="855"/>
  <c r="W11" i="855"/>
  <c r="V11" i="855"/>
  <c r="U11" i="855"/>
  <c r="T11" i="855"/>
  <c r="S11" i="855"/>
  <c r="R11" i="855"/>
  <c r="Z10" i="855"/>
  <c r="Y10" i="855"/>
  <c r="X10" i="855"/>
  <c r="W10" i="855"/>
  <c r="V10" i="855"/>
  <c r="U10" i="855"/>
  <c r="T10" i="855"/>
  <c r="S10" i="855"/>
  <c r="R10" i="855"/>
  <c r="M24" i="854"/>
  <c r="L24" i="854"/>
  <c r="K24" i="854"/>
  <c r="K32" i="855" l="1"/>
  <c r="L32" i="855" s="1"/>
  <c r="M32" i="855" s="1"/>
  <c r="W22" i="855"/>
  <c r="V22" i="855"/>
  <c r="Y22" i="855"/>
  <c r="X22" i="855"/>
  <c r="Z22" i="855"/>
  <c r="R22" i="855"/>
  <c r="S22" i="855"/>
  <c r="T22" i="855"/>
  <c r="K53" i="854"/>
  <c r="K62" i="854" s="1"/>
  <c r="B53" i="854" l="1"/>
  <c r="B24" i="854"/>
  <c r="R10" i="854"/>
  <c r="S10" i="854"/>
  <c r="T10" i="854"/>
  <c r="U10" i="854"/>
  <c r="V10" i="854"/>
  <c r="W10" i="854"/>
  <c r="X10" i="854"/>
  <c r="Y10" i="854"/>
  <c r="Z10" i="854"/>
  <c r="R11" i="854"/>
  <c r="S11" i="854"/>
  <c r="T11" i="854"/>
  <c r="U11" i="854"/>
  <c r="V11" i="854"/>
  <c r="W11" i="854"/>
  <c r="X11" i="854"/>
  <c r="Y11" i="854"/>
  <c r="Z11" i="854"/>
  <c r="R12" i="854"/>
  <c r="S12" i="854"/>
  <c r="T12" i="854"/>
  <c r="U12" i="854"/>
  <c r="V12" i="854"/>
  <c r="W12" i="854"/>
  <c r="X12" i="854"/>
  <c r="Y12" i="854"/>
  <c r="Z12" i="854"/>
  <c r="R13" i="854"/>
  <c r="S13" i="854"/>
  <c r="T13" i="854"/>
  <c r="U13" i="854"/>
  <c r="V13" i="854"/>
  <c r="W13" i="854"/>
  <c r="X13" i="854"/>
  <c r="Y13" i="854"/>
  <c r="Z13" i="854"/>
  <c r="R14" i="854"/>
  <c r="S14" i="854"/>
  <c r="T14" i="854"/>
  <c r="U14" i="854"/>
  <c r="V14" i="854"/>
  <c r="W14" i="854"/>
  <c r="X14" i="854"/>
  <c r="Y14" i="854"/>
  <c r="Z14" i="854"/>
  <c r="R15" i="854"/>
  <c r="S15" i="854"/>
  <c r="T15" i="854"/>
  <c r="U15" i="854"/>
  <c r="V15" i="854"/>
  <c r="W15" i="854"/>
  <c r="X15" i="854"/>
  <c r="Y15" i="854"/>
  <c r="Z15" i="854"/>
  <c r="R16" i="854"/>
  <c r="S16" i="854"/>
  <c r="T16" i="854"/>
  <c r="U16" i="854"/>
  <c r="V16" i="854"/>
  <c r="W16" i="854"/>
  <c r="X16" i="854"/>
  <c r="Y16" i="854"/>
  <c r="Z16" i="854"/>
  <c r="R17" i="854"/>
  <c r="S17" i="854"/>
  <c r="T17" i="854"/>
  <c r="U17" i="854"/>
  <c r="V17" i="854"/>
  <c r="W17" i="854"/>
  <c r="X17" i="854"/>
  <c r="Y17" i="854"/>
  <c r="Z17" i="854"/>
  <c r="L10" i="854"/>
  <c r="M10" i="854"/>
  <c r="O10" i="854"/>
  <c r="L11" i="854"/>
  <c r="M11" i="854"/>
  <c r="O11" i="854"/>
  <c r="L12" i="854"/>
  <c r="M12" i="854"/>
  <c r="O12" i="854"/>
  <c r="L13" i="854"/>
  <c r="M13" i="854"/>
  <c r="O13" i="854"/>
  <c r="L14" i="854"/>
  <c r="M14" i="854"/>
  <c r="O14" i="854"/>
  <c r="L15" i="854"/>
  <c r="M15" i="854"/>
  <c r="O15" i="854"/>
  <c r="L16" i="854"/>
  <c r="M16" i="854"/>
  <c r="O16" i="854"/>
  <c r="L17" i="854"/>
  <c r="M17" i="854"/>
  <c r="O17" i="854"/>
  <c r="C10" i="854"/>
  <c r="D10" i="854"/>
  <c r="E10" i="854"/>
  <c r="F10" i="854"/>
  <c r="G10" i="854"/>
  <c r="C11" i="854"/>
  <c r="D11" i="854"/>
  <c r="E11" i="854"/>
  <c r="F11" i="854"/>
  <c r="G11" i="854"/>
  <c r="D12" i="854"/>
  <c r="E12" i="854"/>
  <c r="F12" i="854"/>
  <c r="G12" i="854"/>
  <c r="D13" i="854"/>
  <c r="E13" i="854"/>
  <c r="F13" i="854"/>
  <c r="G13" i="854"/>
  <c r="C14" i="854"/>
  <c r="D14" i="854"/>
  <c r="E14" i="854"/>
  <c r="F14" i="854"/>
  <c r="G14" i="854"/>
  <c r="C15" i="854"/>
  <c r="D15" i="854"/>
  <c r="E15" i="854"/>
  <c r="F15" i="854"/>
  <c r="G15" i="854"/>
  <c r="C16" i="854"/>
  <c r="D16" i="854"/>
  <c r="E16" i="854"/>
  <c r="F16" i="854"/>
  <c r="G16" i="854"/>
  <c r="C17" i="854"/>
  <c r="D17" i="854"/>
  <c r="E17" i="854"/>
  <c r="F17" i="854"/>
  <c r="G17" i="854"/>
  <c r="F67" i="854"/>
  <c r="L57" i="854"/>
  <c r="B55" i="854"/>
  <c r="AX53" i="854"/>
  <c r="AW53" i="854"/>
  <c r="AV53" i="854"/>
  <c r="AU53" i="854"/>
  <c r="AT53" i="854"/>
  <c r="AS53" i="854"/>
  <c r="AR53" i="854"/>
  <c r="AQ53" i="854"/>
  <c r="AP53" i="854"/>
  <c r="AO53" i="854"/>
  <c r="AN53" i="854"/>
  <c r="AM53" i="854"/>
  <c r="AL53" i="854"/>
  <c r="AK53" i="854"/>
  <c r="AJ53" i="854"/>
  <c r="AI53" i="854"/>
  <c r="AH53" i="854"/>
  <c r="AG53" i="854"/>
  <c r="AF53" i="854"/>
  <c r="AE53" i="854"/>
  <c r="AD53" i="854"/>
  <c r="AC53" i="854"/>
  <c r="AB53" i="854"/>
  <c r="K48" i="854"/>
  <c r="D46" i="854"/>
  <c r="Z35" i="854"/>
  <c r="Y35" i="854"/>
  <c r="X35" i="854"/>
  <c r="W35" i="854"/>
  <c r="V35" i="854"/>
  <c r="U35" i="854"/>
  <c r="T35" i="854"/>
  <c r="S35" i="854"/>
  <c r="R35" i="854"/>
  <c r="Z34" i="854"/>
  <c r="Y34" i="854"/>
  <c r="X34" i="854"/>
  <c r="W34" i="854"/>
  <c r="V34" i="854"/>
  <c r="U34" i="854"/>
  <c r="T34" i="854"/>
  <c r="S34" i="854"/>
  <c r="R34" i="854"/>
  <c r="Z33" i="854"/>
  <c r="Y33" i="854"/>
  <c r="X33" i="854"/>
  <c r="W33" i="854"/>
  <c r="V33" i="854"/>
  <c r="U33" i="854"/>
  <c r="T33" i="854"/>
  <c r="S33" i="854"/>
  <c r="R33" i="854"/>
  <c r="M33" i="854"/>
  <c r="Z32" i="854"/>
  <c r="Y32" i="854"/>
  <c r="X32" i="854"/>
  <c r="W32" i="854"/>
  <c r="V32" i="854"/>
  <c r="U32" i="854"/>
  <c r="T32" i="854"/>
  <c r="S32" i="854"/>
  <c r="R32" i="854"/>
  <c r="M32" i="854"/>
  <c r="Z31" i="854"/>
  <c r="Y31" i="854"/>
  <c r="X31" i="854"/>
  <c r="W31" i="854"/>
  <c r="V31" i="854"/>
  <c r="U31" i="854"/>
  <c r="T31" i="854"/>
  <c r="S31" i="854"/>
  <c r="R31" i="854"/>
  <c r="M31" i="854"/>
  <c r="Z30" i="854"/>
  <c r="Y30" i="854"/>
  <c r="X30" i="854"/>
  <c r="W30" i="854"/>
  <c r="V30" i="854"/>
  <c r="U30" i="854"/>
  <c r="T30" i="854"/>
  <c r="S30" i="854"/>
  <c r="R30" i="854"/>
  <c r="M30" i="854"/>
  <c r="Z29" i="854"/>
  <c r="Y29" i="854"/>
  <c r="X29" i="854"/>
  <c r="W29" i="854"/>
  <c r="V29" i="854"/>
  <c r="U29" i="854"/>
  <c r="T29" i="854"/>
  <c r="S29" i="854"/>
  <c r="R29" i="854"/>
  <c r="M29" i="854"/>
  <c r="Z28" i="854"/>
  <c r="Y28" i="854"/>
  <c r="X28" i="854"/>
  <c r="W28" i="854"/>
  <c r="V28" i="854"/>
  <c r="U28" i="854"/>
  <c r="T28" i="854"/>
  <c r="S28" i="854"/>
  <c r="R28" i="854"/>
  <c r="Z27" i="854"/>
  <c r="Y27" i="854"/>
  <c r="X27" i="854"/>
  <c r="W27" i="854"/>
  <c r="V27" i="854"/>
  <c r="U27" i="854"/>
  <c r="T27" i="854"/>
  <c r="S27" i="854"/>
  <c r="R27" i="854"/>
  <c r="Z26" i="854"/>
  <c r="Y26" i="854"/>
  <c r="X26" i="854"/>
  <c r="W26" i="854"/>
  <c r="V26" i="854"/>
  <c r="U26" i="854"/>
  <c r="T26" i="854"/>
  <c r="S26" i="854"/>
  <c r="R26" i="854"/>
  <c r="L26" i="854"/>
  <c r="K26" i="854"/>
  <c r="Z25" i="854"/>
  <c r="Y25" i="854"/>
  <c r="X25" i="854"/>
  <c r="W25" i="854"/>
  <c r="V25" i="854"/>
  <c r="U25" i="854"/>
  <c r="T25" i="854"/>
  <c r="S25" i="854"/>
  <c r="R25" i="854"/>
  <c r="M25" i="854"/>
  <c r="L25" i="854"/>
  <c r="K25" i="854"/>
  <c r="T24" i="854"/>
  <c r="Z23" i="854"/>
  <c r="Y23" i="854"/>
  <c r="X23" i="854"/>
  <c r="W23" i="854"/>
  <c r="V23" i="854"/>
  <c r="U23" i="854"/>
  <c r="T23" i="854"/>
  <c r="S23" i="854"/>
  <c r="R23" i="854"/>
  <c r="Z22" i="854"/>
  <c r="Y22" i="854"/>
  <c r="X22" i="854"/>
  <c r="W22" i="854"/>
  <c r="V22" i="854"/>
  <c r="U22" i="854"/>
  <c r="T22" i="854"/>
  <c r="S22" i="854"/>
  <c r="R22" i="854"/>
  <c r="Z21" i="854"/>
  <c r="Y21" i="854"/>
  <c r="X21" i="854"/>
  <c r="W21" i="854"/>
  <c r="V21" i="854"/>
  <c r="U21" i="854"/>
  <c r="T21" i="854"/>
  <c r="S21" i="854"/>
  <c r="R21" i="854"/>
  <c r="Z20" i="854"/>
  <c r="Y20" i="854"/>
  <c r="X20" i="854"/>
  <c r="W20" i="854"/>
  <c r="V20" i="854"/>
  <c r="U20" i="854"/>
  <c r="T20" i="854"/>
  <c r="S20" i="854"/>
  <c r="R20" i="854"/>
  <c r="Z19" i="854"/>
  <c r="Y19" i="854"/>
  <c r="X19" i="854"/>
  <c r="W19" i="854"/>
  <c r="V19" i="854"/>
  <c r="U19" i="854"/>
  <c r="T19" i="854"/>
  <c r="S19" i="854"/>
  <c r="R19" i="854"/>
  <c r="Z18" i="854"/>
  <c r="Y18" i="854"/>
  <c r="X18" i="854"/>
  <c r="W18" i="854"/>
  <c r="V18" i="854"/>
  <c r="U18" i="854"/>
  <c r="T18" i="854"/>
  <c r="S18" i="854"/>
  <c r="R18" i="854"/>
  <c r="G55" i="853"/>
  <c r="K55" i="853"/>
  <c r="K65" i="853" s="1"/>
  <c r="M27" i="854" l="1"/>
  <c r="K34" i="854"/>
  <c r="L34" i="854" s="1"/>
  <c r="M34" i="854" s="1"/>
  <c r="X24" i="854"/>
  <c r="W24" i="854"/>
  <c r="Y24" i="854"/>
  <c r="Z24" i="854"/>
  <c r="V24" i="854"/>
  <c r="U24" i="854"/>
  <c r="S24" i="854"/>
  <c r="R24" i="854"/>
  <c r="M27" i="853" l="1"/>
  <c r="L27" i="853"/>
  <c r="K27" i="853"/>
  <c r="M26" i="853"/>
  <c r="L26" i="853"/>
  <c r="K26" i="853"/>
  <c r="R11" i="853"/>
  <c r="S11" i="853"/>
  <c r="T11" i="853"/>
  <c r="U11" i="853"/>
  <c r="V11" i="853"/>
  <c r="W11" i="853"/>
  <c r="X11" i="853"/>
  <c r="Y11" i="853"/>
  <c r="Z11" i="853"/>
  <c r="R12" i="853"/>
  <c r="S12" i="853"/>
  <c r="T12" i="853"/>
  <c r="U12" i="853"/>
  <c r="V12" i="853"/>
  <c r="W12" i="853"/>
  <c r="X12" i="853"/>
  <c r="Y12" i="853"/>
  <c r="Z12" i="853"/>
  <c r="R13" i="853"/>
  <c r="S13" i="853"/>
  <c r="T13" i="853"/>
  <c r="U13" i="853"/>
  <c r="V13" i="853"/>
  <c r="W13" i="853"/>
  <c r="X13" i="853"/>
  <c r="Y13" i="853"/>
  <c r="Z13" i="853"/>
  <c r="R14" i="853"/>
  <c r="S14" i="853"/>
  <c r="T14" i="853"/>
  <c r="U14" i="853"/>
  <c r="V14" i="853"/>
  <c r="W14" i="853"/>
  <c r="X14" i="853"/>
  <c r="Y14" i="853"/>
  <c r="Z14" i="853"/>
  <c r="R15" i="853"/>
  <c r="S15" i="853"/>
  <c r="T15" i="853"/>
  <c r="U15" i="853"/>
  <c r="V15" i="853"/>
  <c r="W15" i="853"/>
  <c r="X15" i="853"/>
  <c r="Y15" i="853"/>
  <c r="Z15" i="853"/>
  <c r="R16" i="853"/>
  <c r="S16" i="853"/>
  <c r="T16" i="853"/>
  <c r="U16" i="853"/>
  <c r="V16" i="853"/>
  <c r="W16" i="853"/>
  <c r="X16" i="853"/>
  <c r="Y16" i="853"/>
  <c r="Z16" i="853"/>
  <c r="R17" i="853"/>
  <c r="S17" i="853"/>
  <c r="T17" i="853"/>
  <c r="U17" i="853"/>
  <c r="V17" i="853"/>
  <c r="W17" i="853"/>
  <c r="X17" i="853"/>
  <c r="Y17" i="853"/>
  <c r="Z17" i="853"/>
  <c r="R18" i="853"/>
  <c r="S18" i="853"/>
  <c r="T18" i="853"/>
  <c r="U18" i="853"/>
  <c r="V18" i="853"/>
  <c r="W18" i="853"/>
  <c r="X18" i="853"/>
  <c r="Y18" i="853"/>
  <c r="Z18" i="853"/>
  <c r="R19" i="853"/>
  <c r="S19" i="853"/>
  <c r="T19" i="853"/>
  <c r="U19" i="853"/>
  <c r="V19" i="853"/>
  <c r="W19" i="853"/>
  <c r="X19" i="853"/>
  <c r="Y19" i="853"/>
  <c r="Z19" i="853"/>
  <c r="R20" i="853"/>
  <c r="S20" i="853"/>
  <c r="T20" i="853"/>
  <c r="U20" i="853"/>
  <c r="V20" i="853"/>
  <c r="W20" i="853"/>
  <c r="X20" i="853"/>
  <c r="Y20" i="853"/>
  <c r="Z20" i="853"/>
  <c r="R21" i="853"/>
  <c r="S21" i="853"/>
  <c r="T21" i="853"/>
  <c r="U21" i="853"/>
  <c r="V21" i="853"/>
  <c r="W21" i="853"/>
  <c r="X21" i="853"/>
  <c r="Y21" i="853"/>
  <c r="Z21" i="853"/>
  <c r="R22" i="853"/>
  <c r="S22" i="853"/>
  <c r="T22" i="853"/>
  <c r="U22" i="853"/>
  <c r="V22" i="853"/>
  <c r="W22" i="853"/>
  <c r="X22" i="853"/>
  <c r="Y22" i="853"/>
  <c r="Z22" i="853"/>
  <c r="R23" i="853"/>
  <c r="S23" i="853"/>
  <c r="T23" i="853"/>
  <c r="U23" i="853"/>
  <c r="V23" i="853"/>
  <c r="W23" i="853"/>
  <c r="X23" i="853"/>
  <c r="Y23" i="853"/>
  <c r="Z23" i="853"/>
  <c r="R24" i="853"/>
  <c r="S24" i="853"/>
  <c r="T24" i="853"/>
  <c r="U24" i="853"/>
  <c r="V24" i="853"/>
  <c r="W24" i="853"/>
  <c r="X24" i="853"/>
  <c r="Y24" i="853"/>
  <c r="Z24" i="853"/>
  <c r="R25" i="853"/>
  <c r="S25" i="853"/>
  <c r="T25" i="853"/>
  <c r="U25" i="853"/>
  <c r="V25" i="853"/>
  <c r="W25" i="853"/>
  <c r="X25" i="853"/>
  <c r="Y25" i="853"/>
  <c r="Z25" i="853"/>
  <c r="R26" i="853"/>
  <c r="S26" i="853"/>
  <c r="T26" i="853"/>
  <c r="U26" i="853"/>
  <c r="V26" i="853"/>
  <c r="W26" i="853"/>
  <c r="X26" i="853"/>
  <c r="Y26" i="853"/>
  <c r="Z26" i="853"/>
  <c r="R27" i="853"/>
  <c r="S27" i="853"/>
  <c r="T27" i="853"/>
  <c r="U27" i="853"/>
  <c r="V27" i="853"/>
  <c r="W27" i="853"/>
  <c r="X27" i="853"/>
  <c r="Y27" i="853"/>
  <c r="Z27" i="853"/>
  <c r="R28" i="853"/>
  <c r="S28" i="853"/>
  <c r="T28" i="853"/>
  <c r="U28" i="853"/>
  <c r="V28" i="853"/>
  <c r="W28" i="853"/>
  <c r="X28" i="853"/>
  <c r="Y28" i="853"/>
  <c r="Z28" i="853"/>
  <c r="R29" i="853"/>
  <c r="S29" i="853"/>
  <c r="T29" i="853"/>
  <c r="U29" i="853"/>
  <c r="V29" i="853"/>
  <c r="W29" i="853"/>
  <c r="X29" i="853"/>
  <c r="Y29" i="853"/>
  <c r="Z29" i="853"/>
  <c r="R30" i="853"/>
  <c r="S30" i="853"/>
  <c r="T30" i="853"/>
  <c r="U30" i="853"/>
  <c r="V30" i="853"/>
  <c r="W30" i="853"/>
  <c r="X30" i="853"/>
  <c r="Y30" i="853"/>
  <c r="Z30" i="853"/>
  <c r="O19" i="853"/>
  <c r="N19" i="853"/>
  <c r="M19" i="853"/>
  <c r="L19" i="853"/>
  <c r="J19" i="853"/>
  <c r="I19" i="853"/>
  <c r="J26" i="853" s="1"/>
  <c r="G19" i="853"/>
  <c r="F19" i="853"/>
  <c r="E19" i="853"/>
  <c r="D19" i="853"/>
  <c r="C19" i="853"/>
  <c r="C35" i="853" l="1"/>
  <c r="C26" i="853" a="1"/>
  <c r="C26" i="853" s="1"/>
  <c r="B26" i="853"/>
  <c r="B22" i="852" l="1"/>
  <c r="B55" i="853"/>
  <c r="I10" i="853"/>
  <c r="J10" i="853"/>
  <c r="L10" i="853"/>
  <c r="M10" i="853"/>
  <c r="O10" i="853"/>
  <c r="I11" i="853"/>
  <c r="J11" i="853"/>
  <c r="L11" i="853"/>
  <c r="M11" i="853"/>
  <c r="O11" i="853"/>
  <c r="I12" i="853"/>
  <c r="J12" i="853"/>
  <c r="L12" i="853"/>
  <c r="M12" i="853"/>
  <c r="O12" i="853"/>
  <c r="I13" i="853"/>
  <c r="J13" i="853"/>
  <c r="L13" i="853"/>
  <c r="M13" i="853"/>
  <c r="O13" i="853"/>
  <c r="I14" i="853"/>
  <c r="J14" i="853"/>
  <c r="L14" i="853"/>
  <c r="M14" i="853"/>
  <c r="O14" i="853"/>
  <c r="I15" i="853"/>
  <c r="J15" i="853"/>
  <c r="L15" i="853"/>
  <c r="M15" i="853"/>
  <c r="O15" i="853"/>
  <c r="I16" i="853"/>
  <c r="J16" i="853"/>
  <c r="L16" i="853"/>
  <c r="M16" i="853"/>
  <c r="O16" i="853"/>
  <c r="I17" i="853"/>
  <c r="J17" i="853"/>
  <c r="L17" i="853"/>
  <c r="M17" i="853"/>
  <c r="O17" i="853"/>
  <c r="C10" i="853"/>
  <c r="D10" i="853"/>
  <c r="E10" i="853"/>
  <c r="F10" i="853"/>
  <c r="G10" i="853"/>
  <c r="C11" i="853"/>
  <c r="D11" i="853"/>
  <c r="E11" i="853"/>
  <c r="F11" i="853"/>
  <c r="G11" i="853"/>
  <c r="C12" i="853"/>
  <c r="D12" i="853"/>
  <c r="E12" i="853"/>
  <c r="F12" i="853"/>
  <c r="G12" i="853"/>
  <c r="C13" i="853"/>
  <c r="D13" i="853"/>
  <c r="E13" i="853"/>
  <c r="F13" i="853"/>
  <c r="G13" i="853"/>
  <c r="C14" i="853"/>
  <c r="D14" i="853"/>
  <c r="E14" i="853"/>
  <c r="F14" i="853"/>
  <c r="G14" i="853"/>
  <c r="C15" i="853"/>
  <c r="D15" i="853"/>
  <c r="E15" i="853"/>
  <c r="F15" i="853"/>
  <c r="G15" i="853"/>
  <c r="C16" i="853"/>
  <c r="D16" i="853"/>
  <c r="E16" i="853"/>
  <c r="F16" i="853"/>
  <c r="G16" i="853"/>
  <c r="C17" i="853"/>
  <c r="D17" i="853"/>
  <c r="E17" i="853"/>
  <c r="F17" i="853"/>
  <c r="G17" i="853"/>
  <c r="F69" i="853"/>
  <c r="L59" i="853"/>
  <c r="B57" i="853"/>
  <c r="AX55" i="853"/>
  <c r="AW55" i="853"/>
  <c r="AV55" i="853"/>
  <c r="AU55" i="853"/>
  <c r="AT55" i="853"/>
  <c r="AS55" i="853"/>
  <c r="AR55" i="853"/>
  <c r="AQ55" i="853"/>
  <c r="AP55" i="853"/>
  <c r="AO55" i="853"/>
  <c r="AN55" i="853"/>
  <c r="AM55" i="853"/>
  <c r="AL55" i="853"/>
  <c r="AK55" i="853"/>
  <c r="AJ55" i="853"/>
  <c r="AI55" i="853"/>
  <c r="AH55" i="853"/>
  <c r="AG55" i="853"/>
  <c r="AF55" i="853"/>
  <c r="AE55" i="853"/>
  <c r="AD55" i="853"/>
  <c r="AC55" i="853"/>
  <c r="AB55" i="853"/>
  <c r="K50" i="853"/>
  <c r="D48" i="853"/>
  <c r="Z37" i="853"/>
  <c r="Y37" i="853"/>
  <c r="X37" i="853"/>
  <c r="W37" i="853"/>
  <c r="V37" i="853"/>
  <c r="U37" i="853"/>
  <c r="T37" i="853"/>
  <c r="S37" i="853"/>
  <c r="R37" i="853"/>
  <c r="Z36" i="853"/>
  <c r="Y36" i="853"/>
  <c r="X36" i="853"/>
  <c r="W36" i="853"/>
  <c r="V36" i="853"/>
  <c r="U36" i="853"/>
  <c r="T36" i="853"/>
  <c r="S36" i="853"/>
  <c r="R36" i="853"/>
  <c r="Z35" i="853"/>
  <c r="Y35" i="853"/>
  <c r="X35" i="853"/>
  <c r="W35" i="853"/>
  <c r="V35" i="853"/>
  <c r="U35" i="853"/>
  <c r="T35" i="853"/>
  <c r="S35" i="853"/>
  <c r="R35" i="853"/>
  <c r="M35" i="853"/>
  <c r="Z34" i="853"/>
  <c r="Y34" i="853"/>
  <c r="X34" i="853"/>
  <c r="W34" i="853"/>
  <c r="V34" i="853"/>
  <c r="U34" i="853"/>
  <c r="T34" i="853"/>
  <c r="S34" i="853"/>
  <c r="R34" i="853"/>
  <c r="M34" i="853"/>
  <c r="Z33" i="853"/>
  <c r="Y33" i="853"/>
  <c r="X33" i="853"/>
  <c r="W33" i="853"/>
  <c r="V33" i="853"/>
  <c r="U33" i="853"/>
  <c r="T33" i="853"/>
  <c r="S33" i="853"/>
  <c r="R33" i="853"/>
  <c r="M33" i="853"/>
  <c r="Z32" i="853"/>
  <c r="Y32" i="853"/>
  <c r="X32" i="853"/>
  <c r="W32" i="853"/>
  <c r="V32" i="853"/>
  <c r="U32" i="853"/>
  <c r="T32" i="853"/>
  <c r="S32" i="853"/>
  <c r="R32" i="853"/>
  <c r="M32" i="853"/>
  <c r="Z31" i="853"/>
  <c r="Y31" i="853"/>
  <c r="X31" i="853"/>
  <c r="W31" i="853"/>
  <c r="V31" i="853"/>
  <c r="U31" i="853"/>
  <c r="T31" i="853"/>
  <c r="S31" i="853"/>
  <c r="R31" i="853"/>
  <c r="M31" i="853"/>
  <c r="M29" i="853"/>
  <c r="L28" i="853"/>
  <c r="K28" i="853"/>
  <c r="Z10" i="853"/>
  <c r="Y10" i="853"/>
  <c r="X10" i="853"/>
  <c r="W10" i="853"/>
  <c r="V10" i="853"/>
  <c r="U10" i="853"/>
  <c r="T10" i="853"/>
  <c r="S10" i="853"/>
  <c r="R10" i="853"/>
  <c r="J27" i="853" l="1"/>
  <c r="K36" i="853"/>
  <c r="L36" i="853" s="1"/>
  <c r="M36" i="853" s="1"/>
  <c r="K51" i="852"/>
  <c r="K60" i="852" s="1"/>
  <c r="B51" i="852"/>
  <c r="M23" i="852" l="1"/>
  <c r="L23" i="852"/>
  <c r="K23" i="852"/>
  <c r="C10" i="852"/>
  <c r="D10" i="852"/>
  <c r="E10" i="852"/>
  <c r="F10" i="852"/>
  <c r="G10" i="852"/>
  <c r="I10" i="852"/>
  <c r="J10" i="852"/>
  <c r="L10" i="852"/>
  <c r="M10" i="852"/>
  <c r="N10" i="852"/>
  <c r="O10" i="852"/>
  <c r="C11" i="852"/>
  <c r="D11" i="852"/>
  <c r="E11" i="852"/>
  <c r="F11" i="852"/>
  <c r="G11" i="852"/>
  <c r="I11" i="852"/>
  <c r="J11" i="852"/>
  <c r="L11" i="852"/>
  <c r="M11" i="852"/>
  <c r="N11" i="852"/>
  <c r="O11" i="852"/>
  <c r="C12" i="852"/>
  <c r="D12" i="852"/>
  <c r="E12" i="852"/>
  <c r="F12" i="852"/>
  <c r="G12" i="852"/>
  <c r="I12" i="852"/>
  <c r="J12" i="852"/>
  <c r="L12" i="852"/>
  <c r="M12" i="852"/>
  <c r="N12" i="852"/>
  <c r="O12" i="852"/>
  <c r="C13" i="852"/>
  <c r="D13" i="852"/>
  <c r="E13" i="852"/>
  <c r="F13" i="852"/>
  <c r="G13" i="852"/>
  <c r="L13" i="852"/>
  <c r="M13" i="852"/>
  <c r="N13" i="852"/>
  <c r="O13" i="852"/>
  <c r="F65" i="852"/>
  <c r="L55" i="852"/>
  <c r="B53" i="852"/>
  <c r="AX51" i="852"/>
  <c r="AW51" i="852"/>
  <c r="AV51" i="852"/>
  <c r="AU51" i="852"/>
  <c r="AT51" i="852"/>
  <c r="AS51" i="852"/>
  <c r="AR51" i="852"/>
  <c r="AQ51" i="852"/>
  <c r="AP51" i="852"/>
  <c r="AO51" i="852"/>
  <c r="AN51" i="852"/>
  <c r="AM51" i="852"/>
  <c r="AL51" i="852"/>
  <c r="AK51" i="852"/>
  <c r="AJ51" i="852"/>
  <c r="AI51" i="852"/>
  <c r="AH51" i="852"/>
  <c r="AG51" i="852"/>
  <c r="AF51" i="852"/>
  <c r="AE51" i="852"/>
  <c r="AD51" i="852"/>
  <c r="AC51" i="852"/>
  <c r="AB51" i="852"/>
  <c r="D44" i="852"/>
  <c r="K46" i="852"/>
  <c r="Z33" i="852"/>
  <c r="Y33" i="852"/>
  <c r="X33" i="852"/>
  <c r="W33" i="852"/>
  <c r="V33" i="852"/>
  <c r="U33" i="852"/>
  <c r="T33" i="852"/>
  <c r="S33" i="852"/>
  <c r="R33" i="852"/>
  <c r="Z32" i="852"/>
  <c r="Y32" i="852"/>
  <c r="X32" i="852"/>
  <c r="W32" i="852"/>
  <c r="V32" i="852"/>
  <c r="U32" i="852"/>
  <c r="T32" i="852"/>
  <c r="S32" i="852"/>
  <c r="R32" i="852"/>
  <c r="Z31" i="852"/>
  <c r="Y31" i="852"/>
  <c r="X31" i="852"/>
  <c r="W31" i="852"/>
  <c r="V31" i="852"/>
  <c r="U31" i="852"/>
  <c r="T31" i="852"/>
  <c r="S31" i="852"/>
  <c r="R31" i="852"/>
  <c r="M31" i="852"/>
  <c r="Z30" i="852"/>
  <c r="Y30" i="852"/>
  <c r="X30" i="852"/>
  <c r="W30" i="852"/>
  <c r="V30" i="852"/>
  <c r="U30" i="852"/>
  <c r="T30" i="852"/>
  <c r="S30" i="852"/>
  <c r="R30" i="852"/>
  <c r="M30" i="852"/>
  <c r="Z29" i="852"/>
  <c r="Y29" i="852"/>
  <c r="X29" i="852"/>
  <c r="W29" i="852"/>
  <c r="V29" i="852"/>
  <c r="U29" i="852"/>
  <c r="T29" i="852"/>
  <c r="S29" i="852"/>
  <c r="R29" i="852"/>
  <c r="M29" i="852"/>
  <c r="Z28" i="852"/>
  <c r="Y28" i="852"/>
  <c r="X28" i="852"/>
  <c r="W28" i="852"/>
  <c r="V28" i="852"/>
  <c r="U28" i="852"/>
  <c r="T28" i="852"/>
  <c r="S28" i="852"/>
  <c r="R28" i="852"/>
  <c r="M28" i="852"/>
  <c r="Z27" i="852"/>
  <c r="Y27" i="852"/>
  <c r="X27" i="852"/>
  <c r="W27" i="852"/>
  <c r="V27" i="852"/>
  <c r="U27" i="852"/>
  <c r="T27" i="852"/>
  <c r="S27" i="852"/>
  <c r="R27" i="852"/>
  <c r="M27" i="852"/>
  <c r="Z26" i="852"/>
  <c r="Y26" i="852"/>
  <c r="X26" i="852"/>
  <c r="W26" i="852"/>
  <c r="V26" i="852"/>
  <c r="U26" i="852"/>
  <c r="T26" i="852"/>
  <c r="S26" i="852"/>
  <c r="R26" i="852"/>
  <c r="Z25" i="852"/>
  <c r="Y25" i="852"/>
  <c r="X25" i="852"/>
  <c r="W25" i="852"/>
  <c r="V25" i="852"/>
  <c r="U25" i="852"/>
  <c r="T25" i="852"/>
  <c r="S25" i="852"/>
  <c r="R25" i="852"/>
  <c r="M25" i="852"/>
  <c r="Z24" i="852"/>
  <c r="Y24" i="852"/>
  <c r="X24" i="852"/>
  <c r="W24" i="852"/>
  <c r="V24" i="852"/>
  <c r="U24" i="852"/>
  <c r="T24" i="852"/>
  <c r="S24" i="852"/>
  <c r="R24" i="852"/>
  <c r="L24" i="852"/>
  <c r="K24" i="852"/>
  <c r="Z23" i="852"/>
  <c r="Y23" i="852"/>
  <c r="X23" i="852"/>
  <c r="W23" i="852"/>
  <c r="V23" i="852"/>
  <c r="U23" i="852"/>
  <c r="T23" i="852"/>
  <c r="S23" i="852"/>
  <c r="R23" i="852"/>
  <c r="Z22" i="852"/>
  <c r="Y22" i="852"/>
  <c r="X22" i="852"/>
  <c r="W22" i="852"/>
  <c r="V22" i="852"/>
  <c r="U22" i="852"/>
  <c r="T22" i="852"/>
  <c r="S22" i="852"/>
  <c r="R22" i="852"/>
  <c r="M22" i="852"/>
  <c r="L22" i="852"/>
  <c r="K22" i="852"/>
  <c r="Z21" i="852"/>
  <c r="Y21" i="852"/>
  <c r="X21" i="852"/>
  <c r="W21" i="852"/>
  <c r="V21" i="852"/>
  <c r="U21" i="852"/>
  <c r="T21" i="852"/>
  <c r="S21" i="852"/>
  <c r="R21" i="852"/>
  <c r="Z20" i="852"/>
  <c r="Y20" i="852"/>
  <c r="X20" i="852"/>
  <c r="W20" i="852"/>
  <c r="V20" i="852"/>
  <c r="U20" i="852"/>
  <c r="T20" i="852"/>
  <c r="S20" i="852"/>
  <c r="R20" i="852"/>
  <c r="Z19" i="852"/>
  <c r="Y19" i="852"/>
  <c r="X19" i="852"/>
  <c r="W19" i="852"/>
  <c r="V19" i="852"/>
  <c r="U19" i="852"/>
  <c r="T19" i="852"/>
  <c r="S19" i="852"/>
  <c r="R19" i="852"/>
  <c r="Z18" i="852"/>
  <c r="Y18" i="852"/>
  <c r="X18" i="852"/>
  <c r="W18" i="852"/>
  <c r="V18" i="852"/>
  <c r="U18" i="852"/>
  <c r="T18" i="852"/>
  <c r="S18" i="852"/>
  <c r="R18" i="852"/>
  <c r="Z17" i="852"/>
  <c r="Y17" i="852"/>
  <c r="X17" i="852"/>
  <c r="W17" i="852"/>
  <c r="V17" i="852"/>
  <c r="U17" i="852"/>
  <c r="T17" i="852"/>
  <c r="S17" i="852"/>
  <c r="R17" i="852"/>
  <c r="Z16" i="852"/>
  <c r="Y16" i="852"/>
  <c r="X16" i="852"/>
  <c r="W16" i="852"/>
  <c r="V16" i="852"/>
  <c r="U16" i="852"/>
  <c r="T16" i="852"/>
  <c r="S16" i="852"/>
  <c r="R16" i="852"/>
  <c r="Z15" i="852"/>
  <c r="Y15" i="852"/>
  <c r="X15" i="852"/>
  <c r="W15" i="852"/>
  <c r="V15" i="852"/>
  <c r="U15" i="852"/>
  <c r="T15" i="852"/>
  <c r="S15" i="852"/>
  <c r="R15" i="852"/>
  <c r="Z14" i="852"/>
  <c r="Y14" i="852"/>
  <c r="X14" i="852"/>
  <c r="W14" i="852"/>
  <c r="V14" i="852"/>
  <c r="U14" i="852"/>
  <c r="T14" i="852"/>
  <c r="S14" i="852"/>
  <c r="R14" i="852"/>
  <c r="Z13" i="852"/>
  <c r="Y13" i="852"/>
  <c r="X13" i="852"/>
  <c r="W13" i="852"/>
  <c r="V13" i="852"/>
  <c r="U13" i="852"/>
  <c r="T13" i="852"/>
  <c r="S13" i="852"/>
  <c r="R13" i="852"/>
  <c r="Z12" i="852"/>
  <c r="Y12" i="852"/>
  <c r="X12" i="852"/>
  <c r="W12" i="852"/>
  <c r="V12" i="852"/>
  <c r="U12" i="852"/>
  <c r="T12" i="852"/>
  <c r="S12" i="852"/>
  <c r="R12" i="852"/>
  <c r="Z11" i="852"/>
  <c r="Y11" i="852"/>
  <c r="X11" i="852"/>
  <c r="W11" i="852"/>
  <c r="V11" i="852"/>
  <c r="U11" i="852"/>
  <c r="T11" i="852"/>
  <c r="S11" i="852"/>
  <c r="R11" i="852"/>
  <c r="Z10" i="852"/>
  <c r="Y10" i="852"/>
  <c r="X10" i="852"/>
  <c r="W10" i="852"/>
  <c r="V10" i="852"/>
  <c r="U10" i="852"/>
  <c r="T10" i="852"/>
  <c r="S10" i="852"/>
  <c r="R10" i="852"/>
  <c r="M26" i="851"/>
  <c r="K26" i="851"/>
  <c r="L26" i="851"/>
  <c r="K32" i="852" l="1"/>
  <c r="L32" i="852" s="1"/>
  <c r="M32" i="852" s="1"/>
  <c r="J23" i="852"/>
  <c r="K40" i="851"/>
  <c r="R10" i="851" l="1"/>
  <c r="S10" i="851"/>
  <c r="T10" i="851"/>
  <c r="U10" i="851"/>
  <c r="V10" i="851"/>
  <c r="W10" i="851"/>
  <c r="X10" i="851"/>
  <c r="Y10" i="851"/>
  <c r="Z10" i="851"/>
  <c r="R11" i="851"/>
  <c r="S11" i="851"/>
  <c r="T11" i="851"/>
  <c r="U11" i="851"/>
  <c r="V11" i="851"/>
  <c r="W11" i="851"/>
  <c r="X11" i="851"/>
  <c r="Y11" i="851"/>
  <c r="Z11" i="851"/>
  <c r="R12" i="851"/>
  <c r="S12" i="851"/>
  <c r="T12" i="851"/>
  <c r="U12" i="851"/>
  <c r="V12" i="851"/>
  <c r="W12" i="851"/>
  <c r="X12" i="851"/>
  <c r="Y12" i="851"/>
  <c r="Z12" i="851"/>
  <c r="R13" i="851"/>
  <c r="S13" i="851"/>
  <c r="T13" i="851"/>
  <c r="U13" i="851"/>
  <c r="V13" i="851"/>
  <c r="W13" i="851"/>
  <c r="X13" i="851"/>
  <c r="Y13" i="851"/>
  <c r="Z13" i="851"/>
  <c r="R14" i="851"/>
  <c r="S14" i="851"/>
  <c r="T14" i="851"/>
  <c r="U14" i="851"/>
  <c r="V14" i="851"/>
  <c r="W14" i="851"/>
  <c r="X14" i="851"/>
  <c r="Y14" i="851"/>
  <c r="Z14" i="851"/>
  <c r="R15" i="851"/>
  <c r="S15" i="851"/>
  <c r="T15" i="851"/>
  <c r="U15" i="851"/>
  <c r="V15" i="851"/>
  <c r="W15" i="851"/>
  <c r="X15" i="851"/>
  <c r="Y15" i="851"/>
  <c r="Z15" i="851"/>
  <c r="R16" i="851"/>
  <c r="S16" i="851"/>
  <c r="T16" i="851"/>
  <c r="U16" i="851"/>
  <c r="V16" i="851"/>
  <c r="W16" i="851"/>
  <c r="X16" i="851"/>
  <c r="Y16" i="851"/>
  <c r="Z16" i="851"/>
  <c r="R17" i="851"/>
  <c r="S17" i="851"/>
  <c r="T17" i="851"/>
  <c r="U17" i="851"/>
  <c r="V17" i="851"/>
  <c r="W17" i="851"/>
  <c r="X17" i="851"/>
  <c r="Y17" i="851"/>
  <c r="Z17" i="851"/>
  <c r="R18" i="851"/>
  <c r="S18" i="851"/>
  <c r="T18" i="851"/>
  <c r="U18" i="851"/>
  <c r="V18" i="851"/>
  <c r="W18" i="851"/>
  <c r="X18" i="851"/>
  <c r="Y18" i="851"/>
  <c r="Z18" i="851"/>
  <c r="R19" i="851"/>
  <c r="S19" i="851"/>
  <c r="T19" i="851"/>
  <c r="U19" i="851"/>
  <c r="V19" i="851"/>
  <c r="W19" i="851"/>
  <c r="X19" i="851"/>
  <c r="Y19" i="851"/>
  <c r="Z19" i="851"/>
  <c r="C10" i="851"/>
  <c r="D10" i="851"/>
  <c r="E10" i="851"/>
  <c r="F10" i="851"/>
  <c r="G10" i="851"/>
  <c r="L10" i="851"/>
  <c r="M10" i="851"/>
  <c r="O10" i="851"/>
  <c r="C11" i="851"/>
  <c r="D11" i="851"/>
  <c r="E11" i="851"/>
  <c r="F11" i="851"/>
  <c r="G11" i="851"/>
  <c r="L11" i="851"/>
  <c r="M11" i="851"/>
  <c r="O11" i="851"/>
  <c r="C12" i="851"/>
  <c r="D12" i="851"/>
  <c r="E12" i="851"/>
  <c r="F12" i="851"/>
  <c r="G12" i="851"/>
  <c r="L12" i="851"/>
  <c r="M12" i="851"/>
  <c r="O12" i="851"/>
  <c r="C13" i="851"/>
  <c r="D13" i="851"/>
  <c r="E13" i="851"/>
  <c r="F13" i="851"/>
  <c r="G13" i="851"/>
  <c r="L13" i="851"/>
  <c r="M13" i="851"/>
  <c r="O13" i="851"/>
  <c r="F69" i="851" l="1"/>
  <c r="L59" i="851"/>
  <c r="B57" i="851"/>
  <c r="AX55" i="851"/>
  <c r="AW55" i="851"/>
  <c r="AV55" i="851"/>
  <c r="AU55" i="851"/>
  <c r="AT55" i="851"/>
  <c r="AS55" i="851"/>
  <c r="AR55" i="851"/>
  <c r="AQ55" i="851"/>
  <c r="AP55" i="851"/>
  <c r="AO55" i="851"/>
  <c r="AN55" i="851"/>
  <c r="AM55" i="851"/>
  <c r="AL55" i="851"/>
  <c r="AK55" i="851"/>
  <c r="AJ55" i="851"/>
  <c r="AI55" i="851"/>
  <c r="AH55" i="851"/>
  <c r="AG55" i="851"/>
  <c r="AF55" i="851"/>
  <c r="AE55" i="851"/>
  <c r="AD55" i="851"/>
  <c r="AC55" i="851"/>
  <c r="AB55" i="851"/>
  <c r="D48" i="851"/>
  <c r="Z37" i="851"/>
  <c r="Y37" i="851"/>
  <c r="X37" i="851"/>
  <c r="W37" i="851"/>
  <c r="V37" i="851"/>
  <c r="U37" i="851"/>
  <c r="T37" i="851"/>
  <c r="S37" i="851"/>
  <c r="R37" i="851"/>
  <c r="Z36" i="851"/>
  <c r="Y36" i="851"/>
  <c r="X36" i="851"/>
  <c r="W36" i="851"/>
  <c r="V36" i="851"/>
  <c r="U36" i="851"/>
  <c r="T36" i="851"/>
  <c r="S36" i="851"/>
  <c r="R36" i="851"/>
  <c r="Z35" i="851"/>
  <c r="Y35" i="851"/>
  <c r="X35" i="851"/>
  <c r="W35" i="851"/>
  <c r="V35" i="851"/>
  <c r="U35" i="851"/>
  <c r="T35" i="851"/>
  <c r="S35" i="851"/>
  <c r="R35" i="851"/>
  <c r="M35" i="851"/>
  <c r="Z34" i="851"/>
  <c r="Y34" i="851"/>
  <c r="X34" i="851"/>
  <c r="W34" i="851"/>
  <c r="V34" i="851"/>
  <c r="U34" i="851"/>
  <c r="T34" i="851"/>
  <c r="S34" i="851"/>
  <c r="R34" i="851"/>
  <c r="M34" i="851"/>
  <c r="Z33" i="851"/>
  <c r="Y33" i="851"/>
  <c r="X33" i="851"/>
  <c r="W33" i="851"/>
  <c r="V33" i="851"/>
  <c r="U33" i="851"/>
  <c r="T33" i="851"/>
  <c r="S33" i="851"/>
  <c r="R33" i="851"/>
  <c r="M33" i="851"/>
  <c r="Z32" i="851"/>
  <c r="Y32" i="851"/>
  <c r="X32" i="851"/>
  <c r="W32" i="851"/>
  <c r="V32" i="851"/>
  <c r="U32" i="851"/>
  <c r="T32" i="851"/>
  <c r="S32" i="851"/>
  <c r="R32" i="851"/>
  <c r="M32" i="851"/>
  <c r="Z31" i="851"/>
  <c r="Y31" i="851"/>
  <c r="X31" i="851"/>
  <c r="W31" i="851"/>
  <c r="V31" i="851"/>
  <c r="U31" i="851"/>
  <c r="T31" i="851"/>
  <c r="S31" i="851"/>
  <c r="R31" i="851"/>
  <c r="M31" i="851"/>
  <c r="Z30" i="851"/>
  <c r="Y30" i="851"/>
  <c r="X30" i="851"/>
  <c r="W30" i="851"/>
  <c r="V30" i="851"/>
  <c r="U30" i="851"/>
  <c r="T30" i="851"/>
  <c r="S30" i="851"/>
  <c r="R30" i="851"/>
  <c r="Z29" i="851"/>
  <c r="Y29" i="851"/>
  <c r="X29" i="851"/>
  <c r="W29" i="851"/>
  <c r="V29" i="851"/>
  <c r="U29" i="851"/>
  <c r="T29" i="851"/>
  <c r="S29" i="851"/>
  <c r="R29" i="851"/>
  <c r="M29" i="851"/>
  <c r="Z28" i="851"/>
  <c r="Y28" i="851"/>
  <c r="X28" i="851"/>
  <c r="W28" i="851"/>
  <c r="V28" i="851"/>
  <c r="U28" i="851"/>
  <c r="T28" i="851"/>
  <c r="S28" i="851"/>
  <c r="R28" i="851"/>
  <c r="L28" i="851"/>
  <c r="K28" i="851"/>
  <c r="Z27" i="851"/>
  <c r="Y27" i="851"/>
  <c r="X27" i="851"/>
  <c r="W27" i="851"/>
  <c r="V27" i="851"/>
  <c r="U27" i="851"/>
  <c r="T27" i="851"/>
  <c r="S27" i="851"/>
  <c r="R27" i="851"/>
  <c r="M27" i="851"/>
  <c r="L27" i="851"/>
  <c r="K27" i="851"/>
  <c r="Z26" i="851"/>
  <c r="X26" i="851"/>
  <c r="W26" i="851"/>
  <c r="V26" i="851"/>
  <c r="U26" i="851"/>
  <c r="T26" i="851"/>
  <c r="S26" i="851"/>
  <c r="R26" i="851"/>
  <c r="Y26" i="851"/>
  <c r="Z25" i="851"/>
  <c r="Y25" i="851"/>
  <c r="X25" i="851"/>
  <c r="W25" i="851"/>
  <c r="V25" i="851"/>
  <c r="U25" i="851"/>
  <c r="T25" i="851"/>
  <c r="S25" i="851"/>
  <c r="R25" i="851"/>
  <c r="Z24" i="851"/>
  <c r="Y24" i="851"/>
  <c r="X24" i="851"/>
  <c r="W24" i="851"/>
  <c r="V24" i="851"/>
  <c r="U24" i="851"/>
  <c r="T24" i="851"/>
  <c r="S24" i="851"/>
  <c r="R24" i="851"/>
  <c r="Z23" i="851"/>
  <c r="Y23" i="851"/>
  <c r="X23" i="851"/>
  <c r="W23" i="851"/>
  <c r="V23" i="851"/>
  <c r="U23" i="851"/>
  <c r="T23" i="851"/>
  <c r="S23" i="851"/>
  <c r="R23" i="851"/>
  <c r="Z22" i="851"/>
  <c r="Y22" i="851"/>
  <c r="X22" i="851"/>
  <c r="W22" i="851"/>
  <c r="V22" i="851"/>
  <c r="U22" i="851"/>
  <c r="T22" i="851"/>
  <c r="S22" i="851"/>
  <c r="R22" i="851"/>
  <c r="Z21" i="851"/>
  <c r="Y21" i="851"/>
  <c r="X21" i="851"/>
  <c r="W21" i="851"/>
  <c r="V21" i="851"/>
  <c r="U21" i="851"/>
  <c r="T21" i="851"/>
  <c r="S21" i="851"/>
  <c r="R21" i="851"/>
  <c r="Z20" i="851"/>
  <c r="Y20" i="851"/>
  <c r="X20" i="851"/>
  <c r="W20" i="851"/>
  <c r="V20" i="851"/>
  <c r="U20" i="851"/>
  <c r="T20" i="851"/>
  <c r="S20" i="851"/>
  <c r="R20" i="851"/>
  <c r="M26" i="850"/>
  <c r="L26" i="850"/>
  <c r="K26" i="850"/>
  <c r="M27" i="850"/>
  <c r="L27" i="850"/>
  <c r="K27" i="850"/>
  <c r="B57" i="850"/>
  <c r="B55" i="850"/>
  <c r="R13" i="850"/>
  <c r="S13" i="850"/>
  <c r="T13" i="850"/>
  <c r="U13" i="850"/>
  <c r="V13" i="850"/>
  <c r="W13" i="850"/>
  <c r="X13" i="850"/>
  <c r="Y13" i="850"/>
  <c r="Z13" i="850"/>
  <c r="R14" i="850"/>
  <c r="S14" i="850"/>
  <c r="T14" i="850"/>
  <c r="U14" i="850"/>
  <c r="V14" i="850"/>
  <c r="W14" i="850"/>
  <c r="X14" i="850"/>
  <c r="Y14" i="850"/>
  <c r="Z14" i="850"/>
  <c r="R15" i="850"/>
  <c r="S15" i="850"/>
  <c r="T15" i="850"/>
  <c r="U15" i="850"/>
  <c r="V15" i="850"/>
  <c r="W15" i="850"/>
  <c r="X15" i="850"/>
  <c r="Y15" i="850"/>
  <c r="Z15" i="850"/>
  <c r="R16" i="850"/>
  <c r="S16" i="850"/>
  <c r="T16" i="850"/>
  <c r="U16" i="850"/>
  <c r="V16" i="850"/>
  <c r="W16" i="850"/>
  <c r="X16" i="850"/>
  <c r="Y16" i="850"/>
  <c r="Z16" i="850"/>
  <c r="R17" i="850"/>
  <c r="S17" i="850"/>
  <c r="T17" i="850"/>
  <c r="U17" i="850"/>
  <c r="V17" i="850"/>
  <c r="W17" i="850"/>
  <c r="X17" i="850"/>
  <c r="Y17" i="850"/>
  <c r="Z17" i="850"/>
  <c r="R18" i="850"/>
  <c r="S18" i="850"/>
  <c r="T18" i="850"/>
  <c r="U18" i="850"/>
  <c r="V18" i="850"/>
  <c r="W18" i="850"/>
  <c r="X18" i="850"/>
  <c r="Y18" i="850"/>
  <c r="Z18" i="850"/>
  <c r="R19" i="850"/>
  <c r="S19" i="850"/>
  <c r="T19" i="850"/>
  <c r="U19" i="850"/>
  <c r="V19" i="850"/>
  <c r="W19" i="850"/>
  <c r="X19" i="850"/>
  <c r="Y19" i="850"/>
  <c r="Z19" i="850"/>
  <c r="R20" i="850"/>
  <c r="S20" i="850"/>
  <c r="T20" i="850"/>
  <c r="U20" i="850"/>
  <c r="V20" i="850"/>
  <c r="W20" i="850"/>
  <c r="X20" i="850"/>
  <c r="Y20" i="850"/>
  <c r="Z20" i="850"/>
  <c r="R21" i="850"/>
  <c r="S21" i="850"/>
  <c r="T21" i="850"/>
  <c r="U21" i="850"/>
  <c r="V21" i="850"/>
  <c r="W21" i="850"/>
  <c r="X21" i="850"/>
  <c r="Y21" i="850"/>
  <c r="Z21" i="850"/>
  <c r="R22" i="850"/>
  <c r="S22" i="850"/>
  <c r="T22" i="850"/>
  <c r="U22" i="850"/>
  <c r="V22" i="850"/>
  <c r="W22" i="850"/>
  <c r="X22" i="850"/>
  <c r="Y22" i="850"/>
  <c r="Z22" i="850"/>
  <c r="R23" i="850"/>
  <c r="S23" i="850"/>
  <c r="T23" i="850"/>
  <c r="U23" i="850"/>
  <c r="V23" i="850"/>
  <c r="W23" i="850"/>
  <c r="X23" i="850"/>
  <c r="Y23" i="850"/>
  <c r="Z23" i="850"/>
  <c r="R24" i="850"/>
  <c r="S24" i="850"/>
  <c r="T24" i="850"/>
  <c r="U24" i="850"/>
  <c r="V24" i="850"/>
  <c r="W24" i="850"/>
  <c r="X24" i="850"/>
  <c r="Y24" i="850"/>
  <c r="Z24" i="850"/>
  <c r="R25" i="850"/>
  <c r="S25" i="850"/>
  <c r="T25" i="850"/>
  <c r="U25" i="850"/>
  <c r="V25" i="850"/>
  <c r="W25" i="850"/>
  <c r="X25" i="850"/>
  <c r="Y25" i="850"/>
  <c r="Z25" i="850"/>
  <c r="R26" i="850"/>
  <c r="S26" i="850"/>
  <c r="T26" i="850"/>
  <c r="U26" i="850"/>
  <c r="V26" i="850"/>
  <c r="W26" i="850"/>
  <c r="X26" i="850"/>
  <c r="Y26" i="850"/>
  <c r="Z26" i="850"/>
  <c r="R27" i="850"/>
  <c r="S27" i="850"/>
  <c r="T27" i="850"/>
  <c r="U27" i="850"/>
  <c r="V27" i="850"/>
  <c r="W27" i="850"/>
  <c r="X27" i="850"/>
  <c r="Y27" i="850"/>
  <c r="Z27" i="850"/>
  <c r="R28" i="850"/>
  <c r="S28" i="850"/>
  <c r="T28" i="850"/>
  <c r="U28" i="850"/>
  <c r="V28" i="850"/>
  <c r="W28" i="850"/>
  <c r="X28" i="850"/>
  <c r="Y28" i="850"/>
  <c r="Z28" i="850"/>
  <c r="R29" i="850"/>
  <c r="S29" i="850"/>
  <c r="T29" i="850"/>
  <c r="U29" i="850"/>
  <c r="V29" i="850"/>
  <c r="W29" i="850"/>
  <c r="X29" i="850"/>
  <c r="Y29" i="850"/>
  <c r="Z29" i="850"/>
  <c r="C12" i="850"/>
  <c r="D12" i="850"/>
  <c r="E12" i="850"/>
  <c r="F12" i="850"/>
  <c r="G12" i="850"/>
  <c r="I12" i="850"/>
  <c r="J12" i="850"/>
  <c r="L12" i="850"/>
  <c r="M12" i="850"/>
  <c r="N12" i="850"/>
  <c r="O12" i="850"/>
  <c r="C13" i="850"/>
  <c r="D13" i="850"/>
  <c r="E13" i="850"/>
  <c r="F13" i="850"/>
  <c r="G13" i="850"/>
  <c r="I13" i="850"/>
  <c r="J13" i="850"/>
  <c r="L13" i="850"/>
  <c r="M13" i="850"/>
  <c r="N13" i="850"/>
  <c r="O13" i="850"/>
  <c r="C10" i="850"/>
  <c r="D10" i="850"/>
  <c r="E10" i="850"/>
  <c r="F10" i="850"/>
  <c r="G10" i="850"/>
  <c r="I10" i="850"/>
  <c r="J10" i="850"/>
  <c r="L10" i="850"/>
  <c r="M10" i="850"/>
  <c r="N10" i="850"/>
  <c r="O10" i="850"/>
  <c r="C11" i="850"/>
  <c r="D11" i="850"/>
  <c r="E11" i="850"/>
  <c r="F11" i="850"/>
  <c r="G11" i="850"/>
  <c r="I11" i="850"/>
  <c r="J11" i="850"/>
  <c r="L11" i="850"/>
  <c r="M11" i="850"/>
  <c r="N11" i="850"/>
  <c r="O11" i="850"/>
  <c r="B26" i="850"/>
  <c r="F69" i="850"/>
  <c r="L59" i="850"/>
  <c r="AX55" i="850"/>
  <c r="AW55" i="850"/>
  <c r="AV55" i="850"/>
  <c r="AU55" i="850"/>
  <c r="AT55" i="850"/>
  <c r="AS55" i="850"/>
  <c r="AR55" i="850"/>
  <c r="AQ55" i="850"/>
  <c r="AP55" i="850"/>
  <c r="AO55" i="850"/>
  <c r="AN55" i="850"/>
  <c r="AM55" i="850"/>
  <c r="AL55" i="850"/>
  <c r="AK55" i="850"/>
  <c r="AJ55" i="850"/>
  <c r="AI55" i="850"/>
  <c r="AH55" i="850"/>
  <c r="AG55" i="850"/>
  <c r="AF55" i="850"/>
  <c r="AE55" i="850"/>
  <c r="AD55" i="850"/>
  <c r="AC55" i="850"/>
  <c r="AB55" i="850"/>
  <c r="L55" i="850"/>
  <c r="D48" i="850"/>
  <c r="Z37" i="850"/>
  <c r="Y37" i="850"/>
  <c r="X37" i="850"/>
  <c r="W37" i="850"/>
  <c r="V37" i="850"/>
  <c r="U37" i="850"/>
  <c r="T37" i="850"/>
  <c r="S37" i="850"/>
  <c r="R37" i="850"/>
  <c r="Z36" i="850"/>
  <c r="Y36" i="850"/>
  <c r="X36" i="850"/>
  <c r="W36" i="850"/>
  <c r="V36" i="850"/>
  <c r="U36" i="850"/>
  <c r="T36" i="850"/>
  <c r="S36" i="850"/>
  <c r="R36" i="850"/>
  <c r="Z35" i="850"/>
  <c r="Y35" i="850"/>
  <c r="X35" i="850"/>
  <c r="W35" i="850"/>
  <c r="V35" i="850"/>
  <c r="U35" i="850"/>
  <c r="T35" i="850"/>
  <c r="S35" i="850"/>
  <c r="R35" i="850"/>
  <c r="M35" i="850"/>
  <c r="Z34" i="850"/>
  <c r="Y34" i="850"/>
  <c r="X34" i="850"/>
  <c r="W34" i="850"/>
  <c r="V34" i="850"/>
  <c r="U34" i="850"/>
  <c r="T34" i="850"/>
  <c r="S34" i="850"/>
  <c r="R34" i="850"/>
  <c r="M34" i="850"/>
  <c r="Z33" i="850"/>
  <c r="Y33" i="850"/>
  <c r="X33" i="850"/>
  <c r="W33" i="850"/>
  <c r="V33" i="850"/>
  <c r="U33" i="850"/>
  <c r="T33" i="850"/>
  <c r="S33" i="850"/>
  <c r="R33" i="850"/>
  <c r="M33" i="850"/>
  <c r="Z32" i="850"/>
  <c r="Y32" i="850"/>
  <c r="X32" i="850"/>
  <c r="W32" i="850"/>
  <c r="V32" i="850"/>
  <c r="U32" i="850"/>
  <c r="T32" i="850"/>
  <c r="S32" i="850"/>
  <c r="R32" i="850"/>
  <c r="M32" i="850"/>
  <c r="Z31" i="850"/>
  <c r="Y31" i="850"/>
  <c r="X31" i="850"/>
  <c r="W31" i="850"/>
  <c r="V31" i="850"/>
  <c r="U31" i="850"/>
  <c r="T31" i="850"/>
  <c r="S31" i="850"/>
  <c r="R31" i="850"/>
  <c r="M31" i="850"/>
  <c r="Z30" i="850"/>
  <c r="Y30" i="850"/>
  <c r="X30" i="850"/>
  <c r="W30" i="850"/>
  <c r="V30" i="850"/>
  <c r="U30" i="850"/>
  <c r="T30" i="850"/>
  <c r="S30" i="850"/>
  <c r="R30" i="850"/>
  <c r="M29" i="850"/>
  <c r="L28" i="850"/>
  <c r="K28" i="850"/>
  <c r="Z12" i="850"/>
  <c r="Y12" i="850"/>
  <c r="X12" i="850"/>
  <c r="W12" i="850"/>
  <c r="V12" i="850"/>
  <c r="U12" i="850"/>
  <c r="T12" i="850"/>
  <c r="S12" i="850"/>
  <c r="R12" i="850"/>
  <c r="Z11" i="850"/>
  <c r="Y11" i="850"/>
  <c r="X11" i="850"/>
  <c r="W11" i="850"/>
  <c r="V11" i="850"/>
  <c r="U11" i="850"/>
  <c r="T11" i="850"/>
  <c r="S11" i="850"/>
  <c r="R11" i="850"/>
  <c r="Z10" i="850"/>
  <c r="Y10" i="850"/>
  <c r="X10" i="850"/>
  <c r="W10" i="850"/>
  <c r="V10" i="850"/>
  <c r="U10" i="850"/>
  <c r="T10" i="850"/>
  <c r="S10" i="850"/>
  <c r="R10" i="850"/>
  <c r="K52" i="849"/>
  <c r="K62" i="849" s="1"/>
  <c r="G52" i="849"/>
  <c r="J27" i="850" l="1"/>
  <c r="K36" i="851"/>
  <c r="L36" i="851" s="1"/>
  <c r="M36" i="851" s="1"/>
  <c r="K50" i="851"/>
  <c r="K41" i="850"/>
  <c r="K50" i="850" s="1"/>
  <c r="K36" i="850"/>
  <c r="L36" i="850" s="1"/>
  <c r="M36" i="850" s="1"/>
  <c r="B52" i="849"/>
  <c r="C23" i="849" a="1"/>
  <c r="C23" i="849" s="1"/>
  <c r="B23" i="849"/>
  <c r="R13" i="849"/>
  <c r="S13" i="849"/>
  <c r="T13" i="849"/>
  <c r="U13" i="849"/>
  <c r="V13" i="849"/>
  <c r="W13" i="849"/>
  <c r="X13" i="849"/>
  <c r="Y13" i="849"/>
  <c r="Z13" i="849"/>
  <c r="R14" i="849"/>
  <c r="S14" i="849"/>
  <c r="T14" i="849"/>
  <c r="U14" i="849"/>
  <c r="V14" i="849"/>
  <c r="W14" i="849"/>
  <c r="X14" i="849"/>
  <c r="Y14" i="849"/>
  <c r="Z14" i="849"/>
  <c r="R15" i="849"/>
  <c r="S15" i="849"/>
  <c r="T15" i="849"/>
  <c r="U15" i="849"/>
  <c r="V15" i="849"/>
  <c r="W15" i="849"/>
  <c r="X15" i="849"/>
  <c r="Y15" i="849"/>
  <c r="Z15" i="849"/>
  <c r="R16" i="849"/>
  <c r="S16" i="849"/>
  <c r="T16" i="849"/>
  <c r="U16" i="849"/>
  <c r="V16" i="849"/>
  <c r="W16" i="849"/>
  <c r="X16" i="849"/>
  <c r="Y16" i="849"/>
  <c r="Z16" i="849"/>
  <c r="R17" i="849"/>
  <c r="S17" i="849"/>
  <c r="T17" i="849"/>
  <c r="U17" i="849"/>
  <c r="V17" i="849"/>
  <c r="W17" i="849"/>
  <c r="X17" i="849"/>
  <c r="Y17" i="849"/>
  <c r="Z17" i="849"/>
  <c r="R18" i="849"/>
  <c r="S18" i="849"/>
  <c r="T18" i="849"/>
  <c r="U18" i="849"/>
  <c r="V18" i="849"/>
  <c r="W18" i="849"/>
  <c r="X18" i="849"/>
  <c r="Y18" i="849"/>
  <c r="Z18" i="849"/>
  <c r="R19" i="849"/>
  <c r="S19" i="849"/>
  <c r="T19" i="849"/>
  <c r="U19" i="849"/>
  <c r="V19" i="849"/>
  <c r="W19" i="849"/>
  <c r="X19" i="849"/>
  <c r="Y19" i="849"/>
  <c r="Z19" i="849"/>
  <c r="R20" i="849"/>
  <c r="S20" i="849"/>
  <c r="T20" i="849"/>
  <c r="U20" i="849"/>
  <c r="V20" i="849"/>
  <c r="W20" i="849"/>
  <c r="X20" i="849"/>
  <c r="Y20" i="849"/>
  <c r="Z20" i="849"/>
  <c r="R21" i="849"/>
  <c r="S21" i="849"/>
  <c r="T21" i="849"/>
  <c r="U21" i="849"/>
  <c r="V21" i="849"/>
  <c r="W21" i="849"/>
  <c r="X21" i="849"/>
  <c r="Y21" i="849"/>
  <c r="Z21" i="849"/>
  <c r="R22" i="849"/>
  <c r="S22" i="849"/>
  <c r="T22" i="849"/>
  <c r="U22" i="849"/>
  <c r="V22" i="849"/>
  <c r="W22" i="849"/>
  <c r="X22" i="849"/>
  <c r="Y22" i="849"/>
  <c r="Z22" i="849"/>
  <c r="R23" i="849"/>
  <c r="S23" i="849"/>
  <c r="T23" i="849"/>
  <c r="U23" i="849"/>
  <c r="V23" i="849"/>
  <c r="W23" i="849"/>
  <c r="X23" i="849"/>
  <c r="Y23" i="849"/>
  <c r="Z23" i="849"/>
  <c r="R24" i="849"/>
  <c r="S24" i="849"/>
  <c r="T24" i="849"/>
  <c r="U24" i="849"/>
  <c r="V24" i="849"/>
  <c r="W24" i="849"/>
  <c r="X24" i="849"/>
  <c r="Y24" i="849"/>
  <c r="Z24" i="849"/>
  <c r="R25" i="849"/>
  <c r="S25" i="849"/>
  <c r="T25" i="849"/>
  <c r="U25" i="849"/>
  <c r="V25" i="849"/>
  <c r="W25" i="849"/>
  <c r="X25" i="849"/>
  <c r="Y25" i="849"/>
  <c r="Z25" i="849"/>
  <c r="R26" i="849"/>
  <c r="S26" i="849"/>
  <c r="T26" i="849"/>
  <c r="U26" i="849"/>
  <c r="V26" i="849"/>
  <c r="W26" i="849"/>
  <c r="X26" i="849"/>
  <c r="Y26" i="849"/>
  <c r="Z26" i="849"/>
  <c r="F66" i="849"/>
  <c r="L56" i="849"/>
  <c r="AX52" i="849"/>
  <c r="AW52" i="849"/>
  <c r="AV52" i="849"/>
  <c r="AU52" i="849"/>
  <c r="AT52" i="849"/>
  <c r="AS52" i="849"/>
  <c r="AR52" i="849"/>
  <c r="AQ52" i="849"/>
  <c r="AP52" i="849"/>
  <c r="AO52" i="849"/>
  <c r="AN52" i="849"/>
  <c r="AM52" i="849"/>
  <c r="AL52" i="849"/>
  <c r="AK52" i="849"/>
  <c r="AJ52" i="849"/>
  <c r="AI52" i="849"/>
  <c r="AH52" i="849"/>
  <c r="AG52" i="849"/>
  <c r="AF52" i="849"/>
  <c r="AE52" i="849"/>
  <c r="AD52" i="849"/>
  <c r="AC52" i="849"/>
  <c r="AB52" i="849"/>
  <c r="D45" i="849"/>
  <c r="K47" i="849"/>
  <c r="L38" i="849"/>
  <c r="M38" i="849" s="1"/>
  <c r="Z34" i="849"/>
  <c r="Y34" i="849"/>
  <c r="X34" i="849"/>
  <c r="W34" i="849"/>
  <c r="V34" i="849"/>
  <c r="U34" i="849"/>
  <c r="T34" i="849"/>
  <c r="S34" i="849"/>
  <c r="R34" i="849"/>
  <c r="Z33" i="849"/>
  <c r="Y33" i="849"/>
  <c r="X33" i="849"/>
  <c r="W33" i="849"/>
  <c r="V33" i="849"/>
  <c r="U33" i="849"/>
  <c r="T33" i="849"/>
  <c r="S33" i="849"/>
  <c r="R33" i="849"/>
  <c r="Z32" i="849"/>
  <c r="Y32" i="849"/>
  <c r="X32" i="849"/>
  <c r="W32" i="849"/>
  <c r="V32" i="849"/>
  <c r="U32" i="849"/>
  <c r="T32" i="849"/>
  <c r="S32" i="849"/>
  <c r="R32" i="849"/>
  <c r="M32" i="849"/>
  <c r="Z31" i="849"/>
  <c r="Y31" i="849"/>
  <c r="X31" i="849"/>
  <c r="W31" i="849"/>
  <c r="V31" i="849"/>
  <c r="U31" i="849"/>
  <c r="T31" i="849"/>
  <c r="S31" i="849"/>
  <c r="R31" i="849"/>
  <c r="M31" i="849"/>
  <c r="Z30" i="849"/>
  <c r="Y30" i="849"/>
  <c r="X30" i="849"/>
  <c r="W30" i="849"/>
  <c r="V30" i="849"/>
  <c r="U30" i="849"/>
  <c r="T30" i="849"/>
  <c r="S30" i="849"/>
  <c r="R30" i="849"/>
  <c r="M30" i="849"/>
  <c r="Z29" i="849"/>
  <c r="Y29" i="849"/>
  <c r="X29" i="849"/>
  <c r="W29" i="849"/>
  <c r="V29" i="849"/>
  <c r="U29" i="849"/>
  <c r="T29" i="849"/>
  <c r="S29" i="849"/>
  <c r="R29" i="849"/>
  <c r="M29" i="849"/>
  <c r="Z28" i="849"/>
  <c r="Y28" i="849"/>
  <c r="X28" i="849"/>
  <c r="W28" i="849"/>
  <c r="V28" i="849"/>
  <c r="U28" i="849"/>
  <c r="T28" i="849"/>
  <c r="S28" i="849"/>
  <c r="R28" i="849"/>
  <c r="M28" i="849"/>
  <c r="Z27" i="849"/>
  <c r="Y27" i="849"/>
  <c r="X27" i="849"/>
  <c r="W27" i="849"/>
  <c r="V27" i="849"/>
  <c r="U27" i="849"/>
  <c r="T27" i="849"/>
  <c r="S27" i="849"/>
  <c r="R27" i="849"/>
  <c r="M26" i="849"/>
  <c r="L25" i="849"/>
  <c r="K25" i="849"/>
  <c r="M24" i="849"/>
  <c r="L24" i="849"/>
  <c r="K24" i="849"/>
  <c r="M23" i="849"/>
  <c r="L23" i="849"/>
  <c r="K23" i="849"/>
  <c r="Z12" i="849"/>
  <c r="Y12" i="849"/>
  <c r="X12" i="849"/>
  <c r="W12" i="849"/>
  <c r="V12" i="849"/>
  <c r="U12" i="849"/>
  <c r="T12" i="849"/>
  <c r="S12" i="849"/>
  <c r="R12" i="849"/>
  <c r="Z11" i="849"/>
  <c r="Y11" i="849"/>
  <c r="X11" i="849"/>
  <c r="W11" i="849"/>
  <c r="V11" i="849"/>
  <c r="U11" i="849"/>
  <c r="T11" i="849"/>
  <c r="S11" i="849"/>
  <c r="R11" i="849"/>
  <c r="Z10" i="849"/>
  <c r="Y10" i="849"/>
  <c r="X10" i="849"/>
  <c r="W10" i="849"/>
  <c r="V10" i="849"/>
  <c r="U10" i="849"/>
  <c r="T10" i="849"/>
  <c r="S10" i="849"/>
  <c r="R10" i="849"/>
  <c r="L38" i="848"/>
  <c r="K39" i="848"/>
  <c r="L25" i="848"/>
  <c r="K25" i="848"/>
  <c r="R15" i="848"/>
  <c r="S15" i="848"/>
  <c r="T15" i="848"/>
  <c r="U15" i="848"/>
  <c r="V15" i="848"/>
  <c r="W15" i="848"/>
  <c r="X15" i="848"/>
  <c r="Y15" i="848"/>
  <c r="Z15" i="848"/>
  <c r="R16" i="848"/>
  <c r="S16" i="848"/>
  <c r="T16" i="848"/>
  <c r="U16" i="848"/>
  <c r="V16" i="848"/>
  <c r="W16" i="848"/>
  <c r="X16" i="848"/>
  <c r="Y16" i="848"/>
  <c r="Z16" i="848"/>
  <c r="R17" i="848"/>
  <c r="S17" i="848"/>
  <c r="T17" i="848"/>
  <c r="U17" i="848"/>
  <c r="V17" i="848"/>
  <c r="W17" i="848"/>
  <c r="X17" i="848"/>
  <c r="Y17" i="848"/>
  <c r="Z17" i="848"/>
  <c r="R18" i="848"/>
  <c r="S18" i="848"/>
  <c r="T18" i="848"/>
  <c r="U18" i="848"/>
  <c r="V18" i="848"/>
  <c r="W18" i="848"/>
  <c r="X18" i="848"/>
  <c r="Y18" i="848"/>
  <c r="Z18" i="848"/>
  <c r="R19" i="848"/>
  <c r="S19" i="848"/>
  <c r="T19" i="848"/>
  <c r="U19" i="848"/>
  <c r="V19" i="848"/>
  <c r="W19" i="848"/>
  <c r="X19" i="848"/>
  <c r="Y19" i="848"/>
  <c r="Z19" i="848"/>
  <c r="R20" i="848"/>
  <c r="S20" i="848"/>
  <c r="T20" i="848"/>
  <c r="U20" i="848"/>
  <c r="V20" i="848"/>
  <c r="W20" i="848"/>
  <c r="X20" i="848"/>
  <c r="Y20" i="848"/>
  <c r="Z20" i="848"/>
  <c r="R21" i="848"/>
  <c r="S21" i="848"/>
  <c r="T21" i="848"/>
  <c r="U21" i="848"/>
  <c r="V21" i="848"/>
  <c r="W21" i="848"/>
  <c r="X21" i="848"/>
  <c r="Y21" i="848"/>
  <c r="Z21" i="848"/>
  <c r="R22" i="848"/>
  <c r="S22" i="848"/>
  <c r="T22" i="848"/>
  <c r="U22" i="848"/>
  <c r="V22" i="848"/>
  <c r="W22" i="848"/>
  <c r="X22" i="848"/>
  <c r="Y22" i="848"/>
  <c r="Z22" i="848"/>
  <c r="C15" i="848"/>
  <c r="D15" i="848"/>
  <c r="E15" i="848"/>
  <c r="F15" i="848"/>
  <c r="G15" i="848"/>
  <c r="I15" i="848"/>
  <c r="J15" i="848"/>
  <c r="L15" i="848"/>
  <c r="M15" i="848"/>
  <c r="N15" i="848"/>
  <c r="O15" i="848"/>
  <c r="C16" i="848"/>
  <c r="D16" i="848"/>
  <c r="E16" i="848"/>
  <c r="F16" i="848"/>
  <c r="G16" i="848"/>
  <c r="I16" i="848"/>
  <c r="J16" i="848"/>
  <c r="L16" i="848"/>
  <c r="M16" i="848"/>
  <c r="N16" i="848"/>
  <c r="O16" i="848"/>
  <c r="C17" i="848"/>
  <c r="D17" i="848"/>
  <c r="E17" i="848"/>
  <c r="F17" i="848"/>
  <c r="G17" i="848"/>
  <c r="I17" i="848"/>
  <c r="J17" i="848"/>
  <c r="L17" i="848"/>
  <c r="M17" i="848"/>
  <c r="N17" i="848"/>
  <c r="O17" i="848"/>
  <c r="C10" i="848"/>
  <c r="D10" i="848"/>
  <c r="E10" i="848"/>
  <c r="F10" i="848"/>
  <c r="G10" i="848"/>
  <c r="I10" i="848"/>
  <c r="J10" i="848"/>
  <c r="L10" i="848"/>
  <c r="M10" i="848"/>
  <c r="N10" i="848"/>
  <c r="O10" i="848"/>
  <c r="C11" i="848"/>
  <c r="D11" i="848"/>
  <c r="E11" i="848"/>
  <c r="F11" i="848"/>
  <c r="G11" i="848"/>
  <c r="I11" i="848"/>
  <c r="J11" i="848"/>
  <c r="L11" i="848"/>
  <c r="M11" i="848"/>
  <c r="N11" i="848"/>
  <c r="O11" i="848"/>
  <c r="C12" i="848"/>
  <c r="D12" i="848"/>
  <c r="E12" i="848"/>
  <c r="F12" i="848"/>
  <c r="G12" i="848"/>
  <c r="I12" i="848"/>
  <c r="J12" i="848"/>
  <c r="L12" i="848"/>
  <c r="M12" i="848"/>
  <c r="N12" i="848"/>
  <c r="O12" i="848"/>
  <c r="C13" i="848"/>
  <c r="D13" i="848"/>
  <c r="E13" i="848"/>
  <c r="F13" i="848"/>
  <c r="G13" i="848"/>
  <c r="I13" i="848"/>
  <c r="J13" i="848"/>
  <c r="L13" i="848"/>
  <c r="M13" i="848"/>
  <c r="N13" i="848"/>
  <c r="O13" i="848"/>
  <c r="C14" i="848"/>
  <c r="D14" i="848"/>
  <c r="E14" i="848"/>
  <c r="F14" i="848"/>
  <c r="G14" i="848"/>
  <c r="I14" i="848"/>
  <c r="J14" i="848"/>
  <c r="L14" i="848"/>
  <c r="M14" i="848"/>
  <c r="N14" i="848"/>
  <c r="O14" i="848"/>
  <c r="L47" i="860" l="1"/>
  <c r="M47" i="860" s="1"/>
  <c r="L43" i="861"/>
  <c r="M43" i="861" s="1"/>
  <c r="L41" i="858"/>
  <c r="M41" i="858" s="1"/>
  <c r="L44" i="859"/>
  <c r="M44" i="859" s="1"/>
  <c r="L40" i="857"/>
  <c r="M40" i="857" s="1"/>
  <c r="L37" i="855"/>
  <c r="M37" i="855" s="1"/>
  <c r="L44" i="856"/>
  <c r="M44" i="856" s="1"/>
  <c r="L41" i="853"/>
  <c r="M41" i="853" s="1"/>
  <c r="L39" i="854"/>
  <c r="M39" i="854" s="1"/>
  <c r="L41" i="850"/>
  <c r="M41" i="850" s="1"/>
  <c r="L37" i="852"/>
  <c r="M37" i="852" s="1"/>
  <c r="L41" i="851"/>
  <c r="M41" i="851" s="1"/>
  <c r="K33" i="849"/>
  <c r="L33" i="849" s="1"/>
  <c r="M33" i="849" s="1"/>
  <c r="J25" i="848"/>
  <c r="F66" i="848"/>
  <c r="L56" i="848"/>
  <c r="AX52" i="848"/>
  <c r="AW52" i="848"/>
  <c r="AV52" i="848"/>
  <c r="AU52" i="848"/>
  <c r="AT52" i="848"/>
  <c r="AS52" i="848"/>
  <c r="AR52" i="848"/>
  <c r="AQ52" i="848"/>
  <c r="AP52" i="848"/>
  <c r="AO52" i="848"/>
  <c r="AN52" i="848"/>
  <c r="AM52" i="848"/>
  <c r="AL52" i="848"/>
  <c r="AK52" i="848"/>
  <c r="AJ52" i="848"/>
  <c r="AI52" i="848"/>
  <c r="AH52" i="848"/>
  <c r="AG52" i="848"/>
  <c r="AF52" i="848"/>
  <c r="AE52" i="848"/>
  <c r="AD52" i="848"/>
  <c r="AC52" i="848"/>
  <c r="AB52" i="848"/>
  <c r="K47" i="848"/>
  <c r="D45" i="848"/>
  <c r="M38" i="848"/>
  <c r="Z34" i="848"/>
  <c r="Y34" i="848"/>
  <c r="X34" i="848"/>
  <c r="W34" i="848"/>
  <c r="V34" i="848"/>
  <c r="U34" i="848"/>
  <c r="T34" i="848"/>
  <c r="S34" i="848"/>
  <c r="R34" i="848"/>
  <c r="Z33" i="848"/>
  <c r="Y33" i="848"/>
  <c r="X33" i="848"/>
  <c r="W33" i="848"/>
  <c r="V33" i="848"/>
  <c r="U33" i="848"/>
  <c r="T33" i="848"/>
  <c r="S33" i="848"/>
  <c r="R33" i="848"/>
  <c r="Z32" i="848"/>
  <c r="Y32" i="848"/>
  <c r="X32" i="848"/>
  <c r="W32" i="848"/>
  <c r="V32" i="848"/>
  <c r="U32" i="848"/>
  <c r="T32" i="848"/>
  <c r="S32" i="848"/>
  <c r="R32" i="848"/>
  <c r="M32" i="848"/>
  <c r="Z31" i="848"/>
  <c r="Y31" i="848"/>
  <c r="X31" i="848"/>
  <c r="W31" i="848"/>
  <c r="V31" i="848"/>
  <c r="U31" i="848"/>
  <c r="T31" i="848"/>
  <c r="S31" i="848"/>
  <c r="R31" i="848"/>
  <c r="M31" i="848"/>
  <c r="Z30" i="848"/>
  <c r="Y30" i="848"/>
  <c r="X30" i="848"/>
  <c r="W30" i="848"/>
  <c r="V30" i="848"/>
  <c r="U30" i="848"/>
  <c r="T30" i="848"/>
  <c r="S30" i="848"/>
  <c r="R30" i="848"/>
  <c r="M30" i="848"/>
  <c r="Z29" i="848"/>
  <c r="Y29" i="848"/>
  <c r="X29" i="848"/>
  <c r="W29" i="848"/>
  <c r="V29" i="848"/>
  <c r="U29" i="848"/>
  <c r="T29" i="848"/>
  <c r="S29" i="848"/>
  <c r="R29" i="848"/>
  <c r="M29" i="848"/>
  <c r="Z28" i="848"/>
  <c r="Y28" i="848"/>
  <c r="X28" i="848"/>
  <c r="W28" i="848"/>
  <c r="V28" i="848"/>
  <c r="U28" i="848"/>
  <c r="T28" i="848"/>
  <c r="S28" i="848"/>
  <c r="R28" i="848"/>
  <c r="M28" i="848"/>
  <c r="Z27" i="848"/>
  <c r="Y27" i="848"/>
  <c r="X27" i="848"/>
  <c r="W27" i="848"/>
  <c r="V27" i="848"/>
  <c r="U27" i="848"/>
  <c r="T27" i="848"/>
  <c r="S27" i="848"/>
  <c r="R27" i="848"/>
  <c r="Z26" i="848"/>
  <c r="Y26" i="848"/>
  <c r="X26" i="848"/>
  <c r="W26" i="848"/>
  <c r="V26" i="848"/>
  <c r="U26" i="848"/>
  <c r="T26" i="848"/>
  <c r="S26" i="848"/>
  <c r="R26" i="848"/>
  <c r="M26" i="848"/>
  <c r="Z25" i="848"/>
  <c r="Y25" i="848"/>
  <c r="X25" i="848"/>
  <c r="W25" i="848"/>
  <c r="V25" i="848"/>
  <c r="U25" i="848"/>
  <c r="T25" i="848"/>
  <c r="S25" i="848"/>
  <c r="R25" i="848"/>
  <c r="Z24" i="848"/>
  <c r="Y24" i="848"/>
  <c r="X24" i="848"/>
  <c r="W24" i="848"/>
  <c r="V24" i="848"/>
  <c r="U24" i="848"/>
  <c r="T24" i="848"/>
  <c r="S24" i="848"/>
  <c r="R24" i="848"/>
  <c r="M24" i="848"/>
  <c r="L24" i="848"/>
  <c r="K24" i="848"/>
  <c r="Z23" i="848"/>
  <c r="Y23" i="848"/>
  <c r="X23" i="848"/>
  <c r="W23" i="848"/>
  <c r="V23" i="848"/>
  <c r="U23" i="848"/>
  <c r="T23" i="848"/>
  <c r="S23" i="848"/>
  <c r="M23" i="848"/>
  <c r="L23" i="848"/>
  <c r="K23" i="848"/>
  <c r="R23" i="848"/>
  <c r="Z14" i="848"/>
  <c r="Y14" i="848"/>
  <c r="X14" i="848"/>
  <c r="W14" i="848"/>
  <c r="V14" i="848"/>
  <c r="U14" i="848"/>
  <c r="T14" i="848"/>
  <c r="S14" i="848"/>
  <c r="R14" i="848"/>
  <c r="Z13" i="848"/>
  <c r="Y13" i="848"/>
  <c r="X13" i="848"/>
  <c r="W13" i="848"/>
  <c r="V13" i="848"/>
  <c r="U13" i="848"/>
  <c r="T13" i="848"/>
  <c r="S13" i="848"/>
  <c r="R13" i="848"/>
  <c r="Z12" i="848"/>
  <c r="Y12" i="848"/>
  <c r="X12" i="848"/>
  <c r="W12" i="848"/>
  <c r="V12" i="848"/>
  <c r="U12" i="848"/>
  <c r="T12" i="848"/>
  <c r="S12" i="848"/>
  <c r="R12" i="848"/>
  <c r="Z11" i="848"/>
  <c r="Y11" i="848"/>
  <c r="X11" i="848"/>
  <c r="W11" i="848"/>
  <c r="V11" i="848"/>
  <c r="U11" i="848"/>
  <c r="T11" i="848"/>
  <c r="S11" i="848"/>
  <c r="R11" i="848"/>
  <c r="Z10" i="848"/>
  <c r="Y10" i="848"/>
  <c r="X10" i="848"/>
  <c r="W10" i="848"/>
  <c r="V10" i="848"/>
  <c r="U10" i="848"/>
  <c r="T10" i="848"/>
  <c r="S10" i="848"/>
  <c r="R10" i="848"/>
  <c r="B54" i="847"/>
  <c r="B25" i="847"/>
  <c r="C25" i="847" a="1"/>
  <c r="C25" i="847" s="1"/>
  <c r="K33" i="848" l="1"/>
  <c r="L33" i="848" s="1"/>
  <c r="M33" i="848" s="1"/>
  <c r="X25" i="847"/>
  <c r="L40" i="847"/>
  <c r="F68" i="847"/>
  <c r="L58" i="847"/>
  <c r="AX54" i="847"/>
  <c r="AW54" i="847"/>
  <c r="AV54" i="847"/>
  <c r="AU54" i="847"/>
  <c r="AT54" i="847"/>
  <c r="AS54" i="847"/>
  <c r="AR54" i="847"/>
  <c r="AQ54" i="847"/>
  <c r="AP54" i="847"/>
  <c r="AO54" i="847"/>
  <c r="AN54" i="847"/>
  <c r="AM54" i="847"/>
  <c r="AL54" i="847"/>
  <c r="AK54" i="847"/>
  <c r="AJ54" i="847"/>
  <c r="AI54" i="847"/>
  <c r="AH54" i="847"/>
  <c r="AG54" i="847"/>
  <c r="AF54" i="847"/>
  <c r="AE54" i="847"/>
  <c r="AD54" i="847"/>
  <c r="AC54" i="847"/>
  <c r="AB54" i="847"/>
  <c r="D47" i="847"/>
  <c r="K49" i="847"/>
  <c r="Z36" i="847"/>
  <c r="Y36" i="847"/>
  <c r="X36" i="847"/>
  <c r="W36" i="847"/>
  <c r="V36" i="847"/>
  <c r="U36" i="847"/>
  <c r="T36" i="847"/>
  <c r="S36" i="847"/>
  <c r="R36" i="847"/>
  <c r="Z35" i="847"/>
  <c r="Y35" i="847"/>
  <c r="X35" i="847"/>
  <c r="W35" i="847"/>
  <c r="V35" i="847"/>
  <c r="U35" i="847"/>
  <c r="T35" i="847"/>
  <c r="S35" i="847"/>
  <c r="R35" i="847"/>
  <c r="Z34" i="847"/>
  <c r="Y34" i="847"/>
  <c r="X34" i="847"/>
  <c r="W34" i="847"/>
  <c r="V34" i="847"/>
  <c r="U34" i="847"/>
  <c r="T34" i="847"/>
  <c r="S34" i="847"/>
  <c r="R34" i="847"/>
  <c r="M34" i="847"/>
  <c r="Z33" i="847"/>
  <c r="Y33" i="847"/>
  <c r="X33" i="847"/>
  <c r="W33" i="847"/>
  <c r="V33" i="847"/>
  <c r="U33" i="847"/>
  <c r="T33" i="847"/>
  <c r="S33" i="847"/>
  <c r="R33" i="847"/>
  <c r="M33" i="847"/>
  <c r="Z32" i="847"/>
  <c r="Y32" i="847"/>
  <c r="X32" i="847"/>
  <c r="W32" i="847"/>
  <c r="V32" i="847"/>
  <c r="U32" i="847"/>
  <c r="T32" i="847"/>
  <c r="S32" i="847"/>
  <c r="R32" i="847"/>
  <c r="M32" i="847"/>
  <c r="Z31" i="847"/>
  <c r="Y31" i="847"/>
  <c r="X31" i="847"/>
  <c r="W31" i="847"/>
  <c r="V31" i="847"/>
  <c r="U31" i="847"/>
  <c r="T31" i="847"/>
  <c r="S31" i="847"/>
  <c r="R31" i="847"/>
  <c r="M31" i="847"/>
  <c r="Z30" i="847"/>
  <c r="Y30" i="847"/>
  <c r="X30" i="847"/>
  <c r="W30" i="847"/>
  <c r="V30" i="847"/>
  <c r="U30" i="847"/>
  <c r="T30" i="847"/>
  <c r="S30" i="847"/>
  <c r="R30" i="847"/>
  <c r="M30" i="847"/>
  <c r="Z29" i="847"/>
  <c r="Y29" i="847"/>
  <c r="X29" i="847"/>
  <c r="W29" i="847"/>
  <c r="V29" i="847"/>
  <c r="U29" i="847"/>
  <c r="T29" i="847"/>
  <c r="S29" i="847"/>
  <c r="R29" i="847"/>
  <c r="Z28" i="847"/>
  <c r="Y28" i="847"/>
  <c r="X28" i="847"/>
  <c r="W28" i="847"/>
  <c r="V28" i="847"/>
  <c r="U28" i="847"/>
  <c r="T28" i="847"/>
  <c r="S28" i="847"/>
  <c r="R28" i="847"/>
  <c r="M28" i="847"/>
  <c r="Z27" i="847"/>
  <c r="Y27" i="847"/>
  <c r="X27" i="847"/>
  <c r="W27" i="847"/>
  <c r="V27" i="847"/>
  <c r="U27" i="847"/>
  <c r="T27" i="847"/>
  <c r="S27" i="847"/>
  <c r="R27" i="847"/>
  <c r="Z26" i="847"/>
  <c r="Y26" i="847"/>
  <c r="X26" i="847"/>
  <c r="W26" i="847"/>
  <c r="V26" i="847"/>
  <c r="U26" i="847"/>
  <c r="T26" i="847"/>
  <c r="S26" i="847"/>
  <c r="R26" i="847"/>
  <c r="M26" i="847"/>
  <c r="L26" i="847"/>
  <c r="K26" i="847"/>
  <c r="V25" i="847"/>
  <c r="U25" i="847"/>
  <c r="T25" i="847"/>
  <c r="S25" i="847"/>
  <c r="R25" i="847"/>
  <c r="M25" i="847"/>
  <c r="L25" i="847"/>
  <c r="K25" i="847"/>
  <c r="Z24" i="847"/>
  <c r="Y24" i="847"/>
  <c r="X24" i="847"/>
  <c r="W24" i="847"/>
  <c r="V24" i="847"/>
  <c r="U24" i="847"/>
  <c r="T24" i="847"/>
  <c r="S24" i="847"/>
  <c r="R24" i="847"/>
  <c r="Z23" i="847"/>
  <c r="Y23" i="847"/>
  <c r="X23" i="847"/>
  <c r="W23" i="847"/>
  <c r="V23" i="847"/>
  <c r="U23" i="847"/>
  <c r="T23" i="847"/>
  <c r="S23" i="847"/>
  <c r="R23" i="847"/>
  <c r="Z22" i="847"/>
  <c r="Y22" i="847"/>
  <c r="X22" i="847"/>
  <c r="W22" i="847"/>
  <c r="V22" i="847"/>
  <c r="U22" i="847"/>
  <c r="T22" i="847"/>
  <c r="S22" i="847"/>
  <c r="R22" i="847"/>
  <c r="Z21" i="847"/>
  <c r="Y21" i="847"/>
  <c r="X21" i="847"/>
  <c r="W21" i="847"/>
  <c r="V21" i="847"/>
  <c r="U21" i="847"/>
  <c r="T21" i="847"/>
  <c r="S21" i="847"/>
  <c r="R21" i="847"/>
  <c r="Z20" i="847"/>
  <c r="Y20" i="847"/>
  <c r="X20" i="847"/>
  <c r="W20" i="847"/>
  <c r="V20" i="847"/>
  <c r="U20" i="847"/>
  <c r="T20" i="847"/>
  <c r="S20" i="847"/>
  <c r="R20" i="847"/>
  <c r="Z19" i="847"/>
  <c r="Y19" i="847"/>
  <c r="X19" i="847"/>
  <c r="W19" i="847"/>
  <c r="V19" i="847"/>
  <c r="U19" i="847"/>
  <c r="T19" i="847"/>
  <c r="S19" i="847"/>
  <c r="R19" i="847"/>
  <c r="Z18" i="847"/>
  <c r="Y18" i="847"/>
  <c r="X18" i="847"/>
  <c r="W18" i="847"/>
  <c r="V18" i="847"/>
  <c r="U18" i="847"/>
  <c r="T18" i="847"/>
  <c r="S18" i="847"/>
  <c r="R18" i="847"/>
  <c r="Z17" i="847"/>
  <c r="Y17" i="847"/>
  <c r="X17" i="847"/>
  <c r="W17" i="847"/>
  <c r="V17" i="847"/>
  <c r="U17" i="847"/>
  <c r="T17" i="847"/>
  <c r="S17" i="847"/>
  <c r="R17" i="847"/>
  <c r="Z16" i="847"/>
  <c r="Y16" i="847"/>
  <c r="X16" i="847"/>
  <c r="W16" i="847"/>
  <c r="V16" i="847"/>
  <c r="U16" i="847"/>
  <c r="T16" i="847"/>
  <c r="S16" i="847"/>
  <c r="R16" i="847"/>
  <c r="Z15" i="847"/>
  <c r="Y15" i="847"/>
  <c r="X15" i="847"/>
  <c r="W15" i="847"/>
  <c r="V15" i="847"/>
  <c r="U15" i="847"/>
  <c r="T15" i="847"/>
  <c r="S15" i="847"/>
  <c r="R15" i="847"/>
  <c r="Z14" i="847"/>
  <c r="Y14" i="847"/>
  <c r="X14" i="847"/>
  <c r="W14" i="847"/>
  <c r="V14" i="847"/>
  <c r="U14" i="847"/>
  <c r="T14" i="847"/>
  <c r="S14" i="847"/>
  <c r="R14" i="847"/>
  <c r="Z13" i="847"/>
  <c r="Y13" i="847"/>
  <c r="X13" i="847"/>
  <c r="W13" i="847"/>
  <c r="V13" i="847"/>
  <c r="U13" i="847"/>
  <c r="T13" i="847"/>
  <c r="S13" i="847"/>
  <c r="R13" i="847"/>
  <c r="Z12" i="847"/>
  <c r="Y12" i="847"/>
  <c r="X12" i="847"/>
  <c r="W12" i="847"/>
  <c r="V12" i="847"/>
  <c r="U12" i="847"/>
  <c r="T12" i="847"/>
  <c r="S12" i="847"/>
  <c r="R12" i="847"/>
  <c r="Z11" i="847"/>
  <c r="Y11" i="847"/>
  <c r="X11" i="847"/>
  <c r="W11" i="847"/>
  <c r="V11" i="847"/>
  <c r="U11" i="847"/>
  <c r="T11" i="847"/>
  <c r="S11" i="847"/>
  <c r="R11" i="847"/>
  <c r="Z10" i="847"/>
  <c r="Y10" i="847"/>
  <c r="X10" i="847"/>
  <c r="W10" i="847"/>
  <c r="V10" i="847"/>
  <c r="U10" i="847"/>
  <c r="T10" i="847"/>
  <c r="S10" i="847"/>
  <c r="R10" i="847"/>
  <c r="K39" i="846"/>
  <c r="K25" i="846"/>
  <c r="K35" i="847" l="1"/>
  <c r="L35" i="847" s="1"/>
  <c r="M35" i="847" s="1"/>
  <c r="Y25" i="847"/>
  <c r="Z25" i="847"/>
  <c r="W25" i="847"/>
  <c r="M40" i="847"/>
  <c r="R10" i="846"/>
  <c r="S10" i="846"/>
  <c r="T10" i="846"/>
  <c r="U10" i="846"/>
  <c r="V10" i="846"/>
  <c r="W10" i="846"/>
  <c r="X10" i="846"/>
  <c r="Y10" i="846"/>
  <c r="Z10" i="846"/>
  <c r="R11" i="846"/>
  <c r="S11" i="846"/>
  <c r="T11" i="846"/>
  <c r="U11" i="846"/>
  <c r="V11" i="846"/>
  <c r="W11" i="846"/>
  <c r="X11" i="846"/>
  <c r="Y11" i="846"/>
  <c r="Z11" i="846"/>
  <c r="C10" i="846"/>
  <c r="D10" i="846"/>
  <c r="E10" i="846"/>
  <c r="F10" i="846"/>
  <c r="G10" i="846"/>
  <c r="L10" i="846"/>
  <c r="M10" i="846"/>
  <c r="O10" i="846"/>
  <c r="C11" i="846"/>
  <c r="D11" i="846"/>
  <c r="E11" i="846"/>
  <c r="F11" i="846"/>
  <c r="G11" i="846"/>
  <c r="L11" i="846"/>
  <c r="M11" i="846"/>
  <c r="O11" i="846"/>
  <c r="C12" i="846"/>
  <c r="D12" i="846"/>
  <c r="E12" i="846"/>
  <c r="F12" i="846"/>
  <c r="G12" i="846"/>
  <c r="L12" i="846"/>
  <c r="M12" i="846"/>
  <c r="O12" i="846"/>
  <c r="C13" i="846"/>
  <c r="D13" i="846"/>
  <c r="E13" i="846"/>
  <c r="F13" i="846"/>
  <c r="G13" i="846"/>
  <c r="L13" i="846"/>
  <c r="M13" i="846"/>
  <c r="O13" i="846"/>
  <c r="C14" i="846"/>
  <c r="D14" i="846"/>
  <c r="E14" i="846"/>
  <c r="F14" i="846"/>
  <c r="G14" i="846"/>
  <c r="L14" i="846"/>
  <c r="M14" i="846"/>
  <c r="O14" i="846"/>
  <c r="C15" i="846"/>
  <c r="D15" i="846"/>
  <c r="E15" i="846"/>
  <c r="F15" i="846"/>
  <c r="G15" i="846"/>
  <c r="L15" i="846"/>
  <c r="M15" i="846"/>
  <c r="O15" i="846"/>
  <c r="F68" i="846"/>
  <c r="L58" i="846"/>
  <c r="AX54" i="846"/>
  <c r="AW54" i="846"/>
  <c r="AV54" i="846"/>
  <c r="AU54" i="846"/>
  <c r="AT54" i="846"/>
  <c r="AS54" i="846"/>
  <c r="AR54" i="846"/>
  <c r="AQ54" i="846"/>
  <c r="AP54" i="846"/>
  <c r="AO54" i="846"/>
  <c r="AN54" i="846"/>
  <c r="AM54" i="846"/>
  <c r="AL54" i="846"/>
  <c r="AK54" i="846"/>
  <c r="AJ54" i="846"/>
  <c r="AI54" i="846"/>
  <c r="AH54" i="846"/>
  <c r="AG54" i="846"/>
  <c r="AF54" i="846"/>
  <c r="AE54" i="846"/>
  <c r="AD54" i="846"/>
  <c r="AC54" i="846"/>
  <c r="AB54" i="846"/>
  <c r="D47" i="846"/>
  <c r="K49" i="846"/>
  <c r="Z36" i="846"/>
  <c r="Y36" i="846"/>
  <c r="X36" i="846"/>
  <c r="W36" i="846"/>
  <c r="V36" i="846"/>
  <c r="U36" i="846"/>
  <c r="T36" i="846"/>
  <c r="S36" i="846"/>
  <c r="R36" i="846"/>
  <c r="Z35" i="846"/>
  <c r="Y35" i="846"/>
  <c r="X35" i="846"/>
  <c r="W35" i="846"/>
  <c r="V35" i="846"/>
  <c r="U35" i="846"/>
  <c r="T35" i="846"/>
  <c r="S35" i="846"/>
  <c r="R35" i="846"/>
  <c r="Z34" i="846"/>
  <c r="Y34" i="846"/>
  <c r="X34" i="846"/>
  <c r="W34" i="846"/>
  <c r="V34" i="846"/>
  <c r="U34" i="846"/>
  <c r="T34" i="846"/>
  <c r="S34" i="846"/>
  <c r="R34" i="846"/>
  <c r="M34" i="846"/>
  <c r="Z33" i="846"/>
  <c r="Y33" i="846"/>
  <c r="X33" i="846"/>
  <c r="W33" i="846"/>
  <c r="V33" i="846"/>
  <c r="U33" i="846"/>
  <c r="T33" i="846"/>
  <c r="S33" i="846"/>
  <c r="R33" i="846"/>
  <c r="M33" i="846"/>
  <c r="Z32" i="846"/>
  <c r="Y32" i="846"/>
  <c r="X32" i="846"/>
  <c r="W32" i="846"/>
  <c r="V32" i="846"/>
  <c r="U32" i="846"/>
  <c r="T32" i="846"/>
  <c r="S32" i="846"/>
  <c r="R32" i="846"/>
  <c r="M32" i="846"/>
  <c r="Z31" i="846"/>
  <c r="Y31" i="846"/>
  <c r="X31" i="846"/>
  <c r="W31" i="846"/>
  <c r="V31" i="846"/>
  <c r="U31" i="846"/>
  <c r="T31" i="846"/>
  <c r="S31" i="846"/>
  <c r="R31" i="846"/>
  <c r="M31" i="846"/>
  <c r="Z30" i="846"/>
  <c r="Y30" i="846"/>
  <c r="X30" i="846"/>
  <c r="W30" i="846"/>
  <c r="V30" i="846"/>
  <c r="U30" i="846"/>
  <c r="T30" i="846"/>
  <c r="S30" i="846"/>
  <c r="R30" i="846"/>
  <c r="M30" i="846"/>
  <c r="Z29" i="846"/>
  <c r="Y29" i="846"/>
  <c r="X29" i="846"/>
  <c r="W29" i="846"/>
  <c r="V29" i="846"/>
  <c r="U29" i="846"/>
  <c r="T29" i="846"/>
  <c r="S29" i="846"/>
  <c r="R29" i="846"/>
  <c r="Z28" i="846"/>
  <c r="Y28" i="846"/>
  <c r="X28" i="846"/>
  <c r="W28" i="846"/>
  <c r="V28" i="846"/>
  <c r="U28" i="846"/>
  <c r="T28" i="846"/>
  <c r="S28" i="846"/>
  <c r="R28" i="846"/>
  <c r="M28" i="846"/>
  <c r="Z27" i="846"/>
  <c r="Y27" i="846"/>
  <c r="X27" i="846"/>
  <c r="W27" i="846"/>
  <c r="V27" i="846"/>
  <c r="U27" i="846"/>
  <c r="T27" i="846"/>
  <c r="S27" i="846"/>
  <c r="R27" i="846"/>
  <c r="Z26" i="846"/>
  <c r="Y26" i="846"/>
  <c r="X26" i="846"/>
  <c r="W26" i="846"/>
  <c r="V26" i="846"/>
  <c r="U26" i="846"/>
  <c r="T26" i="846"/>
  <c r="S26" i="846"/>
  <c r="R26" i="846"/>
  <c r="M26" i="846"/>
  <c r="L26" i="846"/>
  <c r="K26" i="846"/>
  <c r="K35" i="846" s="1"/>
  <c r="Z25" i="846"/>
  <c r="S25" i="846"/>
  <c r="U25" i="846"/>
  <c r="Z24" i="846"/>
  <c r="Y24" i="846"/>
  <c r="X24" i="846"/>
  <c r="W24" i="846"/>
  <c r="V24" i="846"/>
  <c r="U24" i="846"/>
  <c r="T24" i="846"/>
  <c r="S24" i="846"/>
  <c r="R24" i="846"/>
  <c r="Z23" i="846"/>
  <c r="Y23" i="846"/>
  <c r="X23" i="846"/>
  <c r="W23" i="846"/>
  <c r="V23" i="846"/>
  <c r="U23" i="846"/>
  <c r="T23" i="846"/>
  <c r="S23" i="846"/>
  <c r="R23" i="846"/>
  <c r="Z22" i="846"/>
  <c r="Y22" i="846"/>
  <c r="X22" i="846"/>
  <c r="W22" i="846"/>
  <c r="V22" i="846"/>
  <c r="U22" i="846"/>
  <c r="T22" i="846"/>
  <c r="S22" i="846"/>
  <c r="R22" i="846"/>
  <c r="Z21" i="846"/>
  <c r="Y21" i="846"/>
  <c r="X21" i="846"/>
  <c r="W21" i="846"/>
  <c r="V21" i="846"/>
  <c r="U21" i="846"/>
  <c r="T21" i="846"/>
  <c r="S21" i="846"/>
  <c r="R21" i="846"/>
  <c r="Z20" i="846"/>
  <c r="Y20" i="846"/>
  <c r="X20" i="846"/>
  <c r="W20" i="846"/>
  <c r="V20" i="846"/>
  <c r="U20" i="846"/>
  <c r="T20" i="846"/>
  <c r="S20" i="846"/>
  <c r="R20" i="846"/>
  <c r="Z19" i="846"/>
  <c r="Y19" i="846"/>
  <c r="X19" i="846"/>
  <c r="W19" i="846"/>
  <c r="V19" i="846"/>
  <c r="U19" i="846"/>
  <c r="T19" i="846"/>
  <c r="S19" i="846"/>
  <c r="R19" i="846"/>
  <c r="Z18" i="846"/>
  <c r="Y18" i="846"/>
  <c r="X18" i="846"/>
  <c r="W18" i="846"/>
  <c r="V18" i="846"/>
  <c r="U18" i="846"/>
  <c r="T18" i="846"/>
  <c r="S18" i="846"/>
  <c r="R18" i="846"/>
  <c r="Z17" i="846"/>
  <c r="Y17" i="846"/>
  <c r="X17" i="846"/>
  <c r="W17" i="846"/>
  <c r="V17" i="846"/>
  <c r="U17" i="846"/>
  <c r="T17" i="846"/>
  <c r="S17" i="846"/>
  <c r="R17" i="846"/>
  <c r="Z16" i="846"/>
  <c r="Y16" i="846"/>
  <c r="X16" i="846"/>
  <c r="W16" i="846"/>
  <c r="V16" i="846"/>
  <c r="U16" i="846"/>
  <c r="T16" i="846"/>
  <c r="S16" i="846"/>
  <c r="R16" i="846"/>
  <c r="Z15" i="846"/>
  <c r="Y15" i="846"/>
  <c r="X15" i="846"/>
  <c r="W15" i="846"/>
  <c r="V15" i="846"/>
  <c r="U15" i="846"/>
  <c r="T15" i="846"/>
  <c r="S15" i="846"/>
  <c r="R15" i="846"/>
  <c r="Z14" i="846"/>
  <c r="Y14" i="846"/>
  <c r="X14" i="846"/>
  <c r="W14" i="846"/>
  <c r="V14" i="846"/>
  <c r="U14" i="846"/>
  <c r="T14" i="846"/>
  <c r="S14" i="846"/>
  <c r="R14" i="846"/>
  <c r="Z13" i="846"/>
  <c r="Y13" i="846"/>
  <c r="X13" i="846"/>
  <c r="W13" i="846"/>
  <c r="V13" i="846"/>
  <c r="U13" i="846"/>
  <c r="T13" i="846"/>
  <c r="S13" i="846"/>
  <c r="R13" i="846"/>
  <c r="Z12" i="846"/>
  <c r="Y12" i="846"/>
  <c r="X12" i="846"/>
  <c r="W12" i="846"/>
  <c r="V12" i="846"/>
  <c r="U12" i="846"/>
  <c r="T12" i="846"/>
  <c r="S12" i="846"/>
  <c r="R12" i="846"/>
  <c r="K53" i="845"/>
  <c r="K64" i="845" s="1"/>
  <c r="G53" i="845"/>
  <c r="K39" i="845"/>
  <c r="M25" i="845"/>
  <c r="L25" i="845"/>
  <c r="K25" i="845"/>
  <c r="C17" i="845"/>
  <c r="D17" i="845"/>
  <c r="E17" i="845"/>
  <c r="F17" i="845"/>
  <c r="G17" i="845"/>
  <c r="I17" i="845"/>
  <c r="J17" i="845"/>
  <c r="L17" i="845"/>
  <c r="M17" i="845"/>
  <c r="N17" i="845"/>
  <c r="O17" i="845"/>
  <c r="C18" i="845"/>
  <c r="D18" i="845"/>
  <c r="E18" i="845"/>
  <c r="F18" i="845"/>
  <c r="G18" i="845"/>
  <c r="I18" i="845"/>
  <c r="J18" i="845"/>
  <c r="L18" i="845"/>
  <c r="M18" i="845"/>
  <c r="N18" i="845"/>
  <c r="O18" i="845"/>
  <c r="C19" i="845"/>
  <c r="D19" i="845"/>
  <c r="E19" i="845"/>
  <c r="F19" i="845"/>
  <c r="G19" i="845"/>
  <c r="I19" i="845"/>
  <c r="J19" i="845"/>
  <c r="L19" i="845"/>
  <c r="M19" i="845"/>
  <c r="N19" i="845"/>
  <c r="O19" i="845"/>
  <c r="C20" i="845"/>
  <c r="D20" i="845"/>
  <c r="E20" i="845"/>
  <c r="F20" i="845"/>
  <c r="G20" i="845"/>
  <c r="I20" i="845"/>
  <c r="J20" i="845"/>
  <c r="L20" i="845"/>
  <c r="M20" i="845"/>
  <c r="N20" i="845"/>
  <c r="O20" i="845"/>
  <c r="C24" i="845" a="1"/>
  <c r="C24" i="845" s="1"/>
  <c r="B53" i="845"/>
  <c r="B24" i="845"/>
  <c r="R10" i="845"/>
  <c r="S10" i="845"/>
  <c r="T10" i="845"/>
  <c r="U10" i="845"/>
  <c r="V10" i="845"/>
  <c r="W10" i="845"/>
  <c r="X10" i="845"/>
  <c r="Y10" i="845"/>
  <c r="Z10" i="845"/>
  <c r="R11" i="845"/>
  <c r="S11" i="845"/>
  <c r="T11" i="845"/>
  <c r="U11" i="845"/>
  <c r="V11" i="845"/>
  <c r="W11" i="845"/>
  <c r="X11" i="845"/>
  <c r="Y11" i="845"/>
  <c r="Z11" i="845"/>
  <c r="R12" i="845"/>
  <c r="S12" i="845"/>
  <c r="T12" i="845"/>
  <c r="U12" i="845"/>
  <c r="V12" i="845"/>
  <c r="W12" i="845"/>
  <c r="X12" i="845"/>
  <c r="Y12" i="845"/>
  <c r="Z12" i="845"/>
  <c r="R13" i="845"/>
  <c r="S13" i="845"/>
  <c r="T13" i="845"/>
  <c r="U13" i="845"/>
  <c r="V13" i="845"/>
  <c r="W13" i="845"/>
  <c r="X13" i="845"/>
  <c r="Y13" i="845"/>
  <c r="Z13" i="845"/>
  <c r="R14" i="845"/>
  <c r="S14" i="845"/>
  <c r="T14" i="845"/>
  <c r="U14" i="845"/>
  <c r="V14" i="845"/>
  <c r="W14" i="845"/>
  <c r="X14" i="845"/>
  <c r="Y14" i="845"/>
  <c r="Z14" i="845"/>
  <c r="R15" i="845"/>
  <c r="S15" i="845"/>
  <c r="T15" i="845"/>
  <c r="U15" i="845"/>
  <c r="V15" i="845"/>
  <c r="W15" i="845"/>
  <c r="X15" i="845"/>
  <c r="Y15" i="845"/>
  <c r="Z15" i="845"/>
  <c r="R16" i="845"/>
  <c r="S16" i="845"/>
  <c r="T16" i="845"/>
  <c r="U16" i="845"/>
  <c r="V16" i="845"/>
  <c r="W16" i="845"/>
  <c r="X16" i="845"/>
  <c r="Y16" i="845"/>
  <c r="Z16" i="845"/>
  <c r="R17" i="845"/>
  <c r="S17" i="845"/>
  <c r="T17" i="845"/>
  <c r="U17" i="845"/>
  <c r="V17" i="845"/>
  <c r="W17" i="845"/>
  <c r="X17" i="845"/>
  <c r="Y17" i="845"/>
  <c r="Z17" i="845"/>
  <c r="I10" i="845"/>
  <c r="J10" i="845"/>
  <c r="L10" i="845"/>
  <c r="M10" i="845"/>
  <c r="N10" i="845"/>
  <c r="O10" i="845"/>
  <c r="I11" i="845"/>
  <c r="J11" i="845"/>
  <c r="L11" i="845"/>
  <c r="M11" i="845"/>
  <c r="N11" i="845"/>
  <c r="O11" i="845"/>
  <c r="I12" i="845"/>
  <c r="J12" i="845"/>
  <c r="L12" i="845"/>
  <c r="M12" i="845"/>
  <c r="N12" i="845"/>
  <c r="O12" i="845"/>
  <c r="I13" i="845"/>
  <c r="J13" i="845"/>
  <c r="L13" i="845"/>
  <c r="M13" i="845"/>
  <c r="N13" i="845"/>
  <c r="O13" i="845"/>
  <c r="I14" i="845"/>
  <c r="J14" i="845"/>
  <c r="L14" i="845"/>
  <c r="M14" i="845"/>
  <c r="N14" i="845"/>
  <c r="O14" i="845"/>
  <c r="I15" i="845"/>
  <c r="J15" i="845"/>
  <c r="L15" i="845"/>
  <c r="M15" i="845"/>
  <c r="N15" i="845"/>
  <c r="O15" i="845"/>
  <c r="I16" i="845"/>
  <c r="J16" i="845"/>
  <c r="L16" i="845"/>
  <c r="M16" i="845"/>
  <c r="N16" i="845"/>
  <c r="O16" i="845"/>
  <c r="C16" i="845"/>
  <c r="D16" i="845"/>
  <c r="E16" i="845"/>
  <c r="F16" i="845"/>
  <c r="G16" i="845"/>
  <c r="C10" i="845"/>
  <c r="D10" i="845"/>
  <c r="E10" i="845"/>
  <c r="F10" i="845"/>
  <c r="G10" i="845"/>
  <c r="C11" i="845"/>
  <c r="D11" i="845"/>
  <c r="E11" i="845"/>
  <c r="F11" i="845"/>
  <c r="G11" i="845"/>
  <c r="C12" i="845"/>
  <c r="D12" i="845"/>
  <c r="E12" i="845"/>
  <c r="F12" i="845"/>
  <c r="G12" i="845"/>
  <c r="C13" i="845"/>
  <c r="D13" i="845"/>
  <c r="E13" i="845"/>
  <c r="F13" i="845"/>
  <c r="G13" i="845"/>
  <c r="C14" i="845"/>
  <c r="D14" i="845"/>
  <c r="E14" i="845"/>
  <c r="F14" i="845"/>
  <c r="G14" i="845"/>
  <c r="C15" i="845"/>
  <c r="D15" i="845"/>
  <c r="E15" i="845"/>
  <c r="F15" i="845"/>
  <c r="G15" i="845"/>
  <c r="F67" i="845"/>
  <c r="L57" i="845"/>
  <c r="AX53" i="845"/>
  <c r="AW53" i="845"/>
  <c r="AV53" i="845"/>
  <c r="AU53" i="845"/>
  <c r="AT53" i="845"/>
  <c r="AS53" i="845"/>
  <c r="AR53" i="845"/>
  <c r="AQ53" i="845"/>
  <c r="AP53" i="845"/>
  <c r="AO53" i="845"/>
  <c r="AN53" i="845"/>
  <c r="AM53" i="845"/>
  <c r="AL53" i="845"/>
  <c r="AK53" i="845"/>
  <c r="AJ53" i="845"/>
  <c r="AI53" i="845"/>
  <c r="AH53" i="845"/>
  <c r="AG53" i="845"/>
  <c r="AF53" i="845"/>
  <c r="AE53" i="845"/>
  <c r="AD53" i="845"/>
  <c r="AC53" i="845"/>
  <c r="AB53" i="845"/>
  <c r="K48" i="845"/>
  <c r="L39" i="845" s="1"/>
  <c r="M39" i="845" s="1"/>
  <c r="D46" i="845"/>
  <c r="Z35" i="845"/>
  <c r="Y35" i="845"/>
  <c r="X35" i="845"/>
  <c r="W35" i="845"/>
  <c r="V35" i="845"/>
  <c r="U35" i="845"/>
  <c r="T35" i="845"/>
  <c r="S35" i="845"/>
  <c r="R35" i="845"/>
  <c r="Z34" i="845"/>
  <c r="Y34" i="845"/>
  <c r="X34" i="845"/>
  <c r="W34" i="845"/>
  <c r="V34" i="845"/>
  <c r="U34" i="845"/>
  <c r="T34" i="845"/>
  <c r="S34" i="845"/>
  <c r="R34" i="845"/>
  <c r="Z33" i="845"/>
  <c r="Y33" i="845"/>
  <c r="X33" i="845"/>
  <c r="W33" i="845"/>
  <c r="V33" i="845"/>
  <c r="U33" i="845"/>
  <c r="T33" i="845"/>
  <c r="S33" i="845"/>
  <c r="R33" i="845"/>
  <c r="M33" i="845"/>
  <c r="Z32" i="845"/>
  <c r="Y32" i="845"/>
  <c r="X32" i="845"/>
  <c r="W32" i="845"/>
  <c r="V32" i="845"/>
  <c r="U32" i="845"/>
  <c r="T32" i="845"/>
  <c r="S32" i="845"/>
  <c r="R32" i="845"/>
  <c r="M32" i="845"/>
  <c r="Z31" i="845"/>
  <c r="Y31" i="845"/>
  <c r="X31" i="845"/>
  <c r="W31" i="845"/>
  <c r="V31" i="845"/>
  <c r="U31" i="845"/>
  <c r="T31" i="845"/>
  <c r="S31" i="845"/>
  <c r="R31" i="845"/>
  <c r="M31" i="845"/>
  <c r="Z30" i="845"/>
  <c r="Y30" i="845"/>
  <c r="X30" i="845"/>
  <c r="W30" i="845"/>
  <c r="V30" i="845"/>
  <c r="U30" i="845"/>
  <c r="T30" i="845"/>
  <c r="S30" i="845"/>
  <c r="R30" i="845"/>
  <c r="M30" i="845"/>
  <c r="Z29" i="845"/>
  <c r="Y29" i="845"/>
  <c r="X29" i="845"/>
  <c r="W29" i="845"/>
  <c r="V29" i="845"/>
  <c r="U29" i="845"/>
  <c r="T29" i="845"/>
  <c r="S29" i="845"/>
  <c r="R29" i="845"/>
  <c r="M29" i="845"/>
  <c r="Z28" i="845"/>
  <c r="Y28" i="845"/>
  <c r="X28" i="845"/>
  <c r="W28" i="845"/>
  <c r="V28" i="845"/>
  <c r="U28" i="845"/>
  <c r="T28" i="845"/>
  <c r="S28" i="845"/>
  <c r="R28" i="845"/>
  <c r="Z27" i="845"/>
  <c r="Y27" i="845"/>
  <c r="X27" i="845"/>
  <c r="W27" i="845"/>
  <c r="V27" i="845"/>
  <c r="U27" i="845"/>
  <c r="T27" i="845"/>
  <c r="S27" i="845"/>
  <c r="R27" i="845"/>
  <c r="M27" i="845"/>
  <c r="Z26" i="845"/>
  <c r="Y26" i="845"/>
  <c r="X26" i="845"/>
  <c r="W26" i="845"/>
  <c r="V26" i="845"/>
  <c r="U26" i="845"/>
  <c r="T26" i="845"/>
  <c r="S26" i="845"/>
  <c r="R26" i="845"/>
  <c r="Z25" i="845"/>
  <c r="Y25" i="845"/>
  <c r="X25" i="845"/>
  <c r="W25" i="845"/>
  <c r="V25" i="845"/>
  <c r="U25" i="845"/>
  <c r="T25" i="845"/>
  <c r="S25" i="845"/>
  <c r="R25" i="845"/>
  <c r="M24" i="845"/>
  <c r="L24" i="845"/>
  <c r="K24" i="845"/>
  <c r="Z24" i="845"/>
  <c r="Z23" i="845"/>
  <c r="Y23" i="845"/>
  <c r="X23" i="845"/>
  <c r="W23" i="845"/>
  <c r="V23" i="845"/>
  <c r="U23" i="845"/>
  <c r="T23" i="845"/>
  <c r="S23" i="845"/>
  <c r="R23" i="845"/>
  <c r="Z22" i="845"/>
  <c r="Y22" i="845"/>
  <c r="X22" i="845"/>
  <c r="W22" i="845"/>
  <c r="V22" i="845"/>
  <c r="U22" i="845"/>
  <c r="T22" i="845"/>
  <c r="S22" i="845"/>
  <c r="R22" i="845"/>
  <c r="Z21" i="845"/>
  <c r="Y21" i="845"/>
  <c r="X21" i="845"/>
  <c r="W21" i="845"/>
  <c r="V21" i="845"/>
  <c r="U21" i="845"/>
  <c r="T21" i="845"/>
  <c r="S21" i="845"/>
  <c r="R21" i="845"/>
  <c r="Z20" i="845"/>
  <c r="Y20" i="845"/>
  <c r="X20" i="845"/>
  <c r="W20" i="845"/>
  <c r="V20" i="845"/>
  <c r="U20" i="845"/>
  <c r="T20" i="845"/>
  <c r="S20" i="845"/>
  <c r="R20" i="845"/>
  <c r="Z19" i="845"/>
  <c r="Y19" i="845"/>
  <c r="X19" i="845"/>
  <c r="W19" i="845"/>
  <c r="V19" i="845"/>
  <c r="U19" i="845"/>
  <c r="T19" i="845"/>
  <c r="S19" i="845"/>
  <c r="R19" i="845"/>
  <c r="Z18" i="845"/>
  <c r="Y18" i="845"/>
  <c r="X18" i="845"/>
  <c r="W18" i="845"/>
  <c r="V18" i="845"/>
  <c r="U18" i="845"/>
  <c r="T18" i="845"/>
  <c r="S18" i="845"/>
  <c r="R18" i="845"/>
  <c r="K55" i="844"/>
  <c r="K64" i="844" s="1"/>
  <c r="J25" i="845" l="1"/>
  <c r="L40" i="846"/>
  <c r="M40" i="846" s="1"/>
  <c r="V25" i="846"/>
  <c r="W25" i="846"/>
  <c r="X25" i="846"/>
  <c r="Y25" i="846"/>
  <c r="R25" i="846"/>
  <c r="T25" i="846"/>
  <c r="K34" i="845"/>
  <c r="L34" i="845" s="1"/>
  <c r="M34" i="845" s="1"/>
  <c r="R24" i="845"/>
  <c r="S24" i="845"/>
  <c r="T24" i="845"/>
  <c r="V24" i="845"/>
  <c r="W24" i="845"/>
  <c r="X24" i="845"/>
  <c r="U24" i="845"/>
  <c r="Y24" i="845"/>
  <c r="L41" i="844"/>
  <c r="M27" i="844"/>
  <c r="L27" i="844"/>
  <c r="K27" i="844"/>
  <c r="O19" i="844"/>
  <c r="N19" i="844"/>
  <c r="M19" i="844"/>
  <c r="L19" i="844"/>
  <c r="J19" i="844"/>
  <c r="I19" i="844"/>
  <c r="J27" i="844" s="1"/>
  <c r="G19" i="844"/>
  <c r="F19" i="844"/>
  <c r="E19" i="844"/>
  <c r="D19" i="844"/>
  <c r="C19" i="844"/>
  <c r="M26" i="844"/>
  <c r="L26" i="844"/>
  <c r="K26" i="844"/>
  <c r="I10" i="844" l="1"/>
  <c r="J10" i="844"/>
  <c r="L10" i="844"/>
  <c r="M10" i="844"/>
  <c r="N10" i="844"/>
  <c r="O10" i="844"/>
  <c r="I11" i="844"/>
  <c r="J11" i="844"/>
  <c r="L11" i="844"/>
  <c r="M11" i="844"/>
  <c r="N11" i="844"/>
  <c r="O11" i="844"/>
  <c r="I12" i="844"/>
  <c r="J12" i="844"/>
  <c r="L12" i="844"/>
  <c r="M12" i="844"/>
  <c r="N12" i="844"/>
  <c r="O12" i="844"/>
  <c r="I13" i="844"/>
  <c r="J13" i="844"/>
  <c r="L13" i="844"/>
  <c r="M13" i="844"/>
  <c r="N13" i="844"/>
  <c r="O13" i="844"/>
  <c r="I14" i="844"/>
  <c r="J14" i="844"/>
  <c r="L14" i="844"/>
  <c r="M14" i="844"/>
  <c r="N14" i="844"/>
  <c r="O14" i="844"/>
  <c r="I15" i="844"/>
  <c r="J15" i="844"/>
  <c r="L15" i="844"/>
  <c r="M15" i="844"/>
  <c r="N15" i="844"/>
  <c r="O15" i="844"/>
  <c r="I16" i="844"/>
  <c r="J16" i="844"/>
  <c r="L16" i="844"/>
  <c r="M16" i="844"/>
  <c r="N16" i="844"/>
  <c r="O16" i="844"/>
  <c r="I17" i="844"/>
  <c r="J17" i="844"/>
  <c r="L17" i="844"/>
  <c r="M17" i="844"/>
  <c r="N17" i="844"/>
  <c r="O17" i="844"/>
  <c r="C10" i="844"/>
  <c r="D10" i="844"/>
  <c r="E10" i="844"/>
  <c r="F10" i="844"/>
  <c r="G10" i="844"/>
  <c r="C11" i="844"/>
  <c r="D11" i="844"/>
  <c r="E11" i="844"/>
  <c r="F11" i="844"/>
  <c r="G11" i="844"/>
  <c r="C12" i="844"/>
  <c r="D12" i="844"/>
  <c r="E12" i="844"/>
  <c r="F12" i="844"/>
  <c r="G12" i="844"/>
  <c r="C13" i="844"/>
  <c r="D13" i="844"/>
  <c r="E13" i="844"/>
  <c r="F13" i="844"/>
  <c r="G13" i="844"/>
  <c r="C14" i="844"/>
  <c r="D14" i="844"/>
  <c r="E14" i="844"/>
  <c r="F14" i="844"/>
  <c r="G14" i="844"/>
  <c r="C15" i="844"/>
  <c r="D15" i="844"/>
  <c r="E15" i="844"/>
  <c r="F15" i="844"/>
  <c r="G15" i="844"/>
  <c r="C16" i="844"/>
  <c r="D16" i="844"/>
  <c r="E16" i="844"/>
  <c r="F16" i="844"/>
  <c r="G16" i="844"/>
  <c r="C17" i="844"/>
  <c r="D17" i="844"/>
  <c r="E17" i="844"/>
  <c r="F17" i="844"/>
  <c r="G17" i="844"/>
  <c r="B55" i="844"/>
  <c r="B26" i="844"/>
  <c r="V26" i="844" s="1"/>
  <c r="R10" i="844"/>
  <c r="S10" i="844"/>
  <c r="T10" i="844"/>
  <c r="U10" i="844"/>
  <c r="V10" i="844"/>
  <c r="W10" i="844"/>
  <c r="X10" i="844"/>
  <c r="Y10" i="844"/>
  <c r="Z10" i="844"/>
  <c r="R11" i="844"/>
  <c r="S11" i="844"/>
  <c r="T11" i="844"/>
  <c r="U11" i="844"/>
  <c r="V11" i="844"/>
  <c r="W11" i="844"/>
  <c r="X11" i="844"/>
  <c r="Y11" i="844"/>
  <c r="Z11" i="844"/>
  <c r="R12" i="844"/>
  <c r="S12" i="844"/>
  <c r="T12" i="844"/>
  <c r="U12" i="844"/>
  <c r="V12" i="844"/>
  <c r="W12" i="844"/>
  <c r="X12" i="844"/>
  <c r="Y12" i="844"/>
  <c r="Z12" i="844"/>
  <c r="R13" i="844"/>
  <c r="S13" i="844"/>
  <c r="T13" i="844"/>
  <c r="U13" i="844"/>
  <c r="V13" i="844"/>
  <c r="W13" i="844"/>
  <c r="X13" i="844"/>
  <c r="Y13" i="844"/>
  <c r="Z13" i="844"/>
  <c r="R14" i="844"/>
  <c r="S14" i="844"/>
  <c r="T14" i="844"/>
  <c r="U14" i="844"/>
  <c r="V14" i="844"/>
  <c r="W14" i="844"/>
  <c r="X14" i="844"/>
  <c r="Y14" i="844"/>
  <c r="Z14" i="844"/>
  <c r="R15" i="844"/>
  <c r="S15" i="844"/>
  <c r="T15" i="844"/>
  <c r="U15" i="844"/>
  <c r="V15" i="844"/>
  <c r="W15" i="844"/>
  <c r="X15" i="844"/>
  <c r="Y15" i="844"/>
  <c r="Z15" i="844"/>
  <c r="R16" i="844"/>
  <c r="S16" i="844"/>
  <c r="T16" i="844"/>
  <c r="U16" i="844"/>
  <c r="V16" i="844"/>
  <c r="W16" i="844"/>
  <c r="X16" i="844"/>
  <c r="Y16" i="844"/>
  <c r="Z16" i="844"/>
  <c r="R17" i="844"/>
  <c r="S17" i="844"/>
  <c r="T17" i="844"/>
  <c r="U17" i="844"/>
  <c r="V17" i="844"/>
  <c r="W17" i="844"/>
  <c r="X17" i="844"/>
  <c r="Y17" i="844"/>
  <c r="Z17" i="844"/>
  <c r="R18" i="844"/>
  <c r="S18" i="844"/>
  <c r="T18" i="844"/>
  <c r="U18" i="844"/>
  <c r="V18" i="844"/>
  <c r="W18" i="844"/>
  <c r="X18" i="844"/>
  <c r="Y18" i="844"/>
  <c r="Z18" i="844"/>
  <c r="R19" i="844"/>
  <c r="S19" i="844"/>
  <c r="T19" i="844"/>
  <c r="U19" i="844"/>
  <c r="V19" i="844"/>
  <c r="W19" i="844"/>
  <c r="X19" i="844"/>
  <c r="Y19" i="844"/>
  <c r="Z19" i="844"/>
  <c r="R20" i="844"/>
  <c r="S20" i="844"/>
  <c r="T20" i="844"/>
  <c r="U20" i="844"/>
  <c r="V20" i="844"/>
  <c r="W20" i="844"/>
  <c r="X20" i="844"/>
  <c r="Y20" i="844"/>
  <c r="Z20" i="844"/>
  <c r="R21" i="844"/>
  <c r="S21" i="844"/>
  <c r="T21" i="844"/>
  <c r="U21" i="844"/>
  <c r="V21" i="844"/>
  <c r="W21" i="844"/>
  <c r="X21" i="844"/>
  <c r="Y21" i="844"/>
  <c r="Z21" i="844"/>
  <c r="R22" i="844"/>
  <c r="S22" i="844"/>
  <c r="T22" i="844"/>
  <c r="U22" i="844"/>
  <c r="V22" i="844"/>
  <c r="W22" i="844"/>
  <c r="X22" i="844"/>
  <c r="Y22" i="844"/>
  <c r="Z22" i="844"/>
  <c r="R23" i="844"/>
  <c r="S23" i="844"/>
  <c r="T23" i="844"/>
  <c r="U23" i="844"/>
  <c r="V23" i="844"/>
  <c r="W23" i="844"/>
  <c r="X23" i="844"/>
  <c r="Y23" i="844"/>
  <c r="Z23" i="844"/>
  <c r="R24" i="844"/>
  <c r="S24" i="844"/>
  <c r="T24" i="844"/>
  <c r="U24" i="844"/>
  <c r="V24" i="844"/>
  <c r="W24" i="844"/>
  <c r="X24" i="844"/>
  <c r="Y24" i="844"/>
  <c r="Z24" i="844"/>
  <c r="R25" i="844"/>
  <c r="S25" i="844"/>
  <c r="T25" i="844"/>
  <c r="U25" i="844"/>
  <c r="V25" i="844"/>
  <c r="W25" i="844"/>
  <c r="X25" i="844"/>
  <c r="Y25" i="844"/>
  <c r="Z25" i="844"/>
  <c r="F69" i="844"/>
  <c r="L59" i="844"/>
  <c r="AX55" i="844"/>
  <c r="AW55" i="844"/>
  <c r="AV55" i="844"/>
  <c r="AU55" i="844"/>
  <c r="AT55" i="844"/>
  <c r="AS55" i="844"/>
  <c r="AR55" i="844"/>
  <c r="AQ55" i="844"/>
  <c r="AP55" i="844"/>
  <c r="AO55" i="844"/>
  <c r="AN55" i="844"/>
  <c r="AM55" i="844"/>
  <c r="AL55" i="844"/>
  <c r="AK55" i="844"/>
  <c r="AJ55" i="844"/>
  <c r="AI55" i="844"/>
  <c r="AH55" i="844"/>
  <c r="AG55" i="844"/>
  <c r="AF55" i="844"/>
  <c r="AE55" i="844"/>
  <c r="AD55" i="844"/>
  <c r="AC55" i="844"/>
  <c r="AB55" i="844"/>
  <c r="K50" i="844"/>
  <c r="D48" i="844"/>
  <c r="M41" i="844"/>
  <c r="Z37" i="844"/>
  <c r="Y37" i="844"/>
  <c r="X37" i="844"/>
  <c r="W37" i="844"/>
  <c r="V37" i="844"/>
  <c r="U37" i="844"/>
  <c r="T37" i="844"/>
  <c r="S37" i="844"/>
  <c r="R37" i="844"/>
  <c r="Z36" i="844"/>
  <c r="Y36" i="844"/>
  <c r="X36" i="844"/>
  <c r="W36" i="844"/>
  <c r="V36" i="844"/>
  <c r="U36" i="844"/>
  <c r="T36" i="844"/>
  <c r="S36" i="844"/>
  <c r="R36" i="844"/>
  <c r="Z35" i="844"/>
  <c r="Y35" i="844"/>
  <c r="X35" i="844"/>
  <c r="W35" i="844"/>
  <c r="V35" i="844"/>
  <c r="U35" i="844"/>
  <c r="T35" i="844"/>
  <c r="S35" i="844"/>
  <c r="R35" i="844"/>
  <c r="M35" i="844"/>
  <c r="Z34" i="844"/>
  <c r="Y34" i="844"/>
  <c r="X34" i="844"/>
  <c r="W34" i="844"/>
  <c r="V34" i="844"/>
  <c r="U34" i="844"/>
  <c r="T34" i="844"/>
  <c r="S34" i="844"/>
  <c r="R34" i="844"/>
  <c r="M34" i="844"/>
  <c r="Z33" i="844"/>
  <c r="Y33" i="844"/>
  <c r="X33" i="844"/>
  <c r="W33" i="844"/>
  <c r="V33" i="844"/>
  <c r="U33" i="844"/>
  <c r="T33" i="844"/>
  <c r="S33" i="844"/>
  <c r="R33" i="844"/>
  <c r="M33" i="844"/>
  <c r="Z32" i="844"/>
  <c r="Y32" i="844"/>
  <c r="X32" i="844"/>
  <c r="W32" i="844"/>
  <c r="V32" i="844"/>
  <c r="U32" i="844"/>
  <c r="T32" i="844"/>
  <c r="S32" i="844"/>
  <c r="R32" i="844"/>
  <c r="M32" i="844"/>
  <c r="Z31" i="844"/>
  <c r="Y31" i="844"/>
  <c r="X31" i="844"/>
  <c r="W31" i="844"/>
  <c r="V31" i="844"/>
  <c r="U31" i="844"/>
  <c r="T31" i="844"/>
  <c r="S31" i="844"/>
  <c r="R31" i="844"/>
  <c r="M31" i="844"/>
  <c r="Z30" i="844"/>
  <c r="Y30" i="844"/>
  <c r="X30" i="844"/>
  <c r="W30" i="844"/>
  <c r="V30" i="844"/>
  <c r="U30" i="844"/>
  <c r="T30" i="844"/>
  <c r="S30" i="844"/>
  <c r="R30" i="844"/>
  <c r="Z29" i="844"/>
  <c r="Y29" i="844"/>
  <c r="X29" i="844"/>
  <c r="W29" i="844"/>
  <c r="V29" i="844"/>
  <c r="U29" i="844"/>
  <c r="T29" i="844"/>
  <c r="S29" i="844"/>
  <c r="R29" i="844"/>
  <c r="M29" i="844"/>
  <c r="Z28" i="844"/>
  <c r="Y28" i="844"/>
  <c r="X28" i="844"/>
  <c r="W28" i="844"/>
  <c r="V28" i="844"/>
  <c r="U28" i="844"/>
  <c r="T28" i="844"/>
  <c r="S28" i="844"/>
  <c r="R28" i="844"/>
  <c r="Z27" i="844"/>
  <c r="Y27" i="844"/>
  <c r="X27" i="844"/>
  <c r="W27" i="844"/>
  <c r="V27" i="844"/>
  <c r="U27" i="844"/>
  <c r="T27" i="844"/>
  <c r="S27" i="844"/>
  <c r="R27" i="844"/>
  <c r="J26" i="844" l="1"/>
  <c r="K36" i="844"/>
  <c r="R26" i="844"/>
  <c r="W26" i="844"/>
  <c r="X26" i="844"/>
  <c r="Y26" i="844"/>
  <c r="Z26" i="844"/>
  <c r="U26" i="844"/>
  <c r="S26" i="844"/>
  <c r="T26" i="844"/>
  <c r="L36" i="844"/>
  <c r="M36" i="844" s="1"/>
  <c r="G59" i="843"/>
  <c r="K61" i="843" l="1"/>
  <c r="K68" i="843" s="1"/>
  <c r="K59" i="843"/>
  <c r="K69" i="843" s="1"/>
  <c r="M61" i="843" l="1"/>
  <c r="B61" i="843"/>
  <c r="B59" i="843"/>
  <c r="B42" i="843"/>
  <c r="M30" i="843"/>
  <c r="L30" i="843"/>
  <c r="K30" i="843"/>
  <c r="I16" i="843"/>
  <c r="J16" i="843"/>
  <c r="L16" i="843"/>
  <c r="M16" i="843"/>
  <c r="N16" i="843"/>
  <c r="O16" i="843"/>
  <c r="I17" i="843"/>
  <c r="J17" i="843"/>
  <c r="L17" i="843"/>
  <c r="M17" i="843"/>
  <c r="N17" i="843"/>
  <c r="O17" i="843"/>
  <c r="I18" i="843"/>
  <c r="J18" i="843"/>
  <c r="L18" i="843"/>
  <c r="M18" i="843"/>
  <c r="N18" i="843"/>
  <c r="O18" i="843"/>
  <c r="I19" i="843"/>
  <c r="J19" i="843"/>
  <c r="L19" i="843"/>
  <c r="M19" i="843"/>
  <c r="N19" i="843"/>
  <c r="O19" i="843"/>
  <c r="C18" i="843"/>
  <c r="D18" i="843"/>
  <c r="E18" i="843"/>
  <c r="F18" i="843"/>
  <c r="G18" i="843"/>
  <c r="C19" i="843"/>
  <c r="D19" i="843"/>
  <c r="E19" i="843"/>
  <c r="F19" i="843"/>
  <c r="G19" i="843"/>
  <c r="C30" i="843" l="1" a="1"/>
  <c r="C30" i="843" s="1"/>
  <c r="B30" i="843"/>
  <c r="R10" i="843" l="1"/>
  <c r="S10" i="843"/>
  <c r="T10" i="843"/>
  <c r="U10" i="843"/>
  <c r="V10" i="843"/>
  <c r="W10" i="843"/>
  <c r="X10" i="843"/>
  <c r="Y10" i="843"/>
  <c r="Z10" i="843"/>
  <c r="R11" i="843"/>
  <c r="S11" i="843"/>
  <c r="T11" i="843"/>
  <c r="U11" i="843"/>
  <c r="V11" i="843"/>
  <c r="W11" i="843"/>
  <c r="X11" i="843"/>
  <c r="Y11" i="843"/>
  <c r="Z11" i="843"/>
  <c r="R12" i="843"/>
  <c r="S12" i="843"/>
  <c r="T12" i="843"/>
  <c r="U12" i="843"/>
  <c r="V12" i="843"/>
  <c r="W12" i="843"/>
  <c r="X12" i="843"/>
  <c r="Y12" i="843"/>
  <c r="Z12" i="843"/>
  <c r="R13" i="843"/>
  <c r="S13" i="843"/>
  <c r="T13" i="843"/>
  <c r="U13" i="843"/>
  <c r="V13" i="843"/>
  <c r="W13" i="843"/>
  <c r="X13" i="843"/>
  <c r="Y13" i="843"/>
  <c r="Z13" i="843"/>
  <c r="R14" i="843"/>
  <c r="S14" i="843"/>
  <c r="T14" i="843"/>
  <c r="U14" i="843"/>
  <c r="V14" i="843"/>
  <c r="W14" i="843"/>
  <c r="X14" i="843"/>
  <c r="Y14" i="843"/>
  <c r="Z14" i="843"/>
  <c r="R15" i="843"/>
  <c r="S15" i="843"/>
  <c r="T15" i="843"/>
  <c r="U15" i="843"/>
  <c r="V15" i="843"/>
  <c r="W15" i="843"/>
  <c r="X15" i="843"/>
  <c r="Y15" i="843"/>
  <c r="Z15" i="843"/>
  <c r="R16" i="843"/>
  <c r="S16" i="843"/>
  <c r="T16" i="843"/>
  <c r="U16" i="843"/>
  <c r="V16" i="843"/>
  <c r="W16" i="843"/>
  <c r="X16" i="843"/>
  <c r="Y16" i="843"/>
  <c r="Z16" i="843"/>
  <c r="R17" i="843"/>
  <c r="S17" i="843"/>
  <c r="T17" i="843"/>
  <c r="U17" i="843"/>
  <c r="V17" i="843"/>
  <c r="W17" i="843"/>
  <c r="X17" i="843"/>
  <c r="Y17" i="843"/>
  <c r="Z17" i="843"/>
  <c r="R18" i="843"/>
  <c r="S18" i="843"/>
  <c r="T18" i="843"/>
  <c r="U18" i="843"/>
  <c r="V18" i="843"/>
  <c r="W18" i="843"/>
  <c r="X18" i="843"/>
  <c r="Y18" i="843"/>
  <c r="Z18" i="843"/>
  <c r="R19" i="843"/>
  <c r="S19" i="843"/>
  <c r="T19" i="843"/>
  <c r="U19" i="843"/>
  <c r="V19" i="843"/>
  <c r="W19" i="843"/>
  <c r="X19" i="843"/>
  <c r="Y19" i="843"/>
  <c r="Z19" i="843"/>
  <c r="R20" i="843"/>
  <c r="S20" i="843"/>
  <c r="T20" i="843"/>
  <c r="U20" i="843"/>
  <c r="V20" i="843"/>
  <c r="W20" i="843"/>
  <c r="X20" i="843"/>
  <c r="Y20" i="843"/>
  <c r="Z20" i="843"/>
  <c r="C10" i="843"/>
  <c r="D10" i="843"/>
  <c r="E10" i="843"/>
  <c r="F10" i="843"/>
  <c r="G10" i="843"/>
  <c r="I10" i="843"/>
  <c r="J10" i="843"/>
  <c r="L10" i="843"/>
  <c r="M10" i="843"/>
  <c r="N10" i="843"/>
  <c r="O10" i="843"/>
  <c r="C11" i="843"/>
  <c r="D11" i="843"/>
  <c r="E11" i="843"/>
  <c r="F11" i="843"/>
  <c r="G11" i="843"/>
  <c r="I11" i="843"/>
  <c r="J11" i="843"/>
  <c r="L11" i="843"/>
  <c r="M11" i="843"/>
  <c r="N11" i="843"/>
  <c r="O11" i="843"/>
  <c r="C12" i="843"/>
  <c r="D12" i="843"/>
  <c r="E12" i="843"/>
  <c r="F12" i="843"/>
  <c r="G12" i="843"/>
  <c r="I12" i="843"/>
  <c r="J12" i="843"/>
  <c r="L12" i="843"/>
  <c r="M12" i="843"/>
  <c r="N12" i="843"/>
  <c r="O12" i="843"/>
  <c r="C13" i="843"/>
  <c r="D13" i="843"/>
  <c r="E13" i="843"/>
  <c r="F13" i="843"/>
  <c r="G13" i="843"/>
  <c r="I13" i="843"/>
  <c r="J13" i="843"/>
  <c r="L13" i="843"/>
  <c r="M13" i="843"/>
  <c r="N13" i="843"/>
  <c r="O13" i="843"/>
  <c r="C14" i="843"/>
  <c r="D14" i="843"/>
  <c r="E14" i="843"/>
  <c r="F14" i="843"/>
  <c r="G14" i="843"/>
  <c r="I14" i="843"/>
  <c r="J14" i="843"/>
  <c r="L14" i="843"/>
  <c r="M14" i="843"/>
  <c r="N14" i="843"/>
  <c r="O14" i="843"/>
  <c r="C15" i="843"/>
  <c r="D15" i="843"/>
  <c r="E15" i="843"/>
  <c r="F15" i="843"/>
  <c r="G15" i="843"/>
  <c r="I15" i="843"/>
  <c r="J15" i="843"/>
  <c r="L15" i="843"/>
  <c r="M15" i="843"/>
  <c r="N15" i="843"/>
  <c r="O15" i="843"/>
  <c r="C16" i="843"/>
  <c r="D16" i="843"/>
  <c r="E16" i="843"/>
  <c r="F16" i="843"/>
  <c r="G16" i="843"/>
  <c r="C17" i="843"/>
  <c r="D17" i="843"/>
  <c r="E17" i="843"/>
  <c r="F17" i="843"/>
  <c r="G17" i="843"/>
  <c r="F73" i="843"/>
  <c r="L63" i="843"/>
  <c r="AX59" i="843"/>
  <c r="AW59" i="843"/>
  <c r="AV59" i="843"/>
  <c r="AU59" i="843"/>
  <c r="AT59" i="843"/>
  <c r="AS59" i="843"/>
  <c r="AR59" i="843"/>
  <c r="AQ59" i="843"/>
  <c r="AP59" i="843"/>
  <c r="AO59" i="843"/>
  <c r="AN59" i="843"/>
  <c r="AM59" i="843"/>
  <c r="AL59" i="843"/>
  <c r="AK59" i="843"/>
  <c r="AJ59" i="843"/>
  <c r="AI59" i="843"/>
  <c r="AH59" i="843"/>
  <c r="AG59" i="843"/>
  <c r="AF59" i="843"/>
  <c r="AE59" i="843"/>
  <c r="AD59" i="843"/>
  <c r="AC59" i="843"/>
  <c r="AB59" i="843"/>
  <c r="K54" i="843"/>
  <c r="D52" i="843"/>
  <c r="Z41" i="843"/>
  <c r="Y41" i="843"/>
  <c r="X41" i="843"/>
  <c r="W41" i="843"/>
  <c r="V41" i="843"/>
  <c r="U41" i="843"/>
  <c r="T41" i="843"/>
  <c r="S41" i="843"/>
  <c r="R41" i="843"/>
  <c r="Z40" i="843"/>
  <c r="Y40" i="843"/>
  <c r="X40" i="843"/>
  <c r="W40" i="843"/>
  <c r="V40" i="843"/>
  <c r="U40" i="843"/>
  <c r="T40" i="843"/>
  <c r="S40" i="843"/>
  <c r="R40" i="843"/>
  <c r="Z39" i="843"/>
  <c r="Y39" i="843"/>
  <c r="X39" i="843"/>
  <c r="W39" i="843"/>
  <c r="V39" i="843"/>
  <c r="U39" i="843"/>
  <c r="T39" i="843"/>
  <c r="S39" i="843"/>
  <c r="R39" i="843"/>
  <c r="M39" i="843"/>
  <c r="Z38" i="843"/>
  <c r="Y38" i="843"/>
  <c r="X38" i="843"/>
  <c r="W38" i="843"/>
  <c r="V38" i="843"/>
  <c r="U38" i="843"/>
  <c r="T38" i="843"/>
  <c r="S38" i="843"/>
  <c r="R38" i="843"/>
  <c r="M38" i="843"/>
  <c r="Z37" i="843"/>
  <c r="Y37" i="843"/>
  <c r="X37" i="843"/>
  <c r="W37" i="843"/>
  <c r="V37" i="843"/>
  <c r="U37" i="843"/>
  <c r="T37" i="843"/>
  <c r="S37" i="843"/>
  <c r="R37" i="843"/>
  <c r="M37" i="843"/>
  <c r="Z36" i="843"/>
  <c r="Y36" i="843"/>
  <c r="X36" i="843"/>
  <c r="W36" i="843"/>
  <c r="V36" i="843"/>
  <c r="U36" i="843"/>
  <c r="T36" i="843"/>
  <c r="S36" i="843"/>
  <c r="R36" i="843"/>
  <c r="M36" i="843"/>
  <c r="Z35" i="843"/>
  <c r="Y35" i="843"/>
  <c r="X35" i="843"/>
  <c r="W35" i="843"/>
  <c r="V35" i="843"/>
  <c r="U35" i="843"/>
  <c r="T35" i="843"/>
  <c r="S35" i="843"/>
  <c r="R35" i="843"/>
  <c r="M35" i="843"/>
  <c r="Z34" i="843"/>
  <c r="Y34" i="843"/>
  <c r="X34" i="843"/>
  <c r="W34" i="843"/>
  <c r="V34" i="843"/>
  <c r="U34" i="843"/>
  <c r="T34" i="843"/>
  <c r="S34" i="843"/>
  <c r="R34" i="843"/>
  <c r="Z33" i="843"/>
  <c r="Y33" i="843"/>
  <c r="X33" i="843"/>
  <c r="W33" i="843"/>
  <c r="V33" i="843"/>
  <c r="U33" i="843"/>
  <c r="T33" i="843"/>
  <c r="S33" i="843"/>
  <c r="R33" i="843"/>
  <c r="M33" i="843"/>
  <c r="Z32" i="843"/>
  <c r="Y32" i="843"/>
  <c r="X32" i="843"/>
  <c r="W32" i="843"/>
  <c r="V32" i="843"/>
  <c r="U32" i="843"/>
  <c r="T32" i="843"/>
  <c r="S32" i="843"/>
  <c r="R32" i="843"/>
  <c r="Z31" i="843"/>
  <c r="Y31" i="843"/>
  <c r="X31" i="843"/>
  <c r="W31" i="843"/>
  <c r="V31" i="843"/>
  <c r="U31" i="843"/>
  <c r="T31" i="843"/>
  <c r="S31" i="843"/>
  <c r="R31" i="843"/>
  <c r="M31" i="843"/>
  <c r="L31" i="843"/>
  <c r="K31" i="843"/>
  <c r="Z30" i="843"/>
  <c r="Y30" i="843"/>
  <c r="X30" i="843"/>
  <c r="W30" i="843"/>
  <c r="V30" i="843"/>
  <c r="U30" i="843"/>
  <c r="T30" i="843"/>
  <c r="S30" i="843"/>
  <c r="R30" i="843"/>
  <c r="Z29" i="843"/>
  <c r="Y29" i="843"/>
  <c r="X29" i="843"/>
  <c r="W29" i="843"/>
  <c r="V29" i="843"/>
  <c r="U29" i="843"/>
  <c r="T29" i="843"/>
  <c r="S29" i="843"/>
  <c r="R29" i="843"/>
  <c r="Z28" i="843"/>
  <c r="Y28" i="843"/>
  <c r="X28" i="843"/>
  <c r="W28" i="843"/>
  <c r="V28" i="843"/>
  <c r="U28" i="843"/>
  <c r="T28" i="843"/>
  <c r="S28" i="843"/>
  <c r="R28" i="843"/>
  <c r="Z27" i="843"/>
  <c r="Y27" i="843"/>
  <c r="X27" i="843"/>
  <c r="W27" i="843"/>
  <c r="V27" i="843"/>
  <c r="U27" i="843"/>
  <c r="T27" i="843"/>
  <c r="S27" i="843"/>
  <c r="R27" i="843"/>
  <c r="Z26" i="843"/>
  <c r="Y26" i="843"/>
  <c r="X26" i="843"/>
  <c r="W26" i="843"/>
  <c r="V26" i="843"/>
  <c r="U26" i="843"/>
  <c r="T26" i="843"/>
  <c r="S26" i="843"/>
  <c r="R26" i="843"/>
  <c r="Z25" i="843"/>
  <c r="Y25" i="843"/>
  <c r="X25" i="843"/>
  <c r="W25" i="843"/>
  <c r="V25" i="843"/>
  <c r="U25" i="843"/>
  <c r="T25" i="843"/>
  <c r="S25" i="843"/>
  <c r="R25" i="843"/>
  <c r="Z24" i="843"/>
  <c r="Y24" i="843"/>
  <c r="X24" i="843"/>
  <c r="W24" i="843"/>
  <c r="V24" i="843"/>
  <c r="U24" i="843"/>
  <c r="T24" i="843"/>
  <c r="S24" i="843"/>
  <c r="R24" i="843"/>
  <c r="Z23" i="843"/>
  <c r="Y23" i="843"/>
  <c r="X23" i="843"/>
  <c r="W23" i="843"/>
  <c r="V23" i="843"/>
  <c r="U23" i="843"/>
  <c r="T23" i="843"/>
  <c r="S23" i="843"/>
  <c r="R23" i="843"/>
  <c r="Z22" i="843"/>
  <c r="Y22" i="843"/>
  <c r="X22" i="843"/>
  <c r="W22" i="843"/>
  <c r="V22" i="843"/>
  <c r="U22" i="843"/>
  <c r="T22" i="843"/>
  <c r="S22" i="843"/>
  <c r="R22" i="843"/>
  <c r="Z21" i="843"/>
  <c r="Y21" i="843"/>
  <c r="X21" i="843"/>
  <c r="W21" i="843"/>
  <c r="V21" i="843"/>
  <c r="U21" i="843"/>
  <c r="T21" i="843"/>
  <c r="S21" i="843"/>
  <c r="R21" i="843"/>
  <c r="J30" i="843" l="1"/>
  <c r="L45" i="843"/>
  <c r="M45" i="843" s="1"/>
  <c r="K40" i="843"/>
  <c r="L40" i="843" s="1"/>
  <c r="M40" i="843" s="1"/>
  <c r="L37" i="842"/>
  <c r="M23" i="842"/>
  <c r="L23" i="842"/>
  <c r="K23" i="842"/>
  <c r="I10" i="842"/>
  <c r="J10" i="842"/>
  <c r="L10" i="842"/>
  <c r="M10" i="842"/>
  <c r="N10" i="842"/>
  <c r="O10" i="842"/>
  <c r="I11" i="842"/>
  <c r="J11" i="842"/>
  <c r="L11" i="842"/>
  <c r="M11" i="842"/>
  <c r="N11" i="842"/>
  <c r="O11" i="842"/>
  <c r="I12" i="842"/>
  <c r="J12" i="842"/>
  <c r="L12" i="842"/>
  <c r="M12" i="842"/>
  <c r="N12" i="842"/>
  <c r="O12" i="842"/>
  <c r="I13" i="842"/>
  <c r="J13" i="842"/>
  <c r="L13" i="842"/>
  <c r="M13" i="842"/>
  <c r="N13" i="842"/>
  <c r="O13" i="842"/>
  <c r="I14" i="842"/>
  <c r="J14" i="842"/>
  <c r="L14" i="842"/>
  <c r="M14" i="842"/>
  <c r="N14" i="842"/>
  <c r="O14" i="842"/>
  <c r="I15" i="842"/>
  <c r="J15" i="842"/>
  <c r="L15" i="842"/>
  <c r="M15" i="842"/>
  <c r="N15" i="842"/>
  <c r="O15" i="842"/>
  <c r="C10" i="842"/>
  <c r="D10" i="842"/>
  <c r="E10" i="842"/>
  <c r="F10" i="842"/>
  <c r="G10" i="842"/>
  <c r="C11" i="842"/>
  <c r="D11" i="842"/>
  <c r="E11" i="842"/>
  <c r="F11" i="842"/>
  <c r="G11" i="842"/>
  <c r="C12" i="842"/>
  <c r="D12" i="842"/>
  <c r="E12" i="842"/>
  <c r="F12" i="842"/>
  <c r="G12" i="842"/>
  <c r="C13" i="842"/>
  <c r="D13" i="842"/>
  <c r="E13" i="842"/>
  <c r="F13" i="842"/>
  <c r="G13" i="842"/>
  <c r="C14" i="842"/>
  <c r="D14" i="842"/>
  <c r="E14" i="842"/>
  <c r="F14" i="842"/>
  <c r="G14" i="842"/>
  <c r="C15" i="842"/>
  <c r="D15" i="842"/>
  <c r="E15" i="842"/>
  <c r="F15" i="842"/>
  <c r="G15" i="842"/>
  <c r="R10" i="842"/>
  <c r="S10" i="842"/>
  <c r="T10" i="842"/>
  <c r="U10" i="842"/>
  <c r="V10" i="842"/>
  <c r="W10" i="842"/>
  <c r="X10" i="842"/>
  <c r="Y10" i="842"/>
  <c r="Z10" i="842"/>
  <c r="R11" i="842"/>
  <c r="S11" i="842"/>
  <c r="T11" i="842"/>
  <c r="U11" i="842"/>
  <c r="V11" i="842"/>
  <c r="W11" i="842"/>
  <c r="X11" i="842"/>
  <c r="Y11" i="842"/>
  <c r="Z11" i="842"/>
  <c r="R12" i="842"/>
  <c r="S12" i="842"/>
  <c r="T12" i="842"/>
  <c r="U12" i="842"/>
  <c r="V12" i="842"/>
  <c r="W12" i="842"/>
  <c r="X12" i="842"/>
  <c r="Y12" i="842"/>
  <c r="Z12" i="842"/>
  <c r="R13" i="842"/>
  <c r="S13" i="842"/>
  <c r="T13" i="842"/>
  <c r="U13" i="842"/>
  <c r="V13" i="842"/>
  <c r="W13" i="842"/>
  <c r="X13" i="842"/>
  <c r="Y13" i="842"/>
  <c r="Z13" i="842"/>
  <c r="R14" i="842"/>
  <c r="S14" i="842"/>
  <c r="T14" i="842"/>
  <c r="U14" i="842"/>
  <c r="V14" i="842"/>
  <c r="W14" i="842"/>
  <c r="X14" i="842"/>
  <c r="Y14" i="842"/>
  <c r="Z14" i="842"/>
  <c r="R15" i="842"/>
  <c r="S15" i="842"/>
  <c r="T15" i="842"/>
  <c r="U15" i="842"/>
  <c r="V15" i="842"/>
  <c r="W15" i="842"/>
  <c r="X15" i="842"/>
  <c r="Y15" i="842"/>
  <c r="Z15" i="842"/>
  <c r="R16" i="842"/>
  <c r="S16" i="842"/>
  <c r="T16" i="842"/>
  <c r="U16" i="842"/>
  <c r="V16" i="842"/>
  <c r="W16" i="842"/>
  <c r="X16" i="842"/>
  <c r="Y16" i="842"/>
  <c r="Z16" i="842"/>
  <c r="R17" i="842"/>
  <c r="S17" i="842"/>
  <c r="T17" i="842"/>
  <c r="U17" i="842"/>
  <c r="V17" i="842"/>
  <c r="W17" i="842"/>
  <c r="X17" i="842"/>
  <c r="Y17" i="842"/>
  <c r="Z17" i="842"/>
  <c r="R18" i="842"/>
  <c r="S18" i="842"/>
  <c r="T18" i="842"/>
  <c r="U18" i="842"/>
  <c r="V18" i="842"/>
  <c r="W18" i="842"/>
  <c r="X18" i="842"/>
  <c r="Y18" i="842"/>
  <c r="Z18" i="842"/>
  <c r="R19" i="842"/>
  <c r="S19" i="842"/>
  <c r="T19" i="842"/>
  <c r="U19" i="842"/>
  <c r="V19" i="842"/>
  <c r="W19" i="842"/>
  <c r="X19" i="842"/>
  <c r="Y19" i="842"/>
  <c r="Z19" i="842"/>
  <c r="R20" i="842"/>
  <c r="S20" i="842"/>
  <c r="T20" i="842"/>
  <c r="U20" i="842"/>
  <c r="V20" i="842"/>
  <c r="W20" i="842"/>
  <c r="X20" i="842"/>
  <c r="Y20" i="842"/>
  <c r="Z20" i="842"/>
  <c r="R21" i="842"/>
  <c r="S21" i="842"/>
  <c r="T21" i="842"/>
  <c r="U21" i="842"/>
  <c r="V21" i="842"/>
  <c r="W21" i="842"/>
  <c r="X21" i="842"/>
  <c r="Y21" i="842"/>
  <c r="Z21" i="842"/>
  <c r="R22" i="842"/>
  <c r="S22" i="842"/>
  <c r="T22" i="842"/>
  <c r="U22" i="842"/>
  <c r="V22" i="842"/>
  <c r="W22" i="842"/>
  <c r="X22" i="842"/>
  <c r="Y22" i="842"/>
  <c r="Z22" i="842"/>
  <c r="R23" i="842"/>
  <c r="S23" i="842"/>
  <c r="T23" i="842"/>
  <c r="U23" i="842"/>
  <c r="V23" i="842"/>
  <c r="W23" i="842"/>
  <c r="X23" i="842"/>
  <c r="Y23" i="842"/>
  <c r="Z23" i="842"/>
  <c r="R24" i="842"/>
  <c r="S24" i="842"/>
  <c r="T24" i="842"/>
  <c r="U24" i="842"/>
  <c r="V24" i="842"/>
  <c r="W24" i="842"/>
  <c r="X24" i="842"/>
  <c r="Y24" i="842"/>
  <c r="Z24" i="842"/>
  <c r="R25" i="842"/>
  <c r="S25" i="842"/>
  <c r="T25" i="842"/>
  <c r="U25" i="842"/>
  <c r="V25" i="842"/>
  <c r="W25" i="842"/>
  <c r="X25" i="842"/>
  <c r="Y25" i="842"/>
  <c r="Z25" i="842"/>
  <c r="F65" i="842"/>
  <c r="L55" i="842"/>
  <c r="AX51" i="842"/>
  <c r="AW51" i="842"/>
  <c r="AV51" i="842"/>
  <c r="AU51" i="842"/>
  <c r="AT51" i="842"/>
  <c r="AS51" i="842"/>
  <c r="AR51" i="842"/>
  <c r="AQ51" i="842"/>
  <c r="AP51" i="842"/>
  <c r="AO51" i="842"/>
  <c r="AN51" i="842"/>
  <c r="AM51" i="842"/>
  <c r="AL51" i="842"/>
  <c r="AK51" i="842"/>
  <c r="AJ51" i="842"/>
  <c r="AI51" i="842"/>
  <c r="AH51" i="842"/>
  <c r="AG51" i="842"/>
  <c r="AF51" i="842"/>
  <c r="AE51" i="842"/>
  <c r="AD51" i="842"/>
  <c r="AC51" i="842"/>
  <c r="AB51" i="842"/>
  <c r="K46" i="842"/>
  <c r="D44" i="842"/>
  <c r="Z33" i="842"/>
  <c r="Y33" i="842"/>
  <c r="X33" i="842"/>
  <c r="W33" i="842"/>
  <c r="V33" i="842"/>
  <c r="U33" i="842"/>
  <c r="T33" i="842"/>
  <c r="S33" i="842"/>
  <c r="R33" i="842"/>
  <c r="Z32" i="842"/>
  <c r="Y32" i="842"/>
  <c r="X32" i="842"/>
  <c r="W32" i="842"/>
  <c r="V32" i="842"/>
  <c r="U32" i="842"/>
  <c r="T32" i="842"/>
  <c r="S32" i="842"/>
  <c r="R32" i="842"/>
  <c r="Z31" i="842"/>
  <c r="Y31" i="842"/>
  <c r="X31" i="842"/>
  <c r="W31" i="842"/>
  <c r="V31" i="842"/>
  <c r="U31" i="842"/>
  <c r="T31" i="842"/>
  <c r="S31" i="842"/>
  <c r="R31" i="842"/>
  <c r="M31" i="842"/>
  <c r="Z30" i="842"/>
  <c r="Y30" i="842"/>
  <c r="X30" i="842"/>
  <c r="W30" i="842"/>
  <c r="V30" i="842"/>
  <c r="U30" i="842"/>
  <c r="T30" i="842"/>
  <c r="S30" i="842"/>
  <c r="R30" i="842"/>
  <c r="M30" i="842"/>
  <c r="Z29" i="842"/>
  <c r="Y29" i="842"/>
  <c r="X29" i="842"/>
  <c r="W29" i="842"/>
  <c r="V29" i="842"/>
  <c r="U29" i="842"/>
  <c r="T29" i="842"/>
  <c r="S29" i="842"/>
  <c r="R29" i="842"/>
  <c r="M29" i="842"/>
  <c r="Z28" i="842"/>
  <c r="Y28" i="842"/>
  <c r="X28" i="842"/>
  <c r="W28" i="842"/>
  <c r="V28" i="842"/>
  <c r="U28" i="842"/>
  <c r="T28" i="842"/>
  <c r="S28" i="842"/>
  <c r="R28" i="842"/>
  <c r="M28" i="842"/>
  <c r="Z27" i="842"/>
  <c r="Y27" i="842"/>
  <c r="X27" i="842"/>
  <c r="W27" i="842"/>
  <c r="V27" i="842"/>
  <c r="U27" i="842"/>
  <c r="T27" i="842"/>
  <c r="S27" i="842"/>
  <c r="R27" i="842"/>
  <c r="M27" i="842"/>
  <c r="Z26" i="842"/>
  <c r="Y26" i="842"/>
  <c r="X26" i="842"/>
  <c r="W26" i="842"/>
  <c r="V26" i="842"/>
  <c r="U26" i="842"/>
  <c r="T26" i="842"/>
  <c r="S26" i="842"/>
  <c r="R26" i="842"/>
  <c r="M25" i="842"/>
  <c r="M22" i="842"/>
  <c r="L22" i="842"/>
  <c r="K22" i="842"/>
  <c r="G56" i="841"/>
  <c r="K56" i="841"/>
  <c r="K71" i="841" s="1"/>
  <c r="K58" i="841"/>
  <c r="B56" i="841"/>
  <c r="B39" i="841"/>
  <c r="B27" i="841"/>
  <c r="L42" i="841"/>
  <c r="M28" i="841"/>
  <c r="L28" i="841"/>
  <c r="K28" i="841"/>
  <c r="C17" i="841"/>
  <c r="D17" i="841"/>
  <c r="E17" i="841"/>
  <c r="F17" i="841"/>
  <c r="G17" i="841"/>
  <c r="I17" i="841"/>
  <c r="J17" i="841"/>
  <c r="L17" i="841"/>
  <c r="M17" i="841"/>
  <c r="N17" i="841"/>
  <c r="O17" i="841"/>
  <c r="C18" i="841"/>
  <c r="D18" i="841"/>
  <c r="E18" i="841"/>
  <c r="F18" i="841"/>
  <c r="G18" i="841"/>
  <c r="I18" i="841"/>
  <c r="J18" i="841"/>
  <c r="L18" i="841"/>
  <c r="M18" i="841"/>
  <c r="N18" i="841"/>
  <c r="O18" i="841"/>
  <c r="C19" i="841"/>
  <c r="D19" i="841"/>
  <c r="E19" i="841"/>
  <c r="F19" i="841"/>
  <c r="G19" i="841"/>
  <c r="I19" i="841"/>
  <c r="J19" i="841"/>
  <c r="L19" i="841"/>
  <c r="M19" i="841"/>
  <c r="N19" i="841"/>
  <c r="O19" i="841"/>
  <c r="J28" i="841" l="1"/>
  <c r="J23" i="842"/>
  <c r="M37" i="842"/>
  <c r="L51" i="842"/>
  <c r="L53" i="842"/>
  <c r="K32" i="842"/>
  <c r="L32" i="842" s="1"/>
  <c r="M32" i="842" s="1"/>
  <c r="M27" i="841"/>
  <c r="L27" i="841"/>
  <c r="K27" i="841"/>
  <c r="R10" i="841" l="1"/>
  <c r="S10" i="841"/>
  <c r="T10" i="841"/>
  <c r="U10" i="841"/>
  <c r="V10" i="841"/>
  <c r="W10" i="841"/>
  <c r="X10" i="841"/>
  <c r="Y10" i="841"/>
  <c r="Z10" i="841"/>
  <c r="R11" i="841"/>
  <c r="S11" i="841"/>
  <c r="T11" i="841"/>
  <c r="U11" i="841"/>
  <c r="V11" i="841"/>
  <c r="W11" i="841"/>
  <c r="X11" i="841"/>
  <c r="Y11" i="841"/>
  <c r="Z11" i="841"/>
  <c r="R12" i="841"/>
  <c r="S12" i="841"/>
  <c r="T12" i="841"/>
  <c r="U12" i="841"/>
  <c r="V12" i="841"/>
  <c r="W12" i="841"/>
  <c r="X12" i="841"/>
  <c r="Y12" i="841"/>
  <c r="Z12" i="841"/>
  <c r="R13" i="841"/>
  <c r="S13" i="841"/>
  <c r="T13" i="841"/>
  <c r="U13" i="841"/>
  <c r="V13" i="841"/>
  <c r="W13" i="841"/>
  <c r="X13" i="841"/>
  <c r="Y13" i="841"/>
  <c r="Z13" i="841"/>
  <c r="R14" i="841"/>
  <c r="S14" i="841"/>
  <c r="T14" i="841"/>
  <c r="U14" i="841"/>
  <c r="V14" i="841"/>
  <c r="W14" i="841"/>
  <c r="X14" i="841"/>
  <c r="Y14" i="841"/>
  <c r="Z14" i="841"/>
  <c r="R15" i="841"/>
  <c r="S15" i="841"/>
  <c r="T15" i="841"/>
  <c r="U15" i="841"/>
  <c r="V15" i="841"/>
  <c r="W15" i="841"/>
  <c r="X15" i="841"/>
  <c r="Y15" i="841"/>
  <c r="Z15" i="841"/>
  <c r="R16" i="841"/>
  <c r="S16" i="841"/>
  <c r="T16" i="841"/>
  <c r="U16" i="841"/>
  <c r="V16" i="841"/>
  <c r="W16" i="841"/>
  <c r="X16" i="841"/>
  <c r="Y16" i="841"/>
  <c r="Z16" i="841"/>
  <c r="R17" i="841"/>
  <c r="S17" i="841"/>
  <c r="T17" i="841"/>
  <c r="U17" i="841"/>
  <c r="V17" i="841"/>
  <c r="W17" i="841"/>
  <c r="X17" i="841"/>
  <c r="Y17" i="841"/>
  <c r="Z17" i="841"/>
  <c r="R18" i="841"/>
  <c r="S18" i="841"/>
  <c r="T18" i="841"/>
  <c r="U18" i="841"/>
  <c r="V18" i="841"/>
  <c r="W18" i="841"/>
  <c r="X18" i="841"/>
  <c r="Y18" i="841"/>
  <c r="Z18" i="841"/>
  <c r="R19" i="841"/>
  <c r="S19" i="841"/>
  <c r="T19" i="841"/>
  <c r="U19" i="841"/>
  <c r="V19" i="841"/>
  <c r="W19" i="841"/>
  <c r="X19" i="841"/>
  <c r="Y19" i="841"/>
  <c r="Z19" i="841"/>
  <c r="R20" i="841"/>
  <c r="S20" i="841"/>
  <c r="T20" i="841"/>
  <c r="U20" i="841"/>
  <c r="V20" i="841"/>
  <c r="W20" i="841"/>
  <c r="X20" i="841"/>
  <c r="Y20" i="841"/>
  <c r="Z20" i="841"/>
  <c r="R21" i="841"/>
  <c r="S21" i="841"/>
  <c r="T21" i="841"/>
  <c r="U21" i="841"/>
  <c r="V21" i="841"/>
  <c r="W21" i="841"/>
  <c r="X21" i="841"/>
  <c r="Y21" i="841"/>
  <c r="Z21" i="841"/>
  <c r="R22" i="841"/>
  <c r="S22" i="841"/>
  <c r="T22" i="841"/>
  <c r="U22" i="841"/>
  <c r="V22" i="841"/>
  <c r="W22" i="841"/>
  <c r="X22" i="841"/>
  <c r="Y22" i="841"/>
  <c r="Z22" i="841"/>
  <c r="C10" i="841"/>
  <c r="D10" i="841"/>
  <c r="E10" i="841"/>
  <c r="F10" i="841"/>
  <c r="G10" i="841"/>
  <c r="I10" i="841"/>
  <c r="J10" i="841"/>
  <c r="L10" i="841"/>
  <c r="M10" i="841"/>
  <c r="N10" i="841"/>
  <c r="O10" i="841"/>
  <c r="C11" i="841"/>
  <c r="D11" i="841"/>
  <c r="E11" i="841"/>
  <c r="F11" i="841"/>
  <c r="G11" i="841"/>
  <c r="I11" i="841"/>
  <c r="J11" i="841"/>
  <c r="L11" i="841"/>
  <c r="M11" i="841"/>
  <c r="N11" i="841"/>
  <c r="O11" i="841"/>
  <c r="C12" i="841"/>
  <c r="D12" i="841"/>
  <c r="E12" i="841"/>
  <c r="F12" i="841"/>
  <c r="G12" i="841"/>
  <c r="I12" i="841"/>
  <c r="J12" i="841"/>
  <c r="L12" i="841"/>
  <c r="M12" i="841"/>
  <c r="N12" i="841"/>
  <c r="O12" i="841"/>
  <c r="C13" i="841"/>
  <c r="D13" i="841"/>
  <c r="E13" i="841"/>
  <c r="F13" i="841"/>
  <c r="G13" i="841"/>
  <c r="I13" i="841"/>
  <c r="J13" i="841"/>
  <c r="L13" i="841"/>
  <c r="M13" i="841"/>
  <c r="N13" i="841"/>
  <c r="O13" i="841"/>
  <c r="C14" i="841"/>
  <c r="D14" i="841"/>
  <c r="E14" i="841"/>
  <c r="F14" i="841"/>
  <c r="G14" i="841"/>
  <c r="I14" i="841"/>
  <c r="J14" i="841"/>
  <c r="L14" i="841"/>
  <c r="M14" i="841"/>
  <c r="N14" i="841"/>
  <c r="O14" i="841"/>
  <c r="C15" i="841"/>
  <c r="D15" i="841"/>
  <c r="E15" i="841"/>
  <c r="F15" i="841"/>
  <c r="G15" i="841"/>
  <c r="I15" i="841"/>
  <c r="J15" i="841"/>
  <c r="L15" i="841"/>
  <c r="M15" i="841"/>
  <c r="N15" i="841"/>
  <c r="O15" i="841"/>
  <c r="F70" i="841"/>
  <c r="L60" i="841"/>
  <c r="K65" i="841"/>
  <c r="B58" i="841"/>
  <c r="AX56" i="841"/>
  <c r="AW56" i="841"/>
  <c r="AV56" i="841"/>
  <c r="AU56" i="841"/>
  <c r="AT56" i="841"/>
  <c r="AS56" i="841"/>
  <c r="AR56" i="841"/>
  <c r="AQ56" i="841"/>
  <c r="AP56" i="841"/>
  <c r="AO56" i="841"/>
  <c r="AN56" i="841"/>
  <c r="AM56" i="841"/>
  <c r="AL56" i="841"/>
  <c r="AK56" i="841"/>
  <c r="AJ56" i="841"/>
  <c r="AI56" i="841"/>
  <c r="AH56" i="841"/>
  <c r="AG56" i="841"/>
  <c r="AF56" i="841"/>
  <c r="AE56" i="841"/>
  <c r="AD56" i="841"/>
  <c r="AC56" i="841"/>
  <c r="AB56" i="841"/>
  <c r="K51" i="841"/>
  <c r="M42" i="841" s="1"/>
  <c r="D49" i="841"/>
  <c r="Z38" i="841"/>
  <c r="Y38" i="841"/>
  <c r="X38" i="841"/>
  <c r="W38" i="841"/>
  <c r="V38" i="841"/>
  <c r="U38" i="841"/>
  <c r="T38" i="841"/>
  <c r="S38" i="841"/>
  <c r="R38" i="841"/>
  <c r="Z37" i="841"/>
  <c r="Y37" i="841"/>
  <c r="X37" i="841"/>
  <c r="W37" i="841"/>
  <c r="V37" i="841"/>
  <c r="U37" i="841"/>
  <c r="T37" i="841"/>
  <c r="S37" i="841"/>
  <c r="R37" i="841"/>
  <c r="Z36" i="841"/>
  <c r="Y36" i="841"/>
  <c r="X36" i="841"/>
  <c r="W36" i="841"/>
  <c r="V36" i="841"/>
  <c r="U36" i="841"/>
  <c r="T36" i="841"/>
  <c r="S36" i="841"/>
  <c r="R36" i="841"/>
  <c r="M36" i="841"/>
  <c r="Z35" i="841"/>
  <c r="Y35" i="841"/>
  <c r="X35" i="841"/>
  <c r="W35" i="841"/>
  <c r="V35" i="841"/>
  <c r="U35" i="841"/>
  <c r="T35" i="841"/>
  <c r="S35" i="841"/>
  <c r="R35" i="841"/>
  <c r="M35" i="841"/>
  <c r="Z34" i="841"/>
  <c r="Y34" i="841"/>
  <c r="X34" i="841"/>
  <c r="W34" i="841"/>
  <c r="V34" i="841"/>
  <c r="U34" i="841"/>
  <c r="T34" i="841"/>
  <c r="S34" i="841"/>
  <c r="R34" i="841"/>
  <c r="M34" i="841"/>
  <c r="Z33" i="841"/>
  <c r="Y33" i="841"/>
  <c r="X33" i="841"/>
  <c r="W33" i="841"/>
  <c r="V33" i="841"/>
  <c r="U33" i="841"/>
  <c r="T33" i="841"/>
  <c r="S33" i="841"/>
  <c r="R33" i="841"/>
  <c r="M33" i="841"/>
  <c r="Z32" i="841"/>
  <c r="Y32" i="841"/>
  <c r="X32" i="841"/>
  <c r="W32" i="841"/>
  <c r="V32" i="841"/>
  <c r="U32" i="841"/>
  <c r="T32" i="841"/>
  <c r="S32" i="841"/>
  <c r="R32" i="841"/>
  <c r="M32" i="841"/>
  <c r="Z31" i="841"/>
  <c r="Y31" i="841"/>
  <c r="X31" i="841"/>
  <c r="W31" i="841"/>
  <c r="V31" i="841"/>
  <c r="U31" i="841"/>
  <c r="T31" i="841"/>
  <c r="S31" i="841"/>
  <c r="R31" i="841"/>
  <c r="Z30" i="841"/>
  <c r="Y30" i="841"/>
  <c r="X30" i="841"/>
  <c r="W30" i="841"/>
  <c r="V30" i="841"/>
  <c r="U30" i="841"/>
  <c r="T30" i="841"/>
  <c r="S30" i="841"/>
  <c r="R30" i="841"/>
  <c r="M30" i="841"/>
  <c r="Z29" i="841"/>
  <c r="Y29" i="841"/>
  <c r="X29" i="841"/>
  <c r="W29" i="841"/>
  <c r="V29" i="841"/>
  <c r="U29" i="841"/>
  <c r="T29" i="841"/>
  <c r="S29" i="841"/>
  <c r="R29" i="841"/>
  <c r="Z28" i="841"/>
  <c r="Y28" i="841"/>
  <c r="X28" i="841"/>
  <c r="W28" i="841"/>
  <c r="V28" i="841"/>
  <c r="U28" i="841"/>
  <c r="T28" i="841"/>
  <c r="S28" i="841"/>
  <c r="R28" i="841"/>
  <c r="K37" i="841"/>
  <c r="W27" i="841"/>
  <c r="Z26" i="841"/>
  <c r="Y26" i="841"/>
  <c r="X26" i="841"/>
  <c r="W26" i="841"/>
  <c r="V26" i="841"/>
  <c r="U26" i="841"/>
  <c r="T26" i="841"/>
  <c r="S26" i="841"/>
  <c r="R26" i="841"/>
  <c r="Z25" i="841"/>
  <c r="Y25" i="841"/>
  <c r="X25" i="841"/>
  <c r="W25" i="841"/>
  <c r="V25" i="841"/>
  <c r="U25" i="841"/>
  <c r="T25" i="841"/>
  <c r="S25" i="841"/>
  <c r="R25" i="841"/>
  <c r="Z24" i="841"/>
  <c r="Y24" i="841"/>
  <c r="X24" i="841"/>
  <c r="W24" i="841"/>
  <c r="V24" i="841"/>
  <c r="U24" i="841"/>
  <c r="T24" i="841"/>
  <c r="S24" i="841"/>
  <c r="R24" i="841"/>
  <c r="Z23" i="841"/>
  <c r="Y23" i="841"/>
  <c r="X23" i="841"/>
  <c r="W23" i="841"/>
  <c r="V23" i="841"/>
  <c r="U23" i="841"/>
  <c r="T23" i="841"/>
  <c r="S23" i="841"/>
  <c r="R23" i="841"/>
  <c r="J58" i="18"/>
  <c r="J59" i="18"/>
  <c r="J60" i="18"/>
  <c r="J61" i="18"/>
  <c r="J62" i="18"/>
  <c r="J63" i="18"/>
  <c r="J64" i="18"/>
  <c r="G64" i="18"/>
  <c r="G63" i="18"/>
  <c r="G61" i="18"/>
  <c r="G60" i="18"/>
  <c r="J27" i="841" l="1"/>
  <c r="X27" i="841"/>
  <c r="Y27" i="841"/>
  <c r="Z27" i="841"/>
  <c r="T27" i="841"/>
  <c r="U27" i="841"/>
  <c r="R27" i="841"/>
  <c r="S27" i="841"/>
  <c r="V27" i="841"/>
  <c r="L37" i="841"/>
  <c r="M37" i="841" s="1"/>
  <c r="D60" i="18"/>
  <c r="D61" i="18"/>
  <c r="D63" i="18"/>
  <c r="D64" i="18"/>
  <c r="G54" i="840" l="1"/>
  <c r="M56" i="840"/>
  <c r="B56" i="840"/>
  <c r="B54" i="840"/>
  <c r="C25" i="840"/>
  <c r="C26" i="840"/>
  <c r="C27" i="840"/>
  <c r="C28" i="840"/>
  <c r="C29" i="840"/>
  <c r="C30" i="840"/>
  <c r="C31" i="840"/>
  <c r="C32" i="840"/>
  <c r="C33" i="840"/>
  <c r="C34" i="840"/>
  <c r="B25" i="840"/>
  <c r="L40" i="840"/>
  <c r="B37" i="840"/>
  <c r="M25" i="840"/>
  <c r="L25" i="840"/>
  <c r="K25" i="840"/>
  <c r="C11" i="840"/>
  <c r="D11" i="840"/>
  <c r="E11" i="840"/>
  <c r="F11" i="840"/>
  <c r="G11" i="840"/>
  <c r="I11" i="840"/>
  <c r="J11" i="840"/>
  <c r="L11" i="840"/>
  <c r="M11" i="840"/>
  <c r="N11" i="840"/>
  <c r="O11" i="840"/>
  <c r="C12" i="840"/>
  <c r="D12" i="840"/>
  <c r="E12" i="840"/>
  <c r="F12" i="840"/>
  <c r="G12" i="840"/>
  <c r="I12" i="840"/>
  <c r="J12" i="840"/>
  <c r="L12" i="840"/>
  <c r="M12" i="840"/>
  <c r="N12" i="840"/>
  <c r="O12" i="840"/>
  <c r="C13" i="840"/>
  <c r="D13" i="840"/>
  <c r="E13" i="840"/>
  <c r="F13" i="840"/>
  <c r="G13" i="840"/>
  <c r="I13" i="840"/>
  <c r="J13" i="840"/>
  <c r="L13" i="840"/>
  <c r="M13" i="840"/>
  <c r="N13" i="840"/>
  <c r="O13" i="840"/>
  <c r="C14" i="840"/>
  <c r="D14" i="840"/>
  <c r="E14" i="840"/>
  <c r="F14" i="840"/>
  <c r="G14" i="840"/>
  <c r="I14" i="840"/>
  <c r="J14" i="840"/>
  <c r="L14" i="840"/>
  <c r="M14" i="840"/>
  <c r="N14" i="840"/>
  <c r="O14" i="840"/>
  <c r="C15" i="840"/>
  <c r="D15" i="840"/>
  <c r="E15" i="840"/>
  <c r="F15" i="840"/>
  <c r="G15" i="840"/>
  <c r="I15" i="840"/>
  <c r="J15" i="840"/>
  <c r="L15" i="840"/>
  <c r="M15" i="840"/>
  <c r="N15" i="840"/>
  <c r="O15" i="840"/>
  <c r="C16" i="840"/>
  <c r="D16" i="840"/>
  <c r="E16" i="840"/>
  <c r="F16" i="840"/>
  <c r="G16" i="840"/>
  <c r="I16" i="840"/>
  <c r="J16" i="840"/>
  <c r="L16" i="840"/>
  <c r="M16" i="840"/>
  <c r="N16" i="840"/>
  <c r="O16" i="840"/>
  <c r="C17" i="840"/>
  <c r="D17" i="840"/>
  <c r="E17" i="840"/>
  <c r="F17" i="840"/>
  <c r="G17" i="840"/>
  <c r="I17" i="840"/>
  <c r="J17" i="840"/>
  <c r="L17" i="840"/>
  <c r="M17" i="840"/>
  <c r="N17" i="840"/>
  <c r="O17" i="840"/>
  <c r="C18" i="840"/>
  <c r="D18" i="840"/>
  <c r="E18" i="840"/>
  <c r="F18" i="840"/>
  <c r="G18" i="840"/>
  <c r="I18" i="840"/>
  <c r="J18" i="840"/>
  <c r="L18" i="840"/>
  <c r="M18" i="840"/>
  <c r="N18" i="840"/>
  <c r="O18" i="840"/>
  <c r="C19" i="840"/>
  <c r="D19" i="840"/>
  <c r="E19" i="840"/>
  <c r="F19" i="840"/>
  <c r="G19" i="840"/>
  <c r="I19" i="840"/>
  <c r="J19" i="840"/>
  <c r="L19" i="840"/>
  <c r="M19" i="840"/>
  <c r="N19" i="840"/>
  <c r="O19" i="840"/>
  <c r="O10" i="840"/>
  <c r="N10" i="840"/>
  <c r="M10" i="840"/>
  <c r="L10" i="840"/>
  <c r="J10" i="840"/>
  <c r="I10" i="840"/>
  <c r="G10" i="840"/>
  <c r="F10" i="840"/>
  <c r="E10" i="840"/>
  <c r="D10" i="840"/>
  <c r="C10" i="840"/>
  <c r="J25" i="840" l="1"/>
  <c r="K54" i="840"/>
  <c r="K64" i="840" s="1"/>
  <c r="K56" i="840"/>
  <c r="K63" i="840" s="1"/>
  <c r="M40" i="840" l="1"/>
  <c r="M26" i="840" l="1"/>
  <c r="R15" i="840"/>
  <c r="S15" i="840"/>
  <c r="T15" i="840"/>
  <c r="U15" i="840"/>
  <c r="V15" i="840"/>
  <c r="W15" i="840"/>
  <c r="X15" i="840"/>
  <c r="Y15" i="840"/>
  <c r="Z15" i="840"/>
  <c r="R16" i="840"/>
  <c r="S16" i="840"/>
  <c r="T16" i="840"/>
  <c r="U16" i="840"/>
  <c r="V16" i="840"/>
  <c r="W16" i="840"/>
  <c r="X16" i="840"/>
  <c r="Y16" i="840"/>
  <c r="Z16" i="840"/>
  <c r="R17" i="840"/>
  <c r="S17" i="840"/>
  <c r="T17" i="840"/>
  <c r="U17" i="840"/>
  <c r="V17" i="840"/>
  <c r="W17" i="840"/>
  <c r="X17" i="840"/>
  <c r="Y17" i="840"/>
  <c r="Z17" i="840"/>
  <c r="R18" i="840"/>
  <c r="S18" i="840"/>
  <c r="T18" i="840"/>
  <c r="U18" i="840"/>
  <c r="V18" i="840"/>
  <c r="W18" i="840"/>
  <c r="X18" i="840"/>
  <c r="Y18" i="840"/>
  <c r="Z18" i="840"/>
  <c r="R19" i="840"/>
  <c r="S19" i="840"/>
  <c r="T19" i="840"/>
  <c r="U19" i="840"/>
  <c r="V19" i="840"/>
  <c r="W19" i="840"/>
  <c r="X19" i="840"/>
  <c r="Y19" i="840"/>
  <c r="Z19" i="840"/>
  <c r="R20" i="840"/>
  <c r="S20" i="840"/>
  <c r="T20" i="840"/>
  <c r="U20" i="840"/>
  <c r="V20" i="840"/>
  <c r="W20" i="840"/>
  <c r="X20" i="840"/>
  <c r="Y20" i="840"/>
  <c r="Z20" i="840"/>
  <c r="R21" i="840"/>
  <c r="S21" i="840"/>
  <c r="T21" i="840"/>
  <c r="U21" i="840"/>
  <c r="V21" i="840"/>
  <c r="W21" i="840"/>
  <c r="X21" i="840"/>
  <c r="Y21" i="840"/>
  <c r="Z21" i="840"/>
  <c r="R22" i="840"/>
  <c r="S22" i="840"/>
  <c r="T22" i="840"/>
  <c r="U22" i="840"/>
  <c r="V22" i="840"/>
  <c r="W22" i="840"/>
  <c r="X22" i="840"/>
  <c r="Y22" i="840"/>
  <c r="Z22" i="840"/>
  <c r="R23" i="840"/>
  <c r="S23" i="840"/>
  <c r="T23" i="840"/>
  <c r="U23" i="840"/>
  <c r="V23" i="840"/>
  <c r="W23" i="840"/>
  <c r="X23" i="840"/>
  <c r="Y23" i="840"/>
  <c r="Z23" i="840"/>
  <c r="R24" i="840"/>
  <c r="S24" i="840"/>
  <c r="T24" i="840"/>
  <c r="U24" i="840"/>
  <c r="V24" i="840"/>
  <c r="W24" i="840"/>
  <c r="X24" i="840"/>
  <c r="Y24" i="840"/>
  <c r="Z24" i="840"/>
  <c r="R25" i="840"/>
  <c r="S25" i="840"/>
  <c r="T25" i="840"/>
  <c r="U25" i="840"/>
  <c r="V25" i="840"/>
  <c r="W25" i="840"/>
  <c r="X25" i="840"/>
  <c r="Y25" i="840"/>
  <c r="Z25" i="840"/>
  <c r="R26" i="840"/>
  <c r="S26" i="840"/>
  <c r="T26" i="840"/>
  <c r="U26" i="840"/>
  <c r="V26" i="840"/>
  <c r="W26" i="840"/>
  <c r="X26" i="840"/>
  <c r="Y26" i="840"/>
  <c r="Z26" i="840"/>
  <c r="R27" i="840"/>
  <c r="S27" i="840"/>
  <c r="T27" i="840"/>
  <c r="U27" i="840"/>
  <c r="V27" i="840"/>
  <c r="W27" i="840"/>
  <c r="X27" i="840"/>
  <c r="Y27" i="840"/>
  <c r="Z27" i="840"/>
  <c r="R28" i="840"/>
  <c r="S28" i="840"/>
  <c r="T28" i="840"/>
  <c r="U28" i="840"/>
  <c r="V28" i="840"/>
  <c r="W28" i="840"/>
  <c r="X28" i="840"/>
  <c r="Y28" i="840"/>
  <c r="Z28" i="840"/>
  <c r="R29" i="840"/>
  <c r="S29" i="840"/>
  <c r="T29" i="840"/>
  <c r="U29" i="840"/>
  <c r="V29" i="840"/>
  <c r="W29" i="840"/>
  <c r="X29" i="840"/>
  <c r="Y29" i="840"/>
  <c r="Z29" i="840"/>
  <c r="R30" i="840"/>
  <c r="S30" i="840"/>
  <c r="T30" i="840"/>
  <c r="U30" i="840"/>
  <c r="V30" i="840"/>
  <c r="W30" i="840"/>
  <c r="X30" i="840"/>
  <c r="Y30" i="840"/>
  <c r="Z30" i="840"/>
  <c r="R31" i="840"/>
  <c r="S31" i="840"/>
  <c r="T31" i="840"/>
  <c r="U31" i="840"/>
  <c r="V31" i="840"/>
  <c r="W31" i="840"/>
  <c r="X31" i="840"/>
  <c r="Y31" i="840"/>
  <c r="Z31" i="840"/>
  <c r="R32" i="840"/>
  <c r="S32" i="840"/>
  <c r="T32" i="840"/>
  <c r="U32" i="840"/>
  <c r="V32" i="840"/>
  <c r="W32" i="840"/>
  <c r="X32" i="840"/>
  <c r="Y32" i="840"/>
  <c r="Z32" i="840"/>
  <c r="R33" i="840"/>
  <c r="S33" i="840"/>
  <c r="T33" i="840"/>
  <c r="U33" i="840"/>
  <c r="V33" i="840"/>
  <c r="W33" i="840"/>
  <c r="X33" i="840"/>
  <c r="Y33" i="840"/>
  <c r="Z33" i="840"/>
  <c r="R34" i="840"/>
  <c r="S34" i="840"/>
  <c r="T34" i="840"/>
  <c r="U34" i="840"/>
  <c r="V34" i="840"/>
  <c r="W34" i="840"/>
  <c r="X34" i="840"/>
  <c r="Y34" i="840"/>
  <c r="Z34" i="840"/>
  <c r="R35" i="840"/>
  <c r="S35" i="840"/>
  <c r="T35" i="840"/>
  <c r="U35" i="840"/>
  <c r="V35" i="840"/>
  <c r="W35" i="840"/>
  <c r="X35" i="840"/>
  <c r="Y35" i="840"/>
  <c r="Z35" i="840"/>
  <c r="R36" i="840"/>
  <c r="S36" i="840"/>
  <c r="T36" i="840"/>
  <c r="U36" i="840"/>
  <c r="V36" i="840"/>
  <c r="W36" i="840"/>
  <c r="X36" i="840"/>
  <c r="Y36" i="840"/>
  <c r="Z36" i="840"/>
  <c r="R12" i="840"/>
  <c r="S12" i="840"/>
  <c r="T12" i="840"/>
  <c r="U12" i="840"/>
  <c r="V12" i="840"/>
  <c r="W12" i="840"/>
  <c r="X12" i="840"/>
  <c r="Y12" i="840"/>
  <c r="Z12" i="840"/>
  <c r="R13" i="840"/>
  <c r="S13" i="840"/>
  <c r="T13" i="840"/>
  <c r="U13" i="840"/>
  <c r="V13" i="840"/>
  <c r="W13" i="840"/>
  <c r="X13" i="840"/>
  <c r="Y13" i="840"/>
  <c r="Z13" i="840"/>
  <c r="R14" i="840"/>
  <c r="S14" i="840"/>
  <c r="T14" i="840"/>
  <c r="U14" i="840"/>
  <c r="V14" i="840"/>
  <c r="W14" i="840"/>
  <c r="X14" i="840"/>
  <c r="Y14" i="840"/>
  <c r="Z14" i="840"/>
  <c r="F68" i="840"/>
  <c r="L58" i="840"/>
  <c r="AX54" i="840"/>
  <c r="AW54" i="840"/>
  <c r="AV54" i="840"/>
  <c r="AU54" i="840"/>
  <c r="AT54" i="840"/>
  <c r="AS54" i="840"/>
  <c r="AR54" i="840"/>
  <c r="AQ54" i="840"/>
  <c r="AP54" i="840"/>
  <c r="AO54" i="840"/>
  <c r="AN54" i="840"/>
  <c r="AM54" i="840"/>
  <c r="AL54" i="840"/>
  <c r="AK54" i="840"/>
  <c r="AJ54" i="840"/>
  <c r="AI54" i="840"/>
  <c r="AH54" i="840"/>
  <c r="AG54" i="840"/>
  <c r="AF54" i="840"/>
  <c r="AE54" i="840"/>
  <c r="AD54" i="840"/>
  <c r="AC54" i="840"/>
  <c r="AB54" i="840"/>
  <c r="K49" i="840"/>
  <c r="D47" i="840"/>
  <c r="M34" i="840"/>
  <c r="M33" i="840"/>
  <c r="M32" i="840"/>
  <c r="M30" i="840"/>
  <c r="M28" i="840"/>
  <c r="Z11" i="840"/>
  <c r="Y11" i="840"/>
  <c r="X11" i="840"/>
  <c r="W11" i="840"/>
  <c r="V11" i="840"/>
  <c r="U11" i="840"/>
  <c r="T11" i="840"/>
  <c r="S11" i="840"/>
  <c r="R11" i="840"/>
  <c r="Z10" i="840"/>
  <c r="Y10" i="840"/>
  <c r="X10" i="840"/>
  <c r="W10" i="840"/>
  <c r="V10" i="840"/>
  <c r="U10" i="840"/>
  <c r="T10" i="840"/>
  <c r="S10" i="840"/>
  <c r="R10" i="840"/>
  <c r="K35" i="840" l="1"/>
  <c r="L35" i="840" s="1"/>
  <c r="M35" i="840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M31" i="840" l="1"/>
  <c r="N10" i="846" l="1"/>
  <c r="N11" i="846"/>
  <c r="N12" i="846"/>
  <c r="N13" i="846"/>
  <c r="N14" i="846"/>
  <c r="I14" i="846"/>
  <c r="N15" i="846"/>
  <c r="J15" i="846"/>
  <c r="J12" i="846" l="1"/>
  <c r="J13" i="846"/>
  <c r="I15" i="846"/>
  <c r="I11" i="846"/>
  <c r="J10" i="846"/>
  <c r="I10" i="846"/>
  <c r="I13" i="846"/>
  <c r="J11" i="846"/>
  <c r="J14" i="846"/>
  <c r="I12" i="846" l="1"/>
  <c r="J25" i="846" s="1"/>
  <c r="L25" i="846"/>
  <c r="L35" i="846" s="1"/>
  <c r="M35" i="846" s="1"/>
  <c r="M25" i="846"/>
  <c r="G54" i="847" l="1"/>
  <c r="K54" i="847"/>
  <c r="K64" i="847" s="1"/>
  <c r="N10" i="851" l="1"/>
  <c r="I10" i="851"/>
  <c r="J10" i="851"/>
  <c r="N11" i="851"/>
  <c r="I11" i="851"/>
  <c r="J11" i="851"/>
  <c r="N12" i="851"/>
  <c r="J12" i="851"/>
  <c r="N13" i="851"/>
  <c r="I13" i="851"/>
  <c r="J13" i="851"/>
  <c r="I12" i="851" l="1"/>
  <c r="J26" i="851" s="1"/>
  <c r="N10" i="853" l="1"/>
  <c r="N11" i="853"/>
  <c r="N12" i="853"/>
  <c r="N13" i="853"/>
  <c r="N14" i="853"/>
  <c r="N15" i="853"/>
  <c r="N16" i="853"/>
  <c r="N17" i="853"/>
  <c r="J13" i="852"/>
  <c r="I13" i="852"/>
  <c r="C12" i="854" l="1"/>
  <c r="C13" i="854"/>
  <c r="N10" i="854" l="1"/>
  <c r="N11" i="854"/>
  <c r="J11" i="854"/>
  <c r="N12" i="854"/>
  <c r="N13" i="854"/>
  <c r="N14" i="854"/>
  <c r="I14" i="854"/>
  <c r="J14" i="854"/>
  <c r="N15" i="854"/>
  <c r="J15" i="854"/>
  <c r="N16" i="854"/>
  <c r="N17" i="854"/>
  <c r="I17" i="854"/>
  <c r="J17" i="854"/>
  <c r="I15" i="854" l="1"/>
  <c r="J12" i="854"/>
  <c r="J10" i="854"/>
  <c r="I16" i="854"/>
  <c r="I11" i="854"/>
  <c r="I13" i="854"/>
  <c r="I12" i="854"/>
  <c r="J13" i="854"/>
  <c r="I10" i="854"/>
  <c r="J24" i="854" s="1"/>
  <c r="J16" i="854"/>
  <c r="C24" i="854" l="1" a="1"/>
  <c r="C24" i="854" s="1"/>
  <c r="C22" i="852" l="1" a="1"/>
  <c r="C22" i="852" s="1"/>
  <c r="C44" i="843" l="1"/>
  <c r="C45" i="843"/>
  <c r="C37" i="840"/>
  <c r="C26" i="844" l="1" a="1"/>
  <c r="C26" i="844" s="1"/>
  <c r="C43" i="841"/>
  <c r="C38" i="840"/>
  <c r="C41" i="841" a="1"/>
  <c r="C41" i="841" s="1"/>
  <c r="C39" i="841" l="1" a="1"/>
  <c r="C39" i="841" s="1"/>
  <c r="C42" i="843"/>
  <c r="C43" i="843"/>
  <c r="E53" i="845" l="1"/>
  <c r="N10" i="857" l="1"/>
  <c r="N11" i="857"/>
  <c r="N12" i="857"/>
  <c r="N13" i="857"/>
  <c r="N14" i="857"/>
  <c r="N15" i="857"/>
  <c r="N16" i="857"/>
  <c r="N17" i="857"/>
  <c r="J10" i="857" l="1"/>
  <c r="I10" i="857" l="1"/>
  <c r="K10" i="855"/>
  <c r="K11" i="855"/>
  <c r="K12" i="855"/>
  <c r="K13" i="855"/>
  <c r="K14" i="855"/>
  <c r="K15" i="855"/>
  <c r="K16" i="855"/>
  <c r="K17" i="855"/>
  <c r="K11" i="848" l="1"/>
  <c r="K12" i="848"/>
  <c r="K13" i="848"/>
  <c r="K14" i="848"/>
  <c r="K15" i="848"/>
  <c r="K16" i="848"/>
  <c r="K17" i="848"/>
  <c r="K10" i="848" l="1"/>
  <c r="I14" i="857" l="1"/>
  <c r="I16" i="857"/>
  <c r="I12" i="857" l="1"/>
  <c r="I17" i="857"/>
  <c r="I15" i="857"/>
  <c r="I13" i="857"/>
  <c r="I11" i="857" l="1"/>
  <c r="J25" i="857" s="1"/>
  <c r="I18" i="856" l="1"/>
  <c r="J31" i="856" s="1"/>
  <c r="M25" i="857"/>
  <c r="L36" i="858"/>
  <c r="M36" i="858" s="1"/>
  <c r="L25" i="857"/>
  <c r="L35" i="857" s="1"/>
  <c r="M35" i="857" s="1"/>
  <c r="K55" i="858" l="1"/>
  <c r="K57" i="858"/>
  <c r="K66" i="858" s="1"/>
  <c r="J56" i="18" l="1"/>
  <c r="G60" i="19" l="1"/>
  <c r="G63" i="19"/>
  <c r="J61" i="19"/>
  <c r="J60" i="19" l="1"/>
  <c r="J63" i="19"/>
  <c r="G59" i="858" l="1"/>
  <c r="D58" i="856"/>
  <c r="D53" i="845"/>
  <c r="L53" i="845" l="1"/>
  <c r="C64" i="845" s="1"/>
  <c r="L58" i="856"/>
  <c r="C69" i="856" s="1"/>
  <c r="G64" i="847"/>
  <c r="D54" i="847"/>
  <c r="L54" i="847" s="1"/>
  <c r="C64" i="847" s="1"/>
  <c r="K59" i="858" l="1"/>
  <c r="K67" i="858" s="1"/>
  <c r="J65" i="18" l="1"/>
  <c r="J57" i="18"/>
  <c r="J18" i="859" l="1"/>
  <c r="I18" i="859" l="1"/>
  <c r="J29" i="859" s="1"/>
  <c r="N11" i="860" l="1"/>
  <c r="N12" i="860"/>
  <c r="N13" i="860"/>
  <c r="J13" i="860" l="1"/>
  <c r="J12" i="860"/>
  <c r="J11" i="860"/>
  <c r="J10" i="860"/>
  <c r="I13" i="860" l="1"/>
  <c r="I12" i="860"/>
  <c r="I11" i="860"/>
  <c r="I10" i="860"/>
  <c r="J32" i="860" s="1"/>
  <c r="K12" i="850" l="1"/>
  <c r="K13" i="850"/>
  <c r="K10" i="852"/>
  <c r="K11" i="852"/>
  <c r="K12" i="852"/>
  <c r="K13" i="852"/>
  <c r="K10" i="853"/>
  <c r="K11" i="853"/>
  <c r="K12" i="853"/>
  <c r="K13" i="853"/>
  <c r="K14" i="853"/>
  <c r="K15" i="853"/>
  <c r="K16" i="853"/>
  <c r="K17" i="853"/>
  <c r="K20" i="858"/>
  <c r="K21" i="858"/>
  <c r="K22" i="858"/>
  <c r="K10" i="859"/>
  <c r="K11" i="859"/>
  <c r="K12" i="859"/>
  <c r="K13" i="859"/>
  <c r="K14" i="859"/>
  <c r="K15" i="860"/>
  <c r="K16" i="860"/>
  <c r="K17" i="860"/>
  <c r="K18" i="860"/>
  <c r="K17" i="841"/>
  <c r="K18" i="841"/>
  <c r="K19" i="841"/>
  <c r="K10" i="842"/>
  <c r="K11" i="842"/>
  <c r="K12" i="842"/>
  <c r="K13" i="842"/>
  <c r="K14" i="842"/>
  <c r="K15" i="842"/>
  <c r="K19" i="844"/>
  <c r="K10" i="845"/>
  <c r="K11" i="845"/>
  <c r="K12" i="845"/>
  <c r="K13" i="845"/>
  <c r="K14" i="845"/>
  <c r="K15" i="845"/>
  <c r="K16" i="845"/>
  <c r="K17" i="845"/>
  <c r="K18" i="845"/>
  <c r="K19" i="845"/>
  <c r="K20" i="845"/>
  <c r="K11" i="850"/>
  <c r="K10" i="850" l="1"/>
  <c r="J15" i="860"/>
  <c r="I15" i="860" l="1"/>
  <c r="J33" i="860" s="1"/>
  <c r="N10" i="860" l="1"/>
  <c r="D64" i="19"/>
  <c r="D60" i="19"/>
  <c r="D61" i="19"/>
  <c r="D63" i="19"/>
  <c r="D59" i="19"/>
  <c r="F53" i="845" l="1"/>
  <c r="F58" i="856"/>
  <c r="D57" i="19"/>
  <c r="D62" i="18"/>
  <c r="D62" i="19"/>
  <c r="F59" i="843"/>
  <c r="I59" i="843" s="1"/>
  <c r="F52" i="849"/>
  <c r="I52" i="849" s="1"/>
  <c r="D59" i="18"/>
  <c r="F53" i="854"/>
  <c r="D57" i="18" l="1"/>
  <c r="I58" i="856"/>
  <c r="H58" i="856"/>
  <c r="I53" i="845"/>
  <c r="H53" i="845"/>
  <c r="D56" i="18"/>
  <c r="M31" i="859"/>
  <c r="M34" i="860"/>
  <c r="M28" i="858"/>
  <c r="M27" i="857"/>
  <c r="M31" i="856"/>
  <c r="M24" i="855"/>
  <c r="M26" i="854"/>
  <c r="M28" i="853"/>
  <c r="M24" i="852"/>
  <c r="M28" i="851"/>
  <c r="M28" i="850"/>
  <c r="M26" i="845"/>
  <c r="M28" i="844"/>
  <c r="M24" i="842"/>
  <c r="M25" i="849"/>
  <c r="M29" i="841"/>
  <c r="M25" i="848"/>
  <c r="M27" i="847"/>
  <c r="M27" i="846"/>
  <c r="M32" i="843"/>
  <c r="M27" i="840"/>
  <c r="D58" i="18"/>
  <c r="D56" i="19" l="1"/>
  <c r="D58" i="19"/>
  <c r="D65" i="19" l="1"/>
  <c r="D65" i="18"/>
  <c r="G57" i="858" l="1"/>
  <c r="G51" i="855"/>
  <c r="D55" i="844"/>
  <c r="D51" i="852"/>
  <c r="D57" i="858"/>
  <c r="L57" i="858" s="1"/>
  <c r="C66" i="858" s="1"/>
  <c r="D51" i="855"/>
  <c r="L51" i="855" s="1"/>
  <c r="C60" i="855" s="1"/>
  <c r="G58" i="841" l="1"/>
  <c r="G61" i="843"/>
  <c r="G61" i="860"/>
  <c r="G63" i="860"/>
  <c r="G60" i="852"/>
  <c r="G51" i="852"/>
  <c r="G53" i="854"/>
  <c r="I53" i="854" s="1"/>
  <c r="G55" i="844"/>
  <c r="L51" i="852"/>
  <c r="C60" i="852" s="1"/>
  <c r="G56" i="840"/>
  <c r="L55" i="844"/>
  <c r="C64" i="844" s="1"/>
  <c r="D58" i="859"/>
  <c r="L58" i="859" s="1"/>
  <c r="C72" i="859" s="1"/>
  <c r="D56" i="841"/>
  <c r="L56" i="841" s="1"/>
  <c r="C71" i="841" s="1"/>
  <c r="D63" i="860"/>
  <c r="L63" i="860" s="1"/>
  <c r="D56" i="840"/>
  <c r="G65" i="841"/>
  <c r="D58" i="841"/>
  <c r="L58" i="841" s="1"/>
  <c r="C65" i="841" s="1"/>
  <c r="G68" i="843"/>
  <c r="D61" i="843"/>
  <c r="L61" i="843" s="1"/>
  <c r="C68" i="843" s="1"/>
  <c r="G60" i="855"/>
  <c r="D61" i="860"/>
  <c r="D53" i="854"/>
  <c r="G72" i="859"/>
  <c r="L61" i="860" l="1"/>
  <c r="G66" i="858"/>
  <c r="G64" i="844"/>
  <c r="L56" i="840"/>
  <c r="C63" i="840" s="1"/>
  <c r="G63" i="840"/>
  <c r="G62" i="854"/>
  <c r="C72" i="860"/>
  <c r="G56" i="18"/>
  <c r="H53" i="854"/>
  <c r="L53" i="854"/>
  <c r="C62" i="854" s="1"/>
  <c r="G72" i="860"/>
  <c r="G71" i="841"/>
  <c r="G62" i="18"/>
  <c r="G59" i="18"/>
  <c r="G59" i="19" l="1"/>
  <c r="G62" i="19" l="1"/>
  <c r="J62" i="19" l="1"/>
  <c r="J57" i="19"/>
  <c r="J58" i="19"/>
  <c r="G56" i="19"/>
  <c r="J59" i="19"/>
  <c r="J64" i="19"/>
  <c r="G64" i="19"/>
  <c r="J65" i="19"/>
  <c r="J56" i="19"/>
  <c r="D54" i="840"/>
  <c r="L54" i="840" s="1"/>
  <c r="C64" i="840" s="1"/>
  <c r="D61" i="858" l="1"/>
  <c r="L61" i="858" s="1"/>
  <c r="G69" i="843"/>
  <c r="D59" i="843"/>
  <c r="D55" i="858"/>
  <c r="L55" i="858" s="1"/>
  <c r="G61" i="19"/>
  <c r="G69" i="856"/>
  <c r="D59" i="858" l="1"/>
  <c r="L59" i="858" s="1"/>
  <c r="C67" i="858" s="1"/>
  <c r="G62" i="849"/>
  <c r="D52" i="849"/>
  <c r="G65" i="853"/>
  <c r="D55" i="853"/>
  <c r="L55" i="853" s="1"/>
  <c r="C65" i="853" s="1"/>
  <c r="G67" i="858"/>
  <c r="L59" i="843"/>
  <c r="C69" i="843" s="1"/>
  <c r="H59" i="843"/>
  <c r="G64" i="840"/>
  <c r="L52" i="849" l="1"/>
  <c r="C62" i="849" s="1"/>
  <c r="H52" i="849"/>
  <c r="G64" i="845"/>
  <c r="G57" i="18"/>
  <c r="G58" i="18" l="1"/>
  <c r="G58" i="19" l="1"/>
  <c r="G65" i="18"/>
  <c r="G57" i="19"/>
  <c r="G65" i="19"/>
  <c r="K13" i="860" l="1"/>
  <c r="K12" i="858" l="1"/>
  <c r="K13" i="858"/>
  <c r="K14" i="858"/>
  <c r="K15" i="858"/>
  <c r="K16" i="858"/>
  <c r="K17" i="858"/>
  <c r="K16" i="859"/>
  <c r="K17" i="859"/>
  <c r="K18" i="859"/>
  <c r="K19" i="859"/>
  <c r="K10" i="860"/>
  <c r="K11" i="860"/>
  <c r="K12" i="860"/>
  <c r="K11" i="857" l="1"/>
  <c r="K12" i="857"/>
  <c r="K13" i="857"/>
  <c r="K14" i="857"/>
  <c r="K15" i="857"/>
  <c r="K16" i="857"/>
  <c r="K17" i="857"/>
  <c r="K10" i="858"/>
  <c r="K11" i="858"/>
  <c r="K18" i="856" l="1"/>
  <c r="K17" i="856"/>
  <c r="K10" i="857"/>
  <c r="K11" i="856"/>
  <c r="K12" i="856"/>
  <c r="K13" i="856"/>
  <c r="K14" i="856"/>
  <c r="K15" i="856"/>
  <c r="K16" i="856"/>
  <c r="K10" i="856" l="1"/>
  <c r="K10" i="854" l="1"/>
  <c r="K11" i="854"/>
  <c r="K12" i="854"/>
  <c r="K13" i="854"/>
  <c r="K14" i="854"/>
  <c r="K15" i="854"/>
  <c r="K16" i="854"/>
  <c r="K17" i="854"/>
  <c r="K19" i="853" l="1"/>
  <c r="K13" i="851"/>
  <c r="K12" i="851"/>
  <c r="K11" i="851"/>
  <c r="K10" i="851"/>
  <c r="K28" i="861" l="1"/>
  <c r="K38" i="861" s="1"/>
  <c r="L38" i="861" s="1"/>
  <c r="M38" i="861" s="1"/>
  <c r="K15" i="846" l="1"/>
  <c r="K10" i="846" l="1"/>
  <c r="K11" i="846"/>
  <c r="K12" i="846"/>
  <c r="K13" i="846"/>
  <c r="K14" i="846"/>
  <c r="K14" i="844" l="1"/>
  <c r="K17" i="844" l="1"/>
  <c r="K10" i="843" l="1"/>
  <c r="K11" i="843"/>
  <c r="K12" i="843"/>
  <c r="K13" i="843"/>
  <c r="K14" i="843"/>
  <c r="K15" i="843"/>
  <c r="K16" i="843"/>
  <c r="K17" i="843"/>
  <c r="K18" i="843"/>
  <c r="K19" i="843"/>
  <c r="K10" i="844"/>
  <c r="K11" i="844"/>
  <c r="K12" i="844"/>
  <c r="K13" i="844"/>
  <c r="K15" i="844"/>
  <c r="K16" i="844"/>
  <c r="K15" i="841" l="1"/>
  <c r="K14" i="841"/>
  <c r="K13" i="841"/>
  <c r="K12" i="841"/>
  <c r="K11" i="841"/>
  <c r="K10" i="841"/>
  <c r="K19" i="840"/>
  <c r="K18" i="840"/>
  <c r="K17" i="840"/>
  <c r="K16" i="840"/>
  <c r="K15" i="840"/>
  <c r="K14" i="840"/>
  <c r="K13" i="840"/>
  <c r="K12" i="840"/>
  <c r="K11" i="840"/>
  <c r="K10" i="8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C1CD7A7-957A-4C42-9D42-0A1EB618C0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B0BB95F-7B3A-4C21-91CB-A6AF281FE8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D3E4FF8-482D-4049-848E-7E5A0D1F3B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2D8E1D1-DB56-43BE-8B2D-AB12090D1E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675BFF0-FE04-480B-A727-7C21B3853E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AF2DA6D-37EC-4A8B-87A0-192EEB6F51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FD55513-41CC-4C54-BD97-DC58DD901D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DBECA01-8390-4375-81FF-8A1B4B83C0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16275F2-9E22-49FA-8B73-291457BB49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5B0041A-6596-4BD0-A825-DBBD6F1FCD1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9236970-AC63-4521-B71B-A854305856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8D605C5-07ED-4D20-8906-708C950361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C714A38-5B94-49E9-A79F-5C54188476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832CEB3-A25A-4688-8D18-C9F8970CA3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F30A26A-2EA1-4C86-A913-E637C1455B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DDD755-0B41-4819-A746-CD9E2C49E6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F9361FE-8448-4ABB-AE57-28E8723836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261984F-5C1C-4B6C-97CA-F1C9836803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7A84A14-22A6-4E86-97D7-AA33BCFEEF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5183198-3F11-49EE-803C-16253BF97E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A832AAA-80F2-4758-AC5D-AC3BDA0E803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EB99326-1695-4F08-AE4F-80743BF989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EE27346-43F0-44E4-9EBA-0C7B2A164D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09D7E21-42DD-4998-B436-3A5BB6E762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2943B04-F410-4465-AE75-0CAF2CF522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41222F6-92A7-4179-9B8F-3EAF468DA3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F9E644F-D5CB-43C3-ABC5-AD9E83347D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BE1006A-82E0-49AE-B401-E8DEC51702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9C7F210-A927-46B1-AF27-80D1BD1A9D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F07FF2B-2F0C-4C73-8327-BBFC767D7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E014D04-AFE2-44FF-AB79-D76128AB1A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F864875-258E-4A64-BBE8-7EFA284D8AC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7BED64D-B1E4-46E3-B12D-D393F9E2E3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2238C4B-BC2E-4B27-A55F-A227ED7CCB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4661F41-0682-4E48-836F-335668F77F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04B713A-67A6-4431-9D58-B861DD101F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EE3AB19-B479-45CF-AADF-FE7920F959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CB35F46-C4B2-4F80-B696-3686D43AC6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15ECD41-44A3-400A-A85E-ABA63BF2E9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E75F6BA-6F3A-4964-8636-19886853A4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2DF21C7-0B16-408E-B081-5E6B8069E3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FA99210-8648-41C1-B842-13DD3FF394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B0FDA69-5B17-4809-9DCF-A4A5019FBC3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5F5F3AC-1D2B-49DC-B893-022FEF6710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FA9BCB3-9023-4AE7-B71B-B27889D48E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6129FA2-145B-4FBB-AA40-D881A41032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68AAED1-9E5F-4215-93AC-7545D6FCF1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AA397A2-8071-47D9-829E-092F6A44BE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BE4EE75-39C7-4EF0-AAA5-202D323A29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17849C9-504E-4F4D-B525-374728852D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79919A1-B706-4737-8639-B8BEF62DE8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90C0030-20F0-4D8E-B21B-61E05FE330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E400194-CA26-4ACB-9219-90F6DC258A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3773653-A52A-4737-B75A-D44D8CF9F70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3C9AF05-0BF4-423E-90E9-2A8472D906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G16" authorId="1" shapeId="0" xr:uid="{9EC74062-1A8C-4064-BF94-B80E7F76C6C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A691BCF-BF2E-4B94-B5FC-F3A04A0BB6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7CAACEF-DD9C-4D02-9532-1AD29A3582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74CE8BD-CB16-4978-BC00-B4059AABE7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670DE10-CF19-4287-BFFD-6D2D446F37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BB038F5-BF17-4010-8021-5D000BA807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0EFAB8-A059-4223-8402-60CEF73250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25C5832-6B63-4130-A95A-C1E8EB03BA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18FE884-72B8-4C94-921E-3F4DC876D3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FAC1B46-CCAF-45DB-BB20-6C1A02CE7D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5590F8E-F909-4E74-A1CD-D9C8B704864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CBAD898-A91C-47D2-AD37-3F08246333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C32A180-05B1-4BB8-9018-54F2B8F3FB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10C67CA-B056-4636-864D-61C1E9B6E7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21CB195-8B52-4A3E-9C2E-3690590456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B7A36AC-48C2-4E5D-BA50-1E7788BB1C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7083783-E419-49B4-BF07-2F5DA74488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6345F85-66E9-424B-B1E9-CE9B5B26FC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57D1619-4C7E-46B1-88BA-D012AE2DF2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FB66739-3063-42CF-99CF-1C45B36E20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08A23F9-BBAD-4659-82EA-991D2477EB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BC09845-65FA-43A1-AD61-959163391F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020B6DF-FEDD-497A-8AED-578B2C2C70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9" authorId="1" shapeId="0" xr:uid="{790A325A-0443-4A92-BF20-BECF287000A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availabilty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11111D4-D758-47D0-8AC2-4352522ACA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48FA788-EFC4-4F38-8B38-AE475869F2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70A3C0B-04E9-419C-B224-1BCBA72158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742D567-2351-4291-92A5-DD095E27F3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4B0569C-D5D4-40F3-AC23-AF90FA28F5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D7A6487-7AA2-4282-B614-AD57828463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92E84FB-950B-4B50-968B-3A5D529D4E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0A5F04-EDA5-4B5D-B9DA-82E3AC34F2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85EC956-C078-4141-B3AE-E06271BA4F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B2ACE6F-B053-42D7-B2D7-8B44A1D2A8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B97DF8F-7439-4285-B5D6-2FEAAA18A8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9" authorId="1" shapeId="0" xr:uid="{394F3229-2E27-4C09-9DD1-2C13206C54D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no tank availabilty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2B03106-CBBB-4D8C-A0D4-E638E04145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34B5947-7EDF-4BFD-A20C-5E7B14FCA2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68CF947-07EF-4037-BDD5-05512A5E36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8978891-EB6F-41CA-83D0-FCB8CD6968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E0E7E8A-8953-4E5B-896D-4A2838503F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32AB32C-93A1-44D6-A91C-19A6583B72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191DB0D-6FCA-4F23-9BFA-460E2735E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D03EAD8-3C10-4499-915D-9822498064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0CB5EDA-2985-43B7-8D1D-3A759E0ABF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15FD9F9-531B-4DC9-959F-D8F7C3CA42D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5FE1F37-D817-4477-9AB6-7DD94308C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246B8D97-0146-4EB2-B751-14F2844231B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145055F-043F-4B67-B2F5-7F0221E386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35796AB-A442-4E04-8890-C8F9C11513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3CB3AAB-8EFD-447C-A09C-C6EB25A09B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5D497ED-19B4-4846-BBD4-7295CC39F8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7951AF1-2878-43A6-87C5-1FB15958EC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2430383-5CDC-45DD-A89E-20CDDABB86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7BCBB1C-76A2-42DB-84BD-F888EFAD0B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6473D0C-AE68-4DD9-BAD5-BD62ADC84A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916404F-6E47-4791-96DB-E1DF06FC1E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EE4B5FC-7CA5-4EE2-97E2-5FCB5701AAF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8E3E384-9420-45CE-BBB8-A15C03F11B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394FA378-E2E9-4135-A87E-CDB7F8CED76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531BBE8-E8C6-4B0D-934E-0CDD9F3FFC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B15C0DF-2243-4B14-9C43-D38812BB9D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8F94988-36A0-40D6-B093-534131EDDA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1E0361E-85E7-4295-97B0-F920391354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7CABFFB-EADC-4535-A379-FCF3E9FBC9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5053001-0892-48B2-BB5C-7679C31632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1F73F4-86FA-47FB-B2DD-2DDDABE4B0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9AB4F98-4075-4F6E-A65B-2E67F257D5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32A975D-4416-461E-8C70-70F43BCBDB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54B1F62-B175-4218-AE3E-37CCA27C47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22BDCFD-CAC9-4D21-B0C2-00DAAB72F8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7EB18273-8CEA-4058-B923-36471FE44CD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cinverted to Carib</t>
        </r>
      </text>
    </comment>
    <comment ref="K50" authorId="1" shapeId="0" xr:uid="{C0308C0F-3AFD-4650-BE4E-50B0F3BD18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21E49C1-B5D4-44AD-AF3E-89F7A1B345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9802B91-5952-430E-AF0F-83F68974DA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EDCFF31-FB56-4E33-B316-4F5855E32A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A3556EE-3043-4144-8B58-3BA6D0F797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604E416-8E78-46AA-8E0D-96C3F02C43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29479C-DD63-4565-8326-7CE9C758DA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C7B854B-B103-43D7-82AF-388CB72B86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4DDB72D-B261-4C2D-823A-D8D157E5C0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D4EC195-CCA3-43CA-B6DA-8C927215E9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906E1C8-A2A2-46A0-8C7A-CCC102D1FE3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FA773B1-7196-4071-8FBA-FEE930C269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1628589E-BB3F-4B3E-9B5B-C23B320536B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  <comment ref="K50" authorId="1" shapeId="0" xr:uid="{F9CA2382-ACA3-4F38-BE81-39B2897062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B2C9B42-6676-4C0A-BEFE-DAB76DFF5B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86B225A-5F2B-4D40-93E9-305115EF3B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81AFFF3-296A-4FD1-A52F-1C919B632E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718C092-FE67-4879-91C3-086F5B25F7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1FFDA1B-F185-4C16-9B8D-5C8154E462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4E71BED-FD26-4D2C-8CA6-C7B9EDDD5D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879D0D9-79CA-41D0-A78C-6FF5BF9B67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1CFE144-00C6-4021-9F48-DDC010F697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B26A51A-A4A3-47C5-BAD1-EE55397A67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4561BCE-A9DD-4654-B075-181898F4FE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E5D4E85-2355-473B-B7EE-D7F3F2E2A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2" authorId="1" shapeId="0" xr:uid="{22B1BD4A-4814-407B-BDF9-6FEBE178F7F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  <comment ref="K46" authorId="1" shapeId="0" xr:uid="{59B003BD-AB4C-4B72-A206-6AF72618489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63071B6-FDBF-4956-81C6-CA6D6E933D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7B901D2-3CA3-4422-B7EC-6A24F11F2B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4F93AAF-9074-46ED-84D2-F04A111C34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D9CEDBB-F321-4766-A55F-B8B73233BB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1C887AE-8A75-49C3-AADE-B33892F880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FBFF181-78D3-46AE-84FB-AD349A12E2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3584601-F1EC-4618-8661-C954EA47AD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2662BF4-D0FA-4A40-94B2-F4BDD7690B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82DC952-025C-4598-9BC7-42DE8C4575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F190401-84FA-4CA6-9D65-F07DA6D3CA2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BE1D126-4D9E-4923-9CFE-F3189A5B9A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3FDB2B50-C256-48D8-8B8B-9436C7A914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  <comment ref="K50" authorId="1" shapeId="0" xr:uid="{5E9C3494-FB26-474E-96D2-57B58B3F00F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B689961-A978-4DC5-B8BB-78C5E06112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53D4364-1117-4E4C-80BB-3E84DEB5CB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CEF5AFD-2EBD-4672-907E-0FEC967AB6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6467605-9B30-456F-A52D-F76568467C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630F4EA-4C00-4D3D-B58B-D35D6DE347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844D209-EACD-43BC-A9FC-8183425DA8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D37027B-8874-4F59-B5A0-052A109CFD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669B1A1-CFD5-4014-B50A-6B0930F980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39C025E-D762-4925-8C88-9C59648332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40BBFFB-C414-42FE-9F3D-3655D96A8A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4D12671-1D6F-4F57-9454-80253F7F2C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4" authorId="1" shapeId="0" xr:uid="{B0E3FBFE-C385-4121-94CE-F31DBB01A5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36BE91C-8622-43F7-847F-E6491AA55D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6725A0A-0B61-4EB7-8DD2-4E4BAFEAF7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D699379-12C5-43F0-9DA8-93A9B96799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F75CE50-08C4-4A42-9763-B3BCAB4B8F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6936EDE-5CD9-4DDF-8E6E-EA1E02F0F0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FB723CC-8A28-4EDE-B678-209F25644C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A8B920E-79E4-4338-BB09-E18677E695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CE97C0F-5490-4CA1-A1D7-41F622504A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21F5DEC-1A22-40A3-8602-2B31ACD746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FDA4C98-1741-418E-A5D8-EDB8C03C7E1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2AF93C0-762A-4780-8DED-12D9BBB740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2" authorId="1" shapeId="0" xr:uid="{A7F31824-C1A8-4410-B214-3497B1F21AE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3DAF31A-4AF0-4854-8F4F-98FB26B7C9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6F53527-671D-47D1-9B90-83C96CF786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BE9FC82-E086-4332-B885-9FC1C7982B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DBC31F2-55D1-4613-BD04-51F097970C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6A2EF3-E8F0-4E32-9210-CAFC906CF0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E4070C7-2BEF-4150-B3D0-685E1DA5DF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130D2B9-C2F1-40D2-9776-7802EB3028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ABD13C6-0C2A-4174-890C-2D2489C4E2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882D633-4EBD-486E-88F4-42BA08769B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B98BAF3-84B8-42C2-91E9-CC3A4B57D7C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DCC4B6B-9533-432E-9779-E9F58C18F6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9" authorId="1" shapeId="0" xr:uid="{2DEB9AD7-DAD7-4A54-9E24-A9A73980F90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330C194-9E14-4A0C-ADDE-744AB585DC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63B1668-29CE-423A-8FC4-4FF7191F37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A70FB2A-7686-47CD-B6CA-F77730A7DD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AB30C6F-1520-4CA9-9B50-C6851D4E3B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57DA81E-3EB7-4659-BBED-CED8892AEC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4C5B78B-1E94-4DD7-A505-C7A684D6D2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79B723E-F0B7-4819-BCE0-7C55344794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CB99D7B-4EAA-4902-A448-EB1B2EC4A5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4392797-C85E-46A2-A398-06C3CD7175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64709E5-14D6-4BB5-A587-D34BC6B9B6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287A750-3E45-46C3-974B-2DD826C30C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5" authorId="1" shapeId="0" xr:uid="{0D2CA940-87FC-472E-9524-220067CE37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D2F4B90-ACD7-4BB6-A665-6ACC6E40EA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1D47C29-1086-4640-A562-291AFFAB6B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0A2C4B-1928-4080-9E33-44E5D25E68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E4FD832-093F-4037-AE67-BC64385917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FDBDBDD-FCC4-4C5C-B353-AF8EF7EEA5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215628E-F343-4722-BF91-5F03A64630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B35BCAB-C65E-419F-919D-AB6423EA5D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404FCDA-3ABE-416D-8387-1200FDDC46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88D175C-0569-494F-8B16-442C4590AA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3E1CBCB-B367-4FFB-923A-03FF6EF22A6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14A35E7-BBE2-41E8-9822-1824546D62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E642A220-9CFC-4E22-A2BB-72DF5340CB6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7A13062-0BC3-4B9C-A56B-DA8C6E1557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DA3612B-0290-4188-A2B3-9916C99C44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59B7314-C6BC-40E6-918E-07958FEC86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A787797-833E-4023-9D74-BE5255E92D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40A5984-677A-4E44-9386-9EF9D7E7E2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482C1D3-4A15-4360-8EB7-0E136EC06E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11D503F-55BC-41FB-974D-8E04F5252B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FE68FF5-FC8D-4309-8DB5-0B4B339ADE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25D69A8-ED0B-4729-9328-F93E0538BE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FA40B4F-E056-413A-8349-CC75602ACA2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9D430EB-B4BC-40C1-B554-51C1DEE02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9" authorId="1" shapeId="0" xr:uid="{CEDB089E-E501-41F0-B0AC-79F75D9DE24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D176D36-2285-4A7E-83C3-BF8D68150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CBB8449-E0C6-48F3-9084-84676489AA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9CF852-3BAA-4BEA-9AE3-E52F73CEE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A3E29C4-5A3A-4121-8800-93CA9AC41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A0E9557-2EA7-4CBC-91AB-EDF5183444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01E387D-C46B-4A69-8993-4F4F062099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72AAB0C-98FB-4E6A-BE8D-7FDB34B7DE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E2D83E1-DAD5-48AB-A6D3-559341A83B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7ECCC36-2DDC-4082-A1B2-1A928D8D19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549D46C-BD56-48AD-AEC4-7FF4B411967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6DFAE12-04A9-4BD9-8521-E1BDF25304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2" authorId="1" shapeId="0" xr:uid="{9BE61FB9-F5C8-4A87-94B5-E84E138828F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E2609A1-EBC9-413F-81D9-136638B7CB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F9B883A-535F-492D-9B81-AD7F13DF36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956E321-059A-4BD2-B1EA-E58FA26228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BC0C8AE-A925-43A2-9CD1-34971E55F2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9A17111-0D2F-4957-AE03-93CEAC3F7F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C0541F5-3648-474E-9955-D6C4C44E50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492C1DD-17B3-4432-9ECC-41FF164538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56A48E0-6714-40F3-A63F-189CC320D8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58C9781-2A65-42C9-BC7F-30015863EE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B29B039-DAA5-46CD-AD6D-24A9E47F584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E078AD1-6F28-4C78-8F24-FE9B9F3513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G16" authorId="1" shapeId="0" xr:uid="{CEC09BBA-1539-4683-B3B3-5D897667423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no analysis </t>
        </r>
      </text>
    </comment>
    <comment ref="K28" authorId="1" shapeId="0" xr:uid="{DEA67919-4C8E-48D1-B490-3BC364DDE16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Stag bews converted to Carib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<sst xmlns="http://schemas.openxmlformats.org/spreadsheetml/2006/main" count="3381" uniqueCount="202">
  <si>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</si>
  <si>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</si>
  <si>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</si>
  <si>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</si>
  <si>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</si>
  <si>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</si>
  <si>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</si>
  <si>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</si>
  <si>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</si>
  <si>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</si>
  <si>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</si>
  <si>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</si>
  <si>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</si>
  <si>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</si>
  <si>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</si>
  <si>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</si>
  <si>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</si>
  <si>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</si>
  <si>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</si>
  <si>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</si>
  <si>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</si>
  <si>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</si>
  <si>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</si>
  <si>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</si>
  <si>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</si>
  <si>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</si>
  <si>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</si>
  <si>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</si>
  <si>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</si>
  <si>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</si>
  <si>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</si>
  <si>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</si>
  <si>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</si>
  <si>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</si>
  <si>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</si>
  <si>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</si>
  <si>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</si>
  <si>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</si>
  <si>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</si>
  <si>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</si>
  <si>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</si>
  <si>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</si>
  <si>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</si>
  <si>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</si>
  <si>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</si>
  <si>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</si>
  <si>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</si>
  <si>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</si>
  <si>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</si>
  <si>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</si>
  <si>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</si>
  <si>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</si>
  <si>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</si>
  <si>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</si>
  <si>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</si>
  <si>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</si>
  <si>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</si>
  <si>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</si>
  <si>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</si>
  <si>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</si>
  <si>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</si>
  <si>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</si>
  <si>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</si>
  <si>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</si>
  <si>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</si>
  <si>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</si>
  <si>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</si>
  <si>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</si>
  <si>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</si>
  <si>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</si>
  <si>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</si>
  <si>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</si>
  <si>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</si>
  <si>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</si>
  <si>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</si>
  <si>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</si>
  <si>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</si>
  <si>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</si>
  <si>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</si>
  <si>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</si>
  <si>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</si>
  <si>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</si>
  <si>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</si>
  <si>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</si>
  <si>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</si>
  <si>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</si>
  <si>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</si>
  <si>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</si>
  <si>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</si>
  <si>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</si>
  <si>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</si>
  <si>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</si>
  <si>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</si>
  <si>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</si>
  <si>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</si>
  <si>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</si>
  <si>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</si>
  <si>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</si>
  <si>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</si>
  <si>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</si>
  <si>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</si>
  <si>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</si>
  <si>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</si>
  <si>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</si>
  <si>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</si>
  <si>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</si>
  <si>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</si>
  <si>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</si>
  <si>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</si>
  <si>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</si>
  <si>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</si>
  <si>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</si>
  <si>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</si>
  <si>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</si>
  <si>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</si>
  <si>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</si>
  <si>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</si>
  <si>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</si>
  <si>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</si>
  <si>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</si>
  <si>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</si>
  <si>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</si>
  <si>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</si>
  <si>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</si>
  <si>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</si>
  <si>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</si>
  <si>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</si>
  <si>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</si>
  <si>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</si>
  <si>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</si>
  <si>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</si>
  <si>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</si>
  <si>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</si>
  <si>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</si>
  <si>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</si>
  <si>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</si>
  <si>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</si>
  <si>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</si>
  <si>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</si>
  <si>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</si>
  <si>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</si>
  <si>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</si>
  <si>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</si>
  <si>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</si>
  <si>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</si>
  <si>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</si>
  <si>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</si>
  <si>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</si>
  <si>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</si>
  <si>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</si>
  <si>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</si>
  <si>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</si>
  <si>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</si>
  <si>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</si>
  <si>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</si>
  <si>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</si>
  <si>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</si>
  <si>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</si>
  <si>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</si>
  <si>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</si>
  <si>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</si>
  <si>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</si>
  <si>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</si>
  <si>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NO SBF</t>
  </si>
  <si>
    <t>IPA</t>
  </si>
  <si>
    <t>APA</t>
  </si>
  <si>
    <t>Extr. Rec (77.9%)</t>
  </si>
  <si>
    <t>1 SBF</t>
  </si>
  <si>
    <t xml:space="preserve"> MALT LOT: Lot #3</t>
  </si>
  <si>
    <t>LOT WORT COLOUR: 3.3</t>
  </si>
  <si>
    <t>D. Emery</t>
  </si>
  <si>
    <t xml:space="preserve">10 mins extra boil </t>
  </si>
  <si>
    <t>Skip came 1.5hrs late, hence delay in bre transfer to Lauter tun</t>
  </si>
  <si>
    <t>G.Mason</t>
  </si>
  <si>
    <t>1 SBF- SV11 refiltered (50hls)</t>
  </si>
  <si>
    <t>K. Neptune</t>
  </si>
  <si>
    <t>10mins extra boil</t>
  </si>
  <si>
    <t>Extra time doing spent grain removal</t>
  </si>
  <si>
    <t xml:space="preserve">  </t>
  </si>
  <si>
    <t>Copper up in pre-run tank</t>
  </si>
  <si>
    <t>Copper up in pre-run tank + extra boil</t>
  </si>
  <si>
    <t>Extra boil (15mins)</t>
  </si>
  <si>
    <t>J.Nelson</t>
  </si>
  <si>
    <t>Copper up in pre-run tank (issues with wort kettle ext valve)</t>
  </si>
  <si>
    <t xml:space="preserve">Sugar hopper down </t>
  </si>
  <si>
    <t>1 SBF-Water added (10hls)</t>
  </si>
  <si>
    <t>Extra boil (10mins)</t>
  </si>
  <si>
    <t>T. Charles</t>
  </si>
  <si>
    <t>BREWS CONVERTED TO CARIB</t>
  </si>
  <si>
    <t xml:space="preserve">Compressor down </t>
  </si>
  <si>
    <t>R. Regis</t>
  </si>
  <si>
    <t>T.Charles</t>
  </si>
  <si>
    <t>NO SBF -Water added</t>
  </si>
  <si>
    <t>K. Hosten</t>
  </si>
  <si>
    <t>5SBF</t>
  </si>
  <si>
    <t>4 SBF</t>
  </si>
  <si>
    <t>3 SBF</t>
  </si>
  <si>
    <t xml:space="preserve"> MALT LOT: Lot #4</t>
  </si>
  <si>
    <t>NO BREAK -P&amp;F</t>
  </si>
  <si>
    <t>Issues with spent grain rake</t>
  </si>
  <si>
    <t>NO SBF- PM</t>
  </si>
  <si>
    <t xml:space="preserve">extra boil 10 mins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</si>
</sst>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6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82" fillId="0" borderId="88" xfId="3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65" fontId="85" fillId="0" borderId="13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166" fontId="79" fillId="4" borderId="1" xfId="3" applyNumberFormat="1" applyFont="1" applyFill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2" fontId="31" fillId="0" borderId="84" xfId="3" applyNumberFormat="1" applyFont="1" applyBorder="1" applyAlignment="1">
      <alignment horizontal="center" vertical="center"/>
    </xf>
    <xf numFmtId="165" fontId="83" fillId="0" borderId="13" xfId="3" applyFont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87" fillId="0" borderId="13" xfId="3" applyFont="1" applyBorder="1" applyAlignment="1">
      <alignment horizontal="center" vertical="center"/>
    </xf>
    <xf numFmtId="0" fontId="22" fillId="0" borderId="10" xfId="3" applyNumberFormat="1" applyFont="1" applyBorder="1" applyAlignment="1">
      <alignment vertical="top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27" fillId="0" borderId="23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4" xfId="3" applyFont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85" fillId="0" borderId="23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4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0" fontId="22" fillId="0" borderId="14" xfId="3" applyNumberFormat="1" applyFont="1" applyBorder="1" applyAlignment="1">
      <alignment horizontal="center" vertical="top" wrapText="1"/>
    </xf>
    <xf numFmtId="0" fontId="22" fillId="0" borderId="76" xfId="3" applyNumberFormat="1" applyFont="1" applyBorder="1" applyAlignment="1">
      <alignment horizontal="center" vertical="top" wrapText="1"/>
    </xf>
    <xf numFmtId="0" fontId="22" fillId="0" borderId="10" xfId="3" applyNumberFormat="1" applyFont="1" applyBorder="1" applyAlignment="1">
      <alignment horizontal="center" vertical="top" wrapText="1"/>
    </xf>
    <xf numFmtId="165" fontId="83" fillId="0" borderId="23" xfId="3" applyFont="1" applyBorder="1" applyAlignment="1">
      <alignment horizontal="center" vertical="center"/>
    </xf>
    <xf numFmtId="165" fontId="83" fillId="0" borderId="27" xfId="3" applyFont="1" applyBorder="1" applyAlignment="1">
      <alignment horizontal="center" vertical="center"/>
    </xf>
    <xf numFmtId="165" fontId="83" fillId="0" borderId="34" xfId="3" applyFont="1" applyBorder="1" applyAlignment="1">
      <alignment horizontal="center" vertical="center"/>
    </xf>
    <xf numFmtId="165" fontId="9" fillId="0" borderId="14" xfId="3" applyFont="1" applyBorder="1" applyAlignment="1">
      <alignment horizontal="center" vertical="center" wrapText="1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4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872"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66FF"/>
      <color rgb="FFFF0066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4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47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42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80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4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35.xml"/><Relationship Id="rId70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3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46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7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6" Type="http://schemas.openxmlformats.org/officeDocument/2006/relationships/externalLink" Target="externalLinks/externalLink4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ly%20'25%20Daily%20Process%20Report%202025.xlsx" TargetMode="External"/><Relationship Id="rId1" Type="http://schemas.openxmlformats.org/officeDocument/2006/relationships/externalLinkPath" Target="July%20'25%20Daily%20Process%20Report%20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ugust%20'25%20Daily%20Process%20Report%202025.xlsx" TargetMode="External"/><Relationship Id="rId1" Type="http://schemas.openxmlformats.org/officeDocument/2006/relationships/externalLinkPath" Target="August%20'25%20Daily%20Process%20Report%202025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September%20'25%20Daily%20Process%20Report%202025.xlsx" TargetMode="External"/><Relationship Id="rId1" Type="http://schemas.openxmlformats.org/officeDocument/2006/relationships/externalLinkPath" Target="September%20'25%20Daily%20Process%20Report%202025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October_2025.xls" TargetMode="External"/><Relationship Id="rId1" Type="http://schemas.openxmlformats.org/officeDocument/2006/relationships/externalLinkPath" Target="/Operations/Brewing/Reports%20Local/Losses%202025/October_202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November '25"/>
      <sheetName val="Summary October '25"/>
      <sheetName val="Summary September '25"/>
      <sheetName val="Summary August '25 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U580">
            <v>102.69776412900535</v>
          </cell>
        </row>
        <row r="581">
          <cell r="AU581">
            <v>97.88686631599785</v>
          </cell>
        </row>
        <row r="582">
          <cell r="AU582">
            <v>98.571257731235903</v>
          </cell>
        </row>
        <row r="583">
          <cell r="AU583">
            <v>98.571043835715642</v>
          </cell>
        </row>
        <row r="584">
          <cell r="AU584">
            <v>95.185471356899995</v>
          </cell>
        </row>
        <row r="585">
          <cell r="AU585">
            <v>99.17946707080003</v>
          </cell>
        </row>
        <row r="586">
          <cell r="AU586">
            <v>99.543727878925864</v>
          </cell>
        </row>
        <row r="587">
          <cell r="AU587">
            <v>97.889917934748922</v>
          </cell>
        </row>
        <row r="588">
          <cell r="AU588">
            <v>95.859275440725924</v>
          </cell>
        </row>
        <row r="589">
          <cell r="AU589">
            <v>96.645007206633522</v>
          </cell>
        </row>
        <row r="590">
          <cell r="AU590">
            <v>97.963146495004423</v>
          </cell>
        </row>
        <row r="591">
          <cell r="AU591">
            <v>99.511669092016191</v>
          </cell>
        </row>
        <row r="592">
          <cell r="AU592">
            <v>98.972456085637489</v>
          </cell>
        </row>
        <row r="593">
          <cell r="AU593">
            <v>98.415610512021729</v>
          </cell>
        </row>
        <row r="594">
          <cell r="AU594">
            <v>92.972627372087828</v>
          </cell>
        </row>
        <row r="595">
          <cell r="AU595">
            <v>98.283084887352516</v>
          </cell>
        </row>
        <row r="596">
          <cell r="AU596">
            <v>95.916153578466137</v>
          </cell>
        </row>
        <row r="597">
          <cell r="AU597">
            <v>99.582809845661828</v>
          </cell>
        </row>
        <row r="598">
          <cell r="AU598">
            <v>98.686815200406429</v>
          </cell>
        </row>
        <row r="599">
          <cell r="AU599">
            <v>98.396971333088018</v>
          </cell>
        </row>
        <row r="600">
          <cell r="AU600">
            <v>99.186447868618828</v>
          </cell>
        </row>
        <row r="601">
          <cell r="AU601">
            <v>98.626813340527619</v>
          </cell>
        </row>
        <row r="602">
          <cell r="AU602">
            <v>99.453237334018112</v>
          </cell>
        </row>
        <row r="603">
          <cell r="AU603">
            <v>97.788737373526942</v>
          </cell>
        </row>
        <row r="604">
          <cell r="AU604">
            <v>102.03955950290941</v>
          </cell>
        </row>
        <row r="605">
          <cell r="AU605">
            <v>102.10932922097018</v>
          </cell>
        </row>
        <row r="606">
          <cell r="AU606">
            <v>100.02277176135468</v>
          </cell>
        </row>
        <row r="607">
          <cell r="AU607">
            <v>99.31851681214593</v>
          </cell>
        </row>
        <row r="608">
          <cell r="AU608">
            <v>104.17809812254752</v>
          </cell>
        </row>
        <row r="609">
          <cell r="AU609">
            <v>99.244839917035478</v>
          </cell>
        </row>
        <row r="610">
          <cell r="AU610">
            <v>100.18083762081626</v>
          </cell>
        </row>
        <row r="611">
          <cell r="AU611">
            <v>98.931213213201133</v>
          </cell>
        </row>
        <row r="612">
          <cell r="AU612">
            <v>95.871754585259907</v>
          </cell>
        </row>
        <row r="613">
          <cell r="AU613">
            <v>96.469806047070719</v>
          </cell>
        </row>
        <row r="614">
          <cell r="AU614">
            <v>99.97962239398484</v>
          </cell>
        </row>
        <row r="615">
          <cell r="AU615">
            <v>100.43692372257216</v>
          </cell>
        </row>
        <row r="616">
          <cell r="AU616">
            <v>103.89768567471857</v>
          </cell>
        </row>
        <row r="617">
          <cell r="AU617">
            <v>99.462259754574006</v>
          </cell>
        </row>
        <row r="618">
          <cell r="AU618">
            <v>105.95914769207411</v>
          </cell>
        </row>
        <row r="619">
          <cell r="AU619">
            <v>99.880376931714494</v>
          </cell>
        </row>
        <row r="620">
          <cell r="AU620">
            <v>97.789021546474856</v>
          </cell>
        </row>
        <row r="621">
          <cell r="AU621">
            <v>99.121390865142828</v>
          </cell>
        </row>
        <row r="622">
          <cell r="AU622">
            <v>100.60238313741721</v>
          </cell>
        </row>
        <row r="623">
          <cell r="AU623">
            <v>99.619937989590866</v>
          </cell>
        </row>
        <row r="624">
          <cell r="AU624">
            <v>96.02723351981524</v>
          </cell>
        </row>
        <row r="625">
          <cell r="AU625">
            <v>100.34637549466056</v>
          </cell>
        </row>
        <row r="626">
          <cell r="AU626">
            <v>99.024059657078709</v>
          </cell>
        </row>
        <row r="627">
          <cell r="AU627">
            <v>100.72779578911953</v>
          </cell>
        </row>
        <row r="628">
          <cell r="AU628">
            <v>95.062413786977345</v>
          </cell>
        </row>
        <row r="629">
          <cell r="AU629">
            <v>100.19998827600605</v>
          </cell>
        </row>
        <row r="630">
          <cell r="AU630">
            <v>96.770453619089452</v>
          </cell>
        </row>
        <row r="631">
          <cell r="AU631">
            <v>98.89554470892142</v>
          </cell>
        </row>
        <row r="632">
          <cell r="AU632">
            <v>100.67434879413655</v>
          </cell>
        </row>
        <row r="633">
          <cell r="AU633">
            <v>100.86706866858944</v>
          </cell>
        </row>
        <row r="634">
          <cell r="AU634">
            <v>98.908486249601395</v>
          </cell>
        </row>
        <row r="635">
          <cell r="AU635">
            <v>97.04819842597729</v>
          </cell>
        </row>
        <row r="636">
          <cell r="AU636">
            <v>94.762519708980534</v>
          </cell>
        </row>
        <row r="637">
          <cell r="AU637">
            <v>97.914703316763664</v>
          </cell>
        </row>
        <row r="638">
          <cell r="AU638">
            <v>99.055189518738786</v>
          </cell>
        </row>
        <row r="639">
          <cell r="AU639">
            <v>99.280004783298395</v>
          </cell>
        </row>
        <row r="640">
          <cell r="AU640">
            <v>97.703493169177563</v>
          </cell>
        </row>
        <row r="641">
          <cell r="AU641">
            <v>98.395012844387324</v>
          </cell>
        </row>
        <row r="642">
          <cell r="AU642">
            <v>99.267754869638566</v>
          </cell>
        </row>
        <row r="643">
          <cell r="AU643">
            <v>98.363616167337554</v>
          </cell>
        </row>
        <row r="644">
          <cell r="AU644">
            <v>95.518861174528027</v>
          </cell>
        </row>
        <row r="645">
          <cell r="AU645">
            <v>97.110774474396919</v>
          </cell>
        </row>
        <row r="646">
          <cell r="AU646">
            <v>99.389923122874848</v>
          </cell>
        </row>
        <row r="647">
          <cell r="AU647">
            <v>97.540187032709667</v>
          </cell>
        </row>
        <row r="648">
          <cell r="AU648">
            <v>97.365271655099377</v>
          </cell>
        </row>
        <row r="649">
          <cell r="AU649">
            <v>97.631449601667157</v>
          </cell>
        </row>
        <row r="650">
          <cell r="AU650">
            <v>96.689090831338149</v>
          </cell>
        </row>
        <row r="651">
          <cell r="AU651">
            <v>97.882815113244646</v>
          </cell>
        </row>
        <row r="652">
          <cell r="AU652">
            <v>96.445959569089808</v>
          </cell>
        </row>
        <row r="655">
          <cell r="AU655">
            <v>96.304712396353338</v>
          </cell>
        </row>
        <row r="656">
          <cell r="AU656">
            <v>99.118181278953728</v>
          </cell>
        </row>
        <row r="657">
          <cell r="AU657">
            <v>97.615120353834655</v>
          </cell>
        </row>
        <row r="658">
          <cell r="AU658">
            <v>103.15419336170059</v>
          </cell>
        </row>
        <row r="659">
          <cell r="AU659">
            <v>98.649637600523405</v>
          </cell>
        </row>
        <row r="660">
          <cell r="AU660">
            <v>97.957124540291332</v>
          </cell>
        </row>
        <row r="661">
          <cell r="AU661">
            <v>96.012096709224608</v>
          </cell>
        </row>
        <row r="662">
          <cell r="AU662">
            <v>98.848570813828061</v>
          </cell>
        </row>
        <row r="663">
          <cell r="AU663">
            <v>95.560563500415711</v>
          </cell>
        </row>
        <row r="664">
          <cell r="AU664">
            <v>96.767185693620888</v>
          </cell>
        </row>
        <row r="665">
          <cell r="AU665">
            <v>98.867593495342305</v>
          </cell>
        </row>
        <row r="666">
          <cell r="AU666">
            <v>97.323462586589443</v>
          </cell>
        </row>
        <row r="667">
          <cell r="AU667">
            <v>99.15607004057388</v>
          </cell>
        </row>
        <row r="668">
          <cell r="AU668">
            <v>97.637464665363979</v>
          </cell>
        </row>
        <row r="669">
          <cell r="AU669">
            <v>97.705873048619281</v>
          </cell>
        </row>
        <row r="670">
          <cell r="AU670">
            <v>94.605058854812228</v>
          </cell>
        </row>
        <row r="671">
          <cell r="AU671">
            <v>95.083980735081909</v>
          </cell>
        </row>
        <row r="672">
          <cell r="AU672">
            <v>98.919122365093997</v>
          </cell>
        </row>
        <row r="673">
          <cell r="AU673">
            <v>97.638634437393492</v>
          </cell>
        </row>
        <row r="674">
          <cell r="AU674">
            <v>98.930528450895224</v>
          </cell>
        </row>
        <row r="675">
          <cell r="AU675">
            <v>94.474085231602828</v>
          </cell>
        </row>
        <row r="676">
          <cell r="AU676">
            <v>94.381470916534838</v>
          </cell>
        </row>
        <row r="677">
          <cell r="AU677">
            <v>96.558973422687743</v>
          </cell>
        </row>
        <row r="678">
          <cell r="AU678">
            <v>97.902606175842621</v>
          </cell>
        </row>
        <row r="679">
          <cell r="AU679">
            <v>95.140303221190877</v>
          </cell>
        </row>
        <row r="680">
          <cell r="AU680">
            <v>94.898144488922568</v>
          </cell>
        </row>
        <row r="681">
          <cell r="AU681">
            <v>99.426283632825474</v>
          </cell>
        </row>
        <row r="682">
          <cell r="AU682">
            <v>91.882136575823367</v>
          </cell>
        </row>
        <row r="683">
          <cell r="AU683">
            <v>112.50466711601209</v>
          </cell>
        </row>
        <row r="684">
          <cell r="AU684">
            <v>95.622664620561409</v>
          </cell>
        </row>
        <row r="685">
          <cell r="AU685">
            <v>92.823695592109161</v>
          </cell>
        </row>
        <row r="686">
          <cell r="AU686">
            <v>92.782356776262588</v>
          </cell>
        </row>
        <row r="687">
          <cell r="AU687">
            <v>93.553154889493129</v>
          </cell>
        </row>
        <row r="688">
          <cell r="AU688">
            <v>86.147235929491302</v>
          </cell>
        </row>
        <row r="689">
          <cell r="AU689">
            <v>100.87711898473853</v>
          </cell>
        </row>
        <row r="690">
          <cell r="AU690">
            <v>100.18232401839731</v>
          </cell>
        </row>
        <row r="691">
          <cell r="AU691">
            <v>99.246837552545273</v>
          </cell>
        </row>
        <row r="692">
          <cell r="AU692">
            <v>92.680701282459751</v>
          </cell>
        </row>
        <row r="693">
          <cell r="AU693">
            <v>93.065078130770544</v>
          </cell>
        </row>
        <row r="694">
          <cell r="AU694">
            <v>94.459926054325564</v>
          </cell>
        </row>
        <row r="695">
          <cell r="AU695">
            <v>92.774524142416354</v>
          </cell>
        </row>
        <row r="696">
          <cell r="AU696">
            <v>93.352893936370009</v>
          </cell>
        </row>
        <row r="697">
          <cell r="AU697">
            <v>98.340629704081778</v>
          </cell>
        </row>
        <row r="698">
          <cell r="AU698">
            <v>92.796721886775444</v>
          </cell>
        </row>
        <row r="699">
          <cell r="AU699">
            <v>94.00701375647705</v>
          </cell>
        </row>
        <row r="700">
          <cell r="AU700">
            <v>94.62095793854931</v>
          </cell>
        </row>
        <row r="701">
          <cell r="AU701">
            <v>93.044640016207893</v>
          </cell>
        </row>
        <row r="702">
          <cell r="AU702">
            <v>93.369220627052428</v>
          </cell>
        </row>
        <row r="703">
          <cell r="AU703">
            <v>99.089598150267804</v>
          </cell>
        </row>
        <row r="704">
          <cell r="AU704">
            <v>93.045734095158593</v>
          </cell>
        </row>
        <row r="705">
          <cell r="AU705">
            <v>96.969115359934918</v>
          </cell>
        </row>
        <row r="706">
          <cell r="AU706">
            <v>99.506348908438042</v>
          </cell>
        </row>
        <row r="707">
          <cell r="AU707">
            <v>99.772692532303708</v>
          </cell>
        </row>
        <row r="708">
          <cell r="AU708">
            <v>102.73068573958028</v>
          </cell>
        </row>
        <row r="709">
          <cell r="AU709">
            <v>102.76795002442545</v>
          </cell>
        </row>
        <row r="710">
          <cell r="AU710">
            <v>98.105830728967618</v>
          </cell>
        </row>
        <row r="711">
          <cell r="AU711">
            <v>96.329138070428243</v>
          </cell>
        </row>
        <row r="712">
          <cell r="AU712">
            <v>94.406883962835934</v>
          </cell>
        </row>
        <row r="713">
          <cell r="AU713">
            <v>91.254953718205954</v>
          </cell>
        </row>
        <row r="714">
          <cell r="AU714">
            <v>100.66658270876239</v>
          </cell>
        </row>
        <row r="715">
          <cell r="AU715">
            <v>95.672180304079035</v>
          </cell>
        </row>
        <row r="716">
          <cell r="AU716">
            <v>100.24168624444627</v>
          </cell>
        </row>
        <row r="717">
          <cell r="AU717">
            <v>95.855441016502525</v>
          </cell>
        </row>
        <row r="718">
          <cell r="AU718">
            <v>95.829213866646711</v>
          </cell>
        </row>
        <row r="719">
          <cell r="AU719">
            <v>96.5946434748966</v>
          </cell>
        </row>
        <row r="720">
          <cell r="AU720">
            <v>98.766868880380287</v>
          </cell>
        </row>
        <row r="721">
          <cell r="AU721">
            <v>92.984654156961994</v>
          </cell>
        </row>
        <row r="722">
          <cell r="AU722">
            <v>93.891733112726655</v>
          </cell>
        </row>
        <row r="723">
          <cell r="AU723">
            <v>95.328941787599831</v>
          </cell>
        </row>
        <row r="724">
          <cell r="AU724">
            <v>90.068244804867078</v>
          </cell>
        </row>
        <row r="725">
          <cell r="AU725">
            <v>94.067285834427324</v>
          </cell>
        </row>
        <row r="726">
          <cell r="AU726">
            <v>97.447717155036315</v>
          </cell>
        </row>
        <row r="727">
          <cell r="AU727">
            <v>96.91430580541217</v>
          </cell>
        </row>
        <row r="728">
          <cell r="AU728">
            <v>98.270733122829682</v>
          </cell>
        </row>
        <row r="729">
          <cell r="AU729">
            <v>100.68465189715201</v>
          </cell>
        </row>
        <row r="730">
          <cell r="AU730">
            <v>97.576513945686116</v>
          </cell>
        </row>
        <row r="731">
          <cell r="AU731">
            <v>100.1904434842934</v>
          </cell>
        </row>
        <row r="732">
          <cell r="AU732">
            <v>96.382789717284254</v>
          </cell>
        </row>
        <row r="733">
          <cell r="AU733">
            <v>92.804231078083191</v>
          </cell>
        </row>
        <row r="734">
          <cell r="AU734">
            <v>97.518932621613743</v>
          </cell>
        </row>
        <row r="735">
          <cell r="AU735">
            <v>95.319316778775942</v>
          </cell>
        </row>
        <row r="736">
          <cell r="AU736">
            <v>96.013932215448122</v>
          </cell>
        </row>
        <row r="737">
          <cell r="AU737">
            <v>96.039117326010768</v>
          </cell>
        </row>
        <row r="738">
          <cell r="AU738">
            <v>98.325106629636323</v>
          </cell>
        </row>
        <row r="740">
          <cell r="A740" t="str">
            <v>CA631</v>
          </cell>
        </row>
        <row r="741">
          <cell r="A741" t="str">
            <v>CA632</v>
          </cell>
        </row>
        <row r="742">
          <cell r="A742" t="str">
            <v>CA633</v>
          </cell>
        </row>
        <row r="743">
          <cell r="A743" t="str">
            <v>CA634</v>
          </cell>
        </row>
        <row r="744">
          <cell r="A744" t="str">
            <v>CA635</v>
          </cell>
        </row>
        <row r="745">
          <cell r="A745" t="str">
            <v>CA636</v>
          </cell>
        </row>
        <row r="746">
          <cell r="A746" t="str">
            <v>CA637</v>
          </cell>
        </row>
        <row r="747">
          <cell r="A747" t="str">
            <v>CA638</v>
          </cell>
        </row>
        <row r="748">
          <cell r="A748" t="str">
            <v>CA639</v>
          </cell>
        </row>
        <row r="749">
          <cell r="A749" t="str">
            <v>CA640</v>
          </cell>
        </row>
        <row r="750">
          <cell r="A750" t="str">
            <v>CA641</v>
          </cell>
        </row>
        <row r="751">
          <cell r="A751" t="str">
            <v>CA642</v>
          </cell>
        </row>
        <row r="752">
          <cell r="A752" t="str">
            <v>CA643</v>
          </cell>
        </row>
        <row r="753">
          <cell r="A753" t="str">
            <v>CA644</v>
          </cell>
        </row>
        <row r="754">
          <cell r="A754" t="str">
            <v>CA645</v>
          </cell>
        </row>
        <row r="755">
          <cell r="A755" t="str">
            <v>CA646</v>
          </cell>
        </row>
        <row r="756">
          <cell r="A756" t="str">
            <v>CA647</v>
          </cell>
        </row>
        <row r="757">
          <cell r="A757" t="str">
            <v>CA648</v>
          </cell>
        </row>
        <row r="758">
          <cell r="A758" t="str">
            <v>CA649</v>
          </cell>
        </row>
        <row r="759">
          <cell r="A759" t="str">
            <v>CA650</v>
          </cell>
        </row>
        <row r="760">
          <cell r="A760" t="str">
            <v>CA651</v>
          </cell>
        </row>
        <row r="761">
          <cell r="A761" t="str">
            <v>CA652</v>
          </cell>
        </row>
        <row r="762">
          <cell r="A762" t="str">
            <v>CA653</v>
          </cell>
        </row>
        <row r="763">
          <cell r="A763" t="str">
            <v>CA654</v>
          </cell>
        </row>
        <row r="764">
          <cell r="A764" t="str">
            <v>CA655</v>
          </cell>
        </row>
        <row r="765">
          <cell r="A765" t="str">
            <v>CA656</v>
          </cell>
        </row>
        <row r="766">
          <cell r="A766" t="str">
            <v>CA657</v>
          </cell>
        </row>
        <row r="767">
          <cell r="A767" t="str">
            <v>CA658</v>
          </cell>
        </row>
        <row r="768">
          <cell r="A768" t="str">
            <v>CA659</v>
          </cell>
        </row>
        <row r="769">
          <cell r="A769" t="str">
            <v>CA660</v>
          </cell>
        </row>
        <row r="770">
          <cell r="A770" t="str">
            <v>CA661</v>
          </cell>
        </row>
        <row r="771">
          <cell r="A771" t="str">
            <v>CA662</v>
          </cell>
        </row>
        <row r="772">
          <cell r="A772" t="str">
            <v>CA663</v>
          </cell>
        </row>
        <row r="773">
          <cell r="A773" t="str">
            <v>CA664</v>
          </cell>
        </row>
        <row r="774">
          <cell r="A774" t="str">
            <v>CA665</v>
          </cell>
        </row>
        <row r="775">
          <cell r="A775" t="str">
            <v>CA666</v>
          </cell>
        </row>
        <row r="776">
          <cell r="A776" t="str">
            <v>CA667</v>
          </cell>
        </row>
        <row r="777">
          <cell r="A777" t="str">
            <v>CA668</v>
          </cell>
        </row>
        <row r="778">
          <cell r="A778" t="str">
            <v>CA669</v>
          </cell>
        </row>
        <row r="779">
          <cell r="A779" t="str">
            <v>CA670</v>
          </cell>
        </row>
        <row r="780">
          <cell r="A780" t="str">
            <v>CA671</v>
          </cell>
        </row>
        <row r="781">
          <cell r="A781" t="str">
            <v>CA672</v>
          </cell>
        </row>
        <row r="782">
          <cell r="A782" t="str">
            <v>CA673</v>
          </cell>
        </row>
        <row r="783">
          <cell r="A783" t="str">
            <v>CA674</v>
          </cell>
        </row>
        <row r="784">
          <cell r="A784" t="str">
            <v>CA675</v>
          </cell>
        </row>
        <row r="785">
          <cell r="A785" t="str">
            <v>CA676</v>
          </cell>
        </row>
        <row r="786">
          <cell r="A786" t="str">
            <v>CA677</v>
          </cell>
        </row>
        <row r="787">
          <cell r="A787" t="str">
            <v>CA678</v>
          </cell>
        </row>
        <row r="788">
          <cell r="A788" t="str">
            <v>CA679</v>
          </cell>
        </row>
        <row r="789">
          <cell r="A789" t="str">
            <v>CA680</v>
          </cell>
        </row>
        <row r="790">
          <cell r="A790" t="str">
            <v>CA681</v>
          </cell>
        </row>
        <row r="791">
          <cell r="A791" t="str">
            <v>CA682</v>
          </cell>
        </row>
        <row r="792">
          <cell r="A792" t="str">
            <v>CA683</v>
          </cell>
        </row>
        <row r="793">
          <cell r="A793" t="str">
            <v>CA684</v>
          </cell>
        </row>
        <row r="794">
          <cell r="A794" t="str">
            <v>CA685</v>
          </cell>
        </row>
        <row r="795">
          <cell r="A795" t="str">
            <v>CA686</v>
          </cell>
        </row>
        <row r="796">
          <cell r="A796" t="str">
            <v>CA687</v>
          </cell>
        </row>
        <row r="797">
          <cell r="A797" t="str">
            <v>CA688</v>
          </cell>
        </row>
        <row r="798">
          <cell r="A798" t="str">
            <v>CA689</v>
          </cell>
        </row>
        <row r="799">
          <cell r="A799" t="str">
            <v>CA690</v>
          </cell>
        </row>
        <row r="800">
          <cell r="A800" t="str">
            <v>CA691</v>
          </cell>
        </row>
        <row r="801">
          <cell r="A801" t="str">
            <v>CA692</v>
          </cell>
        </row>
        <row r="802">
          <cell r="A802" t="str">
            <v>CA693</v>
          </cell>
        </row>
        <row r="803">
          <cell r="A803" t="str">
            <v>CA694</v>
          </cell>
        </row>
        <row r="804">
          <cell r="A804" t="str">
            <v>CA695</v>
          </cell>
        </row>
        <row r="805">
          <cell r="A805" t="str">
            <v>CA696</v>
          </cell>
        </row>
        <row r="806">
          <cell r="A806" t="str">
            <v>CA697</v>
          </cell>
        </row>
        <row r="807">
          <cell r="A807" t="str">
            <v>CA698</v>
          </cell>
        </row>
        <row r="808">
          <cell r="A808" t="str">
            <v>CA699</v>
          </cell>
        </row>
        <row r="809">
          <cell r="A809" t="str">
            <v>CA700</v>
          </cell>
        </row>
        <row r="810">
          <cell r="A810" t="str">
            <v>CA701</v>
          </cell>
        </row>
        <row r="811">
          <cell r="A811" t="str">
            <v>CA702</v>
          </cell>
        </row>
        <row r="812">
          <cell r="A812" t="str">
            <v>CA703</v>
          </cell>
        </row>
        <row r="813">
          <cell r="A813" t="str">
            <v>CA704</v>
          </cell>
        </row>
        <row r="814">
          <cell r="A814" t="str">
            <v>CA705</v>
          </cell>
        </row>
        <row r="815">
          <cell r="A815" t="str">
            <v>CA706</v>
          </cell>
        </row>
        <row r="816">
          <cell r="A816" t="str">
            <v>CA707</v>
          </cell>
        </row>
        <row r="817">
          <cell r="A817" t="str">
            <v>CA708</v>
          </cell>
        </row>
        <row r="818">
          <cell r="A818" t="str">
            <v>CA709</v>
          </cell>
        </row>
        <row r="819">
          <cell r="A819" t="str">
            <v>CA710</v>
          </cell>
        </row>
        <row r="820">
          <cell r="A820" t="str">
            <v>CA711</v>
          </cell>
        </row>
        <row r="821">
          <cell r="A821" t="str">
            <v>CA712</v>
          </cell>
        </row>
        <row r="823">
          <cell r="A823" t="str">
            <v>CA713</v>
          </cell>
          <cell r="P823">
            <v>57</v>
          </cell>
          <cell r="Q823">
            <v>5.2222222222222223</v>
          </cell>
          <cell r="T823">
            <v>0.26180555555555557</v>
          </cell>
          <cell r="U823">
            <v>0.39166666666666666</v>
          </cell>
          <cell r="V823">
            <v>69</v>
          </cell>
          <cell r="Z823">
            <v>0.29444444444444445</v>
          </cell>
          <cell r="AF823">
            <v>55.5</v>
          </cell>
          <cell r="AG823">
            <v>11.9</v>
          </cell>
          <cell r="AI823">
            <v>49.8</v>
          </cell>
          <cell r="AU823">
            <v>96.671624697617574</v>
          </cell>
          <cell r="AV823">
            <v>98.321179614889871</v>
          </cell>
          <cell r="AX823" t="str">
            <v>K.Benjamin</v>
          </cell>
        </row>
        <row r="824">
          <cell r="A824" t="str">
            <v>CA714</v>
          </cell>
          <cell r="P824">
            <v>62</v>
          </cell>
          <cell r="Q824">
            <v>3.9999999999999951</v>
          </cell>
          <cell r="T824">
            <v>0.38750000000000001</v>
          </cell>
          <cell r="U824">
            <v>0.50347222222222221</v>
          </cell>
          <cell r="V824">
            <v>61</v>
          </cell>
          <cell r="Z824">
            <v>0.24652777777777779</v>
          </cell>
          <cell r="AF824">
            <v>55.4</v>
          </cell>
          <cell r="AG824">
            <v>11.7</v>
          </cell>
          <cell r="AI824">
            <v>50.2</v>
          </cell>
          <cell r="AU824">
            <v>96.677697123919998</v>
          </cell>
          <cell r="AV824">
            <v>98.326290651199344</v>
          </cell>
          <cell r="AX824" t="str">
            <v>K.Benjamin</v>
          </cell>
        </row>
        <row r="825">
          <cell r="A825" t="str">
            <v>CA715</v>
          </cell>
          <cell r="P825">
            <v>59</v>
          </cell>
          <cell r="Q825">
            <v>2.1132075471698064</v>
          </cell>
          <cell r="T825">
            <v>0.48125000000000001</v>
          </cell>
          <cell r="U825">
            <v>0.58819444444444446</v>
          </cell>
          <cell r="V825">
            <v>60</v>
          </cell>
          <cell r="Z825">
            <v>0.24791666666666667</v>
          </cell>
          <cell r="AF825">
            <v>55.7</v>
          </cell>
          <cell r="AG825">
            <v>11.7</v>
          </cell>
          <cell r="AI825">
            <v>50.5</v>
          </cell>
          <cell r="AU825">
            <v>96.5357402893531</v>
          </cell>
          <cell r="AV825">
            <v>98.182712649465714</v>
          </cell>
          <cell r="AX825" t="str">
            <v>K.Benjamin</v>
          </cell>
        </row>
        <row r="826">
          <cell r="A826" t="str">
            <v>CA716</v>
          </cell>
          <cell r="P826">
            <v>60</v>
          </cell>
          <cell r="Q826">
            <v>0.79245283018868251</v>
          </cell>
          <cell r="T826">
            <v>0.56458333333333333</v>
          </cell>
          <cell r="U826">
            <v>0.67847222222222225</v>
          </cell>
          <cell r="V826">
            <v>71</v>
          </cell>
          <cell r="Z826">
            <v>0.24791666666666667</v>
          </cell>
          <cell r="AF826">
            <v>55.7</v>
          </cell>
          <cell r="AG826">
            <v>11.9</v>
          </cell>
          <cell r="AI826">
            <v>51.1</v>
          </cell>
          <cell r="AU826">
            <v>99.07328778102314</v>
          </cell>
          <cell r="AV826">
            <v>100.76395836021659</v>
          </cell>
          <cell r="AX826" t="str">
            <v>K.Benjamin</v>
          </cell>
        </row>
        <row r="827">
          <cell r="A827" t="str">
            <v>CA717</v>
          </cell>
          <cell r="P827">
            <v>60</v>
          </cell>
          <cell r="Q827">
            <v>-0.33962264150943344</v>
          </cell>
          <cell r="T827">
            <v>0.6381944444444444</v>
          </cell>
          <cell r="U827">
            <v>0.74861111111111112</v>
          </cell>
          <cell r="V827">
            <v>69</v>
          </cell>
          <cell r="Z827">
            <v>0.23819444444444449</v>
          </cell>
          <cell r="AF827">
            <v>55.8</v>
          </cell>
          <cell r="AG827">
            <v>11.4</v>
          </cell>
          <cell r="AI827">
            <v>51.9</v>
          </cell>
          <cell r="AU827">
            <v>96.893475412596203</v>
          </cell>
          <cell r="AV827">
            <v>98.546151236431641</v>
          </cell>
          <cell r="AX827" t="str">
            <v>K.Benjamin</v>
          </cell>
        </row>
        <row r="828">
          <cell r="A828" t="str">
            <v>CA718</v>
          </cell>
          <cell r="P828">
            <v>60</v>
          </cell>
          <cell r="Q828">
            <v>2.8679245283018791</v>
          </cell>
          <cell r="T828">
            <v>0.71944444444444444</v>
          </cell>
          <cell r="U828">
            <v>0.83888888888888891</v>
          </cell>
          <cell r="V828">
            <v>62</v>
          </cell>
          <cell r="Z828">
            <v>0.24861111111111112</v>
          </cell>
          <cell r="AF828">
            <v>55.7</v>
          </cell>
          <cell r="AG828">
            <v>11.7</v>
          </cell>
          <cell r="AI828">
            <v>51.1</v>
          </cell>
          <cell r="AU828">
            <v>97.682699579919685</v>
          </cell>
          <cell r="AV828">
            <v>99.349239928469274</v>
          </cell>
          <cell r="AX828" t="str">
            <v>K.Benjamin</v>
          </cell>
        </row>
        <row r="829">
          <cell r="A829" t="str">
            <v>CA719</v>
          </cell>
          <cell r="P829">
            <v>60</v>
          </cell>
          <cell r="Q829">
            <v>1.9245283018867849</v>
          </cell>
          <cell r="T829">
            <v>0.80555555555555558</v>
          </cell>
          <cell r="U829">
            <v>0.9291666666666667</v>
          </cell>
          <cell r="V829">
            <v>74</v>
          </cell>
          <cell r="Z829">
            <v>0.25555555555555554</v>
          </cell>
          <cell r="AF829">
            <v>55.7</v>
          </cell>
          <cell r="AG829">
            <v>11.7</v>
          </cell>
          <cell r="AI829">
            <v>51.8</v>
          </cell>
          <cell r="AU829">
            <v>99.511758194014504</v>
          </cell>
          <cell r="AV829">
            <v>101.20895555522354</v>
          </cell>
          <cell r="AX829" t="str">
            <v>K.Benjamin</v>
          </cell>
        </row>
        <row r="830">
          <cell r="A830" t="str">
            <v>CA720</v>
          </cell>
          <cell r="P830">
            <v>60</v>
          </cell>
          <cell r="Q830">
            <v>1.735849056603777</v>
          </cell>
          <cell r="T830">
            <v>0.8979166666666667</v>
          </cell>
          <cell r="U830">
            <v>1.0277777777777777</v>
          </cell>
          <cell r="V830">
            <v>83</v>
          </cell>
          <cell r="Z830">
            <v>0.27083333333333326</v>
          </cell>
          <cell r="AF830">
            <v>55.3</v>
          </cell>
          <cell r="AG830">
            <v>11.6</v>
          </cell>
          <cell r="AI830">
            <v>52.5</v>
          </cell>
          <cell r="AU830">
            <v>99.949380343372724</v>
          </cell>
          <cell r="AV830">
            <v>101.65404145731387</v>
          </cell>
          <cell r="AX830" t="str">
            <v>K.Benjamin</v>
          </cell>
        </row>
        <row r="831">
          <cell r="A831" t="str">
            <v>CA721</v>
          </cell>
          <cell r="P831">
            <v>58</v>
          </cell>
          <cell r="Q831">
            <v>4.7457627118644128</v>
          </cell>
          <cell r="T831">
            <v>1.0472222222222223</v>
          </cell>
          <cell r="U831">
            <v>1.1680555555555556</v>
          </cell>
          <cell r="V831">
            <v>72</v>
          </cell>
          <cell r="Z831">
            <v>0.25138888888888899</v>
          </cell>
          <cell r="AF831">
            <v>55.1</v>
          </cell>
          <cell r="AG831">
            <v>12</v>
          </cell>
          <cell r="AI831">
            <v>46.7</v>
          </cell>
          <cell r="AU831">
            <v>92.135013262872803</v>
          </cell>
          <cell r="AV831">
            <v>93.706398436068469</v>
          </cell>
          <cell r="AX831" t="str">
            <v>R.Sookram</v>
          </cell>
        </row>
        <row r="832">
          <cell r="A832" t="str">
            <v>CA722</v>
          </cell>
          <cell r="P832">
            <v>60</v>
          </cell>
          <cell r="Q832">
            <v>3.2391713747645925</v>
          </cell>
          <cell r="T832">
            <v>1.1458333333333333</v>
          </cell>
          <cell r="U832">
            <v>1.2590277777777779</v>
          </cell>
          <cell r="V832">
            <v>67</v>
          </cell>
          <cell r="Z832">
            <v>0.26250000000000007</v>
          </cell>
          <cell r="AF832">
            <v>55.6</v>
          </cell>
          <cell r="AG832">
            <v>11.8</v>
          </cell>
          <cell r="AI832">
            <v>50</v>
          </cell>
          <cell r="AU832">
            <v>97.158608616162724</v>
          </cell>
          <cell r="AV832">
            <v>98.815402872223274</v>
          </cell>
          <cell r="AX832" t="str">
            <v>R.Sookram</v>
          </cell>
        </row>
        <row r="833">
          <cell r="A833" t="str">
            <v>CA723</v>
          </cell>
          <cell r="Q833">
            <v>6.4528301886792487</v>
          </cell>
          <cell r="T833">
            <v>0.24583333333333332</v>
          </cell>
          <cell r="U833">
            <v>0.36249999999999999</v>
          </cell>
          <cell r="V833">
            <v>60</v>
          </cell>
          <cell r="Z833">
            <v>0.2583333333333333</v>
          </cell>
          <cell r="AF833">
            <v>50.3</v>
          </cell>
          <cell r="AG833">
            <v>11.8</v>
          </cell>
          <cell r="AI833">
            <v>49.9</v>
          </cell>
          <cell r="AU833">
            <v>97.44863673192387</v>
          </cell>
          <cell r="AV833">
            <v>99.109831899542513</v>
          </cell>
          <cell r="AX833" t="str">
            <v>R.Sookram</v>
          </cell>
        </row>
        <row r="834">
          <cell r="A834" t="str">
            <v>CA724</v>
          </cell>
          <cell r="P834">
            <v>60</v>
          </cell>
          <cell r="Q834">
            <v>2.1132075471698064</v>
          </cell>
          <cell r="T834">
            <v>0.33958333333333335</v>
          </cell>
          <cell r="U834">
            <v>0.45347222222222222</v>
          </cell>
          <cell r="V834">
            <v>55</v>
          </cell>
          <cell r="Z834">
            <v>0.25208333333333333</v>
          </cell>
          <cell r="AF834">
            <v>52.6</v>
          </cell>
          <cell r="AG834">
            <v>11.6</v>
          </cell>
          <cell r="AI834">
            <v>50.8</v>
          </cell>
          <cell r="AU834">
            <v>96.712924217968265</v>
          </cell>
          <cell r="AV834">
            <v>98.362386781553212</v>
          </cell>
          <cell r="AX834" t="str">
            <v>K.Benjamin</v>
          </cell>
        </row>
        <row r="835">
          <cell r="A835" t="str">
            <v>CA725</v>
          </cell>
          <cell r="P835">
            <v>61</v>
          </cell>
          <cell r="Q835">
            <v>4.5660377358490596</v>
          </cell>
          <cell r="T835">
            <v>0.43194444444444446</v>
          </cell>
          <cell r="U835">
            <v>0.55347222222222225</v>
          </cell>
          <cell r="V835">
            <v>61</v>
          </cell>
          <cell r="Z835">
            <v>0.26180555555555557</v>
          </cell>
          <cell r="AF835">
            <v>51.3</v>
          </cell>
          <cell r="AG835">
            <v>11.6</v>
          </cell>
          <cell r="AI835">
            <v>50.4</v>
          </cell>
          <cell r="AU835">
            <v>96.309527894556425</v>
          </cell>
          <cell r="AV835">
            <v>97.951709124936244</v>
          </cell>
          <cell r="AX835" t="str">
            <v>K.Benjamin</v>
          </cell>
        </row>
        <row r="836">
          <cell r="A836" t="str">
            <v>CA726</v>
          </cell>
          <cell r="P836">
            <v>70</v>
          </cell>
          <cell r="Q836">
            <v>2.4905660377358494</v>
          </cell>
          <cell r="T836">
            <v>0.52569444444444446</v>
          </cell>
          <cell r="U836">
            <v>0.63958333333333328</v>
          </cell>
          <cell r="V836">
            <v>71</v>
          </cell>
          <cell r="Z836">
            <v>0.26458333333333328</v>
          </cell>
          <cell r="AF836">
            <v>52.4</v>
          </cell>
          <cell r="AG836">
            <v>11.7</v>
          </cell>
          <cell r="AI836">
            <v>51.5</v>
          </cell>
          <cell r="AU836">
            <v>99.949173460235883</v>
          </cell>
          <cell r="AV836">
            <v>101.65369256450401</v>
          </cell>
          <cell r="AX836" t="str">
            <v>K.Benjamin</v>
          </cell>
        </row>
        <row r="837">
          <cell r="A837" t="str">
            <v>CA727</v>
          </cell>
          <cell r="P837">
            <v>60</v>
          </cell>
          <cell r="Q837">
            <v>3.4274952919020718</v>
          </cell>
          <cell r="T837">
            <v>0.6479166666666667</v>
          </cell>
          <cell r="U837">
            <v>0.76666666666666672</v>
          </cell>
          <cell r="V837">
            <v>69</v>
          </cell>
          <cell r="Z837">
            <v>0.3083333333333334</v>
          </cell>
          <cell r="AF837">
            <v>52</v>
          </cell>
          <cell r="AG837">
            <v>11.6</v>
          </cell>
          <cell r="AI837">
            <v>50.5</v>
          </cell>
          <cell r="AU837">
            <v>96.620825316064355</v>
          </cell>
          <cell r="AV837">
            <v>98.268179632498388</v>
          </cell>
          <cell r="AX837" t="str">
            <v>R. Regis</v>
          </cell>
        </row>
        <row r="838">
          <cell r="A838" t="str">
            <v>CA728</v>
          </cell>
          <cell r="P838">
            <v>60</v>
          </cell>
          <cell r="Q838">
            <v>0.97928436911488348</v>
          </cell>
          <cell r="T838">
            <v>0.74513888888888891</v>
          </cell>
          <cell r="U838">
            <v>0.8618055555555556</v>
          </cell>
          <cell r="V838">
            <v>70</v>
          </cell>
          <cell r="Z838">
            <v>0.26458333333333339</v>
          </cell>
          <cell r="AF838">
            <v>53.3</v>
          </cell>
          <cell r="AG838">
            <v>11.8</v>
          </cell>
          <cell r="AI838">
            <v>51.2</v>
          </cell>
          <cell r="AU838">
            <v>99.366945265321888</v>
          </cell>
          <cell r="AV838">
            <v>101.06153513208942</v>
          </cell>
          <cell r="AX838" t="str">
            <v>R. Regis</v>
          </cell>
        </row>
        <row r="839">
          <cell r="A839" t="str">
            <v>CA729</v>
          </cell>
          <cell r="P839">
            <v>60</v>
          </cell>
          <cell r="Q839">
            <v>6.0526315789473655</v>
          </cell>
          <cell r="T839">
            <v>0.27013888888888887</v>
          </cell>
          <cell r="U839">
            <v>0.38541666666666669</v>
          </cell>
          <cell r="V839">
            <v>65</v>
          </cell>
          <cell r="Z839">
            <v>0.26041666666666669</v>
          </cell>
          <cell r="AF839">
            <v>50.7</v>
          </cell>
          <cell r="AG839">
            <v>11.9</v>
          </cell>
          <cell r="AI839">
            <v>48.7</v>
          </cell>
          <cell r="AU839">
            <v>94.602938664994568</v>
          </cell>
          <cell r="AV839">
            <v>95.562199362422518</v>
          </cell>
          <cell r="AX839" t="str">
            <v>R.Sookram</v>
          </cell>
        </row>
        <row r="840">
          <cell r="A840" t="str">
            <v>CA730</v>
          </cell>
          <cell r="P840">
            <v>57</v>
          </cell>
          <cell r="Q840">
            <v>7.6296296296296253</v>
          </cell>
          <cell r="T840">
            <v>0.37638888888888888</v>
          </cell>
          <cell r="U840">
            <v>0.48819444444444443</v>
          </cell>
          <cell r="V840">
            <v>64</v>
          </cell>
          <cell r="Z840">
            <v>0.27291666666666664</v>
          </cell>
          <cell r="AF840">
            <v>51</v>
          </cell>
          <cell r="AG840">
            <v>11.6</v>
          </cell>
          <cell r="AI840">
            <v>49.3</v>
          </cell>
          <cell r="AU840">
            <v>93.219645271882115</v>
          </cell>
          <cell r="AV840">
            <v>95.104731013904967</v>
          </cell>
          <cell r="AX840" t="str">
            <v>R.Sookram</v>
          </cell>
        </row>
        <row r="841">
          <cell r="A841" t="str">
            <v>CA731</v>
          </cell>
          <cell r="P841">
            <v>58</v>
          </cell>
          <cell r="Q841">
            <v>5.3107344632768365</v>
          </cell>
          <cell r="T841">
            <v>0.46250000000000002</v>
          </cell>
          <cell r="U841">
            <v>0.5756944444444444</v>
          </cell>
          <cell r="V841">
            <v>68</v>
          </cell>
          <cell r="Z841">
            <v>0.2493055555555555</v>
          </cell>
          <cell r="AF841">
            <v>52.3</v>
          </cell>
          <cell r="AG841">
            <v>11.6</v>
          </cell>
          <cell r="AI841">
            <v>51.9</v>
          </cell>
          <cell r="AU841">
            <v>98.500881130240671</v>
          </cell>
          <cell r="AV841">
            <v>100.49228098351597</v>
          </cell>
          <cell r="AX841" t="str">
            <v>R.Sookram</v>
          </cell>
        </row>
        <row r="842">
          <cell r="A842" t="str">
            <v>CA732</v>
          </cell>
          <cell r="P842">
            <v>57</v>
          </cell>
          <cell r="Q842">
            <v>3.80414312617703</v>
          </cell>
          <cell r="T842">
            <v>0.55277777777777781</v>
          </cell>
          <cell r="U842">
            <v>0.65486111111111112</v>
          </cell>
          <cell r="V842">
            <v>56</v>
          </cell>
          <cell r="Z842">
            <v>0.24513888888888891</v>
          </cell>
          <cell r="AF842">
            <v>51.8</v>
          </cell>
          <cell r="AG842">
            <v>11.9</v>
          </cell>
          <cell r="AI842">
            <v>50.1</v>
          </cell>
          <cell r="AU842">
            <v>97.673604514555763</v>
          </cell>
          <cell r="AV842">
            <v>99.648279253170273</v>
          </cell>
          <cell r="AX842" t="str">
            <v>R.Sookram</v>
          </cell>
        </row>
        <row r="843">
          <cell r="A843" t="str">
            <v>CA733</v>
          </cell>
          <cell r="P843">
            <v>59</v>
          </cell>
          <cell r="Q843">
            <v>3.4274952919020718</v>
          </cell>
          <cell r="T843">
            <v>0.63680555555555551</v>
          </cell>
          <cell r="U843">
            <v>0.74583333333333335</v>
          </cell>
          <cell r="V843">
            <v>57</v>
          </cell>
          <cell r="Z843">
            <v>0.24930555555555556</v>
          </cell>
          <cell r="AF843">
            <v>52.4</v>
          </cell>
          <cell r="AG843">
            <v>11.8</v>
          </cell>
          <cell r="AI843">
            <v>50.6</v>
          </cell>
          <cell r="AU843">
            <v>97.655731777857852</v>
          </cell>
          <cell r="AV843">
            <v>99.630205172573085</v>
          </cell>
          <cell r="AX843" t="str">
            <v>K.Benjamin</v>
          </cell>
        </row>
        <row r="844">
          <cell r="A844" t="str">
            <v>CA734</v>
          </cell>
          <cell r="P844">
            <v>59</v>
          </cell>
          <cell r="Q844">
            <v>3.9999999999999951</v>
          </cell>
          <cell r="T844">
            <v>0.72430555555555554</v>
          </cell>
          <cell r="U844">
            <v>0.83611111111111114</v>
          </cell>
          <cell r="V844">
            <v>57</v>
          </cell>
          <cell r="Z844">
            <v>0.25624999999999998</v>
          </cell>
          <cell r="AF844">
            <v>51.6</v>
          </cell>
          <cell r="AG844">
            <v>11.7</v>
          </cell>
          <cell r="AI844">
            <v>51.2</v>
          </cell>
          <cell r="AU844">
            <v>97.932869587209453</v>
          </cell>
          <cell r="AV844">
            <v>99.912946352267326</v>
          </cell>
          <cell r="AX844" t="str">
            <v>K.Benjamin</v>
          </cell>
        </row>
        <row r="845">
          <cell r="A845" t="str">
            <v>CA735</v>
          </cell>
          <cell r="P845">
            <v>60</v>
          </cell>
          <cell r="Q845">
            <v>0.98113207547169057</v>
          </cell>
          <cell r="T845">
            <v>0.8041666666666667</v>
          </cell>
          <cell r="U845">
            <v>0.92222222222222228</v>
          </cell>
          <cell r="V845">
            <v>66</v>
          </cell>
          <cell r="Z845">
            <v>0.24861111111111112</v>
          </cell>
          <cell r="AF845">
            <v>53.2</v>
          </cell>
          <cell r="AG845">
            <v>11.6</v>
          </cell>
          <cell r="AI845">
            <v>50.9</v>
          </cell>
          <cell r="AU845">
            <v>96.483370029043257</v>
          </cell>
          <cell r="AV845">
            <v>98.434139775852998</v>
          </cell>
          <cell r="AX845" t="str">
            <v>K.Benjamin</v>
          </cell>
        </row>
        <row r="846">
          <cell r="A846" t="str">
            <v>CA736</v>
          </cell>
          <cell r="P846">
            <v>61</v>
          </cell>
          <cell r="Q846">
            <v>3.2452830188679229</v>
          </cell>
          <cell r="T846">
            <v>0.89027777777777772</v>
          </cell>
          <cell r="U846">
            <v>1.0125</v>
          </cell>
          <cell r="V846">
            <v>70</v>
          </cell>
          <cell r="Z846">
            <v>0.25555555555555554</v>
          </cell>
          <cell r="AF846">
            <v>52.9</v>
          </cell>
          <cell r="AG846">
            <v>11.9</v>
          </cell>
          <cell r="AI846">
            <v>52</v>
          </cell>
          <cell r="AU846">
            <v>101.37779310892014</v>
          </cell>
          <cell r="AV846">
            <v>103.42735571187332</v>
          </cell>
          <cell r="AX846" t="str">
            <v>K.Benjamin</v>
          </cell>
        </row>
        <row r="847">
          <cell r="A847" t="str">
            <v>CA737</v>
          </cell>
          <cell r="P847">
            <v>58</v>
          </cell>
          <cell r="Q847">
            <v>1.3584905660377338</v>
          </cell>
          <cell r="T847">
            <v>0.97083333333333333</v>
          </cell>
          <cell r="U847">
            <v>1.0854166666666667</v>
          </cell>
          <cell r="V847">
            <v>73</v>
          </cell>
          <cell r="Z847">
            <v>0.24513888888888891</v>
          </cell>
          <cell r="AF847">
            <v>53.4</v>
          </cell>
          <cell r="AG847">
            <v>11.4</v>
          </cell>
          <cell r="AI847">
            <v>52.6</v>
          </cell>
          <cell r="AU847">
            <v>97.8959595855125</v>
          </cell>
          <cell r="AV847">
            <v>99.875290077770813</v>
          </cell>
          <cell r="AX847" t="str">
            <v>K.Benjamin</v>
          </cell>
        </row>
        <row r="848">
          <cell r="A848" t="str">
            <v>CA738</v>
          </cell>
          <cell r="P848">
            <v>70</v>
          </cell>
          <cell r="Q848">
            <v>3.2452830188679229</v>
          </cell>
          <cell r="T848">
            <v>1.1138888888888889</v>
          </cell>
          <cell r="U848">
            <v>1.2027777777777777</v>
          </cell>
          <cell r="V848">
            <v>86</v>
          </cell>
          <cell r="Z848">
            <v>0.27916666666666656</v>
          </cell>
          <cell r="AF848">
            <v>52</v>
          </cell>
          <cell r="AG848">
            <v>11.7</v>
          </cell>
          <cell r="AI848">
            <v>51.9</v>
          </cell>
          <cell r="AU848">
            <v>99.51824203915092</v>
          </cell>
          <cell r="AV848">
            <v>101.53004650959949</v>
          </cell>
          <cell r="AX848" t="str">
            <v>K.Benjamin</v>
          </cell>
        </row>
        <row r="849">
          <cell r="A849" t="str">
            <v>CA739</v>
          </cell>
          <cell r="P849">
            <v>62</v>
          </cell>
          <cell r="Q849">
            <v>10.395480225988706</v>
          </cell>
          <cell r="T849">
            <v>0.21736111111111112</v>
          </cell>
          <cell r="U849">
            <v>0.32777777777777778</v>
          </cell>
          <cell r="V849">
            <v>60</v>
          </cell>
          <cell r="Z849">
            <v>0.23749999999999999</v>
          </cell>
          <cell r="AF849">
            <v>48.3</v>
          </cell>
          <cell r="AG849">
            <v>11.9</v>
          </cell>
          <cell r="AI849">
            <v>47.8</v>
          </cell>
          <cell r="AU849">
            <v>93.421221419669621</v>
          </cell>
          <cell r="AV849">
            <v>95.309618157680362</v>
          </cell>
          <cell r="AX849" t="str">
            <v>K.Benjamin</v>
          </cell>
        </row>
        <row r="850">
          <cell r="A850" t="str">
            <v>CA740</v>
          </cell>
          <cell r="P850">
            <v>57</v>
          </cell>
          <cell r="Q850">
            <v>4.7457627118644128</v>
          </cell>
          <cell r="T850">
            <v>0.31527777777777777</v>
          </cell>
          <cell r="U850">
            <v>0.42430555555555555</v>
          </cell>
          <cell r="V850">
            <v>60</v>
          </cell>
          <cell r="Z850">
            <v>0.2472222222222222</v>
          </cell>
          <cell r="AF850">
            <v>52.2</v>
          </cell>
          <cell r="AG850">
            <v>11.6</v>
          </cell>
          <cell r="AI850">
            <v>51.8</v>
          </cell>
          <cell r="AU850">
            <v>98.678094746943245</v>
          </cell>
          <cell r="AV850">
            <v>100.67258993396224</v>
          </cell>
          <cell r="AX850" t="str">
            <v>R.Sookram</v>
          </cell>
        </row>
        <row r="851">
          <cell r="A851" t="str">
            <v>CA741</v>
          </cell>
          <cell r="P851">
            <v>51</v>
          </cell>
          <cell r="Q851">
            <v>4.1807909604519748</v>
          </cell>
          <cell r="T851">
            <v>0.40763888888888888</v>
          </cell>
          <cell r="U851">
            <v>0.51527777777777772</v>
          </cell>
          <cell r="V851">
            <v>62</v>
          </cell>
          <cell r="Z851">
            <v>0.25486111111111104</v>
          </cell>
          <cell r="AF851">
            <v>52</v>
          </cell>
          <cell r="AG851">
            <v>11.6</v>
          </cell>
          <cell r="AI851">
            <v>50.4</v>
          </cell>
          <cell r="AU851">
            <v>95.654034854800202</v>
          </cell>
          <cell r="AV851">
            <v>97.587879799021309</v>
          </cell>
          <cell r="AX851" t="str">
            <v>R.Sookram</v>
          </cell>
        </row>
        <row r="852">
          <cell r="A852" t="str">
            <v>CA742</v>
          </cell>
          <cell r="P852">
            <v>59</v>
          </cell>
          <cell r="Q852">
            <v>3.0508474576271141</v>
          </cell>
          <cell r="T852">
            <v>0.51388888888888884</v>
          </cell>
          <cell r="U852">
            <v>0.62291666666666667</v>
          </cell>
          <cell r="V852">
            <v>63</v>
          </cell>
          <cell r="Z852">
            <v>0.26180555555555557</v>
          </cell>
          <cell r="AF852">
            <v>52.2</v>
          </cell>
          <cell r="AG852">
            <v>11.7</v>
          </cell>
          <cell r="AI852">
            <v>50.7</v>
          </cell>
          <cell r="AU852">
            <v>97.33806518912769</v>
          </cell>
          <cell r="AV852">
            <v>99.305636175613685</v>
          </cell>
          <cell r="AX852" t="str">
            <v>R.Sookram</v>
          </cell>
        </row>
        <row r="853">
          <cell r="A853" t="str">
            <v>CA743</v>
          </cell>
          <cell r="P853">
            <v>60</v>
          </cell>
          <cell r="Q853">
            <v>-1.4689265536723184</v>
          </cell>
          <cell r="T853">
            <v>0.60972222222222228</v>
          </cell>
          <cell r="U853">
            <v>0.72638888888888886</v>
          </cell>
          <cell r="V853">
            <v>68</v>
          </cell>
          <cell r="Z853">
            <v>0.26805555555555555</v>
          </cell>
          <cell r="AF853">
            <v>57.3</v>
          </cell>
          <cell r="AG853">
            <v>10.7</v>
          </cell>
          <cell r="AI853">
            <v>56.6</v>
          </cell>
          <cell r="AU853">
            <v>99.103729456117165</v>
          </cell>
          <cell r="AV853">
            <v>101.10682763026368</v>
          </cell>
          <cell r="AX853" t="str">
            <v>D. Gomez</v>
          </cell>
        </row>
        <row r="854">
          <cell r="A854" t="str">
            <v>CA744</v>
          </cell>
          <cell r="P854">
            <v>60</v>
          </cell>
          <cell r="Q854">
            <v>3.0566037735849005</v>
          </cell>
          <cell r="T854">
            <v>0.7055555555555556</v>
          </cell>
          <cell r="U854">
            <v>0.8354166666666667</v>
          </cell>
          <cell r="V854">
            <v>62</v>
          </cell>
          <cell r="Z854">
            <v>0.28680555555555554</v>
          </cell>
          <cell r="AF854">
            <v>52.1</v>
          </cell>
          <cell r="AG854">
            <v>11.7</v>
          </cell>
          <cell r="AI854">
            <v>50.3</v>
          </cell>
          <cell r="AU854">
            <v>96.570112012093148</v>
          </cell>
          <cell r="AV854">
            <v>98.522159756082203</v>
          </cell>
          <cell r="AX854" t="str">
            <v>D. Gomez</v>
          </cell>
        </row>
        <row r="855">
          <cell r="A855" t="str">
            <v>CA745</v>
          </cell>
          <cell r="P855">
            <v>57</v>
          </cell>
          <cell r="Q855">
            <v>3.8846153846153766</v>
          </cell>
          <cell r="T855">
            <v>0.81736111111111109</v>
          </cell>
          <cell r="U855">
            <v>0.93333333333333335</v>
          </cell>
          <cell r="V855">
            <v>62</v>
          </cell>
          <cell r="Z855">
            <v>0.29097222222222219</v>
          </cell>
          <cell r="AF855">
            <v>50.7</v>
          </cell>
          <cell r="AG855">
            <v>12.6</v>
          </cell>
          <cell r="AI855">
            <v>50</v>
          </cell>
          <cell r="AU855">
            <v>104.15305681524512</v>
          </cell>
          <cell r="AV855">
            <v>106.25786758329086</v>
          </cell>
          <cell r="AX855" t="str">
            <v>D. Gomez</v>
          </cell>
        </row>
        <row r="856">
          <cell r="A856" t="str">
            <v>CA746</v>
          </cell>
          <cell r="P856">
            <v>60</v>
          </cell>
          <cell r="Q856">
            <v>0.61538461538461586</v>
          </cell>
          <cell r="T856">
            <v>0.91736111111111107</v>
          </cell>
          <cell r="U856">
            <v>1.0270833333333333</v>
          </cell>
          <cell r="V856">
            <v>66</v>
          </cell>
          <cell r="Z856">
            <v>0.29791666666666672</v>
          </cell>
          <cell r="AF856">
            <v>52.4</v>
          </cell>
          <cell r="AG856">
            <v>11.8</v>
          </cell>
          <cell r="AI856">
            <v>50.8</v>
          </cell>
          <cell r="AU856">
            <v>98.652479136114536</v>
          </cell>
          <cell r="AV856">
            <v>100.64629334147554</v>
          </cell>
          <cell r="AX856" t="str">
            <v>D. Gomez</v>
          </cell>
        </row>
        <row r="857">
          <cell r="A857" t="str">
            <v>CA747</v>
          </cell>
          <cell r="P857">
            <v>60</v>
          </cell>
          <cell r="Q857">
            <v>4.9340866290018788</v>
          </cell>
          <cell r="T857">
            <v>0.28958333333333336</v>
          </cell>
          <cell r="U857">
            <v>0.40208333333333335</v>
          </cell>
          <cell r="V857">
            <v>59</v>
          </cell>
          <cell r="Z857">
            <v>0.25277777777777777</v>
          </cell>
          <cell r="AF857">
            <v>51.2</v>
          </cell>
          <cell r="AG857">
            <v>11.8</v>
          </cell>
          <cell r="AI857">
            <v>48.7</v>
          </cell>
          <cell r="AU857">
            <v>94.339248847980755</v>
          </cell>
          <cell r="AV857">
            <v>96.246202397545488</v>
          </cell>
          <cell r="AX857" t="str">
            <v>R. Regis</v>
          </cell>
        </row>
        <row r="858">
          <cell r="A858" t="str">
            <v>CA748</v>
          </cell>
          <cell r="P858">
            <v>57</v>
          </cell>
          <cell r="Q858">
            <v>4.1807909604519748</v>
          </cell>
          <cell r="T858">
            <v>0.38194444444444442</v>
          </cell>
          <cell r="U858">
            <v>0.48749999999999999</v>
          </cell>
          <cell r="V858">
            <v>56</v>
          </cell>
          <cell r="Z858">
            <v>0.25138888888888888</v>
          </cell>
          <cell r="AF858">
            <v>52</v>
          </cell>
          <cell r="AG858">
            <v>11.8</v>
          </cell>
          <cell r="AI858">
            <v>50.2</v>
          </cell>
          <cell r="AU858">
            <v>96.88374970846769</v>
          </cell>
          <cell r="AV858">
            <v>98.842614617849193</v>
          </cell>
          <cell r="AX858" t="str">
            <v>R.Sookram</v>
          </cell>
        </row>
        <row r="859">
          <cell r="A859" t="str">
            <v>CA749</v>
          </cell>
          <cell r="P859">
            <v>66</v>
          </cell>
          <cell r="Q859">
            <v>4.1807909604519748</v>
          </cell>
          <cell r="T859">
            <v>0.46458333333333335</v>
          </cell>
          <cell r="U859">
            <v>0.59097222222222223</v>
          </cell>
          <cell r="V859">
            <v>63</v>
          </cell>
          <cell r="Z859">
            <v>0.27152777777777781</v>
          </cell>
          <cell r="AF859">
            <v>52.4</v>
          </cell>
          <cell r="AG859">
            <v>11.7</v>
          </cell>
          <cell r="AI859">
            <v>51.5</v>
          </cell>
          <cell r="AU859">
            <v>98.384875076943416</v>
          </cell>
          <cell r="AV859">
            <v>100.37425159911308</v>
          </cell>
          <cell r="AX859" t="str">
            <v>R.Sookram</v>
          </cell>
        </row>
        <row r="860">
          <cell r="A860" t="str">
            <v>CA750</v>
          </cell>
          <cell r="P860">
            <v>57</v>
          </cell>
          <cell r="Q860">
            <v>3.6158192090395511</v>
          </cell>
          <cell r="T860">
            <v>0.57222222222222219</v>
          </cell>
          <cell r="U860">
            <v>0.67986111111111114</v>
          </cell>
          <cell r="V860">
            <v>58</v>
          </cell>
          <cell r="Z860">
            <v>0.26666666666666672</v>
          </cell>
          <cell r="AF860">
            <v>51.9</v>
          </cell>
          <cell r="AG860">
            <v>11.9</v>
          </cell>
          <cell r="AI860">
            <v>50</v>
          </cell>
          <cell r="AU860">
            <v>97.478647220115519</v>
          </cell>
          <cell r="AV860">
            <v>99.449380492185895</v>
          </cell>
          <cell r="AX860" t="str">
            <v>R.Sookram</v>
          </cell>
        </row>
        <row r="861">
          <cell r="A861" t="str">
            <v>CA751</v>
          </cell>
          <cell r="P861">
            <v>60</v>
          </cell>
          <cell r="Q861">
            <v>4.5660377358490596</v>
          </cell>
          <cell r="T861">
            <v>0.66666666666666663</v>
          </cell>
          <cell r="U861">
            <v>0.88124999999999998</v>
          </cell>
          <cell r="V861">
            <v>59</v>
          </cell>
          <cell r="Z861">
            <v>0.3666666666666667</v>
          </cell>
          <cell r="AF861">
            <v>51.3</v>
          </cell>
          <cell r="AG861">
            <v>11.6</v>
          </cell>
          <cell r="AI861">
            <v>50.5</v>
          </cell>
          <cell r="AU861">
            <v>96.201617465649306</v>
          </cell>
          <cell r="AV861">
            <v>98.146057754152395</v>
          </cell>
          <cell r="AX861" t="str">
            <v>K.Benjamin</v>
          </cell>
        </row>
        <row r="862">
          <cell r="A862" t="str">
            <v>CA752</v>
          </cell>
          <cell r="P862">
            <v>60</v>
          </cell>
          <cell r="Q862">
            <v>-0.52830188679245493</v>
          </cell>
          <cell r="T862">
            <v>0.75694444444444442</v>
          </cell>
          <cell r="U862">
            <v>0.87847222222222221</v>
          </cell>
          <cell r="V862">
            <v>58</v>
          </cell>
          <cell r="Z862">
            <v>0.26736111111111105</v>
          </cell>
          <cell r="AF862">
            <v>54.8</v>
          </cell>
          <cell r="AG862">
            <v>11.9</v>
          </cell>
          <cell r="AI862">
            <v>52.8</v>
          </cell>
          <cell r="AU862">
            <v>103.19331571043004</v>
          </cell>
          <cell r="AV862">
            <v>105.27924348798166</v>
          </cell>
          <cell r="AX862" t="str">
            <v>K.Benjamin</v>
          </cell>
        </row>
        <row r="863">
          <cell r="A863" t="str">
            <v>ST397</v>
          </cell>
        </row>
        <row r="864">
          <cell r="A864" t="str">
            <v>ST398</v>
          </cell>
        </row>
        <row r="865">
          <cell r="A865" t="str">
            <v>ST399</v>
          </cell>
        </row>
        <row r="866">
          <cell r="A866" t="str">
            <v>ST400</v>
          </cell>
        </row>
        <row r="867">
          <cell r="A867" t="str">
            <v>CA753</v>
          </cell>
          <cell r="P867">
            <v>61</v>
          </cell>
          <cell r="Q867">
            <v>8.7169811320754675</v>
          </cell>
          <cell r="T867">
            <v>0.40555555555555556</v>
          </cell>
          <cell r="U867">
            <v>0.52569444444444446</v>
          </cell>
          <cell r="V867">
            <v>65</v>
          </cell>
          <cell r="Z867">
            <v>0.27222222222222225</v>
          </cell>
          <cell r="AF867">
            <v>49.1</v>
          </cell>
          <cell r="AG867">
            <v>11.5</v>
          </cell>
          <cell r="AI867">
            <v>50</v>
          </cell>
          <cell r="AU867">
            <v>94.972542354638222</v>
          </cell>
          <cell r="AV867">
            <v>95.934703591257232</v>
          </cell>
          <cell r="AX867" t="str">
            <v>R. Regis</v>
          </cell>
        </row>
        <row r="868">
          <cell r="A868" t="str">
            <v>CA754</v>
          </cell>
          <cell r="P868">
            <v>60</v>
          </cell>
          <cell r="Q868">
            <v>3.6158192090395511</v>
          </cell>
          <cell r="T868">
            <v>0.50972222222222219</v>
          </cell>
          <cell r="U868">
            <v>0.62152777777777779</v>
          </cell>
          <cell r="V868">
            <v>67</v>
          </cell>
          <cell r="Z868">
            <v>0.24652777777777779</v>
          </cell>
          <cell r="AF868">
            <v>52.8</v>
          </cell>
          <cell r="AG868">
            <v>11.6</v>
          </cell>
          <cell r="AI868">
            <v>51.8</v>
          </cell>
          <cell r="AU868">
            <v>98.197776374125141</v>
          </cell>
          <cell r="AV868">
            <v>99.193330717569566</v>
          </cell>
          <cell r="AX868" t="str">
            <v>R. Regis</v>
          </cell>
        </row>
        <row r="869">
          <cell r="A869" t="str">
            <v>CA755</v>
          </cell>
          <cell r="P869">
            <v>61</v>
          </cell>
          <cell r="Q869">
            <v>3.8113207547169736</v>
          </cell>
          <cell r="T869">
            <v>0.60486111111111107</v>
          </cell>
          <cell r="U869">
            <v>0.7104166666666667</v>
          </cell>
          <cell r="V869">
            <v>60</v>
          </cell>
          <cell r="Z869">
            <v>0.2416666666666667</v>
          </cell>
          <cell r="AF869">
            <v>51.7</v>
          </cell>
          <cell r="AG869">
            <v>11.7</v>
          </cell>
          <cell r="AI869">
            <v>50.4</v>
          </cell>
          <cell r="AU869">
            <v>96.766626486749658</v>
          </cell>
          <cell r="AV869">
            <v>97.747437210982426</v>
          </cell>
          <cell r="AX869" t="str">
            <v>R. Regis</v>
          </cell>
        </row>
        <row r="870">
          <cell r="A870" t="str">
            <v>CA756</v>
          </cell>
          <cell r="P870">
            <v>58</v>
          </cell>
          <cell r="Q870">
            <v>3.992467043314496</v>
          </cell>
          <cell r="T870">
            <v>0.69791666666666663</v>
          </cell>
          <cell r="U870">
            <v>0.8</v>
          </cell>
          <cell r="V870">
            <v>54</v>
          </cell>
          <cell r="Z870">
            <v>0.23750000000000004</v>
          </cell>
          <cell r="AF870">
            <v>51.7</v>
          </cell>
          <cell r="AG870">
            <v>11.7</v>
          </cell>
          <cell r="AI870">
            <v>51.5</v>
          </cell>
          <cell r="AU870">
            <v>99.122397304682863</v>
          </cell>
          <cell r="AV870">
            <v>100.1269247811383</v>
          </cell>
          <cell r="AX870" t="str">
            <v>R.Sookram</v>
          </cell>
        </row>
        <row r="871">
          <cell r="A871" t="str">
            <v>CA757</v>
          </cell>
          <cell r="P871">
            <v>60</v>
          </cell>
          <cell r="Q871">
            <v>6.1632653061224412</v>
          </cell>
          <cell r="T871">
            <v>1.0986111111111112</v>
          </cell>
          <cell r="U871">
            <v>1.2076388888888889</v>
          </cell>
          <cell r="V871">
            <v>59</v>
          </cell>
          <cell r="Z871">
            <v>0.23194444444444451</v>
          </cell>
          <cell r="AF871">
            <v>46.7</v>
          </cell>
          <cell r="AG871">
            <v>11.5</v>
          </cell>
          <cell r="AI871">
            <v>45.2</v>
          </cell>
          <cell r="AU871">
            <v>95.200766830802223</v>
          </cell>
          <cell r="AV871">
            <v>95.08346070867762</v>
          </cell>
          <cell r="AX871" t="str">
            <v>R.Sookram</v>
          </cell>
        </row>
        <row r="872">
          <cell r="A872" t="str">
            <v>CA758</v>
          </cell>
          <cell r="P872">
            <v>58</v>
          </cell>
          <cell r="Q872">
            <v>5.5094339622641542</v>
          </cell>
          <cell r="T872">
            <v>0.4777777777777778</v>
          </cell>
          <cell r="U872">
            <v>0.59236111111111112</v>
          </cell>
          <cell r="V872">
            <v>62</v>
          </cell>
          <cell r="Z872">
            <v>0.2416666666666667</v>
          </cell>
          <cell r="AF872">
            <v>51.2</v>
          </cell>
          <cell r="AG872">
            <v>11.8</v>
          </cell>
          <cell r="AI872">
            <v>49.5</v>
          </cell>
          <cell r="AU872">
            <v>96.866699496120006</v>
          </cell>
          <cell r="AV872">
            <v>96.746514331566758</v>
          </cell>
          <cell r="AX872" t="str">
            <v>K.Benjamin</v>
          </cell>
        </row>
        <row r="873">
          <cell r="A873" t="str">
            <v>CA759</v>
          </cell>
          <cell r="P873">
            <v>60</v>
          </cell>
          <cell r="Q873">
            <v>3.9999999999999951</v>
          </cell>
          <cell r="T873">
            <v>0.56666666666666665</v>
          </cell>
          <cell r="U873">
            <v>0.67777777777777781</v>
          </cell>
          <cell r="V873">
            <v>60</v>
          </cell>
          <cell r="Z873">
            <v>0.24375000000000002</v>
          </cell>
          <cell r="AF873">
            <v>51.6</v>
          </cell>
          <cell r="AG873">
            <v>11.8</v>
          </cell>
          <cell r="AI873">
            <v>49.9</v>
          </cell>
          <cell r="AU873">
            <v>97.410340268201949</v>
          </cell>
          <cell r="AV873">
            <v>97.28946137504451</v>
          </cell>
          <cell r="AX873" t="str">
            <v>K.Benjamin</v>
          </cell>
        </row>
        <row r="874">
          <cell r="A874" t="str">
            <v>CA760</v>
          </cell>
          <cell r="P874">
            <v>60</v>
          </cell>
          <cell r="Q874">
            <v>3.992467043314496</v>
          </cell>
          <cell r="T874">
            <v>0.65902777777777777</v>
          </cell>
          <cell r="U874">
            <v>0.76666666666666672</v>
          </cell>
          <cell r="V874">
            <v>64</v>
          </cell>
          <cell r="Z874">
            <v>0.24930555555555556</v>
          </cell>
          <cell r="AF874">
            <v>51.7</v>
          </cell>
          <cell r="AG874">
            <v>11.7</v>
          </cell>
          <cell r="AI874">
            <v>50.4</v>
          </cell>
          <cell r="AU874">
            <v>97.748733094007179</v>
          </cell>
          <cell r="AV874">
            <v>97.627453566234635</v>
          </cell>
          <cell r="AX874" t="str">
            <v>R. Regis</v>
          </cell>
        </row>
        <row r="875">
          <cell r="A875" t="str">
            <v>CA761</v>
          </cell>
          <cell r="P875">
            <v>60</v>
          </cell>
          <cell r="Q875">
            <v>2.6792452830188709</v>
          </cell>
          <cell r="T875">
            <v>0.75208333333333333</v>
          </cell>
          <cell r="U875">
            <v>0.85763888888888884</v>
          </cell>
          <cell r="V875">
            <v>60</v>
          </cell>
          <cell r="Z875">
            <v>0.25694444444444442</v>
          </cell>
          <cell r="AF875">
            <v>52.3</v>
          </cell>
          <cell r="AG875">
            <v>11.8</v>
          </cell>
          <cell r="AI875">
            <v>51</v>
          </cell>
          <cell r="AU875">
            <v>99.679708414599418</v>
          </cell>
          <cell r="AV875">
            <v>99.556023227675951</v>
          </cell>
          <cell r="AX875" t="str">
            <v>R. Regis</v>
          </cell>
        </row>
        <row r="876">
          <cell r="A876" t="str">
            <v>CA762</v>
          </cell>
          <cell r="P876">
            <v>60</v>
          </cell>
          <cell r="Q876">
            <v>3.4274952919020718</v>
          </cell>
          <cell r="T876">
            <v>0.84513888888888888</v>
          </cell>
          <cell r="U876">
            <v>0.9555555555555556</v>
          </cell>
          <cell r="V876">
            <v>64</v>
          </cell>
          <cell r="Z876">
            <v>0.24722222222222223</v>
          </cell>
          <cell r="AF876">
            <v>52</v>
          </cell>
          <cell r="AG876">
            <v>11.7</v>
          </cell>
          <cell r="AI876">
            <v>50.6</v>
          </cell>
          <cell r="AU876">
            <v>98.016320901061235</v>
          </cell>
          <cell r="AV876">
            <v>97.894699688830428</v>
          </cell>
          <cell r="AX876" t="str">
            <v>R. Regis</v>
          </cell>
        </row>
        <row r="877">
          <cell r="A877" t="str">
            <v>CA763</v>
          </cell>
          <cell r="P877">
            <v>61</v>
          </cell>
          <cell r="Q877">
            <v>1.9209039548022655</v>
          </cell>
          <cell r="T877">
            <v>0.94236111111111109</v>
          </cell>
          <cell r="U877">
            <v>1.0562499999999999</v>
          </cell>
          <cell r="V877">
            <v>71</v>
          </cell>
          <cell r="Z877">
            <v>0.25069444444444433</v>
          </cell>
          <cell r="AF877">
            <v>52.8</v>
          </cell>
          <cell r="AG877">
            <v>11.6</v>
          </cell>
          <cell r="AI877">
            <v>51.3</v>
          </cell>
          <cell r="AU877">
            <v>98.59936743760062</v>
          </cell>
          <cell r="AV877">
            <v>98.477032504522725</v>
          </cell>
          <cell r="AX877" t="str">
            <v>R. Regis</v>
          </cell>
        </row>
        <row r="878">
          <cell r="A878" t="str">
            <v>CA764</v>
          </cell>
          <cell r="P878">
            <v>59</v>
          </cell>
          <cell r="Q878">
            <v>1.7325800376647864</v>
          </cell>
          <cell r="T878">
            <v>1.0402777777777779</v>
          </cell>
          <cell r="U878">
            <v>1.1652777777777779</v>
          </cell>
          <cell r="V878">
            <v>73</v>
          </cell>
          <cell r="Z878">
            <v>0.25902777777777786</v>
          </cell>
          <cell r="AF878">
            <v>52.99</v>
          </cell>
          <cell r="AG878">
            <v>11.5</v>
          </cell>
          <cell r="AI878">
            <v>51.5</v>
          </cell>
          <cell r="AU878">
            <v>98.085402876156465</v>
          </cell>
          <cell r="AV878">
            <v>97.963705632973188</v>
          </cell>
          <cell r="AX878" t="str">
            <v>R.Sookram</v>
          </cell>
        </row>
        <row r="879">
          <cell r="A879" t="str">
            <v>CA765</v>
          </cell>
          <cell r="P879">
            <v>60</v>
          </cell>
          <cell r="Q879">
            <v>1.5442561205273075</v>
          </cell>
          <cell r="T879">
            <v>1.1354166666666667</v>
          </cell>
          <cell r="U879">
            <v>1.2534722222222223</v>
          </cell>
          <cell r="V879">
            <v>74</v>
          </cell>
          <cell r="Z879">
            <v>0.25694444444444453</v>
          </cell>
          <cell r="AF879">
            <v>53</v>
          </cell>
          <cell r="AG879">
            <v>11.7</v>
          </cell>
          <cell r="AI879">
            <v>51.9</v>
          </cell>
          <cell r="AU879">
            <v>100.78161966256438</v>
          </cell>
          <cell r="AV879">
            <v>100.65658712797594</v>
          </cell>
          <cell r="AX879" t="str">
            <v>R.Sookram</v>
          </cell>
        </row>
        <row r="880">
          <cell r="A880" t="str">
            <v>CA766</v>
          </cell>
          <cell r="P880">
            <v>59</v>
          </cell>
          <cell r="Q880">
            <v>5.8757062146892611</v>
          </cell>
          <cell r="T880">
            <v>0.18472222222222223</v>
          </cell>
          <cell r="U880">
            <v>0.28541666666666665</v>
          </cell>
          <cell r="V880">
            <v>51</v>
          </cell>
          <cell r="Z880">
            <v>0.24374999999999999</v>
          </cell>
          <cell r="AF880">
            <v>50.7</v>
          </cell>
          <cell r="AG880">
            <v>11.8</v>
          </cell>
          <cell r="AI880">
            <v>49.6</v>
          </cell>
          <cell r="AU880">
            <v>97.181669348325045</v>
          </cell>
          <cell r="AV880">
            <v>97.06110301415778</v>
          </cell>
          <cell r="AX880" t="str">
            <v>R.Sookram</v>
          </cell>
        </row>
        <row r="881">
          <cell r="A881" t="str">
            <v>CA767</v>
          </cell>
          <cell r="P881">
            <v>59</v>
          </cell>
          <cell r="Q881">
            <v>5.4990583804143158</v>
          </cell>
          <cell r="T881">
            <v>0.28680555555555554</v>
          </cell>
          <cell r="U881">
            <v>0.40555555555555556</v>
          </cell>
          <cell r="V881">
            <v>63</v>
          </cell>
          <cell r="Z881">
            <v>0.27361111111111114</v>
          </cell>
          <cell r="AF881">
            <v>52.2</v>
          </cell>
          <cell r="AG881">
            <v>11.5</v>
          </cell>
          <cell r="AI881">
            <v>51.8</v>
          </cell>
          <cell r="AU881">
            <v>98.778013037266177</v>
          </cell>
          <cell r="AV881">
            <v>98.655466233860849</v>
          </cell>
          <cell r="AX881" t="str">
            <v>R.Sookram</v>
          </cell>
        </row>
        <row r="882">
          <cell r="A882" t="str">
            <v>CA768</v>
          </cell>
          <cell r="P882">
            <v>60</v>
          </cell>
          <cell r="Q882">
            <v>7.9622641509433949</v>
          </cell>
          <cell r="T882">
            <v>0.3840277777777778</v>
          </cell>
          <cell r="U882">
            <v>0.50277777777777777</v>
          </cell>
          <cell r="V882">
            <v>70</v>
          </cell>
          <cell r="Z882">
            <v>0.28749999999999998</v>
          </cell>
          <cell r="AF882">
            <v>9.5</v>
          </cell>
          <cell r="AG882">
            <v>11.8</v>
          </cell>
          <cell r="AI882">
            <v>50.1</v>
          </cell>
          <cell r="AU882">
            <v>98.040841308194189</v>
          </cell>
          <cell r="AV882">
            <v>97.919199353767567</v>
          </cell>
          <cell r="AX882" t="str">
            <v>K.Benjamin</v>
          </cell>
        </row>
        <row r="883">
          <cell r="A883" t="str">
            <v>CA769</v>
          </cell>
          <cell r="P883">
            <v>60</v>
          </cell>
          <cell r="Q883">
            <v>4.9433962264150892</v>
          </cell>
          <cell r="T883">
            <v>0.46597222222222223</v>
          </cell>
          <cell r="U883">
            <v>0.58680555555555558</v>
          </cell>
          <cell r="V883">
            <v>57</v>
          </cell>
          <cell r="Z883">
            <v>0.25694444444444448</v>
          </cell>
          <cell r="AF883">
            <v>51.1</v>
          </cell>
          <cell r="AG883">
            <v>11.6</v>
          </cell>
          <cell r="AI883">
            <v>51.6</v>
          </cell>
          <cell r="AU883">
            <v>99.175971925539798</v>
          </cell>
          <cell r="AV883">
            <v>99.052921583496527</v>
          </cell>
          <cell r="AX883" t="str">
            <v>K.Benjamin</v>
          </cell>
        </row>
        <row r="884">
          <cell r="A884" t="str">
            <v>CA770</v>
          </cell>
          <cell r="P884">
            <v>61</v>
          </cell>
          <cell r="Q884">
            <v>0.41509433962263936</v>
          </cell>
          <cell r="T884">
            <v>0.5493055555555556</v>
          </cell>
          <cell r="U884">
            <v>0.66249999999999998</v>
          </cell>
          <cell r="V884">
            <v>62</v>
          </cell>
          <cell r="Z884">
            <v>0.24930555555555556</v>
          </cell>
          <cell r="AF884">
            <v>53.5</v>
          </cell>
          <cell r="AG884">
            <v>11.6</v>
          </cell>
          <cell r="AI884">
            <v>52</v>
          </cell>
          <cell r="AU884">
            <v>99.944777909458722</v>
          </cell>
          <cell r="AV884">
            <v>99.820773688794972</v>
          </cell>
          <cell r="AX884" t="str">
            <v>K.Benjamin</v>
          </cell>
        </row>
        <row r="885">
          <cell r="A885" t="str">
            <v>CA771</v>
          </cell>
          <cell r="P885">
            <v>60</v>
          </cell>
          <cell r="Q885">
            <v>3.2391713747645925</v>
          </cell>
          <cell r="T885">
            <v>0.64513888888888893</v>
          </cell>
          <cell r="U885">
            <v>0.75763888888888886</v>
          </cell>
          <cell r="V885">
            <v>71</v>
          </cell>
          <cell r="Z885">
            <v>0.26111111111111107</v>
          </cell>
          <cell r="AF885">
            <v>52.1</v>
          </cell>
          <cell r="AG885">
            <v>11.7</v>
          </cell>
          <cell r="AI885">
            <v>50.9</v>
          </cell>
          <cell r="AU885">
            <v>97.285577559209841</v>
          </cell>
          <cell r="AV885">
            <v>97.164758910237524</v>
          </cell>
          <cell r="AX885" t="str">
            <v>R. Regis</v>
          </cell>
        </row>
        <row r="886">
          <cell r="A886" t="str">
            <v>CA772</v>
          </cell>
          <cell r="P886">
            <v>60</v>
          </cell>
          <cell r="Q886">
            <v>2.2975517890772106</v>
          </cell>
          <cell r="T886">
            <v>0.73611111111111116</v>
          </cell>
          <cell r="U886">
            <v>0.85069444444444442</v>
          </cell>
          <cell r="V886">
            <v>72</v>
          </cell>
          <cell r="Z886">
            <v>0.27083333333333326</v>
          </cell>
          <cell r="AF886">
            <v>52.6</v>
          </cell>
          <cell r="AG886">
            <v>11.8</v>
          </cell>
          <cell r="AI886">
            <v>51.2</v>
          </cell>
          <cell r="AU886">
            <v>100.07060923191156</v>
          </cell>
          <cell r="AV886">
            <v>99.94643900503938</v>
          </cell>
          <cell r="AX886" t="str">
            <v>R. Regis</v>
          </cell>
        </row>
        <row r="887">
          <cell r="A887" t="str">
            <v>CA773</v>
          </cell>
          <cell r="P887">
            <v>61</v>
          </cell>
          <cell r="Q887">
            <v>2.4858757062146899</v>
          </cell>
          <cell r="T887">
            <v>0.83263888888888893</v>
          </cell>
          <cell r="U887">
            <v>0.96111111111111114</v>
          </cell>
          <cell r="V887">
            <v>91</v>
          </cell>
          <cell r="Z887">
            <v>0.26666666666666672</v>
          </cell>
          <cell r="AF887">
            <v>52.5</v>
          </cell>
          <cell r="AG887">
            <v>11.7</v>
          </cell>
          <cell r="AI887">
            <v>51</v>
          </cell>
          <cell r="AU887">
            <v>98.912408487983441</v>
          </cell>
          <cell r="AV887">
            <v>98.789685156308849</v>
          </cell>
          <cell r="AX887" t="str">
            <v>R. Regis</v>
          </cell>
        </row>
        <row r="888">
          <cell r="A888" t="str">
            <v>CA774</v>
          </cell>
          <cell r="P888">
            <v>57</v>
          </cell>
          <cell r="Q888">
            <v>-3.0142566191445961</v>
          </cell>
          <cell r="T888">
            <v>0.93194444444444446</v>
          </cell>
          <cell r="U888">
            <v>1.0659722222222223</v>
          </cell>
          <cell r="V888">
            <v>80</v>
          </cell>
          <cell r="Z888">
            <v>0.27430555555555569</v>
          </cell>
          <cell r="AF888">
            <v>52.5</v>
          </cell>
          <cell r="AG888">
            <v>11.7</v>
          </cell>
          <cell r="AI888">
            <v>51.5</v>
          </cell>
          <cell r="AU888">
            <v>110.7377850756895</v>
          </cell>
          <cell r="AV888">
            <v>111.22666540159642</v>
          </cell>
          <cell r="AX888" t="str">
            <v>R.Sookram</v>
          </cell>
        </row>
        <row r="889">
          <cell r="A889" t="str">
            <v>CA775</v>
          </cell>
          <cell r="P889">
            <v>59</v>
          </cell>
          <cell r="Q889">
            <v>6.8173258003766435</v>
          </cell>
          <cell r="T889">
            <v>0.27847222222222223</v>
          </cell>
          <cell r="U889">
            <v>0.38680555555555557</v>
          </cell>
          <cell r="V889">
            <v>67</v>
          </cell>
          <cell r="Z889">
            <v>0.25486111111111109</v>
          </cell>
          <cell r="AF889">
            <v>50.6</v>
          </cell>
          <cell r="AG889">
            <v>11.7</v>
          </cell>
          <cell r="AI889">
            <v>48.7</v>
          </cell>
          <cell r="AU889">
            <v>93.502672815569611</v>
          </cell>
          <cell r="AV889">
            <v>94.450400638389752</v>
          </cell>
          <cell r="AX889" t="str">
            <v>R. Regis</v>
          </cell>
        </row>
        <row r="890">
          <cell r="A890" t="str">
            <v>CA776</v>
          </cell>
          <cell r="P890">
            <v>57</v>
          </cell>
          <cell r="Q890">
            <v>4.7457627118644128</v>
          </cell>
          <cell r="T890">
            <v>0.36180555555555555</v>
          </cell>
          <cell r="U890">
            <v>0.47708333333333336</v>
          </cell>
          <cell r="V890">
            <v>74</v>
          </cell>
          <cell r="Z890">
            <v>0.25833333333333336</v>
          </cell>
          <cell r="AF890">
            <v>52.2</v>
          </cell>
          <cell r="AG890">
            <v>11.8</v>
          </cell>
          <cell r="AI890">
            <v>51.3</v>
          </cell>
          <cell r="AU890">
            <v>99.015183989304077</v>
          </cell>
          <cell r="AV890">
            <v>100.01902542163894</v>
          </cell>
          <cell r="AX890" t="str">
            <v>R.Sookram</v>
          </cell>
        </row>
        <row r="891">
          <cell r="A891" t="str">
            <v>CA777</v>
          </cell>
          <cell r="P891">
            <v>57</v>
          </cell>
          <cell r="Q891">
            <v>3.6158192090395511</v>
          </cell>
          <cell r="T891">
            <v>0.45277777777777778</v>
          </cell>
          <cell r="U891">
            <v>0.56111111111111112</v>
          </cell>
          <cell r="V891">
            <v>62</v>
          </cell>
          <cell r="Z891">
            <v>0.25555555555555554</v>
          </cell>
          <cell r="AF891">
            <v>51.9</v>
          </cell>
          <cell r="AG891">
            <v>11.5</v>
          </cell>
          <cell r="AI891">
            <v>50.4</v>
          </cell>
          <cell r="AU891">
            <v>94.7927832176821</v>
          </cell>
          <cell r="AV891">
            <v>95.753740559642097</v>
          </cell>
          <cell r="AX891" t="str">
            <v>R.Sookram</v>
          </cell>
        </row>
        <row r="892">
          <cell r="A892" t="str">
            <v>CA778</v>
          </cell>
          <cell r="P892">
            <v>58</v>
          </cell>
          <cell r="Q892">
            <v>2.4858757062146899</v>
          </cell>
          <cell r="T892">
            <v>0.54791666666666672</v>
          </cell>
          <cell r="U892">
            <v>0.65416666666666667</v>
          </cell>
          <cell r="V892">
            <v>60</v>
          </cell>
          <cell r="Z892">
            <v>0.26180555555555557</v>
          </cell>
          <cell r="AF892">
            <v>52.5</v>
          </cell>
          <cell r="AG892">
            <v>11.8</v>
          </cell>
          <cell r="AI892">
            <v>50.9</v>
          </cell>
          <cell r="AU892">
            <v>98.848720687558256</v>
          </cell>
          <cell r="AV892">
            <v>99.850474666912731</v>
          </cell>
          <cell r="AX892" t="str">
            <v>R.Sookram</v>
          </cell>
        </row>
        <row r="893">
          <cell r="A893" t="str">
            <v>CA779</v>
          </cell>
          <cell r="P893">
            <v>61</v>
          </cell>
          <cell r="Q893">
            <v>2.6741996233521688</v>
          </cell>
          <cell r="T893">
            <v>0.6430555555555556</v>
          </cell>
          <cell r="U893">
            <v>0.76736111111111116</v>
          </cell>
          <cell r="V893">
            <v>65</v>
          </cell>
          <cell r="Z893">
            <v>0.28472222222222227</v>
          </cell>
          <cell r="AF893">
            <v>52.8</v>
          </cell>
          <cell r="AG893">
            <v>11.6</v>
          </cell>
          <cell r="AI893">
            <v>50.9</v>
          </cell>
          <cell r="AU893">
            <v>97.086425829271136</v>
          </cell>
          <cell r="AV893">
            <v>98.070320337356748</v>
          </cell>
          <cell r="AX893" t="str">
            <v>R.Sookram</v>
          </cell>
        </row>
        <row r="894">
          <cell r="A894" t="str">
            <v>CA780</v>
          </cell>
          <cell r="P894">
            <v>60</v>
          </cell>
          <cell r="Q894">
            <v>1.1698113207547121</v>
          </cell>
          <cell r="T894">
            <v>0.72916666666666663</v>
          </cell>
          <cell r="U894">
            <v>0.85069444444444442</v>
          </cell>
          <cell r="V894">
            <v>60</v>
          </cell>
          <cell r="Z894">
            <v>0.27430555555555558</v>
          </cell>
          <cell r="AF894">
            <v>53.5</v>
          </cell>
          <cell r="AG894">
            <v>11.9</v>
          </cell>
          <cell r="AI894">
            <v>51.8</v>
          </cell>
          <cell r="AU894">
            <v>101.24363244099487</v>
          </cell>
          <cell r="AV894">
            <v>102.2698213664919</v>
          </cell>
          <cell r="AX894" t="str">
            <v>K.Benjamin</v>
          </cell>
        </row>
        <row r="895">
          <cell r="A895" t="str">
            <v>CA781</v>
          </cell>
          <cell r="P895">
            <v>59</v>
          </cell>
          <cell r="Q895">
            <v>1.735849056603777</v>
          </cell>
          <cell r="T895">
            <v>0.81944444444444442</v>
          </cell>
          <cell r="U895">
            <v>0.92777777777777781</v>
          </cell>
          <cell r="V895">
            <v>67</v>
          </cell>
          <cell r="Z895">
            <v>0.25069444444444444</v>
          </cell>
          <cell r="AF895">
            <v>52.8</v>
          </cell>
          <cell r="AG895">
            <v>11.7</v>
          </cell>
          <cell r="AI895">
            <v>52.6</v>
          </cell>
          <cell r="AU895">
            <v>100.99056653180621</v>
          </cell>
          <cell r="AV895">
            <v>102.01419042257291</v>
          </cell>
          <cell r="AX895" t="str">
            <v>K.Benjamin</v>
          </cell>
        </row>
        <row r="896">
          <cell r="A896" t="str">
            <v>CA782</v>
          </cell>
          <cell r="P896">
            <v>60</v>
          </cell>
          <cell r="Q896">
            <v>5.1320754716981112</v>
          </cell>
          <cell r="T896">
            <v>0.89375000000000004</v>
          </cell>
          <cell r="U896">
            <v>1.0180555555555555</v>
          </cell>
          <cell r="V896">
            <v>72</v>
          </cell>
          <cell r="Z896">
            <v>0.25763888888888886</v>
          </cell>
          <cell r="AF896">
            <v>53.6</v>
          </cell>
          <cell r="AG896">
            <v>11.7</v>
          </cell>
          <cell r="AI896">
            <v>51.8</v>
          </cell>
          <cell r="AU896">
            <v>99.699809327816936</v>
          </cell>
          <cell r="AV896">
            <v>100.71018842064008</v>
          </cell>
          <cell r="AX896" t="str">
            <v>K.Benjamin</v>
          </cell>
        </row>
        <row r="897">
          <cell r="A897" t="str">
            <v>CA783</v>
          </cell>
          <cell r="P897">
            <v>60</v>
          </cell>
          <cell r="Q897">
            <v>8.1355932203389845</v>
          </cell>
          <cell r="T897">
            <v>1.0909722222222222</v>
          </cell>
          <cell r="U897">
            <v>1.20625</v>
          </cell>
          <cell r="V897">
            <v>64</v>
          </cell>
          <cell r="Z897">
            <v>0.24791666666666667</v>
          </cell>
          <cell r="AF897">
            <v>51.5</v>
          </cell>
          <cell r="AG897">
            <v>11.6</v>
          </cell>
          <cell r="AI897">
            <v>51.6</v>
          </cell>
          <cell r="AU897">
            <v>98.17952548346075</v>
          </cell>
          <cell r="AV897">
            <v>99.174657121199999</v>
          </cell>
          <cell r="AX897" t="str">
            <v>R. Regis</v>
          </cell>
        </row>
        <row r="898">
          <cell r="A898" t="str">
            <v>CA784</v>
          </cell>
          <cell r="P898">
            <v>60</v>
          </cell>
          <cell r="Q898">
            <v>5.6873822975517951</v>
          </cell>
          <cell r="T898">
            <v>0.19583333333333333</v>
          </cell>
          <cell r="U898">
            <v>0.30555555555555558</v>
          </cell>
          <cell r="V898">
            <v>62</v>
          </cell>
          <cell r="Z898">
            <v>0.25</v>
          </cell>
          <cell r="AF898">
            <v>50.8</v>
          </cell>
          <cell r="AG898">
            <v>11.9</v>
          </cell>
          <cell r="AI898">
            <v>49.1</v>
          </cell>
          <cell r="AU898">
            <v>95.848580419797756</v>
          </cell>
          <cell r="AV898">
            <v>96.820163512458606</v>
          </cell>
          <cell r="AX898" t="str">
            <v>R. Regis</v>
          </cell>
        </row>
        <row r="899">
          <cell r="A899" t="str">
            <v>CA785</v>
          </cell>
          <cell r="P899">
            <v>59</v>
          </cell>
          <cell r="Q899">
            <v>4.5574387947269335</v>
          </cell>
          <cell r="T899">
            <v>0.29097222222222224</v>
          </cell>
          <cell r="U899">
            <v>0.39930555555555558</v>
          </cell>
          <cell r="V899">
            <v>61</v>
          </cell>
          <cell r="Z899">
            <v>0.24652777777777779</v>
          </cell>
          <cell r="AF899">
            <v>51.4</v>
          </cell>
          <cell r="AG899">
            <v>11.7</v>
          </cell>
          <cell r="AI899">
            <v>49.1</v>
          </cell>
          <cell r="AU899">
            <v>93.809196949045031</v>
          </cell>
          <cell r="AV899">
            <v>94.760334071802419</v>
          </cell>
          <cell r="AX899" t="str">
            <v>R.Sookram</v>
          </cell>
        </row>
        <row r="900">
          <cell r="A900" t="str">
            <v>CA786</v>
          </cell>
          <cell r="P900">
            <v>58</v>
          </cell>
          <cell r="Q900">
            <v>3.992467043314496</v>
          </cell>
          <cell r="T900">
            <v>0.42152777777777778</v>
          </cell>
          <cell r="U900">
            <v>0.52986111111111112</v>
          </cell>
          <cell r="V900">
            <v>63</v>
          </cell>
          <cell r="Z900">
            <v>0.27638888888888891</v>
          </cell>
          <cell r="AF900">
            <v>51.7</v>
          </cell>
          <cell r="AG900">
            <v>11.5</v>
          </cell>
          <cell r="AI900">
            <v>50.2</v>
          </cell>
          <cell r="AU900">
            <v>94.185531653113614</v>
          </cell>
          <cell r="AV900">
            <v>95.14048445620152</v>
          </cell>
          <cell r="AX900" t="str">
            <v>R.Sookram</v>
          </cell>
        </row>
        <row r="901">
          <cell r="A901" t="str">
            <v>CA787</v>
          </cell>
          <cell r="P901">
            <v>58</v>
          </cell>
          <cell r="Q901">
            <v>4.9340866290018788</v>
          </cell>
          <cell r="T901">
            <v>0.52013888888888893</v>
          </cell>
          <cell r="U901">
            <v>0.6381944444444444</v>
          </cell>
          <cell r="V901">
            <v>63</v>
          </cell>
          <cell r="Z901">
            <v>0.27013888888888882</v>
          </cell>
          <cell r="AF901">
            <v>51.2</v>
          </cell>
          <cell r="AG901">
            <v>12</v>
          </cell>
          <cell r="AI901">
            <v>50.2</v>
          </cell>
          <cell r="AU901">
            <v>98.983308023811972</v>
          </cell>
          <cell r="AV901">
            <v>99.986586670123799</v>
          </cell>
          <cell r="AX901" t="str">
            <v>R.Sookram</v>
          </cell>
        </row>
        <row r="902">
          <cell r="A902" t="str">
            <v>CA788</v>
          </cell>
          <cell r="P902">
            <v>60</v>
          </cell>
          <cell r="Q902">
            <v>7.9472693032015043</v>
          </cell>
          <cell r="T902">
            <v>0.61041666666666672</v>
          </cell>
          <cell r="U902">
            <v>0.75208333333333333</v>
          </cell>
          <cell r="V902">
            <v>81</v>
          </cell>
          <cell r="Z902">
            <v>0.28680555555555554</v>
          </cell>
          <cell r="AF902">
            <v>49.6</v>
          </cell>
          <cell r="AG902">
            <v>11.7</v>
          </cell>
          <cell r="AI902">
            <v>49.8</v>
          </cell>
          <cell r="AU902">
            <v>95.732374196548477</v>
          </cell>
          <cell r="AV902">
            <v>96.702624278433731</v>
          </cell>
          <cell r="AX902" t="str">
            <v>K.Benjamin</v>
          </cell>
        </row>
        <row r="903">
          <cell r="A903" t="str">
            <v>CA789</v>
          </cell>
          <cell r="P903">
            <v>60</v>
          </cell>
          <cell r="Q903">
            <v>0.98113207547169057</v>
          </cell>
          <cell r="T903">
            <v>0.70833333333333337</v>
          </cell>
          <cell r="U903">
            <v>0.82222222222222219</v>
          </cell>
          <cell r="V903">
            <v>65</v>
          </cell>
          <cell r="Z903">
            <v>0.26666666666666661</v>
          </cell>
          <cell r="AF903">
            <v>53.2</v>
          </cell>
          <cell r="AG903">
            <v>11.8</v>
          </cell>
          <cell r="AI903">
            <v>51.6</v>
          </cell>
          <cell r="AU903">
            <v>100.08474597557371</v>
          </cell>
          <cell r="AV903">
            <v>101.0991074577082</v>
          </cell>
          <cell r="AX903" t="str">
            <v>K.Benjamin</v>
          </cell>
        </row>
        <row r="904">
          <cell r="A904" t="str">
            <v>CA790</v>
          </cell>
          <cell r="P904">
            <v>60</v>
          </cell>
          <cell r="Q904">
            <v>6.8301886792452775</v>
          </cell>
          <cell r="T904">
            <v>0.79166666666666663</v>
          </cell>
          <cell r="U904">
            <v>0.92222222222222228</v>
          </cell>
          <cell r="V904">
            <v>63</v>
          </cell>
          <cell r="Z904">
            <v>0.2729166666666667</v>
          </cell>
          <cell r="AF904">
            <v>50.1</v>
          </cell>
          <cell r="AG904">
            <v>11.7</v>
          </cell>
          <cell r="AI904">
            <v>51.1</v>
          </cell>
          <cell r="AU904">
            <v>97.749969638140229</v>
          </cell>
          <cell r="AV904">
            <v>98.740984001582106</v>
          </cell>
          <cell r="AX904" t="str">
            <v>K.Benjamin</v>
          </cell>
        </row>
        <row r="905">
          <cell r="A905" t="str">
            <v>CA791</v>
          </cell>
          <cell r="P905">
            <v>61</v>
          </cell>
          <cell r="Q905">
            <v>5.8867924528301838</v>
          </cell>
          <cell r="T905">
            <v>0.7944444444444444</v>
          </cell>
          <cell r="U905">
            <v>0.90069444444444446</v>
          </cell>
          <cell r="V905">
            <v>54</v>
          </cell>
          <cell r="Z905">
            <v>0.23402777777777783</v>
          </cell>
          <cell r="AF905">
            <v>50.6</v>
          </cell>
          <cell r="AG905">
            <v>11.7</v>
          </cell>
          <cell r="AI905">
            <v>48</v>
          </cell>
          <cell r="AU905">
            <v>92.499960331723543</v>
          </cell>
          <cell r="AV905">
            <v>93.437299242870097</v>
          </cell>
          <cell r="AX905" t="str">
            <v>K.Benjamin</v>
          </cell>
        </row>
        <row r="906">
          <cell r="A906" t="str">
            <v>CA792</v>
          </cell>
          <cell r="P906">
            <v>63</v>
          </cell>
          <cell r="Q906">
            <v>4.3773584905660385</v>
          </cell>
          <cell r="T906">
            <v>0.88055555555555554</v>
          </cell>
          <cell r="U906">
            <v>1.0034722222222223</v>
          </cell>
          <cell r="V906">
            <v>58</v>
          </cell>
          <cell r="Z906">
            <v>0.25347222222222232</v>
          </cell>
          <cell r="AF906">
            <v>52.3</v>
          </cell>
          <cell r="AG906">
            <v>11.8</v>
          </cell>
          <cell r="AI906">
            <v>51.6</v>
          </cell>
          <cell r="AU906">
            <v>100.08474597557371</v>
          </cell>
          <cell r="AV906">
            <v>101.0991074577082</v>
          </cell>
          <cell r="AX906" t="str">
            <v>K.Benjamin</v>
          </cell>
        </row>
        <row r="907">
          <cell r="A907" t="str">
            <v>CA793</v>
          </cell>
          <cell r="P907">
            <v>61</v>
          </cell>
          <cell r="Q907">
            <v>4.1807909604519748</v>
          </cell>
          <cell r="T907">
            <v>0.99305555555555558</v>
          </cell>
          <cell r="U907">
            <v>1.1020833333333333</v>
          </cell>
          <cell r="V907">
            <v>60</v>
          </cell>
          <cell r="Z907">
            <v>0.26874999999999993</v>
          </cell>
          <cell r="AF907">
            <v>51.6</v>
          </cell>
          <cell r="AG907">
            <v>11.6</v>
          </cell>
          <cell r="AI907">
            <v>50</v>
          </cell>
          <cell r="AU907">
            <v>95.135199111880581</v>
          </cell>
          <cell r="AV907">
            <v>96.099473954651174</v>
          </cell>
          <cell r="AX907" t="str">
            <v>R. Regis</v>
          </cell>
        </row>
        <row r="908">
          <cell r="A908" t="str">
            <v>CA794</v>
          </cell>
          <cell r="P908">
            <v>60</v>
          </cell>
          <cell r="Q908">
            <v>3.6158192090395511</v>
          </cell>
          <cell r="T908">
            <v>1.0923611111111111</v>
          </cell>
          <cell r="U908">
            <v>1.2055555555555555</v>
          </cell>
          <cell r="V908">
            <v>68</v>
          </cell>
          <cell r="Z908">
            <v>0.26111111111111107</v>
          </cell>
          <cell r="AF908">
            <v>51.9</v>
          </cell>
          <cell r="AG908">
            <v>11.9</v>
          </cell>
          <cell r="AI908">
            <v>50.4</v>
          </cell>
          <cell r="AU908">
            <v>98.386322874904408</v>
          </cell>
          <cell r="AV908">
            <v>99.383630163501294</v>
          </cell>
          <cell r="AX908" t="str">
            <v>R. Regis</v>
          </cell>
        </row>
        <row r="909">
          <cell r="A909" t="str">
            <v>CA795</v>
          </cell>
          <cell r="P909">
            <v>59</v>
          </cell>
          <cell r="Q909">
            <v>7.0056497175141219</v>
          </cell>
          <cell r="T909">
            <v>0.18472222222222223</v>
          </cell>
          <cell r="U909">
            <v>0.2986111111111111</v>
          </cell>
          <cell r="V909">
            <v>61</v>
          </cell>
          <cell r="Z909">
            <v>0.25694444444444442</v>
          </cell>
          <cell r="AF909">
            <v>50.1</v>
          </cell>
          <cell r="AG909">
            <v>11.7</v>
          </cell>
          <cell r="AI909">
            <v>50.2</v>
          </cell>
          <cell r="AU909">
            <v>96.028345906744406</v>
          </cell>
          <cell r="AV909">
            <v>97.001906005468115</v>
          </cell>
          <cell r="AX909" t="str">
            <v>R. Regis</v>
          </cell>
        </row>
        <row r="910">
          <cell r="A910" t="str">
            <v>CA796</v>
          </cell>
          <cell r="P910">
            <v>58</v>
          </cell>
          <cell r="Q910">
            <v>1.9209039548022655</v>
          </cell>
          <cell r="T910">
            <v>0.30069444444444443</v>
          </cell>
          <cell r="U910">
            <v>0.41041666666666665</v>
          </cell>
          <cell r="V910">
            <v>63</v>
          </cell>
          <cell r="Z910">
            <v>0.24374999999999999</v>
          </cell>
          <cell r="AF910">
            <v>52.8</v>
          </cell>
          <cell r="AG910">
            <v>11.8</v>
          </cell>
          <cell r="AI910">
            <v>50.8</v>
          </cell>
          <cell r="AU910">
            <v>97.453088971527464</v>
          </cell>
          <cell r="AV910">
            <v>98.441482845642895</v>
          </cell>
          <cell r="AX910" t="str">
            <v>R.Sookram</v>
          </cell>
        </row>
        <row r="911">
          <cell r="A911" t="str">
            <v>CA797</v>
          </cell>
          <cell r="P911">
            <v>57</v>
          </cell>
          <cell r="Q911">
            <v>0.97928436911488348</v>
          </cell>
          <cell r="T911">
            <v>0.40625</v>
          </cell>
          <cell r="U911">
            <v>0.51111111111111107</v>
          </cell>
          <cell r="V911">
            <v>62</v>
          </cell>
          <cell r="Z911">
            <v>0.25069444444444439</v>
          </cell>
          <cell r="AF911">
            <v>53.3</v>
          </cell>
          <cell r="AG911">
            <v>11.6</v>
          </cell>
          <cell r="AI911">
            <v>51.8</v>
          </cell>
          <cell r="AU911">
            <v>97.718846074746594</v>
          </cell>
          <cell r="AV911">
            <v>98.709857620177871</v>
          </cell>
          <cell r="AX911" t="str">
            <v>R.Sookram</v>
          </cell>
        </row>
        <row r="912">
          <cell r="A912" t="str">
            <v>CA798</v>
          </cell>
          <cell r="P912">
            <v>57</v>
          </cell>
          <cell r="Q912">
            <v>0.97928436911488348</v>
          </cell>
          <cell r="T912">
            <v>0.50069444444444444</v>
          </cell>
          <cell r="U912">
            <v>0.60555555555555551</v>
          </cell>
          <cell r="V912">
            <v>63</v>
          </cell>
          <cell r="Z912">
            <v>0.2583333333333333</v>
          </cell>
          <cell r="AF912">
            <v>53.3</v>
          </cell>
          <cell r="AG912">
            <v>11.7</v>
          </cell>
          <cell r="AI912">
            <v>52</v>
          </cell>
          <cell r="AU912">
            <v>99.961515225311672</v>
          </cell>
          <cell r="AV912">
            <v>100.97462776061354</v>
          </cell>
          <cell r="AX912" t="str">
            <v>R.Sookram</v>
          </cell>
        </row>
      </sheetData>
      <sheetData sheetId="6">
        <row r="766">
          <cell r="D766">
            <v>12</v>
          </cell>
        </row>
        <row r="767">
          <cell r="D767">
            <v>11.9</v>
          </cell>
        </row>
        <row r="770">
          <cell r="D770">
            <v>11.7</v>
          </cell>
        </row>
        <row r="771">
          <cell r="D771">
            <v>11.8</v>
          </cell>
        </row>
        <row r="772">
          <cell r="D772">
            <v>11.7</v>
          </cell>
        </row>
        <row r="773">
          <cell r="D773">
            <v>11.7</v>
          </cell>
        </row>
        <row r="774">
          <cell r="D774">
            <v>11.6</v>
          </cell>
        </row>
        <row r="775">
          <cell r="D775">
            <v>11.7</v>
          </cell>
        </row>
        <row r="776">
          <cell r="D776">
            <v>11.8</v>
          </cell>
        </row>
        <row r="777">
          <cell r="D777">
            <v>11.8</v>
          </cell>
        </row>
        <row r="778">
          <cell r="D778">
            <v>12</v>
          </cell>
        </row>
        <row r="779">
          <cell r="D779">
            <v>11.7</v>
          </cell>
        </row>
        <row r="780">
          <cell r="D780">
            <v>11.7</v>
          </cell>
        </row>
        <row r="781">
          <cell r="D781">
            <v>11.7</v>
          </cell>
        </row>
        <row r="782">
          <cell r="D782">
            <v>11.6</v>
          </cell>
        </row>
        <row r="783">
          <cell r="D783">
            <v>11.8</v>
          </cell>
        </row>
        <row r="784">
          <cell r="D784">
            <v>11.4</v>
          </cell>
        </row>
        <row r="785">
          <cell r="D785">
            <v>12.2</v>
          </cell>
        </row>
        <row r="786">
          <cell r="D786">
            <v>12</v>
          </cell>
        </row>
        <row r="787">
          <cell r="D787">
            <v>11.7</v>
          </cell>
        </row>
        <row r="788">
          <cell r="D788">
            <v>11.7</v>
          </cell>
        </row>
        <row r="789">
          <cell r="D789">
            <v>11.8</v>
          </cell>
        </row>
        <row r="790">
          <cell r="D790">
            <v>11.6</v>
          </cell>
        </row>
        <row r="791">
          <cell r="D791">
            <v>11.6</v>
          </cell>
        </row>
        <row r="792">
          <cell r="D792">
            <v>11.6</v>
          </cell>
        </row>
        <row r="793">
          <cell r="D793">
            <v>11.6</v>
          </cell>
        </row>
        <row r="794">
          <cell r="D794">
            <v>12</v>
          </cell>
        </row>
        <row r="795">
          <cell r="D795">
            <v>11.6</v>
          </cell>
        </row>
        <row r="796">
          <cell r="D796">
            <v>11.6</v>
          </cell>
        </row>
        <row r="797">
          <cell r="D797">
            <v>11.9</v>
          </cell>
        </row>
        <row r="798">
          <cell r="D798">
            <v>11.9</v>
          </cell>
        </row>
        <row r="799">
          <cell r="D799">
            <v>11.8</v>
          </cell>
        </row>
        <row r="800">
          <cell r="D800">
            <v>11.6</v>
          </cell>
        </row>
        <row r="801">
          <cell r="D801">
            <v>11.6</v>
          </cell>
        </row>
        <row r="802">
          <cell r="D802">
            <v>11.5</v>
          </cell>
        </row>
        <row r="803">
          <cell r="D803">
            <v>11.8</v>
          </cell>
        </row>
        <row r="804">
          <cell r="D804">
            <v>11.6</v>
          </cell>
        </row>
        <row r="805">
          <cell r="D805">
            <v>11.6</v>
          </cell>
        </row>
        <row r="806">
          <cell r="D806">
            <v>11.7</v>
          </cell>
        </row>
        <row r="807">
          <cell r="D807">
            <v>11.9</v>
          </cell>
        </row>
        <row r="808">
          <cell r="D808">
            <v>11.6</v>
          </cell>
        </row>
        <row r="809">
          <cell r="D809">
            <v>11.8</v>
          </cell>
        </row>
        <row r="810">
          <cell r="D810">
            <v>11.6</v>
          </cell>
        </row>
        <row r="811">
          <cell r="D811">
            <v>11.5</v>
          </cell>
        </row>
        <row r="812">
          <cell r="D812">
            <v>11.8</v>
          </cell>
        </row>
        <row r="813">
          <cell r="D813">
            <v>11.8</v>
          </cell>
        </row>
        <row r="814">
          <cell r="D814">
            <v>11.7</v>
          </cell>
        </row>
        <row r="815">
          <cell r="D815">
            <v>11.7</v>
          </cell>
        </row>
        <row r="816">
          <cell r="D816">
            <v>11.6</v>
          </cell>
        </row>
        <row r="817">
          <cell r="D817">
            <v>11.6</v>
          </cell>
        </row>
        <row r="818">
          <cell r="D818">
            <v>11.6</v>
          </cell>
        </row>
        <row r="819">
          <cell r="D819">
            <v>11.7</v>
          </cell>
        </row>
        <row r="820">
          <cell r="D820">
            <v>11.8</v>
          </cell>
        </row>
        <row r="821">
          <cell r="D821">
            <v>11.8</v>
          </cell>
        </row>
        <row r="823">
          <cell r="D823">
            <v>11.9</v>
          </cell>
        </row>
        <row r="824">
          <cell r="D824">
            <v>11.7</v>
          </cell>
        </row>
        <row r="825">
          <cell r="D825">
            <v>11.7</v>
          </cell>
        </row>
        <row r="826">
          <cell r="D826">
            <v>11.9</v>
          </cell>
        </row>
        <row r="827">
          <cell r="D827">
            <v>11.4</v>
          </cell>
        </row>
        <row r="828">
          <cell r="D828">
            <v>11.7</v>
          </cell>
        </row>
        <row r="829">
          <cell r="D829">
            <v>11.7</v>
          </cell>
        </row>
        <row r="830">
          <cell r="D830">
            <v>11.6</v>
          </cell>
        </row>
        <row r="831">
          <cell r="D831">
            <v>12</v>
          </cell>
        </row>
        <row r="832">
          <cell r="D832">
            <v>11.8</v>
          </cell>
        </row>
        <row r="833">
          <cell r="D833">
            <v>11.8</v>
          </cell>
        </row>
        <row r="834">
          <cell r="D834">
            <v>11.6</v>
          </cell>
        </row>
        <row r="847">
          <cell r="D847">
            <v>11.4</v>
          </cell>
        </row>
        <row r="848">
          <cell r="D848">
            <v>11.7</v>
          </cell>
        </row>
        <row r="849">
          <cell r="D849">
            <v>11.9</v>
          </cell>
        </row>
        <row r="850">
          <cell r="D850">
            <v>11.6</v>
          </cell>
        </row>
        <row r="851">
          <cell r="D851">
            <v>11.6</v>
          </cell>
        </row>
        <row r="852">
          <cell r="D852">
            <v>11.7</v>
          </cell>
        </row>
        <row r="853">
          <cell r="D853">
            <v>10.7</v>
          </cell>
        </row>
        <row r="854">
          <cell r="D854">
            <v>11.7</v>
          </cell>
        </row>
        <row r="855">
          <cell r="D855">
            <v>12.6</v>
          </cell>
        </row>
        <row r="856">
          <cell r="D856">
            <v>11.8</v>
          </cell>
        </row>
        <row r="857">
          <cell r="D857">
            <v>11.8</v>
          </cell>
        </row>
        <row r="858">
          <cell r="D858">
            <v>11.8</v>
          </cell>
        </row>
        <row r="859">
          <cell r="D859">
            <v>11.7</v>
          </cell>
        </row>
        <row r="860">
          <cell r="D860">
            <v>11.9</v>
          </cell>
        </row>
        <row r="861">
          <cell r="D861">
            <v>11.6</v>
          </cell>
        </row>
        <row r="862">
          <cell r="D862">
            <v>11.9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October '25"/>
      <sheetName val="Packaging"/>
      <sheetName val="Summary September '25"/>
      <sheetName val="Summary August '25 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S275">
            <v>100.83968282378231</v>
          </cell>
        </row>
        <row r="276">
          <cell r="AS276">
            <v>98.000691311781651</v>
          </cell>
        </row>
        <row r="277">
          <cell r="AS277">
            <v>95.275370361295259</v>
          </cell>
        </row>
        <row r="278">
          <cell r="AS278">
            <v>99.435001915530592</v>
          </cell>
        </row>
        <row r="279">
          <cell r="AS279">
            <v>97.94507238785738</v>
          </cell>
        </row>
        <row r="280">
          <cell r="AS280">
            <v>99.110223835402621</v>
          </cell>
        </row>
        <row r="281">
          <cell r="AS281">
            <v>100.65592417780644</v>
          </cell>
        </row>
        <row r="282">
          <cell r="AS282">
            <v>100.79115794415183</v>
          </cell>
        </row>
        <row r="283">
          <cell r="AS283">
            <v>95.671525747412886</v>
          </cell>
        </row>
        <row r="284">
          <cell r="AS284">
            <v>100.15485918919744</v>
          </cell>
        </row>
        <row r="285">
          <cell r="AS285">
            <v>99.466530990769641</v>
          </cell>
        </row>
        <row r="286">
          <cell r="AS286">
            <v>99.322856790756248</v>
          </cell>
        </row>
        <row r="287">
          <cell r="AS287">
            <v>100.43952535225938</v>
          </cell>
        </row>
        <row r="288">
          <cell r="AS288">
            <v>100.37889099709263</v>
          </cell>
        </row>
        <row r="289">
          <cell r="AS289">
            <v>101.16617641667767</v>
          </cell>
        </row>
        <row r="290">
          <cell r="AS290">
            <v>101.03912436611778</v>
          </cell>
        </row>
        <row r="291">
          <cell r="AS291">
            <v>96.474643951399159</v>
          </cell>
        </row>
        <row r="292">
          <cell r="AS292">
            <v>98.534580149559787</v>
          </cell>
        </row>
        <row r="293">
          <cell r="AS293">
            <v>99.21410144378406</v>
          </cell>
        </row>
        <row r="294">
          <cell r="AS294">
            <v>98.988095579595708</v>
          </cell>
        </row>
        <row r="295">
          <cell r="AS295">
            <v>99.851352600758617</v>
          </cell>
        </row>
        <row r="296">
          <cell r="AS296">
            <v>100.36291507352458</v>
          </cell>
        </row>
        <row r="297">
          <cell r="AS297">
            <v>100.11017578568983</v>
          </cell>
        </row>
        <row r="298">
          <cell r="AS298">
            <v>99.78653482584231</v>
          </cell>
        </row>
        <row r="299">
          <cell r="AS299">
            <v>97.131691546615258</v>
          </cell>
        </row>
        <row r="300">
          <cell r="AS300">
            <v>100.50822817449973</v>
          </cell>
        </row>
        <row r="301">
          <cell r="AS301">
            <v>99.547251884193614</v>
          </cell>
        </row>
        <row r="302">
          <cell r="AS302">
            <v>100.38565192460212</v>
          </cell>
        </row>
        <row r="303">
          <cell r="AS303">
            <v>102.86759733937893</v>
          </cell>
        </row>
        <row r="304">
          <cell r="AS304">
            <v>93.690612514496564</v>
          </cell>
        </row>
        <row r="305">
          <cell r="AS305">
            <v>94.202503008813892</v>
          </cell>
        </row>
        <row r="306">
          <cell r="AS306">
            <v>99.822653073625858</v>
          </cell>
        </row>
        <row r="307">
          <cell r="AS307">
            <v>97.222694469498265</v>
          </cell>
        </row>
        <row r="308">
          <cell r="AS308">
            <v>100.1928378850634</v>
          </cell>
        </row>
        <row r="309">
          <cell r="AS309">
            <v>98.959067698121331</v>
          </cell>
        </row>
        <row r="310">
          <cell r="AS310">
            <v>101.75751144156999</v>
          </cell>
        </row>
        <row r="311">
          <cell r="AS311">
            <v>93.975252209934993</v>
          </cell>
        </row>
        <row r="312">
          <cell r="AS312">
            <v>101.56488400108132</v>
          </cell>
        </row>
        <row r="313">
          <cell r="AS313">
            <v>99.768359962874058</v>
          </cell>
        </row>
        <row r="314">
          <cell r="AS314">
            <v>100.20347494466111</v>
          </cell>
        </row>
        <row r="315">
          <cell r="AS315">
            <v>94.928429491720962</v>
          </cell>
        </row>
        <row r="316">
          <cell r="AS316">
            <v>99.544399636138706</v>
          </cell>
        </row>
        <row r="317">
          <cell r="AS317">
            <v>99.816505716242673</v>
          </cell>
        </row>
        <row r="318">
          <cell r="AS318">
            <v>99.237925273194392</v>
          </cell>
        </row>
        <row r="319">
          <cell r="AS319">
            <v>98.818203292397726</v>
          </cell>
        </row>
        <row r="320">
          <cell r="AS320">
            <v>100.05733894116882</v>
          </cell>
        </row>
        <row r="321">
          <cell r="AS321">
            <v>97.785382132528241</v>
          </cell>
        </row>
        <row r="322">
          <cell r="AS322">
            <v>100.40336592166086</v>
          </cell>
        </row>
        <row r="324">
          <cell r="AS324">
            <v>99.121855899264773</v>
          </cell>
        </row>
        <row r="325">
          <cell r="AS325">
            <v>95.100831252620765</v>
          </cell>
        </row>
        <row r="326">
          <cell r="AS326">
            <v>99.765519886214733</v>
          </cell>
        </row>
        <row r="327">
          <cell r="AS327">
            <v>98.303135744343052</v>
          </cell>
        </row>
        <row r="328">
          <cell r="AS328">
            <v>99.780556584963307</v>
          </cell>
        </row>
        <row r="329">
          <cell r="AS329">
            <v>102.38160745340335</v>
          </cell>
        </row>
        <row r="330">
          <cell r="AS330">
            <v>97.414066657172469</v>
          </cell>
        </row>
        <row r="331">
          <cell r="AS331">
            <v>95.738445955419465</v>
          </cell>
        </row>
        <row r="332">
          <cell r="AS332">
            <v>87.041642336261077</v>
          </cell>
        </row>
        <row r="333">
          <cell r="AS333">
            <v>101.9986872683758</v>
          </cell>
        </row>
        <row r="334">
          <cell r="AS334">
            <v>98.410561007255168</v>
          </cell>
        </row>
        <row r="335">
          <cell r="AS335">
            <v>104.78294066497524</v>
          </cell>
        </row>
        <row r="336">
          <cell r="AS336">
            <v>92.564718768769609</v>
          </cell>
        </row>
        <row r="337">
          <cell r="AS337">
            <v>98.984174791371231</v>
          </cell>
        </row>
        <row r="338">
          <cell r="AS338">
            <v>97.202771278717563</v>
          </cell>
        </row>
        <row r="339">
          <cell r="AS339">
            <v>98.457184785796485</v>
          </cell>
        </row>
        <row r="340">
          <cell r="AS340">
            <v>97.823655817296242</v>
          </cell>
        </row>
        <row r="341">
          <cell r="AS341">
            <v>97.733563925602468</v>
          </cell>
        </row>
        <row r="342">
          <cell r="AS342">
            <v>98.523330098738654</v>
          </cell>
        </row>
        <row r="343">
          <cell r="AS343">
            <v>99.02272240380006</v>
          </cell>
        </row>
        <row r="344">
          <cell r="AS344">
            <v>94.613353191374685</v>
          </cell>
        </row>
        <row r="345">
          <cell r="AS345">
            <v>99.938312405651004</v>
          </cell>
        </row>
        <row r="346">
          <cell r="AS346">
            <v>97.966859207422701</v>
          </cell>
        </row>
        <row r="347">
          <cell r="AS347">
            <v>95.088374890616095</v>
          </cell>
        </row>
        <row r="348">
          <cell r="AS348">
            <v>96.848486613901059</v>
          </cell>
        </row>
        <row r="349">
          <cell r="AS349">
            <v>100.11666028610431</v>
          </cell>
        </row>
        <row r="350">
          <cell r="AS350">
            <v>98.449086685086911</v>
          </cell>
        </row>
        <row r="351">
          <cell r="AS351">
            <v>99.364341668365995</v>
          </cell>
        </row>
        <row r="352">
          <cell r="AS352">
            <v>96.250646252877047</v>
          </cell>
        </row>
        <row r="353">
          <cell r="AS353">
            <v>98.626177673601688</v>
          </cell>
        </row>
        <row r="354">
          <cell r="AS354">
            <v>99.286195716080925</v>
          </cell>
        </row>
        <row r="355">
          <cell r="AS355">
            <v>96.567361522018899</v>
          </cell>
        </row>
        <row r="356">
          <cell r="AS356">
            <v>99.68944278657402</v>
          </cell>
        </row>
        <row r="357">
          <cell r="AS357">
            <v>99.564386645320724</v>
          </cell>
        </row>
        <row r="358">
          <cell r="AS358">
            <v>98.706657837081977</v>
          </cell>
        </row>
        <row r="359">
          <cell r="AS359">
            <v>98.93042550475694</v>
          </cell>
        </row>
        <row r="361">
          <cell r="AS361">
            <v>97.12415794993052</v>
          </cell>
        </row>
        <row r="362">
          <cell r="AS362">
            <v>96.949048686673478</v>
          </cell>
        </row>
        <row r="363">
          <cell r="AS363">
            <v>98.005638133271461</v>
          </cell>
        </row>
        <row r="364">
          <cell r="AS364">
            <v>98.378407502765299</v>
          </cell>
        </row>
        <row r="365">
          <cell r="AS365">
            <v>96.134556183612816</v>
          </cell>
        </row>
        <row r="366">
          <cell r="AS366">
            <v>96.156009433612752</v>
          </cell>
        </row>
        <row r="367">
          <cell r="AS367">
            <v>95.68216946245451</v>
          </cell>
        </row>
        <row r="368">
          <cell r="AS368">
            <v>98.783378522979277</v>
          </cell>
        </row>
        <row r="369">
          <cell r="AS369">
            <v>99.598796102027222</v>
          </cell>
        </row>
        <row r="370">
          <cell r="AS370">
            <v>96.927020956038035</v>
          </cell>
        </row>
        <row r="371">
          <cell r="AS371">
            <v>97.234327492356584</v>
          </cell>
        </row>
        <row r="372">
          <cell r="AS372">
            <v>98.088904356977224</v>
          </cell>
        </row>
        <row r="373">
          <cell r="AS373">
            <v>98.286664244793712</v>
          </cell>
        </row>
        <row r="374">
          <cell r="AS374">
            <v>99.598796102027222</v>
          </cell>
        </row>
        <row r="375">
          <cell r="AS375">
            <v>97.745221120811337</v>
          </cell>
        </row>
        <row r="376">
          <cell r="AS376">
            <v>97.933766526241584</v>
          </cell>
        </row>
        <row r="377">
          <cell r="AS377">
            <v>93.319913077052291</v>
          </cell>
        </row>
        <row r="378">
          <cell r="AS378">
            <v>99.239577105440517</v>
          </cell>
        </row>
        <row r="379">
          <cell r="AS379">
            <v>93.440417849192812</v>
          </cell>
        </row>
        <row r="380">
          <cell r="AS380">
            <v>97.798077676001839</v>
          </cell>
        </row>
        <row r="381">
          <cell r="AS381">
            <v>99.514159435199218</v>
          </cell>
        </row>
        <row r="382">
          <cell r="AS382">
            <v>98.57673064663615</v>
          </cell>
        </row>
        <row r="383">
          <cell r="AS383">
            <v>99.443122984760095</v>
          </cell>
        </row>
        <row r="384">
          <cell r="AS384">
            <v>98.486097080031854</v>
          </cell>
        </row>
        <row r="385">
          <cell r="AS385">
            <v>95.159494775120166</v>
          </cell>
        </row>
        <row r="386">
          <cell r="AS386">
            <v>97.742111543547239</v>
          </cell>
        </row>
        <row r="387">
          <cell r="AS387">
            <v>99.47959671281491</v>
          </cell>
        </row>
        <row r="388">
          <cell r="AS388">
            <v>95.038520748721737</v>
          </cell>
        </row>
        <row r="389">
          <cell r="AS389">
            <v>97.870704600426876</v>
          </cell>
        </row>
        <row r="390">
          <cell r="AS390">
            <v>98.26248465034702</v>
          </cell>
        </row>
        <row r="391">
          <cell r="AS391">
            <v>96.964435966121528</v>
          </cell>
        </row>
        <row r="392">
          <cell r="AS392">
            <v>97.546222581918258</v>
          </cell>
        </row>
        <row r="393">
          <cell r="AS393">
            <v>95.020750870329579</v>
          </cell>
        </row>
        <row r="394">
          <cell r="AS394">
            <v>102.00760320196547</v>
          </cell>
        </row>
        <row r="395">
          <cell r="AS395">
            <v>95.894539911363424</v>
          </cell>
        </row>
        <row r="396">
          <cell r="AS396">
            <v>95.472444359320335</v>
          </cell>
        </row>
        <row r="397">
          <cell r="AS397">
            <v>93.591928355282732</v>
          </cell>
        </row>
        <row r="399">
          <cell r="A399" t="str">
            <v>ST376</v>
          </cell>
          <cell r="P399">
            <v>61</v>
          </cell>
          <cell r="Q399">
            <v>13.605769230769221</v>
          </cell>
          <cell r="T399">
            <v>0.94305555555555554</v>
          </cell>
          <cell r="U399">
            <v>1.0576388888888888</v>
          </cell>
          <cell r="V399">
            <v>62</v>
          </cell>
          <cell r="AD399">
            <v>47.5</v>
          </cell>
          <cell r="AE399">
            <v>11.8</v>
          </cell>
          <cell r="AG399">
            <v>47.2</v>
          </cell>
          <cell r="AS399">
            <v>92.950608655346528</v>
          </cell>
          <cell r="AT399">
            <v>94.28783873238892</v>
          </cell>
          <cell r="AV399" t="str">
            <v>R. Regis</v>
          </cell>
          <cell r="AW399">
            <v>0.25208333333333321</v>
          </cell>
        </row>
        <row r="400">
          <cell r="A400" t="str">
            <v>ST377</v>
          </cell>
          <cell r="P400">
            <v>60</v>
          </cell>
          <cell r="Q400">
            <v>13.387715930902115</v>
          </cell>
          <cell r="T400">
            <v>1.0340277777777778</v>
          </cell>
          <cell r="U400">
            <v>1.1520833333333333</v>
          </cell>
          <cell r="V400">
            <v>67</v>
          </cell>
          <cell r="AD400">
            <v>47.3</v>
          </cell>
          <cell r="AE400">
            <v>12</v>
          </cell>
          <cell r="AG400">
            <v>49</v>
          </cell>
          <cell r="AS400">
            <v>98.21567348646829</v>
          </cell>
          <cell r="AT400">
            <v>99.628649200377438</v>
          </cell>
          <cell r="AV400" t="str">
            <v>R.Sookram</v>
          </cell>
          <cell r="AW400">
            <v>0.25624999999999998</v>
          </cell>
        </row>
        <row r="401">
          <cell r="A401" t="str">
            <v>ST378</v>
          </cell>
          <cell r="P401">
            <v>57</v>
          </cell>
          <cell r="Q401">
            <v>16.492395437262353</v>
          </cell>
          <cell r="T401">
            <v>1.1263888888888889</v>
          </cell>
          <cell r="U401">
            <v>1.2659722222222223</v>
          </cell>
          <cell r="V401">
            <v>60</v>
          </cell>
          <cell r="AD401">
            <v>48.7</v>
          </cell>
          <cell r="AE401">
            <v>11.9</v>
          </cell>
          <cell r="AG401">
            <v>48.8</v>
          </cell>
          <cell r="AS401">
            <v>96.958134965940886</v>
          </cell>
          <cell r="AT401">
            <v>98.353019154070765</v>
          </cell>
          <cell r="AV401" t="str">
            <v>R.Sookram</v>
          </cell>
          <cell r="AW401">
            <v>0.27986111111111112</v>
          </cell>
        </row>
        <row r="402">
          <cell r="A402" t="str">
            <v>ST379</v>
          </cell>
          <cell r="P402">
            <v>58</v>
          </cell>
          <cell r="Q402">
            <v>13.221153846153847</v>
          </cell>
          <cell r="T402">
            <v>0.2590277777777778</v>
          </cell>
          <cell r="U402">
            <v>0.36805555555555558</v>
          </cell>
          <cell r="V402">
            <v>54</v>
          </cell>
          <cell r="AD402">
            <v>48.6</v>
          </cell>
          <cell r="AE402">
            <v>12</v>
          </cell>
          <cell r="AG402">
            <v>48.3</v>
          </cell>
          <cell r="AS402">
            <v>96.206841245124153</v>
          </cell>
          <cell r="AT402">
            <v>97.593187845940946</v>
          </cell>
          <cell r="AV402" t="str">
            <v>R.Sookram</v>
          </cell>
          <cell r="AW402">
            <v>0.2951388888888889</v>
          </cell>
        </row>
        <row r="403">
          <cell r="A403" t="str">
            <v>ST380</v>
          </cell>
          <cell r="P403">
            <v>62</v>
          </cell>
          <cell r="Q403">
            <v>9.1826923076923048</v>
          </cell>
          <cell r="T403">
            <v>0.34444444444444444</v>
          </cell>
          <cell r="U403">
            <v>0.45902777777777776</v>
          </cell>
          <cell r="V403">
            <v>56</v>
          </cell>
          <cell r="AD403">
            <v>50.4</v>
          </cell>
          <cell r="AE403">
            <v>11.9</v>
          </cell>
          <cell r="AG403">
            <v>49.5</v>
          </cell>
          <cell r="AS403">
            <v>98.472931740070507</v>
          </cell>
          <cell r="AT403">
            <v>99.889140113955051</v>
          </cell>
          <cell r="AV403" t="str">
            <v>K. Benjamin</v>
          </cell>
          <cell r="AW403">
            <v>0.25069444444444444</v>
          </cell>
        </row>
        <row r="404">
          <cell r="A404" t="str">
            <v>ST381</v>
          </cell>
          <cell r="P404">
            <v>59</v>
          </cell>
          <cell r="Q404">
            <v>11.490384615384617</v>
          </cell>
          <cell r="T404">
            <v>0.43680555555555556</v>
          </cell>
          <cell r="U404">
            <v>0.55555555555555558</v>
          </cell>
          <cell r="V404">
            <v>63</v>
          </cell>
          <cell r="AD404">
            <v>50.3</v>
          </cell>
          <cell r="AE404">
            <v>11.7</v>
          </cell>
          <cell r="AG404">
            <v>50.1</v>
          </cell>
          <cell r="AS404">
            <v>97.414066657172469</v>
          </cell>
          <cell r="AT404">
            <v>98.816893154805797</v>
          </cell>
          <cell r="AV404" t="str">
            <v>K. Benjamin</v>
          </cell>
          <cell r="AW404">
            <v>0.25694444444444448</v>
          </cell>
        </row>
        <row r="405">
          <cell r="A405" t="str">
            <v>ST382</v>
          </cell>
          <cell r="P405">
            <v>60</v>
          </cell>
          <cell r="Q405">
            <v>11.874999999999995</v>
          </cell>
          <cell r="T405">
            <v>0.52916666666666667</v>
          </cell>
          <cell r="U405">
            <v>0.64652777777777781</v>
          </cell>
          <cell r="V405">
            <v>63</v>
          </cell>
          <cell r="AD405">
            <v>48.5</v>
          </cell>
          <cell r="AE405">
            <v>12.2</v>
          </cell>
          <cell r="AG405">
            <v>48.2</v>
          </cell>
          <cell r="AS405">
            <v>98.057442078732436</v>
          </cell>
          <cell r="AT405">
            <v>99.469070699005329</v>
          </cell>
          <cell r="AV405" t="str">
            <v>K. Benjamin</v>
          </cell>
          <cell r="AW405">
            <v>0.25763888888888892</v>
          </cell>
        </row>
        <row r="406">
          <cell r="A406" t="str">
            <v>ST383</v>
          </cell>
          <cell r="P406">
            <v>68</v>
          </cell>
          <cell r="Q406">
            <v>9.5673076923076952</v>
          </cell>
          <cell r="T406">
            <v>0.61111111111111116</v>
          </cell>
          <cell r="U406">
            <v>0.7319444444444444</v>
          </cell>
          <cell r="V406">
            <v>64</v>
          </cell>
          <cell r="AD406">
            <v>50.2</v>
          </cell>
          <cell r="AE406">
            <v>11.8</v>
          </cell>
          <cell r="AG406">
            <v>49.9</v>
          </cell>
          <cell r="AS406">
            <v>98.138683160787593</v>
          </cell>
          <cell r="AT406">
            <v>99.681422727673876</v>
          </cell>
          <cell r="AV406" t="str">
            <v>R. Regis</v>
          </cell>
          <cell r="AW406">
            <v>0.25277777777777771</v>
          </cell>
        </row>
        <row r="407">
          <cell r="A407" t="str">
            <v>ST384</v>
          </cell>
          <cell r="P407">
            <v>60</v>
          </cell>
          <cell r="Q407">
            <v>10.12974051896208</v>
          </cell>
          <cell r="T407">
            <v>0.71250000000000002</v>
          </cell>
          <cell r="U407">
            <v>0.85416666666666663</v>
          </cell>
          <cell r="V407">
            <v>85</v>
          </cell>
          <cell r="AD407">
            <v>46.9</v>
          </cell>
          <cell r="AE407">
            <v>11.9</v>
          </cell>
          <cell r="AG407">
            <v>47.1</v>
          </cell>
          <cell r="AS407">
            <v>99.74535121294204</v>
          </cell>
          <cell r="AT407">
            <v>101.41575806780993</v>
          </cell>
          <cell r="AV407" t="str">
            <v>R. Regis</v>
          </cell>
          <cell r="AW407">
            <v>0.29166666666666663</v>
          </cell>
        </row>
        <row r="408">
          <cell r="A408" t="str">
            <v>ST385</v>
          </cell>
          <cell r="P408">
            <v>60</v>
          </cell>
          <cell r="Q408">
            <v>12.06730769230769</v>
          </cell>
          <cell r="T408">
            <v>1.0833333333333333</v>
          </cell>
          <cell r="U408">
            <v>1.1972222222222222</v>
          </cell>
          <cell r="V408">
            <v>62</v>
          </cell>
          <cell r="AD408">
            <v>48.8</v>
          </cell>
          <cell r="AE408">
            <v>12</v>
          </cell>
          <cell r="AG408">
            <v>48.7</v>
          </cell>
          <cell r="AS408">
            <v>97.604360684392503</v>
          </cell>
          <cell r="AT408">
            <v>99.267757635236066</v>
          </cell>
          <cell r="AV408" t="str">
            <v>R. Regis</v>
          </cell>
          <cell r="AW408">
            <v>0.25069444444444444</v>
          </cell>
        </row>
        <row r="409">
          <cell r="A409" t="str">
            <v>ST386</v>
          </cell>
          <cell r="P409">
            <v>60</v>
          </cell>
          <cell r="Q409">
            <v>14.347408829174665</v>
          </cell>
          <cell r="T409">
            <v>0.19513888888888889</v>
          </cell>
          <cell r="U409">
            <v>0.30555555555555558</v>
          </cell>
          <cell r="V409">
            <v>57</v>
          </cell>
          <cell r="AD409">
            <v>48.7</v>
          </cell>
          <cell r="AE409">
            <v>11.9</v>
          </cell>
          <cell r="AG409">
            <v>49</v>
          </cell>
          <cell r="AS409">
            <v>96.734512119595152</v>
          </cell>
          <cell r="AT409">
            <v>98.385805117629445</v>
          </cell>
          <cell r="AV409" t="str">
            <v>R. Regis</v>
          </cell>
          <cell r="AW409">
            <v>0.24305555555555558</v>
          </cell>
        </row>
        <row r="410">
          <cell r="A410" t="str">
            <v>ST387</v>
          </cell>
          <cell r="P410">
            <v>61</v>
          </cell>
          <cell r="Q410">
            <v>11.852207293666021</v>
          </cell>
          <cell r="T410">
            <v>0.28958333333333336</v>
          </cell>
          <cell r="U410">
            <v>0.40208333333333335</v>
          </cell>
          <cell r="V410">
            <v>62</v>
          </cell>
          <cell r="AD410">
            <v>50.5</v>
          </cell>
          <cell r="AE410">
            <v>11.9</v>
          </cell>
          <cell r="AG410">
            <v>50.8</v>
          </cell>
          <cell r="AS410">
            <v>100.54045701826311</v>
          </cell>
          <cell r="AT410">
            <v>102.25559222294855</v>
          </cell>
          <cell r="AV410" t="str">
            <v>R.Sookram</v>
          </cell>
          <cell r="AW410">
            <v>0.25624999999999998</v>
          </cell>
        </row>
        <row r="411">
          <cell r="A411" t="str">
            <v>ST388</v>
          </cell>
          <cell r="P411">
            <v>57</v>
          </cell>
          <cell r="Q411">
            <v>11.682692307692299</v>
          </cell>
          <cell r="T411">
            <v>0.37708333333333333</v>
          </cell>
          <cell r="U411">
            <v>0.49513888888888891</v>
          </cell>
          <cell r="V411">
            <v>64</v>
          </cell>
          <cell r="AD411">
            <v>51</v>
          </cell>
          <cell r="AE411">
            <v>12.1</v>
          </cell>
          <cell r="AG411">
            <v>50.9</v>
          </cell>
          <cell r="AS411">
            <v>102.38962605645567</v>
          </cell>
          <cell r="AT411">
            <v>104.13688092292909</v>
          </cell>
          <cell r="AV411" t="str">
            <v>R.Sookram</v>
          </cell>
          <cell r="AW411">
            <v>0.24861111111111112</v>
          </cell>
        </row>
        <row r="412">
          <cell r="A412" t="str">
            <v>ST389</v>
          </cell>
          <cell r="P412">
            <v>59</v>
          </cell>
          <cell r="Q412">
            <v>11.276391554702494</v>
          </cell>
          <cell r="T412">
            <v>0.46597222222222223</v>
          </cell>
          <cell r="U412">
            <v>0.58194444444444449</v>
          </cell>
          <cell r="V412">
            <v>62</v>
          </cell>
          <cell r="AD412">
            <v>50.5</v>
          </cell>
          <cell r="AE412">
            <v>11.9</v>
          </cell>
          <cell r="AG412">
            <v>50.4</v>
          </cell>
          <cell r="AS412">
            <v>100.1268396170539</v>
          </cell>
          <cell r="AT412">
            <v>101.83322525954746</v>
          </cell>
          <cell r="AV412" t="str">
            <v>R.Sookram</v>
          </cell>
          <cell r="AW412">
            <v>0.25555555555555559</v>
          </cell>
        </row>
        <row r="413">
          <cell r="A413" t="str">
            <v>ST390</v>
          </cell>
          <cell r="P413">
            <v>59</v>
          </cell>
          <cell r="Q413">
            <v>12.811900191938575</v>
          </cell>
          <cell r="T413">
            <v>0.55277777777777781</v>
          </cell>
          <cell r="U413">
            <v>0.66388888888888886</v>
          </cell>
          <cell r="V413">
            <v>54</v>
          </cell>
          <cell r="AD413">
            <v>48.5</v>
          </cell>
          <cell r="AE413">
            <v>11.8</v>
          </cell>
          <cell r="AG413">
            <v>48.8</v>
          </cell>
          <cell r="AS413">
            <v>95.728834855551185</v>
          </cell>
          <cell r="AT413">
            <v>97.361887853653727</v>
          </cell>
          <cell r="AV413" t="str">
            <v>R.Sookram</v>
          </cell>
          <cell r="AW413">
            <v>0.25069444444444444</v>
          </cell>
        </row>
        <row r="414">
          <cell r="A414" t="str">
            <v>ST391</v>
          </cell>
          <cell r="P414">
            <v>61</v>
          </cell>
          <cell r="Q414">
            <v>5.9134615384615303</v>
          </cell>
          <cell r="T414">
            <v>0.6381944444444444</v>
          </cell>
          <cell r="U414">
            <v>0.7729166666666667</v>
          </cell>
          <cell r="V414">
            <v>57</v>
          </cell>
          <cell r="AD414">
            <v>51.8</v>
          </cell>
          <cell r="AE414">
            <v>11.7</v>
          </cell>
          <cell r="AG414">
            <v>50.8</v>
          </cell>
          <cell r="AS414">
            <v>98.639696876676041</v>
          </cell>
          <cell r="AT414">
            <v>100.32296008441747</v>
          </cell>
          <cell r="AV414" t="str">
            <v>K. Benjamin</v>
          </cell>
          <cell r="AW414">
            <v>0.27638888888888891</v>
          </cell>
        </row>
        <row r="415">
          <cell r="A415" t="str">
            <v>ST392</v>
          </cell>
          <cell r="P415">
            <v>61</v>
          </cell>
          <cell r="Q415">
            <v>4.1826923076923022</v>
          </cell>
          <cell r="T415">
            <v>0.73750000000000004</v>
          </cell>
          <cell r="U415">
            <v>0.85555555555555551</v>
          </cell>
          <cell r="V415">
            <v>54</v>
          </cell>
          <cell r="AD415">
            <v>50.6</v>
          </cell>
          <cell r="AE415">
            <v>11.7</v>
          </cell>
          <cell r="AG415">
            <v>50.1</v>
          </cell>
          <cell r="AS415">
            <v>97.402919466213262</v>
          </cell>
          <cell r="AT415">
            <v>99.064530932583423</v>
          </cell>
          <cell r="AV415" t="str">
            <v>K. Benjamin</v>
          </cell>
          <cell r="AW415">
            <v>0.27777777777777779</v>
          </cell>
        </row>
        <row r="416">
          <cell r="A416" t="str">
            <v>ST393</v>
          </cell>
          <cell r="P416">
            <v>61</v>
          </cell>
          <cell r="Q416">
            <v>11.490384615384617</v>
          </cell>
          <cell r="T416">
            <v>0.83611111111111114</v>
          </cell>
          <cell r="U416">
            <v>0.95416666666666672</v>
          </cell>
          <cell r="V416">
            <v>56</v>
          </cell>
          <cell r="AD416">
            <v>49.1</v>
          </cell>
          <cell r="AE416">
            <v>12</v>
          </cell>
          <cell r="AG416">
            <v>49</v>
          </cell>
          <cell r="AS416">
            <v>97.834833613698663</v>
          </cell>
          <cell r="AT416">
            <v>99.503813170305577</v>
          </cell>
          <cell r="AV416" t="str">
            <v>K. Benjamin</v>
          </cell>
          <cell r="AW416">
            <v>0.24583333333333335</v>
          </cell>
        </row>
        <row r="417">
          <cell r="A417" t="str">
            <v>ST394</v>
          </cell>
          <cell r="P417">
            <v>60</v>
          </cell>
          <cell r="Q417">
            <v>5.9134615384615303</v>
          </cell>
          <cell r="T417">
            <v>0.92291666666666672</v>
          </cell>
          <cell r="U417">
            <v>1.0375000000000001</v>
          </cell>
          <cell r="V417">
            <v>64</v>
          </cell>
          <cell r="AD417">
            <v>51</v>
          </cell>
          <cell r="AE417">
            <v>11.8</v>
          </cell>
          <cell r="AG417">
            <v>51.2</v>
          </cell>
          <cell r="AS417">
            <v>100.56337298015596</v>
          </cell>
          <cell r="AT417">
            <v>102.2783335402185</v>
          </cell>
          <cell r="AV417" t="str">
            <v>R. Regis</v>
          </cell>
          <cell r="AW417">
            <v>0.24583333333333346</v>
          </cell>
        </row>
        <row r="418">
          <cell r="A418" t="str">
            <v>ST395</v>
          </cell>
          <cell r="P418">
            <v>60</v>
          </cell>
          <cell r="Q418">
            <v>10.892514395393468</v>
          </cell>
          <cell r="T418">
            <v>1.0111111111111111</v>
          </cell>
          <cell r="U418">
            <v>1.1215277777777777</v>
          </cell>
          <cell r="V418">
            <v>60</v>
          </cell>
          <cell r="AD418">
            <v>48.8</v>
          </cell>
          <cell r="AE418">
            <v>11.9</v>
          </cell>
          <cell r="AG418">
            <v>49.3</v>
          </cell>
          <cell r="AS418">
            <v>97.57174273622779</v>
          </cell>
          <cell r="AT418">
            <v>99.23623418486936</v>
          </cell>
          <cell r="AV418" t="str">
            <v>R. Regis</v>
          </cell>
          <cell r="AW418">
            <v>0.24652777777777768</v>
          </cell>
        </row>
        <row r="419">
          <cell r="A419" t="str">
            <v>ST396</v>
          </cell>
          <cell r="P419">
            <v>60</v>
          </cell>
          <cell r="Q419">
            <v>13.387715930902115</v>
          </cell>
          <cell r="T419">
            <v>1.0965277777777778</v>
          </cell>
          <cell r="U419">
            <v>1.2347222222222223</v>
          </cell>
          <cell r="V419">
            <v>60</v>
          </cell>
          <cell r="AD419">
            <v>49.4</v>
          </cell>
          <cell r="AE419">
            <v>11.9</v>
          </cell>
          <cell r="AG419">
            <v>49.8</v>
          </cell>
          <cell r="AS419">
            <v>98.561314163572874</v>
          </cell>
          <cell r="AT419">
            <v>100.24268686422909</v>
          </cell>
          <cell r="AV419" t="str">
            <v>R. Regis</v>
          </cell>
          <cell r="AW419">
            <v>0.27638888888888891</v>
          </cell>
        </row>
        <row r="420">
          <cell r="A420" t="str">
            <v>ST397</v>
          </cell>
          <cell r="P420">
            <v>61</v>
          </cell>
          <cell r="Q420">
            <v>11.105769230769228</v>
          </cell>
          <cell r="T420">
            <v>0.34097222222222223</v>
          </cell>
          <cell r="U420">
            <v>0.45416666666666666</v>
          </cell>
          <cell r="V420">
            <v>60</v>
          </cell>
          <cell r="AD420">
            <v>48.2</v>
          </cell>
          <cell r="AE420">
            <v>11.7</v>
          </cell>
          <cell r="AG420">
            <v>48.6</v>
          </cell>
          <cell r="AS420">
            <v>94.453686243503554</v>
          </cell>
          <cell r="AT420">
            <v>95.262966612684451</v>
          </cell>
          <cell r="AV420" t="str">
            <v>R. Regis</v>
          </cell>
          <cell r="AW420">
            <v>0.24583333333333332</v>
          </cell>
        </row>
        <row r="421">
          <cell r="A421" t="str">
            <v>ST398</v>
          </cell>
          <cell r="P421">
            <v>60</v>
          </cell>
          <cell r="Q421">
            <v>10.316698656429942</v>
          </cell>
          <cell r="T421">
            <v>0.42986111111111114</v>
          </cell>
          <cell r="U421">
            <v>0.5395833333333333</v>
          </cell>
          <cell r="V421">
            <v>57</v>
          </cell>
          <cell r="AD421">
            <v>49.1</v>
          </cell>
          <cell r="AE421">
            <v>11.9</v>
          </cell>
          <cell r="AG421">
            <v>49.5</v>
          </cell>
          <cell r="AS421">
            <v>97.933378236938694</v>
          </cell>
          <cell r="AT421">
            <v>98.772472650791414</v>
          </cell>
          <cell r="AV421" t="str">
            <v>R. Regis</v>
          </cell>
          <cell r="AW421">
            <v>0.25138888888888888</v>
          </cell>
        </row>
        <row r="422">
          <cell r="A422" t="str">
            <v>ST399</v>
          </cell>
          <cell r="P422">
            <v>60</v>
          </cell>
          <cell r="Q422">
            <v>9.9328214971209157</v>
          </cell>
          <cell r="T422">
            <v>0.51597222222222228</v>
          </cell>
          <cell r="U422">
            <v>0.62986111111111109</v>
          </cell>
          <cell r="V422">
            <v>68</v>
          </cell>
          <cell r="AD422">
            <v>48.1</v>
          </cell>
          <cell r="AE422">
            <v>12</v>
          </cell>
          <cell r="AG422">
            <v>47.8</v>
          </cell>
          <cell r="AS422">
            <v>95.524482724698444</v>
          </cell>
          <cell r="AT422">
            <v>96.342673143943856</v>
          </cell>
          <cell r="AV422" t="str">
            <v>R. Regis</v>
          </cell>
          <cell r="AW422">
            <v>0.24444444444444441</v>
          </cell>
        </row>
        <row r="423">
          <cell r="A423" t="str">
            <v>ST400</v>
          </cell>
          <cell r="P423">
            <v>60</v>
          </cell>
          <cell r="Q423">
            <v>11.276391554702494</v>
          </cell>
          <cell r="T423">
            <v>0.60763888888888884</v>
          </cell>
          <cell r="U423">
            <v>0.72291666666666665</v>
          </cell>
          <cell r="V423">
            <v>66</v>
          </cell>
          <cell r="AD423">
            <v>50.1</v>
          </cell>
          <cell r="AE423">
            <v>11.7</v>
          </cell>
          <cell r="AG423">
            <v>50.3</v>
          </cell>
          <cell r="AS423">
            <v>98.616972818330652</v>
          </cell>
          <cell r="AT423">
            <v>99.459998121935044</v>
          </cell>
          <cell r="AV423" t="str">
            <v>R. Regis</v>
          </cell>
          <cell r="AW423">
            <v>0.25069444444444444</v>
          </cell>
        </row>
        <row r="424">
          <cell r="A424" t="str">
            <v>ST401</v>
          </cell>
          <cell r="P424">
            <v>60</v>
          </cell>
          <cell r="Q424">
            <v>7.4376199616122838</v>
          </cell>
          <cell r="T424">
            <v>0.56736111111111109</v>
          </cell>
          <cell r="U424">
            <v>0.6743055555555556</v>
          </cell>
          <cell r="V424">
            <v>60</v>
          </cell>
          <cell r="AD424">
            <v>49</v>
          </cell>
          <cell r="AE424">
            <v>11.8</v>
          </cell>
          <cell r="AG424">
            <v>48.8</v>
          </cell>
          <cell r="AS424">
            <v>95.695423158912149</v>
          </cell>
          <cell r="AT424">
            <v>96.515342745568773</v>
          </cell>
          <cell r="AV424" t="str">
            <v>R. Regis</v>
          </cell>
          <cell r="AW424">
            <v>0.2506944444444445</v>
          </cell>
        </row>
        <row r="425">
          <cell r="A425" t="str">
            <v>ST402</v>
          </cell>
          <cell r="P425">
            <v>58</v>
          </cell>
          <cell r="Q425">
            <v>7.8365384615384528</v>
          </cell>
          <cell r="T425">
            <v>0.65347222222222223</v>
          </cell>
          <cell r="U425">
            <v>0.7631944444444444</v>
          </cell>
          <cell r="V425">
            <v>61</v>
          </cell>
          <cell r="AD425">
            <v>49.5</v>
          </cell>
          <cell r="AE425">
            <v>11.9</v>
          </cell>
          <cell r="AG425">
            <v>49.1</v>
          </cell>
          <cell r="AS425">
            <v>97.021219458619385</v>
          </cell>
          <cell r="AT425">
            <v>97.852766510664409</v>
          </cell>
          <cell r="AV425" t="str">
            <v>R.Sookram</v>
          </cell>
          <cell r="AW425">
            <v>0.24930555555555556</v>
          </cell>
        </row>
        <row r="426">
          <cell r="A426" t="str">
            <v>ST403</v>
          </cell>
          <cell r="P426">
            <v>58</v>
          </cell>
          <cell r="Q426">
            <v>6.8618042226487583</v>
          </cell>
          <cell r="T426">
            <v>0.74305555555555558</v>
          </cell>
          <cell r="U426">
            <v>0.8520833333333333</v>
          </cell>
          <cell r="V426">
            <v>65</v>
          </cell>
          <cell r="AD426">
            <v>49.3</v>
          </cell>
          <cell r="AE426">
            <v>11.9</v>
          </cell>
          <cell r="AG426">
            <v>48.9</v>
          </cell>
          <cell r="AS426">
            <v>96.866892814423892</v>
          </cell>
          <cell r="AT426">
            <v>97.696581302465717</v>
          </cell>
          <cell r="AV426" t="str">
            <v>R.Sookram</v>
          </cell>
          <cell r="AW426">
            <v>0.24444444444444446</v>
          </cell>
        </row>
        <row r="427">
          <cell r="A427" t="str">
            <v>ST404</v>
          </cell>
          <cell r="P427">
            <v>65</v>
          </cell>
          <cell r="Q427">
            <v>6.2859884836852178</v>
          </cell>
          <cell r="T427">
            <v>0.83263888888888893</v>
          </cell>
          <cell r="U427">
            <v>0.94027777777777777</v>
          </cell>
          <cell r="V427">
            <v>56</v>
          </cell>
          <cell r="AD427">
            <v>50</v>
          </cell>
          <cell r="AE427">
            <v>11.8</v>
          </cell>
          <cell r="AG427">
            <v>49.4</v>
          </cell>
          <cell r="AS427">
            <v>97.235138963004928</v>
          </cell>
          <cell r="AT427">
            <v>98.067440984119642</v>
          </cell>
          <cell r="AV427" t="str">
            <v>R.Sookram</v>
          </cell>
          <cell r="AW427">
            <v>0.24930555555555556</v>
          </cell>
        </row>
        <row r="428">
          <cell r="A428" t="str">
            <v>ST405</v>
          </cell>
          <cell r="P428">
            <v>58</v>
          </cell>
          <cell r="Q428">
            <v>12.811900191938575</v>
          </cell>
          <cell r="T428">
            <v>0.19236111111111112</v>
          </cell>
          <cell r="U428">
            <v>0.30486111111111114</v>
          </cell>
          <cell r="V428">
            <v>65</v>
          </cell>
          <cell r="AD428">
            <v>47.7</v>
          </cell>
          <cell r="AE428">
            <v>11.8</v>
          </cell>
          <cell r="AG428">
            <v>47.2</v>
          </cell>
          <cell r="AS428">
            <v>92.673233606779775</v>
          </cell>
          <cell r="AT428">
            <v>93.467002384110771</v>
          </cell>
          <cell r="AV428" t="str">
            <v>R.Sookram</v>
          </cell>
          <cell r="AW428">
            <v>0.24930555555555559</v>
          </cell>
        </row>
        <row r="429">
          <cell r="A429" t="str">
            <v>ST406</v>
          </cell>
          <cell r="P429">
            <v>57</v>
          </cell>
          <cell r="Q429">
            <v>15.115163147792707</v>
          </cell>
          <cell r="T429">
            <v>0.27638888888888891</v>
          </cell>
          <cell r="U429">
            <v>0.39513888888888887</v>
          </cell>
          <cell r="V429">
            <v>56</v>
          </cell>
          <cell r="AD429">
            <v>47.8</v>
          </cell>
          <cell r="AE429">
            <v>12.2</v>
          </cell>
          <cell r="AG429">
            <v>48</v>
          </cell>
          <cell r="AS429">
            <v>98.299248654282238</v>
          </cell>
          <cell r="AT429">
            <v>98.196126401004378</v>
          </cell>
          <cell r="AV429" t="str">
            <v>R.Sookram</v>
          </cell>
          <cell r="AW429">
            <v>0.25624999999999998</v>
          </cell>
        </row>
        <row r="430">
          <cell r="A430" t="str">
            <v>ST407</v>
          </cell>
          <cell r="P430">
            <v>63</v>
          </cell>
          <cell r="Q430">
            <v>16.682692307692299</v>
          </cell>
          <cell r="T430">
            <v>0.36388888888888887</v>
          </cell>
          <cell r="U430">
            <v>0.48749999999999999</v>
          </cell>
          <cell r="V430">
            <v>54</v>
          </cell>
          <cell r="AD430">
            <v>47</v>
          </cell>
          <cell r="AE430">
            <v>12</v>
          </cell>
          <cell r="AG430">
            <v>47.7</v>
          </cell>
          <cell r="AS430">
            <v>95.765747077302663</v>
          </cell>
          <cell r="AT430">
            <v>95.665218107218791</v>
          </cell>
          <cell r="AV430" t="str">
            <v>K. Benjamin</v>
          </cell>
          <cell r="AW430">
            <v>0.26527777777777778</v>
          </cell>
        </row>
        <row r="431">
          <cell r="A431" t="str">
            <v>ST408</v>
          </cell>
          <cell r="P431">
            <v>60</v>
          </cell>
          <cell r="Q431">
            <v>8.6057692307692335</v>
          </cell>
          <cell r="T431">
            <v>0.46180555555555558</v>
          </cell>
          <cell r="U431">
            <v>0.57430555555555551</v>
          </cell>
          <cell r="V431">
            <v>58</v>
          </cell>
          <cell r="AD431">
            <v>49.1</v>
          </cell>
          <cell r="AE431">
            <v>11.7</v>
          </cell>
          <cell r="AG431">
            <v>49.2</v>
          </cell>
          <cell r="AS431">
            <v>96.30112740094556</v>
          </cell>
          <cell r="AT431">
            <v>96.200068823507451</v>
          </cell>
          <cell r="AV431" t="str">
            <v>K. Benjamin</v>
          </cell>
          <cell r="AW431">
            <v>0.26874999999999993</v>
          </cell>
        </row>
        <row r="432">
          <cell r="A432" t="str">
            <v>ST409</v>
          </cell>
          <cell r="P432">
            <v>62</v>
          </cell>
          <cell r="Q432">
            <v>11.490384615384617</v>
          </cell>
          <cell r="T432">
            <v>0.54374999999999996</v>
          </cell>
          <cell r="U432">
            <v>0.66388888888888886</v>
          </cell>
          <cell r="V432">
            <v>58</v>
          </cell>
          <cell r="AD432">
            <v>47.6</v>
          </cell>
          <cell r="AE432">
            <v>11.8</v>
          </cell>
          <cell r="AG432">
            <v>48.3</v>
          </cell>
          <cell r="AS432">
            <v>95.62674232392358</v>
          </cell>
          <cell r="AT432">
            <v>95.526456037110066</v>
          </cell>
          <cell r="AV432" t="str">
            <v>K. Benjamin</v>
          </cell>
          <cell r="AW432">
            <v>0.26111111111111107</v>
          </cell>
        </row>
        <row r="433">
          <cell r="A433" t="str">
            <v>ST410</v>
          </cell>
          <cell r="P433">
            <v>60</v>
          </cell>
          <cell r="Q433">
            <v>10.336538461538462</v>
          </cell>
          <cell r="T433">
            <v>0.63055555555555554</v>
          </cell>
          <cell r="U433">
            <v>0.74722222222222223</v>
          </cell>
          <cell r="V433">
            <v>65</v>
          </cell>
          <cell r="AD433">
            <v>49.8</v>
          </cell>
          <cell r="AE433">
            <v>11.8</v>
          </cell>
          <cell r="AG433">
            <v>50.1</v>
          </cell>
          <cell r="AS433">
            <v>98.944736715653534</v>
          </cell>
          <cell r="AT433">
            <v>98.840903929814587</v>
          </cell>
          <cell r="AV433" t="str">
            <v>R. Regis</v>
          </cell>
          <cell r="AW433">
            <v>0.25416666666666665</v>
          </cell>
        </row>
        <row r="434">
          <cell r="A434" t="str">
            <v>ST411</v>
          </cell>
          <cell r="P434">
            <v>60</v>
          </cell>
          <cell r="Q434">
            <v>11.852207293666021</v>
          </cell>
          <cell r="T434">
            <v>0.71805555555555556</v>
          </cell>
          <cell r="U434">
            <v>0.83194444444444449</v>
          </cell>
          <cell r="V434">
            <v>62</v>
          </cell>
          <cell r="AD434">
            <v>48.7</v>
          </cell>
          <cell r="AE434">
            <v>12</v>
          </cell>
          <cell r="AG434">
            <v>49.1</v>
          </cell>
          <cell r="AS434">
            <v>98.820998709085245</v>
          </cell>
          <cell r="AT434">
            <v>98.717329106340969</v>
          </cell>
          <cell r="AV434" t="str">
            <v>R. Regis</v>
          </cell>
          <cell r="AW434">
            <v>0.25555555555555565</v>
          </cell>
        </row>
        <row r="435">
          <cell r="A435" t="str">
            <v>ST412</v>
          </cell>
          <cell r="P435">
            <v>60</v>
          </cell>
          <cell r="Q435">
            <v>12.236084452975048</v>
          </cell>
          <cell r="T435">
            <v>0.80902777777777779</v>
          </cell>
          <cell r="U435">
            <v>0.92500000000000004</v>
          </cell>
          <cell r="V435">
            <v>68</v>
          </cell>
          <cell r="AD435">
            <v>50</v>
          </cell>
          <cell r="AE435">
            <v>11.7</v>
          </cell>
          <cell r="AG435">
            <v>50.6</v>
          </cell>
          <cell r="AS435">
            <v>99.164238456440273</v>
          </cell>
          <cell r="AT435">
            <v>99.060208773058093</v>
          </cell>
          <cell r="AV435" t="str">
            <v>R. Regis</v>
          </cell>
          <cell r="AW435">
            <v>0.24444444444444446</v>
          </cell>
        </row>
        <row r="436">
          <cell r="A436" t="str">
            <v>ST413</v>
          </cell>
          <cell r="P436">
            <v>60</v>
          </cell>
          <cell r="Q436">
            <v>13.221153846153847</v>
          </cell>
          <cell r="T436">
            <v>0.92708333333333337</v>
          </cell>
          <cell r="U436">
            <v>1.0354166666666667</v>
          </cell>
          <cell r="V436">
            <v>58</v>
          </cell>
          <cell r="AD436">
            <v>46.3</v>
          </cell>
          <cell r="AE436">
            <v>12</v>
          </cell>
          <cell r="AG436">
            <v>46.1</v>
          </cell>
          <cell r="AS436">
            <v>92.357399362533982</v>
          </cell>
          <cell r="AT436">
            <v>93.147949476146536</v>
          </cell>
          <cell r="AV436" t="str">
            <v>K. Benjamin</v>
          </cell>
          <cell r="AW436">
            <v>0.23680555555555549</v>
          </cell>
        </row>
        <row r="437">
          <cell r="A437" t="str">
            <v>ST414</v>
          </cell>
          <cell r="P437">
            <v>60</v>
          </cell>
          <cell r="Q437">
            <v>12.236084452975048</v>
          </cell>
          <cell r="T437">
            <v>1.0180555555555555</v>
          </cell>
          <cell r="U437">
            <v>1.1319444444444444</v>
          </cell>
          <cell r="V437">
            <v>62</v>
          </cell>
          <cell r="AD437">
            <v>50</v>
          </cell>
          <cell r="AE437">
            <v>11.7</v>
          </cell>
          <cell r="AG437">
            <v>50.2</v>
          </cell>
          <cell r="AS437">
            <v>98.174339715177652</v>
          </cell>
          <cell r="AT437">
            <v>99.014132462500015</v>
          </cell>
          <cell r="AV437" t="str">
            <v>R. Regis</v>
          </cell>
          <cell r="AW437">
            <v>0.25</v>
          </cell>
        </row>
        <row r="438">
          <cell r="A438" t="str">
            <v>ST415</v>
          </cell>
          <cell r="P438">
            <v>60</v>
          </cell>
          <cell r="Q438">
            <v>12.811900191938575</v>
          </cell>
          <cell r="T438">
            <v>1.1090277777777777</v>
          </cell>
          <cell r="U438">
            <v>1.2222222222222223</v>
          </cell>
          <cell r="V438">
            <v>64</v>
          </cell>
          <cell r="AD438">
            <v>48.1</v>
          </cell>
          <cell r="AE438">
            <v>11.7</v>
          </cell>
          <cell r="AG438">
            <v>48.5</v>
          </cell>
          <cell r="AS438">
            <v>94.612676020841974</v>
          </cell>
          <cell r="AT438">
            <v>95.422530589005632</v>
          </cell>
          <cell r="AV438" t="str">
            <v>R. Regis</v>
          </cell>
          <cell r="AW438">
            <v>0.2465277777777779</v>
          </cell>
        </row>
        <row r="439">
          <cell r="A439" t="str">
            <v>ST416</v>
          </cell>
          <cell r="P439">
            <v>61</v>
          </cell>
          <cell r="Q439">
            <v>13.195777351247601</v>
          </cell>
          <cell r="T439">
            <v>0.2</v>
          </cell>
          <cell r="U439">
            <v>0.31180555555555556</v>
          </cell>
          <cell r="V439">
            <v>63</v>
          </cell>
          <cell r="AD439">
            <v>47.5</v>
          </cell>
          <cell r="AE439">
            <v>12.1</v>
          </cell>
          <cell r="AG439">
            <v>48</v>
          </cell>
          <cell r="AS439">
            <v>96.88502566894006</v>
          </cell>
          <cell r="AT439">
            <v>97.714600485526645</v>
          </cell>
          <cell r="AV439" t="str">
            <v>R. Regis</v>
          </cell>
          <cell r="AW439">
            <v>0.24583333333333335</v>
          </cell>
        </row>
        <row r="440">
          <cell r="A440" t="str">
            <v>ST417</v>
          </cell>
          <cell r="P440">
            <v>57</v>
          </cell>
          <cell r="Q440">
            <v>14.155470249520153</v>
          </cell>
          <cell r="T440">
            <v>0.40972222222222221</v>
          </cell>
          <cell r="U440">
            <v>0.52152777777777781</v>
          </cell>
          <cell r="V440">
            <v>57</v>
          </cell>
          <cell r="AD440">
            <v>47.7</v>
          </cell>
          <cell r="AE440">
            <v>11.9</v>
          </cell>
          <cell r="AG440">
            <v>48.3</v>
          </cell>
          <cell r="AS440">
            <v>96.278354818861374</v>
          </cell>
          <cell r="AT440">
            <v>97.101659148413887</v>
          </cell>
          <cell r="AV440" t="str">
            <v>R.Sookram</v>
          </cell>
          <cell r="AW440">
            <v>0.24027777777777781</v>
          </cell>
        </row>
        <row r="441">
          <cell r="A441" t="str">
            <v>ST418</v>
          </cell>
          <cell r="P441">
            <v>58</v>
          </cell>
          <cell r="Q441">
            <v>9.7408829174664167</v>
          </cell>
          <cell r="T441">
            <v>0.49375000000000002</v>
          </cell>
          <cell r="U441">
            <v>0.60624999999999996</v>
          </cell>
          <cell r="V441">
            <v>61</v>
          </cell>
          <cell r="AD441">
            <v>49.3</v>
          </cell>
          <cell r="AE441">
            <v>11.8</v>
          </cell>
          <cell r="AG441">
            <v>48.9</v>
          </cell>
          <cell r="AS441">
            <v>96.371396355775389</v>
          </cell>
          <cell r="AT441">
            <v>97.196036118900437</v>
          </cell>
          <cell r="AV441" t="str">
            <v>R.Sookram</v>
          </cell>
          <cell r="AW441">
            <v>0.24166666666666664</v>
          </cell>
        </row>
        <row r="442">
          <cell r="A442" t="str">
            <v>ST419</v>
          </cell>
          <cell r="P442">
            <v>58</v>
          </cell>
          <cell r="Q442">
            <v>9.7408829174664167</v>
          </cell>
          <cell r="T442">
            <v>0.58125000000000004</v>
          </cell>
          <cell r="U442">
            <v>0.69861111111111107</v>
          </cell>
          <cell r="V442">
            <v>61</v>
          </cell>
          <cell r="AD442">
            <v>48.2</v>
          </cell>
          <cell r="AE442">
            <v>12</v>
          </cell>
          <cell r="AG442">
            <v>49</v>
          </cell>
          <cell r="AS442">
            <v>98.044791169581174</v>
          </cell>
          <cell r="AT442">
            <v>98.884296439773294</v>
          </cell>
          <cell r="AV442" t="str">
            <v>R.Sookram</v>
          </cell>
          <cell r="AW442">
            <v>0.25069444444444439</v>
          </cell>
        </row>
        <row r="443">
          <cell r="A443" t="str">
            <v>ST420</v>
          </cell>
          <cell r="P443">
            <v>62</v>
          </cell>
          <cell r="Q443">
            <v>6.6826923076923102</v>
          </cell>
          <cell r="T443">
            <v>0.66527777777777775</v>
          </cell>
          <cell r="U443">
            <v>0.78263888888888888</v>
          </cell>
          <cell r="V443">
            <v>66</v>
          </cell>
          <cell r="AD443">
            <v>49.3</v>
          </cell>
          <cell r="AE443">
            <v>11.8</v>
          </cell>
          <cell r="AG443">
            <v>50</v>
          </cell>
          <cell r="AS443">
            <v>98.293312348289959</v>
          </cell>
          <cell r="AT443">
            <v>99.13494557282614</v>
          </cell>
          <cell r="AV443" t="str">
            <v>K. Benjamin</v>
          </cell>
          <cell r="AW443">
            <v>0.2583333333333333</v>
          </cell>
        </row>
        <row r="444">
          <cell r="A444" t="str">
            <v>ST421</v>
          </cell>
          <cell r="P444">
            <v>60</v>
          </cell>
          <cell r="Q444">
            <v>14.75961538461538</v>
          </cell>
          <cell r="T444">
            <v>0.64652777777777781</v>
          </cell>
          <cell r="U444">
            <v>0.76944444444444449</v>
          </cell>
          <cell r="V444">
            <v>64</v>
          </cell>
          <cell r="AD444">
            <v>48.1</v>
          </cell>
          <cell r="AE444">
            <v>11.9</v>
          </cell>
          <cell r="AG444">
            <v>47</v>
          </cell>
          <cell r="AS444">
            <v>93.219338282985191</v>
          </cell>
          <cell r="AT444">
            <v>94.017525772997104</v>
          </cell>
          <cell r="AV444" t="str">
            <v>K. Benjamin</v>
          </cell>
          <cell r="AW444">
            <v>0.26250000000000007</v>
          </cell>
        </row>
        <row r="445">
          <cell r="A445" t="str">
            <v>ST422</v>
          </cell>
          <cell r="P445">
            <v>60</v>
          </cell>
          <cell r="Q445">
            <v>10.721153846153838</v>
          </cell>
          <cell r="T445">
            <v>0.73333333333333328</v>
          </cell>
          <cell r="U445">
            <v>0.84444444444444444</v>
          </cell>
          <cell r="V445">
            <v>51</v>
          </cell>
          <cell r="AD445">
            <v>48.8</v>
          </cell>
          <cell r="AE445">
            <v>12</v>
          </cell>
          <cell r="AG445">
            <v>49</v>
          </cell>
          <cell r="AS445">
            <v>98.413240959805805</v>
          </cell>
          <cell r="AT445">
            <v>99.255077291359513</v>
          </cell>
          <cell r="AV445" t="str">
            <v>K. Benjamin</v>
          </cell>
          <cell r="AW445">
            <v>0.25416666666666665</v>
          </cell>
        </row>
        <row r="446">
          <cell r="A446" t="str">
            <v>ST423</v>
          </cell>
          <cell r="P446">
            <v>60</v>
          </cell>
          <cell r="Q446">
            <v>8.0288461538461497</v>
          </cell>
          <cell r="T446">
            <v>0.81874999999999998</v>
          </cell>
          <cell r="U446">
            <v>0.92847222222222225</v>
          </cell>
          <cell r="V446">
            <v>58</v>
          </cell>
          <cell r="AD446">
            <v>49.8</v>
          </cell>
          <cell r="AE446">
            <v>11.8</v>
          </cell>
          <cell r="AG446">
            <v>50</v>
          </cell>
          <cell r="AS446">
            <v>98.539260077479966</v>
          </cell>
          <cell r="AT446">
            <v>99.382450019325603</v>
          </cell>
          <cell r="AV446" t="str">
            <v>K. Benjamin</v>
          </cell>
          <cell r="AW446">
            <v>0.24791666666666667</v>
          </cell>
        </row>
        <row r="447">
          <cell r="A447" t="str">
            <v>ST424</v>
          </cell>
          <cell r="P447">
            <v>59</v>
          </cell>
          <cell r="Q447">
            <v>11.490384615384617</v>
          </cell>
          <cell r="T447">
            <v>0.90347222222222223</v>
          </cell>
          <cell r="U447">
            <v>1.0180555555555555</v>
          </cell>
          <cell r="V447">
            <v>62</v>
          </cell>
          <cell r="AD447">
            <v>49.1</v>
          </cell>
          <cell r="AE447">
            <v>11.8</v>
          </cell>
          <cell r="AG447">
            <v>49.2</v>
          </cell>
          <cell r="AS447">
            <v>96.962631916240284</v>
          </cell>
          <cell r="AT447">
            <v>97.792330819016399</v>
          </cell>
          <cell r="AV447" t="str">
            <v>K. Benjamin</v>
          </cell>
          <cell r="AW447">
            <v>0.25416666666666665</v>
          </cell>
        </row>
      </sheetData>
      <sheetData sheetId="7">
        <row r="371">
          <cell r="D371">
            <v>11.5</v>
          </cell>
        </row>
        <row r="372">
          <cell r="D372">
            <v>11.9</v>
          </cell>
        </row>
        <row r="373">
          <cell r="D373">
            <v>11.9</v>
          </cell>
        </row>
        <row r="374">
          <cell r="D374">
            <v>11.9</v>
          </cell>
        </row>
        <row r="375">
          <cell r="D375">
            <v>11.6</v>
          </cell>
        </row>
        <row r="376">
          <cell r="D376">
            <v>11.8</v>
          </cell>
        </row>
        <row r="377">
          <cell r="D377">
            <v>12.1</v>
          </cell>
        </row>
        <row r="378">
          <cell r="D378">
            <v>11.9</v>
          </cell>
        </row>
        <row r="379">
          <cell r="D379">
            <v>11.6</v>
          </cell>
        </row>
        <row r="380">
          <cell r="D380">
            <v>12</v>
          </cell>
        </row>
        <row r="381">
          <cell r="D381">
            <v>11.8</v>
          </cell>
        </row>
        <row r="382">
          <cell r="D382">
            <v>11.6</v>
          </cell>
        </row>
        <row r="383">
          <cell r="D383">
            <v>11.8</v>
          </cell>
        </row>
        <row r="384">
          <cell r="D384">
            <v>11.7</v>
          </cell>
        </row>
        <row r="385">
          <cell r="D385">
            <v>12</v>
          </cell>
        </row>
        <row r="386">
          <cell r="D386">
            <v>12</v>
          </cell>
        </row>
        <row r="387">
          <cell r="D387">
            <v>12</v>
          </cell>
        </row>
        <row r="388">
          <cell r="D388">
            <v>11.6</v>
          </cell>
        </row>
        <row r="389">
          <cell r="D389">
            <v>11.9</v>
          </cell>
        </row>
        <row r="390">
          <cell r="D390">
            <v>12</v>
          </cell>
        </row>
        <row r="391">
          <cell r="D391">
            <v>11.7</v>
          </cell>
        </row>
        <row r="392">
          <cell r="D392">
            <v>11.7</v>
          </cell>
        </row>
        <row r="393">
          <cell r="D393">
            <v>11.8</v>
          </cell>
        </row>
        <row r="394">
          <cell r="D394">
            <v>12.2</v>
          </cell>
        </row>
        <row r="395">
          <cell r="D395">
            <v>11.7</v>
          </cell>
        </row>
        <row r="396">
          <cell r="D396">
            <v>11.9</v>
          </cell>
        </row>
        <row r="397">
          <cell r="D397">
            <v>11.7</v>
          </cell>
        </row>
        <row r="399">
          <cell r="D399">
            <v>11.8</v>
          </cell>
        </row>
        <row r="400">
          <cell r="D400">
            <v>12</v>
          </cell>
        </row>
        <row r="401">
          <cell r="D401">
            <v>11.9</v>
          </cell>
        </row>
        <row r="402">
          <cell r="D402">
            <v>12</v>
          </cell>
        </row>
        <row r="403">
          <cell r="D403">
            <v>11.9</v>
          </cell>
        </row>
        <row r="404">
          <cell r="D404">
            <v>11.7</v>
          </cell>
        </row>
        <row r="405">
          <cell r="D405">
            <v>12.2</v>
          </cell>
        </row>
        <row r="406">
          <cell r="D406">
            <v>11.8</v>
          </cell>
        </row>
        <row r="407">
          <cell r="D407">
            <v>11.9</v>
          </cell>
        </row>
        <row r="408">
          <cell r="D408">
            <v>12</v>
          </cell>
        </row>
        <row r="409">
          <cell r="D409">
            <v>11.9</v>
          </cell>
        </row>
        <row r="410">
          <cell r="D410">
            <v>11.9</v>
          </cell>
        </row>
        <row r="411">
          <cell r="D411">
            <v>12.1</v>
          </cell>
        </row>
        <row r="412">
          <cell r="D412">
            <v>11.9</v>
          </cell>
        </row>
        <row r="413">
          <cell r="D413">
            <v>11.8</v>
          </cell>
        </row>
        <row r="414">
          <cell r="D414">
            <v>11.7</v>
          </cell>
        </row>
        <row r="415">
          <cell r="D415">
            <v>11.7</v>
          </cell>
        </row>
        <row r="416">
          <cell r="D416">
            <v>12</v>
          </cell>
        </row>
        <row r="417">
          <cell r="D417">
            <v>11.8</v>
          </cell>
        </row>
        <row r="418">
          <cell r="D418">
            <v>11.9</v>
          </cell>
        </row>
        <row r="419">
          <cell r="D419">
            <v>11.9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U64">
            <v>95.602395026170299</v>
          </cell>
        </row>
        <row r="65">
          <cell r="AU65">
            <v>97.762581464269644</v>
          </cell>
        </row>
        <row r="66">
          <cell r="AU66">
            <v>97.743357577875017</v>
          </cell>
        </row>
        <row r="67">
          <cell r="AU67">
            <v>98.042300648720754</v>
          </cell>
        </row>
        <row r="68">
          <cell r="AU68">
            <v>98.519506903206036</v>
          </cell>
        </row>
        <row r="69">
          <cell r="AU69">
            <v>97.87847240921738</v>
          </cell>
        </row>
        <row r="70">
          <cell r="AU70">
            <v>95.781056875880395</v>
          </cell>
        </row>
        <row r="71">
          <cell r="AU71">
            <v>96.861776608600863</v>
          </cell>
        </row>
        <row r="72">
          <cell r="AU72">
            <v>93.381881284929378</v>
          </cell>
        </row>
        <row r="73">
          <cell r="AU73">
            <v>95.573978353377044</v>
          </cell>
        </row>
        <row r="74">
          <cell r="AU74">
            <v>96.329503873957094</v>
          </cell>
        </row>
        <row r="75">
          <cell r="AU75">
            <v>97.549176167683427</v>
          </cell>
        </row>
        <row r="76">
          <cell r="AU76">
            <v>97.240142923478217</v>
          </cell>
        </row>
        <row r="77">
          <cell r="AU77">
            <v>91.800652908866041</v>
          </cell>
        </row>
        <row r="78">
          <cell r="AU78">
            <v>96.204501549542428</v>
          </cell>
        </row>
        <row r="79">
          <cell r="AU79">
            <v>97.206266997269381</v>
          </cell>
        </row>
        <row r="81">
          <cell r="AU81">
            <v>96.452079426676278</v>
          </cell>
        </row>
        <row r="82">
          <cell r="AU82">
            <v>96.065985252726961</v>
          </cell>
        </row>
        <row r="83">
          <cell r="AU83">
            <v>95.441460527610872</v>
          </cell>
        </row>
        <row r="84">
          <cell r="AU84">
            <v>96.121978763783517</v>
          </cell>
        </row>
        <row r="85">
          <cell r="AU85">
            <v>95.007032865785504</v>
          </cell>
        </row>
        <row r="86">
          <cell r="AU86">
            <v>97.272320791361707</v>
          </cell>
        </row>
        <row r="87">
          <cell r="AU87">
            <v>97.807774624525237</v>
          </cell>
        </row>
        <row r="88">
          <cell r="AU88">
            <v>97.014543681424854</v>
          </cell>
        </row>
        <row r="89">
          <cell r="AU89">
            <v>96.667741026067404</v>
          </cell>
        </row>
        <row r="90">
          <cell r="AU90">
            <v>95.010280290434139</v>
          </cell>
        </row>
        <row r="91">
          <cell r="AU91">
            <v>97.886445156995904</v>
          </cell>
        </row>
        <row r="92">
          <cell r="AU92">
            <v>96.778397165023506</v>
          </cell>
        </row>
        <row r="94">
          <cell r="AU94">
            <v>94.352366624641022</v>
          </cell>
        </row>
        <row r="95">
          <cell r="AU95">
            <v>94.566859490484816</v>
          </cell>
        </row>
        <row r="96">
          <cell r="AU96">
            <v>94.3413084521017</v>
          </cell>
        </row>
        <row r="97">
          <cell r="AU97">
            <v>93.914364604824101</v>
          </cell>
        </row>
        <row r="99">
          <cell r="A99" t="str">
            <v>GU088</v>
          </cell>
          <cell r="O99">
            <v>60</v>
          </cell>
          <cell r="R99">
            <v>12.740740740740733</v>
          </cell>
          <cell r="T99">
            <v>0.32291666666666669</v>
          </cell>
          <cell r="U99">
            <v>0.44305555555555554</v>
          </cell>
          <cell r="V99">
            <v>62</v>
          </cell>
          <cell r="Z99">
            <v>0.25555555555555554</v>
          </cell>
          <cell r="AF99">
            <v>51.5</v>
          </cell>
          <cell r="AG99">
            <v>17.5</v>
          </cell>
          <cell r="AI99">
            <v>49.3</v>
          </cell>
          <cell r="AU99">
            <v>93.495308959672286</v>
          </cell>
          <cell r="AV99">
            <v>95.146369751797721</v>
          </cell>
          <cell r="AW99" t="str">
            <v>R. Regis</v>
          </cell>
        </row>
        <row r="100">
          <cell r="A100" t="str">
            <v>GU089</v>
          </cell>
          <cell r="O100">
            <v>58</v>
          </cell>
          <cell r="R100">
            <v>8.3571428571428559</v>
          </cell>
          <cell r="T100">
            <v>0.44444444444444442</v>
          </cell>
          <cell r="U100">
            <v>0.56041666666666667</v>
          </cell>
          <cell r="V100">
            <v>63</v>
          </cell>
          <cell r="Z100">
            <v>0.27569444444444446</v>
          </cell>
          <cell r="AF100">
            <v>53.6</v>
          </cell>
          <cell r="AG100">
            <v>17.100000000000001</v>
          </cell>
          <cell r="AI100">
            <v>51.5</v>
          </cell>
          <cell r="AU100">
            <v>94.939013157842624</v>
          </cell>
          <cell r="AV100">
            <v>96.617035477742988</v>
          </cell>
          <cell r="AW100" t="str">
            <v>R. Regis</v>
          </cell>
        </row>
        <row r="101">
          <cell r="A101" t="str">
            <v>GU090</v>
          </cell>
          <cell r="O101">
            <v>59</v>
          </cell>
          <cell r="R101">
            <v>7.6292335115864542</v>
          </cell>
          <cell r="T101">
            <v>0.5493055555555556</v>
          </cell>
          <cell r="U101">
            <v>0.66249999999999998</v>
          </cell>
          <cell r="V101">
            <v>64</v>
          </cell>
          <cell r="Z101">
            <v>0.25624999999999998</v>
          </cell>
          <cell r="AF101">
            <v>52.9</v>
          </cell>
          <cell r="AG101">
            <v>17.2</v>
          </cell>
          <cell r="AI101">
            <v>51.1</v>
          </cell>
          <cell r="AU101">
            <v>94.844556920967619</v>
          </cell>
          <cell r="AV101">
            <v>96.520617629679109</v>
          </cell>
          <cell r="AW101" t="str">
            <v>R. Regis</v>
          </cell>
        </row>
        <row r="102">
          <cell r="A102" t="str">
            <v>GU091</v>
          </cell>
          <cell r="O102">
            <v>55</v>
          </cell>
          <cell r="R102">
            <v>7.7676950998185141</v>
          </cell>
          <cell r="T102">
            <v>0.69513888888888886</v>
          </cell>
          <cell r="U102">
            <v>0.80902777777777779</v>
          </cell>
          <cell r="V102">
            <v>65</v>
          </cell>
          <cell r="Z102">
            <v>0.26041666666666663</v>
          </cell>
          <cell r="AF102">
            <v>53.4</v>
          </cell>
          <cell r="AG102">
            <v>17.100000000000001</v>
          </cell>
          <cell r="AI102">
            <v>51.5</v>
          </cell>
          <cell r="AU102">
            <v>95.04867932044354</v>
          </cell>
          <cell r="AV102">
            <v>96.310456011054796</v>
          </cell>
          <cell r="AW102" t="str">
            <v>R. Sookram</v>
          </cell>
        </row>
        <row r="103">
          <cell r="A103" t="str">
            <v>GU092</v>
          </cell>
          <cell r="O103">
            <v>57</v>
          </cell>
          <cell r="R103">
            <v>4.6823956442831181</v>
          </cell>
          <cell r="T103">
            <v>0.80972222222222223</v>
          </cell>
          <cell r="U103">
            <v>0.94652777777777775</v>
          </cell>
          <cell r="V103">
            <v>79</v>
          </cell>
          <cell r="Z103">
            <v>0.29374999999999996</v>
          </cell>
          <cell r="AF103">
            <v>53.6</v>
          </cell>
          <cell r="AG103">
            <v>17.2</v>
          </cell>
          <cell r="AI103">
            <v>51.3</v>
          </cell>
          <cell r="AU103">
            <v>95.51431937725215</v>
          </cell>
          <cell r="AV103">
            <v>96.361165048543668</v>
          </cell>
          <cell r="AW103" t="str">
            <v>R. Sookram</v>
          </cell>
        </row>
        <row r="104">
          <cell r="A104" t="str">
            <v>GU093</v>
          </cell>
          <cell r="O104">
            <v>59</v>
          </cell>
          <cell r="R104">
            <v>7.4047186932849325</v>
          </cell>
          <cell r="T104">
            <v>0.92222222222222228</v>
          </cell>
          <cell r="U104">
            <v>1.038888888888889</v>
          </cell>
          <cell r="V104">
            <v>62</v>
          </cell>
          <cell r="Z104">
            <v>0.28194444444444455</v>
          </cell>
          <cell r="AF104">
            <v>53.6</v>
          </cell>
          <cell r="AG104">
            <v>17.100000000000001</v>
          </cell>
          <cell r="AI104">
            <v>51.7</v>
          </cell>
          <cell r="AU104">
            <v>95.758971226876398</v>
          </cell>
          <cell r="AV104">
            <v>96.607839627707193</v>
          </cell>
          <cell r="AW104" t="str">
            <v>R. Sookram</v>
          </cell>
        </row>
        <row r="105">
          <cell r="A105" t="str">
            <v>GU094</v>
          </cell>
          <cell r="O105">
            <v>58</v>
          </cell>
          <cell r="R105">
            <v>4.5090909090909035</v>
          </cell>
          <cell r="T105">
            <v>1.03125</v>
          </cell>
          <cell r="U105">
            <v>1.1499999999999999</v>
          </cell>
          <cell r="V105">
            <v>57</v>
          </cell>
          <cell r="Z105">
            <v>0.26805555555555549</v>
          </cell>
          <cell r="AF105">
            <v>53.6</v>
          </cell>
          <cell r="AG105">
            <v>17.3</v>
          </cell>
          <cell r="AI105">
            <v>50</v>
          </cell>
          <cell r="AU105">
            <v>93.701673172125652</v>
          </cell>
          <cell r="AV105">
            <v>94.532447623914152</v>
          </cell>
          <cell r="AW105" t="str">
            <v>K. Benjamin</v>
          </cell>
        </row>
        <row r="106">
          <cell r="A106" t="str">
            <v>GU095</v>
          </cell>
          <cell r="O106">
            <v>59</v>
          </cell>
          <cell r="R106">
            <v>7.0545454545454467</v>
          </cell>
          <cell r="T106">
            <v>1.1263888888888889</v>
          </cell>
          <cell r="U106">
            <v>1.2583333333333333</v>
          </cell>
          <cell r="V106">
            <v>62</v>
          </cell>
          <cell r="Z106">
            <v>0.27569444444444446</v>
          </cell>
          <cell r="AF106">
            <v>52.8</v>
          </cell>
          <cell r="AG106">
            <v>17.2</v>
          </cell>
          <cell r="AI106">
            <v>51.3</v>
          </cell>
          <cell r="AU106">
            <v>95.287475319992694</v>
          </cell>
          <cell r="AV106">
            <v>96.132745392909015</v>
          </cell>
          <cell r="AW106" t="str">
            <v>K. Benjamin</v>
          </cell>
        </row>
        <row r="107">
          <cell r="A107" t="str">
            <v>GU096</v>
          </cell>
          <cell r="O107">
            <v>59</v>
          </cell>
          <cell r="R107">
            <v>9.7857142857142794</v>
          </cell>
          <cell r="T107">
            <v>1.1187499999999999</v>
          </cell>
          <cell r="U107">
            <v>1.2375</v>
          </cell>
          <cell r="V107">
            <v>63</v>
          </cell>
          <cell r="Z107">
            <v>0.28958333333333341</v>
          </cell>
          <cell r="AF107">
            <v>53.1</v>
          </cell>
          <cell r="AG107">
            <v>17.2</v>
          </cell>
          <cell r="AI107">
            <v>50.9</v>
          </cell>
          <cell r="AU107">
            <v>95.222949238260071</v>
          </cell>
          <cell r="AV107">
            <v>96.066334651126965</v>
          </cell>
          <cell r="AW107" t="str">
            <v>R. Regis</v>
          </cell>
        </row>
        <row r="108">
          <cell r="A108" t="str">
            <v>GU097</v>
          </cell>
          <cell r="O108">
            <v>59</v>
          </cell>
          <cell r="R108">
            <v>8.8770053475935757</v>
          </cell>
          <cell r="T108">
            <v>0.22083333333333333</v>
          </cell>
          <cell r="U108">
            <v>0.33611111111111114</v>
          </cell>
          <cell r="V108">
            <v>65</v>
          </cell>
          <cell r="Z108">
            <v>0.28402777777777782</v>
          </cell>
          <cell r="AF108">
            <v>52.8</v>
          </cell>
          <cell r="AG108">
            <v>17.399999999999999</v>
          </cell>
          <cell r="AI108">
            <v>51.8</v>
          </cell>
          <cell r="AU108">
            <v>98.119306904216202</v>
          </cell>
          <cell r="AV108">
            <v>98.988345227704471</v>
          </cell>
          <cell r="AW108" t="str">
            <v>R. Regis</v>
          </cell>
        </row>
        <row r="109">
          <cell r="A109" t="str">
            <v>GU098</v>
          </cell>
          <cell r="O109">
            <v>55</v>
          </cell>
          <cell r="R109">
            <v>12.442067736185377</v>
          </cell>
          <cell r="T109">
            <v>0.34375</v>
          </cell>
          <cell r="U109">
            <v>0.47013888888888888</v>
          </cell>
          <cell r="V109">
            <v>61</v>
          </cell>
          <cell r="Z109">
            <v>0.29652777777777778</v>
          </cell>
          <cell r="AF109">
            <v>51.1</v>
          </cell>
          <cell r="AG109">
            <v>17.2</v>
          </cell>
          <cell r="AI109">
            <v>50.1</v>
          </cell>
          <cell r="AU109">
            <v>94.252379096772415</v>
          </cell>
          <cell r="AV109">
            <v>95.086145029300155</v>
          </cell>
          <cell r="AW109" t="str">
            <v>R. Sookram</v>
          </cell>
        </row>
        <row r="110">
          <cell r="A110" t="str">
            <v>GU099</v>
          </cell>
          <cell r="O110">
            <v>57</v>
          </cell>
          <cell r="R110">
            <v>7.2727272727272698</v>
          </cell>
          <cell r="T110">
            <v>0.45069444444444445</v>
          </cell>
          <cell r="U110">
            <v>0.56388888888888888</v>
          </cell>
          <cell r="V110">
            <v>62</v>
          </cell>
          <cell r="Z110">
            <v>0.26527777777777778</v>
          </cell>
          <cell r="AF110">
            <v>53.1</v>
          </cell>
          <cell r="AG110">
            <v>17</v>
          </cell>
          <cell r="AI110">
            <v>51.4</v>
          </cell>
          <cell r="AU110">
            <v>95.106719085250063</v>
          </cell>
          <cell r="AV110">
            <v>95.948781240357903</v>
          </cell>
          <cell r="AW110" t="str">
            <v>R. Sookram</v>
          </cell>
        </row>
        <row r="111">
          <cell r="A111" t="str">
            <v>GU100</v>
          </cell>
          <cell r="O111">
            <v>55</v>
          </cell>
          <cell r="R111">
            <v>8.6987522281639968</v>
          </cell>
          <cell r="T111">
            <v>0.55347222222222225</v>
          </cell>
          <cell r="U111">
            <v>0.66666666666666663</v>
          </cell>
          <cell r="V111">
            <v>63</v>
          </cell>
          <cell r="Z111">
            <v>0.26736111111111105</v>
          </cell>
          <cell r="AF111">
            <v>52.3</v>
          </cell>
          <cell r="AG111">
            <v>17.3</v>
          </cell>
          <cell r="AI111">
            <v>50.7</v>
          </cell>
          <cell r="AU111">
            <v>95.620528417543298</v>
          </cell>
          <cell r="AV111">
            <v>96.46713977167542</v>
          </cell>
          <cell r="AW111" t="str">
            <v>R. Sookram</v>
          </cell>
        </row>
        <row r="112">
          <cell r="A112" t="str">
            <v>GU101</v>
          </cell>
          <cell r="O112">
            <v>60</v>
          </cell>
          <cell r="R112">
            <v>6.3928571428571406</v>
          </cell>
          <cell r="T112">
            <v>0.64861111111111114</v>
          </cell>
          <cell r="U112">
            <v>0.76875000000000004</v>
          </cell>
          <cell r="V112">
            <v>64</v>
          </cell>
          <cell r="Z112">
            <v>0.26875000000000004</v>
          </cell>
          <cell r="AF112">
            <v>53.5</v>
          </cell>
          <cell r="AG112">
            <v>17.399999999999999</v>
          </cell>
          <cell r="AI112">
            <v>50.1</v>
          </cell>
          <cell r="AU112">
            <v>95.047877936782697</v>
          </cell>
          <cell r="AV112">
            <v>95.663562908811087</v>
          </cell>
          <cell r="AW112" t="str">
            <v>K. Benjamin</v>
          </cell>
        </row>
        <row r="113">
          <cell r="A113" t="str">
            <v>GU102</v>
          </cell>
          <cell r="O113">
            <v>60</v>
          </cell>
          <cell r="R113">
            <v>7.1071428571428523</v>
          </cell>
          <cell r="T113">
            <v>0.76111111111111107</v>
          </cell>
          <cell r="U113">
            <v>0.88402777777777775</v>
          </cell>
          <cell r="V113">
            <v>64</v>
          </cell>
          <cell r="Z113">
            <v>0.29027777777777775</v>
          </cell>
          <cell r="AF113">
            <v>53.1</v>
          </cell>
          <cell r="AG113">
            <v>17.3</v>
          </cell>
          <cell r="AI113">
            <v>49.4</v>
          </cell>
          <cell r="AU113">
            <v>93.386814804416474</v>
          </cell>
          <cell r="AV113">
            <v>93.76939848659741</v>
          </cell>
          <cell r="AW113" t="str">
            <v>K. Benjamin</v>
          </cell>
        </row>
        <row r="114">
          <cell r="A114" t="str">
            <v>GU103</v>
          </cell>
          <cell r="O114">
            <v>59</v>
          </cell>
          <cell r="R114">
            <v>4.249999999999992</v>
          </cell>
          <cell r="T114">
            <v>0.8666666666666667</v>
          </cell>
          <cell r="U114">
            <v>0.99583333333333335</v>
          </cell>
          <cell r="V114">
            <v>77</v>
          </cell>
          <cell r="Z114">
            <v>0.28749999999999998</v>
          </cell>
          <cell r="AF114">
            <v>54.7</v>
          </cell>
          <cell r="AG114">
            <v>16.8</v>
          </cell>
          <cell r="AI114">
            <v>51</v>
          </cell>
          <cell r="AU114">
            <v>93.018696736670279</v>
          </cell>
          <cell r="AV114">
            <v>93.400102197240685</v>
          </cell>
          <cell r="AW114" t="str">
            <v>K. Benjamin</v>
          </cell>
        </row>
      </sheetData>
      <sheetData sheetId="2">
        <row r="106">
          <cell r="D106">
            <v>17.100000000000001</v>
          </cell>
        </row>
        <row r="107">
          <cell r="D107">
            <v>17.399999999999999</v>
          </cell>
        </row>
        <row r="108">
          <cell r="D108">
            <v>17.399999999999999</v>
          </cell>
        </row>
        <row r="109">
          <cell r="D109">
            <v>17.100000000000001</v>
          </cell>
        </row>
        <row r="111">
          <cell r="D111">
            <v>17.5</v>
          </cell>
          <cell r="AB111">
            <v>9</v>
          </cell>
        </row>
        <row r="112">
          <cell r="D112">
            <v>17.100000000000001</v>
          </cell>
        </row>
        <row r="113">
          <cell r="D113">
            <v>17.2</v>
          </cell>
        </row>
        <row r="114">
          <cell r="D114">
            <v>17.100000000000001</v>
          </cell>
        </row>
        <row r="115">
          <cell r="D115">
            <v>17.2</v>
          </cell>
        </row>
        <row r="116">
          <cell r="D116">
            <v>17.100000000000001</v>
          </cell>
        </row>
        <row r="117">
          <cell r="D117">
            <v>17.3</v>
          </cell>
        </row>
        <row r="118">
          <cell r="D118">
            <v>17.2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V55">
            <v>96.86423362208302</v>
          </cell>
        </row>
        <row r="56">
          <cell r="AV56">
            <v>98.765400463350318</v>
          </cell>
        </row>
        <row r="57">
          <cell r="AV57">
            <v>99.054620267666863</v>
          </cell>
        </row>
        <row r="58">
          <cell r="AV58">
            <v>99.45810140928667</v>
          </cell>
        </row>
        <row r="59">
          <cell r="AV59">
            <v>99.445738552634495</v>
          </cell>
        </row>
        <row r="60">
          <cell r="AV60">
            <v>99.984726394996613</v>
          </cell>
        </row>
        <row r="61">
          <cell r="AV61">
            <v>99.787427077580119</v>
          </cell>
        </row>
        <row r="62">
          <cell r="AV62">
            <v>103.57083663502391</v>
          </cell>
        </row>
        <row r="64">
          <cell r="AV64">
            <v>98.008773140944655</v>
          </cell>
        </row>
        <row r="65">
          <cell r="AV65">
            <v>97.056247900814512</v>
          </cell>
        </row>
        <row r="66">
          <cell r="AV66">
            <v>99.038277060492405</v>
          </cell>
        </row>
        <row r="67">
          <cell r="AV67">
            <v>97.755191484048893</v>
          </cell>
        </row>
        <row r="68">
          <cell r="AV68">
            <v>94.10791616839218</v>
          </cell>
        </row>
        <row r="69">
          <cell r="AV69">
            <v>97.641436216620463</v>
          </cell>
        </row>
        <row r="70">
          <cell r="AV70">
            <v>101.50384828699441</v>
          </cell>
        </row>
        <row r="71">
          <cell r="AV71">
            <v>96.742930981448211</v>
          </cell>
        </row>
        <row r="72">
          <cell r="AV72">
            <v>97.755191484048893</v>
          </cell>
        </row>
        <row r="73">
          <cell r="AV73">
            <v>95.835062582045694</v>
          </cell>
        </row>
        <row r="74">
          <cell r="AV74">
            <v>97.848404232929013</v>
          </cell>
        </row>
        <row r="75">
          <cell r="AV75">
            <v>97.445735902752347</v>
          </cell>
        </row>
        <row r="76">
          <cell r="AV76">
            <v>97.848404232929013</v>
          </cell>
        </row>
        <row r="77">
          <cell r="AV77">
            <v>97.610908885136041</v>
          </cell>
        </row>
        <row r="79">
          <cell r="AV79">
            <v>93.416866927628533</v>
          </cell>
        </row>
        <row r="80">
          <cell r="AV80">
            <v>97.892758653806098</v>
          </cell>
        </row>
        <row r="81">
          <cell r="AV81">
            <v>95.630531037856798</v>
          </cell>
        </row>
        <row r="82">
          <cell r="AV82">
            <v>97.766654522928292</v>
          </cell>
        </row>
        <row r="83">
          <cell r="AV83">
            <v>98.529450361408266</v>
          </cell>
        </row>
        <row r="84">
          <cell r="AV84">
            <v>93.497493079391887</v>
          </cell>
        </row>
        <row r="85">
          <cell r="AV85">
            <v>97.870868652037373</v>
          </cell>
        </row>
        <row r="86">
          <cell r="AV86">
            <v>96.69450110380555</v>
          </cell>
        </row>
        <row r="88">
          <cell r="A88" t="str">
            <v>VM075</v>
          </cell>
          <cell r="R88">
            <v>62</v>
          </cell>
          <cell r="S88">
            <v>8.1037924151696519</v>
          </cell>
          <cell r="V88">
            <v>0.30138888888888887</v>
          </cell>
          <cell r="W88">
            <v>0.44027777777777777</v>
          </cell>
          <cell r="X88">
            <v>69</v>
          </cell>
          <cell r="AB88">
            <v>0.28749999999999998</v>
          </cell>
          <cell r="AE88">
            <v>50.1</v>
          </cell>
          <cell r="AH88">
            <v>14.1</v>
          </cell>
          <cell r="AJ88">
            <v>48.8</v>
          </cell>
          <cell r="AV88">
            <v>97.703642027366726</v>
          </cell>
          <cell r="AW88">
            <v>97.677802470265462</v>
          </cell>
          <cell r="AZ88" t="str">
            <v>R.Sookram</v>
          </cell>
        </row>
        <row r="89">
          <cell r="A89" t="str">
            <v>VM076</v>
          </cell>
          <cell r="R89">
            <v>60</v>
          </cell>
          <cell r="S89">
            <v>4.3199999999999932</v>
          </cell>
          <cell r="V89">
            <v>0.39583333333333331</v>
          </cell>
          <cell r="W89">
            <v>0.52569444444444446</v>
          </cell>
          <cell r="X89">
            <v>72</v>
          </cell>
          <cell r="AB89">
            <v>0.27569444444444446</v>
          </cell>
          <cell r="AE89">
            <v>50</v>
          </cell>
          <cell r="AH89">
            <v>14</v>
          </cell>
          <cell r="AJ89">
            <v>49.7</v>
          </cell>
          <cell r="AV89">
            <v>98.976107779261667</v>
          </cell>
          <cell r="AW89">
            <v>98.95015024100563</v>
          </cell>
          <cell r="AZ89" t="str">
            <v>K. Benjamin</v>
          </cell>
        </row>
        <row r="90">
          <cell r="A90" t="str">
            <v>VM077</v>
          </cell>
          <cell r="R90">
            <v>60</v>
          </cell>
          <cell r="S90">
            <v>3.5200000000000098</v>
          </cell>
          <cell r="V90">
            <v>0.48472222222222222</v>
          </cell>
          <cell r="W90">
            <v>0.61944444444444446</v>
          </cell>
          <cell r="X90">
            <v>74</v>
          </cell>
          <cell r="AB90">
            <v>0.27222222222222225</v>
          </cell>
          <cell r="AE90">
            <v>50</v>
          </cell>
          <cell r="AH90">
            <v>14.3</v>
          </cell>
          <cell r="AJ90">
            <v>49</v>
          </cell>
          <cell r="AV90">
            <v>99.450962406546921</v>
          </cell>
          <cell r="AW90">
            <v>99.424551283522177</v>
          </cell>
          <cell r="AZ90" t="str">
            <v>K. Benjamin</v>
          </cell>
        </row>
        <row r="91">
          <cell r="A91" t="str">
            <v>VM078</v>
          </cell>
          <cell r="R91">
            <v>59</v>
          </cell>
          <cell r="S91">
            <v>4.5200000000000102</v>
          </cell>
          <cell r="V91">
            <v>0.58333333333333337</v>
          </cell>
          <cell r="W91">
            <v>0.72430555555555554</v>
          </cell>
          <cell r="X91">
            <v>86</v>
          </cell>
          <cell r="AB91">
            <v>0.27638888888888885</v>
          </cell>
          <cell r="AE91">
            <v>50</v>
          </cell>
          <cell r="AH91">
            <v>14.4</v>
          </cell>
          <cell r="AJ91">
            <v>48.8</v>
          </cell>
          <cell r="AV91">
            <v>100.04029918753868</v>
          </cell>
          <cell r="AW91">
            <v>100.01395199046988</v>
          </cell>
          <cell r="AZ91" t="str">
            <v>K. Benjamin</v>
          </cell>
        </row>
        <row r="92">
          <cell r="A92" t="str">
            <v>VM079</v>
          </cell>
          <cell r="R92">
            <v>64</v>
          </cell>
          <cell r="S92">
            <v>6.9061876247505012</v>
          </cell>
          <cell r="V92">
            <v>0.68541666666666667</v>
          </cell>
          <cell r="W92">
            <v>0.82986111111111116</v>
          </cell>
          <cell r="X92">
            <v>87</v>
          </cell>
          <cell r="AB92">
            <v>0.28472222222222232</v>
          </cell>
          <cell r="AE92">
            <v>50.1</v>
          </cell>
          <cell r="AH92">
            <v>14.4</v>
          </cell>
          <cell r="AJ92">
            <v>48.1</v>
          </cell>
          <cell r="AV92">
            <v>98.708196280264445</v>
          </cell>
          <cell r="AW92">
            <v>98.682309004651998</v>
          </cell>
          <cell r="AZ92" t="str">
            <v>R. Regis</v>
          </cell>
        </row>
        <row r="93">
          <cell r="A93" t="str">
            <v>VM080</v>
          </cell>
          <cell r="R93">
            <v>60</v>
          </cell>
          <cell r="S93">
            <v>7.3053892215568936</v>
          </cell>
          <cell r="V93">
            <v>0.78263888888888888</v>
          </cell>
          <cell r="W93">
            <v>0.92847222222222225</v>
          </cell>
          <cell r="X93">
            <v>87</v>
          </cell>
          <cell r="AB93">
            <v>0.28263888888888888</v>
          </cell>
          <cell r="AE93">
            <v>50.1</v>
          </cell>
          <cell r="AH93">
            <v>14</v>
          </cell>
          <cell r="AJ93">
            <v>49.2</v>
          </cell>
          <cell r="AV93">
            <v>97.776299746351896</v>
          </cell>
          <cell r="AW93">
            <v>97.750440973556735</v>
          </cell>
          <cell r="AZ93" t="str">
            <v>R. Regis</v>
          </cell>
        </row>
        <row r="94">
          <cell r="A94" t="str">
            <v>VM081</v>
          </cell>
          <cell r="R94">
            <v>61</v>
          </cell>
          <cell r="S94">
            <v>8.1037924151696519</v>
          </cell>
          <cell r="V94">
            <v>0.89166666666666672</v>
          </cell>
          <cell r="W94">
            <v>1.0291666666666666</v>
          </cell>
          <cell r="X94">
            <v>85</v>
          </cell>
          <cell r="AB94">
            <v>0.27222222222222214</v>
          </cell>
          <cell r="AE94">
            <v>50.1</v>
          </cell>
          <cell r="AH94">
            <v>14</v>
          </cell>
          <cell r="AJ94">
            <v>46.7</v>
          </cell>
          <cell r="AV94">
            <v>92.807991832411261</v>
          </cell>
          <cell r="AW94">
            <v>92.783447021648371</v>
          </cell>
          <cell r="AZ94" t="str">
            <v>R. Regis</v>
          </cell>
        </row>
        <row r="95">
          <cell r="A95" t="str">
            <v>VM082</v>
          </cell>
          <cell r="R95">
            <v>59</v>
          </cell>
          <cell r="S95">
            <v>6.307385229540925</v>
          </cell>
          <cell r="V95">
            <v>1</v>
          </cell>
          <cell r="W95">
            <v>1.1368055555555556</v>
          </cell>
          <cell r="X95">
            <v>85</v>
          </cell>
          <cell r="AB95">
            <v>0.28263888888888899</v>
          </cell>
          <cell r="AE95">
            <v>50.1</v>
          </cell>
          <cell r="AH95">
            <v>14.1</v>
          </cell>
          <cell r="AJ95">
            <v>48.8</v>
          </cell>
          <cell r="AV95">
            <v>97.805496183349234</v>
          </cell>
          <cell r="AW95">
            <v>97.779737557042822</v>
          </cell>
          <cell r="AZ95" t="str">
            <v>R.Sookram</v>
          </cell>
        </row>
      </sheetData>
      <sheetData sheetId="4">
        <row r="5">
          <cell r="D5">
            <v>14.8</v>
          </cell>
        </row>
        <row r="88">
          <cell r="D88">
            <v>14.1</v>
          </cell>
        </row>
        <row r="89">
          <cell r="D89">
            <v>14</v>
          </cell>
        </row>
        <row r="90">
          <cell r="D90">
            <v>14.3</v>
          </cell>
        </row>
        <row r="91">
          <cell r="D91">
            <v>14.4</v>
          </cell>
        </row>
        <row r="92">
          <cell r="D92">
            <v>14.4</v>
          </cell>
        </row>
        <row r="93">
          <cell r="D93">
            <v>14</v>
          </cell>
        </row>
        <row r="94">
          <cell r="D94">
            <v>14</v>
          </cell>
        </row>
        <row r="95">
          <cell r="D95">
            <v>14.1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  <sheetName val="Summary March '24"/>
      <sheetName val="Summary January'24"/>
      <sheetName val="Summary September'25"/>
      <sheetName val="Summary October'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6">
          <cell r="AT26">
            <v>91.626266310300238</v>
          </cell>
        </row>
        <row r="28">
          <cell r="AT28">
            <v>94.489668133257737</v>
          </cell>
        </row>
        <row r="29">
          <cell r="AT29">
            <v>95.994784321626057</v>
          </cell>
        </row>
        <row r="30">
          <cell r="AT30">
            <v>95.337788432396806</v>
          </cell>
        </row>
        <row r="31">
          <cell r="AT31">
            <v>94.03638367048454</v>
          </cell>
        </row>
        <row r="32">
          <cell r="AT32">
            <v>93.850571528798568</v>
          </cell>
        </row>
        <row r="33">
          <cell r="AT33">
            <v>96.575988170029959</v>
          </cell>
        </row>
        <row r="34">
          <cell r="AT34">
            <v>96.307318678936582</v>
          </cell>
        </row>
        <row r="35">
          <cell r="AT35">
            <v>95.27712196247154</v>
          </cell>
        </row>
      </sheetData>
      <sheetData sheetId="8">
        <row r="4">
          <cell r="D4">
            <v>13.5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Summary October ' 25"/>
      <sheetName val="Packaging"/>
      <sheetName val="Summary August ' 25 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Y56">
            <v>98.181053939282549</v>
          </cell>
        </row>
        <row r="57">
          <cell r="AY57">
            <v>87.428386701544582</v>
          </cell>
        </row>
        <row r="58">
          <cell r="AY58">
            <v>110.11827495393527</v>
          </cell>
        </row>
        <row r="59">
          <cell r="AY59">
            <v>98.787376054162792</v>
          </cell>
        </row>
        <row r="60">
          <cell r="AY60">
            <v>99.593723178345229</v>
          </cell>
        </row>
        <row r="61">
          <cell r="AY61">
            <v>99.702836872398194</v>
          </cell>
        </row>
        <row r="62">
          <cell r="AY62">
            <v>99.503394936483232</v>
          </cell>
        </row>
        <row r="63">
          <cell r="AY63">
            <v>100.14787259716714</v>
          </cell>
        </row>
        <row r="64">
          <cell r="AY64">
            <v>98.857519359317735</v>
          </cell>
        </row>
        <row r="65">
          <cell r="AY65">
            <v>100.43456778341326</v>
          </cell>
        </row>
        <row r="66">
          <cell r="AY66">
            <v>94.119623769471843</v>
          </cell>
        </row>
        <row r="67">
          <cell r="AY67">
            <v>99.044919151670612</v>
          </cell>
        </row>
        <row r="68">
          <cell r="AY68">
            <v>98.26555370627031</v>
          </cell>
        </row>
        <row r="69">
          <cell r="AY69">
            <v>98.569967614948013</v>
          </cell>
        </row>
        <row r="70">
          <cell r="AY70">
            <v>98.132256373549936</v>
          </cell>
        </row>
        <row r="71">
          <cell r="AY71">
            <v>100.03514094829396</v>
          </cell>
        </row>
        <row r="72">
          <cell r="AY72">
            <v>99.39273336749045</v>
          </cell>
        </row>
        <row r="73">
          <cell r="AY73">
            <v>102.27737633882425</v>
          </cell>
        </row>
        <row r="75">
          <cell r="AY75">
            <v>92.872717053233544</v>
          </cell>
        </row>
        <row r="76">
          <cell r="AY76">
            <v>97.504936022825035</v>
          </cell>
        </row>
        <row r="77">
          <cell r="AY77">
            <v>97.882131133164776</v>
          </cell>
        </row>
        <row r="78">
          <cell r="AY78">
            <v>97.485149222479478</v>
          </cell>
        </row>
        <row r="79">
          <cell r="AY79">
            <v>99.793675801118255</v>
          </cell>
        </row>
        <row r="80">
          <cell r="AY80">
            <v>98.208221312724632</v>
          </cell>
        </row>
        <row r="81">
          <cell r="AY81">
            <v>100.22134526565291</v>
          </cell>
        </row>
        <row r="82">
          <cell r="AY82">
            <v>97.942529175156437</v>
          </cell>
        </row>
        <row r="83">
          <cell r="AY83">
            <v>94.151553219284494</v>
          </cell>
        </row>
        <row r="84">
          <cell r="AY84">
            <v>97.042221616983554</v>
          </cell>
        </row>
        <row r="85">
          <cell r="AY85">
            <v>96.460634470657212</v>
          </cell>
        </row>
        <row r="86">
          <cell r="AY86">
            <v>97.300929934901561</v>
          </cell>
        </row>
        <row r="87">
          <cell r="AY87">
            <v>98.456995928070882</v>
          </cell>
        </row>
        <row r="88">
          <cell r="AY88">
            <v>100.01882858314821</v>
          </cell>
        </row>
        <row r="89">
          <cell r="AY89">
            <v>98.0323031936218</v>
          </cell>
        </row>
        <row r="90">
          <cell r="AY90">
            <v>98.397461899198319</v>
          </cell>
        </row>
        <row r="91">
          <cell r="AY91">
            <v>98.998957891963272</v>
          </cell>
        </row>
        <row r="92">
          <cell r="AY92">
            <v>100.44017037572831</v>
          </cell>
        </row>
      </sheetData>
      <sheetData sheetId="4">
        <row r="5">
          <cell r="D5">
            <v>17.399999999999999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'25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0">
          <cell r="M70">
            <v>6.5</v>
          </cell>
        </row>
      </sheetData>
      <sheetData sheetId="17"/>
      <sheetData sheetId="18">
        <row r="65">
          <cell r="L65">
            <v>95.175721461636485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4th"/>
      <sheetName val="July 7th "/>
      <sheetName val="July 8th "/>
      <sheetName val="July 9th  "/>
      <sheetName val="July 10th "/>
      <sheetName val="July 11th  "/>
      <sheetName val="July 14th"/>
      <sheetName val="July 15th"/>
      <sheetName val="July 16th "/>
      <sheetName val="July 17th "/>
      <sheetName val="July 18th"/>
      <sheetName val="July 21st"/>
      <sheetName val="July 22nd"/>
      <sheetName val="July 23rd"/>
      <sheetName val="July 24th"/>
      <sheetName val="July 25th"/>
      <sheetName val="July 28th"/>
      <sheetName val="Jul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">
          <cell r="L44">
            <v>97.964720615192235</v>
          </cell>
        </row>
        <row r="49">
          <cell r="L49">
            <v>8.1578947368421044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4th "/>
      <sheetName val="Aug 5th "/>
      <sheetName val="Aug 6th "/>
      <sheetName val="Aug 7th "/>
      <sheetName val="Aug 8th "/>
      <sheetName val="Aug 13th"/>
      <sheetName val="Aug 14th"/>
      <sheetName val="Aug 15th-16th"/>
      <sheetName val="Aug 18th"/>
      <sheetName val="Aug 19th"/>
      <sheetName val="Aug 20th"/>
      <sheetName val="Aug 21st"/>
      <sheetName val="Aug 22nd-23rd"/>
      <sheetName val="Aug 25th"/>
      <sheetName val="Aug 26th"/>
      <sheetName val="Aug 27th"/>
      <sheetName val="Aug 28th"/>
      <sheetName val="Aug 29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9">
          <cell r="L29">
            <v>97.1</v>
          </cell>
        </row>
        <row r="34">
          <cell r="L34">
            <v>7.3157894736842106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Sept 1st"/>
      <sheetName val="Sept 2nd"/>
      <sheetName val="Sept 3rd"/>
      <sheetName val="Sept 4th"/>
      <sheetName val="Sept 5th "/>
      <sheetName val="Sept 8th"/>
      <sheetName val="Sept 9th"/>
      <sheetName val="Sept 10th"/>
      <sheetName val="Sept 11th"/>
      <sheetName val="Sept 12th "/>
      <sheetName val="Sept 15th "/>
      <sheetName val="Sept 16th"/>
      <sheetName val="Sept 17th"/>
      <sheetName val="Sept 18th "/>
      <sheetName val="Sept 19th"/>
      <sheetName val="Sept 22nd"/>
      <sheetName val="Sept 23rd"/>
      <sheetName val="Sept 24th"/>
      <sheetName val="Sept 25th"/>
      <sheetName val="Sept 26th"/>
      <sheetName val="Sept 29th "/>
      <sheetName val="Sept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L35">
            <v>97.162871284563693</v>
          </cell>
        </row>
        <row r="40">
          <cell r="L40">
            <v>7.4285714285714288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>
        <row r="7">
          <cell r="E7">
            <v>387.5</v>
          </cell>
        </row>
      </sheetData>
      <sheetData sheetId="1">
        <row r="7">
          <cell r="F7">
            <v>376</v>
          </cell>
        </row>
      </sheetData>
      <sheetData sheetId="2">
        <row r="7">
          <cell r="G7">
            <v>375.1</v>
          </cell>
        </row>
      </sheetData>
      <sheetData sheetId="3">
        <row r="7">
          <cell r="D7">
            <v>178.2</v>
          </cell>
        </row>
      </sheetData>
      <sheetData sheetId="4">
        <row r="7">
          <cell r="H7">
            <v>379.79999999999995</v>
          </cell>
        </row>
      </sheetData>
      <sheetData sheetId="5">
        <row r="7">
          <cell r="G7">
            <v>464.8</v>
          </cell>
        </row>
      </sheetData>
      <sheetData sheetId="6">
        <row r="7">
          <cell r="D7">
            <v>244.7</v>
          </cell>
        </row>
      </sheetData>
      <sheetData sheetId="7">
        <row r="7">
          <cell r="G7">
            <v>389.7</v>
          </cell>
        </row>
      </sheetData>
      <sheetData sheetId="8">
        <row r="7">
          <cell r="E7">
            <v>395.5</v>
          </cell>
        </row>
      </sheetData>
      <sheetData sheetId="9">
        <row r="3">
          <cell r="D3">
            <v>52.9</v>
          </cell>
          <cell r="E3">
            <v>304.8</v>
          </cell>
          <cell r="I3">
            <v>192.60000000000002</v>
          </cell>
          <cell r="J3">
            <v>400.50000000000006</v>
          </cell>
          <cell r="T3">
            <v>606.70000000000005</v>
          </cell>
          <cell r="Y3">
            <v>395.18999999999994</v>
          </cell>
          <cell r="Z3">
            <v>817.69999999999993</v>
          </cell>
          <cell r="AD3">
            <v>809.9</v>
          </cell>
          <cell r="AF3">
            <v>608.79999999999995</v>
          </cell>
          <cell r="AG3">
            <v>207.8</v>
          </cell>
          <cell r="AN3">
            <v>4.7207779134726842</v>
          </cell>
          <cell r="AQ3">
            <v>6.0690614118039425</v>
          </cell>
        </row>
        <row r="4">
          <cell r="AN4">
            <v>4.1270646700190561</v>
          </cell>
          <cell r="AQ4">
            <v>5.472350679500849</v>
          </cell>
        </row>
        <row r="5">
          <cell r="AN5">
            <v>12.116624108338717</v>
          </cell>
          <cell r="AQ5">
            <v>12.668713273493125</v>
          </cell>
        </row>
        <row r="6">
          <cell r="AN6">
            <v>4.536248812516166</v>
          </cell>
          <cell r="AQ6">
            <v>4.4829345306946999</v>
          </cell>
        </row>
        <row r="7">
          <cell r="D7">
            <v>50.3</v>
          </cell>
          <cell r="E7">
            <v>292</v>
          </cell>
          <cell r="I7">
            <v>178.9</v>
          </cell>
          <cell r="J7">
            <v>381.8</v>
          </cell>
          <cell r="T7">
            <v>575.09999999999991</v>
          </cell>
          <cell r="Y7">
            <v>371.40000000000003</v>
          </cell>
          <cell r="Z7">
            <v>773.2</v>
          </cell>
          <cell r="AD7">
            <v>758.1</v>
          </cell>
          <cell r="AF7">
            <v>573.4</v>
          </cell>
          <cell r="AG7">
            <v>193</v>
          </cell>
          <cell r="AN7" t="e">
            <v>#DIV/0!</v>
          </cell>
          <cell r="AQ7">
            <v>5.3377569154690221</v>
          </cell>
        </row>
        <row r="8">
          <cell r="AN8" t="e">
            <v>#DIV/0!</v>
          </cell>
          <cell r="AQ8">
            <v>8.6614709463340702</v>
          </cell>
        </row>
        <row r="9">
          <cell r="AN9">
            <v>3.4559849687930924</v>
          </cell>
          <cell r="AQ9">
            <v>4.3478819741669881</v>
          </cell>
        </row>
        <row r="10">
          <cell r="AN10" t="e">
            <v>#DIV/0!</v>
          </cell>
          <cell r="AQ10">
            <v>9.7934336121043764</v>
          </cell>
        </row>
        <row r="11">
          <cell r="D11">
            <v>1.3991834919222876</v>
          </cell>
          <cell r="E11">
            <v>4.6611643424089975</v>
          </cell>
          <cell r="I11">
            <v>5.2948490561882764</v>
          </cell>
          <cell r="J11">
            <v>3.3494369822737955</v>
          </cell>
          <cell r="T11">
            <v>2.8679742871271157</v>
          </cell>
          <cell r="Y11">
            <v>5.0192819265923205</v>
          </cell>
          <cell r="Z11">
            <v>4.3596646597945155</v>
          </cell>
          <cell r="AD11">
            <v>6.8543206392323572</v>
          </cell>
          <cell r="AF11">
            <v>4.5087225317421682</v>
          </cell>
          <cell r="AG11">
            <v>6.2827461143584253</v>
          </cell>
          <cell r="AN11" t="e">
            <v>#DIV/0!</v>
          </cell>
          <cell r="AQ11">
            <v>8.1715311054411259</v>
          </cell>
        </row>
        <row r="12">
          <cell r="AN12">
            <v>5.2307086713381699</v>
          </cell>
          <cell r="AQ12">
            <v>6.4179159282178588</v>
          </cell>
        </row>
        <row r="13">
          <cell r="D13">
            <v>495.6</v>
          </cell>
          <cell r="I13">
            <v>203.8</v>
          </cell>
          <cell r="Q13">
            <v>196.40000000000003</v>
          </cell>
          <cell r="X13">
            <v>494.71000000000004</v>
          </cell>
          <cell r="AD13">
            <v>44.7</v>
          </cell>
          <cell r="AE13">
            <v>463.3</v>
          </cell>
          <cell r="AF13">
            <v>90.8</v>
          </cell>
        </row>
        <row r="17">
          <cell r="D17">
            <v>471.7</v>
          </cell>
          <cell r="I17">
            <v>192.8</v>
          </cell>
          <cell r="Q17">
            <v>190.7</v>
          </cell>
          <cell r="X17">
            <v>473</v>
          </cell>
          <cell r="AD17">
            <v>42.1</v>
          </cell>
          <cell r="AE17">
            <v>428.2</v>
          </cell>
          <cell r="AF17">
            <v>82.3</v>
          </cell>
        </row>
        <row r="21">
          <cell r="D21">
            <v>3.9753879446573182</v>
          </cell>
          <cell r="I21">
            <v>4.3943219130164639</v>
          </cell>
          <cell r="Q21">
            <v>1.654397631258248</v>
          </cell>
          <cell r="X21">
            <v>2.7731094090522008</v>
          </cell>
          <cell r="AD21">
            <v>5.8165548098433915</v>
          </cell>
          <cell r="AE21">
            <v>6.6823803520030225</v>
          </cell>
          <cell r="AF21">
            <v>10.962882366470271</v>
          </cell>
        </row>
        <row r="23">
          <cell r="K23">
            <v>203.4</v>
          </cell>
          <cell r="AA23">
            <v>407.7</v>
          </cell>
        </row>
        <row r="28">
          <cell r="K28">
            <v>186.9</v>
          </cell>
          <cell r="AA28">
            <v>374.2</v>
          </cell>
        </row>
        <row r="32">
          <cell r="K32">
            <v>13.488396934333863</v>
          </cell>
          <cell r="AA32">
            <v>11.410104863035698</v>
          </cell>
        </row>
        <row r="55">
          <cell r="E55">
            <v>517.25</v>
          </cell>
        </row>
        <row r="59">
          <cell r="E59">
            <v>506.5</v>
          </cell>
        </row>
        <row r="63">
          <cell r="E63">
            <v>3.4559849687930924</v>
          </cell>
        </row>
        <row r="65">
          <cell r="AF65">
            <v>389.1</v>
          </cell>
        </row>
        <row r="70">
          <cell r="AF70">
            <v>384.70000000000005</v>
          </cell>
        </row>
        <row r="74">
          <cell r="AF74">
            <v>4.536248812516166</v>
          </cell>
        </row>
      </sheetData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">
          <cell r="AN13">
            <v>0.75113749178388578</v>
          </cell>
          <cell r="AQ13">
            <v>0.766942335653922</v>
          </cell>
        </row>
        <row r="14">
          <cell r="AN14">
            <v>0.74923780688282027</v>
          </cell>
          <cell r="AQ14">
            <v>0.72026911881970812</v>
          </cell>
        </row>
        <row r="15">
          <cell r="AN15">
            <v>0.51395189003436426</v>
          </cell>
          <cell r="AQ15">
            <v>0.53320359281437135</v>
          </cell>
        </row>
        <row r="16">
          <cell r="AN16">
            <v>1.3498245614035089</v>
          </cell>
          <cell r="AQ16">
            <v>0.8425337381916328</v>
          </cell>
        </row>
        <row r="17">
          <cell r="AN17" t="e">
            <v>#DIV/0!</v>
          </cell>
          <cell r="AQ17">
            <v>0.32596491228070179</v>
          </cell>
        </row>
        <row r="18">
          <cell r="D18">
            <v>0.17649122807017542</v>
          </cell>
          <cell r="E18">
            <v>0.512280701754386</v>
          </cell>
          <cell r="I18">
            <v>1.3042105263157895</v>
          </cell>
          <cell r="J18">
            <v>0.95450000000000002</v>
          </cell>
          <cell r="T18">
            <v>1.0089473684210524</v>
          </cell>
          <cell r="Y18">
            <v>0.65157894736842115</v>
          </cell>
          <cell r="Z18">
            <v>1.3564912280701755</v>
          </cell>
          <cell r="AD18">
            <v>0.5615438596491229</v>
          </cell>
          <cell r="AF18">
            <v>0.50298245614035086</v>
          </cell>
          <cell r="AG18">
            <v>0.67719298245614035</v>
          </cell>
          <cell r="AN18" t="e">
            <v>#DIV/0!</v>
          </cell>
          <cell r="AQ18">
            <v>0.73160818713450293</v>
          </cell>
        </row>
        <row r="19">
          <cell r="AN19">
            <v>0.88859649122807016</v>
          </cell>
          <cell r="AQ19">
            <v>0.85935680751173715</v>
          </cell>
        </row>
        <row r="20">
          <cell r="AN20" t="e">
            <v>#DIV/0!</v>
          </cell>
          <cell r="AQ20">
            <v>0.32456140350877194</v>
          </cell>
        </row>
        <row r="21">
          <cell r="AN21">
            <v>0</v>
          </cell>
          <cell r="AQ21">
            <v>0.51368421052631585</v>
          </cell>
        </row>
        <row r="22">
          <cell r="AN22">
            <v>0.7670552646887725</v>
          </cell>
          <cell r="AQ22">
            <v>0.73474054112907627</v>
          </cell>
        </row>
        <row r="25">
          <cell r="D25">
            <v>0.8275438596491228</v>
          </cell>
          <cell r="I25">
            <v>0.65210526315789474</v>
          </cell>
          <cell r="M25">
            <v>0.69192982456140351</v>
          </cell>
          <cell r="Q25">
            <v>0.66912280701754379</v>
          </cell>
          <cell r="X25">
            <v>1.6596491228070176</v>
          </cell>
          <cell r="AD25">
            <v>2.8077192982456141</v>
          </cell>
          <cell r="AE25">
            <v>0.30049122807017542</v>
          </cell>
          <cell r="AF25">
            <v>0.2887719298245614</v>
          </cell>
        </row>
        <row r="32">
          <cell r="J32">
            <v>0.9345</v>
          </cell>
          <cell r="AA32">
            <v>0.21883040935672515</v>
          </cell>
        </row>
        <row r="53">
          <cell r="E53">
            <v>0.88859649122807016</v>
          </cell>
        </row>
        <row r="60">
          <cell r="AF60">
            <v>1.3498245614035089</v>
          </cell>
        </row>
      </sheetData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5"/>
    </sheetNames>
    <sheetDataSet>
      <sheetData sheetId="0">
        <row r="6">
          <cell r="J6">
            <v>50.8</v>
          </cell>
        </row>
        <row r="16">
          <cell r="L16">
            <v>103.2</v>
          </cell>
        </row>
        <row r="17">
          <cell r="L17">
            <v>0</v>
          </cell>
        </row>
        <row r="18">
          <cell r="L18">
            <v>96.6</v>
          </cell>
        </row>
        <row r="19">
          <cell r="L19">
            <v>0</v>
          </cell>
        </row>
        <row r="28">
          <cell r="L28">
            <v>100</v>
          </cell>
        </row>
        <row r="29">
          <cell r="L29">
            <v>0</v>
          </cell>
        </row>
        <row r="30">
          <cell r="L30">
            <v>92</v>
          </cell>
        </row>
        <row r="31">
          <cell r="L31">
            <v>0</v>
          </cell>
        </row>
      </sheetData>
      <sheetData sheetId="1">
        <row r="11">
          <cell r="J11">
            <v>49.3</v>
          </cell>
          <cell r="L11">
            <v>100</v>
          </cell>
          <cell r="S11">
            <v>9</v>
          </cell>
        </row>
        <row r="12">
          <cell r="L12">
            <v>0</v>
          </cell>
        </row>
        <row r="13">
          <cell r="L13">
            <v>100</v>
          </cell>
        </row>
        <row r="14">
          <cell r="L14">
            <v>0</v>
          </cell>
        </row>
        <row r="15">
          <cell r="L15">
            <v>100</v>
          </cell>
        </row>
        <row r="16">
          <cell r="L16">
            <v>0</v>
          </cell>
        </row>
        <row r="17">
          <cell r="L17">
            <v>90.5</v>
          </cell>
        </row>
        <row r="18">
          <cell r="L18">
            <v>0</v>
          </cell>
        </row>
      </sheetData>
      <sheetData sheetId="2">
        <row r="6">
          <cell r="J6">
            <v>47.5</v>
          </cell>
        </row>
        <row r="38">
          <cell r="L38">
            <v>100</v>
          </cell>
        </row>
        <row r="39">
          <cell r="L39">
            <v>0</v>
          </cell>
        </row>
        <row r="40">
          <cell r="L40">
            <v>100</v>
          </cell>
        </row>
        <row r="41">
          <cell r="L41">
            <v>0</v>
          </cell>
        </row>
        <row r="42">
          <cell r="L42">
            <v>100</v>
          </cell>
        </row>
        <row r="43">
          <cell r="L43">
            <v>0</v>
          </cell>
        </row>
        <row r="44">
          <cell r="L44">
            <v>86</v>
          </cell>
        </row>
        <row r="45">
          <cell r="L45">
            <v>0</v>
          </cell>
        </row>
      </sheetData>
      <sheetData sheetId="3">
        <row r="6">
          <cell r="I6">
            <v>48.8</v>
          </cell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>
        <row r="6">
          <cell r="I6">
            <v>49.7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E5">
            <v>5.7615398276641319</v>
          </cell>
        </row>
        <row r="6">
          <cell r="E6">
            <v>4.6321640098754937</v>
          </cell>
        </row>
        <row r="7">
          <cell r="E7">
            <v>9.9791432696935729</v>
          </cell>
        </row>
        <row r="8">
          <cell r="E8">
            <v>5.1294697903822328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2.0782986950217497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5.4957905979081598</v>
          </cell>
        </row>
      </sheetData>
      <sheetData sheetId="11">
        <row r="5">
          <cell r="C5">
            <v>39706.220000000008</v>
          </cell>
          <cell r="E5">
            <v>6.0686209868378356</v>
          </cell>
        </row>
        <row r="6">
          <cell r="E6">
            <v>5.7508356556237938</v>
          </cell>
        </row>
        <row r="7">
          <cell r="E7">
            <v>11.000555864369074</v>
          </cell>
        </row>
        <row r="8">
          <cell r="E8">
            <v>4.70482832098405</v>
          </cell>
        </row>
        <row r="9">
          <cell r="E9">
            <v>7.837301587301579</v>
          </cell>
        </row>
        <row r="10">
          <cell r="E10">
            <v>6.8851328044153277</v>
          </cell>
        </row>
        <row r="11">
          <cell r="E11">
            <v>2.9442117404237127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6.1225896062292104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87" t="s">
        <v>0</v>
      </c>
      <c r="U1" s="487"/>
      <c r="V1" s="487" t="s">
        <v>1</v>
      </c>
      <c r="W1" s="487"/>
      <c r="X1" s="487" t="s">
        <v>2</v>
      </c>
      <c r="Y1" s="487"/>
      <c r="Z1" s="487" t="s">
        <v>124</v>
      </c>
      <c r="AA1" s="487"/>
    </row>
    <row r="2" spans="2:30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82">
        <v>45278</v>
      </c>
      <c r="D4" s="482"/>
      <c r="J4" s="483" t="s">
        <v>153</v>
      </c>
      <c r="K4" s="483"/>
      <c r="L4" s="11"/>
      <c r="M4" s="485" t="s">
        <v>8</v>
      </c>
      <c r="N4" s="48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84"/>
      <c r="K5" s="48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91" t="s">
        <v>151</v>
      </c>
      <c r="K6" s="492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93"/>
      <c r="K7" s="494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152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497"/>
      <c r="P8" s="507" t="s">
        <v>28</v>
      </c>
      <c r="Q8" s="50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498"/>
      <c r="P9" s="508"/>
      <c r="Q9" s="51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1" t="s">
        <v>34</v>
      </c>
      <c r="J48" s="511"/>
      <c r="K48" s="511"/>
      <c r="L48" s="511"/>
      <c r="M48" s="511"/>
      <c r="N48" s="511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489" t="s">
        <v>35</v>
      </c>
      <c r="E49" s="490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2" t="s">
        <v>9</v>
      </c>
      <c r="C50" s="362">
        <v>11.8</v>
      </c>
      <c r="D50" s="515">
        <v>11.73</v>
      </c>
      <c r="E50" s="516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3"/>
      <c r="C51" s="349">
        <v>11.9</v>
      </c>
      <c r="D51" s="517"/>
      <c r="E51" s="518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3"/>
      <c r="C52" s="349"/>
      <c r="D52" s="515"/>
      <c r="E52" s="516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3"/>
      <c r="C53" s="349"/>
      <c r="D53" s="517"/>
      <c r="E53" s="518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3"/>
      <c r="C54" s="349"/>
      <c r="D54" s="515"/>
      <c r="E54" s="516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3"/>
      <c r="C55" s="349"/>
      <c r="D55" s="517"/>
      <c r="E55" s="518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3"/>
      <c r="C56" s="349"/>
      <c r="D56" s="515"/>
      <c r="E56" s="516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3"/>
      <c r="C57" s="349"/>
      <c r="D57" s="517"/>
      <c r="E57" s="518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3"/>
      <c r="C58" s="349"/>
      <c r="D58" s="519"/>
      <c r="E58" s="520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3"/>
      <c r="C59" s="349"/>
      <c r="D59" s="521"/>
      <c r="E59" s="52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3"/>
      <c r="C60" s="349"/>
      <c r="D60" s="519"/>
      <c r="E60" s="520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14"/>
      <c r="C61" s="350"/>
      <c r="D61" s="523"/>
      <c r="E61" s="52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25"/>
      <c r="C62" s="362"/>
      <c r="D62" s="528"/>
      <c r="E62" s="529"/>
      <c r="F62" s="43"/>
      <c r="G62" s="41"/>
      <c r="H62" s="41"/>
      <c r="I62" s="42"/>
      <c r="J62" s="531" t="s">
        <v>129</v>
      </c>
      <c r="K62" s="531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26"/>
      <c r="C63" s="349"/>
      <c r="D63" s="530"/>
      <c r="E63" s="518"/>
      <c r="F63" s="43"/>
      <c r="G63" s="41"/>
      <c r="H63" s="41"/>
      <c r="I63" s="42"/>
      <c r="J63" s="292" t="s">
        <v>17</v>
      </c>
      <c r="K63" s="293" t="s">
        <v>147</v>
      </c>
      <c r="L63" s="532" t="s">
        <v>136</v>
      </c>
      <c r="M63" s="532"/>
      <c r="N63" s="533"/>
      <c r="O63" s="294"/>
      <c r="P63" s="12"/>
      <c r="S63" s="23"/>
    </row>
    <row r="64" spans="1:27" ht="15" customHeight="1" thickBot="1">
      <c r="B64" s="526"/>
      <c r="C64" s="349"/>
      <c r="D64" s="534"/>
      <c r="E64" s="516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26"/>
      <c r="C65" s="349"/>
      <c r="D65" s="530"/>
      <c r="E65" s="518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26"/>
      <c r="C66" s="349"/>
      <c r="D66" s="534"/>
      <c r="E66" s="516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26"/>
      <c r="C67" s="349"/>
      <c r="D67" s="530"/>
      <c r="E67" s="518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26"/>
      <c r="C68" s="349"/>
      <c r="D68" s="534"/>
      <c r="E68" s="516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26"/>
      <c r="C69" s="349"/>
      <c r="D69" s="530"/>
      <c r="E69" s="518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26"/>
      <c r="C70" s="349"/>
      <c r="D70" s="535"/>
      <c r="E70" s="520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27"/>
      <c r="C71" s="350"/>
      <c r="D71" s="536"/>
      <c r="E71" s="537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38">
        <f>AVERAGE(D50:E71)</f>
        <v>11.73</v>
      </c>
      <c r="E72" s="539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40" t="s">
        <v>17</v>
      </c>
      <c r="C77" s="540" t="s">
        <v>44</v>
      </c>
      <c r="D77" s="542" t="s">
        <v>45</v>
      </c>
      <c r="E77" s="497" t="s">
        <v>46</v>
      </c>
      <c r="F77" s="557" t="s">
        <v>47</v>
      </c>
      <c r="G77" s="551" t="s">
        <v>48</v>
      </c>
      <c r="H77" s="540" t="s">
        <v>49</v>
      </c>
      <c r="I77" s="553" t="s">
        <v>50</v>
      </c>
      <c r="J77" s="545" t="s">
        <v>28</v>
      </c>
      <c r="K77" s="495" t="s">
        <v>51</v>
      </c>
      <c r="L77" s="507" t="s">
        <v>52</v>
      </c>
      <c r="M77" s="545" t="s">
        <v>53</v>
      </c>
      <c r="N77" s="77"/>
      <c r="O77" s="13"/>
      <c r="P77" s="50"/>
    </row>
    <row r="78" spans="2:58" ht="28.5" customHeight="1" thickTop="1" thickBot="1">
      <c r="B78" s="541"/>
      <c r="C78" s="541"/>
      <c r="D78" s="543"/>
      <c r="E78" s="544"/>
      <c r="F78" s="558"/>
      <c r="G78" s="552"/>
      <c r="H78" s="541"/>
      <c r="I78" s="554"/>
      <c r="J78" s="546"/>
      <c r="K78" s="555"/>
      <c r="L78" s="556"/>
      <c r="M78" s="546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7" t="s">
        <v>55</v>
      </c>
      <c r="C87" s="548"/>
      <c r="D87" s="548"/>
      <c r="E87" s="548"/>
      <c r="F87" s="549"/>
      <c r="G87" s="547" t="s">
        <v>56</v>
      </c>
      <c r="H87" s="548"/>
      <c r="I87" s="548"/>
      <c r="J87" s="549"/>
      <c r="K87" s="547" t="s">
        <v>51</v>
      </c>
      <c r="L87" s="548"/>
      <c r="M87" s="548"/>
      <c r="N87" s="550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871" priority="157" operator="notBetween">
      <formula>#REF!</formula>
      <formula>#REF!</formula>
    </cfRule>
  </conditionalFormatting>
  <conditionalFormatting sqref="C76">
    <cfRule type="cellIs" dxfId="3870" priority="190" stopIfTrue="1" operator="greaterThan">
      <formula>100</formula>
    </cfRule>
    <cfRule type="cellIs" dxfId="3869" priority="189" stopIfTrue="1" operator="lessThan">
      <formula>96</formula>
    </cfRule>
  </conditionalFormatting>
  <conditionalFormatting sqref="C90">
    <cfRule type="cellIs" dxfId="3868" priority="212" stopIfTrue="1" operator="greaterThan">
      <formula>$F89</formula>
    </cfRule>
    <cfRule type="cellIs" dxfId="3867" priority="106" stopIfTrue="1" operator="lessThanOrEqual">
      <formula>0</formula>
    </cfRule>
  </conditionalFormatting>
  <conditionalFormatting sqref="C91:C93">
    <cfRule type="cellIs" dxfId="3866" priority="105" stopIfTrue="1" operator="greaterThan">
      <formula>$F91</formula>
    </cfRule>
  </conditionalFormatting>
  <conditionalFormatting sqref="C91:C94">
    <cfRule type="cellIs" dxfId="3865" priority="129" stopIfTrue="1" operator="lessThanOrEqual">
      <formula>0</formula>
    </cfRule>
  </conditionalFormatting>
  <conditionalFormatting sqref="C94">
    <cfRule type="cellIs" dxfId="3864" priority="128" stopIfTrue="1" operator="greaterThan">
      <formula>$J94</formula>
    </cfRule>
  </conditionalFormatting>
  <conditionalFormatting sqref="C95:C97">
    <cfRule type="cellIs" dxfId="3863" priority="145" stopIfTrue="1" operator="greaterThan">
      <formula>$F95</formula>
    </cfRule>
    <cfRule type="cellIs" dxfId="3862" priority="146" stopIfTrue="1" operator="lessThanOrEqual">
      <formula>0</formula>
    </cfRule>
  </conditionalFormatting>
  <conditionalFormatting sqref="C100:C104">
    <cfRule type="cellIs" dxfId="3861" priority="181" stopIfTrue="1" operator="lessThanOrEqual">
      <formula>0</formula>
    </cfRule>
  </conditionalFormatting>
  <conditionalFormatting sqref="C101:C104">
    <cfRule type="cellIs" dxfId="3860" priority="180" stopIfTrue="1" operator="greaterThan">
      <formula>$F$100</formula>
    </cfRule>
  </conditionalFormatting>
  <conditionalFormatting sqref="C106">
    <cfRule type="cellIs" dxfId="3859" priority="183" stopIfTrue="1" operator="lessThanOrEqual">
      <formula>0</formula>
    </cfRule>
    <cfRule type="cellIs" dxfId="3858" priority="182" stopIfTrue="1" operator="greaterThan">
      <formula>$F$100</formula>
    </cfRule>
  </conditionalFormatting>
  <conditionalFormatting sqref="C100:D100 D102:D108">
    <cfRule type="cellIs" dxfId="3857" priority="175" stopIfTrue="1" operator="greaterThan">
      <formula>4.5</formula>
    </cfRule>
  </conditionalFormatting>
  <conditionalFormatting sqref="D72:D73">
    <cfRule type="cellIs" dxfId="3856" priority="158" operator="notBetween">
      <formula>#REF!</formula>
      <formula>#REF!</formula>
    </cfRule>
  </conditionalFormatting>
  <conditionalFormatting sqref="D89:D96">
    <cfRule type="cellIs" dxfId="3855" priority="144" stopIfTrue="1" operator="lessThanOrEqual">
      <formula>0</formula>
    </cfRule>
  </conditionalFormatting>
  <conditionalFormatting sqref="D97">
    <cfRule type="cellIs" dxfId="3854" priority="143" stopIfTrue="1" operator="lessThanOrEqual">
      <formula>0</formula>
    </cfRule>
  </conditionalFormatting>
  <conditionalFormatting sqref="D100 D102:D108">
    <cfRule type="cellIs" dxfId="3853" priority="176" stopIfTrue="1" operator="lessThanOrEqual">
      <formula>0</formula>
    </cfRule>
  </conditionalFormatting>
  <conditionalFormatting sqref="D101">
    <cfRule type="cellIs" dxfId="3852" priority="167" stopIfTrue="1" operator="greaterThan">
      <formula>$F$100</formula>
    </cfRule>
    <cfRule type="cellIs" dxfId="3851" priority="168" stopIfTrue="1" operator="lessThanOrEqual">
      <formula>0</formula>
    </cfRule>
  </conditionalFormatting>
  <conditionalFormatting sqref="D89:E97">
    <cfRule type="cellIs" dxfId="3850" priority="135" stopIfTrue="1" operator="greaterThan">
      <formula>$F89</formula>
    </cfRule>
  </conditionalFormatting>
  <conditionalFormatting sqref="E10:E14">
    <cfRule type="cellIs" dxfId="3849" priority="52" operator="lessThan">
      <formula>48</formula>
    </cfRule>
  </conditionalFormatting>
  <conditionalFormatting sqref="E33:E46">
    <cfRule type="cellIs" dxfId="3848" priority="25" operator="lessThan">
      <formula>48</formula>
    </cfRule>
  </conditionalFormatting>
  <conditionalFormatting sqref="E76">
    <cfRule type="cellIs" dxfId="3847" priority="169" stopIfTrue="1" operator="lessThan">
      <formula>96.8</formula>
    </cfRule>
    <cfRule type="cellIs" dxfId="3846" priority="170" stopIfTrue="1" operator="greaterThan">
      <formula>100</formula>
    </cfRule>
  </conditionalFormatting>
  <conditionalFormatting sqref="E89:E97">
    <cfRule type="cellIs" dxfId="3845" priority="136" stopIfTrue="1" operator="lessThanOrEqual">
      <formula>0</formula>
    </cfRule>
  </conditionalFormatting>
  <conditionalFormatting sqref="E100:E108">
    <cfRule type="cellIs" dxfId="3844" priority="161" stopIfTrue="1" operator="greaterThan">
      <formula>4.5</formula>
    </cfRule>
    <cfRule type="cellIs" dxfId="3843" priority="162" stopIfTrue="1" operator="lessThanOrEqual">
      <formula>0</formula>
    </cfRule>
  </conditionalFormatting>
  <conditionalFormatting sqref="E75:F76">
    <cfRule type="cellIs" dxfId="3842" priority="171" stopIfTrue="1" operator="lessThan">
      <formula>96.5</formula>
    </cfRule>
    <cfRule type="cellIs" dxfId="3841" priority="172" stopIfTrue="1" operator="greaterThan">
      <formula>100</formula>
    </cfRule>
  </conditionalFormatting>
  <conditionalFormatting sqref="F10:F12">
    <cfRule type="cellIs" dxfId="3840" priority="62" operator="greaterThan">
      <formula>#REF!</formula>
    </cfRule>
  </conditionalFormatting>
  <conditionalFormatting sqref="F10:F47">
    <cfRule type="cellIs" dxfId="3839" priority="15" operator="greaterThan">
      <formula>$AA10</formula>
    </cfRule>
  </conditionalFormatting>
  <conditionalFormatting sqref="F13">
    <cfRule type="cellIs" dxfId="3838" priority="53" operator="greaterThan">
      <formula>$AA47</formula>
    </cfRule>
  </conditionalFormatting>
  <conditionalFormatting sqref="F14">
    <cfRule type="cellIs" dxfId="3837" priority="196" operator="greaterThan">
      <formula>#REF!</formula>
    </cfRule>
  </conditionalFormatting>
  <conditionalFormatting sqref="F33:F46">
    <cfRule type="cellIs" dxfId="3836" priority="26" operator="greaterThan">
      <formula>$AA48</formula>
    </cfRule>
  </conditionalFormatting>
  <conditionalFormatting sqref="F76">
    <cfRule type="cellIs" dxfId="3835" priority="188" stopIfTrue="1" operator="greaterThan">
      <formula>100</formula>
    </cfRule>
    <cfRule type="cellIs" dxfId="3834" priority="187" stopIfTrue="1" operator="lessThan">
      <formula>96.8</formula>
    </cfRule>
  </conditionalFormatting>
  <conditionalFormatting sqref="F97">
    <cfRule type="cellIs" dxfId="3833" priority="137" stopIfTrue="1" operator="greaterThan">
      <formula>$F97</formula>
    </cfRule>
    <cfRule type="cellIs" dxfId="3832" priority="138" stopIfTrue="1" operator="lessThanOrEqual">
      <formula>0</formula>
    </cfRule>
  </conditionalFormatting>
  <conditionalFormatting sqref="G10:G14">
    <cfRule type="expression" dxfId="3831" priority="54">
      <formula>IF(+(IF(G10&lt;#REF!,0,IF(G10&gt;#REF!,0,1)))=0,1)</formula>
    </cfRule>
  </conditionalFormatting>
  <conditionalFormatting sqref="G33:G46">
    <cfRule type="expression" dxfId="3830" priority="27">
      <formula>IF(+(IF(G33&lt;#REF!,0,IF(G33&gt;#REF!,0,1)))=0,1)</formula>
    </cfRule>
  </conditionalFormatting>
  <conditionalFormatting sqref="G90">
    <cfRule type="cellIs" dxfId="3829" priority="71" stopIfTrue="1" operator="lessThanOrEqual">
      <formula>0</formula>
    </cfRule>
    <cfRule type="cellIs" dxfId="3828" priority="70" stopIfTrue="1" operator="greaterThan">
      <formula>$F89</formula>
    </cfRule>
  </conditionalFormatting>
  <conditionalFormatting sqref="G90:G91">
    <cfRule type="cellIs" dxfId="3827" priority="192" stopIfTrue="1" operator="lessThanOrEqual">
      <formula>0</formula>
    </cfRule>
    <cfRule type="cellIs" dxfId="3826" priority="191" stopIfTrue="1" operator="greaterThan">
      <formula>$F89</formula>
    </cfRule>
  </conditionalFormatting>
  <conditionalFormatting sqref="G92">
    <cfRule type="cellIs" dxfId="3825" priority="140" stopIfTrue="1" operator="lessThanOrEqual">
      <formula>0</formula>
    </cfRule>
    <cfRule type="cellIs" dxfId="3824" priority="139" stopIfTrue="1" operator="greaterThan">
      <formula>$F92</formula>
    </cfRule>
  </conditionalFormatting>
  <conditionalFormatting sqref="G93:G96">
    <cfRule type="cellIs" dxfId="3823" priority="149" stopIfTrue="1" operator="lessThanOrEqual">
      <formula>0</formula>
    </cfRule>
    <cfRule type="cellIs" dxfId="3822" priority="148" stopIfTrue="1" operator="greaterThan">
      <formula>$J93</formula>
    </cfRule>
  </conditionalFormatting>
  <conditionalFormatting sqref="G97">
    <cfRule type="cellIs" dxfId="3821" priority="147" operator="greaterThan">
      <formula>4.5</formula>
    </cfRule>
  </conditionalFormatting>
  <conditionalFormatting sqref="G102:G107 C105 C107">
    <cfRule type="cellIs" dxfId="3820" priority="184" stopIfTrue="1" operator="greaterThan">
      <formula>4.5</formula>
    </cfRule>
    <cfRule type="cellIs" dxfId="3819" priority="185" stopIfTrue="1" operator="lessThanOrEqual">
      <formula>0</formula>
    </cfRule>
  </conditionalFormatting>
  <conditionalFormatting sqref="G62:H62 G63:G73 H63:H74">
    <cfRule type="cellIs" dxfId="3818" priority="163" stopIfTrue="1" operator="greaterThan">
      <formula>0</formula>
    </cfRule>
  </conditionalFormatting>
  <conditionalFormatting sqref="G101:H101">
    <cfRule type="cellIs" dxfId="3817" priority="166" stopIfTrue="1" operator="lessThanOrEqual">
      <formula>0</formula>
    </cfRule>
    <cfRule type="cellIs" dxfId="3816" priority="165" stopIfTrue="1" operator="greaterThan">
      <formula>$F$100</formula>
    </cfRule>
  </conditionalFormatting>
  <conditionalFormatting sqref="H10">
    <cfRule type="expression" dxfId="3815" priority="63">
      <formula>IF(+(IF(H10&lt;T27,0,IF(H10&gt;U27,0,1)))=0,1)</formula>
    </cfRule>
  </conditionalFormatting>
  <conditionalFormatting sqref="H10:H12">
    <cfRule type="expression" dxfId="3814" priority="64">
      <formula>IF(+(IF(H10&lt;#REF!,0,IF(H10&gt;#REF!,0,1)))=0,1)</formula>
    </cfRule>
  </conditionalFormatting>
  <conditionalFormatting sqref="H11:H12">
    <cfRule type="expression" dxfId="3813" priority="207">
      <formula>IF(+(IF(H11&lt;T47,0,IF(H11&gt;U47,0,1)))=0,1)</formula>
    </cfRule>
  </conditionalFormatting>
  <conditionalFormatting sqref="H13">
    <cfRule type="expression" dxfId="3812" priority="55">
      <formula>IF(+(IF(H13&lt;T56,0,IF(H13&gt;U56,0,1)))=0,1)</formula>
    </cfRule>
    <cfRule type="expression" dxfId="3811" priority="56">
      <formula>IF(+(IF(H13&lt;T47,0,IF(H13&gt;U47,0,1)))=0,1)</formula>
    </cfRule>
  </conditionalFormatting>
  <conditionalFormatting sqref="H14">
    <cfRule type="expression" dxfId="3810" priority="197">
      <formula>IF(+(IF(H14&lt;T50,0,IF(H14&gt;U50,0,1)))=0,1)</formula>
    </cfRule>
    <cfRule type="expression" dxfId="3809" priority="198">
      <formula>IF(+(IF(H14&lt;#REF!,0,IF(H14&gt;#REF!,0,1)))=0,1)</formula>
    </cfRule>
  </conditionalFormatting>
  <conditionalFormatting sqref="H15:H32">
    <cfRule type="expression" dxfId="3808" priority="209">
      <formula>IF(+(IF(H15&lt;T66,0,IF(H15&gt;U66,0,1)))=0,1)</formula>
    </cfRule>
  </conditionalFormatting>
  <conditionalFormatting sqref="H33:H46">
    <cfRule type="expression" dxfId="3807" priority="29">
      <formula>IF(+(IF(H33&lt;T48,0,IF(H33&gt;U48,0,1)))=0,1)</formula>
    </cfRule>
    <cfRule type="expression" dxfId="3806" priority="28">
      <formula>IF(+(IF(H33&lt;T57,0,IF(H33&gt;U57,0,1)))=0,1)</formula>
    </cfRule>
  </conditionalFormatting>
  <conditionalFormatting sqref="H47">
    <cfRule type="expression" dxfId="3805" priority="193">
      <formula>IF(+(IF(H47&lt;#REF!,0,IF(H47&gt;#REF!,0,1)))=0,1)</formula>
    </cfRule>
  </conditionalFormatting>
  <conditionalFormatting sqref="H51:H61">
    <cfRule type="cellIs" dxfId="3804" priority="159" stopIfTrue="1" operator="greaterThan">
      <formula>0</formula>
    </cfRule>
  </conditionalFormatting>
  <conditionalFormatting sqref="H79">
    <cfRule type="cellIs" dxfId="3803" priority="12" stopIfTrue="1" operator="lessThanOrEqual">
      <formula>0</formula>
    </cfRule>
    <cfRule type="cellIs" dxfId="3802" priority="14" stopIfTrue="1" operator="lessThanOrEqual">
      <formula>0</formula>
    </cfRule>
    <cfRule type="cellIs" dxfId="3801" priority="13" stopIfTrue="1" operator="greaterThan">
      <formula>$F$54</formula>
    </cfRule>
    <cfRule type="cellIs" dxfId="3800" priority="11" stopIfTrue="1" operator="greaterThan">
      <formula>$F$56</formula>
    </cfRule>
    <cfRule type="cellIs" dxfId="3799" priority="2" stopIfTrue="1" operator="lessThanOrEqual">
      <formula>0</formula>
    </cfRule>
    <cfRule type="cellIs" dxfId="3798" priority="3" stopIfTrue="1" operator="greaterThan">
      <formula>$F$53</formula>
    </cfRule>
  </conditionalFormatting>
  <conditionalFormatting sqref="H80">
    <cfRule type="cellIs" dxfId="3797" priority="92" stopIfTrue="1" operator="lessThanOrEqual">
      <formula>0</formula>
    </cfRule>
    <cfRule type="cellIs" dxfId="3796" priority="93" stopIfTrue="1" operator="greaterThan">
      <formula>$F$88</formula>
    </cfRule>
    <cfRule type="cellIs" dxfId="3795" priority="104" stopIfTrue="1" operator="lessThanOrEqual">
      <formula>0</formula>
    </cfRule>
    <cfRule type="cellIs" dxfId="3794" priority="101" stopIfTrue="1" operator="greaterThan">
      <formula>$F$91</formula>
    </cfRule>
    <cfRule type="cellIs" dxfId="3793" priority="102" stopIfTrue="1" operator="lessThanOrEqual">
      <formula>0</formula>
    </cfRule>
    <cfRule type="cellIs" dxfId="3792" priority="103" stopIfTrue="1" operator="greaterThan">
      <formula>$F$89</formula>
    </cfRule>
  </conditionalFormatting>
  <conditionalFormatting sqref="H81">
    <cfRule type="cellIs" dxfId="3791" priority="45" stopIfTrue="1" operator="lessThanOrEqual">
      <formula>0</formula>
    </cfRule>
    <cfRule type="cellIs" dxfId="3790" priority="36" stopIfTrue="1" operator="greaterThan">
      <formula>$F$72</formula>
    </cfRule>
    <cfRule type="cellIs" dxfId="3789" priority="35" stopIfTrue="1" operator="lessThanOrEqual">
      <formula>0</formula>
    </cfRule>
    <cfRule type="cellIs" dxfId="3788" priority="44" stopIfTrue="1" operator="greaterThan">
      <formula>$F$75</formula>
    </cfRule>
    <cfRule type="cellIs" dxfId="3787" priority="47" stopIfTrue="1" operator="lessThanOrEqual">
      <formula>0</formula>
    </cfRule>
    <cfRule type="cellIs" dxfId="3786" priority="46" stopIfTrue="1" operator="greaterThan">
      <formula>$F$73</formula>
    </cfRule>
  </conditionalFormatting>
  <conditionalFormatting sqref="H82">
    <cfRule type="cellIs" dxfId="3785" priority="84" stopIfTrue="1" operator="greaterThan">
      <formula>#REF!</formula>
    </cfRule>
    <cfRule type="cellIs" dxfId="3784" priority="75" stopIfTrue="1" operator="lessThanOrEqual">
      <formula>0</formula>
    </cfRule>
    <cfRule type="cellIs" dxfId="3783" priority="76" stopIfTrue="1" operator="greaterThan">
      <formula>#REF!</formula>
    </cfRule>
  </conditionalFormatting>
  <conditionalFormatting sqref="H82:H84">
    <cfRule type="cellIs" dxfId="3782" priority="85" stopIfTrue="1" operator="lessThanOrEqual">
      <formula>0</formula>
    </cfRule>
  </conditionalFormatting>
  <conditionalFormatting sqref="H83:H84">
    <cfRule type="cellIs" dxfId="3781" priority="125" stopIfTrue="1" operator="lessThanOrEqual">
      <formula>0</formula>
    </cfRule>
    <cfRule type="cellIs" dxfId="3780" priority="124" stopIfTrue="1" operator="greaterThan">
      <formula>$F$90</formula>
    </cfRule>
    <cfRule type="cellIs" dxfId="3779" priority="122" stopIfTrue="1" operator="greaterThan">
      <formula>$F$92</formula>
    </cfRule>
    <cfRule type="cellIs" dxfId="3778" priority="114" stopIfTrue="1" operator="greaterThan">
      <formula>$F$89</formula>
    </cfRule>
    <cfRule type="cellIs" dxfId="3777" priority="123" stopIfTrue="1" operator="lessThanOrEqual">
      <formula>0</formula>
    </cfRule>
  </conditionalFormatting>
  <conditionalFormatting sqref="H85">
    <cfRule type="cellIs" dxfId="3776" priority="155" stopIfTrue="1" operator="greaterThan">
      <formula>$F$82</formula>
    </cfRule>
    <cfRule type="cellIs" dxfId="3775" priority="156" stopIfTrue="1" operator="lessThanOrEqual">
      <formula>0</formula>
    </cfRule>
    <cfRule type="cellIs" dxfId="3774" priority="153" stopIfTrue="1" operator="greaterThan">
      <formula>$F$86</formula>
    </cfRule>
    <cfRule type="cellIs" dxfId="3773" priority="154" stopIfTrue="1" operator="lessThanOrEqual">
      <formula>0</formula>
    </cfRule>
  </conditionalFormatting>
  <conditionalFormatting sqref="H89:H96">
    <cfRule type="cellIs" dxfId="3772" priority="127" stopIfTrue="1" operator="lessThanOrEqual">
      <formula>0</formula>
    </cfRule>
    <cfRule type="cellIs" dxfId="3771" priority="126" stopIfTrue="1" operator="greaterThan">
      <formula>$J89</formula>
    </cfRule>
  </conditionalFormatting>
  <conditionalFormatting sqref="H97">
    <cfRule type="cellIs" dxfId="3770" priority="132" operator="greaterThan">
      <formula>5.3</formula>
    </cfRule>
  </conditionalFormatting>
  <conditionalFormatting sqref="H100 H102:H108">
    <cfRule type="cellIs" dxfId="3769" priority="177" stopIfTrue="1" operator="greaterThan">
      <formula>4.5</formula>
    </cfRule>
    <cfRule type="cellIs" dxfId="3768" priority="178" stopIfTrue="1" operator="lessThanOrEqual">
      <formula>0</formula>
    </cfRule>
  </conditionalFormatting>
  <conditionalFormatting sqref="H79:I79">
    <cfRule type="cellIs" dxfId="3767" priority="4" stopIfTrue="1" operator="lessThanOrEqual">
      <formula>0</formula>
    </cfRule>
    <cfRule type="cellIs" dxfId="3766" priority="1" stopIfTrue="1" operator="greaterThan">
      <formula>$F$55</formula>
    </cfRule>
  </conditionalFormatting>
  <conditionalFormatting sqref="H80:I80">
    <cfRule type="cellIs" dxfId="3765" priority="94" stopIfTrue="1" operator="lessThanOrEqual">
      <formula>0</formula>
    </cfRule>
    <cfRule type="cellIs" dxfId="3764" priority="91" stopIfTrue="1" operator="greaterThan">
      <formula>$F$90</formula>
    </cfRule>
  </conditionalFormatting>
  <conditionalFormatting sqref="H81:I81">
    <cfRule type="cellIs" dxfId="3763" priority="37" stopIfTrue="1" operator="lessThanOrEqual">
      <formula>0</formula>
    </cfRule>
    <cfRule type="cellIs" dxfId="3762" priority="34" stopIfTrue="1" operator="greaterThan">
      <formula>$F$74</formula>
    </cfRule>
  </conditionalFormatting>
  <conditionalFormatting sqref="H82:I82">
    <cfRule type="cellIs" dxfId="3761" priority="83" stopIfTrue="1" operator="lessThanOrEqual">
      <formula>0</formula>
    </cfRule>
    <cfRule type="cellIs" dxfId="3760" priority="82" stopIfTrue="1" operator="greaterThan">
      <formula>#REF!</formula>
    </cfRule>
    <cfRule type="cellIs" dxfId="3759" priority="74" stopIfTrue="1" operator="greaterThan">
      <formula>#REF!</formula>
    </cfRule>
    <cfRule type="cellIs" dxfId="3758" priority="77" stopIfTrue="1" operator="lessThanOrEqual">
      <formula>0</formula>
    </cfRule>
  </conditionalFormatting>
  <conditionalFormatting sqref="H83:I83">
    <cfRule type="cellIs" dxfId="3757" priority="115" stopIfTrue="1" operator="lessThanOrEqual">
      <formula>0</formula>
    </cfRule>
  </conditionalFormatting>
  <conditionalFormatting sqref="H83:I84">
    <cfRule type="cellIs" dxfId="3756" priority="72" stopIfTrue="1" operator="greaterThan">
      <formula>$F$91</formula>
    </cfRule>
  </conditionalFormatting>
  <conditionalFormatting sqref="H84:I84">
    <cfRule type="cellIs" dxfId="3755" priority="73" stopIfTrue="1" operator="lessThanOrEqual">
      <formula>0</formula>
    </cfRule>
  </conditionalFormatting>
  <conditionalFormatting sqref="I10:I14">
    <cfRule type="cellIs" dxfId="3754" priority="49" operator="lessThan">
      <formula>97.8</formula>
    </cfRule>
  </conditionalFormatting>
  <conditionalFormatting sqref="I10:I47">
    <cfRule type="cellIs" dxfId="3753" priority="21" operator="lessThan">
      <formula>98</formula>
    </cfRule>
  </conditionalFormatting>
  <conditionalFormatting sqref="I33:I46">
    <cfRule type="cellIs" dxfId="3752" priority="22" operator="lessThan">
      <formula>97.8</formula>
    </cfRule>
  </conditionalFormatting>
  <conditionalFormatting sqref="I79">
    <cfRule type="cellIs" dxfId="3751" priority="5" stopIfTrue="1" operator="greaterThan">
      <formula>$F$53</formula>
    </cfRule>
    <cfRule type="cellIs" dxfId="3750" priority="6" stopIfTrue="1" operator="lessThanOrEqual">
      <formula>0</formula>
    </cfRule>
    <cfRule type="cellIs" dxfId="3749" priority="7" stopIfTrue="1" operator="greaterThan">
      <formula>$F$55</formula>
    </cfRule>
    <cfRule type="cellIs" dxfId="3748" priority="8" stopIfTrue="1" operator="lessThanOrEqual">
      <formula>0</formula>
    </cfRule>
    <cfRule type="cellIs" dxfId="3747" priority="9" stopIfTrue="1" operator="greaterThan">
      <formula>$F$53</formula>
    </cfRule>
    <cfRule type="cellIs" dxfId="3746" priority="10" stopIfTrue="1" operator="lessThanOrEqual">
      <formula>0</formula>
    </cfRule>
  </conditionalFormatting>
  <conditionalFormatting sqref="I80">
    <cfRule type="cellIs" dxfId="3745" priority="99" stopIfTrue="1" operator="greaterThan">
      <formula>$F$88</formula>
    </cfRule>
    <cfRule type="cellIs" dxfId="3744" priority="97" stopIfTrue="1" operator="greaterThan">
      <formula>$F$90</formula>
    </cfRule>
    <cfRule type="cellIs" dxfId="3743" priority="96" stopIfTrue="1" operator="lessThanOrEqual">
      <formula>0</formula>
    </cfRule>
    <cfRule type="cellIs" dxfId="3742" priority="95" stopIfTrue="1" operator="greaterThan">
      <formula>$F$88</formula>
    </cfRule>
    <cfRule type="cellIs" dxfId="3741" priority="100" stopIfTrue="1" operator="lessThanOrEqual">
      <formula>0</formula>
    </cfRule>
    <cfRule type="cellIs" dxfId="3740" priority="98" stopIfTrue="1" operator="lessThanOrEqual">
      <formula>0</formula>
    </cfRule>
  </conditionalFormatting>
  <conditionalFormatting sqref="I81">
    <cfRule type="cellIs" dxfId="3739" priority="43" stopIfTrue="1" operator="lessThanOrEqual">
      <formula>0</formula>
    </cfRule>
    <cfRule type="cellIs" dxfId="3738" priority="42" stopIfTrue="1" operator="greaterThan">
      <formula>$F$72</formula>
    </cfRule>
    <cfRule type="cellIs" dxfId="3737" priority="41" stopIfTrue="1" operator="lessThanOrEqual">
      <formula>0</formula>
    </cfRule>
    <cfRule type="cellIs" dxfId="3736" priority="40" stopIfTrue="1" operator="greaterThan">
      <formula>$F$74</formula>
    </cfRule>
    <cfRule type="cellIs" dxfId="3735" priority="39" stopIfTrue="1" operator="lessThanOrEqual">
      <formula>0</formula>
    </cfRule>
    <cfRule type="cellIs" dxfId="3734" priority="38" stopIfTrue="1" operator="greaterThan">
      <formula>$F$72</formula>
    </cfRule>
  </conditionalFormatting>
  <conditionalFormatting sqref="I82">
    <cfRule type="cellIs" dxfId="3733" priority="80" stopIfTrue="1" operator="greaterThan">
      <formula>#REF!</formula>
    </cfRule>
    <cfRule type="cellIs" dxfId="3732" priority="79" stopIfTrue="1" operator="lessThanOrEqual">
      <formula>0</formula>
    </cfRule>
    <cfRule type="cellIs" dxfId="3731" priority="78" stopIfTrue="1" operator="greaterThan">
      <formula>#REF!</formula>
    </cfRule>
    <cfRule type="cellIs" dxfId="3730" priority="81" stopIfTrue="1" operator="lessThanOrEqual">
      <formula>0</formula>
    </cfRule>
  </conditionalFormatting>
  <conditionalFormatting sqref="I83:I84">
    <cfRule type="cellIs" dxfId="3729" priority="118" stopIfTrue="1" operator="greaterThan">
      <formula>$F$91</formula>
    </cfRule>
    <cfRule type="cellIs" dxfId="3728" priority="116" stopIfTrue="1" operator="greaterThan">
      <formula>$F$89</formula>
    </cfRule>
    <cfRule type="cellIs" dxfId="3727" priority="117" stopIfTrue="1" operator="lessThanOrEqual">
      <formula>0</formula>
    </cfRule>
    <cfRule type="cellIs" dxfId="3726" priority="119" stopIfTrue="1" operator="lessThanOrEqual">
      <formula>0</formula>
    </cfRule>
    <cfRule type="cellIs" dxfId="3725" priority="120" stopIfTrue="1" operator="greaterThan">
      <formula>$F$89</formula>
    </cfRule>
    <cfRule type="cellIs" dxfId="3724" priority="121" stopIfTrue="1" operator="lessThanOrEqual">
      <formula>0</formula>
    </cfRule>
  </conditionalFormatting>
  <conditionalFormatting sqref="I89:I97">
    <cfRule type="cellIs" dxfId="3723" priority="133" stopIfTrue="1" operator="greaterThan">
      <formula>$J89</formula>
    </cfRule>
    <cfRule type="cellIs" dxfId="3722" priority="134" stopIfTrue="1" operator="lessThanOrEqual">
      <formula>0</formula>
    </cfRule>
  </conditionalFormatting>
  <conditionalFormatting sqref="I100:I108">
    <cfRule type="cellIs" dxfId="3721" priority="173" stopIfTrue="1" operator="greaterThan">
      <formula>4.5</formula>
    </cfRule>
    <cfRule type="cellIs" dxfId="3720" priority="174" stopIfTrue="1" operator="lessThanOrEqual">
      <formula>0</formula>
    </cfRule>
  </conditionalFormatting>
  <conditionalFormatting sqref="J10:J14">
    <cfRule type="cellIs" dxfId="3719" priority="51" operator="notBetween">
      <formula>98</formula>
      <formula>99.9</formula>
    </cfRule>
  </conditionalFormatting>
  <conditionalFormatting sqref="J10:J47">
    <cfRule type="cellIs" dxfId="3718" priority="20" operator="lessThan">
      <formula>97.4</formula>
    </cfRule>
  </conditionalFormatting>
  <conditionalFormatting sqref="J33:J46">
    <cfRule type="cellIs" dxfId="3717" priority="24" operator="notBetween">
      <formula>98</formula>
      <formula>99.9</formula>
    </cfRule>
  </conditionalFormatting>
  <conditionalFormatting sqref="J50:J52">
    <cfRule type="cellIs" dxfId="3716" priority="108" stopIfTrue="1" operator="greaterThan">
      <formula>100</formula>
    </cfRule>
    <cfRule type="cellIs" dxfId="3715" priority="109" operator="lessThan">
      <formula>98</formula>
    </cfRule>
    <cfRule type="cellIs" dxfId="3714" priority="107" stopIfTrue="1" operator="lessThan">
      <formula>96.8</formula>
    </cfRule>
  </conditionalFormatting>
  <conditionalFormatting sqref="J50:J54">
    <cfRule type="cellIs" dxfId="3713" priority="48" operator="lessThan">
      <formula>97.4</formula>
    </cfRule>
  </conditionalFormatting>
  <conditionalFormatting sqref="J55 L59:M59 L61:M61">
    <cfRule type="cellIs" dxfId="3712" priority="110" operator="lessThan">
      <formula>98</formula>
    </cfRule>
  </conditionalFormatting>
  <conditionalFormatting sqref="J56:J57">
    <cfRule type="cellIs" dxfId="3711" priority="111" stopIfTrue="1" operator="lessThan">
      <formula>96.8</formula>
    </cfRule>
    <cfRule type="cellIs" dxfId="3710" priority="112" stopIfTrue="1" operator="greaterThan">
      <formula>100</formula>
    </cfRule>
  </conditionalFormatting>
  <conditionalFormatting sqref="J56:J58">
    <cfRule type="cellIs" dxfId="3709" priority="113" operator="lessThan">
      <formula>98</formula>
    </cfRule>
  </conditionalFormatting>
  <conditionalFormatting sqref="K10:K14">
    <cfRule type="cellIs" dxfId="3708" priority="50" operator="greaterThan">
      <formula>6.4</formula>
    </cfRule>
  </conditionalFormatting>
  <conditionalFormatting sqref="K10:K47">
    <cfRule type="cellIs" dxfId="3707" priority="17" operator="lessThan">
      <formula>4</formula>
    </cfRule>
    <cfRule type="cellIs" dxfId="3706" priority="16" operator="greaterThan">
      <formula>6</formula>
    </cfRule>
  </conditionalFormatting>
  <conditionalFormatting sqref="K33:K46">
    <cfRule type="cellIs" dxfId="3705" priority="23" operator="greaterThan">
      <formula>6.4</formula>
    </cfRule>
  </conditionalFormatting>
  <conditionalFormatting sqref="K64:K73">
    <cfRule type="cellIs" dxfId="3704" priority="141" operator="notEqual">
      <formula>#REF!</formula>
    </cfRule>
  </conditionalFormatting>
  <conditionalFormatting sqref="K79:K84 J85:K85 L89:N89 K90:N97">
    <cfRule type="cellIs" dxfId="3703" priority="152" stopIfTrue="1" operator="lessThan">
      <formula>100%</formula>
    </cfRule>
  </conditionalFormatting>
  <conditionalFormatting sqref="K100:K105">
    <cfRule type="cellIs" dxfId="3702" priority="179" stopIfTrue="1" operator="lessThan">
      <formula>100%</formula>
    </cfRule>
  </conditionalFormatting>
  <conditionalFormatting sqref="K107:K108">
    <cfRule type="cellIs" dxfId="3701" priority="186" stopIfTrue="1" operator="lessThan">
      <formula>100%</formula>
    </cfRule>
  </conditionalFormatting>
  <conditionalFormatting sqref="L10:L47">
    <cfRule type="cellIs" dxfId="3700" priority="19" operator="greaterThan">
      <formula>65</formula>
    </cfRule>
    <cfRule type="cellIs" dxfId="3699" priority="18" operator="between">
      <formula>61</formula>
      <formula>65</formula>
    </cfRule>
  </conditionalFormatting>
  <conditionalFormatting sqref="L52:L58">
    <cfRule type="cellIs" dxfId="3698" priority="88" operator="lessThan">
      <formula>98</formula>
    </cfRule>
  </conditionalFormatting>
  <conditionalFormatting sqref="L65:N65">
    <cfRule type="cellIs" dxfId="3697" priority="87" operator="notEqual">
      <formula>#REF!</formula>
    </cfRule>
  </conditionalFormatting>
  <conditionalFormatting sqref="L100:N108">
    <cfRule type="cellIs" dxfId="3696" priority="164" stopIfTrue="1" operator="lessThan">
      <formula>100%</formula>
    </cfRule>
  </conditionalFormatting>
  <conditionalFormatting sqref="M10:M11">
    <cfRule type="expression" dxfId="3695" priority="65">
      <formula>IF(+(IF(M10&lt;V23,0,IF(M10&gt;W23,0,1)))=0,1)</formula>
    </cfRule>
  </conditionalFormatting>
  <conditionalFormatting sqref="M13">
    <cfRule type="expression" dxfId="3694" priority="58">
      <formula>IF(+(IF(M13&lt;V47,0,IF(M13&gt;W47,0,1)))=0,1)</formula>
    </cfRule>
    <cfRule type="expression" dxfId="3693" priority="57">
      <formula>IF(+(IF(M13&lt;V52,0,IF(M13&gt;W52,0,1)))=0,1)</formula>
    </cfRule>
  </conditionalFormatting>
  <conditionalFormatting sqref="M14">
    <cfRule type="expression" dxfId="3692" priority="199">
      <formula>IF(+(IF(M14&lt;V27,0,IF(M14&gt;W27,0,1)))=0,1)</formula>
    </cfRule>
  </conditionalFormatting>
  <conditionalFormatting sqref="M15:M32">
    <cfRule type="expression" dxfId="3691" priority="210">
      <formula>IF(+(IF(M15&lt;V62,0,IF(M15&gt;W62,0,1)))=0,1)</formula>
    </cfRule>
  </conditionalFormatting>
  <conditionalFormatting sqref="M33:M46">
    <cfRule type="expression" dxfId="3690" priority="31">
      <formula>IF(+(IF(M33&lt;V48,0,IF(M33&gt;W48,0,1)))=0,1)</formula>
    </cfRule>
    <cfRule type="expression" dxfId="3689" priority="30">
      <formula>IF(+(IF(M33&lt;V53,0,IF(M33&gt;W53,0,1)))=0,1)</formula>
    </cfRule>
  </conditionalFormatting>
  <conditionalFormatting sqref="M50:M58">
    <cfRule type="cellIs" dxfId="3688" priority="86" operator="lessThan">
      <formula>98</formula>
    </cfRule>
  </conditionalFormatting>
  <conditionalFormatting sqref="M10:N12">
    <cfRule type="expression" dxfId="3687" priority="66">
      <formula>IF(+(IF(M10&lt;#REF!,0,IF(M10&gt;#REF!,0,1)))=0,1)</formula>
    </cfRule>
  </conditionalFormatting>
  <conditionalFormatting sqref="M14:N14">
    <cfRule type="expression" dxfId="3686" priority="200">
      <formula>IF(+(IF(M14&lt;#REF!,0,IF(M14&gt;#REF!,0,1)))=0,1)</formula>
    </cfRule>
  </conditionalFormatting>
  <conditionalFormatting sqref="M47:N47">
    <cfRule type="expression" dxfId="3685" priority="194">
      <formula>IF(+(IF(M47&lt;#REF!,0,IF(M47&gt;#REF!,0,1)))=0,1)</formula>
    </cfRule>
  </conditionalFormatting>
  <conditionalFormatting sqref="N10:N11">
    <cfRule type="expression" dxfId="3684" priority="67">
      <formula>IF(+(IF(N10&lt;X23,0,IF(N10&gt;Y23,0,1)))=0,1)</formula>
    </cfRule>
  </conditionalFormatting>
  <conditionalFormatting sqref="N13">
    <cfRule type="expression" dxfId="3683" priority="60">
      <formula>IF(+(IF(N13&lt;X47,0,IF(N13&gt;Y47,0,1)))=0,1)</formula>
    </cfRule>
    <cfRule type="expression" dxfId="3682" priority="59">
      <formula>IF(+(IF(N13&lt;X52,0,IF(N13&gt;Y52,0,1)))=0,1)</formula>
    </cfRule>
  </conditionalFormatting>
  <conditionalFormatting sqref="N14">
    <cfRule type="expression" dxfId="3681" priority="203">
      <formula>IF(+(IF(N14&lt;X27,0,IF(N14&gt;Y27,0,1)))=0,1)</formula>
    </cfRule>
  </conditionalFormatting>
  <conditionalFormatting sqref="N15:N32">
    <cfRule type="expression" dxfId="3680" priority="211">
      <formula>IF(+(IF(N15&lt;X62,0,IF(N15&gt;Y62,0,1)))=0,1)</formula>
    </cfRule>
  </conditionalFormatting>
  <conditionalFormatting sqref="N33:N46">
    <cfRule type="expression" dxfId="3679" priority="33">
      <formula>IF(+(IF(N33&lt;X48,0,IF(N33&gt;Y48,0,1)))=0,1)</formula>
    </cfRule>
    <cfRule type="expression" dxfId="3678" priority="32">
      <formula>IF(+(IF(N33&lt;X53,0,IF(N33&gt;Y53,0,1)))=0,1)</formula>
    </cfRule>
  </conditionalFormatting>
  <conditionalFormatting sqref="P6">
    <cfRule type="cellIs" dxfId="3677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758D-66DD-4746-82C7-2F0E07CD093D}">
  <sheetPr>
    <pageSetUpPr fitToPage="1"/>
  </sheetPr>
  <dimension ref="A1:BE77"/>
  <sheetViews>
    <sheetView topLeftCell="A6" zoomScale="70" zoomScaleNormal="70" workbookViewId="0">
      <selection activeCell="M63" sqref="M63:M7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45932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[22]Brewhouse!$A823</f>
        <v>CA713</v>
      </c>
      <c r="D10" s="279">
        <f>[22]Brewhouse!$AF823</f>
        <v>55.5</v>
      </c>
      <c r="E10" s="279">
        <f>[22]Brewhouse!$AI823</f>
        <v>49.8</v>
      </c>
      <c r="F10" s="278">
        <f>[22]Brewhouse!$V823</f>
        <v>69</v>
      </c>
      <c r="G10" s="279">
        <f>[22]Brewhouse!AG823</f>
        <v>11.9</v>
      </c>
      <c r="H10" s="396">
        <v>11.7</v>
      </c>
      <c r="I10" s="368">
        <f>[22]Brewhouse!$AU823</f>
        <v>96.671624697617574</v>
      </c>
      <c r="J10" s="368">
        <f>[22]Brewhouse!$AV823</f>
        <v>98.321179614889871</v>
      </c>
      <c r="K10" s="281">
        <f>[22]Brewhouse!$Q823</f>
        <v>5.2222222222222223</v>
      </c>
      <c r="L10" s="276">
        <f>[22]Brewhouse!$P823</f>
        <v>57</v>
      </c>
      <c r="M10" s="397">
        <f>[22]Brewhouse!$U823-[22]Brewhouse!$T823</f>
        <v>0.12986111111111109</v>
      </c>
      <c r="N10" s="370">
        <f>[22]Brewhouse!$Z823</f>
        <v>0.29444444444444445</v>
      </c>
      <c r="O10" s="421" t="str">
        <f>[22]Brewhouse!$AX823</f>
        <v>K.Benjamin</v>
      </c>
      <c r="P10" s="418"/>
      <c r="R10" s="277" t="str">
        <f t="shared" ref="R10:R11" si="0">B10</f>
        <v>CARIB</v>
      </c>
      <c r="S10" s="296">
        <f t="shared" ref="S10:S36" si="1">VLOOKUP($B10,$R$3:$X$9,2,FALSE)</f>
        <v>11.6</v>
      </c>
      <c r="T10" s="296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296">
        <f t="shared" ref="Z10:Z36" si="8">VLOOKUP($B10,$R$3:$Z$9,9,FALSE)</f>
        <v>60</v>
      </c>
    </row>
    <row r="11" spans="2:29" ht="15.75" customHeight="1">
      <c r="B11" s="29" t="s">
        <v>6</v>
      </c>
      <c r="C11" s="366" t="str">
        <f>[22]Brewhouse!$A824</f>
        <v>CA714</v>
      </c>
      <c r="D11" s="279">
        <f>[22]Brewhouse!$AF824</f>
        <v>55.4</v>
      </c>
      <c r="E11" s="279">
        <f>[22]Brewhouse!$AI824</f>
        <v>50.2</v>
      </c>
      <c r="F11" s="278">
        <f>[22]Brewhouse!$V824</f>
        <v>61</v>
      </c>
      <c r="G11" s="279">
        <f>[22]Brewhouse!AG824</f>
        <v>11.7</v>
      </c>
      <c r="H11" s="396">
        <v>11.8</v>
      </c>
      <c r="I11" s="368">
        <f>[22]Brewhouse!$AU824</f>
        <v>96.677697123919998</v>
      </c>
      <c r="J11" s="368">
        <f>[22]Brewhouse!$AV824</f>
        <v>98.326290651199344</v>
      </c>
      <c r="K11" s="281">
        <f>[22]Brewhouse!$Q824</f>
        <v>3.9999999999999951</v>
      </c>
      <c r="L11" s="276">
        <f>[22]Brewhouse!$P824</f>
        <v>62</v>
      </c>
      <c r="M11" s="397">
        <f>[22]Brewhouse!$U824-[22]Brewhouse!$T824</f>
        <v>0.1159722222222222</v>
      </c>
      <c r="N11" s="370">
        <f>[22]Brewhouse!$Z824</f>
        <v>0.24652777777777779</v>
      </c>
      <c r="O11" s="421" t="str">
        <f>[22]Brewhouse!$AX824</f>
        <v>K.Benjamin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[22]Brewhouse!$A825</f>
        <v>CA715</v>
      </c>
      <c r="D12" s="279">
        <f>[22]Brewhouse!$AF825</f>
        <v>55.7</v>
      </c>
      <c r="E12" s="279">
        <f>[22]Brewhouse!$AI825</f>
        <v>50.5</v>
      </c>
      <c r="F12" s="278">
        <f>[22]Brewhouse!$V825</f>
        <v>60</v>
      </c>
      <c r="G12" s="279">
        <f>[22]Brewhouse!AG825</f>
        <v>11.7</v>
      </c>
      <c r="H12" s="396">
        <v>11.7</v>
      </c>
      <c r="I12" s="368">
        <f>[22]Brewhouse!$AU825</f>
        <v>96.5357402893531</v>
      </c>
      <c r="J12" s="368">
        <f>[22]Brewhouse!$AV825</f>
        <v>98.182712649465714</v>
      </c>
      <c r="K12" s="281">
        <f>[22]Brewhouse!$Q825</f>
        <v>2.1132075471698064</v>
      </c>
      <c r="L12" s="276">
        <f>[22]Brewhouse!$P825</f>
        <v>59</v>
      </c>
      <c r="M12" s="397">
        <f>[22]Brewhouse!$U825-[22]Brewhouse!$T825</f>
        <v>0.10694444444444445</v>
      </c>
      <c r="N12" s="370">
        <f>[22]Brewhouse!$Z825</f>
        <v>0.24791666666666667</v>
      </c>
      <c r="O12" s="421" t="str">
        <f>[22]Brewhouse!$AX825</f>
        <v>K.Benjamin</v>
      </c>
      <c r="P12" s="418"/>
      <c r="R12" s="277" t="str">
        <f t="shared" ref="R12:R14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[22]Brewhouse!$A826</f>
        <v>CA716</v>
      </c>
      <c r="D13" s="279">
        <f>[22]Brewhouse!$AF826</f>
        <v>55.7</v>
      </c>
      <c r="E13" s="279">
        <f>[22]Brewhouse!$AI826</f>
        <v>51.1</v>
      </c>
      <c r="F13" s="278">
        <f>[22]Brewhouse!$V826</f>
        <v>71</v>
      </c>
      <c r="G13" s="279">
        <f>[22]Brewhouse!AG826</f>
        <v>11.9</v>
      </c>
      <c r="H13" s="396">
        <v>11.7</v>
      </c>
      <c r="I13" s="368">
        <f>[22]Brewhouse!$AU826</f>
        <v>99.07328778102314</v>
      </c>
      <c r="J13" s="368">
        <f>[22]Brewhouse!$AV826</f>
        <v>100.76395836021659</v>
      </c>
      <c r="K13" s="281">
        <f>[22]Brewhouse!$Q826</f>
        <v>0.79245283018868251</v>
      </c>
      <c r="L13" s="276">
        <f>[22]Brewhouse!$P826</f>
        <v>60</v>
      </c>
      <c r="M13" s="397">
        <f>[22]Brewhouse!$U826-[22]Brewhouse!$T826</f>
        <v>0.11388888888888893</v>
      </c>
      <c r="N13" s="370">
        <f>[22]Brewhouse!$Z826</f>
        <v>0.24791666666666667</v>
      </c>
      <c r="O13" s="421" t="str">
        <f>[22]Brewhouse!$AX826</f>
        <v>K.Benjamin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[22]Brewhouse!$A827</f>
        <v>CA717</v>
      </c>
      <c r="D14" s="279">
        <f>[22]Brewhouse!$AF827</f>
        <v>55.8</v>
      </c>
      <c r="E14" s="279">
        <f>[22]Brewhouse!$AI827</f>
        <v>51.9</v>
      </c>
      <c r="F14" s="278">
        <f>[22]Brewhouse!$V827</f>
        <v>69</v>
      </c>
      <c r="G14" s="279">
        <f>[22]Brewhouse!AG827</f>
        <v>11.4</v>
      </c>
      <c r="H14" s="396">
        <v>11.4</v>
      </c>
      <c r="I14" s="368">
        <f>[22]Brewhouse!$AU827</f>
        <v>96.893475412596203</v>
      </c>
      <c r="J14" s="368">
        <f>[22]Brewhouse!$AV827</f>
        <v>98.546151236431641</v>
      </c>
      <c r="K14" s="281">
        <f>[22]Brewhouse!$Q827</f>
        <v>-0.33962264150943344</v>
      </c>
      <c r="L14" s="276">
        <f>[22]Brewhouse!$P827</f>
        <v>60</v>
      </c>
      <c r="M14" s="397">
        <f>[22]Brewhouse!$U827-[22]Brewhouse!$T827</f>
        <v>0.11041666666666672</v>
      </c>
      <c r="N14" s="370">
        <f>[22]Brewhouse!$Z827</f>
        <v>0.23819444444444449</v>
      </c>
      <c r="O14" s="421" t="str">
        <f>[22]Brewhouse!$AX827</f>
        <v>K.Benjamin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29" t="s">
        <v>6</v>
      </c>
      <c r="C15" s="366" t="str">
        <f>[22]Brewhouse!$A828</f>
        <v>CA718</v>
      </c>
      <c r="D15" s="279">
        <f>[22]Brewhouse!$AF828</f>
        <v>55.7</v>
      </c>
      <c r="E15" s="279">
        <f>[22]Brewhouse!$AI828</f>
        <v>51.1</v>
      </c>
      <c r="F15" s="278">
        <f>[22]Brewhouse!$V828</f>
        <v>62</v>
      </c>
      <c r="G15" s="279">
        <f>[22]Brewhouse!AG828</f>
        <v>11.7</v>
      </c>
      <c r="H15" s="396">
        <v>11.6</v>
      </c>
      <c r="I15" s="368">
        <f>[22]Brewhouse!$AU828</f>
        <v>97.682699579919685</v>
      </c>
      <c r="J15" s="368">
        <f>[22]Brewhouse!$AV828</f>
        <v>99.349239928469274</v>
      </c>
      <c r="K15" s="281">
        <f>[22]Brewhouse!$Q828</f>
        <v>2.8679245283018791</v>
      </c>
      <c r="L15" s="276">
        <f>[22]Brewhouse!$P828</f>
        <v>60</v>
      </c>
      <c r="M15" s="397">
        <f>[22]Brewhouse!$U828-[22]Brewhouse!$T828</f>
        <v>0.11944444444444446</v>
      </c>
      <c r="N15" s="370">
        <f>[22]Brewhouse!$Z828</f>
        <v>0.24861111111111112</v>
      </c>
      <c r="O15" s="421" t="str">
        <f>[22]Brewhouse!$AX828</f>
        <v>K.Benjamin</v>
      </c>
      <c r="P15" s="418"/>
      <c r="R15" s="277" t="str">
        <f t="shared" ref="R15:R36" si="10">B15</f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[22]Brewhouse!$A829</f>
        <v>CA719</v>
      </c>
      <c r="D16" s="279">
        <f>[22]Brewhouse!$AF829</f>
        <v>55.7</v>
      </c>
      <c r="E16" s="279">
        <f>[22]Brewhouse!$AI829</f>
        <v>51.8</v>
      </c>
      <c r="F16" s="278">
        <f>[22]Brewhouse!$V829</f>
        <v>74</v>
      </c>
      <c r="G16" s="279">
        <f>[22]Brewhouse!AG829</f>
        <v>11.7</v>
      </c>
      <c r="H16" s="396">
        <v>11.6</v>
      </c>
      <c r="I16" s="368">
        <f>[22]Brewhouse!$AU829</f>
        <v>99.511758194014504</v>
      </c>
      <c r="J16" s="368">
        <f>[22]Brewhouse!$AV829</f>
        <v>101.20895555522354</v>
      </c>
      <c r="K16" s="281">
        <f>[22]Brewhouse!$Q829</f>
        <v>1.9245283018867849</v>
      </c>
      <c r="L16" s="276">
        <f>[22]Brewhouse!$P829</f>
        <v>60</v>
      </c>
      <c r="M16" s="397">
        <f>[22]Brewhouse!$U829-[22]Brewhouse!$T829</f>
        <v>0.12361111111111112</v>
      </c>
      <c r="N16" s="370">
        <f>[22]Brewhouse!$Z829</f>
        <v>0.25555555555555554</v>
      </c>
      <c r="O16" s="421" t="str">
        <f>[22]Brewhouse!$AX829</f>
        <v>K.Benjamin</v>
      </c>
      <c r="P16" s="418"/>
      <c r="R16" s="277" t="str">
        <f t="shared" si="1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29" t="s">
        <v>6</v>
      </c>
      <c r="C17" s="366" t="str">
        <f>[22]Brewhouse!$A830</f>
        <v>CA720</v>
      </c>
      <c r="D17" s="279">
        <f>[22]Brewhouse!$AF830</f>
        <v>55.3</v>
      </c>
      <c r="E17" s="279">
        <f>[22]Brewhouse!$AI830</f>
        <v>52.5</v>
      </c>
      <c r="F17" s="278">
        <f>[22]Brewhouse!$V830</f>
        <v>83</v>
      </c>
      <c r="G17" s="279">
        <f>[22]Brewhouse!AG830</f>
        <v>11.6</v>
      </c>
      <c r="H17" s="396">
        <v>11.6</v>
      </c>
      <c r="I17" s="368">
        <f>[22]Brewhouse!$AU830</f>
        <v>99.949380343372724</v>
      </c>
      <c r="J17" s="368">
        <f>[22]Brewhouse!$AV830</f>
        <v>101.65404145731387</v>
      </c>
      <c r="K17" s="281">
        <f>[22]Brewhouse!$Q830</f>
        <v>1.735849056603777</v>
      </c>
      <c r="L17" s="276">
        <f>[22]Brewhouse!$P830</f>
        <v>60</v>
      </c>
      <c r="M17" s="397">
        <f>[22]Brewhouse!$U830-[22]Brewhouse!$T830</f>
        <v>0.12986111111111098</v>
      </c>
      <c r="N17" s="370">
        <f>[22]Brewhouse!$Z830</f>
        <v>0.27083333333333326</v>
      </c>
      <c r="O17" s="421" t="str">
        <f>[22]Brewhouse!$AX830</f>
        <v>K.Benjamin</v>
      </c>
      <c r="P17" s="418"/>
      <c r="R17" s="277" t="str">
        <f t="shared" si="1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75" customHeight="1">
      <c r="B18" s="29" t="s">
        <v>6</v>
      </c>
      <c r="C18" s="366" t="str">
        <f>[22]Brewhouse!$A831</f>
        <v>CA721</v>
      </c>
      <c r="D18" s="279">
        <f>[22]Brewhouse!$AF831</f>
        <v>55.1</v>
      </c>
      <c r="E18" s="279">
        <f>[22]Brewhouse!$AI831</f>
        <v>46.7</v>
      </c>
      <c r="F18" s="278">
        <f>[22]Brewhouse!$V831</f>
        <v>72</v>
      </c>
      <c r="G18" s="279">
        <f>[22]Brewhouse!AG831</f>
        <v>12</v>
      </c>
      <c r="H18" s="396">
        <v>11.9</v>
      </c>
      <c r="I18" s="368">
        <f>[22]Brewhouse!$AU831</f>
        <v>92.135013262872803</v>
      </c>
      <c r="J18" s="368">
        <f>[22]Brewhouse!$AV831</f>
        <v>93.706398436068469</v>
      </c>
      <c r="K18" s="281">
        <f>[22]Brewhouse!$Q831</f>
        <v>4.7457627118644128</v>
      </c>
      <c r="L18" s="276">
        <f>[22]Brewhouse!$P831</f>
        <v>58</v>
      </c>
      <c r="M18" s="397">
        <f>[22]Brewhouse!$U831-[22]Brewhouse!$T831</f>
        <v>0.12083333333333335</v>
      </c>
      <c r="N18" s="370">
        <f>[22]Brewhouse!$Z831</f>
        <v>0.25138888888888899</v>
      </c>
      <c r="O18" s="421" t="str">
        <f>[22]Brewhouse!$AX831</f>
        <v>R.Sookram</v>
      </c>
      <c r="P18" s="418"/>
      <c r="R18" s="277" t="str">
        <f t="shared" si="1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75" customHeight="1">
      <c r="B19" s="29" t="s">
        <v>6</v>
      </c>
      <c r="C19" s="366" t="str">
        <f>[22]Brewhouse!$A832</f>
        <v>CA722</v>
      </c>
      <c r="D19" s="279">
        <f>[22]Brewhouse!$AF832</f>
        <v>55.6</v>
      </c>
      <c r="E19" s="279">
        <f>[22]Brewhouse!$AI832</f>
        <v>50</v>
      </c>
      <c r="F19" s="278">
        <f>[22]Brewhouse!$V832</f>
        <v>67</v>
      </c>
      <c r="G19" s="279">
        <f>[22]Brewhouse!AG832</f>
        <v>11.8</v>
      </c>
      <c r="H19" s="396">
        <v>11.7</v>
      </c>
      <c r="I19" s="368">
        <f>[22]Brewhouse!$AU832</f>
        <v>97.158608616162724</v>
      </c>
      <c r="J19" s="368">
        <f>[22]Brewhouse!$AV832</f>
        <v>98.815402872223274</v>
      </c>
      <c r="K19" s="281">
        <f>[22]Brewhouse!$Q832</f>
        <v>3.2391713747645925</v>
      </c>
      <c r="L19" s="276">
        <f>[22]Brewhouse!$P832</f>
        <v>60</v>
      </c>
      <c r="M19" s="397">
        <f>[22]Brewhouse!$U832-[22]Brewhouse!$T832</f>
        <v>0.1131944444444446</v>
      </c>
      <c r="N19" s="370">
        <f>[22]Brewhouse!$Z832</f>
        <v>0.26250000000000007</v>
      </c>
      <c r="O19" s="421" t="str">
        <f>[22]Brewhouse!$AX832</f>
        <v>R.Sookram</v>
      </c>
      <c r="P19" s="418"/>
      <c r="R19" s="277" t="str">
        <f t="shared" si="1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6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489" t="s">
        <v>35</v>
      </c>
      <c r="E24" s="49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68" t="str">
        <f>I26</f>
        <v>STAG</v>
      </c>
      <c r="C25" s="362">
        <f>[23]Process!D371</f>
        <v>11.5</v>
      </c>
      <c r="D25" s="515">
        <v>11.86</v>
      </c>
      <c r="E25" s="516"/>
      <c r="F25" s="294"/>
      <c r="G25" s="294"/>
      <c r="H25" s="348"/>
      <c r="I25" s="29" t="s">
        <v>6</v>
      </c>
      <c r="J25" s="280">
        <f>AVERAGE(I10:I19)</f>
        <v>97.228928530085255</v>
      </c>
      <c r="K25" s="284">
        <f>COUNTA([22]Brewhouse!$A$823:$A$832)</f>
        <v>10</v>
      </c>
      <c r="L25" s="305">
        <f>AVERAGE([22]Brewhouse!$AU$823:$AU$832)</f>
        <v>97.228928530085255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$832)</f>
        <v>97.699764737697322</v>
      </c>
      <c r="N25" s="30">
        <v>98</v>
      </c>
      <c r="O25" s="11"/>
      <c r="P25" s="31"/>
      <c r="R25" s="277" t="str">
        <f t="shared" si="1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1:27" ht="15" customHeight="1">
      <c r="A26" s="28"/>
      <c r="B26" s="569"/>
      <c r="C26" s="362">
        <f>[23]Process!D372</f>
        <v>11.9</v>
      </c>
      <c r="D26" s="517"/>
      <c r="E26" s="518"/>
      <c r="F26" s="294"/>
      <c r="G26" s="294"/>
      <c r="H26" s="348"/>
      <c r="I26" s="33" t="s">
        <v>9</v>
      </c>
      <c r="J26" s="280"/>
      <c r="K26" s="284"/>
      <c r="L26" s="302"/>
      <c r="M26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AVERAGE([23]Brewhouse!$AS$15:$AS$64,[23]Brewhouse!$AS$66:$AS$103,[23]Brewhouse!$AS$105:$AS$140,[23]Brewhouse!$AS$142:$AS$193,[23]Brewhouse!$AS$195:$AS$240,[23]Brewhouse!$AS$242:$AS$273,[23]Brewhouse!$AS$275:$AS$322,[23]Brewhouse!$AS$324:$AS$359,[23]Brewhouse!$AS$361:$AS$397)</f>
        <v>97.996350119869859</v>
      </c>
      <c r="N26" s="30">
        <v>98</v>
      </c>
      <c r="O26" s="11"/>
      <c r="P26" s="31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69"/>
      <c r="C27" s="362">
        <f>[23]Process!D373</f>
        <v>11.9</v>
      </c>
      <c r="D27" s="515">
        <v>11.86</v>
      </c>
      <c r="E27" s="516"/>
      <c r="F27" s="294"/>
      <c r="G27" s="294"/>
      <c r="H27" s="348"/>
      <c r="I27" s="34" t="s">
        <v>12</v>
      </c>
      <c r="J27" s="280"/>
      <c r="K27" s="284"/>
      <c r="L27" s="302"/>
      <c r="M27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7" s="30">
        <v>98</v>
      </c>
      <c r="O27" s="11"/>
      <c r="P27" s="31"/>
      <c r="R27" s="277">
        <f t="shared" si="1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69"/>
      <c r="C28" s="362">
        <f>[23]Process!D374</f>
        <v>11.9</v>
      </c>
      <c r="D28" s="517"/>
      <c r="E28" s="51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8" s="30">
        <v>98</v>
      </c>
      <c r="O28" s="11"/>
      <c r="P28" s="31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69"/>
      <c r="C29" s="362">
        <f>[23]Process!D375</f>
        <v>11.6</v>
      </c>
      <c r="D29" s="515">
        <v>11.82</v>
      </c>
      <c r="E29" s="51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69"/>
      <c r="C30" s="362">
        <f>[23]Process!D376</f>
        <v>11.8</v>
      </c>
      <c r="D30" s="517"/>
      <c r="E30" s="518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69"/>
      <c r="C31" s="362">
        <f>[23]Process!D377</f>
        <v>12.1</v>
      </c>
      <c r="D31" s="515">
        <v>12.03</v>
      </c>
      <c r="E31" s="516"/>
      <c r="F31" s="417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1" s="30">
        <v>98</v>
      </c>
      <c r="O31" s="11"/>
      <c r="P31" s="31" t="s">
        <v>41</v>
      </c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69"/>
      <c r="C32" s="362">
        <f>[23]Process!D378</f>
        <v>11.9</v>
      </c>
      <c r="D32" s="517"/>
      <c r="E32" s="518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69"/>
      <c r="C33" s="349">
        <f>[23]Process!D379</f>
        <v>11.6</v>
      </c>
      <c r="D33" s="515">
        <v>11.95</v>
      </c>
      <c r="E33" s="516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69"/>
      <c r="C34" s="349">
        <f>[23]Process!D380</f>
        <v>12</v>
      </c>
      <c r="D34" s="517"/>
      <c r="E34" s="518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69"/>
      <c r="C35" s="349"/>
      <c r="D35" s="515"/>
      <c r="E35" s="516"/>
      <c r="F35" s="294"/>
      <c r="G35" s="294"/>
      <c r="H35" s="348"/>
      <c r="I35" s="1"/>
      <c r="J35" s="39"/>
      <c r="K35" s="404">
        <f>SUM(K25:K34)</f>
        <v>10</v>
      </c>
      <c r="L35" s="405">
        <f>((L25*K25)+(L26*K26)+(L27*K27)+(L28*K28)+(L29*K29)+(K32*L32)+(L30*K30)+(L31*K31)+(L34*K34))/(K35)</f>
        <v>97.228928530085255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97.540843092690324</v>
      </c>
      <c r="N35" s="40">
        <v>98</v>
      </c>
      <c r="O35" s="11"/>
      <c r="P35" s="31"/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70"/>
      <c r="C36" s="350"/>
      <c r="D36" s="517"/>
      <c r="E36" s="51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62" t="str">
        <f>I25</f>
        <v>CARIB</v>
      </c>
      <c r="C37" s="362">
        <f>[22]Process!D784</f>
        <v>11.4</v>
      </c>
      <c r="D37" s="528">
        <v>11.77</v>
      </c>
      <c r="E37" s="529"/>
      <c r="F37" s="294"/>
      <c r="G37" s="42"/>
      <c r="H37" s="41"/>
      <c r="I37" s="42"/>
      <c r="J37" s="563" t="s">
        <v>129</v>
      </c>
      <c r="K37" s="563"/>
      <c r="L37" s="294"/>
      <c r="M37" s="294"/>
      <c r="N37" s="294"/>
      <c r="O37" s="294"/>
      <c r="P37" s="12"/>
    </row>
    <row r="38" spans="1:56" ht="15.75" thickBot="1">
      <c r="B38" s="526"/>
      <c r="C38" s="362">
        <f>[22]Process!D785</f>
        <v>12.2</v>
      </c>
      <c r="D38" s="530"/>
      <c r="E38" s="518"/>
      <c r="F38" s="294"/>
      <c r="G38" s="42"/>
      <c r="H38" s="41"/>
      <c r="I38" s="42"/>
      <c r="J38" s="292" t="s">
        <v>17</v>
      </c>
      <c r="K38" s="293" t="s">
        <v>147</v>
      </c>
      <c r="L38" s="532" t="s">
        <v>136</v>
      </c>
      <c r="M38" s="532"/>
      <c r="N38" s="533"/>
      <c r="O38" s="294"/>
      <c r="P38" s="12"/>
    </row>
    <row r="39" spans="1:56" ht="15" customHeight="1" thickBot="1">
      <c r="B39" s="526"/>
      <c r="C39" s="349"/>
      <c r="D39" s="564"/>
      <c r="E39" s="565"/>
      <c r="F39" s="294"/>
      <c r="G39" s="42"/>
      <c r="H39" s="41"/>
      <c r="I39" s="42"/>
      <c r="J39" s="287" t="s">
        <v>6</v>
      </c>
      <c r="K39" s="324">
        <v>10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26"/>
      <c r="C40" s="349"/>
      <c r="D40" s="530"/>
      <c r="E40" s="518"/>
      <c r="F40" s="294"/>
      <c r="G40" s="42"/>
      <c r="H40" s="41"/>
      <c r="I40" s="42"/>
      <c r="J40" s="345" t="s">
        <v>9</v>
      </c>
      <c r="K40" s="324"/>
      <c r="L40" s="344">
        <f>K49</f>
        <v>10</v>
      </c>
      <c r="M40" s="325">
        <f>AVERAGE('[31]Jan 29th '!$M$70,'[32]Feb 28th'!$L$40,'[33]Mar. 31st'!$L$40,'[34]Apr. 30th'!$L$50,'[35]May 30th'!$L$42,'[36]June 30th'!$L$62,'[37]July 29th '!$L$49,'[38]Aug 29th'!$L$34,'[39]Sept 30th'!$L$40,L40)</f>
        <v>7.3061277776380749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64"/>
      <c r="E41" s="56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6"/>
      <c r="C42" s="349"/>
      <c r="D42" s="530"/>
      <c r="E42" s="518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64"/>
      <c r="E43" s="56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30"/>
      <c r="E44" s="518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64"/>
      <c r="E45" s="56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6"/>
      <c r="C46" s="350"/>
      <c r="D46" s="566"/>
      <c r="E46" s="567"/>
      <c r="F46" s="294"/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60">
        <f>AVERAGE(D25:E46)</f>
        <v>11.881666666666666</v>
      </c>
      <c r="E47" s="56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10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0" t="s">
        <v>17</v>
      </c>
      <c r="C52" s="540" t="s">
        <v>44</v>
      </c>
      <c r="D52" s="542" t="s">
        <v>45</v>
      </c>
      <c r="E52" s="497" t="s">
        <v>46</v>
      </c>
      <c r="F52" s="557" t="s">
        <v>47</v>
      </c>
      <c r="G52" s="551" t="s">
        <v>48</v>
      </c>
      <c r="H52" s="540" t="s">
        <v>49</v>
      </c>
      <c r="I52" s="540" t="s">
        <v>50</v>
      </c>
      <c r="J52" s="545" t="s">
        <v>28</v>
      </c>
      <c r="K52" s="495" t="s">
        <v>51</v>
      </c>
      <c r="L52" s="507" t="s">
        <v>52</v>
      </c>
      <c r="M52" s="545" t="s">
        <v>53</v>
      </c>
      <c r="N52" s="13"/>
      <c r="O52" s="13"/>
      <c r="P52" s="50"/>
    </row>
    <row r="53" spans="2:57" ht="28.5" customHeight="1" thickTop="1" thickBot="1">
      <c r="B53" s="541"/>
      <c r="C53" s="541"/>
      <c r="D53" s="543"/>
      <c r="E53" s="544"/>
      <c r="F53" s="558"/>
      <c r="G53" s="552"/>
      <c r="H53" s="559"/>
      <c r="I53" s="559"/>
      <c r="J53" s="546"/>
      <c r="K53" s="555"/>
      <c r="L53" s="556"/>
      <c r="M53" s="546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59" t="str">
        <f>J40</f>
        <v>STAG</v>
      </c>
      <c r="C54" s="442">
        <v>45931</v>
      </c>
      <c r="D54" s="443">
        <f>[40]October_2025!$D$13</f>
        <v>495.6</v>
      </c>
      <c r="E54" s="444"/>
      <c r="F54" s="445"/>
      <c r="G54" s="446">
        <f>[40]October_2025!$D$17</f>
        <v>471.7</v>
      </c>
      <c r="H54" s="462"/>
      <c r="I54" s="462"/>
      <c r="J54" s="449" t="s">
        <v>163</v>
      </c>
      <c r="K54" s="450">
        <f>[41]October_2025!$D$25</f>
        <v>0.8275438596491228</v>
      </c>
      <c r="L54" s="461">
        <f>(((D54+E54)-G54)/(D54+E54))*100</f>
        <v>4.8224374495561007</v>
      </c>
      <c r="M54" s="457" t="s">
        <v>170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customHeight="1" thickBot="1">
      <c r="B55" s="458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customHeight="1" thickBot="1">
      <c r="B56" s="460" t="str">
        <f>J39</f>
        <v>CARIB</v>
      </c>
      <c r="C56" s="442">
        <v>45931</v>
      </c>
      <c r="D56" s="443">
        <f>[40]October_2025!$D$3</f>
        <v>52.9</v>
      </c>
      <c r="E56" s="444"/>
      <c r="F56" s="445"/>
      <c r="G56" s="446">
        <f>[40]October_2025!$D$7</f>
        <v>50.3</v>
      </c>
      <c r="H56" s="429"/>
      <c r="I56" s="429"/>
      <c r="J56" s="449" t="s">
        <v>167</v>
      </c>
      <c r="K56" s="450">
        <f>[41]October_2025!$D$18</f>
        <v>0.17649122807017542</v>
      </c>
      <c r="L56" s="461">
        <f>(((D56+E56)-G56)/(D56+E56))*100</f>
        <v>4.914933837429114</v>
      </c>
      <c r="M56" s="457" t="str">
        <f>M54</f>
        <v>D. Emery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/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7" t="s">
        <v>55</v>
      </c>
      <c r="C61" s="548"/>
      <c r="D61" s="548"/>
      <c r="E61" s="548"/>
      <c r="F61" s="549"/>
      <c r="G61" s="547" t="s">
        <v>56</v>
      </c>
      <c r="H61" s="548"/>
      <c r="I61" s="548"/>
      <c r="J61" s="549"/>
      <c r="K61" s="547" t="s">
        <v>51</v>
      </c>
      <c r="L61" s="548"/>
      <c r="M61" s="548"/>
      <c r="N61" s="550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L56</f>
        <v>4.914933837429114</v>
      </c>
      <c r="D63" s="76">
        <v>4.914933837429114</v>
      </c>
      <c r="E63" s="76">
        <v>6.2422655045435054</v>
      </c>
      <c r="F63" s="66">
        <v>4.8</v>
      </c>
      <c r="G63" s="65">
        <f>[40]October_2025!$D$11</f>
        <v>1.3991834919222876</v>
      </c>
      <c r="H63" s="76">
        <v>1.3991834919222876</v>
      </c>
      <c r="I63" s="76">
        <v>6.2285615835321426</v>
      </c>
      <c r="J63" s="66">
        <v>4.8</v>
      </c>
      <c r="K63" s="67">
        <f>K56</f>
        <v>0.17649122807017542</v>
      </c>
      <c r="L63" s="194">
        <v>0.17649122807017542</v>
      </c>
      <c r="M63" s="194"/>
      <c r="N63" s="68">
        <v>1</v>
      </c>
      <c r="O63" s="56"/>
      <c r="P63" s="69"/>
    </row>
    <row r="64" spans="2:57" ht="15">
      <c r="B64" s="33" t="s">
        <v>9</v>
      </c>
      <c r="C64" s="65">
        <f>L54</f>
        <v>4.8224374495561007</v>
      </c>
      <c r="D64" s="76">
        <v>4.8224374495561007</v>
      </c>
      <c r="E64" s="76">
        <v>5.9960377561379312</v>
      </c>
      <c r="F64" s="66">
        <v>4.8</v>
      </c>
      <c r="G64" s="65">
        <f>[40]October_2025!$D$21</f>
        <v>3.9753879446573182</v>
      </c>
      <c r="H64" s="76">
        <v>4.0523924451026554</v>
      </c>
      <c r="I64" s="76">
        <v>5.6513680702551383</v>
      </c>
      <c r="J64" s="66">
        <v>4.8</v>
      </c>
      <c r="K64" s="67">
        <f>K54</f>
        <v>0.8275438596491228</v>
      </c>
      <c r="L64" s="194">
        <v>0.8275438596491228</v>
      </c>
      <c r="M64" s="194"/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11.635872449225705</v>
      </c>
      <c r="F65" s="66">
        <v>5.5</v>
      </c>
      <c r="G65" s="65"/>
      <c r="H65" s="76"/>
      <c r="I65" s="76">
        <v>12.740878252198055</v>
      </c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4.8132587912269527</v>
      </c>
      <c r="F66" s="66">
        <v>3.3</v>
      </c>
      <c r="G66" s="65"/>
      <c r="H66" s="76"/>
      <c r="I66" s="76">
        <v>4.4772094679692334</v>
      </c>
      <c r="J66" s="66">
        <v>3.3</v>
      </c>
      <c r="K66" s="67"/>
      <c r="L66" s="194"/>
      <c r="M66" s="194"/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>
        <v>7.145714971593196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37" t="s">
        <v>16</v>
      </c>
      <c r="C69" s="65"/>
      <c r="D69" s="76"/>
      <c r="E69" s="76">
        <v>3.0382638492290015</v>
      </c>
      <c r="F69" s="66">
        <v>3.3</v>
      </c>
      <c r="G69" s="282"/>
      <c r="H69" s="76"/>
      <c r="I69" s="76">
        <v>4.4758841279290129</v>
      </c>
      <c r="J69" s="66">
        <v>3.3</v>
      </c>
      <c r="K69" s="67"/>
      <c r="L69" s="194"/>
      <c r="M69" s="194"/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4.8313582497721059</v>
      </c>
      <c r="E72" s="76">
        <v>6.3259576208215522</v>
      </c>
      <c r="F72" s="341">
        <v>5.5</v>
      </c>
      <c r="H72" s="76">
        <v>3.805139978143997</v>
      </c>
      <c r="I72" s="76">
        <v>6.5635929475357306</v>
      </c>
      <c r="J72" s="341">
        <v>5.5</v>
      </c>
      <c r="L72" s="194">
        <v>0.50201754385964903</v>
      </c>
      <c r="M72" s="194"/>
      <c r="N72" s="386">
        <v>1</v>
      </c>
    </row>
    <row r="76" spans="2:16">
      <c r="F76" s="315"/>
    </row>
    <row r="77" spans="2:16" ht="15">
      <c r="F7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3676" priority="158" operator="notBetween">
      <formula>#REF!</formula>
      <formula>#REF!</formula>
    </cfRule>
  </conditionalFormatting>
  <conditionalFormatting sqref="C51">
    <cfRule type="cellIs" dxfId="3675" priority="189" stopIfTrue="1" operator="lessThan">
      <formula>96</formula>
    </cfRule>
    <cfRule type="cellIs" dxfId="3674" priority="190" stopIfTrue="1" operator="greaterThan">
      <formula>100</formula>
    </cfRule>
  </conditionalFormatting>
  <conditionalFormatting sqref="C63:C67">
    <cfRule type="cellIs" dxfId="3673" priority="139" stopIfTrue="1" operator="lessThanOrEqual">
      <formula>0</formula>
    </cfRule>
  </conditionalFormatting>
  <conditionalFormatting sqref="C63:C71">
    <cfRule type="cellIs" dxfId="3672" priority="138" stopIfTrue="1" operator="greaterThan">
      <formula>$F63</formula>
    </cfRule>
  </conditionalFormatting>
  <conditionalFormatting sqref="C64">
    <cfRule type="cellIs" dxfId="3671" priority="193" stopIfTrue="1" operator="greaterThan">
      <formula>$F63</formula>
    </cfRule>
  </conditionalFormatting>
  <conditionalFormatting sqref="C68">
    <cfRule type="cellIs" dxfId="3670" priority="77" stopIfTrue="1" operator="greaterThan">
      <formula>$F67</formula>
    </cfRule>
    <cfRule type="cellIs" dxfId="3669" priority="76" stopIfTrue="1" operator="lessThanOrEqual">
      <formula>0</formula>
    </cfRule>
  </conditionalFormatting>
  <conditionalFormatting sqref="C74:C78">
    <cfRule type="cellIs" dxfId="3668" priority="181" stopIfTrue="1" operator="lessThanOrEqual">
      <formula>0</formula>
    </cfRule>
  </conditionalFormatting>
  <conditionalFormatting sqref="C75:C78">
    <cfRule type="cellIs" dxfId="3667" priority="180" stopIfTrue="1" operator="greaterThan">
      <formula>$F$74</formula>
    </cfRule>
  </conditionalFormatting>
  <conditionalFormatting sqref="C80">
    <cfRule type="cellIs" dxfId="3666" priority="183" stopIfTrue="1" operator="lessThanOrEqual">
      <formula>0</formula>
    </cfRule>
    <cfRule type="cellIs" dxfId="3665" priority="182" stopIfTrue="1" operator="greaterThan">
      <formula>$F$74</formula>
    </cfRule>
  </conditionalFormatting>
  <conditionalFormatting sqref="C74:D74 D76:D82">
    <cfRule type="cellIs" dxfId="3664" priority="175" stopIfTrue="1" operator="greaterThan">
      <formula>4.5</formula>
    </cfRule>
  </conditionalFormatting>
  <conditionalFormatting sqref="D47:D48">
    <cfRule type="cellIs" dxfId="3663" priority="159" operator="notBetween">
      <formula>#REF!</formula>
      <formula>#REF!</formula>
    </cfRule>
  </conditionalFormatting>
  <conditionalFormatting sqref="D63:D70">
    <cfRule type="cellIs" dxfId="3662" priority="153" stopIfTrue="1" operator="lessThanOrEqual">
      <formula>0</formula>
    </cfRule>
  </conditionalFormatting>
  <conditionalFormatting sqref="D71">
    <cfRule type="cellIs" dxfId="3661" priority="152" stopIfTrue="1" operator="lessThanOrEqual">
      <formula>0</formula>
    </cfRule>
  </conditionalFormatting>
  <conditionalFormatting sqref="D74 D76:D82">
    <cfRule type="cellIs" dxfId="3660" priority="176" stopIfTrue="1" operator="lessThanOrEqual">
      <formula>0</formula>
    </cfRule>
  </conditionalFormatting>
  <conditionalFormatting sqref="D75">
    <cfRule type="cellIs" dxfId="3659" priority="167" stopIfTrue="1" operator="greaterThan">
      <formula>$F$74</formula>
    </cfRule>
    <cfRule type="cellIs" dxfId="3658" priority="168" stopIfTrue="1" operator="lessThanOrEqual">
      <formula>0</formula>
    </cfRule>
  </conditionalFormatting>
  <conditionalFormatting sqref="D63:E72">
    <cfRule type="cellIs" dxfId="3657" priority="136" stopIfTrue="1" operator="greaterThan">
      <formula>$F63</formula>
    </cfRule>
  </conditionalFormatting>
  <conditionalFormatting sqref="D72:E72">
    <cfRule type="cellIs" dxfId="3656" priority="137" stopIfTrue="1" operator="lessThanOrEqual">
      <formula>0</formula>
    </cfRule>
  </conditionalFormatting>
  <conditionalFormatting sqref="E10:E22">
    <cfRule type="cellIs" dxfId="3655" priority="8" operator="lessThan">
      <formula>48</formula>
    </cfRule>
  </conditionalFormatting>
  <conditionalFormatting sqref="E50 E51:F51">
    <cfRule type="cellIs" dxfId="3654" priority="172" stopIfTrue="1" operator="greaterThan">
      <formula>100</formula>
    </cfRule>
  </conditionalFormatting>
  <conditionalFormatting sqref="E51">
    <cfRule type="cellIs" dxfId="3653" priority="170" stopIfTrue="1" operator="greaterThan">
      <formula>100</formula>
    </cfRule>
    <cfRule type="cellIs" dxfId="3652" priority="169" stopIfTrue="1" operator="lessThan">
      <formula>96.8</formula>
    </cfRule>
  </conditionalFormatting>
  <conditionalFormatting sqref="E63:E71">
    <cfRule type="cellIs" dxfId="3651" priority="147" stopIfTrue="1" operator="lessThanOrEqual">
      <formula>0</formula>
    </cfRule>
  </conditionalFormatting>
  <conditionalFormatting sqref="E74:E82">
    <cfRule type="cellIs" dxfId="3650" priority="161" stopIfTrue="1" operator="greaterThan">
      <formula>4.5</formula>
    </cfRule>
    <cfRule type="cellIs" dxfId="3649" priority="162" stopIfTrue="1" operator="lessThanOrEqual">
      <formula>0</formula>
    </cfRule>
  </conditionalFormatting>
  <conditionalFormatting sqref="E51:F51 E50">
    <cfRule type="cellIs" dxfId="3648" priority="171" stopIfTrue="1" operator="lessThan">
      <formula>96.5</formula>
    </cfRule>
  </conditionalFormatting>
  <conditionalFormatting sqref="F10:F22">
    <cfRule type="cellIs" dxfId="3647" priority="9" operator="greaterThan">
      <formula>60</formula>
    </cfRule>
  </conditionalFormatting>
  <conditionalFormatting sqref="F51">
    <cfRule type="cellIs" dxfId="3646" priority="188" stopIfTrue="1" operator="greaterThan">
      <formula>100</formula>
    </cfRule>
    <cfRule type="cellIs" dxfId="3645" priority="187" stopIfTrue="1" operator="lessThan">
      <formula>96.8</formula>
    </cfRule>
  </conditionalFormatting>
  <conditionalFormatting sqref="F72">
    <cfRule type="cellIs" dxfId="3644" priority="148" stopIfTrue="1" operator="greaterThan">
      <formula>$F72</formula>
    </cfRule>
    <cfRule type="cellIs" dxfId="3643" priority="149" stopIfTrue="1" operator="lessThanOrEqual">
      <formula>0</formula>
    </cfRule>
  </conditionalFormatting>
  <conditionalFormatting sqref="F77">
    <cfRule type="cellIs" dxfId="3642" priority="106" stopIfTrue="1" operator="greaterThan">
      <formula>$F77</formula>
    </cfRule>
    <cfRule type="cellIs" dxfId="3641" priority="107" stopIfTrue="1" operator="lessThanOrEqual">
      <formula>0</formula>
    </cfRule>
  </conditionalFormatting>
  <conditionalFormatting sqref="G10:G19">
    <cfRule type="expression" dxfId="3640" priority="13">
      <formula>IF(+(IF(G10&lt;S10,0,IF(G10&gt;T10,0,1)))=0,1)</formula>
    </cfRule>
  </conditionalFormatting>
  <conditionalFormatting sqref="G63:G64 C69:C71">
    <cfRule type="cellIs" dxfId="3639" priority="155" stopIfTrue="1" operator="lessThanOrEqual">
      <formula>0</formula>
    </cfRule>
  </conditionalFormatting>
  <conditionalFormatting sqref="G63:G64">
    <cfRule type="cellIs" dxfId="3638" priority="141" stopIfTrue="1" operator="lessThanOrEqual">
      <formula>0</formula>
    </cfRule>
    <cfRule type="cellIs" dxfId="3637" priority="140" stopIfTrue="1" operator="greaterThan">
      <formula>$F63</formula>
    </cfRule>
    <cfRule type="cellIs" dxfId="3636" priority="154" stopIfTrue="1" operator="greaterThan">
      <formula>$F63</formula>
    </cfRule>
  </conditionalFormatting>
  <conditionalFormatting sqref="G65">
    <cfRule type="cellIs" dxfId="3635" priority="192" stopIfTrue="1" operator="lessThanOrEqual">
      <formula>0</formula>
    </cfRule>
    <cfRule type="cellIs" dxfId="3634" priority="191" stopIfTrue="1" operator="greaterThan">
      <formula>$F64</formula>
    </cfRule>
  </conditionalFormatting>
  <conditionalFormatting sqref="G66">
    <cfRule type="cellIs" dxfId="3633" priority="150" stopIfTrue="1" operator="greaterThan">
      <formula>$F66</formula>
    </cfRule>
    <cfRule type="cellIs" dxfId="3632" priority="151" stopIfTrue="1" operator="lessThanOrEqual">
      <formula>0</formula>
    </cfRule>
  </conditionalFormatting>
  <conditionalFormatting sqref="G67:G71">
    <cfRule type="cellIs" dxfId="3631" priority="157" stopIfTrue="1" operator="lessThanOrEqual">
      <formula>0</formula>
    </cfRule>
    <cfRule type="cellIs" dxfId="3630" priority="156" stopIfTrue="1" operator="greaterThan">
      <formula>$J67</formula>
    </cfRule>
  </conditionalFormatting>
  <conditionalFormatting sqref="G76:G81 C79 C81">
    <cfRule type="cellIs" dxfId="3629" priority="184" stopIfTrue="1" operator="greaterThan">
      <formula>4.5</formula>
    </cfRule>
    <cfRule type="cellIs" dxfId="3628" priority="185" stopIfTrue="1" operator="lessThanOrEqual">
      <formula>0</formula>
    </cfRule>
  </conditionalFormatting>
  <conditionalFormatting sqref="G20:H22">
    <cfRule type="expression" dxfId="3627" priority="52">
      <formula>IF(+(IF(G20&lt;#REF!,0,IF(G20&gt;#REF!,0,1)))=0,1)</formula>
    </cfRule>
  </conditionalFormatting>
  <conditionalFormatting sqref="G75:H75">
    <cfRule type="cellIs" dxfId="3626" priority="166" stopIfTrue="1" operator="lessThanOrEqual">
      <formula>0</formula>
    </cfRule>
    <cfRule type="cellIs" dxfId="3625" priority="165" stopIfTrue="1" operator="greaterThan">
      <formula>$F$74</formula>
    </cfRule>
  </conditionalFormatting>
  <conditionalFormatting sqref="H10:H19">
    <cfRule type="expression" dxfId="3624" priority="12">
      <formula>IF(+(IF(H10&lt;#REF!,0,IF(H10&gt;#REF!,0,1)))=0,1)</formula>
    </cfRule>
  </conditionalFormatting>
  <conditionalFormatting sqref="H36:H50">
    <cfRule type="cellIs" dxfId="3623" priority="163" stopIfTrue="1" operator="greaterThan">
      <formula>0</formula>
    </cfRule>
  </conditionalFormatting>
  <conditionalFormatting sqref="H54">
    <cfRule type="cellIs" dxfId="3622" priority="47" stopIfTrue="1" operator="lessThanOrEqual">
      <formula>0</formula>
    </cfRule>
    <cfRule type="cellIs" dxfId="3621" priority="48" stopIfTrue="1" operator="greaterThan">
      <formula>$F$65</formula>
    </cfRule>
    <cfRule type="cellIs" dxfId="3620" priority="49" stopIfTrue="1" operator="lessThanOrEqual">
      <formula>0</formula>
    </cfRule>
    <cfRule type="cellIs" dxfId="3619" priority="37" stopIfTrue="1" operator="lessThanOrEqual">
      <formula>0</formula>
    </cfRule>
    <cfRule type="cellIs" dxfId="3618" priority="38" stopIfTrue="1" operator="greaterThan">
      <formula>$F$64</formula>
    </cfRule>
    <cfRule type="cellIs" dxfId="3617" priority="46" stopIfTrue="1" operator="greaterThan">
      <formula>$F$67</formula>
    </cfRule>
  </conditionalFormatting>
  <conditionalFormatting sqref="H55">
    <cfRule type="cellIs" dxfId="3616" priority="102" stopIfTrue="1" operator="greaterThan">
      <formula>$F$23</formula>
    </cfRule>
    <cfRule type="cellIs" dxfId="3615" priority="103" stopIfTrue="1" operator="lessThanOrEqual">
      <formula>0</formula>
    </cfRule>
    <cfRule type="cellIs" dxfId="3614" priority="93" stopIfTrue="1" operator="lessThanOrEqual">
      <formula>0</formula>
    </cfRule>
    <cfRule type="cellIs" dxfId="3613" priority="94" stopIfTrue="1" operator="greaterThan">
      <formula>#REF!</formula>
    </cfRule>
    <cfRule type="cellIs" dxfId="3612" priority="104" stopIfTrue="1" operator="greaterThan">
      <formula>$F$20</formula>
    </cfRule>
    <cfRule type="cellIs" dxfId="3611" priority="105" stopIfTrue="1" operator="lessThanOrEqual">
      <formula>0</formula>
    </cfRule>
  </conditionalFormatting>
  <conditionalFormatting sqref="H56">
    <cfRule type="cellIs" dxfId="3610" priority="67" stopIfTrue="1" operator="greaterThan">
      <formula>$F$44</formula>
    </cfRule>
    <cfRule type="cellIs" dxfId="3609" priority="59" stopIfTrue="1" operator="greaterThan">
      <formula>$F$41</formula>
    </cfRule>
    <cfRule type="cellIs" dxfId="3608" priority="68" stopIfTrue="1" operator="lessThanOrEqual">
      <formula>0</formula>
    </cfRule>
    <cfRule type="cellIs" dxfId="3607" priority="58" stopIfTrue="1" operator="lessThanOrEqual">
      <formula>0</formula>
    </cfRule>
    <cfRule type="cellIs" dxfId="3606" priority="70" stopIfTrue="1" operator="lessThanOrEqual">
      <formula>0</formula>
    </cfRule>
    <cfRule type="cellIs" dxfId="3605" priority="69" stopIfTrue="1" operator="greaterThan">
      <formula>$F$42</formula>
    </cfRule>
  </conditionalFormatting>
  <conditionalFormatting sqref="H57:H58">
    <cfRule type="cellIs" dxfId="3604" priority="91" stopIfTrue="1" operator="lessThanOrEqual">
      <formula>0</formula>
    </cfRule>
    <cfRule type="cellIs" dxfId="3603" priority="88" stopIfTrue="1" operator="greaterThan">
      <formula>$F$22</formula>
    </cfRule>
    <cfRule type="cellIs" dxfId="3602" priority="89" stopIfTrue="1" operator="lessThanOrEqual">
      <formula>0</formula>
    </cfRule>
    <cfRule type="cellIs" dxfId="3601" priority="79" stopIfTrue="1" operator="lessThanOrEqual">
      <formula>0</formula>
    </cfRule>
    <cfRule type="cellIs" dxfId="3600" priority="90" stopIfTrue="1" operator="greaterThan">
      <formula>#REF!</formula>
    </cfRule>
    <cfRule type="cellIs" dxfId="3599" priority="80" stopIfTrue="1" operator="greaterThan">
      <formula>#REF!</formula>
    </cfRule>
  </conditionalFormatting>
  <conditionalFormatting sqref="H59">
    <cfRule type="cellIs" dxfId="3598" priority="121" stopIfTrue="1" operator="greaterThan">
      <formula>$F$36</formula>
    </cfRule>
    <cfRule type="cellIs" dxfId="3597" priority="122" stopIfTrue="1" operator="lessThanOrEqual">
      <formula>0</formula>
    </cfRule>
    <cfRule type="cellIs" dxfId="3596" priority="119" stopIfTrue="1" operator="greaterThan">
      <formula>$F$38</formula>
    </cfRule>
    <cfRule type="cellIs" dxfId="3595" priority="111" stopIfTrue="1" operator="greaterThan">
      <formula>$F$35</formula>
    </cfRule>
    <cfRule type="cellIs" dxfId="3594" priority="120" stopIfTrue="1" operator="lessThanOrEqual">
      <formula>0</formula>
    </cfRule>
    <cfRule type="cellIs" dxfId="3593" priority="110" stopIfTrue="1" operator="lessThanOrEqual">
      <formula>0</formula>
    </cfRule>
  </conditionalFormatting>
  <conditionalFormatting sqref="H63:H70">
    <cfRule type="cellIs" dxfId="3592" priority="142" stopIfTrue="1" operator="greaterThan">
      <formula>$J63</formula>
    </cfRule>
    <cfRule type="cellIs" dxfId="3591" priority="143" stopIfTrue="1" operator="lessThanOrEqual">
      <formula>0</formula>
    </cfRule>
  </conditionalFormatting>
  <conditionalFormatting sqref="H71">
    <cfRule type="cellIs" dxfId="3590" priority="144" operator="greaterThan">
      <formula>5.3</formula>
    </cfRule>
  </conditionalFormatting>
  <conditionalFormatting sqref="H74 H76:H82">
    <cfRule type="cellIs" dxfId="3589" priority="178" stopIfTrue="1" operator="lessThanOrEqual">
      <formula>0</formula>
    </cfRule>
    <cfRule type="cellIs" dxfId="3588" priority="177" stopIfTrue="1" operator="greaterThan">
      <formula>4.5</formula>
    </cfRule>
  </conditionalFormatting>
  <conditionalFormatting sqref="H54:I54">
    <cfRule type="cellIs" dxfId="3587" priority="36" stopIfTrue="1" operator="greaterThan">
      <formula>$F$66</formula>
    </cfRule>
    <cfRule type="cellIs" dxfId="3586" priority="39" stopIfTrue="1" operator="lessThanOrEqual">
      <formula>0</formula>
    </cfRule>
  </conditionalFormatting>
  <conditionalFormatting sqref="H55:I55">
    <cfRule type="cellIs" dxfId="3585" priority="92" stopIfTrue="1" operator="greaterThan">
      <formula>$F$22</formula>
    </cfRule>
    <cfRule type="cellIs" dxfId="3584" priority="95" stopIfTrue="1" operator="lessThanOrEqual">
      <formula>0</formula>
    </cfRule>
  </conditionalFormatting>
  <conditionalFormatting sqref="H56:I56">
    <cfRule type="cellIs" dxfId="3583" priority="60" stopIfTrue="1" operator="lessThanOrEqual">
      <formula>0</formula>
    </cfRule>
    <cfRule type="cellIs" dxfId="3582" priority="57" stopIfTrue="1" operator="greaterThan">
      <formula>$F$43</formula>
    </cfRule>
  </conditionalFormatting>
  <conditionalFormatting sqref="H57:I58">
    <cfRule type="cellIs" dxfId="3581" priority="81" stopIfTrue="1" operator="lessThanOrEqual">
      <formula>0</formula>
    </cfRule>
    <cfRule type="cellIs" dxfId="3580" priority="78" stopIfTrue="1" operator="greaterThan">
      <formula>$F$20</formula>
    </cfRule>
  </conditionalFormatting>
  <conditionalFormatting sqref="H59:I59">
    <cfRule type="cellIs" dxfId="3579" priority="112" stopIfTrue="1" operator="lessThanOrEqual">
      <formula>0</formula>
    </cfRule>
    <cfRule type="cellIs" dxfId="3578" priority="109" stopIfTrue="1" operator="greaterThan">
      <formula>$F$37</formula>
    </cfRule>
  </conditionalFormatting>
  <conditionalFormatting sqref="H72:I72">
    <cfRule type="cellIs" dxfId="3577" priority="134" stopIfTrue="1" operator="greaterThan">
      <formula>$J72</formula>
    </cfRule>
    <cfRule type="cellIs" dxfId="3576" priority="135" stopIfTrue="1" operator="lessThanOrEqual">
      <formula>0</formula>
    </cfRule>
  </conditionalFormatting>
  <conditionalFormatting sqref="I54">
    <cfRule type="cellIs" dxfId="3575" priority="45" stopIfTrue="1" operator="lessThanOrEqual">
      <formula>0</formula>
    </cfRule>
    <cfRule type="cellIs" dxfId="3574" priority="44" stopIfTrue="1" operator="greaterThan">
      <formula>$F$64</formula>
    </cfRule>
    <cfRule type="cellIs" dxfId="3573" priority="42" stopIfTrue="1" operator="greaterThan">
      <formula>$F$66</formula>
    </cfRule>
    <cfRule type="cellIs" dxfId="3572" priority="40" stopIfTrue="1" operator="greaterThan">
      <formula>$F$64</formula>
    </cfRule>
    <cfRule type="cellIs" dxfId="3571" priority="41" stopIfTrue="1" operator="lessThanOrEqual">
      <formula>0</formula>
    </cfRule>
    <cfRule type="cellIs" dxfId="3570" priority="43" stopIfTrue="1" operator="lessThanOrEqual">
      <formula>0</formula>
    </cfRule>
  </conditionalFormatting>
  <conditionalFormatting sqref="I55">
    <cfRule type="cellIs" dxfId="3569" priority="96" stopIfTrue="1" operator="greaterThan">
      <formula>#REF!</formula>
    </cfRule>
    <cfRule type="cellIs" dxfId="3568" priority="99" stopIfTrue="1" operator="lessThanOrEqual">
      <formula>0</formula>
    </cfRule>
    <cfRule type="cellIs" dxfId="3567" priority="101" stopIfTrue="1" operator="lessThanOrEqual">
      <formula>0</formula>
    </cfRule>
    <cfRule type="cellIs" dxfId="3566" priority="98" stopIfTrue="1" operator="greaterThan">
      <formula>$F$22</formula>
    </cfRule>
    <cfRule type="cellIs" dxfId="3565" priority="97" stopIfTrue="1" operator="lessThanOrEqual">
      <formula>0</formula>
    </cfRule>
    <cfRule type="cellIs" dxfId="3564" priority="100" stopIfTrue="1" operator="greaterThan">
      <formula>#REF!</formula>
    </cfRule>
  </conditionalFormatting>
  <conditionalFormatting sqref="I56">
    <cfRule type="cellIs" dxfId="3563" priority="61" stopIfTrue="1" operator="greaterThan">
      <formula>$F$41</formula>
    </cfRule>
    <cfRule type="cellIs" dxfId="3562" priority="62" stopIfTrue="1" operator="lessThanOrEqual">
      <formula>0</formula>
    </cfRule>
    <cfRule type="cellIs" dxfId="3561" priority="63" stopIfTrue="1" operator="greaterThan">
      <formula>$F$43</formula>
    </cfRule>
    <cfRule type="cellIs" dxfId="3560" priority="64" stopIfTrue="1" operator="lessThanOrEqual">
      <formula>0</formula>
    </cfRule>
    <cfRule type="cellIs" dxfId="3559" priority="66" stopIfTrue="1" operator="lessThanOrEqual">
      <formula>0</formula>
    </cfRule>
    <cfRule type="cellIs" dxfId="3558" priority="65" stopIfTrue="1" operator="greaterThan">
      <formula>$F$41</formula>
    </cfRule>
  </conditionalFormatting>
  <conditionalFormatting sqref="I57:I58">
    <cfRule type="cellIs" dxfId="3557" priority="87" stopIfTrue="1" operator="lessThanOrEqual">
      <formula>0</formula>
    </cfRule>
    <cfRule type="cellIs" dxfId="3556" priority="84" stopIfTrue="1" operator="greaterThan">
      <formula>$F$20</formula>
    </cfRule>
    <cfRule type="cellIs" dxfId="3555" priority="82" stopIfTrue="1" operator="greaterThan">
      <formula>#REF!</formula>
    </cfRule>
    <cfRule type="cellIs" dxfId="3554" priority="83" stopIfTrue="1" operator="lessThanOrEqual">
      <formula>0</formula>
    </cfRule>
    <cfRule type="cellIs" dxfId="3553" priority="86" stopIfTrue="1" operator="greaterThan">
      <formula>#REF!</formula>
    </cfRule>
    <cfRule type="cellIs" dxfId="3552" priority="85" stopIfTrue="1" operator="lessThanOrEqual">
      <formula>0</formula>
    </cfRule>
  </conditionalFormatting>
  <conditionalFormatting sqref="I59">
    <cfRule type="cellIs" dxfId="3551" priority="113" stopIfTrue="1" operator="greaterThan">
      <formula>$F$35</formula>
    </cfRule>
    <cfRule type="cellIs" dxfId="3550" priority="114" stopIfTrue="1" operator="lessThanOrEqual">
      <formula>0</formula>
    </cfRule>
    <cfRule type="cellIs" dxfId="3549" priority="115" stopIfTrue="1" operator="greaterThan">
      <formula>$F$37</formula>
    </cfRule>
    <cfRule type="cellIs" dxfId="3548" priority="116" stopIfTrue="1" operator="lessThanOrEqual">
      <formula>0</formula>
    </cfRule>
    <cfRule type="cellIs" dxfId="3547" priority="117" stopIfTrue="1" operator="greaterThan">
      <formula>$F$35</formula>
    </cfRule>
    <cfRule type="cellIs" dxfId="3546" priority="118" stopIfTrue="1" operator="lessThanOrEqual">
      <formula>0</formula>
    </cfRule>
  </conditionalFormatting>
  <conditionalFormatting sqref="I63:I71">
    <cfRule type="cellIs" dxfId="3545" priority="146" stopIfTrue="1" operator="lessThanOrEqual">
      <formula>0</formula>
    </cfRule>
    <cfRule type="cellIs" dxfId="3544" priority="145" stopIfTrue="1" operator="greaterThan">
      <formula>$J63</formula>
    </cfRule>
  </conditionalFormatting>
  <conditionalFormatting sqref="I74:I82">
    <cfRule type="cellIs" dxfId="3543" priority="173" stopIfTrue="1" operator="greaterThan">
      <formula>4.5</formula>
    </cfRule>
    <cfRule type="cellIs" dxfId="3542" priority="174" stopIfTrue="1" operator="lessThanOrEqual">
      <formula>0</formula>
    </cfRule>
  </conditionalFormatting>
  <conditionalFormatting sqref="I10:J22">
    <cfRule type="cellIs" dxfId="3541" priority="2" operator="lessThan">
      <formula>97.9</formula>
    </cfRule>
  </conditionalFormatting>
  <conditionalFormatting sqref="J25:J27">
    <cfRule type="cellIs" dxfId="3540" priority="126" operator="lessThan">
      <formula>98</formula>
    </cfRule>
    <cfRule type="cellIs" dxfId="3539" priority="124" stopIfTrue="1" operator="lessThan">
      <formula>96.8</formula>
    </cfRule>
    <cfRule type="cellIs" dxfId="3538" priority="125" stopIfTrue="1" operator="greaterThan">
      <formula>100</formula>
    </cfRule>
  </conditionalFormatting>
  <conditionalFormatting sqref="J25:J29">
    <cfRule type="cellIs" dxfId="3537" priority="123" operator="lessThan">
      <formula>97.4</formula>
    </cfRule>
  </conditionalFormatting>
  <conditionalFormatting sqref="J30">
    <cfRule type="cellIs" dxfId="3536" priority="127" operator="lessThan">
      <formula>98</formula>
    </cfRule>
  </conditionalFormatting>
  <conditionalFormatting sqref="J32:J33">
    <cfRule type="cellIs" dxfId="3535" priority="129" stopIfTrue="1" operator="greaterThan">
      <formula>100</formula>
    </cfRule>
    <cfRule type="cellIs" dxfId="3534" priority="128" stopIfTrue="1" operator="lessThan">
      <formula>96.8</formula>
    </cfRule>
  </conditionalFormatting>
  <conditionalFormatting sqref="J32:J34">
    <cfRule type="cellIs" dxfId="3533" priority="130" operator="lessThan">
      <formula>98</formula>
    </cfRule>
  </conditionalFormatting>
  <conditionalFormatting sqref="J72">
    <cfRule type="cellIs" dxfId="3532" priority="132" stopIfTrue="1" operator="lessThanOrEqual">
      <formula>0</formula>
    </cfRule>
    <cfRule type="cellIs" dxfId="3531" priority="131" stopIfTrue="1" operator="greaterThan">
      <formula>$F72</formula>
    </cfRule>
  </conditionalFormatting>
  <conditionalFormatting sqref="K10:K22">
    <cfRule type="cellIs" dxfId="3530" priority="4" operator="greaterThan">
      <formula>6</formula>
    </cfRule>
    <cfRule type="cellIs" dxfId="3529" priority="5" operator="lessThan">
      <formula>4</formula>
    </cfRule>
    <cfRule type="cellIs" dxfId="3528" priority="6" operator="greaterThan">
      <formula>6.4</formula>
    </cfRule>
  </conditionalFormatting>
  <conditionalFormatting sqref="K54:K59 K63:N69 K70 M70:N70 K71:N71">
    <cfRule type="cellIs" dxfId="3527" priority="108" stopIfTrue="1" operator="lessThan">
      <formula>100%</formula>
    </cfRule>
  </conditionalFormatting>
  <conditionalFormatting sqref="K74:K79">
    <cfRule type="cellIs" dxfId="3526" priority="179" stopIfTrue="1" operator="lessThan">
      <formula>100%</formula>
    </cfRule>
  </conditionalFormatting>
  <conditionalFormatting sqref="K81:K82">
    <cfRule type="cellIs" dxfId="3525" priority="186" stopIfTrue="1" operator="lessThan">
      <formula>100%</formula>
    </cfRule>
  </conditionalFormatting>
  <conditionalFormatting sqref="L10:L19">
    <cfRule type="cellIs" dxfId="3524" priority="10" operator="between">
      <formula>61</formula>
      <formula>65</formula>
    </cfRule>
    <cfRule type="cellIs" dxfId="3523" priority="11" operator="greaterThan">
      <formula>65</formula>
    </cfRule>
  </conditionalFormatting>
  <conditionalFormatting sqref="L20:M21 L22">
    <cfRule type="cellIs" dxfId="3522" priority="28" operator="greaterThan">
      <formula>65</formula>
    </cfRule>
    <cfRule type="cellIs" dxfId="3521" priority="27" operator="between">
      <formula>61</formula>
      <formula>65</formula>
    </cfRule>
  </conditionalFormatting>
  <conditionalFormatting sqref="L25:M36">
    <cfRule type="cellIs" dxfId="3520" priority="53" operator="lessThan">
      <formula>98</formula>
    </cfRule>
  </conditionalFormatting>
  <conditionalFormatting sqref="L40:N40">
    <cfRule type="cellIs" dxfId="3519" priority="54" operator="notEqual">
      <formula>#REF!</formula>
    </cfRule>
  </conditionalFormatting>
  <conditionalFormatting sqref="L72:N72">
    <cfRule type="cellIs" dxfId="3518" priority="133" stopIfTrue="1" operator="lessThan">
      <formula>100%</formula>
    </cfRule>
  </conditionalFormatting>
  <conditionalFormatting sqref="L74:N82">
    <cfRule type="cellIs" dxfId="3517" priority="164" stopIfTrue="1" operator="lessThan">
      <formula>100%</formula>
    </cfRule>
  </conditionalFormatting>
  <conditionalFormatting sqref="M10:M19">
    <cfRule type="expression" dxfId="3516" priority="7">
      <formula>IF(+(IF(M10&lt;U10,0,IF(M10&gt;V10,0,1)))=0,1)</formula>
    </cfRule>
  </conditionalFormatting>
  <conditionalFormatting sqref="M20:M21">
    <cfRule type="expression" dxfId="3515" priority="34">
      <formula>IF(+(IF(M20&lt;U20,0,IF(M20&gt;V20,0,1)))=0,1)</formula>
    </cfRule>
  </conditionalFormatting>
  <conditionalFormatting sqref="M22:N22">
    <cfRule type="expression" dxfId="3514" priority="194">
      <formula>IF(+(IF(M22&lt;#REF!,0,IF(M22&gt;#REF!,0,1)))=0,1)</formula>
    </cfRule>
  </conditionalFormatting>
  <conditionalFormatting sqref="N10:N21">
    <cfRule type="expression" dxfId="3513" priority="3">
      <formula>IF(+(IF(N10&lt;W10,0,IF(N10&gt;X10,0,1)))=0,1)</formula>
    </cfRule>
  </conditionalFormatting>
  <conditionalFormatting sqref="P6">
    <cfRule type="cellIs" dxfId="3512" priority="160" operator="greaterThanOrEqual">
      <formula>19</formula>
    </cfRule>
  </conditionalFormatting>
  <dataValidations count="1">
    <dataValidation type="list" allowBlank="1" showInputMessage="1" showErrorMessage="1" sqref="R8" xr:uid="{2D6A072B-F127-4188-92FB-8D325EC1A1D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6F71-49F0-4F2F-BEA9-858107BB6B58}">
  <sheetPr>
    <pageSetUpPr fitToPage="1"/>
  </sheetPr>
  <dimension ref="A1:BE79"/>
  <sheetViews>
    <sheetView topLeftCell="A8" zoomScale="80" zoomScaleNormal="80" workbookViewId="0">
      <selection activeCell="B19" sqref="B19:O1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45933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[22]Brewhouse!$A833</f>
        <v>CA723</v>
      </c>
      <c r="D10" s="279">
        <f>[22]Brewhouse!$AF833</f>
        <v>50.3</v>
      </c>
      <c r="E10" s="279">
        <f>[22]Brewhouse!$AI833</f>
        <v>49.9</v>
      </c>
      <c r="F10" s="278">
        <f>[22]Brewhouse!$V833</f>
        <v>60</v>
      </c>
      <c r="G10" s="279">
        <f>[22]Brewhouse!AG833</f>
        <v>11.8</v>
      </c>
      <c r="H10" s="396">
        <v>11.8</v>
      </c>
      <c r="I10" s="368">
        <f>[22]Brewhouse!$AU833</f>
        <v>97.44863673192387</v>
      </c>
      <c r="J10" s="368">
        <f>[22]Brewhouse!$AV833</f>
        <v>99.109831899542513</v>
      </c>
      <c r="K10" s="281">
        <f>[22]Brewhouse!$Q833</f>
        <v>6.4528301886792487</v>
      </c>
      <c r="L10" s="276">
        <f>[22]Brewhouse!$P833</f>
        <v>0</v>
      </c>
      <c r="M10" s="397">
        <f>[22]Brewhouse!$U833-[22]Brewhouse!$T833</f>
        <v>0.11666666666666667</v>
      </c>
      <c r="N10" s="370">
        <f>[22]Brewhouse!$Z833</f>
        <v>0.2583333333333333</v>
      </c>
      <c r="O10" s="421" t="str">
        <f>[22]Brewhouse!$AX833</f>
        <v>R.Sookram</v>
      </c>
      <c r="P10" s="418"/>
      <c r="R10" s="277" t="str">
        <f t="shared" ref="R10:R22" si="0">B10</f>
        <v>CARIB</v>
      </c>
      <c r="S10" s="296">
        <f t="shared" ref="S10:S22" si="1">VLOOKUP($B10,$R$3:$X$9,2,FALSE)</f>
        <v>11.6</v>
      </c>
      <c r="T10" s="296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296">
        <f t="shared" ref="Z10:Z22" si="8">VLOOKUP($B10,$R$3:$Z$9,9,FALSE)</f>
        <v>60</v>
      </c>
    </row>
    <row r="11" spans="2:29" ht="15.75" customHeight="1">
      <c r="B11" s="29" t="s">
        <v>6</v>
      </c>
      <c r="C11" s="366" t="str">
        <f>[22]Brewhouse!$A834</f>
        <v>CA724</v>
      </c>
      <c r="D11" s="279">
        <f>[22]Brewhouse!$AF834</f>
        <v>52.6</v>
      </c>
      <c r="E11" s="279">
        <f>[22]Brewhouse!$AI834</f>
        <v>50.8</v>
      </c>
      <c r="F11" s="278">
        <f>[22]Brewhouse!$V834</f>
        <v>55</v>
      </c>
      <c r="G11" s="279">
        <f>[22]Brewhouse!AG834</f>
        <v>11.6</v>
      </c>
      <c r="H11" s="396">
        <v>11.8</v>
      </c>
      <c r="I11" s="368">
        <f>[22]Brewhouse!$AU834</f>
        <v>96.712924217968265</v>
      </c>
      <c r="J11" s="368">
        <f>[22]Brewhouse!$AV834</f>
        <v>98.362386781553212</v>
      </c>
      <c r="K11" s="281">
        <f>[22]Brewhouse!$Q834</f>
        <v>2.1132075471698064</v>
      </c>
      <c r="L11" s="276">
        <f>[22]Brewhouse!$P834</f>
        <v>60</v>
      </c>
      <c r="M11" s="397">
        <f>[22]Brewhouse!$U834-[22]Brewhouse!$T834</f>
        <v>0.11388888888888887</v>
      </c>
      <c r="N11" s="370">
        <f>[22]Brewhouse!$Z834</f>
        <v>0.25208333333333333</v>
      </c>
      <c r="O11" s="421" t="str">
        <f>[22]Brewhouse!$AX834</f>
        <v>K.Benjamin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[22]Brewhouse!$A835</f>
        <v>CA725</v>
      </c>
      <c r="D12" s="279">
        <f>[22]Brewhouse!$AF835</f>
        <v>51.3</v>
      </c>
      <c r="E12" s="279">
        <f>[22]Brewhouse!$AI835</f>
        <v>50.4</v>
      </c>
      <c r="F12" s="278">
        <f>[22]Brewhouse!$V835</f>
        <v>61</v>
      </c>
      <c r="G12" s="279">
        <f>[22]Brewhouse!AG835</f>
        <v>11.6</v>
      </c>
      <c r="H12" s="396">
        <v>11.8</v>
      </c>
      <c r="I12" s="368">
        <f>[22]Brewhouse!$AU835</f>
        <v>96.309527894556425</v>
      </c>
      <c r="J12" s="368">
        <f>[22]Brewhouse!$AV835</f>
        <v>97.951709124936244</v>
      </c>
      <c r="K12" s="281">
        <f>[22]Brewhouse!$Q835</f>
        <v>4.5660377358490596</v>
      </c>
      <c r="L12" s="276">
        <f>[22]Brewhouse!$P835</f>
        <v>61</v>
      </c>
      <c r="M12" s="397">
        <f>[22]Brewhouse!$U835-[22]Brewhouse!$T835</f>
        <v>0.12152777777777779</v>
      </c>
      <c r="N12" s="370">
        <f>[22]Brewhouse!$Z835</f>
        <v>0.26180555555555557</v>
      </c>
      <c r="O12" s="421" t="str">
        <f>[22]Brewhouse!$AX835</f>
        <v>K.Benjamin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[22]Brewhouse!$A836</f>
        <v>CA726</v>
      </c>
      <c r="D13" s="279">
        <f>[22]Brewhouse!$AF836</f>
        <v>52.4</v>
      </c>
      <c r="E13" s="279">
        <f>[22]Brewhouse!$AI836</f>
        <v>51.5</v>
      </c>
      <c r="F13" s="278">
        <f>[22]Brewhouse!$V836</f>
        <v>71</v>
      </c>
      <c r="G13" s="279">
        <f>[22]Brewhouse!AG836</f>
        <v>11.7</v>
      </c>
      <c r="H13" s="396">
        <v>11.8</v>
      </c>
      <c r="I13" s="368">
        <f>[22]Brewhouse!$AU836</f>
        <v>99.949173460235883</v>
      </c>
      <c r="J13" s="368">
        <f>[22]Brewhouse!$AV836</f>
        <v>101.65369256450401</v>
      </c>
      <c r="K13" s="281">
        <f>[22]Brewhouse!$Q836</f>
        <v>2.4905660377358494</v>
      </c>
      <c r="L13" s="276">
        <f>[22]Brewhouse!$P836</f>
        <v>70</v>
      </c>
      <c r="M13" s="397">
        <f>[22]Brewhouse!$U836-[22]Brewhouse!$T836</f>
        <v>0.11388888888888882</v>
      </c>
      <c r="N13" s="370">
        <f>[22]Brewhouse!$Z836</f>
        <v>0.26458333333333328</v>
      </c>
      <c r="O13" s="421" t="str">
        <f>[22]Brewhouse!$AX836</f>
        <v>K.Benjamin</v>
      </c>
      <c r="P13" s="418" t="s">
        <v>171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[22]Brewhouse!$A837</f>
        <v>CA727</v>
      </c>
      <c r="D14" s="279">
        <f>[22]Brewhouse!$AF837</f>
        <v>52</v>
      </c>
      <c r="E14" s="279">
        <f>[22]Brewhouse!$AI837</f>
        <v>50.5</v>
      </c>
      <c r="F14" s="278">
        <f>[22]Brewhouse!$V837</f>
        <v>69</v>
      </c>
      <c r="G14" s="279">
        <f>[22]Brewhouse!AG837</f>
        <v>11.6</v>
      </c>
      <c r="H14" s="396">
        <v>11.5</v>
      </c>
      <c r="I14" s="368">
        <f>[22]Brewhouse!$AU837</f>
        <v>96.620825316064355</v>
      </c>
      <c r="J14" s="368">
        <f>[22]Brewhouse!$AV837</f>
        <v>98.268179632498388</v>
      </c>
      <c r="K14" s="281">
        <f>[22]Brewhouse!$Q837</f>
        <v>3.4274952919020718</v>
      </c>
      <c r="L14" s="276">
        <f>[22]Brewhouse!$P837</f>
        <v>60</v>
      </c>
      <c r="M14" s="397">
        <f>[22]Brewhouse!$U837-[22]Brewhouse!$T837</f>
        <v>0.11875000000000002</v>
      </c>
      <c r="N14" s="370">
        <f>[22]Brewhouse!$Z837</f>
        <v>0.3083333333333334</v>
      </c>
      <c r="O14" s="421" t="str">
        <f>[22]Brewhouse!$AX837</f>
        <v>R. Regis</v>
      </c>
      <c r="P14" s="418" t="s">
        <v>172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[22]Brewhouse!$A838</f>
        <v>CA728</v>
      </c>
      <c r="D15" s="279">
        <f>[22]Brewhouse!$AF838</f>
        <v>53.3</v>
      </c>
      <c r="E15" s="279">
        <f>[22]Brewhouse!$AI838</f>
        <v>51.2</v>
      </c>
      <c r="F15" s="278">
        <f>[22]Brewhouse!$V838</f>
        <v>70</v>
      </c>
      <c r="G15" s="279">
        <f>[22]Brewhouse!AG838</f>
        <v>11.8</v>
      </c>
      <c r="H15" s="396">
        <v>11.9</v>
      </c>
      <c r="I15" s="368">
        <f>[22]Brewhouse!$AU838</f>
        <v>99.366945265321888</v>
      </c>
      <c r="J15" s="368">
        <f>[22]Brewhouse!$AV838</f>
        <v>101.06153513208942</v>
      </c>
      <c r="K15" s="281">
        <f>[22]Brewhouse!$Q838</f>
        <v>0.97928436911488348</v>
      </c>
      <c r="L15" s="276">
        <f>[22]Brewhouse!$P838</f>
        <v>60</v>
      </c>
      <c r="M15" s="397">
        <f>[22]Brewhouse!$U838-[22]Brewhouse!$T838</f>
        <v>0.1166666666666667</v>
      </c>
      <c r="N15" s="370">
        <f>[22]Brewhouse!$Z838</f>
        <v>0.26458333333333339</v>
      </c>
      <c r="O15" s="421" t="str">
        <f>[22]Brewhouse!$AX838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>
      <c r="B17" s="33" t="s">
        <v>9</v>
      </c>
      <c r="C17" s="366" t="str">
        <f>[23]Brewhouse!$A399</f>
        <v>ST376</v>
      </c>
      <c r="D17" s="279">
        <f>[23]Brewhouse!$AD399</f>
        <v>47.5</v>
      </c>
      <c r="E17" s="279">
        <f>[23]Brewhouse!$AG399</f>
        <v>47.2</v>
      </c>
      <c r="F17" s="278">
        <f>[23]Brewhouse!$V399</f>
        <v>62</v>
      </c>
      <c r="G17" s="279">
        <f>[23]Brewhouse!$AE399</f>
        <v>11.8</v>
      </c>
      <c r="H17" s="396">
        <v>12.1</v>
      </c>
      <c r="I17" s="420">
        <f>[23]Brewhouse!$AS399</f>
        <v>92.950608655346528</v>
      </c>
      <c r="J17" s="420">
        <f>[23]Brewhouse!$AT399</f>
        <v>94.28783873238892</v>
      </c>
      <c r="K17" s="281">
        <f>[23]Brewhouse!$Q399</f>
        <v>13.605769230769221</v>
      </c>
      <c r="L17" s="276">
        <f>[23]Brewhouse!$P399</f>
        <v>61</v>
      </c>
      <c r="M17" s="374">
        <f>[23]Brewhouse!$U399-[23]Brewhouse!$T399</f>
        <v>0.11458333333333326</v>
      </c>
      <c r="N17" s="370">
        <f>[23]Brewhouse!$AW399</f>
        <v>0.25208333333333321</v>
      </c>
      <c r="O17" s="421" t="str">
        <f>[23]Brewhouse!$AV399</f>
        <v>R. Regis</v>
      </c>
      <c r="P17" s="418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75" customHeight="1">
      <c r="B18" s="33" t="s">
        <v>9</v>
      </c>
      <c r="C18" s="366" t="str">
        <f>[23]Brewhouse!$A400</f>
        <v>ST377</v>
      </c>
      <c r="D18" s="279">
        <f>[23]Brewhouse!$AD400</f>
        <v>47.3</v>
      </c>
      <c r="E18" s="279">
        <f>[23]Brewhouse!$AG400</f>
        <v>49</v>
      </c>
      <c r="F18" s="278">
        <f>[23]Brewhouse!$V400</f>
        <v>67</v>
      </c>
      <c r="G18" s="279">
        <f>[23]Brewhouse!$AE400</f>
        <v>12</v>
      </c>
      <c r="H18" s="396">
        <v>11.9</v>
      </c>
      <c r="I18" s="420">
        <f>[23]Brewhouse!$AS400</f>
        <v>98.21567348646829</v>
      </c>
      <c r="J18" s="420">
        <f>[23]Brewhouse!$AT400</f>
        <v>99.628649200377438</v>
      </c>
      <c r="K18" s="281">
        <f>[23]Brewhouse!$Q400</f>
        <v>13.387715930902115</v>
      </c>
      <c r="L18" s="276">
        <f>[23]Brewhouse!$P400</f>
        <v>60</v>
      </c>
      <c r="M18" s="374">
        <f>[23]Brewhouse!$U400-[23]Brewhouse!$T400</f>
        <v>0.11805555555555558</v>
      </c>
      <c r="N18" s="370">
        <f>[23]Brewhouse!$AW400</f>
        <v>0.25624999999999998</v>
      </c>
      <c r="O18" s="421" t="str">
        <f>[23]Brewhouse!$AV400</f>
        <v>R.Sookram</v>
      </c>
      <c r="P18" s="418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6" customHeight="1">
      <c r="B19" s="33" t="s">
        <v>9</v>
      </c>
      <c r="C19" s="366" t="str">
        <f>[23]Brewhouse!$A401</f>
        <v>ST378</v>
      </c>
      <c r="D19" s="279">
        <f>[23]Brewhouse!$AD401</f>
        <v>48.7</v>
      </c>
      <c r="E19" s="279">
        <f>[23]Brewhouse!$AG401</f>
        <v>48.8</v>
      </c>
      <c r="F19" s="278">
        <f>[23]Brewhouse!$V401</f>
        <v>60</v>
      </c>
      <c r="G19" s="279">
        <f>[23]Brewhouse!$AE401</f>
        <v>11.9</v>
      </c>
      <c r="H19" s="367"/>
      <c r="I19" s="420">
        <f>[23]Brewhouse!$AS401</f>
        <v>96.958134965940886</v>
      </c>
      <c r="J19" s="420">
        <f>[23]Brewhouse!$AT401</f>
        <v>98.353019154070765</v>
      </c>
      <c r="K19" s="281">
        <f>[23]Brewhouse!$Q401</f>
        <v>16.492395437262353</v>
      </c>
      <c r="L19" s="276">
        <f>[23]Brewhouse!$P401</f>
        <v>57</v>
      </c>
      <c r="M19" s="374">
        <f>[23]Brewhouse!$U401-[23]Brewhouse!$T401</f>
        <v>0.13958333333333339</v>
      </c>
      <c r="N19" s="370">
        <f>[23]Brewhouse!$AW401</f>
        <v>0.27986111111111112</v>
      </c>
      <c r="O19" s="421" t="str">
        <f>[23]Brewhouse!$AV401</f>
        <v>R.Sookram</v>
      </c>
      <c r="P19" s="418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6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6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6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ref="R23:R38" si="9">B23</f>
        <v>0</v>
      </c>
      <c r="S23" s="296" t="e">
        <f t="shared" ref="S23:S38" si="10">VLOOKUP($B23,$R$3:$X$9,2,FALSE)</f>
        <v>#N/A</v>
      </c>
      <c r="T23" s="296" t="e">
        <f t="shared" ref="T23:T38" si="11">VLOOKUP($B23,$R$3:$X$9,3,FALSE)</f>
        <v>#N/A</v>
      </c>
      <c r="U23" s="297" t="e">
        <f t="shared" ref="U23:U38" si="12">VLOOKUP($B23,$R$3:$X$9,4,FALSE)</f>
        <v>#N/A</v>
      </c>
      <c r="V23" s="297" t="e">
        <f t="shared" ref="V23:V38" si="13">VLOOKUP($B23,$R$3:$X$9,5,FALSE)</f>
        <v>#N/A</v>
      </c>
      <c r="W23" s="297" t="e">
        <f t="shared" ref="W23:W38" si="14">VLOOKUP($B23,$R$3:$X$9,6,FALSE)</f>
        <v>#N/A</v>
      </c>
      <c r="X23" s="297" t="e">
        <f t="shared" ref="X23:X38" si="15">VLOOKUP($B23,$R$3:$X$9,7,FALSE)</f>
        <v>#N/A</v>
      </c>
      <c r="Y23" s="297" t="e">
        <f t="shared" ref="Y23:Y38" si="16">VLOOKUP($B23,$R$3:$Z$9,8,FALSE)</f>
        <v>#N/A</v>
      </c>
      <c r="Z23" s="296" t="e">
        <f t="shared" ref="Z23:Z38" si="17">VLOOKUP($B23,$R$3:$Z$9,9,FALSE)</f>
        <v>#N/A</v>
      </c>
    </row>
    <row r="24" spans="1:27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1"/>
      <c r="J25" s="511"/>
      <c r="K25" s="511"/>
      <c r="L25" s="511"/>
      <c r="M25" s="511"/>
      <c r="N25" s="511"/>
      <c r="O25" s="1"/>
      <c r="P25" s="12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7" ht="15.75" thickBot="1">
      <c r="B26" s="388" t="s">
        <v>162</v>
      </c>
      <c r="C26" s="388"/>
      <c r="D26" s="489" t="s">
        <v>35</v>
      </c>
      <c r="E26" s="490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5" customHeight="1">
      <c r="A27" s="28"/>
      <c r="B27" s="573" t="str">
        <f>I33</f>
        <v>STARMALT</v>
      </c>
      <c r="C27" s="362"/>
      <c r="D27" s="515">
        <v>17.04</v>
      </c>
      <c r="E27" s="516"/>
      <c r="F27" s="294"/>
      <c r="G27" s="294"/>
      <c r="H27" s="348"/>
      <c r="I27" s="29" t="s">
        <v>6</v>
      </c>
      <c r="J27" s="280">
        <f>AVERAGE(I10:I15)</f>
        <v>97.734672147678452</v>
      </c>
      <c r="K27" s="284">
        <f>COUNTA([22]Brewhouse!$A$823:$A$838)</f>
        <v>16</v>
      </c>
      <c r="L27" s="305">
        <f>AVERAGE([22]Brewhouse!$AU$823:$AU$838)</f>
        <v>97.418582386682701</v>
      </c>
      <c r="M27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$838)</f>
        <v>97.700089962013905</v>
      </c>
      <c r="N27" s="30">
        <v>98</v>
      </c>
      <c r="O27" s="11"/>
      <c r="P27" s="31"/>
      <c r="R27" s="277" t="str">
        <f t="shared" si="9"/>
        <v>STARMALT</v>
      </c>
      <c r="S27" s="296">
        <f t="shared" si="10"/>
        <v>17</v>
      </c>
      <c r="T27" s="296">
        <f t="shared" si="11"/>
        <v>17.399999999999999</v>
      </c>
      <c r="U27" s="297">
        <f t="shared" si="12"/>
        <v>0</v>
      </c>
      <c r="V27" s="297">
        <f t="shared" si="13"/>
        <v>0.13605324074074074</v>
      </c>
      <c r="W27" s="297">
        <f t="shared" si="14"/>
        <v>0.27430555555555552</v>
      </c>
      <c r="X27" s="297">
        <f t="shared" si="15"/>
        <v>0.30902777777777779</v>
      </c>
      <c r="Y27" s="297">
        <f t="shared" si="16"/>
        <v>0</v>
      </c>
      <c r="Z27" s="296">
        <f t="shared" si="17"/>
        <v>85</v>
      </c>
    </row>
    <row r="28" spans="1:27" ht="15" customHeight="1">
      <c r="A28" s="28"/>
      <c r="B28" s="574"/>
      <c r="C28" s="362"/>
      <c r="D28" s="517"/>
      <c r="E28" s="518"/>
      <c r="F28" s="294"/>
      <c r="G28" s="294"/>
      <c r="H28" s="348"/>
      <c r="I28" s="33" t="s">
        <v>9</v>
      </c>
      <c r="J28" s="280">
        <f>AVERAGE(I17:I19)</f>
        <v>96.041472369251892</v>
      </c>
      <c r="K28" s="284">
        <f>COUNTA([23]Brewhouse!$A$399:$A$401)</f>
        <v>3</v>
      </c>
      <c r="L28" s="302">
        <f>AVERAGE([23]Brewhouse!$AS$399:$AS$401)</f>
        <v>96.041472369251892</v>
      </c>
      <c r="M28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$401)</f>
        <v>97.98083521708719</v>
      </c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7" ht="14.65" customHeight="1">
      <c r="A29" s="28"/>
      <c r="B29" s="574"/>
      <c r="C29" s="362"/>
      <c r="D29" s="515">
        <v>17.04</v>
      </c>
      <c r="E29" s="516"/>
      <c r="F29" s="294"/>
      <c r="G29" s="294"/>
      <c r="H29" s="348"/>
      <c r="I29" s="34" t="s">
        <v>12</v>
      </c>
      <c r="J29" s="280"/>
      <c r="K29" s="284"/>
      <c r="L29" s="302"/>
      <c r="M29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7" ht="14.65" customHeight="1">
      <c r="A30" s="28"/>
      <c r="B30" s="574"/>
      <c r="C30" s="362"/>
      <c r="D30" s="517"/>
      <c r="E30" s="518"/>
      <c r="F30" s="294"/>
      <c r="G30" s="294"/>
      <c r="H30" s="348"/>
      <c r="I30" s="22" t="s">
        <v>33</v>
      </c>
      <c r="J30" s="280"/>
      <c r="K30" s="284"/>
      <c r="L30" s="302"/>
      <c r="M30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7" ht="14.65" customHeight="1">
      <c r="A31" s="28"/>
      <c r="B31" s="574"/>
      <c r="C31" s="362"/>
      <c r="D31" s="515">
        <v>17.02</v>
      </c>
      <c r="E31" s="516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7" ht="14.65" customHeight="1">
      <c r="A32" s="28"/>
      <c r="B32" s="574"/>
      <c r="C32" s="362"/>
      <c r="D32" s="517"/>
      <c r="E32" s="518"/>
      <c r="F32" s="417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AVERAGE([26]Brewhouse!$AT$4:$AT$11,[26]Brewhouse!$AT$13:$AT$16,[26]Brewhouse!$AT$18:$AT$21,[26]Brewhouse!$AT$26,[26]Brewhouse!$AT$28:$AT$35)</f>
        <v>94.794664331624134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  <c r="AA32" s="296"/>
    </row>
    <row r="33" spans="1:56" ht="14.65" customHeight="1">
      <c r="A33" s="28"/>
      <c r="B33" s="574"/>
      <c r="C33" s="362"/>
      <c r="D33" s="515">
        <v>17.170000000000002</v>
      </c>
      <c r="E33" s="516"/>
      <c r="F33" s="417"/>
      <c r="G33" s="294"/>
      <c r="H33" s="348"/>
      <c r="I33" s="37" t="s">
        <v>16</v>
      </c>
      <c r="J33" s="323"/>
      <c r="K33" s="284"/>
      <c r="L33" s="302"/>
      <c r="M33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3" s="30">
        <v>98</v>
      </c>
      <c r="O33" s="11"/>
      <c r="P33" s="31" t="s">
        <v>41</v>
      </c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  <c r="AA33" s="296"/>
    </row>
    <row r="34" spans="1:56" ht="14.65" customHeight="1">
      <c r="A34" s="28"/>
      <c r="B34" s="574"/>
      <c r="C34" s="362"/>
      <c r="D34" s="517"/>
      <c r="E34" s="518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AVERAGE([28]Brewhouse!$AU$5:$AU$8,[28]Brewhouse!$AU$10:$AU$13,[27]Brewhouse!$AY$75:$AY$77)</f>
        <v>94.749192473706671</v>
      </c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  <c r="AA34" s="296"/>
    </row>
    <row r="35" spans="1:56" ht="14.65" customHeight="1">
      <c r="A35" s="28"/>
      <c r="B35" s="574"/>
      <c r="C35" s="349"/>
      <c r="D35" s="515">
        <v>17.05</v>
      </c>
      <c r="E35" s="516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5" customHeight="1" thickBot="1">
      <c r="A36" s="28"/>
      <c r="B36" s="574"/>
      <c r="C36" s="349"/>
      <c r="D36" s="517"/>
      <c r="E36" s="518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5" customHeight="1" thickBot="1">
      <c r="A37" s="28"/>
      <c r="B37" s="574"/>
      <c r="C37" s="349"/>
      <c r="D37" s="515"/>
      <c r="E37" s="516"/>
      <c r="F37" s="294"/>
      <c r="G37" s="294"/>
      <c r="H37" s="348"/>
      <c r="I37" s="1"/>
      <c r="J37" s="39"/>
      <c r="K37" s="404">
        <f>SUM(K27:K36)</f>
        <v>19</v>
      </c>
      <c r="L37" s="405">
        <f>((L27*K27)+(L28*K28)+(L29*K29)+(L30*K30)+(L31*K31)+(K34*L34)+(L32*K32)+(L33*K33)+(L36*K36))/(K37)</f>
        <v>97.201143962877836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97.538064635969576</v>
      </c>
      <c r="N37" s="4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  <c r="AA37" s="296"/>
    </row>
    <row r="38" spans="1:56" ht="15.75" thickBot="1">
      <c r="B38" s="575"/>
      <c r="C38" s="350"/>
      <c r="D38" s="517"/>
      <c r="E38" s="518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AA38" s="296"/>
    </row>
    <row r="39" spans="1:56" ht="15.75" thickBot="1">
      <c r="B39" s="562" t="str">
        <f>I27</f>
        <v>CARIB</v>
      </c>
      <c r="C39" s="362" cm="1">
        <f t="array" ref="C39:C40">[22]Process!$D$766:$D$767</f>
        <v>12</v>
      </c>
      <c r="D39" s="528">
        <v>11.75</v>
      </c>
      <c r="E39" s="529"/>
      <c r="F39" s="294"/>
      <c r="G39" s="42"/>
      <c r="H39" s="41"/>
      <c r="I39" s="42"/>
      <c r="J39" s="563" t="s">
        <v>129</v>
      </c>
      <c r="K39" s="563"/>
      <c r="L39" s="294"/>
      <c r="M39" s="294"/>
      <c r="N39" s="294"/>
      <c r="O39" s="294"/>
      <c r="P39" s="12"/>
    </row>
    <row r="40" spans="1:56" ht="15.75" thickBot="1">
      <c r="B40" s="526"/>
      <c r="C40" s="362">
        <v>11.9</v>
      </c>
      <c r="D40" s="530"/>
      <c r="E40" s="518"/>
      <c r="F40" s="294"/>
      <c r="G40" s="42"/>
      <c r="H40" s="41"/>
      <c r="I40" s="42"/>
      <c r="J40" s="292" t="s">
        <v>17</v>
      </c>
      <c r="K40" s="293" t="s">
        <v>147</v>
      </c>
      <c r="L40" s="532" t="s">
        <v>136</v>
      </c>
      <c r="M40" s="532"/>
      <c r="N40" s="533"/>
      <c r="O40" s="294"/>
      <c r="P40" s="12"/>
    </row>
    <row r="41" spans="1:56" ht="15" customHeight="1" thickBot="1">
      <c r="B41" s="526"/>
      <c r="C41" s="349" cm="1">
        <f t="array" ref="C41:C42">[22]Process!$D$782:$D$783</f>
        <v>11.6</v>
      </c>
      <c r="D41" s="564">
        <v>11.76</v>
      </c>
      <c r="E41" s="565"/>
      <c r="F41" s="294"/>
      <c r="G41" s="42"/>
      <c r="H41" s="41"/>
      <c r="I41" s="42"/>
      <c r="J41" s="287" t="s">
        <v>6</v>
      </c>
      <c r="K41" s="324">
        <v>6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26"/>
      <c r="C42" s="349">
        <v>11.8</v>
      </c>
      <c r="D42" s="530"/>
      <c r="E42" s="518"/>
      <c r="F42" s="294"/>
      <c r="G42" s="42"/>
      <c r="H42" s="41"/>
      <c r="I42" s="42"/>
      <c r="J42" s="345" t="s">
        <v>9</v>
      </c>
      <c r="K42" s="324">
        <v>3</v>
      </c>
      <c r="L42" s="344">
        <f>AVERAGE('Oct. 1st'!K49,K51)</f>
        <v>9.5</v>
      </c>
      <c r="M42" s="325">
        <f>AVERAGE('[31]Jan 29th '!$M$70,'[32]Feb 28th'!$L$40,'[33]Mar. 31st'!$L$40,'[34]Apr. 30th'!$L$50,'[35]May 30th'!$L$42,'[36]June 30th'!$L$62,'[37]July 29th '!$L$49,'[38]Aug 29th'!$L$34,'[39]Sept 30th'!$L$40,L42)</f>
        <v>7.256127777638075</v>
      </c>
      <c r="N42" s="416">
        <v>9.1999999999999993</v>
      </c>
      <c r="O42" s="294"/>
      <c r="P42" s="12"/>
    </row>
    <row r="43" spans="1:56" ht="15" customHeight="1">
      <c r="B43" s="526"/>
      <c r="C43" s="349">
        <f>[22]Process!$D$785</f>
        <v>12.2</v>
      </c>
      <c r="D43" s="564">
        <v>11.87</v>
      </c>
      <c r="E43" s="565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6"/>
      <c r="C44" s="349"/>
      <c r="D44" s="530"/>
      <c r="E44" s="518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6"/>
      <c r="C45" s="349"/>
      <c r="D45" s="564"/>
      <c r="E45" s="565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30"/>
      <c r="E46" s="518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6"/>
      <c r="C47" s="349"/>
      <c r="D47" s="564"/>
      <c r="E47" s="565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6"/>
      <c r="C48" s="350"/>
      <c r="D48" s="566"/>
      <c r="E48" s="567"/>
      <c r="F48" s="294"/>
      <c r="G48" s="42"/>
      <c r="H48" s="41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60">
        <f>AVERAGE(D27:E48)</f>
        <v>15.0875</v>
      </c>
      <c r="E49" s="561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40" t="s">
        <v>17</v>
      </c>
      <c r="C54" s="540" t="s">
        <v>44</v>
      </c>
      <c r="D54" s="542" t="s">
        <v>45</v>
      </c>
      <c r="E54" s="497" t="s">
        <v>46</v>
      </c>
      <c r="F54" s="557" t="s">
        <v>47</v>
      </c>
      <c r="G54" s="551" t="s">
        <v>48</v>
      </c>
      <c r="H54" s="540" t="s">
        <v>49</v>
      </c>
      <c r="I54" s="540" t="s">
        <v>50</v>
      </c>
      <c r="J54" s="545" t="s">
        <v>28</v>
      </c>
      <c r="K54" s="495" t="s">
        <v>51</v>
      </c>
      <c r="L54" s="507" t="s">
        <v>52</v>
      </c>
      <c r="M54" s="545" t="s">
        <v>53</v>
      </c>
      <c r="N54" s="13"/>
      <c r="O54" s="13"/>
      <c r="P54" s="50"/>
    </row>
    <row r="55" spans="2:57" ht="28.5" customHeight="1" thickTop="1" thickBot="1">
      <c r="B55" s="541"/>
      <c r="C55" s="541"/>
      <c r="D55" s="543"/>
      <c r="E55" s="544"/>
      <c r="F55" s="558"/>
      <c r="G55" s="552"/>
      <c r="H55" s="559"/>
      <c r="I55" s="559"/>
      <c r="J55" s="546"/>
      <c r="K55" s="555"/>
      <c r="L55" s="556"/>
      <c r="M55" s="546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63" t="str">
        <f>I33</f>
        <v>STARMALT</v>
      </c>
      <c r="C56" s="442">
        <v>45932</v>
      </c>
      <c r="D56" s="443">
        <f>[40]October_2025!$E$55</f>
        <v>517.25</v>
      </c>
      <c r="E56" s="444"/>
      <c r="F56" s="445"/>
      <c r="G56" s="445">
        <f>[40]October_2025!$E$59</f>
        <v>506.5</v>
      </c>
      <c r="H56" s="462"/>
      <c r="I56" s="462"/>
      <c r="J56" s="449" t="s">
        <v>167</v>
      </c>
      <c r="K56" s="450">
        <f>[41]October_2025!$E$53</f>
        <v>0.88859649122807016</v>
      </c>
      <c r="L56" s="455">
        <f>(((D56+E56)-G56)/(D56+E56))*100</f>
        <v>2.0782986950217497</v>
      </c>
      <c r="M56" s="457" t="s">
        <v>170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customHeight="1" thickBot="1">
      <c r="B57" s="458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customHeight="1" thickBot="1">
      <c r="B58" s="460" t="str">
        <f>J41</f>
        <v>CARIB</v>
      </c>
      <c r="C58" s="442">
        <v>45932</v>
      </c>
      <c r="D58" s="443">
        <f>[40]October_2025!$E$3</f>
        <v>304.8</v>
      </c>
      <c r="E58" s="444"/>
      <c r="F58" s="445"/>
      <c r="G58" s="446">
        <f>[40]October_2025!$E$7</f>
        <v>292</v>
      </c>
      <c r="H58" s="429"/>
      <c r="I58" s="429"/>
      <c r="J58" s="449" t="s">
        <v>174</v>
      </c>
      <c r="K58" s="450">
        <f>[41]October_2025!$E$18</f>
        <v>0.512280701754386</v>
      </c>
      <c r="L58" s="461">
        <f>(((D58+E58)-G58)/(D58+E58))*100</f>
        <v>4.1994750656168014</v>
      </c>
      <c r="M58" s="457" t="s">
        <v>173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>
      <c r="B59" s="454"/>
      <c r="C59" s="431"/>
      <c r="D59" s="432"/>
      <c r="E59" s="433"/>
      <c r="F59" s="434"/>
      <c r="G59" s="435"/>
      <c r="H59" s="436"/>
      <c r="I59" s="451"/>
      <c r="J59" s="452"/>
      <c r="K59" s="437" t="s">
        <v>41</v>
      </c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2"/>
      <c r="D60" s="443"/>
      <c r="E60" s="444"/>
      <c r="F60" s="445"/>
      <c r="G60" s="446"/>
      <c r="H60" s="447"/>
      <c r="I60" s="448"/>
      <c r="J60" s="449"/>
      <c r="K60" s="450"/>
      <c r="L60" s="455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47" t="s">
        <v>55</v>
      </c>
      <c r="C63" s="548"/>
      <c r="D63" s="548"/>
      <c r="E63" s="548"/>
      <c r="F63" s="549"/>
      <c r="G63" s="547" t="s">
        <v>56</v>
      </c>
      <c r="H63" s="548"/>
      <c r="I63" s="548"/>
      <c r="J63" s="549"/>
      <c r="K63" s="547" t="s">
        <v>51</v>
      </c>
      <c r="L63" s="548"/>
      <c r="M63" s="548"/>
      <c r="N63" s="550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L58</f>
        <v>4.1994750656168014</v>
      </c>
      <c r="D65" s="76">
        <v>6.7791112552708501</v>
      </c>
      <c r="E65" s="76">
        <v>6.2422655045435054</v>
      </c>
      <c r="F65" s="66">
        <v>4.8</v>
      </c>
      <c r="G65" s="65">
        <f>[40]October_2025!$E$11</f>
        <v>4.6611643424089975</v>
      </c>
      <c r="H65" s="76">
        <v>6.7102886665056527</v>
      </c>
      <c r="I65" s="76">
        <v>6.2396501532946358</v>
      </c>
      <c r="J65" s="66">
        <v>4.8</v>
      </c>
      <c r="K65" s="67">
        <f>K58</f>
        <v>0.512280701754386</v>
      </c>
      <c r="L65" s="194">
        <v>0.29622807017543856</v>
      </c>
      <c r="M65" s="194"/>
      <c r="N65" s="68">
        <v>1</v>
      </c>
      <c r="O65" s="56"/>
      <c r="P65" s="69"/>
    </row>
    <row r="66" spans="2:16" ht="15">
      <c r="B66" s="33" t="s">
        <v>9</v>
      </c>
      <c r="C66" s="65"/>
      <c r="D66" s="76">
        <v>4.8224374495561007</v>
      </c>
      <c r="E66" s="76">
        <v>5.9960377561379312</v>
      </c>
      <c r="F66" s="66">
        <v>4.8</v>
      </c>
      <c r="G66" s="65"/>
      <c r="H66" s="76">
        <v>4.0523924451026554</v>
      </c>
      <c r="I66" s="76">
        <v>5.6084803115136515</v>
      </c>
      <c r="J66" s="66">
        <v>4.8</v>
      </c>
      <c r="K66" s="67"/>
      <c r="L66" s="194">
        <v>0.8275438596491228</v>
      </c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11.635872449225705</v>
      </c>
      <c r="F67" s="66">
        <v>5.5</v>
      </c>
      <c r="G67" s="65"/>
      <c r="H67" s="76"/>
      <c r="I67" s="76">
        <v>12.740878252198055</v>
      </c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4.8132587912269527</v>
      </c>
      <c r="F68" s="66">
        <v>3.3</v>
      </c>
      <c r="G68" s="65"/>
      <c r="H68" s="76"/>
      <c r="I68" s="76">
        <v>4.4772094679692334</v>
      </c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165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7.145714971593196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>
        <f>L56</f>
        <v>2.0782986950217497</v>
      </c>
      <c r="D71" s="76">
        <v>2.0782986950217497</v>
      </c>
      <c r="E71" s="76">
        <v>3.0382638492290015</v>
      </c>
      <c r="F71" s="66">
        <v>3.3</v>
      </c>
      <c r="G71" s="282">
        <f>[40]October_2025!$E$63</f>
        <v>3.4559849687930924</v>
      </c>
      <c r="H71" s="76">
        <v>3.4559849687930924</v>
      </c>
      <c r="I71" s="76">
        <v>4.3478819741669881</v>
      </c>
      <c r="J71" s="66">
        <v>3.3</v>
      </c>
      <c r="K71" s="67">
        <f>K56</f>
        <v>0.88859649122807016</v>
      </c>
      <c r="L71" s="194">
        <v>0.88859649122807016</v>
      </c>
      <c r="M71" s="194"/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4.2046701737123096</v>
      </c>
      <c r="E74" s="76">
        <v>6.3259576208215522</v>
      </c>
      <c r="F74" s="341">
        <v>5.5</v>
      </c>
      <c r="H74" s="76">
        <v>4.2793196713019555</v>
      </c>
      <c r="I74" s="76">
        <v>6.5157700955436226</v>
      </c>
      <c r="J74" s="341">
        <v>5.5</v>
      </c>
      <c r="L74" s="194">
        <v>0.57714912280701758</v>
      </c>
      <c r="M74" s="194"/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511" priority="140" operator="notBetween">
      <formula>#REF!</formula>
      <formula>#REF!</formula>
    </cfRule>
  </conditionalFormatting>
  <conditionalFormatting sqref="C53">
    <cfRule type="cellIs" dxfId="3510" priority="172" stopIfTrue="1" operator="greaterThan">
      <formula>100</formula>
    </cfRule>
    <cfRule type="cellIs" dxfId="3509" priority="171" stopIfTrue="1" operator="lessThan">
      <formula>96</formula>
    </cfRule>
  </conditionalFormatting>
  <conditionalFormatting sqref="C65:C69">
    <cfRule type="cellIs" dxfId="3508" priority="121" stopIfTrue="1" operator="lessThanOrEqual">
      <formula>0</formula>
    </cfRule>
  </conditionalFormatting>
  <conditionalFormatting sqref="C65:C73">
    <cfRule type="cellIs" dxfId="3507" priority="120" stopIfTrue="1" operator="greaterThan">
      <formula>$F65</formula>
    </cfRule>
  </conditionalFormatting>
  <conditionalFormatting sqref="C66">
    <cfRule type="cellIs" dxfId="3506" priority="175" stopIfTrue="1" operator="greaterThan">
      <formula>$F65</formula>
    </cfRule>
  </conditionalFormatting>
  <conditionalFormatting sqref="C70">
    <cfRule type="cellIs" dxfId="3505" priority="59" stopIfTrue="1" operator="greaterThan">
      <formula>$F69</formula>
    </cfRule>
    <cfRule type="cellIs" dxfId="3504" priority="58" stopIfTrue="1" operator="lessThanOrEqual">
      <formula>0</formula>
    </cfRule>
  </conditionalFormatting>
  <conditionalFormatting sqref="C76:C80">
    <cfRule type="cellIs" dxfId="3503" priority="163" stopIfTrue="1" operator="lessThanOrEqual">
      <formula>0</formula>
    </cfRule>
  </conditionalFormatting>
  <conditionalFormatting sqref="C77:C80">
    <cfRule type="cellIs" dxfId="3502" priority="162" stopIfTrue="1" operator="greaterThan">
      <formula>$F$76</formula>
    </cfRule>
  </conditionalFormatting>
  <conditionalFormatting sqref="C82">
    <cfRule type="cellIs" dxfId="3501" priority="165" stopIfTrue="1" operator="lessThanOrEqual">
      <formula>0</formula>
    </cfRule>
    <cfRule type="cellIs" dxfId="3500" priority="164" stopIfTrue="1" operator="greaterThan">
      <formula>$F$76</formula>
    </cfRule>
  </conditionalFormatting>
  <conditionalFormatting sqref="C76:D76 D78:D84">
    <cfRule type="cellIs" dxfId="3499" priority="157" stopIfTrue="1" operator="greaterThan">
      <formula>4.5</formula>
    </cfRule>
  </conditionalFormatting>
  <conditionalFormatting sqref="D49:D50">
    <cfRule type="cellIs" dxfId="3498" priority="141" operator="notBetween">
      <formula>#REF!</formula>
      <formula>#REF!</formula>
    </cfRule>
  </conditionalFormatting>
  <conditionalFormatting sqref="D65:D72">
    <cfRule type="cellIs" dxfId="3497" priority="135" stopIfTrue="1" operator="lessThanOrEqual">
      <formula>0</formula>
    </cfRule>
  </conditionalFormatting>
  <conditionalFormatting sqref="D73">
    <cfRule type="cellIs" dxfId="3496" priority="134" stopIfTrue="1" operator="lessThanOrEqual">
      <formula>0</formula>
    </cfRule>
  </conditionalFormatting>
  <conditionalFormatting sqref="D76 D78:D84">
    <cfRule type="cellIs" dxfId="3495" priority="158" stopIfTrue="1" operator="lessThanOrEqual">
      <formula>0</formula>
    </cfRule>
  </conditionalFormatting>
  <conditionalFormatting sqref="D77">
    <cfRule type="cellIs" dxfId="3494" priority="150" stopIfTrue="1" operator="lessThanOrEqual">
      <formula>0</formula>
    </cfRule>
    <cfRule type="cellIs" dxfId="3493" priority="149" stopIfTrue="1" operator="greaterThan">
      <formula>$F$76</formula>
    </cfRule>
  </conditionalFormatting>
  <conditionalFormatting sqref="D65:E74">
    <cfRule type="cellIs" dxfId="3492" priority="118" stopIfTrue="1" operator="greaterThan">
      <formula>$F65</formula>
    </cfRule>
  </conditionalFormatting>
  <conditionalFormatting sqref="D74:E74">
    <cfRule type="cellIs" dxfId="3491" priority="119" stopIfTrue="1" operator="lessThanOrEqual">
      <formula>0</formula>
    </cfRule>
  </conditionalFormatting>
  <conditionalFormatting sqref="E10:E24">
    <cfRule type="cellIs" dxfId="3490" priority="18" operator="lessThan">
      <formula>48</formula>
    </cfRule>
  </conditionalFormatting>
  <conditionalFormatting sqref="E52 E53:F53">
    <cfRule type="cellIs" dxfId="3489" priority="154" stopIfTrue="1" operator="greaterThan">
      <formula>100</formula>
    </cfRule>
  </conditionalFormatting>
  <conditionalFormatting sqref="E53">
    <cfRule type="cellIs" dxfId="3488" priority="152" stopIfTrue="1" operator="greaterThan">
      <formula>100</formula>
    </cfRule>
    <cfRule type="cellIs" dxfId="3487" priority="151" stopIfTrue="1" operator="lessThan">
      <formula>96.8</formula>
    </cfRule>
  </conditionalFormatting>
  <conditionalFormatting sqref="E65:E73">
    <cfRule type="cellIs" dxfId="3486" priority="129" stopIfTrue="1" operator="lessThanOrEqual">
      <formula>0</formula>
    </cfRule>
  </conditionalFormatting>
  <conditionalFormatting sqref="E76:E84">
    <cfRule type="cellIs" dxfId="3485" priority="144" stopIfTrue="1" operator="lessThanOrEqual">
      <formula>0</formula>
    </cfRule>
    <cfRule type="cellIs" dxfId="3484" priority="143" stopIfTrue="1" operator="greaterThan">
      <formula>4.5</formula>
    </cfRule>
  </conditionalFormatting>
  <conditionalFormatting sqref="E53:F53 E52">
    <cfRule type="cellIs" dxfId="3483" priority="153" stopIfTrue="1" operator="lessThan">
      <formula>96.5</formula>
    </cfRule>
  </conditionalFormatting>
  <conditionalFormatting sqref="F10:F24">
    <cfRule type="cellIs" dxfId="3482" priority="19" operator="greaterThan">
      <formula>60</formula>
    </cfRule>
  </conditionalFormatting>
  <conditionalFormatting sqref="F53">
    <cfRule type="cellIs" dxfId="3481" priority="169" stopIfTrue="1" operator="lessThan">
      <formula>96.8</formula>
    </cfRule>
    <cfRule type="cellIs" dxfId="3480" priority="170" stopIfTrue="1" operator="greaterThan">
      <formula>100</formula>
    </cfRule>
  </conditionalFormatting>
  <conditionalFormatting sqref="F74">
    <cfRule type="cellIs" dxfId="3479" priority="131" stopIfTrue="1" operator="lessThanOrEqual">
      <formula>0</formula>
    </cfRule>
    <cfRule type="cellIs" dxfId="3478" priority="130" stopIfTrue="1" operator="greaterThan">
      <formula>$F74</formula>
    </cfRule>
  </conditionalFormatting>
  <conditionalFormatting sqref="F79">
    <cfRule type="cellIs" dxfId="3477" priority="88" stopIfTrue="1" operator="greaterThan">
      <formula>$F79</formula>
    </cfRule>
    <cfRule type="cellIs" dxfId="3476" priority="89" stopIfTrue="1" operator="lessThanOrEqual">
      <formula>0</formula>
    </cfRule>
  </conditionalFormatting>
  <conditionalFormatting sqref="G10:G16">
    <cfRule type="expression" dxfId="3475" priority="23">
      <formula>IF(+(IF(G10&lt;S10,0,IF(G10&gt;T10,0,1)))=0,1)</formula>
    </cfRule>
  </conditionalFormatting>
  <conditionalFormatting sqref="G65:G66 C71:C73">
    <cfRule type="cellIs" dxfId="3474" priority="137" stopIfTrue="1" operator="lessThanOrEqual">
      <formula>0</formula>
    </cfRule>
  </conditionalFormatting>
  <conditionalFormatting sqref="G65:G66">
    <cfRule type="cellIs" dxfId="3473" priority="136" stopIfTrue="1" operator="greaterThan">
      <formula>$F65</formula>
    </cfRule>
    <cfRule type="cellIs" dxfId="3472" priority="123" stopIfTrue="1" operator="lessThanOrEqual">
      <formula>0</formula>
    </cfRule>
    <cfRule type="cellIs" dxfId="3471" priority="122" stopIfTrue="1" operator="greaterThan">
      <formula>$F65</formula>
    </cfRule>
  </conditionalFormatting>
  <conditionalFormatting sqref="G67">
    <cfRule type="cellIs" dxfId="3470" priority="174" stopIfTrue="1" operator="lessThanOrEqual">
      <formula>0</formula>
    </cfRule>
    <cfRule type="cellIs" dxfId="3469" priority="173" stopIfTrue="1" operator="greaterThan">
      <formula>$F66</formula>
    </cfRule>
  </conditionalFormatting>
  <conditionalFormatting sqref="G68">
    <cfRule type="cellIs" dxfId="3468" priority="133" stopIfTrue="1" operator="lessThanOrEqual">
      <formula>0</formula>
    </cfRule>
    <cfRule type="cellIs" dxfId="3467" priority="132" stopIfTrue="1" operator="greaterThan">
      <formula>$F68</formula>
    </cfRule>
  </conditionalFormatting>
  <conditionalFormatting sqref="G69:G73">
    <cfRule type="cellIs" dxfId="3466" priority="138" stopIfTrue="1" operator="greaterThan">
      <formula>$J69</formula>
    </cfRule>
    <cfRule type="cellIs" dxfId="3465" priority="139" stopIfTrue="1" operator="lessThanOrEqual">
      <formula>0</formula>
    </cfRule>
  </conditionalFormatting>
  <conditionalFormatting sqref="G78:G83 C81 C83">
    <cfRule type="cellIs" dxfId="3464" priority="166" stopIfTrue="1" operator="greaterThan">
      <formula>4.5</formula>
    </cfRule>
    <cfRule type="cellIs" dxfId="3463" priority="167" stopIfTrue="1" operator="lessThanOrEqual">
      <formula>0</formula>
    </cfRule>
  </conditionalFormatting>
  <conditionalFormatting sqref="G77:H77">
    <cfRule type="cellIs" dxfId="3462" priority="147" stopIfTrue="1" operator="greaterThan">
      <formula>$F$76</formula>
    </cfRule>
    <cfRule type="cellIs" dxfId="3461" priority="148" stopIfTrue="1" operator="lessThanOrEqual">
      <formula>0</formula>
    </cfRule>
  </conditionalFormatting>
  <conditionalFormatting sqref="H38:H52">
    <cfRule type="cellIs" dxfId="3460" priority="145" stopIfTrue="1" operator="greaterThan">
      <formula>0</formula>
    </cfRule>
  </conditionalFormatting>
  <conditionalFormatting sqref="H56">
    <cfRule type="cellIs" dxfId="3459" priority="40" stopIfTrue="1" operator="lessThanOrEqual">
      <formula>0</formula>
    </cfRule>
    <cfRule type="cellIs" dxfId="3458" priority="28" stopIfTrue="1" operator="lessThanOrEqual">
      <formula>0</formula>
    </cfRule>
    <cfRule type="cellIs" dxfId="3457" priority="38" stopIfTrue="1" operator="lessThanOrEqual">
      <formula>0</formula>
    </cfRule>
    <cfRule type="cellIs" dxfId="3456" priority="39" stopIfTrue="1" operator="greaterThan">
      <formula>$F$67</formula>
    </cfRule>
    <cfRule type="cellIs" dxfId="3455" priority="29" stopIfTrue="1" operator="greaterThan">
      <formula>$F$66</formula>
    </cfRule>
    <cfRule type="cellIs" dxfId="3454" priority="37" stopIfTrue="1" operator="greaterThan">
      <formula>$F$69</formula>
    </cfRule>
  </conditionalFormatting>
  <conditionalFormatting sqref="H57">
    <cfRule type="cellIs" dxfId="3453" priority="76" stopIfTrue="1" operator="greaterThan">
      <formula>#REF!</formula>
    </cfRule>
    <cfRule type="cellIs" dxfId="3452" priority="86" stopIfTrue="1" operator="greaterThan">
      <formula>$F$19</formula>
    </cfRule>
    <cfRule type="cellIs" dxfId="3451" priority="85" stopIfTrue="1" operator="lessThanOrEqual">
      <formula>0</formula>
    </cfRule>
    <cfRule type="cellIs" dxfId="3450" priority="84" stopIfTrue="1" operator="greaterThan">
      <formula>$F$25</formula>
    </cfRule>
    <cfRule type="cellIs" dxfId="3449" priority="75" stopIfTrue="1" operator="lessThanOrEqual">
      <formula>0</formula>
    </cfRule>
    <cfRule type="cellIs" dxfId="3448" priority="87" stopIfTrue="1" operator="lessThanOrEqual">
      <formula>0</formula>
    </cfRule>
  </conditionalFormatting>
  <conditionalFormatting sqref="H58">
    <cfRule type="cellIs" dxfId="3447" priority="54" stopIfTrue="1" operator="greaterThan">
      <formula>$F$46</formula>
    </cfRule>
    <cfRule type="cellIs" dxfId="3446" priority="55" stopIfTrue="1" operator="lessThanOrEqual">
      <formula>0</formula>
    </cfRule>
    <cfRule type="cellIs" dxfId="3445" priority="56" stopIfTrue="1" operator="greaterThan">
      <formula>$F$44</formula>
    </cfRule>
    <cfRule type="cellIs" dxfId="3444" priority="45" stopIfTrue="1" operator="lessThanOrEqual">
      <formula>0</formula>
    </cfRule>
    <cfRule type="cellIs" dxfId="3443" priority="46" stopIfTrue="1" operator="greaterThan">
      <formula>$F$43</formula>
    </cfRule>
    <cfRule type="cellIs" dxfId="3442" priority="57" stopIfTrue="1" operator="lessThanOrEqual">
      <formula>0</formula>
    </cfRule>
  </conditionalFormatting>
  <conditionalFormatting sqref="H59:H60">
    <cfRule type="cellIs" dxfId="3441" priority="71" stopIfTrue="1" operator="lessThanOrEqual">
      <formula>0</formula>
    </cfRule>
    <cfRule type="cellIs" dxfId="3440" priority="70" stopIfTrue="1" operator="greaterThan">
      <formula>$F$24</formula>
    </cfRule>
    <cfRule type="cellIs" dxfId="3439" priority="62" stopIfTrue="1" operator="greaterThan">
      <formula>#REF!</formula>
    </cfRule>
    <cfRule type="cellIs" dxfId="3438" priority="61" stopIfTrue="1" operator="lessThanOrEqual">
      <formula>0</formula>
    </cfRule>
    <cfRule type="cellIs" dxfId="3437" priority="73" stopIfTrue="1" operator="lessThanOrEqual">
      <formula>0</formula>
    </cfRule>
    <cfRule type="cellIs" dxfId="3436" priority="72" stopIfTrue="1" operator="greaterThan">
      <formula>#REF!</formula>
    </cfRule>
  </conditionalFormatting>
  <conditionalFormatting sqref="H61">
    <cfRule type="cellIs" dxfId="3435" priority="101" stopIfTrue="1" operator="greaterThan">
      <formula>$F$40</formula>
    </cfRule>
    <cfRule type="cellIs" dxfId="3434" priority="103" stopIfTrue="1" operator="greaterThan">
      <formula>$F$38</formula>
    </cfRule>
    <cfRule type="cellIs" dxfId="3433" priority="93" stopIfTrue="1" operator="greaterThan">
      <formula>$F$37</formula>
    </cfRule>
    <cfRule type="cellIs" dxfId="3432" priority="104" stopIfTrue="1" operator="lessThanOrEqual">
      <formula>0</formula>
    </cfRule>
    <cfRule type="cellIs" dxfId="3431" priority="102" stopIfTrue="1" operator="lessThanOrEqual">
      <formula>0</formula>
    </cfRule>
    <cfRule type="cellIs" dxfId="3430" priority="92" stopIfTrue="1" operator="lessThanOrEqual">
      <formula>0</formula>
    </cfRule>
  </conditionalFormatting>
  <conditionalFormatting sqref="H65:H72">
    <cfRule type="cellIs" dxfId="3429" priority="125" stopIfTrue="1" operator="lessThanOrEqual">
      <formula>0</formula>
    </cfRule>
    <cfRule type="cellIs" dxfId="3428" priority="124" stopIfTrue="1" operator="greaterThan">
      <formula>$J65</formula>
    </cfRule>
  </conditionalFormatting>
  <conditionalFormatting sqref="H73">
    <cfRule type="cellIs" dxfId="3427" priority="126" operator="greaterThan">
      <formula>5.3</formula>
    </cfRule>
  </conditionalFormatting>
  <conditionalFormatting sqref="H76 H78:H84">
    <cfRule type="cellIs" dxfId="3426" priority="159" stopIfTrue="1" operator="greaterThan">
      <formula>4.5</formula>
    </cfRule>
    <cfRule type="cellIs" dxfId="3425" priority="160" stopIfTrue="1" operator="lessThanOrEqual">
      <formula>0</formula>
    </cfRule>
  </conditionalFormatting>
  <conditionalFormatting sqref="H56:I56">
    <cfRule type="cellIs" dxfId="3424" priority="27" stopIfTrue="1" operator="greaterThan">
      <formula>$F$68</formula>
    </cfRule>
    <cfRule type="cellIs" dxfId="3423" priority="30" stopIfTrue="1" operator="lessThanOrEqual">
      <formula>0</formula>
    </cfRule>
  </conditionalFormatting>
  <conditionalFormatting sqref="H57:I57">
    <cfRule type="cellIs" dxfId="3422" priority="74" stopIfTrue="1" operator="greaterThan">
      <formula>$F$24</formula>
    </cfRule>
    <cfRule type="cellIs" dxfId="3421" priority="77" stopIfTrue="1" operator="lessThanOrEqual">
      <formula>0</formula>
    </cfRule>
  </conditionalFormatting>
  <conditionalFormatting sqref="H58:I58">
    <cfRule type="cellIs" dxfId="3420" priority="44" stopIfTrue="1" operator="greaterThan">
      <formula>$F$45</formula>
    </cfRule>
    <cfRule type="cellIs" dxfId="3419" priority="47" stopIfTrue="1" operator="lessThanOrEqual">
      <formula>0</formula>
    </cfRule>
  </conditionalFormatting>
  <conditionalFormatting sqref="H59:I60">
    <cfRule type="cellIs" dxfId="3418" priority="63" stopIfTrue="1" operator="lessThanOrEqual">
      <formula>0</formula>
    </cfRule>
    <cfRule type="cellIs" dxfId="3417" priority="60" stopIfTrue="1" operator="greaterThan">
      <formula>$F$19</formula>
    </cfRule>
  </conditionalFormatting>
  <conditionalFormatting sqref="H61:I61">
    <cfRule type="cellIs" dxfId="3416" priority="91" stopIfTrue="1" operator="greaterThan">
      <formula>$F$39</formula>
    </cfRule>
    <cfRule type="cellIs" dxfId="3415" priority="94" stopIfTrue="1" operator="lessThanOrEqual">
      <formula>0</formula>
    </cfRule>
  </conditionalFormatting>
  <conditionalFormatting sqref="H74:I74">
    <cfRule type="cellIs" dxfId="3414" priority="117" stopIfTrue="1" operator="lessThanOrEqual">
      <formula>0</formula>
    </cfRule>
    <cfRule type="cellIs" dxfId="3413" priority="116" stopIfTrue="1" operator="greaterThan">
      <formula>$J74</formula>
    </cfRule>
  </conditionalFormatting>
  <conditionalFormatting sqref="I56">
    <cfRule type="cellIs" dxfId="3412" priority="32" stopIfTrue="1" operator="lessThanOrEqual">
      <formula>0</formula>
    </cfRule>
    <cfRule type="cellIs" dxfId="3411" priority="34" stopIfTrue="1" operator="lessThanOrEqual">
      <formula>0</formula>
    </cfRule>
    <cfRule type="cellIs" dxfId="3410" priority="31" stopIfTrue="1" operator="greaterThan">
      <formula>$F$66</formula>
    </cfRule>
    <cfRule type="cellIs" dxfId="3409" priority="33" stopIfTrue="1" operator="greaterThan">
      <formula>$F$68</formula>
    </cfRule>
    <cfRule type="cellIs" dxfId="3408" priority="36" stopIfTrue="1" operator="lessThanOrEqual">
      <formula>0</formula>
    </cfRule>
    <cfRule type="cellIs" dxfId="3407" priority="35" stopIfTrue="1" operator="greaterThan">
      <formula>$F$66</formula>
    </cfRule>
  </conditionalFormatting>
  <conditionalFormatting sqref="I57">
    <cfRule type="cellIs" dxfId="3406" priority="79" stopIfTrue="1" operator="lessThanOrEqual">
      <formula>0</formula>
    </cfRule>
    <cfRule type="cellIs" dxfId="3405" priority="78" stopIfTrue="1" operator="greaterThan">
      <formula>#REF!</formula>
    </cfRule>
    <cfRule type="cellIs" dxfId="3404" priority="82" stopIfTrue="1" operator="greaterThan">
      <formula>#REF!</formula>
    </cfRule>
    <cfRule type="cellIs" dxfId="3403" priority="83" stopIfTrue="1" operator="lessThanOrEqual">
      <formula>0</formula>
    </cfRule>
    <cfRule type="cellIs" dxfId="3402" priority="81" stopIfTrue="1" operator="lessThanOrEqual">
      <formula>0</formula>
    </cfRule>
    <cfRule type="cellIs" dxfId="3401" priority="80" stopIfTrue="1" operator="greaterThan">
      <formula>$F$24</formula>
    </cfRule>
  </conditionalFormatting>
  <conditionalFormatting sqref="I58">
    <cfRule type="cellIs" dxfId="3400" priority="51" stopIfTrue="1" operator="lessThanOrEqual">
      <formula>0</formula>
    </cfRule>
    <cfRule type="cellIs" dxfId="3399" priority="53" stopIfTrue="1" operator="lessThanOrEqual">
      <formula>0</formula>
    </cfRule>
    <cfRule type="cellIs" dxfId="3398" priority="50" stopIfTrue="1" operator="greaterThan">
      <formula>$F$45</formula>
    </cfRule>
    <cfRule type="cellIs" dxfId="3397" priority="49" stopIfTrue="1" operator="lessThanOrEqual">
      <formula>0</formula>
    </cfRule>
    <cfRule type="cellIs" dxfId="3396" priority="48" stopIfTrue="1" operator="greaterThan">
      <formula>$F$43</formula>
    </cfRule>
    <cfRule type="cellIs" dxfId="3395" priority="52" stopIfTrue="1" operator="greaterThan">
      <formula>$F$43</formula>
    </cfRule>
  </conditionalFormatting>
  <conditionalFormatting sqref="I59:I60">
    <cfRule type="cellIs" dxfId="3394" priority="66" stopIfTrue="1" operator="greaterThan">
      <formula>$F$19</formula>
    </cfRule>
    <cfRule type="cellIs" dxfId="3393" priority="68" stopIfTrue="1" operator="greaterThan">
      <formula>#REF!</formula>
    </cfRule>
    <cfRule type="cellIs" dxfId="3392" priority="69" stopIfTrue="1" operator="lessThanOrEqual">
      <formula>0</formula>
    </cfRule>
    <cfRule type="cellIs" dxfId="3391" priority="65" stopIfTrue="1" operator="lessThanOrEqual">
      <formula>0</formula>
    </cfRule>
    <cfRule type="cellIs" dxfId="3390" priority="64" stopIfTrue="1" operator="greaterThan">
      <formula>#REF!</formula>
    </cfRule>
    <cfRule type="cellIs" dxfId="3389" priority="67" stopIfTrue="1" operator="lessThanOrEqual">
      <formula>0</formula>
    </cfRule>
  </conditionalFormatting>
  <conditionalFormatting sqref="I61">
    <cfRule type="cellIs" dxfId="3388" priority="100" stopIfTrue="1" operator="lessThanOrEqual">
      <formula>0</formula>
    </cfRule>
    <cfRule type="cellIs" dxfId="3387" priority="95" stopIfTrue="1" operator="greaterThan">
      <formula>$F$37</formula>
    </cfRule>
    <cfRule type="cellIs" dxfId="3386" priority="96" stopIfTrue="1" operator="lessThanOrEqual">
      <formula>0</formula>
    </cfRule>
    <cfRule type="cellIs" dxfId="3385" priority="97" stopIfTrue="1" operator="greaterThan">
      <formula>$F$39</formula>
    </cfRule>
    <cfRule type="cellIs" dxfId="3384" priority="98" stopIfTrue="1" operator="lessThanOrEqual">
      <formula>0</formula>
    </cfRule>
    <cfRule type="cellIs" dxfId="3383" priority="99" stopIfTrue="1" operator="greaterThan">
      <formula>$F$37</formula>
    </cfRule>
  </conditionalFormatting>
  <conditionalFormatting sqref="I65:I73">
    <cfRule type="cellIs" dxfId="3382" priority="127" stopIfTrue="1" operator="greaterThan">
      <formula>$J65</formula>
    </cfRule>
    <cfRule type="cellIs" dxfId="3381" priority="128" stopIfTrue="1" operator="lessThanOrEqual">
      <formula>0</formula>
    </cfRule>
  </conditionalFormatting>
  <conditionalFormatting sqref="I76:I84">
    <cfRule type="cellIs" dxfId="3380" priority="155" stopIfTrue="1" operator="greaterThan">
      <formula>4.5</formula>
    </cfRule>
    <cfRule type="cellIs" dxfId="3379" priority="156" stopIfTrue="1" operator="lessThanOrEqual">
      <formula>0</formula>
    </cfRule>
  </conditionalFormatting>
  <conditionalFormatting sqref="I10:J24">
    <cfRule type="cellIs" dxfId="3378" priority="12" operator="lessThan">
      <formula>97.9</formula>
    </cfRule>
  </conditionalFormatting>
  <conditionalFormatting sqref="J27:J29">
    <cfRule type="cellIs" dxfId="3377" priority="106" stopIfTrue="1" operator="lessThan">
      <formula>96.8</formula>
    </cfRule>
    <cfRule type="cellIs" dxfId="3376" priority="107" stopIfTrue="1" operator="greaterThan">
      <formula>100</formula>
    </cfRule>
    <cfRule type="cellIs" dxfId="3375" priority="108" operator="lessThan">
      <formula>98</formula>
    </cfRule>
  </conditionalFormatting>
  <conditionalFormatting sqref="J27:J31">
    <cfRule type="cellIs" dxfId="3374" priority="105" operator="lessThan">
      <formula>97.4</formula>
    </cfRule>
  </conditionalFormatting>
  <conditionalFormatting sqref="J32">
    <cfRule type="cellIs" dxfId="3373" priority="109" operator="lessThan">
      <formula>98</formula>
    </cfRule>
  </conditionalFormatting>
  <conditionalFormatting sqref="J34:J35">
    <cfRule type="cellIs" dxfId="3372" priority="110" stopIfTrue="1" operator="lessThan">
      <formula>96.8</formula>
    </cfRule>
    <cfRule type="cellIs" dxfId="3371" priority="111" stopIfTrue="1" operator="greaterThan">
      <formula>100</formula>
    </cfRule>
  </conditionalFormatting>
  <conditionalFormatting sqref="J34:J36">
    <cfRule type="cellIs" dxfId="3370" priority="112" operator="lessThan">
      <formula>98</formula>
    </cfRule>
  </conditionalFormatting>
  <conditionalFormatting sqref="J74">
    <cfRule type="cellIs" dxfId="3369" priority="114" stopIfTrue="1" operator="lessThanOrEqual">
      <formula>0</formula>
    </cfRule>
    <cfRule type="cellIs" dxfId="3368" priority="113" stopIfTrue="1" operator="greaterThan">
      <formula>$F74</formula>
    </cfRule>
  </conditionalFormatting>
  <conditionalFormatting sqref="K10:K24">
    <cfRule type="cellIs" dxfId="3367" priority="16" operator="greaterThan">
      <formula>6.4</formula>
    </cfRule>
    <cfRule type="cellIs" dxfId="3366" priority="15" operator="lessThan">
      <formula>4</formula>
    </cfRule>
    <cfRule type="cellIs" dxfId="3365" priority="14" operator="greaterThan">
      <formula>6</formula>
    </cfRule>
  </conditionalFormatting>
  <conditionalFormatting sqref="K56:K61 K65:N71 K72 M72:N72 K73:N73">
    <cfRule type="cellIs" dxfId="3364" priority="90" stopIfTrue="1" operator="lessThan">
      <formula>100%</formula>
    </cfRule>
  </conditionalFormatting>
  <conditionalFormatting sqref="K76:K81">
    <cfRule type="cellIs" dxfId="3363" priority="161" stopIfTrue="1" operator="lessThan">
      <formula>100%</formula>
    </cfRule>
  </conditionalFormatting>
  <conditionalFormatting sqref="K83:K84">
    <cfRule type="cellIs" dxfId="3362" priority="168" stopIfTrue="1" operator="lessThan">
      <formula>100%</formula>
    </cfRule>
  </conditionalFormatting>
  <conditionalFormatting sqref="L10:L16 L17:M23">
    <cfRule type="cellIs" dxfId="3361" priority="21" operator="greaterThan">
      <formula>65</formula>
    </cfRule>
    <cfRule type="cellIs" dxfId="3360" priority="20" operator="between">
      <formula>61</formula>
      <formula>65</formula>
    </cfRule>
  </conditionalFormatting>
  <conditionalFormatting sqref="L24">
    <cfRule type="cellIs" dxfId="3359" priority="25" operator="greaterThan">
      <formula>65</formula>
    </cfRule>
    <cfRule type="cellIs" dxfId="3358" priority="24" operator="between">
      <formula>61</formula>
      <formula>65</formula>
    </cfRule>
  </conditionalFormatting>
  <conditionalFormatting sqref="L27:M38">
    <cfRule type="cellIs" dxfId="3357" priority="42" operator="lessThan">
      <formula>98</formula>
    </cfRule>
  </conditionalFormatting>
  <conditionalFormatting sqref="L42:N42">
    <cfRule type="cellIs" dxfId="3356" priority="43" operator="notEqual">
      <formula>#REF!</formula>
    </cfRule>
  </conditionalFormatting>
  <conditionalFormatting sqref="L74:N74">
    <cfRule type="cellIs" dxfId="3355" priority="115" stopIfTrue="1" operator="lessThan">
      <formula>100%</formula>
    </cfRule>
  </conditionalFormatting>
  <conditionalFormatting sqref="L76:N84">
    <cfRule type="cellIs" dxfId="3354" priority="146" stopIfTrue="1" operator="lessThan">
      <formula>100%</formula>
    </cfRule>
  </conditionalFormatting>
  <conditionalFormatting sqref="M10:M16">
    <cfRule type="expression" dxfId="3353" priority="17">
      <formula>IF(+(IF(M10&lt;U10,0,IF(M10&gt;V10,0,1)))=0,1)</formula>
    </cfRule>
  </conditionalFormatting>
  <conditionalFormatting sqref="M21:M23">
    <cfRule type="expression" dxfId="3352" priority="26">
      <formula>IF(+(IF(M21&lt;U21,0,IF(M21&gt;V21,0,1)))=0,1)</formula>
    </cfRule>
  </conditionalFormatting>
  <conditionalFormatting sqref="M17:N20 H10:H16 G17:H24">
    <cfRule type="expression" dxfId="3351" priority="41">
      <formula>IF(+(IF(G10&lt;#REF!,0,IF(G10&gt;#REF!,0,1)))=0,1)</formula>
    </cfRule>
  </conditionalFormatting>
  <conditionalFormatting sqref="M24:N24">
    <cfRule type="expression" dxfId="3350" priority="176">
      <formula>IF(+(IF(M24&lt;#REF!,0,IF(M24&gt;#REF!,0,1)))=0,1)</formula>
    </cfRule>
  </conditionalFormatting>
  <conditionalFormatting sqref="N10:N16 N21:N23">
    <cfRule type="expression" dxfId="3349" priority="13">
      <formula>IF(+(IF(N10&lt;W10,0,IF(N10&gt;X10,0,1)))=0,1)</formula>
    </cfRule>
  </conditionalFormatting>
  <conditionalFormatting sqref="P6">
    <cfRule type="cellIs" dxfId="3348" priority="142" operator="greaterThanOrEqual">
      <formula>19</formula>
    </cfRule>
  </conditionalFormatting>
  <dataValidations count="1">
    <dataValidation type="list" allowBlank="1" showInputMessage="1" showErrorMessage="1" sqref="R8" xr:uid="{4030BFCB-E576-474A-AC5C-50AF47DBAA2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CCB0-3788-419A-A1BA-0CB8413FD127}">
  <sheetPr>
    <pageSetUpPr fitToPage="1"/>
  </sheetPr>
  <dimension ref="A1:BE74"/>
  <sheetViews>
    <sheetView zoomScale="80" zoomScaleNormal="80" workbookViewId="0">
      <selection activeCell="B15" sqref="B15:O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45936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33" t="s">
        <v>9</v>
      </c>
      <c r="C10" s="366" t="str">
        <f>[23]Brewhouse!$A402</f>
        <v>ST379</v>
      </c>
      <c r="D10" s="279">
        <f>[23]Brewhouse!$AD402</f>
        <v>48.6</v>
      </c>
      <c r="E10" s="279">
        <f>[23]Brewhouse!$AG402</f>
        <v>48.3</v>
      </c>
      <c r="F10" s="278">
        <f>[23]Brewhouse!$V402</f>
        <v>54</v>
      </c>
      <c r="G10" s="279">
        <f>[23]Brewhouse!$AE402</f>
        <v>12</v>
      </c>
      <c r="H10" s="396">
        <v>11.9</v>
      </c>
      <c r="I10" s="420">
        <f>[23]Brewhouse!$AS402</f>
        <v>96.206841245124153</v>
      </c>
      <c r="J10" s="420">
        <f>[23]Brewhouse!$AT402</f>
        <v>97.593187845940946</v>
      </c>
      <c r="K10" s="281">
        <f>[23]Brewhouse!$Q402</f>
        <v>13.221153846153847</v>
      </c>
      <c r="L10" s="276">
        <f>[23]Brewhouse!$P402</f>
        <v>58</v>
      </c>
      <c r="M10" s="374">
        <f>[23]Brewhouse!$U402-[23]Brewhouse!$T402</f>
        <v>0.10902777777777778</v>
      </c>
      <c r="N10" s="370">
        <f>[23]Brewhouse!$AW402</f>
        <v>0.2951388888888889</v>
      </c>
      <c r="O10" s="421" t="str">
        <f>[23]Brewhouse!$AV402</f>
        <v>R.Sookram</v>
      </c>
      <c r="P10" s="418"/>
      <c r="R10" s="277" t="str">
        <f t="shared" ref="R10:R25" si="0">B10</f>
        <v>STAG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.6" customHeight="1">
      <c r="B11" s="33" t="s">
        <v>9</v>
      </c>
      <c r="C11" s="366" t="str">
        <f>[23]Brewhouse!$A403</f>
        <v>ST380</v>
      </c>
      <c r="D11" s="279">
        <f>[23]Brewhouse!$AD403</f>
        <v>50.4</v>
      </c>
      <c r="E11" s="279">
        <f>[23]Brewhouse!$AG403</f>
        <v>49.5</v>
      </c>
      <c r="F11" s="278">
        <f>[23]Brewhouse!$V403</f>
        <v>56</v>
      </c>
      <c r="G11" s="279">
        <f>[23]Brewhouse!$AE403</f>
        <v>11.9</v>
      </c>
      <c r="H11" s="396">
        <v>11.9</v>
      </c>
      <c r="I11" s="420">
        <f>[23]Brewhouse!$AS403</f>
        <v>98.472931740070507</v>
      </c>
      <c r="J11" s="420">
        <f>[23]Brewhouse!$AT403</f>
        <v>99.889140113955051</v>
      </c>
      <c r="K11" s="281">
        <f>[23]Brewhouse!$Q403</f>
        <v>9.1826923076923048</v>
      </c>
      <c r="L11" s="276">
        <f>[23]Brewhouse!$P403</f>
        <v>62</v>
      </c>
      <c r="M11" s="374">
        <f>[23]Brewhouse!$U403-[23]Brewhouse!$T403</f>
        <v>0.11458333333333331</v>
      </c>
      <c r="N11" s="370">
        <f>[23]Brewhouse!$AW403</f>
        <v>0.25069444444444444</v>
      </c>
      <c r="O11" s="421" t="str">
        <f>[23]Brewhouse!$AV403</f>
        <v>K. Benjamin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33" t="s">
        <v>9</v>
      </c>
      <c r="C12" s="366" t="str">
        <f>[23]Brewhouse!$A404</f>
        <v>ST381</v>
      </c>
      <c r="D12" s="279">
        <f>[23]Brewhouse!$AD404</f>
        <v>50.3</v>
      </c>
      <c r="E12" s="279">
        <f>[23]Brewhouse!$AG404</f>
        <v>50.1</v>
      </c>
      <c r="F12" s="278">
        <f>[23]Brewhouse!$V404</f>
        <v>63</v>
      </c>
      <c r="G12" s="279">
        <f>[23]Brewhouse!$AE404</f>
        <v>11.7</v>
      </c>
      <c r="H12" s="396">
        <v>11.8</v>
      </c>
      <c r="I12" s="420">
        <f>[23]Brewhouse!$AS404</f>
        <v>97.414066657172469</v>
      </c>
      <c r="J12" s="420">
        <f>[23]Brewhouse!$AT404</f>
        <v>98.816893154805797</v>
      </c>
      <c r="K12" s="281">
        <f>[23]Brewhouse!$Q404</f>
        <v>11.490384615384617</v>
      </c>
      <c r="L12" s="276">
        <f>[23]Brewhouse!$P404</f>
        <v>59</v>
      </c>
      <c r="M12" s="374">
        <f>[23]Brewhouse!$U404-[23]Brewhouse!$T404</f>
        <v>0.11875000000000002</v>
      </c>
      <c r="N12" s="370">
        <f>[23]Brewhouse!$AW404</f>
        <v>0.25694444444444448</v>
      </c>
      <c r="O12" s="421" t="str">
        <f>[23]Brewhouse!$AV404</f>
        <v>K. Benjamin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6" customHeight="1">
      <c r="B13" s="33" t="s">
        <v>9</v>
      </c>
      <c r="C13" s="366" t="str">
        <f>[23]Brewhouse!$A405</f>
        <v>ST382</v>
      </c>
      <c r="D13" s="279">
        <f>[23]Brewhouse!$AD405</f>
        <v>48.5</v>
      </c>
      <c r="E13" s="279">
        <f>[23]Brewhouse!$AG405</f>
        <v>48.2</v>
      </c>
      <c r="F13" s="278">
        <f>[23]Brewhouse!$V405</f>
        <v>63</v>
      </c>
      <c r="G13" s="279">
        <f>[23]Brewhouse!$AE405</f>
        <v>12.2</v>
      </c>
      <c r="H13" s="464">
        <v>12.1</v>
      </c>
      <c r="I13" s="420">
        <f>[23]Brewhouse!$AS405</f>
        <v>98.057442078732436</v>
      </c>
      <c r="J13" s="420">
        <f>[23]Brewhouse!$AT405</f>
        <v>99.469070699005329</v>
      </c>
      <c r="K13" s="281">
        <f>[23]Brewhouse!$Q405</f>
        <v>11.874999999999995</v>
      </c>
      <c r="L13" s="276">
        <f>[23]Brewhouse!$P405</f>
        <v>60</v>
      </c>
      <c r="M13" s="374">
        <f>[23]Brewhouse!$U405-[23]Brewhouse!$T405</f>
        <v>0.11736111111111114</v>
      </c>
      <c r="N13" s="370">
        <f>[23]Brewhouse!$AW405</f>
        <v>0.25763888888888892</v>
      </c>
      <c r="O13" s="421" t="str">
        <f>[23]Brewhouse!$AV405</f>
        <v>K. Benjamin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33" t="s">
        <v>9</v>
      </c>
      <c r="C14" s="366" t="str">
        <f>[23]Brewhouse!$A406</f>
        <v>ST383</v>
      </c>
      <c r="D14" s="279">
        <f>[23]Brewhouse!$AD406</f>
        <v>50.2</v>
      </c>
      <c r="E14" s="279">
        <f>[23]Brewhouse!$AG406</f>
        <v>49.9</v>
      </c>
      <c r="F14" s="278">
        <f>[23]Brewhouse!$V406</f>
        <v>64</v>
      </c>
      <c r="G14" s="279">
        <f>[23]Brewhouse!$AE406</f>
        <v>11.8</v>
      </c>
      <c r="H14" s="396">
        <v>11.8</v>
      </c>
      <c r="I14" s="420">
        <f>[23]Brewhouse!$AS406</f>
        <v>98.138683160787593</v>
      </c>
      <c r="J14" s="420">
        <f>[23]Brewhouse!$AT406</f>
        <v>99.681422727673876</v>
      </c>
      <c r="K14" s="281">
        <f>[23]Brewhouse!$Q406</f>
        <v>9.5673076923076952</v>
      </c>
      <c r="L14" s="276">
        <f>[23]Brewhouse!$P406</f>
        <v>68</v>
      </c>
      <c r="M14" s="374">
        <f>[23]Brewhouse!$U406-[23]Brewhouse!$T406</f>
        <v>0.12083333333333324</v>
      </c>
      <c r="N14" s="370">
        <f>[23]Brewhouse!$AW406</f>
        <v>0.25277777777777771</v>
      </c>
      <c r="O14" s="421" t="str">
        <f>[23]Brewhouse!$AV406</f>
        <v>R. Regis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33" t="s">
        <v>9</v>
      </c>
      <c r="C15" s="366" t="str">
        <f>[23]Brewhouse!$A407</f>
        <v>ST384</v>
      </c>
      <c r="D15" s="279">
        <f>[23]Brewhouse!$AD407</f>
        <v>46.9</v>
      </c>
      <c r="E15" s="279">
        <f>[23]Brewhouse!$AG407</f>
        <v>47.1</v>
      </c>
      <c r="F15" s="278">
        <f>[23]Brewhouse!$V407</f>
        <v>85</v>
      </c>
      <c r="G15" s="279">
        <f>[23]Brewhouse!$AE407</f>
        <v>11.9</v>
      </c>
      <c r="H15" s="396">
        <v>12</v>
      </c>
      <c r="I15" s="420">
        <f>[23]Brewhouse!$AS407</f>
        <v>99.74535121294204</v>
      </c>
      <c r="J15" s="420">
        <f>[23]Brewhouse!$AT407</f>
        <v>101.41575806780993</v>
      </c>
      <c r="K15" s="281">
        <f>[23]Brewhouse!$Q407</f>
        <v>10.12974051896208</v>
      </c>
      <c r="L15" s="276">
        <f>[23]Brewhouse!$P407</f>
        <v>60</v>
      </c>
      <c r="M15" s="374">
        <f>[23]Brewhouse!$U407-[23]Brewhouse!$T407</f>
        <v>0.14166666666666661</v>
      </c>
      <c r="N15" s="370">
        <f>[23]Brewhouse!$AW407</f>
        <v>0.29166666666666663</v>
      </c>
      <c r="O15" s="421" t="str">
        <f>[23]Brewhouse!$AV407</f>
        <v>R. Regis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6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6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6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1"/>
      <c r="J20" s="511"/>
      <c r="K20" s="511"/>
      <c r="L20" s="511"/>
      <c r="M20" s="511"/>
      <c r="N20" s="511"/>
      <c r="O20" s="1"/>
      <c r="P20" s="12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thickBot="1">
      <c r="B21" s="388" t="s">
        <v>162</v>
      </c>
      <c r="C21" s="388"/>
      <c r="D21" s="489" t="s">
        <v>35</v>
      </c>
      <c r="E21" s="490"/>
      <c r="F21" s="294"/>
      <c r="G21" s="294"/>
      <c r="H21" s="348"/>
      <c r="I21" s="24" t="s">
        <v>17</v>
      </c>
      <c r="J21" s="25" t="s">
        <v>36</v>
      </c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A22" s="28"/>
      <c r="B22" s="573"/>
      <c r="C22" s="362"/>
      <c r="D22" s="515"/>
      <c r="E22" s="516"/>
      <c r="F22" s="294"/>
      <c r="G22" s="294"/>
      <c r="H22" s="348"/>
      <c r="I22" s="29" t="s">
        <v>6</v>
      </c>
      <c r="J22" s="280"/>
      <c r="K22" s="284">
        <f>COUNTA([22]Brewhouse!$A$823:$A$838)</f>
        <v>16</v>
      </c>
      <c r="L22" s="305">
        <f>AVERAGE([22]Brewhouse!$AU$823:$AU$838)</f>
        <v>97.418582386682701</v>
      </c>
      <c r="M22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$838)</f>
        <v>97.700089962013905</v>
      </c>
      <c r="N22" s="30">
        <v>98</v>
      </c>
      <c r="O22" s="11"/>
      <c r="P22" s="3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A23" s="28"/>
      <c r="B23" s="574"/>
      <c r="C23" s="362"/>
      <c r="D23" s="517"/>
      <c r="E23" s="518"/>
      <c r="F23" s="294"/>
      <c r="G23" s="294"/>
      <c r="H23" s="348"/>
      <c r="I23" s="33" t="s">
        <v>9</v>
      </c>
      <c r="J23" s="280">
        <f>AVERAGE(I10:I15)</f>
        <v>98.005886015804876</v>
      </c>
      <c r="K23" s="284">
        <f>COUNTA([23]Brewhouse!$A$399:$A$407)</f>
        <v>9</v>
      </c>
      <c r="L23" s="302">
        <f>AVERAGE([23]Brewhouse!$AS$399:$AS$407)</f>
        <v>97.351081466953872</v>
      </c>
      <c r="M23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$407)</f>
        <v>97.981226635817151</v>
      </c>
      <c r="N23" s="30">
        <v>98</v>
      </c>
      <c r="O23" s="11"/>
      <c r="P23" s="31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4.65" customHeight="1">
      <c r="A24" s="28"/>
      <c r="B24" s="574"/>
      <c r="C24" s="362"/>
      <c r="D24" s="515"/>
      <c r="E24" s="516"/>
      <c r="F24" s="294"/>
      <c r="G24" s="294"/>
      <c r="H24" s="348"/>
      <c r="I24" s="34" t="s">
        <v>12</v>
      </c>
      <c r="J24" s="280"/>
      <c r="K24" s="284"/>
      <c r="L24" s="302"/>
      <c r="M24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74"/>
      <c r="C25" s="362"/>
      <c r="D25" s="517"/>
      <c r="E25" s="518"/>
      <c r="F25" s="294"/>
      <c r="G25" s="294"/>
      <c r="H25" s="348"/>
      <c r="I25" s="22" t="s">
        <v>33</v>
      </c>
      <c r="J25" s="280"/>
      <c r="K25" s="284"/>
      <c r="L25" s="302"/>
      <c r="M25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74"/>
      <c r="C26" s="362"/>
      <c r="D26" s="515"/>
      <c r="E26" s="516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ref="R26:R33" si="9">B26</f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74"/>
      <c r="C27" s="362"/>
      <c r="D27" s="517"/>
      <c r="E27" s="518"/>
      <c r="F27" s="417"/>
      <c r="G27" s="294"/>
      <c r="H27" s="348"/>
      <c r="I27" s="36" t="s">
        <v>15</v>
      </c>
      <c r="J27" s="323"/>
      <c r="K27" s="284"/>
      <c r="L27" s="302"/>
      <c r="M27" s="302">
        <f>AVERAGE([26]Brewhouse!$AT$4:$AT$11,[26]Brewhouse!$AT$13:$AT$16,[26]Brewhouse!$AT$18:$AT$21,[26]Brewhouse!$AT$26,[26]Brewhouse!$AT$28:$AT$35)</f>
        <v>94.794664331624134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  <c r="AA27" s="296"/>
    </row>
    <row r="28" spans="1:27" ht="14.65" customHeight="1">
      <c r="A28" s="28"/>
      <c r="B28" s="574"/>
      <c r="C28" s="362"/>
      <c r="D28" s="515"/>
      <c r="E28" s="516"/>
      <c r="F28" s="417"/>
      <c r="G28" s="294"/>
      <c r="H28" s="348"/>
      <c r="I28" s="37" t="s">
        <v>16</v>
      </c>
      <c r="J28" s="323"/>
      <c r="K28" s="284"/>
      <c r="L28" s="302"/>
      <c r="M28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28" s="30">
        <v>98</v>
      </c>
      <c r="O28" s="11"/>
      <c r="P28" s="31" t="s">
        <v>41</v>
      </c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74"/>
      <c r="C29" s="362"/>
      <c r="D29" s="517"/>
      <c r="E29" s="518"/>
      <c r="F29" s="294"/>
      <c r="G29" s="294"/>
      <c r="H29" s="348"/>
      <c r="I29" s="411" t="s">
        <v>158</v>
      </c>
      <c r="J29" s="326"/>
      <c r="K29" s="284"/>
      <c r="L29" s="305"/>
      <c r="M29" s="305">
        <f>AVERAGE([28]Brewhouse!$AU$5:$AU$8,[28]Brewhouse!$AU$10:$AU$13,[27]Brewhouse!$AY$75:$AY$77)</f>
        <v>94.749192473706671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74"/>
      <c r="C30" s="349"/>
      <c r="D30" s="515"/>
      <c r="E30" s="516"/>
      <c r="F30" s="294"/>
      <c r="G30" s="294"/>
      <c r="H30" s="348"/>
      <c r="I30" s="410" t="s">
        <v>157</v>
      </c>
      <c r="J30" s="326"/>
      <c r="K30" s="284"/>
      <c r="L30" s="305"/>
      <c r="M30" s="305">
        <f>AVERAGE([29]Brewhouse!$AW$26:$AW$27)</f>
        <v>95.310680905194914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5" customHeight="1" thickBot="1">
      <c r="A31" s="28"/>
      <c r="B31" s="574"/>
      <c r="C31" s="349"/>
      <c r="D31" s="517"/>
      <c r="E31" s="518"/>
      <c r="F31" s="294"/>
      <c r="G31" s="294"/>
      <c r="H31" s="348"/>
      <c r="I31" s="406" t="s">
        <v>156</v>
      </c>
      <c r="J31" s="327"/>
      <c r="K31" s="407"/>
      <c r="L31" s="408"/>
      <c r="M31" s="408">
        <f>AVERAGE([30]Brewhouse!$AU$13:$AU$14)</f>
        <v>97.110575243268045</v>
      </c>
      <c r="N31" s="409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74"/>
      <c r="C32" s="349"/>
      <c r="D32" s="515"/>
      <c r="E32" s="516"/>
      <c r="F32" s="294"/>
      <c r="G32" s="294"/>
      <c r="H32" s="348"/>
      <c r="I32" s="1"/>
      <c r="J32" s="39"/>
      <c r="K32" s="404">
        <f>SUM(K22:K31)</f>
        <v>25</v>
      </c>
      <c r="L32" s="405">
        <f>((L22*K22)+(L23*K23)+(L24*K24)+(L25*K25)+(L26*K26)+(K29*L29)+(L27*K27)+(L28*K28)+(L31*K31))/(K32)</f>
        <v>97.394282055580334</v>
      </c>
      <c r="M32" s="405">
        <f>AVERAGE('[31]Jan 31st'!$L$65,'[32]Feb 28th'!$L$35,'[33]Mar. 31st'!$L$35,'[34]Apr. 30th'!$L$45,'[35]May 30th'!$L$37,'[36]June 30th'!$L$57,'[37]July 29th '!$L$44,'[38]Aug 29th'!$L$29,'[39]Sept 30th'!$L$35,L32)</f>
        <v>97.557378445239834</v>
      </c>
      <c r="N32" s="4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2:56" ht="15.75" thickBot="1">
      <c r="B33" s="575"/>
      <c r="C33" s="350"/>
      <c r="D33" s="517"/>
      <c r="E33" s="518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2:56" ht="15.75" thickBot="1">
      <c r="B34" s="562"/>
      <c r="C34" s="362"/>
      <c r="D34" s="528"/>
      <c r="E34" s="529"/>
      <c r="F34" s="294"/>
      <c r="G34" s="42"/>
      <c r="H34" s="41"/>
      <c r="I34" s="42"/>
      <c r="J34" s="563" t="s">
        <v>129</v>
      </c>
      <c r="K34" s="563"/>
      <c r="L34" s="294"/>
      <c r="M34" s="294"/>
      <c r="N34" s="294"/>
      <c r="O34" s="294"/>
      <c r="P34" s="12"/>
    </row>
    <row r="35" spans="2:56" ht="15.75" thickBot="1">
      <c r="B35" s="526"/>
      <c r="C35" s="362"/>
      <c r="D35" s="530"/>
      <c r="E35" s="518"/>
      <c r="F35" s="294"/>
      <c r="G35" s="42"/>
      <c r="H35" s="41"/>
      <c r="I35" s="42"/>
      <c r="J35" s="292" t="s">
        <v>17</v>
      </c>
      <c r="K35" s="293" t="s">
        <v>147</v>
      </c>
      <c r="L35" s="532" t="s">
        <v>136</v>
      </c>
      <c r="M35" s="532"/>
      <c r="N35" s="533"/>
      <c r="O35" s="294"/>
      <c r="P35" s="12"/>
    </row>
    <row r="36" spans="2:56" ht="15" customHeight="1" thickBot="1">
      <c r="B36" s="526"/>
      <c r="C36" s="349"/>
      <c r="D36" s="564"/>
      <c r="E36" s="565"/>
      <c r="F36" s="294"/>
      <c r="G36" s="42"/>
      <c r="H36" s="41"/>
      <c r="I36" s="42"/>
      <c r="J36" s="287" t="s">
        <v>6</v>
      </c>
      <c r="K36" s="324"/>
      <c r="L36" s="343" t="s">
        <v>37</v>
      </c>
      <c r="M36" s="307" t="s">
        <v>38</v>
      </c>
      <c r="N36" s="307" t="s">
        <v>84</v>
      </c>
      <c r="O36" s="294"/>
      <c r="P36" s="12"/>
    </row>
    <row r="37" spans="2:56" ht="15.75" customHeight="1" thickBot="1">
      <c r="B37" s="526"/>
      <c r="C37" s="349"/>
      <c r="D37" s="530"/>
      <c r="E37" s="518"/>
      <c r="F37" s="294"/>
      <c r="G37" s="42"/>
      <c r="H37" s="41"/>
      <c r="I37" s="42"/>
      <c r="J37" s="345" t="s">
        <v>9</v>
      </c>
      <c r="K37" s="324">
        <v>6</v>
      </c>
      <c r="L37" s="344">
        <f>AVERAGE('Oct. 1st'!K49,,'Oct. 2nd'!K51,K46)</f>
        <v>6.25</v>
      </c>
      <c r="M37" s="325">
        <f>AVERAGE('[31]Jan 29th '!$M$70,'[32]Feb 28th'!$L$40,'[33]Mar. 31st'!$L$40,'[34]Apr. 30th'!$L$50,'[35]May 30th'!$L$42,'[36]June 30th'!$L$62,'[37]July 29th '!$L$49,'[38]Aug 29th'!$L$34,'[39]Sept 30th'!$L$40,L37)</f>
        <v>6.9311277776380749</v>
      </c>
      <c r="N37" s="416">
        <v>9.1999999999999993</v>
      </c>
      <c r="O37" s="294"/>
      <c r="P37" s="12"/>
    </row>
    <row r="38" spans="2:56" ht="15" customHeight="1">
      <c r="B38" s="526"/>
      <c r="C38" s="349"/>
      <c r="D38" s="564"/>
      <c r="E38" s="565"/>
      <c r="F38" s="294"/>
      <c r="G38" s="42"/>
      <c r="H38" s="41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6"/>
      <c r="C39" s="349"/>
      <c r="D39" s="530"/>
      <c r="E39" s="518"/>
      <c r="F39" s="294"/>
      <c r="G39" s="42"/>
      <c r="H39" s="41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6"/>
      <c r="C40" s="349"/>
      <c r="D40" s="564"/>
      <c r="E40" s="565"/>
      <c r="F40" s="294"/>
      <c r="G40" s="42"/>
      <c r="H40" s="41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6"/>
      <c r="C41" s="349"/>
      <c r="D41" s="530"/>
      <c r="E41" s="518"/>
      <c r="F41" s="294"/>
      <c r="G41" s="42"/>
      <c r="H41" s="41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6"/>
      <c r="C42" s="349"/>
      <c r="D42" s="564"/>
      <c r="E42" s="565"/>
      <c r="F42" s="294"/>
      <c r="G42" s="42"/>
      <c r="H42" s="41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6"/>
      <c r="C43" s="350"/>
      <c r="D43" s="566"/>
      <c r="E43" s="567"/>
      <c r="F43" s="294"/>
      <c r="G43" s="42"/>
      <c r="H43" s="41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60" t="e">
        <f>AVERAGE(D22:E43)</f>
        <v>#DIV/0!</v>
      </c>
      <c r="E44" s="561"/>
      <c r="F44" s="294"/>
      <c r="H44" s="41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2"/>
      <c r="J46" s="346" t="s">
        <v>130</v>
      </c>
      <c r="K46" s="324">
        <f>SUM(K36:K45)</f>
        <v>6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40" t="s">
        <v>17</v>
      </c>
      <c r="C49" s="540" t="s">
        <v>44</v>
      </c>
      <c r="D49" s="542" t="s">
        <v>45</v>
      </c>
      <c r="E49" s="497" t="s">
        <v>46</v>
      </c>
      <c r="F49" s="557" t="s">
        <v>47</v>
      </c>
      <c r="G49" s="551" t="s">
        <v>48</v>
      </c>
      <c r="H49" s="540" t="s">
        <v>49</v>
      </c>
      <c r="I49" s="540" t="s">
        <v>50</v>
      </c>
      <c r="J49" s="545" t="s">
        <v>28</v>
      </c>
      <c r="K49" s="495" t="s">
        <v>51</v>
      </c>
      <c r="L49" s="507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1"/>
      <c r="C50" s="541"/>
      <c r="D50" s="543"/>
      <c r="E50" s="544"/>
      <c r="F50" s="558"/>
      <c r="G50" s="552"/>
      <c r="H50" s="559"/>
      <c r="I50" s="559"/>
      <c r="J50" s="546"/>
      <c r="K50" s="555"/>
      <c r="L50" s="556"/>
      <c r="M50" s="546"/>
      <c r="N50" s="13"/>
      <c r="O50" s="13"/>
      <c r="P50" s="50"/>
      <c r="Q50" s="355"/>
      <c r="AB50" s="51">
        <v>43474</v>
      </c>
      <c r="AC50" s="51">
        <v>43475</v>
      </c>
      <c r="AD50" s="51">
        <v>43476</v>
      </c>
      <c r="AE50" s="51">
        <v>43477</v>
      </c>
      <c r="AF50" s="51">
        <v>43478</v>
      </c>
      <c r="AG50" s="51">
        <v>43479</v>
      </c>
      <c r="AH50" s="51">
        <v>43480</v>
      </c>
      <c r="AI50" s="51">
        <v>43481</v>
      </c>
      <c r="AJ50" s="51">
        <v>43482</v>
      </c>
      <c r="AK50" s="51">
        <v>43483</v>
      </c>
      <c r="AL50" s="51">
        <v>43484</v>
      </c>
      <c r="AM50" s="51">
        <v>43485</v>
      </c>
      <c r="AN50" s="51">
        <v>43486</v>
      </c>
      <c r="AO50" s="51">
        <v>43487</v>
      </c>
      <c r="AP50" s="51">
        <v>43488</v>
      </c>
      <c r="AQ50" s="51">
        <v>43489</v>
      </c>
      <c r="AR50" s="51">
        <v>43490</v>
      </c>
      <c r="AS50" s="51">
        <v>43491</v>
      </c>
      <c r="AT50" s="51">
        <v>43492</v>
      </c>
      <c r="AU50" s="51">
        <v>43493</v>
      </c>
      <c r="AV50" s="51">
        <v>43494</v>
      </c>
      <c r="AW50" s="51">
        <v>43495</v>
      </c>
      <c r="AX50" s="51">
        <v>43496</v>
      </c>
    </row>
    <row r="51" spans="2:57" s="54" customFormat="1" ht="59.45" customHeight="1" thickBot="1">
      <c r="B51" s="463"/>
      <c r="C51" s="442"/>
      <c r="D51" s="443"/>
      <c r="E51" s="444"/>
      <c r="F51" s="445"/>
      <c r="G51" s="445"/>
      <c r="H51" s="462"/>
      <c r="I51" s="462"/>
      <c r="J51" s="449"/>
      <c r="K51" s="450"/>
      <c r="L51" s="455" t="e">
        <f>(((D51+E51)-G51)/(D51+E51))*100</f>
        <v>#DIV/0!</v>
      </c>
      <c r="M51" s="457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[20]January_2019!L7</f>
        <v>285.8</v>
      </c>
      <c r="AC51" s="57">
        <f>[20]January_2019!M7</f>
        <v>508.1</v>
      </c>
      <c r="AD51" s="57">
        <f>[20]January_2019!N7</f>
        <v>0</v>
      </c>
      <c r="AE51" s="57">
        <f>[20]January_2019!O7</f>
        <v>0</v>
      </c>
      <c r="AF51" s="57">
        <f>[20]January_2019!P7</f>
        <v>109.56666666666666</v>
      </c>
      <c r="AG51" s="57">
        <f>[20]January_2019!Q7</f>
        <v>297.64999999999998</v>
      </c>
      <c r="AH51" s="57">
        <f>[20]January_2019!R7</f>
        <v>122.3</v>
      </c>
      <c r="AI51" s="57">
        <f>[20]January_2019!S7</f>
        <v>0</v>
      </c>
      <c r="AJ51" s="57">
        <f>[20]January_2019!T7</f>
        <v>294.7</v>
      </c>
      <c r="AK51" s="57">
        <f>[20]January_2019!U7</f>
        <v>280.5</v>
      </c>
      <c r="AL51" s="57">
        <f>[20]January_2019!V7</f>
        <v>0</v>
      </c>
      <c r="AM51" s="57">
        <f>[20]January_2019!W7</f>
        <v>0</v>
      </c>
      <c r="AN51" s="57">
        <f>[20]January_2019!X7</f>
        <v>188.25</v>
      </c>
      <c r="AO51" s="57">
        <f>[20]January_2019!Y7</f>
        <v>295.7</v>
      </c>
      <c r="AP51" s="57">
        <f>[20]January_2019!Z7</f>
        <v>257.8</v>
      </c>
      <c r="AQ51" s="57">
        <f>[20]January_2019!AA7</f>
        <v>291.2</v>
      </c>
      <c r="AR51" s="57">
        <f>[20]January_2019!AB7</f>
        <v>187</v>
      </c>
      <c r="AS51" s="57">
        <f>[20]January_2019!AC7</f>
        <v>0</v>
      </c>
      <c r="AT51" s="57">
        <f>[20]January_2019!AD7</f>
        <v>0</v>
      </c>
      <c r="AU51" s="57">
        <f>[20]January_2019!AE7</f>
        <v>485.1</v>
      </c>
      <c r="AV51" s="57">
        <f>[20]January_2019!AF7</f>
        <v>171.55</v>
      </c>
      <c r="AW51" s="57">
        <f>[20]January_2019!AG7</f>
        <v>423.8</v>
      </c>
      <c r="AX51" s="277">
        <f>[20]January_2019!AH7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20.45" hidden="1" customHeight="1" thickBot="1">
      <c r="B52" s="458"/>
      <c r="C52" s="431"/>
      <c r="D52" s="432"/>
      <c r="E52" s="433"/>
      <c r="F52" s="434"/>
      <c r="G52" s="435"/>
      <c r="H52" s="429"/>
      <c r="I52" s="429"/>
      <c r="J52" s="452"/>
      <c r="K52" s="437"/>
      <c r="L52" s="453"/>
      <c r="M52" s="422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59.45" hidden="1" customHeight="1" thickBot="1">
      <c r="B53" s="460"/>
      <c r="C53" s="442"/>
      <c r="D53" s="443"/>
      <c r="E53" s="444"/>
      <c r="F53" s="445"/>
      <c r="G53" s="446"/>
      <c r="H53" s="429"/>
      <c r="I53" s="429"/>
      <c r="J53" s="449"/>
      <c r="K53" s="450"/>
      <c r="L53" s="461" t="e">
        <f>(((D53+E53)-G53)/(D53+E53))*100</f>
        <v>#DIV/0!</v>
      </c>
      <c r="M53" s="457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4"/>
      <c r="C54" s="431"/>
      <c r="D54" s="432"/>
      <c r="E54" s="433"/>
      <c r="F54" s="434"/>
      <c r="G54" s="435"/>
      <c r="H54" s="436"/>
      <c r="I54" s="451"/>
      <c r="J54" s="452"/>
      <c r="K54" s="437" t="s">
        <v>41</v>
      </c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6.6" hidden="1" customHeight="1" thickBot="1">
      <c r="B55" s="387"/>
      <c r="C55" s="442"/>
      <c r="D55" s="443"/>
      <c r="E55" s="444"/>
      <c r="F55" s="445"/>
      <c r="G55" s="446"/>
      <c r="H55" s="447"/>
      <c r="I55" s="448"/>
      <c r="J55" s="449"/>
      <c r="K55" s="450"/>
      <c r="L55" s="455" t="e">
        <f>(((D55+E55)-G55)/(D55+E55))*100</f>
        <v>#DIV/0!</v>
      </c>
      <c r="M55" s="45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8"/>
      <c r="C56" s="424"/>
      <c r="D56" s="425"/>
      <c r="E56" s="426"/>
      <c r="F56" s="427"/>
      <c r="G56" s="428"/>
      <c r="H56" s="429"/>
      <c r="I56" s="439"/>
      <c r="J56" s="440"/>
      <c r="K56" s="430"/>
      <c r="L56" s="441"/>
      <c r="M56" s="423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47" t="s">
        <v>55</v>
      </c>
      <c r="C58" s="548"/>
      <c r="D58" s="548"/>
      <c r="E58" s="548"/>
      <c r="F58" s="549"/>
      <c r="G58" s="547" t="s">
        <v>56</v>
      </c>
      <c r="H58" s="548"/>
      <c r="I58" s="548"/>
      <c r="J58" s="549"/>
      <c r="K58" s="547" t="s">
        <v>51</v>
      </c>
      <c r="L58" s="548"/>
      <c r="M58" s="548"/>
      <c r="N58" s="550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/>
      <c r="D60" s="76">
        <v>5.3043265705206526</v>
      </c>
      <c r="E60" s="76">
        <v>6.3353243340541949</v>
      </c>
      <c r="F60" s="66">
        <v>4.8</v>
      </c>
      <c r="G60" s="65"/>
      <c r="H60" s="76">
        <v>4.8442646216133731</v>
      </c>
      <c r="I60" s="76">
        <v>6.2237170400374753</v>
      </c>
      <c r="J60" s="66">
        <v>4.8</v>
      </c>
      <c r="K60" s="67"/>
      <c r="L60" s="194">
        <v>0.29622807017543856</v>
      </c>
      <c r="M60" s="194"/>
      <c r="N60" s="68">
        <v>1</v>
      </c>
      <c r="O60" s="56"/>
      <c r="P60" s="69"/>
    </row>
    <row r="61" spans="2:57" ht="15">
      <c r="B61" s="33" t="s">
        <v>9</v>
      </c>
      <c r="C61" s="65"/>
      <c r="D61" s="76">
        <v>4.8224374495561007</v>
      </c>
      <c r="E61" s="76">
        <v>5.9054217974879126</v>
      </c>
      <c r="F61" s="66">
        <v>4.8</v>
      </c>
      <c r="G61" s="65"/>
      <c r="H61" s="76">
        <v>4.0523924451026554</v>
      </c>
      <c r="I61" s="76">
        <v>5.6084803115136515</v>
      </c>
      <c r="J61" s="66">
        <v>4.8</v>
      </c>
      <c r="K61" s="67"/>
      <c r="L61" s="194">
        <v>0.8275438596491228</v>
      </c>
      <c r="M61" s="194"/>
      <c r="N61" s="68">
        <v>1</v>
      </c>
      <c r="P61" s="69"/>
    </row>
    <row r="62" spans="2:57" ht="15">
      <c r="B62" s="34" t="s">
        <v>40</v>
      </c>
      <c r="C62" s="65"/>
      <c r="D62" s="76"/>
      <c r="E62" s="76">
        <v>11.810347142051688</v>
      </c>
      <c r="F62" s="66">
        <v>5.5</v>
      </c>
      <c r="G62" s="65"/>
      <c r="H62" s="76"/>
      <c r="I62" s="76">
        <v>12.740878252198055</v>
      </c>
      <c r="J62" s="66">
        <v>5.5</v>
      </c>
      <c r="K62" s="67"/>
      <c r="L62" s="194"/>
      <c r="M62" s="194"/>
      <c r="N62" s="68">
        <v>1</v>
      </c>
      <c r="P62" s="69"/>
    </row>
    <row r="63" spans="2:57" ht="15">
      <c r="B63" s="22" t="s">
        <v>33</v>
      </c>
      <c r="C63" s="65"/>
      <c r="D63" s="76"/>
      <c r="E63" s="76">
        <v>5.119233255999676</v>
      </c>
      <c r="F63" s="66">
        <v>3.3</v>
      </c>
      <c r="G63" s="65"/>
      <c r="H63" s="76"/>
      <c r="I63" s="76">
        <v>4.4772094679692334</v>
      </c>
      <c r="J63" s="66">
        <v>3.3</v>
      </c>
      <c r="K63" s="67"/>
      <c r="L63" s="194"/>
      <c r="M63" s="194"/>
      <c r="N63" s="68">
        <v>1</v>
      </c>
      <c r="P63" s="69"/>
    </row>
    <row r="64" spans="2:57" ht="15">
      <c r="B64" s="35" t="s">
        <v>165</v>
      </c>
      <c r="C64" s="65"/>
      <c r="D64" s="76"/>
      <c r="E64" s="76">
        <v>7.837301587301579</v>
      </c>
      <c r="F64" s="66">
        <v>3.3</v>
      </c>
      <c r="G64" s="282"/>
      <c r="H64" s="76"/>
      <c r="I64" s="76">
        <v>5.3377569154690221</v>
      </c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/>
      <c r="E65" s="76">
        <v>7.3129862357869699</v>
      </c>
      <c r="F65" s="70">
        <f>[21]May_2022!$M$43</f>
        <v>3.4878406700073312</v>
      </c>
      <c r="G65" s="282"/>
      <c r="H65" s="76"/>
      <c r="I65" s="76">
        <v>8.6614709463340702</v>
      </c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37" t="s">
        <v>16</v>
      </c>
      <c r="C66" s="65"/>
      <c r="D66" s="76">
        <v>2.0782986950217497</v>
      </c>
      <c r="E66" s="76">
        <v>2.8629317642487306</v>
      </c>
      <c r="F66" s="66">
        <v>3.3</v>
      </c>
      <c r="G66" s="282"/>
      <c r="H66" s="76">
        <v>3.4559849687930924</v>
      </c>
      <c r="I66" s="76">
        <v>4.3478819741669881</v>
      </c>
      <c r="J66" s="66">
        <v>3.3</v>
      </c>
      <c r="K66" s="67"/>
      <c r="L66" s="194">
        <v>0.88859649122807016</v>
      </c>
      <c r="M66" s="194"/>
      <c r="N66" s="71">
        <v>1</v>
      </c>
      <c r="P66" s="69"/>
    </row>
    <row r="67" spans="2:16" ht="15.75" thickBot="1">
      <c r="B67" s="38" t="s">
        <v>164</v>
      </c>
      <c r="C67" s="65"/>
      <c r="D67" s="76"/>
      <c r="E67" s="76">
        <v>11.483253588516746</v>
      </c>
      <c r="F67" s="66">
        <v>7.5</v>
      </c>
      <c r="G67" s="282"/>
      <c r="H67" s="76"/>
      <c r="I67" s="76">
        <v>9.7934336121043764</v>
      </c>
      <c r="J67" s="66">
        <v>7.5</v>
      </c>
      <c r="K67" s="67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>
        <v>7.2653644592663174</v>
      </c>
      <c r="F68" s="66">
        <v>4.8</v>
      </c>
      <c r="G68" s="282"/>
      <c r="H68" s="76"/>
      <c r="I68" s="76">
        <v>8.1715311054411259</v>
      </c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3.9628678926825929</v>
      </c>
      <c r="E69" s="76">
        <v>6.3363739376243888</v>
      </c>
      <c r="F69" s="341">
        <v>5.5</v>
      </c>
      <c r="H69" s="76">
        <v>3.911105119250625</v>
      </c>
      <c r="I69" s="76">
        <v>6.5082696275730143</v>
      </c>
      <c r="J69" s="341">
        <v>5.5</v>
      </c>
      <c r="L69" s="194">
        <v>0.57714912280701758</v>
      </c>
      <c r="M69" s="194"/>
      <c r="N69" s="386">
        <v>1</v>
      </c>
    </row>
    <row r="73" spans="2:16">
      <c r="F73" s="315"/>
    </row>
    <row r="74" spans="2:16" ht="15">
      <c r="F74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58:F58"/>
    <mergeCell ref="G58:J58"/>
    <mergeCell ref="K58:N58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3347" priority="128" operator="notBetween">
      <formula>#REF!</formula>
      <formula>#REF!</formula>
    </cfRule>
  </conditionalFormatting>
  <conditionalFormatting sqref="C48">
    <cfRule type="cellIs" dxfId="3346" priority="160" stopIfTrue="1" operator="greaterThan">
      <formula>100</formula>
    </cfRule>
    <cfRule type="cellIs" dxfId="3345" priority="159" stopIfTrue="1" operator="lessThan">
      <formula>96</formula>
    </cfRule>
  </conditionalFormatting>
  <conditionalFormatting sqref="C60:C64">
    <cfRule type="cellIs" dxfId="3344" priority="109" stopIfTrue="1" operator="lessThanOrEqual">
      <formula>0</formula>
    </cfRule>
  </conditionalFormatting>
  <conditionalFormatting sqref="C60:C68">
    <cfRule type="cellIs" dxfId="3343" priority="108" stopIfTrue="1" operator="greaterThan">
      <formula>$F60</formula>
    </cfRule>
  </conditionalFormatting>
  <conditionalFormatting sqref="C61">
    <cfRule type="cellIs" dxfId="3342" priority="163" stopIfTrue="1" operator="greaterThan">
      <formula>$F60</formula>
    </cfRule>
  </conditionalFormatting>
  <conditionalFormatting sqref="C65">
    <cfRule type="cellIs" dxfId="3341" priority="47" stopIfTrue="1" operator="greaterThan">
      <formula>$F64</formula>
    </cfRule>
    <cfRule type="cellIs" dxfId="3340" priority="46" stopIfTrue="1" operator="lessThanOrEqual">
      <formula>0</formula>
    </cfRule>
  </conditionalFormatting>
  <conditionalFormatting sqref="C71:C75">
    <cfRule type="cellIs" dxfId="3339" priority="151" stopIfTrue="1" operator="lessThanOrEqual">
      <formula>0</formula>
    </cfRule>
  </conditionalFormatting>
  <conditionalFormatting sqref="C72:C75">
    <cfRule type="cellIs" dxfId="3338" priority="150" stopIfTrue="1" operator="greaterThan">
      <formula>$F$71</formula>
    </cfRule>
  </conditionalFormatting>
  <conditionalFormatting sqref="C77">
    <cfRule type="cellIs" dxfId="3337" priority="152" stopIfTrue="1" operator="greaterThan">
      <formula>$F$71</formula>
    </cfRule>
    <cfRule type="cellIs" dxfId="3336" priority="153" stopIfTrue="1" operator="lessThanOrEqual">
      <formula>0</formula>
    </cfRule>
  </conditionalFormatting>
  <conditionalFormatting sqref="C71:D71 D73:D79">
    <cfRule type="cellIs" dxfId="3335" priority="145" stopIfTrue="1" operator="greaterThan">
      <formula>4.5</formula>
    </cfRule>
  </conditionalFormatting>
  <conditionalFormatting sqref="D44:D45">
    <cfRule type="cellIs" dxfId="3334" priority="129" operator="notBetween">
      <formula>#REF!</formula>
      <formula>#REF!</formula>
    </cfRule>
  </conditionalFormatting>
  <conditionalFormatting sqref="D60:D67">
    <cfRule type="cellIs" dxfId="3333" priority="123" stopIfTrue="1" operator="lessThanOrEqual">
      <formula>0</formula>
    </cfRule>
  </conditionalFormatting>
  <conditionalFormatting sqref="D68">
    <cfRule type="cellIs" dxfId="3332" priority="122" stopIfTrue="1" operator="lessThanOrEqual">
      <formula>0</formula>
    </cfRule>
  </conditionalFormatting>
  <conditionalFormatting sqref="D71 D73:D79">
    <cfRule type="cellIs" dxfId="3331" priority="146" stopIfTrue="1" operator="lessThanOrEqual">
      <formula>0</formula>
    </cfRule>
  </conditionalFormatting>
  <conditionalFormatting sqref="D72">
    <cfRule type="cellIs" dxfId="3330" priority="137" stopIfTrue="1" operator="greaterThan">
      <formula>$F$71</formula>
    </cfRule>
    <cfRule type="cellIs" dxfId="3329" priority="138" stopIfTrue="1" operator="lessThanOrEqual">
      <formula>0</formula>
    </cfRule>
  </conditionalFormatting>
  <conditionalFormatting sqref="D60:E69">
    <cfRule type="cellIs" dxfId="3328" priority="106" stopIfTrue="1" operator="greaterThan">
      <formula>$F60</formula>
    </cfRule>
  </conditionalFormatting>
  <conditionalFormatting sqref="D69:E69">
    <cfRule type="cellIs" dxfId="3327" priority="107" stopIfTrue="1" operator="lessThanOrEqual">
      <formula>0</formula>
    </cfRule>
  </conditionalFormatting>
  <conditionalFormatting sqref="E10:E19">
    <cfRule type="cellIs" dxfId="3326" priority="7" operator="lessThan">
      <formula>48</formula>
    </cfRule>
  </conditionalFormatting>
  <conditionalFormatting sqref="E47 E48:F48">
    <cfRule type="cellIs" dxfId="3325" priority="142" stopIfTrue="1" operator="greaterThan">
      <formula>100</formula>
    </cfRule>
  </conditionalFormatting>
  <conditionalFormatting sqref="E48">
    <cfRule type="cellIs" dxfId="3324" priority="139" stopIfTrue="1" operator="lessThan">
      <formula>96.8</formula>
    </cfRule>
    <cfRule type="cellIs" dxfId="3323" priority="140" stopIfTrue="1" operator="greaterThan">
      <formula>100</formula>
    </cfRule>
  </conditionalFormatting>
  <conditionalFormatting sqref="E60:E68">
    <cfRule type="cellIs" dxfId="3322" priority="117" stopIfTrue="1" operator="lessThanOrEqual">
      <formula>0</formula>
    </cfRule>
  </conditionalFormatting>
  <conditionalFormatting sqref="E71:E79">
    <cfRule type="cellIs" dxfId="3321" priority="131" stopIfTrue="1" operator="greaterThan">
      <formula>4.5</formula>
    </cfRule>
    <cfRule type="cellIs" dxfId="3320" priority="132" stopIfTrue="1" operator="lessThanOrEqual">
      <formula>0</formula>
    </cfRule>
  </conditionalFormatting>
  <conditionalFormatting sqref="E48:F48 E47">
    <cfRule type="cellIs" dxfId="3319" priority="141" stopIfTrue="1" operator="lessThan">
      <formula>96.5</formula>
    </cfRule>
  </conditionalFormatting>
  <conditionalFormatting sqref="F10:F19">
    <cfRule type="cellIs" dxfId="3318" priority="8" operator="greaterThan">
      <formula>60</formula>
    </cfRule>
  </conditionalFormatting>
  <conditionalFormatting sqref="F48">
    <cfRule type="cellIs" dxfId="3317" priority="157" stopIfTrue="1" operator="lessThan">
      <formula>96.8</formula>
    </cfRule>
    <cfRule type="cellIs" dxfId="3316" priority="158" stopIfTrue="1" operator="greaterThan">
      <formula>100</formula>
    </cfRule>
  </conditionalFormatting>
  <conditionalFormatting sqref="F69">
    <cfRule type="cellIs" dxfId="3315" priority="118" stopIfTrue="1" operator="greaterThan">
      <formula>$F69</formula>
    </cfRule>
    <cfRule type="cellIs" dxfId="3314" priority="119" stopIfTrue="1" operator="lessThanOrEqual">
      <formula>0</formula>
    </cfRule>
  </conditionalFormatting>
  <conditionalFormatting sqref="F74">
    <cfRule type="cellIs" dxfId="3313" priority="76" stopIfTrue="1" operator="greaterThan">
      <formula>$F74</formula>
    </cfRule>
    <cfRule type="cellIs" dxfId="3312" priority="77" stopIfTrue="1" operator="lessThanOrEqual">
      <formula>0</formula>
    </cfRule>
  </conditionalFormatting>
  <conditionalFormatting sqref="G60:G61 C66:C68">
    <cfRule type="cellIs" dxfId="3311" priority="125" stopIfTrue="1" operator="lessThanOrEqual">
      <formula>0</formula>
    </cfRule>
  </conditionalFormatting>
  <conditionalFormatting sqref="G60:G61">
    <cfRule type="cellIs" dxfId="3310" priority="110" stopIfTrue="1" operator="greaterThan">
      <formula>$F60</formula>
    </cfRule>
    <cfRule type="cellIs" dxfId="3309" priority="111" stopIfTrue="1" operator="lessThanOrEqual">
      <formula>0</formula>
    </cfRule>
    <cfRule type="cellIs" dxfId="3308" priority="124" stopIfTrue="1" operator="greaterThan">
      <formula>$F60</formula>
    </cfRule>
  </conditionalFormatting>
  <conditionalFormatting sqref="G62">
    <cfRule type="cellIs" dxfId="3307" priority="161" stopIfTrue="1" operator="greaterThan">
      <formula>$F61</formula>
    </cfRule>
    <cfRule type="cellIs" dxfId="3306" priority="162" stopIfTrue="1" operator="lessThanOrEqual">
      <formula>0</formula>
    </cfRule>
  </conditionalFormatting>
  <conditionalFormatting sqref="G63">
    <cfRule type="cellIs" dxfId="3305" priority="121" stopIfTrue="1" operator="lessThanOrEqual">
      <formula>0</formula>
    </cfRule>
    <cfRule type="cellIs" dxfId="3304" priority="120" stopIfTrue="1" operator="greaterThan">
      <formula>$F63</formula>
    </cfRule>
  </conditionalFormatting>
  <conditionalFormatting sqref="G64:G68">
    <cfRule type="cellIs" dxfId="3303" priority="126" stopIfTrue="1" operator="greaterThan">
      <formula>$J64</formula>
    </cfRule>
    <cfRule type="cellIs" dxfId="3302" priority="127" stopIfTrue="1" operator="lessThanOrEqual">
      <formula>0</formula>
    </cfRule>
  </conditionalFormatting>
  <conditionalFormatting sqref="G73:G78 C76 C78">
    <cfRule type="cellIs" dxfId="3301" priority="154" stopIfTrue="1" operator="greaterThan">
      <formula>4.5</formula>
    </cfRule>
    <cfRule type="cellIs" dxfId="3300" priority="155" stopIfTrue="1" operator="lessThanOrEqual">
      <formula>0</formula>
    </cfRule>
  </conditionalFormatting>
  <conditionalFormatting sqref="G72:H72">
    <cfRule type="cellIs" dxfId="3299" priority="135" stopIfTrue="1" operator="greaterThan">
      <formula>$F$71</formula>
    </cfRule>
    <cfRule type="cellIs" dxfId="3298" priority="136" stopIfTrue="1" operator="lessThanOrEqual">
      <formula>0</formula>
    </cfRule>
  </conditionalFormatting>
  <conditionalFormatting sqref="H33:H47">
    <cfRule type="cellIs" dxfId="3297" priority="133" stopIfTrue="1" operator="greaterThan">
      <formula>0</formula>
    </cfRule>
  </conditionalFormatting>
  <conditionalFormatting sqref="H51">
    <cfRule type="cellIs" dxfId="3296" priority="28" stopIfTrue="1" operator="lessThanOrEqual">
      <formula>0</formula>
    </cfRule>
    <cfRule type="cellIs" dxfId="3295" priority="26" stopIfTrue="1" operator="lessThanOrEqual">
      <formula>0</formula>
    </cfRule>
    <cfRule type="cellIs" dxfId="3294" priority="25" stopIfTrue="1" operator="greaterThan">
      <formula>$F$64</formula>
    </cfRule>
    <cfRule type="cellIs" dxfId="3293" priority="17" stopIfTrue="1" operator="greaterThan">
      <formula>$F$61</formula>
    </cfRule>
    <cfRule type="cellIs" dxfId="3292" priority="27" stopIfTrue="1" operator="greaterThan">
      <formula>$F$62</formula>
    </cfRule>
    <cfRule type="cellIs" dxfId="3291" priority="16" stopIfTrue="1" operator="lessThanOrEqual">
      <formula>0</formula>
    </cfRule>
  </conditionalFormatting>
  <conditionalFormatting sqref="H52">
    <cfRule type="cellIs" dxfId="3290" priority="72" stopIfTrue="1" operator="greaterThan">
      <formula>$F$20</formula>
    </cfRule>
    <cfRule type="cellIs" dxfId="3289" priority="73" stopIfTrue="1" operator="lessThanOrEqual">
      <formula>0</formula>
    </cfRule>
    <cfRule type="cellIs" dxfId="3288" priority="74" stopIfTrue="1" operator="greaterThan">
      <formula>#REF!</formula>
    </cfRule>
    <cfRule type="cellIs" dxfId="3287" priority="75" stopIfTrue="1" operator="lessThanOrEqual">
      <formula>0</formula>
    </cfRule>
    <cfRule type="cellIs" dxfId="3286" priority="64" stopIfTrue="1" operator="greaterThan">
      <formula>#REF!</formula>
    </cfRule>
    <cfRule type="cellIs" dxfId="3285" priority="63" stopIfTrue="1" operator="lessThanOrEqual">
      <formula>0</formula>
    </cfRule>
  </conditionalFormatting>
  <conditionalFormatting sqref="H53">
    <cfRule type="cellIs" dxfId="3284" priority="45" stopIfTrue="1" operator="lessThanOrEqual">
      <formula>0</formula>
    </cfRule>
    <cfRule type="cellIs" dxfId="3283" priority="44" stopIfTrue="1" operator="greaterThan">
      <formula>$F$39</formula>
    </cfRule>
    <cfRule type="cellIs" dxfId="3282" priority="43" stopIfTrue="1" operator="lessThanOrEqual">
      <formula>0</formula>
    </cfRule>
    <cfRule type="cellIs" dxfId="3281" priority="42" stopIfTrue="1" operator="greaterThan">
      <formula>$F$41</formula>
    </cfRule>
    <cfRule type="cellIs" dxfId="3280" priority="34" stopIfTrue="1" operator="greaterThan">
      <formula>$F$38</formula>
    </cfRule>
    <cfRule type="cellIs" dxfId="3279" priority="33" stopIfTrue="1" operator="lessThanOrEqual">
      <formula>0</formula>
    </cfRule>
  </conditionalFormatting>
  <conditionalFormatting sqref="H54:H55">
    <cfRule type="cellIs" dxfId="3278" priority="50" stopIfTrue="1" operator="greaterThan">
      <formula>#REF!</formula>
    </cfRule>
    <cfRule type="cellIs" dxfId="3277" priority="49" stopIfTrue="1" operator="lessThanOrEqual">
      <formula>0</formula>
    </cfRule>
    <cfRule type="cellIs" dxfId="3276" priority="58" stopIfTrue="1" operator="greaterThan">
      <formula>$F$19</formula>
    </cfRule>
    <cfRule type="cellIs" dxfId="3275" priority="59" stopIfTrue="1" operator="lessThanOrEqual">
      <formula>0</formula>
    </cfRule>
    <cfRule type="cellIs" dxfId="3274" priority="60" stopIfTrue="1" operator="greaterThan">
      <formula>#REF!</formula>
    </cfRule>
    <cfRule type="cellIs" dxfId="3273" priority="61" stopIfTrue="1" operator="lessThanOrEqual">
      <formula>0</formula>
    </cfRule>
  </conditionalFormatting>
  <conditionalFormatting sqref="H56">
    <cfRule type="cellIs" dxfId="3272" priority="89" stopIfTrue="1" operator="greaterThan">
      <formula>$F$35</formula>
    </cfRule>
    <cfRule type="cellIs" dxfId="3271" priority="81" stopIfTrue="1" operator="greaterThan">
      <formula>$F$32</formula>
    </cfRule>
    <cfRule type="cellIs" dxfId="3270" priority="92" stopIfTrue="1" operator="lessThanOrEqual">
      <formula>0</formula>
    </cfRule>
    <cfRule type="cellIs" dxfId="3269" priority="91" stopIfTrue="1" operator="greaterThan">
      <formula>$F$33</formula>
    </cfRule>
    <cfRule type="cellIs" dxfId="3268" priority="90" stopIfTrue="1" operator="lessThanOrEqual">
      <formula>0</formula>
    </cfRule>
    <cfRule type="cellIs" dxfId="3267" priority="80" stopIfTrue="1" operator="lessThanOrEqual">
      <formula>0</formula>
    </cfRule>
  </conditionalFormatting>
  <conditionalFormatting sqref="H60:H67">
    <cfRule type="cellIs" dxfId="3266" priority="112" stopIfTrue="1" operator="greaterThan">
      <formula>$J60</formula>
    </cfRule>
    <cfRule type="cellIs" dxfId="3265" priority="113" stopIfTrue="1" operator="lessThanOrEqual">
      <formula>0</formula>
    </cfRule>
  </conditionalFormatting>
  <conditionalFormatting sqref="H68">
    <cfRule type="cellIs" dxfId="3264" priority="114" operator="greaterThan">
      <formula>5.3</formula>
    </cfRule>
  </conditionalFormatting>
  <conditionalFormatting sqref="H71 H73:H79">
    <cfRule type="cellIs" dxfId="3263" priority="148" stopIfTrue="1" operator="lessThanOrEqual">
      <formula>0</formula>
    </cfRule>
    <cfRule type="cellIs" dxfId="3262" priority="147" stopIfTrue="1" operator="greaterThan">
      <formula>4.5</formula>
    </cfRule>
  </conditionalFormatting>
  <conditionalFormatting sqref="H51:I51">
    <cfRule type="cellIs" dxfId="3261" priority="15" stopIfTrue="1" operator="greaterThan">
      <formula>$F$63</formula>
    </cfRule>
    <cfRule type="cellIs" dxfId="3260" priority="18" stopIfTrue="1" operator="lessThanOrEqual">
      <formula>0</formula>
    </cfRule>
  </conditionalFormatting>
  <conditionalFormatting sqref="H52:I52">
    <cfRule type="cellIs" dxfId="3259" priority="65" stopIfTrue="1" operator="lessThanOrEqual">
      <formula>0</formula>
    </cfRule>
    <cfRule type="cellIs" dxfId="3258" priority="62" stopIfTrue="1" operator="greaterThan">
      <formula>$F$19</formula>
    </cfRule>
  </conditionalFormatting>
  <conditionalFormatting sqref="H53:I53">
    <cfRule type="cellIs" dxfId="3257" priority="32" stopIfTrue="1" operator="greaterThan">
      <formula>$F$40</formula>
    </cfRule>
    <cfRule type="cellIs" dxfId="3256" priority="35" stopIfTrue="1" operator="lessThanOrEqual">
      <formula>0</formula>
    </cfRule>
  </conditionalFormatting>
  <conditionalFormatting sqref="H54:I55">
    <cfRule type="cellIs" dxfId="3255" priority="51" stopIfTrue="1" operator="lessThanOrEqual">
      <formula>0</formula>
    </cfRule>
    <cfRule type="cellIs" dxfId="3254" priority="48" stopIfTrue="1" operator="greaterThan">
      <formula>#REF!</formula>
    </cfRule>
  </conditionalFormatting>
  <conditionalFormatting sqref="H56:I56">
    <cfRule type="cellIs" dxfId="3253" priority="79" stopIfTrue="1" operator="greaterThan">
      <formula>$F$34</formula>
    </cfRule>
    <cfRule type="cellIs" dxfId="3252" priority="82" stopIfTrue="1" operator="lessThanOrEqual">
      <formula>0</formula>
    </cfRule>
  </conditionalFormatting>
  <conditionalFormatting sqref="H69:I69">
    <cfRule type="cellIs" dxfId="3251" priority="105" stopIfTrue="1" operator="lessThanOrEqual">
      <formula>0</formula>
    </cfRule>
    <cfRule type="cellIs" dxfId="3250" priority="104" stopIfTrue="1" operator="greaterThan">
      <formula>$J69</formula>
    </cfRule>
  </conditionalFormatting>
  <conditionalFormatting sqref="I51">
    <cfRule type="cellIs" dxfId="3249" priority="24" stopIfTrue="1" operator="lessThanOrEqual">
      <formula>0</formula>
    </cfRule>
    <cfRule type="cellIs" dxfId="3248" priority="23" stopIfTrue="1" operator="greaterThan">
      <formula>$F$61</formula>
    </cfRule>
    <cfRule type="cellIs" dxfId="3247" priority="19" stopIfTrue="1" operator="greaterThan">
      <formula>$F$61</formula>
    </cfRule>
    <cfRule type="cellIs" dxfId="3246" priority="20" stopIfTrue="1" operator="lessThanOrEqual">
      <formula>0</formula>
    </cfRule>
    <cfRule type="cellIs" dxfId="3245" priority="21" stopIfTrue="1" operator="greaterThan">
      <formula>$F$63</formula>
    </cfRule>
    <cfRule type="cellIs" dxfId="3244" priority="22" stopIfTrue="1" operator="lessThanOrEqual">
      <formula>0</formula>
    </cfRule>
  </conditionalFormatting>
  <conditionalFormatting sqref="I52">
    <cfRule type="cellIs" dxfId="3243" priority="67" stopIfTrue="1" operator="lessThanOrEqual">
      <formula>0</formula>
    </cfRule>
    <cfRule type="cellIs" dxfId="3242" priority="66" stopIfTrue="1" operator="greaterThan">
      <formula>#REF!</formula>
    </cfRule>
    <cfRule type="cellIs" dxfId="3241" priority="68" stopIfTrue="1" operator="greaterThan">
      <formula>$F$19</formula>
    </cfRule>
    <cfRule type="cellIs" dxfId="3240" priority="70" stopIfTrue="1" operator="greaterThan">
      <formula>#REF!</formula>
    </cfRule>
    <cfRule type="cellIs" dxfId="3239" priority="71" stopIfTrue="1" operator="lessThanOrEqual">
      <formula>0</formula>
    </cfRule>
    <cfRule type="cellIs" dxfId="3238" priority="69" stopIfTrue="1" operator="lessThanOrEqual">
      <formula>0</formula>
    </cfRule>
  </conditionalFormatting>
  <conditionalFormatting sqref="I53">
    <cfRule type="cellIs" dxfId="3237" priority="38" stopIfTrue="1" operator="greaterThan">
      <formula>$F$40</formula>
    </cfRule>
    <cfRule type="cellIs" dxfId="3236" priority="41" stopIfTrue="1" operator="lessThanOrEqual">
      <formula>0</formula>
    </cfRule>
    <cfRule type="cellIs" dxfId="3235" priority="40" stopIfTrue="1" operator="greaterThan">
      <formula>$F$38</formula>
    </cfRule>
    <cfRule type="cellIs" dxfId="3234" priority="39" stopIfTrue="1" operator="lessThanOrEqual">
      <formula>0</formula>
    </cfRule>
    <cfRule type="cellIs" dxfId="3233" priority="37" stopIfTrue="1" operator="lessThanOrEqual">
      <formula>0</formula>
    </cfRule>
    <cfRule type="cellIs" dxfId="3232" priority="36" stopIfTrue="1" operator="greaterThan">
      <formula>$F$38</formula>
    </cfRule>
  </conditionalFormatting>
  <conditionalFormatting sqref="I54:I55">
    <cfRule type="cellIs" dxfId="3231" priority="57" stopIfTrue="1" operator="lessThanOrEqual">
      <formula>0</formula>
    </cfRule>
    <cfRule type="cellIs" dxfId="3230" priority="56" stopIfTrue="1" operator="greaterThan">
      <formula>#REF!</formula>
    </cfRule>
    <cfRule type="cellIs" dxfId="3229" priority="55" stopIfTrue="1" operator="lessThanOrEqual">
      <formula>0</formula>
    </cfRule>
    <cfRule type="cellIs" dxfId="3228" priority="54" stopIfTrue="1" operator="greaterThan">
      <formula>#REF!</formula>
    </cfRule>
    <cfRule type="cellIs" dxfId="3227" priority="53" stopIfTrue="1" operator="lessThanOrEqual">
      <formula>0</formula>
    </cfRule>
    <cfRule type="cellIs" dxfId="3226" priority="52" stopIfTrue="1" operator="greaterThan">
      <formula>#REF!</formula>
    </cfRule>
  </conditionalFormatting>
  <conditionalFormatting sqref="I56">
    <cfRule type="cellIs" dxfId="3225" priority="83" stopIfTrue="1" operator="greaterThan">
      <formula>$F$32</formula>
    </cfRule>
    <cfRule type="cellIs" dxfId="3224" priority="88" stopIfTrue="1" operator="lessThanOrEqual">
      <formula>0</formula>
    </cfRule>
    <cfRule type="cellIs" dxfId="3223" priority="87" stopIfTrue="1" operator="greaterThan">
      <formula>$F$32</formula>
    </cfRule>
    <cfRule type="cellIs" dxfId="3222" priority="86" stopIfTrue="1" operator="lessThanOrEqual">
      <formula>0</formula>
    </cfRule>
    <cfRule type="cellIs" dxfId="3221" priority="85" stopIfTrue="1" operator="greaterThan">
      <formula>$F$34</formula>
    </cfRule>
    <cfRule type="cellIs" dxfId="3220" priority="84" stopIfTrue="1" operator="lessThanOrEqual">
      <formula>0</formula>
    </cfRule>
  </conditionalFormatting>
  <conditionalFormatting sqref="I60:I68">
    <cfRule type="cellIs" dxfId="3219" priority="115" stopIfTrue="1" operator="greaterThan">
      <formula>$J60</formula>
    </cfRule>
    <cfRule type="cellIs" dxfId="3218" priority="116" stopIfTrue="1" operator="lessThanOrEqual">
      <formula>0</formula>
    </cfRule>
  </conditionalFormatting>
  <conditionalFormatting sqref="I71:I79">
    <cfRule type="cellIs" dxfId="3217" priority="143" stopIfTrue="1" operator="greaterThan">
      <formula>4.5</formula>
    </cfRule>
    <cfRule type="cellIs" dxfId="3216" priority="144" stopIfTrue="1" operator="lessThanOrEqual">
      <formula>0</formula>
    </cfRule>
  </conditionalFormatting>
  <conditionalFormatting sqref="I10:J19">
    <cfRule type="cellIs" dxfId="3215" priority="1" operator="lessThan">
      <formula>97.9</formula>
    </cfRule>
  </conditionalFormatting>
  <conditionalFormatting sqref="J22:J24">
    <cfRule type="cellIs" dxfId="3214" priority="95" stopIfTrue="1" operator="greaterThan">
      <formula>100</formula>
    </cfRule>
    <cfRule type="cellIs" dxfId="3213" priority="96" operator="lessThan">
      <formula>98</formula>
    </cfRule>
    <cfRule type="cellIs" dxfId="3212" priority="94" stopIfTrue="1" operator="lessThan">
      <formula>96.8</formula>
    </cfRule>
  </conditionalFormatting>
  <conditionalFormatting sqref="J22:J26">
    <cfRule type="cellIs" dxfId="3211" priority="93" operator="lessThan">
      <formula>97.4</formula>
    </cfRule>
  </conditionalFormatting>
  <conditionalFormatting sqref="J27">
    <cfRule type="cellIs" dxfId="3210" priority="97" operator="lessThan">
      <formula>98</formula>
    </cfRule>
  </conditionalFormatting>
  <conditionalFormatting sqref="J29:J30">
    <cfRule type="cellIs" dxfId="3209" priority="98" stopIfTrue="1" operator="lessThan">
      <formula>96.8</formula>
    </cfRule>
    <cfRule type="cellIs" dxfId="3208" priority="99" stopIfTrue="1" operator="greaterThan">
      <formula>100</formula>
    </cfRule>
  </conditionalFormatting>
  <conditionalFormatting sqref="J29:J31">
    <cfRule type="cellIs" dxfId="3207" priority="100" operator="lessThan">
      <formula>98</formula>
    </cfRule>
  </conditionalFormatting>
  <conditionalFormatting sqref="J69">
    <cfRule type="cellIs" dxfId="3206" priority="101" stopIfTrue="1" operator="greaterThan">
      <formula>$F69</formula>
    </cfRule>
    <cfRule type="cellIs" dxfId="3205" priority="102" stopIfTrue="1" operator="lessThanOrEqual">
      <formula>0</formula>
    </cfRule>
  </conditionalFormatting>
  <conditionalFormatting sqref="K10:K19">
    <cfRule type="cellIs" dxfId="3204" priority="4" operator="lessThan">
      <formula>4</formula>
    </cfRule>
    <cfRule type="cellIs" dxfId="3203" priority="5" operator="greaterThan">
      <formula>6.4</formula>
    </cfRule>
    <cfRule type="cellIs" dxfId="3202" priority="3" operator="greaterThan">
      <formula>6</formula>
    </cfRule>
  </conditionalFormatting>
  <conditionalFormatting sqref="K51:K56 K60:N66 K67 M67:N67 K68:N68">
    <cfRule type="cellIs" dxfId="3201" priority="78" stopIfTrue="1" operator="lessThan">
      <formula>100%</formula>
    </cfRule>
  </conditionalFormatting>
  <conditionalFormatting sqref="K71:K76">
    <cfRule type="cellIs" dxfId="3200" priority="149" stopIfTrue="1" operator="lessThan">
      <formula>100%</formula>
    </cfRule>
  </conditionalFormatting>
  <conditionalFormatting sqref="K78:K79">
    <cfRule type="cellIs" dxfId="3199" priority="156" stopIfTrue="1" operator="lessThan">
      <formula>100%</formula>
    </cfRule>
  </conditionalFormatting>
  <conditionalFormatting sqref="L19">
    <cfRule type="cellIs" dxfId="3198" priority="13" operator="greaterThan">
      <formula>65</formula>
    </cfRule>
    <cfRule type="cellIs" dxfId="3197" priority="12" operator="between">
      <formula>61</formula>
      <formula>65</formula>
    </cfRule>
  </conditionalFormatting>
  <conditionalFormatting sqref="L10:M18">
    <cfRule type="cellIs" dxfId="3196" priority="9" operator="between">
      <formula>61</formula>
      <formula>65</formula>
    </cfRule>
    <cfRule type="cellIs" dxfId="3195" priority="10" operator="greaterThan">
      <formula>65</formula>
    </cfRule>
  </conditionalFormatting>
  <conditionalFormatting sqref="L22:M33">
    <cfRule type="cellIs" dxfId="3194" priority="30" operator="lessThan">
      <formula>98</formula>
    </cfRule>
  </conditionalFormatting>
  <conditionalFormatting sqref="L37:N37">
    <cfRule type="cellIs" dxfId="3193" priority="31" operator="notEqual">
      <formula>#REF!</formula>
    </cfRule>
  </conditionalFormatting>
  <conditionalFormatting sqref="L69:N69">
    <cfRule type="cellIs" dxfId="3192" priority="103" stopIfTrue="1" operator="lessThan">
      <formula>100%</formula>
    </cfRule>
  </conditionalFormatting>
  <conditionalFormatting sqref="L71:N79">
    <cfRule type="cellIs" dxfId="3191" priority="134" stopIfTrue="1" operator="lessThan">
      <formula>100%</formula>
    </cfRule>
  </conditionalFormatting>
  <conditionalFormatting sqref="M18">
    <cfRule type="expression" dxfId="3190" priority="14">
      <formula>IF(+(IF(M18&lt;U18,0,IF(M18&gt;V18,0,1)))=0,1)</formula>
    </cfRule>
  </conditionalFormatting>
  <conditionalFormatting sqref="M10:N17 G10:H19">
    <cfRule type="expression" dxfId="3189" priority="29">
      <formula>IF(+(IF(G10&lt;#REF!,0,IF(G10&gt;#REF!,0,1)))=0,1)</formula>
    </cfRule>
  </conditionalFormatting>
  <conditionalFormatting sqref="M19:N19">
    <cfRule type="expression" dxfId="3188" priority="164">
      <formula>IF(+(IF(M19&lt;#REF!,0,IF(M19&gt;#REF!,0,1)))=0,1)</formula>
    </cfRule>
  </conditionalFormatting>
  <conditionalFormatting sqref="N18">
    <cfRule type="expression" dxfId="3187" priority="2">
      <formula>IF(+(IF(N18&lt;W18,0,IF(N18&gt;X18,0,1)))=0,1)</formula>
    </cfRule>
  </conditionalFormatting>
  <conditionalFormatting sqref="P6">
    <cfRule type="cellIs" dxfId="3186" priority="130" operator="greaterThanOrEqual">
      <formula>19</formula>
    </cfRule>
  </conditionalFormatting>
  <dataValidations count="1">
    <dataValidation type="list" allowBlank="1" showInputMessage="1" showErrorMessage="1" sqref="R8" xr:uid="{B3CC25DA-DAAD-42D0-AE0E-202AA815A7D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6535-E09B-4C2D-9E1F-3786511D6607}">
  <sheetPr>
    <pageSetUpPr fitToPage="1"/>
  </sheetPr>
  <dimension ref="A1:BE82"/>
  <sheetViews>
    <sheetView topLeftCell="A7" zoomScale="95" zoomScaleNormal="95" workbookViewId="0">
      <selection activeCell="H59" sqref="H59:I5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45937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29" t="s">
        <v>6</v>
      </c>
      <c r="C10" s="366" t="str">
        <f>[22]Brewhouse!$A839</f>
        <v>CA729</v>
      </c>
      <c r="D10" s="279">
        <f>[22]Brewhouse!$AF839</f>
        <v>50.7</v>
      </c>
      <c r="E10" s="279">
        <f>[22]Brewhouse!$AI839</f>
        <v>48.7</v>
      </c>
      <c r="F10" s="278">
        <f>[22]Brewhouse!$V839</f>
        <v>65</v>
      </c>
      <c r="G10" s="279">
        <f>[22]Brewhouse!AG839</f>
        <v>11.9</v>
      </c>
      <c r="H10" s="396">
        <v>11.9</v>
      </c>
      <c r="I10" s="368">
        <f>[22]Brewhouse!$AU839</f>
        <v>94.602938664994568</v>
      </c>
      <c r="J10" s="368">
        <f>[22]Brewhouse!$AV839</f>
        <v>95.562199362422518</v>
      </c>
      <c r="K10" s="281">
        <f>[22]Brewhouse!$Q839</f>
        <v>6.0526315789473655</v>
      </c>
      <c r="L10" s="276">
        <f>[22]Brewhouse!$P839</f>
        <v>60</v>
      </c>
      <c r="M10" s="397">
        <f>[22]Brewhouse!$U839-[22]Brewhouse!$T839</f>
        <v>0.11527777777777781</v>
      </c>
      <c r="N10" s="370">
        <f>[22]Brewhouse!$Z839</f>
        <v>0.26041666666666669</v>
      </c>
      <c r="O10" s="421" t="str">
        <f>[22]Brewhouse!$AX839</f>
        <v>R.Sookram</v>
      </c>
      <c r="P10" s="418"/>
      <c r="R10" s="277" t="str">
        <f t="shared" ref="R10:R20" si="0">B10</f>
        <v>CARIB</v>
      </c>
      <c r="S10" s="296">
        <f t="shared" ref="S10:S20" si="1">VLOOKUP($B10,$R$3:$X$9,2,FALSE)</f>
        <v>11.6</v>
      </c>
      <c r="T10" s="296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296">
        <f t="shared" ref="Z10:Z20" si="8">VLOOKUP($B10,$R$3:$Z$9,9,FALSE)</f>
        <v>60</v>
      </c>
    </row>
    <row r="11" spans="2:29" ht="15.6" customHeight="1">
      <c r="B11" s="29" t="s">
        <v>6</v>
      </c>
      <c r="C11" s="366" t="str">
        <f>[22]Brewhouse!$A840</f>
        <v>CA730</v>
      </c>
      <c r="D11" s="279">
        <f>[22]Brewhouse!$AF840</f>
        <v>51</v>
      </c>
      <c r="E11" s="279">
        <f>[22]Brewhouse!$AI840</f>
        <v>49.3</v>
      </c>
      <c r="F11" s="278">
        <f>[22]Brewhouse!$V840</f>
        <v>64</v>
      </c>
      <c r="G11" s="279">
        <f>[22]Brewhouse!AG840</f>
        <v>11.6</v>
      </c>
      <c r="H11" s="396">
        <v>11.7</v>
      </c>
      <c r="I11" s="368">
        <f>[22]Brewhouse!$AU840</f>
        <v>93.219645271882115</v>
      </c>
      <c r="J11" s="368">
        <f>[22]Brewhouse!$AV840</f>
        <v>95.104731013904967</v>
      </c>
      <c r="K11" s="281">
        <f>[22]Brewhouse!$Q840</f>
        <v>7.6296296296296253</v>
      </c>
      <c r="L11" s="276">
        <f>[22]Brewhouse!$P840</f>
        <v>57</v>
      </c>
      <c r="M11" s="397">
        <f>[22]Brewhouse!$U840-[22]Brewhouse!$T840</f>
        <v>0.11180555555555555</v>
      </c>
      <c r="N11" s="370">
        <f>[22]Brewhouse!$Z840</f>
        <v>0.27291666666666664</v>
      </c>
      <c r="O11" s="421" t="str">
        <f>[22]Brewhouse!$AX840</f>
        <v>R.Sookram</v>
      </c>
      <c r="P11" s="418" t="s">
        <v>177</v>
      </c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29" t="s">
        <v>6</v>
      </c>
      <c r="C12" s="366" t="str">
        <f>[22]Brewhouse!$A841</f>
        <v>CA731</v>
      </c>
      <c r="D12" s="279">
        <f>[22]Brewhouse!$AF841</f>
        <v>52.3</v>
      </c>
      <c r="E12" s="279">
        <f>[22]Brewhouse!$AI841</f>
        <v>51.9</v>
      </c>
      <c r="F12" s="278">
        <f>[22]Brewhouse!$V841</f>
        <v>68</v>
      </c>
      <c r="G12" s="279">
        <f>[22]Brewhouse!AG841</f>
        <v>11.6</v>
      </c>
      <c r="H12" s="396">
        <v>11.7</v>
      </c>
      <c r="I12" s="368">
        <f>[22]Brewhouse!$AU841</f>
        <v>98.500881130240671</v>
      </c>
      <c r="J12" s="368">
        <f>[22]Brewhouse!$AV841</f>
        <v>100.49228098351597</v>
      </c>
      <c r="K12" s="281">
        <f>[22]Brewhouse!$Q841</f>
        <v>5.3107344632768365</v>
      </c>
      <c r="L12" s="276">
        <f>[22]Brewhouse!$P841</f>
        <v>58</v>
      </c>
      <c r="M12" s="397">
        <f>[22]Brewhouse!$U841-[22]Brewhouse!$T841</f>
        <v>0.11319444444444438</v>
      </c>
      <c r="N12" s="370">
        <f>[22]Brewhouse!$Z841</f>
        <v>0.2493055555555555</v>
      </c>
      <c r="O12" s="421" t="str">
        <f>[22]Brewhouse!$AX841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6" customHeight="1">
      <c r="B13" s="29" t="s">
        <v>6</v>
      </c>
      <c r="C13" s="366" t="str">
        <f>[22]Brewhouse!$A842</f>
        <v>CA732</v>
      </c>
      <c r="D13" s="279">
        <f>[22]Brewhouse!$AF842</f>
        <v>51.8</v>
      </c>
      <c r="E13" s="279">
        <f>[22]Brewhouse!$AI842</f>
        <v>50.1</v>
      </c>
      <c r="F13" s="278">
        <f>[22]Brewhouse!$V842</f>
        <v>56</v>
      </c>
      <c r="G13" s="279">
        <f>[22]Brewhouse!AG842</f>
        <v>11.9</v>
      </c>
      <c r="H13" s="396">
        <v>12</v>
      </c>
      <c r="I13" s="368">
        <f>[22]Brewhouse!$AU842</f>
        <v>97.673604514555763</v>
      </c>
      <c r="J13" s="368">
        <f>[22]Brewhouse!$AV842</f>
        <v>99.648279253170273</v>
      </c>
      <c r="K13" s="281">
        <f>[22]Brewhouse!$Q842</f>
        <v>3.80414312617703</v>
      </c>
      <c r="L13" s="276">
        <f>[22]Brewhouse!$P842</f>
        <v>57</v>
      </c>
      <c r="M13" s="397">
        <f>[22]Brewhouse!$U842-[22]Brewhouse!$T842</f>
        <v>0.1020833333333333</v>
      </c>
      <c r="N13" s="370">
        <f>[22]Brewhouse!$Z842</f>
        <v>0.24513888888888891</v>
      </c>
      <c r="O13" s="421" t="str">
        <f>[22]Brewhouse!$AX842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29" t="s">
        <v>6</v>
      </c>
      <c r="C14" s="366" t="str">
        <f>[22]Brewhouse!$A843</f>
        <v>CA733</v>
      </c>
      <c r="D14" s="279">
        <f>[22]Brewhouse!$AF843</f>
        <v>52.4</v>
      </c>
      <c r="E14" s="279">
        <f>[22]Brewhouse!$AI843</f>
        <v>50.6</v>
      </c>
      <c r="F14" s="278">
        <f>[22]Brewhouse!$V843</f>
        <v>57</v>
      </c>
      <c r="G14" s="279">
        <f>[22]Brewhouse!AG843</f>
        <v>11.8</v>
      </c>
      <c r="H14" s="396">
        <v>11.8</v>
      </c>
      <c r="I14" s="368">
        <f>[22]Brewhouse!$AU843</f>
        <v>97.655731777857852</v>
      </c>
      <c r="J14" s="368">
        <f>[22]Brewhouse!$AV843</f>
        <v>99.630205172573085</v>
      </c>
      <c r="K14" s="281">
        <f>[22]Brewhouse!$Q843</f>
        <v>3.4274952919020718</v>
      </c>
      <c r="L14" s="276">
        <f>[22]Brewhouse!$P843</f>
        <v>59</v>
      </c>
      <c r="M14" s="397">
        <f>[22]Brewhouse!$U843-[22]Brewhouse!$T843</f>
        <v>0.10902777777777783</v>
      </c>
      <c r="N14" s="370">
        <f>[22]Brewhouse!$Z843</f>
        <v>0.24930555555555556</v>
      </c>
      <c r="O14" s="421" t="str">
        <f>[22]Brewhouse!$AX843</f>
        <v>K.Benjamin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29" t="s">
        <v>6</v>
      </c>
      <c r="C15" s="366" t="str">
        <f>[22]Brewhouse!$A844</f>
        <v>CA734</v>
      </c>
      <c r="D15" s="279">
        <f>[22]Brewhouse!$AF844</f>
        <v>51.6</v>
      </c>
      <c r="E15" s="279">
        <f>[22]Brewhouse!$AI844</f>
        <v>51.2</v>
      </c>
      <c r="F15" s="278">
        <f>[22]Brewhouse!$V844</f>
        <v>57</v>
      </c>
      <c r="G15" s="279">
        <f>[22]Brewhouse!AG844</f>
        <v>11.7</v>
      </c>
      <c r="H15" s="396">
        <v>11.8</v>
      </c>
      <c r="I15" s="368">
        <f>[22]Brewhouse!$AU844</f>
        <v>97.932869587209453</v>
      </c>
      <c r="J15" s="368">
        <f>[22]Brewhouse!$AV844</f>
        <v>99.912946352267326</v>
      </c>
      <c r="K15" s="281">
        <f>[22]Brewhouse!$Q844</f>
        <v>3.9999999999999951</v>
      </c>
      <c r="L15" s="276">
        <f>[22]Brewhouse!$P844</f>
        <v>59</v>
      </c>
      <c r="M15" s="397">
        <f>[22]Brewhouse!$U844-[22]Brewhouse!$T844</f>
        <v>0.1118055555555556</v>
      </c>
      <c r="N15" s="370">
        <f>[22]Brewhouse!$Z844</f>
        <v>0.25624999999999998</v>
      </c>
      <c r="O15" s="421" t="str">
        <f>[22]Brewhouse!$AX844</f>
        <v>K.Benjamin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6" customHeight="1">
      <c r="B16" s="29" t="s">
        <v>6</v>
      </c>
      <c r="C16" s="366" t="str">
        <f>[22]Brewhouse!$A845</f>
        <v>CA735</v>
      </c>
      <c r="D16" s="279">
        <f>[22]Brewhouse!$AF845</f>
        <v>53.2</v>
      </c>
      <c r="E16" s="279">
        <f>[22]Brewhouse!$AI845</f>
        <v>50.9</v>
      </c>
      <c r="F16" s="278">
        <f>[22]Brewhouse!$V845</f>
        <v>66</v>
      </c>
      <c r="G16" s="279">
        <f>[22]Brewhouse!AG845</f>
        <v>11.6</v>
      </c>
      <c r="H16" s="396">
        <v>11.7</v>
      </c>
      <c r="I16" s="368">
        <f>[22]Brewhouse!$AU845</f>
        <v>96.483370029043257</v>
      </c>
      <c r="J16" s="368">
        <f>[22]Brewhouse!$AV845</f>
        <v>98.434139775852998</v>
      </c>
      <c r="K16" s="281">
        <f>[22]Brewhouse!$Q845</f>
        <v>0.98113207547169057</v>
      </c>
      <c r="L16" s="276">
        <f>[22]Brewhouse!$P845</f>
        <v>60</v>
      </c>
      <c r="M16" s="397">
        <f>[22]Brewhouse!$U845-[22]Brewhouse!$T845</f>
        <v>0.11805555555555558</v>
      </c>
      <c r="N16" s="370">
        <f>[22]Brewhouse!$Z845</f>
        <v>0.24861111111111112</v>
      </c>
      <c r="O16" s="421" t="str">
        <f>[22]Brewhouse!$AX845</f>
        <v>K.Benjamin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6" customHeight="1">
      <c r="B17" s="29" t="s">
        <v>6</v>
      </c>
      <c r="C17" s="366" t="str">
        <f>[22]Brewhouse!$A846</f>
        <v>CA736</v>
      </c>
      <c r="D17" s="279">
        <f>[22]Brewhouse!$AF846</f>
        <v>52.9</v>
      </c>
      <c r="E17" s="279">
        <f>[22]Brewhouse!$AI846</f>
        <v>52</v>
      </c>
      <c r="F17" s="278">
        <f>[22]Brewhouse!$V846</f>
        <v>70</v>
      </c>
      <c r="G17" s="279">
        <f>[22]Brewhouse!AG846</f>
        <v>11.9</v>
      </c>
      <c r="H17" s="396">
        <v>11.9</v>
      </c>
      <c r="I17" s="368">
        <f>[22]Brewhouse!$AU846</f>
        <v>101.37779310892014</v>
      </c>
      <c r="J17" s="368">
        <f>[22]Brewhouse!$AV846</f>
        <v>103.42735571187332</v>
      </c>
      <c r="K17" s="281">
        <f>[22]Brewhouse!$Q846</f>
        <v>3.2452830188679229</v>
      </c>
      <c r="L17" s="276">
        <f>[22]Brewhouse!$P846</f>
        <v>61</v>
      </c>
      <c r="M17" s="397">
        <f>[22]Brewhouse!$U846-[22]Brewhouse!$T846</f>
        <v>0.12222222222222223</v>
      </c>
      <c r="N17" s="370">
        <f>[22]Brewhouse!$Z846</f>
        <v>0.25555555555555554</v>
      </c>
      <c r="O17" s="421" t="str">
        <f>[22]Brewhouse!$AX846</f>
        <v>K.Benjamin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6" customHeight="1">
      <c r="B18" s="29" t="s">
        <v>6</v>
      </c>
      <c r="C18" s="366" t="str">
        <f>[22]Brewhouse!$A847</f>
        <v>CA737</v>
      </c>
      <c r="D18" s="279">
        <f>[22]Brewhouse!$AF847</f>
        <v>53.4</v>
      </c>
      <c r="E18" s="279">
        <f>[22]Brewhouse!$AI847</f>
        <v>52.6</v>
      </c>
      <c r="F18" s="278">
        <f>[22]Brewhouse!$V847</f>
        <v>73</v>
      </c>
      <c r="G18" s="279">
        <f>[22]Brewhouse!AG847</f>
        <v>11.4</v>
      </c>
      <c r="H18" s="396">
        <v>11.8</v>
      </c>
      <c r="I18" s="368">
        <f>[22]Brewhouse!$AU847</f>
        <v>97.8959595855125</v>
      </c>
      <c r="J18" s="368">
        <f>[22]Brewhouse!$AV847</f>
        <v>99.875290077770813</v>
      </c>
      <c r="K18" s="281">
        <f>[22]Brewhouse!$Q847</f>
        <v>1.3584905660377338</v>
      </c>
      <c r="L18" s="276">
        <f>[22]Brewhouse!$P847</f>
        <v>58</v>
      </c>
      <c r="M18" s="397">
        <f>[22]Brewhouse!$U847-[22]Brewhouse!$T847</f>
        <v>0.11458333333333337</v>
      </c>
      <c r="N18" s="370">
        <f>[22]Brewhouse!$Z847</f>
        <v>0.24513888888888891</v>
      </c>
      <c r="O18" s="421" t="str">
        <f>[22]Brewhouse!$AX847</f>
        <v>K.Benjamin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6" customHeight="1">
      <c r="B19" s="29" t="s">
        <v>6</v>
      </c>
      <c r="C19" s="366" t="str">
        <f>[22]Brewhouse!$A848</f>
        <v>CA738</v>
      </c>
      <c r="D19" s="279">
        <f>[22]Brewhouse!$AF848</f>
        <v>52</v>
      </c>
      <c r="E19" s="279">
        <f>[22]Brewhouse!$AI848</f>
        <v>51.9</v>
      </c>
      <c r="F19" s="278">
        <f>[22]Brewhouse!$V848</f>
        <v>86</v>
      </c>
      <c r="G19" s="279">
        <f>[22]Brewhouse!AG848</f>
        <v>11.7</v>
      </c>
      <c r="H19" s="396">
        <v>11.7</v>
      </c>
      <c r="I19" s="368">
        <f>[22]Brewhouse!$AU848</f>
        <v>99.51824203915092</v>
      </c>
      <c r="J19" s="368">
        <f>[22]Brewhouse!$AV848</f>
        <v>101.53004650959949</v>
      </c>
      <c r="K19" s="281">
        <f>[22]Brewhouse!$Q848</f>
        <v>3.2452830188679229</v>
      </c>
      <c r="L19" s="276">
        <f>[22]Brewhouse!$P848</f>
        <v>70</v>
      </c>
      <c r="M19" s="397">
        <f>[22]Brewhouse!$U848-[22]Brewhouse!$T848</f>
        <v>8.8888888888888795E-2</v>
      </c>
      <c r="N19" s="370">
        <f>[22]Brewhouse!$Z848</f>
        <v>0.27916666666666656</v>
      </c>
      <c r="O19" s="421" t="str">
        <f>[22]Brewhouse!$AX848</f>
        <v>K.Benjamin</v>
      </c>
      <c r="P19" s="418" t="s">
        <v>176</v>
      </c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6" customHeight="1">
      <c r="B20" s="29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6" customHeight="1">
      <c r="B21" s="33"/>
      <c r="C21" s="366"/>
      <c r="D21" s="279"/>
      <c r="E21" s="279"/>
      <c r="F21" s="278"/>
      <c r="G21" s="279"/>
      <c r="H21" s="464"/>
      <c r="I21" s="420"/>
      <c r="J21" s="420"/>
      <c r="K21" s="281"/>
      <c r="L21" s="276"/>
      <c r="M21" s="374"/>
      <c r="N21" s="370"/>
      <c r="O21" s="421"/>
      <c r="P21" s="418"/>
      <c r="R21" s="277">
        <f t="shared" ref="R21:R41" si="9">B21</f>
        <v>0</v>
      </c>
      <c r="S21" s="296" t="e">
        <f t="shared" ref="S21:S41" si="10">VLOOKUP($B21,$R$3:$X$9,2,FALSE)</f>
        <v>#N/A</v>
      </c>
      <c r="T21" s="296" t="e">
        <f t="shared" ref="T21:T41" si="11">VLOOKUP($B21,$R$3:$X$9,3,FALSE)</f>
        <v>#N/A</v>
      </c>
      <c r="U21" s="297" t="e">
        <f t="shared" ref="U21:U41" si="12">VLOOKUP($B21,$R$3:$X$9,4,FALSE)</f>
        <v>#N/A</v>
      </c>
      <c r="V21" s="297" t="e">
        <f t="shared" ref="V21:V41" si="13">VLOOKUP($B21,$R$3:$X$9,5,FALSE)</f>
        <v>#N/A</v>
      </c>
      <c r="W21" s="297" t="e">
        <f t="shared" ref="W21:W41" si="14">VLOOKUP($B21,$R$3:$X$9,6,FALSE)</f>
        <v>#N/A</v>
      </c>
      <c r="X21" s="297" t="e">
        <f t="shared" ref="X21:X41" si="15">VLOOKUP($B21,$R$3:$X$9,7,FALSE)</f>
        <v>#N/A</v>
      </c>
      <c r="Y21" s="297" t="e">
        <f t="shared" ref="Y21:Y41" si="16">VLOOKUP($B21,$R$3:$Z$9,8,FALSE)</f>
        <v>#N/A</v>
      </c>
      <c r="Z21" s="296" t="e">
        <f t="shared" ref="Z21:Z41" si="17">VLOOKUP($B21,$R$3:$Z$9,9,FALSE)</f>
        <v>#N/A</v>
      </c>
    </row>
    <row r="22" spans="1:26" ht="15.6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6" ht="15.6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6" ht="15.6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6" ht="15.6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6" ht="15.6" hidden="1" customHeight="1">
      <c r="B26" s="33"/>
      <c r="C26" s="366"/>
      <c r="D26" s="279"/>
      <c r="E26" s="279"/>
      <c r="F26" s="278"/>
      <c r="G26" s="279"/>
      <c r="H26" s="396"/>
      <c r="I26" s="420"/>
      <c r="J26" s="420"/>
      <c r="K26" s="281"/>
      <c r="L26" s="276"/>
      <c r="M26" s="374"/>
      <c r="N26" s="370"/>
      <c r="O26" s="421"/>
      <c r="P26" s="418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1"/>
      <c r="J28" s="511"/>
      <c r="K28" s="511"/>
      <c r="L28" s="511"/>
      <c r="M28" s="511"/>
      <c r="N28" s="511"/>
      <c r="O28" s="1"/>
      <c r="P28" s="12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5.75" thickBot="1">
      <c r="B29" s="388" t="s">
        <v>162</v>
      </c>
      <c r="C29" s="388"/>
      <c r="D29" s="489" t="s">
        <v>35</v>
      </c>
      <c r="E29" s="490"/>
      <c r="F29" s="294"/>
      <c r="G29" s="294"/>
      <c r="H29" s="348"/>
      <c r="I29" s="24" t="s">
        <v>17</v>
      </c>
      <c r="J29" s="25" t="s">
        <v>36</v>
      </c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6" ht="15" customHeight="1">
      <c r="A30" s="28"/>
      <c r="B30" s="512" t="str">
        <f>I31</f>
        <v>STAG</v>
      </c>
      <c r="C30" s="362" cm="1">
        <f t="array" ref="C30:C33">[23]Process!$D$381:$D$384</f>
        <v>11.8</v>
      </c>
      <c r="D30" s="515">
        <v>11.88</v>
      </c>
      <c r="E30" s="516"/>
      <c r="F30" s="294"/>
      <c r="G30" s="294"/>
      <c r="H30" s="348"/>
      <c r="I30" s="29" t="s">
        <v>6</v>
      </c>
      <c r="J30" s="280">
        <f>AVERAGE(I10:I19)</f>
        <v>97.486103570936734</v>
      </c>
      <c r="K30" s="284">
        <f>COUNTA([22]Brewhouse!$A$823:$A$848)</f>
        <v>26</v>
      </c>
      <c r="L30" s="305">
        <f>AVERAGE([22]Brewhouse!$AU$823:$AU$848)</f>
        <v>97.444552072934272</v>
      </c>
      <c r="M30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$848)</f>
        <v>97.696817998847592</v>
      </c>
      <c r="N30" s="30">
        <v>98</v>
      </c>
      <c r="O30" s="11"/>
      <c r="P30" s="31"/>
      <c r="R30" s="277" t="str">
        <f t="shared" si="9"/>
        <v>STAG</v>
      </c>
      <c r="S30" s="296">
        <f t="shared" si="10"/>
        <v>11.6</v>
      </c>
      <c r="T30" s="296">
        <f t="shared" si="11"/>
        <v>12</v>
      </c>
      <c r="U30" s="297">
        <f t="shared" si="12"/>
        <v>0</v>
      </c>
      <c r="V30" s="297">
        <f t="shared" si="13"/>
        <v>0.118055555555556</v>
      </c>
      <c r="W30" s="297">
        <f t="shared" si="14"/>
        <v>0.22569444444444445</v>
      </c>
      <c r="X30" s="297">
        <f t="shared" si="15"/>
        <v>0.2638888888888889</v>
      </c>
      <c r="Y30" s="297">
        <f t="shared" si="16"/>
        <v>0</v>
      </c>
      <c r="Z30" s="296">
        <f t="shared" si="17"/>
        <v>60</v>
      </c>
    </row>
    <row r="31" spans="1:26" ht="15" customHeight="1">
      <c r="A31" s="28"/>
      <c r="B31" s="513"/>
      <c r="C31" s="362">
        <v>11.6</v>
      </c>
      <c r="D31" s="517"/>
      <c r="E31" s="518"/>
      <c r="F31" s="294"/>
      <c r="G31" s="294"/>
      <c r="H31" s="348"/>
      <c r="I31" s="33" t="s">
        <v>9</v>
      </c>
      <c r="J31" s="280"/>
      <c r="K31" s="284">
        <f>COUNTA([23]Brewhouse!$A$399:$A$407)</f>
        <v>9</v>
      </c>
      <c r="L31" s="302">
        <f>AVERAGE([23]Brewhouse!$AS$399:$AS$407)</f>
        <v>97.351081466953872</v>
      </c>
      <c r="M31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$407)</f>
        <v>97.981226635817151</v>
      </c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4.65" customHeight="1">
      <c r="A32" s="28"/>
      <c r="B32" s="513"/>
      <c r="C32" s="362">
        <v>11.8</v>
      </c>
      <c r="D32" s="515">
        <v>11.8</v>
      </c>
      <c r="E32" s="516"/>
      <c r="F32" s="294"/>
      <c r="G32" s="294"/>
      <c r="H32" s="348"/>
      <c r="I32" s="34" t="s">
        <v>12</v>
      </c>
      <c r="J32" s="280"/>
      <c r="K32" s="284"/>
      <c r="L32" s="302"/>
      <c r="M32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56" ht="14.65" customHeight="1">
      <c r="A33" s="28"/>
      <c r="B33" s="513"/>
      <c r="C33" s="362">
        <v>11.7</v>
      </c>
      <c r="D33" s="517"/>
      <c r="E33" s="518"/>
      <c r="F33" s="294"/>
      <c r="G33" s="294"/>
      <c r="H33" s="348"/>
      <c r="I33" s="22" t="s">
        <v>33</v>
      </c>
      <c r="J33" s="280"/>
      <c r="K33" s="284"/>
      <c r="L33" s="302"/>
      <c r="M33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33" s="30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56" ht="14.65" customHeight="1">
      <c r="A34" s="28"/>
      <c r="B34" s="513"/>
      <c r="C34" s="362"/>
      <c r="D34" s="515"/>
      <c r="E34" s="516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56" ht="14.65" customHeight="1">
      <c r="A35" s="28"/>
      <c r="B35" s="513"/>
      <c r="C35" s="362"/>
      <c r="D35" s="517"/>
      <c r="E35" s="518"/>
      <c r="F35" s="417"/>
      <c r="G35" s="294"/>
      <c r="H35" s="348"/>
      <c r="I35" s="36" t="s">
        <v>15</v>
      </c>
      <c r="J35" s="323"/>
      <c r="K35" s="284"/>
      <c r="L35" s="302"/>
      <c r="M35" s="302">
        <f>AVERAGE([26]Brewhouse!$AT$4:$AT$11,[26]Brewhouse!$AT$13:$AT$16,[26]Brewhouse!$AT$18:$AT$21,[26]Brewhouse!$AT$26,[26]Brewhouse!$AT$28:$AT$35)</f>
        <v>94.794664331624134</v>
      </c>
      <c r="N35" s="3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4.65" customHeight="1">
      <c r="A36" s="28"/>
      <c r="B36" s="513"/>
      <c r="C36" s="362"/>
      <c r="D36" s="515"/>
      <c r="E36" s="516"/>
      <c r="F36" s="417"/>
      <c r="G36" s="294"/>
      <c r="H36" s="348"/>
      <c r="I36" s="37" t="s">
        <v>16</v>
      </c>
      <c r="J36" s="323"/>
      <c r="K36" s="284"/>
      <c r="L36" s="302"/>
      <c r="M36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6" s="30">
        <v>98</v>
      </c>
      <c r="O36" s="11"/>
      <c r="P36" s="31" t="s">
        <v>41</v>
      </c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4.65" customHeight="1">
      <c r="A37" s="28"/>
      <c r="B37" s="513"/>
      <c r="C37" s="362"/>
      <c r="D37" s="517"/>
      <c r="E37" s="518"/>
      <c r="F37" s="294"/>
      <c r="G37" s="294"/>
      <c r="H37" s="348"/>
      <c r="I37" s="411" t="s">
        <v>158</v>
      </c>
      <c r="J37" s="326"/>
      <c r="K37" s="284"/>
      <c r="L37" s="305"/>
      <c r="M37" s="305">
        <f>AVERAGE([28]Brewhouse!$AU$5:$AU$8,[28]Brewhouse!$AU$10:$AU$13,[27]Brewhouse!$AY$75:$AY$77)</f>
        <v>94.749192473706671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  <c r="AA37" s="296"/>
    </row>
    <row r="38" spans="1:56" ht="14.65" customHeight="1">
      <c r="A38" s="28"/>
      <c r="B38" s="513"/>
      <c r="C38" s="349"/>
      <c r="D38" s="515"/>
      <c r="E38" s="516"/>
      <c r="F38" s="294"/>
      <c r="G38" s="294"/>
      <c r="H38" s="348"/>
      <c r="I38" s="410" t="s">
        <v>157</v>
      </c>
      <c r="J38" s="326"/>
      <c r="K38" s="284"/>
      <c r="L38" s="305"/>
      <c r="M38" s="305">
        <f>AVERAGE([29]Brewhouse!$AW$26:$AW$27)</f>
        <v>95.310680905194914</v>
      </c>
      <c r="N38" s="30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AA38" s="296"/>
    </row>
    <row r="39" spans="1:56" ht="15" customHeight="1" thickBot="1">
      <c r="A39" s="28"/>
      <c r="B39" s="513"/>
      <c r="C39" s="349"/>
      <c r="D39" s="517"/>
      <c r="E39" s="518"/>
      <c r="F39" s="294"/>
      <c r="G39" s="294"/>
      <c r="H39" s="348"/>
      <c r="I39" s="406" t="s">
        <v>156</v>
      </c>
      <c r="J39" s="327"/>
      <c r="K39" s="407"/>
      <c r="L39" s="408"/>
      <c r="M39" s="408">
        <f>AVERAGE([30]Brewhouse!$AU$13:$AU$14)</f>
        <v>97.110575243268045</v>
      </c>
      <c r="N39" s="409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AA39" s="296"/>
    </row>
    <row r="40" spans="1:56" ht="15" customHeight="1" thickBot="1">
      <c r="A40" s="28"/>
      <c r="B40" s="513"/>
      <c r="C40" s="349"/>
      <c r="D40" s="515"/>
      <c r="E40" s="516"/>
      <c r="F40" s="294"/>
      <c r="G40" s="294"/>
      <c r="H40" s="348"/>
      <c r="I40" s="1"/>
      <c r="J40" s="39"/>
      <c r="K40" s="404">
        <f>SUM(K30:K39)</f>
        <v>35</v>
      </c>
      <c r="L40" s="405">
        <f>((L30*K30)+(L31*K31)+(L32*K32)+(L33*K33)+(L34*K34)+(K37*L37)+(L35*K35)+(L36*K36)+(L39*K39))/(K40)</f>
        <v>97.420516774253599</v>
      </c>
      <c r="M40" s="405">
        <f>AVERAGE('[31]Jan 31st'!$L$65,'[32]Feb 28th'!$L$35,'[33]Mar. 31st'!$L$35,'[34]Apr. 30th'!$L$45,'[35]May 30th'!$L$37,'[36]June 30th'!$L$57,'[37]July 29th '!$L$44,'[38]Aug 29th'!$L$29,'[39]Sept 30th'!$L$35,L40)</f>
        <v>97.560001917107158</v>
      </c>
      <c r="N40" s="40">
        <v>98</v>
      </c>
      <c r="O40" s="11"/>
      <c r="P40" s="31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AA40" s="296"/>
    </row>
    <row r="41" spans="1:56" ht="15.75" thickBot="1">
      <c r="B41" s="576"/>
      <c r="C41" s="350"/>
      <c r="D41" s="517"/>
      <c r="E41" s="518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  <c r="AA41" s="296"/>
    </row>
    <row r="42" spans="1:56" ht="15.75" thickBot="1">
      <c r="B42" s="562" t="str">
        <f>I30</f>
        <v>CARIB</v>
      </c>
      <c r="C42" s="362">
        <f>[22]Process!D770</f>
        <v>11.7</v>
      </c>
      <c r="D42" s="528">
        <v>12.04</v>
      </c>
      <c r="E42" s="529"/>
      <c r="F42" s="294"/>
      <c r="G42" s="42"/>
      <c r="H42" s="41"/>
      <c r="I42" s="42"/>
      <c r="J42" s="563" t="s">
        <v>129</v>
      </c>
      <c r="K42" s="563"/>
      <c r="L42" s="294"/>
      <c r="M42" s="294"/>
      <c r="N42" s="294"/>
      <c r="O42" s="294"/>
      <c r="P42" s="12"/>
    </row>
    <row r="43" spans="1:56" ht="15.75" thickBot="1">
      <c r="B43" s="526"/>
      <c r="C43" s="362">
        <f>[22]Process!D771</f>
        <v>11.8</v>
      </c>
      <c r="D43" s="530"/>
      <c r="E43" s="518"/>
      <c r="F43" s="294"/>
      <c r="G43" s="42"/>
      <c r="H43" s="41"/>
      <c r="I43" s="42"/>
      <c r="J43" s="292" t="s">
        <v>17</v>
      </c>
      <c r="K43" s="293" t="s">
        <v>147</v>
      </c>
      <c r="L43" s="532" t="s">
        <v>136</v>
      </c>
      <c r="M43" s="532"/>
      <c r="N43" s="533"/>
      <c r="O43" s="294"/>
      <c r="P43" s="12"/>
    </row>
    <row r="44" spans="1:56" ht="15" customHeight="1" thickBot="1">
      <c r="B44" s="526"/>
      <c r="C44" s="349">
        <f>[22]Process!D772</f>
        <v>11.7</v>
      </c>
      <c r="D44" s="564">
        <v>11.86</v>
      </c>
      <c r="E44" s="565"/>
      <c r="F44" s="294"/>
      <c r="G44" s="42"/>
      <c r="H44" s="41"/>
      <c r="I44" s="42"/>
      <c r="J44" s="287" t="s">
        <v>6</v>
      </c>
      <c r="K44" s="324">
        <v>10</v>
      </c>
      <c r="L44" s="343" t="s">
        <v>37</v>
      </c>
      <c r="M44" s="307" t="s">
        <v>38</v>
      </c>
      <c r="N44" s="307" t="s">
        <v>84</v>
      </c>
      <c r="O44" s="294"/>
      <c r="P44" s="12"/>
    </row>
    <row r="45" spans="1:56" ht="15.75" customHeight="1" thickBot="1">
      <c r="B45" s="526"/>
      <c r="C45" s="349">
        <f>[22]Process!D773</f>
        <v>11.7</v>
      </c>
      <c r="D45" s="530"/>
      <c r="E45" s="518"/>
      <c r="F45" s="294"/>
      <c r="G45" s="42"/>
      <c r="H45" s="41"/>
      <c r="I45" s="42"/>
      <c r="J45" s="345" t="s">
        <v>9</v>
      </c>
      <c r="K45" s="324"/>
      <c r="L45" s="344">
        <f>AVERAGE('Oct. 1st'!K49,,'Oct. 2nd'!K51,'Oct. 3rd'!K46,K54)</f>
        <v>7</v>
      </c>
      <c r="M45" s="325">
        <f>AVERAGE('[31]Jan 29th '!$M$70,'[32]Feb 28th'!$L$40,'[33]Mar. 31st'!$L$40,'[34]Apr. 30th'!$L$50,'[35]May 30th'!$L$42,'[36]June 30th'!$L$62,'[37]July 29th '!$L$49,'[38]Aug 29th'!$L$34,'[39]Sept 30th'!$L$40,L45)</f>
        <v>7.006127777638075</v>
      </c>
      <c r="N45" s="416">
        <v>9.1999999999999993</v>
      </c>
      <c r="O45" s="294"/>
      <c r="P45" s="12"/>
    </row>
    <row r="46" spans="1:56" ht="15" customHeight="1">
      <c r="B46" s="526"/>
      <c r="C46" s="349"/>
      <c r="D46" s="564"/>
      <c r="E46" s="565"/>
      <c r="F46" s="294"/>
      <c r="G46" s="42"/>
      <c r="H46" s="41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26"/>
      <c r="C47" s="349"/>
      <c r="D47" s="530"/>
      <c r="E47" s="518"/>
      <c r="F47" s="294"/>
      <c r="G47" s="42"/>
      <c r="H47" s="41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26"/>
      <c r="C48" s="349"/>
      <c r="D48" s="564"/>
      <c r="E48" s="565"/>
      <c r="F48" s="294"/>
      <c r="G48" s="42"/>
      <c r="H48" s="41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26"/>
      <c r="C49" s="349"/>
      <c r="D49" s="530"/>
      <c r="E49" s="518"/>
      <c r="F49" s="294"/>
      <c r="G49" s="42"/>
      <c r="H49" s="41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26"/>
      <c r="C50" s="349"/>
      <c r="D50" s="564"/>
      <c r="E50" s="565"/>
      <c r="F50" s="294"/>
      <c r="G50" s="42"/>
      <c r="H50" s="41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26"/>
      <c r="C51" s="350"/>
      <c r="D51" s="566"/>
      <c r="E51" s="567"/>
      <c r="F51" s="294" t="s">
        <v>178</v>
      </c>
      <c r="G51" s="42"/>
      <c r="H51" s="41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60">
        <f>AVERAGE(D30:E51)</f>
        <v>11.895</v>
      </c>
      <c r="E52" s="561"/>
      <c r="F52" s="294"/>
      <c r="H52" s="41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1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1"/>
      <c r="I54" s="42"/>
      <c r="J54" s="346" t="s">
        <v>130</v>
      </c>
      <c r="K54" s="324">
        <f>SUM(K44:K53)</f>
        <v>10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40" t="s">
        <v>17</v>
      </c>
      <c r="C57" s="540" t="s">
        <v>44</v>
      </c>
      <c r="D57" s="542" t="s">
        <v>45</v>
      </c>
      <c r="E57" s="497" t="s">
        <v>46</v>
      </c>
      <c r="F57" s="557" t="s">
        <v>47</v>
      </c>
      <c r="G57" s="551" t="s">
        <v>48</v>
      </c>
      <c r="H57" s="540" t="s">
        <v>49</v>
      </c>
      <c r="I57" s="540" t="s">
        <v>50</v>
      </c>
      <c r="J57" s="545" t="s">
        <v>28</v>
      </c>
      <c r="K57" s="495" t="s">
        <v>51</v>
      </c>
      <c r="L57" s="507" t="s">
        <v>52</v>
      </c>
      <c r="M57" s="545" t="s">
        <v>53</v>
      </c>
      <c r="N57" s="13"/>
      <c r="O57" s="13"/>
      <c r="P57" s="50"/>
    </row>
    <row r="58" spans="2:57" ht="28.5" customHeight="1" thickTop="1" thickBot="1">
      <c r="B58" s="541"/>
      <c r="C58" s="541"/>
      <c r="D58" s="543"/>
      <c r="E58" s="544"/>
      <c r="F58" s="558"/>
      <c r="G58" s="552"/>
      <c r="H58" s="559"/>
      <c r="I58" s="559"/>
      <c r="J58" s="546"/>
      <c r="K58" s="555"/>
      <c r="L58" s="556"/>
      <c r="M58" s="546"/>
      <c r="N58" s="13"/>
      <c r="O58" s="13"/>
      <c r="P58" s="50"/>
      <c r="Q58" s="355"/>
      <c r="AB58" s="51">
        <v>43474</v>
      </c>
      <c r="AC58" s="51">
        <v>43475</v>
      </c>
      <c r="AD58" s="51">
        <v>43476</v>
      </c>
      <c r="AE58" s="51">
        <v>43477</v>
      </c>
      <c r="AF58" s="51">
        <v>43478</v>
      </c>
      <c r="AG58" s="51">
        <v>43479</v>
      </c>
      <c r="AH58" s="51">
        <v>43480</v>
      </c>
      <c r="AI58" s="51">
        <v>43481</v>
      </c>
      <c r="AJ58" s="51">
        <v>43482</v>
      </c>
      <c r="AK58" s="51">
        <v>43483</v>
      </c>
      <c r="AL58" s="51">
        <v>43484</v>
      </c>
      <c r="AM58" s="51">
        <v>43485</v>
      </c>
      <c r="AN58" s="51">
        <v>43486</v>
      </c>
      <c r="AO58" s="51">
        <v>43487</v>
      </c>
      <c r="AP58" s="51">
        <v>43488</v>
      </c>
      <c r="AQ58" s="51">
        <v>43489</v>
      </c>
      <c r="AR58" s="51">
        <v>43490</v>
      </c>
      <c r="AS58" s="51">
        <v>43491</v>
      </c>
      <c r="AT58" s="51">
        <v>43492</v>
      </c>
      <c r="AU58" s="51">
        <v>43493</v>
      </c>
      <c r="AV58" s="51">
        <v>43494</v>
      </c>
      <c r="AW58" s="51">
        <v>43495</v>
      </c>
      <c r="AX58" s="51">
        <v>43496</v>
      </c>
    </row>
    <row r="59" spans="2:57" s="54" customFormat="1" ht="59.45" customHeight="1" thickBot="1">
      <c r="B59" s="465" t="str">
        <f>B69</f>
        <v>STAG</v>
      </c>
      <c r="C59" s="442">
        <v>45936</v>
      </c>
      <c r="D59" s="443">
        <f>[40]October_2025!$I$13</f>
        <v>203.8</v>
      </c>
      <c r="E59" s="444"/>
      <c r="F59" s="445">
        <f>SUM([42]STAG!$L$16:$L$19)</f>
        <v>199.8</v>
      </c>
      <c r="G59" s="445">
        <f>[40]October_2025!$I$17</f>
        <v>192.8</v>
      </c>
      <c r="H59" s="462">
        <f>(D59-F59)/D59*100</f>
        <v>1.9627085377821392</v>
      </c>
      <c r="I59" s="462">
        <f>((F59+E59)-G59)/(F59+E59)*100</f>
        <v>3.5035035035035036</v>
      </c>
      <c r="J59" s="449" t="s">
        <v>163</v>
      </c>
      <c r="K59" s="450">
        <f>[41]October_2025!$I$25</f>
        <v>0.65210526315789474</v>
      </c>
      <c r="L59" s="461">
        <f>(((D59+E59)-G59)/(D59+E59))*100</f>
        <v>5.3974484789008823</v>
      </c>
      <c r="M59" s="457" t="s">
        <v>175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[20]January_2019!L7</f>
        <v>285.8</v>
      </c>
      <c r="AC59" s="57">
        <f>[20]January_2019!M7</f>
        <v>508.1</v>
      </c>
      <c r="AD59" s="57">
        <f>[20]January_2019!N7</f>
        <v>0</v>
      </c>
      <c r="AE59" s="57">
        <f>[20]January_2019!O7</f>
        <v>0</v>
      </c>
      <c r="AF59" s="57">
        <f>[20]January_2019!P7</f>
        <v>109.56666666666666</v>
      </c>
      <c r="AG59" s="57">
        <f>[20]January_2019!Q7</f>
        <v>297.64999999999998</v>
      </c>
      <c r="AH59" s="57">
        <f>[20]January_2019!R7</f>
        <v>122.3</v>
      </c>
      <c r="AI59" s="57">
        <f>[20]January_2019!S7</f>
        <v>0</v>
      </c>
      <c r="AJ59" s="57">
        <f>[20]January_2019!T7</f>
        <v>294.7</v>
      </c>
      <c r="AK59" s="57">
        <f>[20]January_2019!U7</f>
        <v>280.5</v>
      </c>
      <c r="AL59" s="57">
        <f>[20]January_2019!V7</f>
        <v>0</v>
      </c>
      <c r="AM59" s="57">
        <f>[20]January_2019!W7</f>
        <v>0</v>
      </c>
      <c r="AN59" s="57">
        <f>[20]January_2019!X7</f>
        <v>188.25</v>
      </c>
      <c r="AO59" s="57">
        <f>[20]January_2019!Y7</f>
        <v>295.7</v>
      </c>
      <c r="AP59" s="57">
        <f>[20]January_2019!Z7</f>
        <v>257.8</v>
      </c>
      <c r="AQ59" s="57">
        <f>[20]January_2019!AA7</f>
        <v>291.2</v>
      </c>
      <c r="AR59" s="57">
        <f>[20]January_2019!AB7</f>
        <v>187</v>
      </c>
      <c r="AS59" s="57">
        <f>[20]January_2019!AC7</f>
        <v>0</v>
      </c>
      <c r="AT59" s="57">
        <f>[20]January_2019!AD7</f>
        <v>0</v>
      </c>
      <c r="AU59" s="57">
        <f>[20]January_2019!AE7</f>
        <v>485.1</v>
      </c>
      <c r="AV59" s="57">
        <f>[20]January_2019!AF7</f>
        <v>171.55</v>
      </c>
      <c r="AW59" s="57">
        <f>[20]January_2019!AG7</f>
        <v>423.8</v>
      </c>
      <c r="AX59" s="277">
        <f>[20]January_2019!AH7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20.45" customHeight="1" thickBot="1">
      <c r="B60" s="458"/>
      <c r="C60" s="431"/>
      <c r="D60" s="432"/>
      <c r="E60" s="433"/>
      <c r="F60" s="434"/>
      <c r="G60" s="435"/>
      <c r="H60" s="429"/>
      <c r="I60" s="429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59.45" customHeight="1" thickBot="1">
      <c r="B61" s="460" t="str">
        <f>B68</f>
        <v>CARIB</v>
      </c>
      <c r="C61" s="442">
        <v>45936</v>
      </c>
      <c r="D61" s="443">
        <f>[40]October_2025!$I$3</f>
        <v>192.60000000000002</v>
      </c>
      <c r="E61" s="444"/>
      <c r="F61" s="445"/>
      <c r="G61" s="446">
        <f>[40]October_2025!$I$7</f>
        <v>178.9</v>
      </c>
      <c r="H61" s="462"/>
      <c r="I61" s="462"/>
      <c r="J61" s="449" t="s">
        <v>167</v>
      </c>
      <c r="K61" s="466">
        <f>[41]October_2025!$I$18</f>
        <v>1.3042105263157895</v>
      </c>
      <c r="L61" s="461">
        <f>(((D61+E61)-G61)/(D61+E61))*100</f>
        <v>7.113187954309458</v>
      </c>
      <c r="M61" s="457" t="str">
        <f>M59</f>
        <v>K. Neptune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>
      <c r="B62" s="454"/>
      <c r="C62" s="431"/>
      <c r="D62" s="432"/>
      <c r="E62" s="433"/>
      <c r="F62" s="434"/>
      <c r="G62" s="435"/>
      <c r="H62" s="436"/>
      <c r="I62" s="451"/>
      <c r="J62" s="452"/>
      <c r="K62" s="437" t="s">
        <v>41</v>
      </c>
      <c r="L62" s="453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6.6" hidden="1" customHeight="1" thickBot="1">
      <c r="B63" s="387"/>
      <c r="C63" s="442"/>
      <c r="D63" s="443"/>
      <c r="E63" s="444"/>
      <c r="F63" s="445"/>
      <c r="G63" s="446"/>
      <c r="H63" s="447"/>
      <c r="I63" s="448"/>
      <c r="J63" s="449"/>
      <c r="K63" s="450"/>
      <c r="L63" s="455" t="e">
        <f>(((D63+E63)-G63)/(D63+E63))*100</f>
        <v>#DIV/0!</v>
      </c>
      <c r="M63" s="456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customHeight="1" thickBot="1">
      <c r="B64" s="438"/>
      <c r="C64" s="424"/>
      <c r="D64" s="425"/>
      <c r="E64" s="426"/>
      <c r="F64" s="427"/>
      <c r="G64" s="428"/>
      <c r="H64" s="429"/>
      <c r="I64" s="439"/>
      <c r="J64" s="440"/>
      <c r="K64" s="430"/>
      <c r="L64" s="441"/>
      <c r="M64" s="42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L61</f>
        <v>7.113187954309458</v>
      </c>
      <c r="D68" s="76">
        <v>5.9331892969918458</v>
      </c>
      <c r="E68" s="76">
        <v>6.3418901851012759</v>
      </c>
      <c r="F68" s="66">
        <v>4.8</v>
      </c>
      <c r="G68" s="65">
        <f>[40]October_2025!$I$11</f>
        <v>5.2948490561882764</v>
      </c>
      <c r="H68" s="76">
        <v>5.0019882489891465</v>
      </c>
      <c r="I68" s="76">
        <v>6.2185222161694478</v>
      </c>
      <c r="J68" s="66">
        <v>4.8</v>
      </c>
      <c r="K68" s="67">
        <f>K61</f>
        <v>1.3042105263157895</v>
      </c>
      <c r="L68" s="194">
        <v>0.49153591992558648</v>
      </c>
      <c r="M68" s="194">
        <v>0.76136174902581277</v>
      </c>
      <c r="N68" s="68">
        <v>1</v>
      </c>
      <c r="O68" s="56"/>
      <c r="P68" s="69"/>
    </row>
    <row r="69" spans="2:16" ht="15">
      <c r="B69" s="33" t="s">
        <v>9</v>
      </c>
      <c r="C69" s="65">
        <f>L59</f>
        <v>5.3974484789008823</v>
      </c>
      <c r="D69" s="76">
        <v>4.9899914212181837</v>
      </c>
      <c r="E69" s="76">
        <v>5.8986910363327869</v>
      </c>
      <c r="F69" s="66">
        <v>4.8</v>
      </c>
      <c r="G69" s="65">
        <f>[40]October_2025!$I$21</f>
        <v>4.3943219130164639</v>
      </c>
      <c r="H69" s="76">
        <v>4.1514556010038586</v>
      </c>
      <c r="I69" s="76">
        <v>5.5953405903132074</v>
      </c>
      <c r="J69" s="66">
        <v>4.8</v>
      </c>
      <c r="K69" s="67">
        <f>K59</f>
        <v>0.65210526315789474</v>
      </c>
      <c r="L69" s="194">
        <v>0.76762435317700806</v>
      </c>
      <c r="M69" s="194">
        <v>0.71798543638636902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11.810347142051688</v>
      </c>
      <c r="F70" s="66">
        <v>5.5</v>
      </c>
      <c r="G70" s="65"/>
      <c r="H70" s="76"/>
      <c r="I70" s="76">
        <v>12.740878252198055</v>
      </c>
      <c r="J70" s="66">
        <v>5.5</v>
      </c>
      <c r="K70" s="67"/>
      <c r="L70" s="194"/>
      <c r="M70" s="194">
        <v>0.53494558457711439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5.119233255999676</v>
      </c>
      <c r="F71" s="66">
        <v>3.3</v>
      </c>
      <c r="G71" s="65"/>
      <c r="H71" s="76"/>
      <c r="I71" s="76">
        <v>4.4772094679692334</v>
      </c>
      <c r="J71" s="66">
        <v>3.3</v>
      </c>
      <c r="K71" s="67"/>
      <c r="L71" s="194"/>
      <c r="M71" s="194">
        <v>0.80025950292397652</v>
      </c>
      <c r="N71" s="68">
        <v>1</v>
      </c>
      <c r="P71" s="69"/>
    </row>
    <row r="72" spans="2:16" ht="15">
      <c r="B72" s="35" t="s">
        <v>165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/>
      <c r="E73" s="76">
        <v>7.3129862357869699</v>
      </c>
      <c r="F73" s="70">
        <f>[21]May_2022!$M$43</f>
        <v>3.4878406700073312</v>
      </c>
      <c r="G73" s="282"/>
      <c r="H73" s="76"/>
      <c r="I73" s="76">
        <v>8.6614709463340702</v>
      </c>
      <c r="J73" s="66">
        <v>5.5</v>
      </c>
      <c r="K73" s="67"/>
      <c r="L73" s="194"/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/>
      <c r="D74" s="76">
        <v>2.0782986950217497</v>
      </c>
      <c r="E74" s="76">
        <v>2.8629317642487306</v>
      </c>
      <c r="F74" s="66">
        <v>3.3</v>
      </c>
      <c r="G74" s="282"/>
      <c r="H74" s="76">
        <v>3.4559849687930924</v>
      </c>
      <c r="I74" s="76">
        <v>4.3478819741669881</v>
      </c>
      <c r="J74" s="66">
        <v>3.3</v>
      </c>
      <c r="K74" s="67"/>
      <c r="L74" s="194">
        <v>0.88859649122807016</v>
      </c>
      <c r="M74" s="194">
        <v>0.85935680751173715</v>
      </c>
      <c r="N74" s="71">
        <v>1</v>
      </c>
      <c r="P74" s="69"/>
    </row>
    <row r="75" spans="2:16" ht="15.75" thickBot="1">
      <c r="B75" s="38" t="s">
        <v>164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4.4738361701542555</v>
      </c>
      <c r="E77" s="76">
        <v>6.3361572980000949</v>
      </c>
      <c r="F77" s="341">
        <v>5.5</v>
      </c>
      <c r="H77" s="76">
        <v>4.091190668402068</v>
      </c>
      <c r="I77" s="76">
        <v>6.4994550492696064</v>
      </c>
      <c r="J77" s="341">
        <v>5.5</v>
      </c>
      <c r="L77" s="194">
        <v>0.65480701754385962</v>
      </c>
      <c r="M77" s="194">
        <v>0.72948681013028838</v>
      </c>
      <c r="N77" s="386">
        <v>1</v>
      </c>
    </row>
    <row r="81" spans="6:6">
      <c r="F81" s="315"/>
    </row>
    <row r="82" spans="6:6" ht="15">
      <c r="F82" s="341"/>
    </row>
  </sheetData>
  <mergeCells count="51">
    <mergeCell ref="M57:M58"/>
    <mergeCell ref="B66:F66"/>
    <mergeCell ref="G66:J66"/>
    <mergeCell ref="K66:N66"/>
    <mergeCell ref="G57:G58"/>
    <mergeCell ref="H57:H58"/>
    <mergeCell ref="I57:I58"/>
    <mergeCell ref="J57:J58"/>
    <mergeCell ref="K57:K58"/>
    <mergeCell ref="L57:L58"/>
    <mergeCell ref="F57:F58"/>
    <mergeCell ref="D52:E52"/>
    <mergeCell ref="B57:B58"/>
    <mergeCell ref="C57:C58"/>
    <mergeCell ref="D57:D58"/>
    <mergeCell ref="E57:E58"/>
    <mergeCell ref="B42:B51"/>
    <mergeCell ref="D42:E43"/>
    <mergeCell ref="J42:K42"/>
    <mergeCell ref="L43:N43"/>
    <mergeCell ref="D44:E45"/>
    <mergeCell ref="D46:E47"/>
    <mergeCell ref="D48:E49"/>
    <mergeCell ref="D50:E51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2:B53">
    <cfRule type="cellIs" dxfId="3185" priority="166" operator="notBetween">
      <formula>#REF!</formula>
      <formula>#REF!</formula>
    </cfRule>
  </conditionalFormatting>
  <conditionalFormatting sqref="C56">
    <cfRule type="cellIs" dxfId="3184" priority="198" stopIfTrue="1" operator="greaterThan">
      <formula>100</formula>
    </cfRule>
    <cfRule type="cellIs" dxfId="3183" priority="197" stopIfTrue="1" operator="lessThan">
      <formula>96</formula>
    </cfRule>
  </conditionalFormatting>
  <conditionalFormatting sqref="C68:C72">
    <cfRule type="cellIs" dxfId="3182" priority="147" stopIfTrue="1" operator="lessThanOrEqual">
      <formula>0</formula>
    </cfRule>
  </conditionalFormatting>
  <conditionalFormatting sqref="C68:C76">
    <cfRule type="cellIs" dxfId="3181" priority="146" stopIfTrue="1" operator="greaterThan">
      <formula>$F68</formula>
    </cfRule>
  </conditionalFormatting>
  <conditionalFormatting sqref="C69">
    <cfRule type="cellIs" dxfId="3180" priority="201" stopIfTrue="1" operator="greaterThan">
      <formula>$F68</formula>
    </cfRule>
  </conditionalFormatting>
  <conditionalFormatting sqref="C73">
    <cfRule type="cellIs" dxfId="3179" priority="85" stopIfTrue="1" operator="greaterThan">
      <formula>$F72</formula>
    </cfRule>
    <cfRule type="cellIs" dxfId="3178" priority="84" stopIfTrue="1" operator="lessThanOrEqual">
      <formula>0</formula>
    </cfRule>
  </conditionalFormatting>
  <conditionalFormatting sqref="C79:C83">
    <cfRule type="cellIs" dxfId="3177" priority="189" stopIfTrue="1" operator="lessThanOrEqual">
      <formula>0</formula>
    </cfRule>
  </conditionalFormatting>
  <conditionalFormatting sqref="C80:C83">
    <cfRule type="cellIs" dxfId="3176" priority="188" stopIfTrue="1" operator="greaterThan">
      <formula>$F$79</formula>
    </cfRule>
  </conditionalFormatting>
  <conditionalFormatting sqref="C85">
    <cfRule type="cellIs" dxfId="3175" priority="190" stopIfTrue="1" operator="greaterThan">
      <formula>$F$79</formula>
    </cfRule>
    <cfRule type="cellIs" dxfId="3174" priority="191" stopIfTrue="1" operator="lessThanOrEqual">
      <formula>0</formula>
    </cfRule>
  </conditionalFormatting>
  <conditionalFormatting sqref="C79:D79 D81:D87">
    <cfRule type="cellIs" dxfId="3173" priority="183" stopIfTrue="1" operator="greaterThan">
      <formula>4.5</formula>
    </cfRule>
  </conditionalFormatting>
  <conditionalFormatting sqref="D52:D53">
    <cfRule type="cellIs" dxfId="3172" priority="167" operator="notBetween">
      <formula>#REF!</formula>
      <formula>#REF!</formula>
    </cfRule>
  </conditionalFormatting>
  <conditionalFormatting sqref="D68:D75">
    <cfRule type="cellIs" dxfId="3171" priority="161" stopIfTrue="1" operator="lessThanOrEqual">
      <formula>0</formula>
    </cfRule>
  </conditionalFormatting>
  <conditionalFormatting sqref="D76">
    <cfRule type="cellIs" dxfId="3170" priority="160" stopIfTrue="1" operator="lessThanOrEqual">
      <formula>0</formula>
    </cfRule>
  </conditionalFormatting>
  <conditionalFormatting sqref="D79 D81:D87">
    <cfRule type="cellIs" dxfId="3169" priority="184" stopIfTrue="1" operator="lessThanOrEqual">
      <formula>0</formula>
    </cfRule>
  </conditionalFormatting>
  <conditionalFormatting sqref="D80">
    <cfRule type="cellIs" dxfId="3168" priority="176" stopIfTrue="1" operator="lessThanOrEqual">
      <formula>0</formula>
    </cfRule>
    <cfRule type="cellIs" dxfId="3167" priority="175" stopIfTrue="1" operator="greaterThan">
      <formula>$F$79</formula>
    </cfRule>
  </conditionalFormatting>
  <conditionalFormatting sqref="D68:E77">
    <cfRule type="cellIs" dxfId="3166" priority="144" stopIfTrue="1" operator="greaterThan">
      <formula>$F68</formula>
    </cfRule>
  </conditionalFormatting>
  <conditionalFormatting sqref="D77:E77">
    <cfRule type="cellIs" dxfId="3165" priority="145" stopIfTrue="1" operator="lessThanOrEqual">
      <formula>0</formula>
    </cfRule>
  </conditionalFormatting>
  <conditionalFormatting sqref="E10:E27">
    <cfRule type="cellIs" dxfId="3164" priority="46" operator="lessThan">
      <formula>48</formula>
    </cfRule>
  </conditionalFormatting>
  <conditionalFormatting sqref="E55 E56:F56">
    <cfRule type="cellIs" dxfId="3163" priority="180" stopIfTrue="1" operator="greaterThan">
      <formula>100</formula>
    </cfRule>
  </conditionalFormatting>
  <conditionalFormatting sqref="E56">
    <cfRule type="cellIs" dxfId="3162" priority="178" stopIfTrue="1" operator="greaterThan">
      <formula>100</formula>
    </cfRule>
    <cfRule type="cellIs" dxfId="3161" priority="177" stopIfTrue="1" operator="lessThan">
      <formula>96.8</formula>
    </cfRule>
  </conditionalFormatting>
  <conditionalFormatting sqref="E68:E76">
    <cfRule type="cellIs" dxfId="3160" priority="155" stopIfTrue="1" operator="lessThanOrEqual">
      <formula>0</formula>
    </cfRule>
  </conditionalFormatting>
  <conditionalFormatting sqref="E79:E87">
    <cfRule type="cellIs" dxfId="3159" priority="170" stopIfTrue="1" operator="lessThanOrEqual">
      <formula>0</formula>
    </cfRule>
    <cfRule type="cellIs" dxfId="3158" priority="169" stopIfTrue="1" operator="greaterThan">
      <formula>4.5</formula>
    </cfRule>
  </conditionalFormatting>
  <conditionalFormatting sqref="E56:F56 E55">
    <cfRule type="cellIs" dxfId="3157" priority="179" stopIfTrue="1" operator="lessThan">
      <formula>96.5</formula>
    </cfRule>
  </conditionalFormatting>
  <conditionalFormatting sqref="F10:F27">
    <cfRule type="cellIs" dxfId="3156" priority="47" operator="greaterThan">
      <formula>60</formula>
    </cfRule>
  </conditionalFormatting>
  <conditionalFormatting sqref="F56">
    <cfRule type="cellIs" dxfId="3155" priority="195" stopIfTrue="1" operator="lessThan">
      <formula>96.8</formula>
    </cfRule>
    <cfRule type="cellIs" dxfId="3154" priority="196" stopIfTrue="1" operator="greaterThan">
      <formula>100</formula>
    </cfRule>
  </conditionalFormatting>
  <conditionalFormatting sqref="F77">
    <cfRule type="cellIs" dxfId="3153" priority="156" stopIfTrue="1" operator="greaterThan">
      <formula>$F77</formula>
    </cfRule>
    <cfRule type="cellIs" dxfId="3152" priority="157" stopIfTrue="1" operator="lessThanOrEqual">
      <formula>0</formula>
    </cfRule>
  </conditionalFormatting>
  <conditionalFormatting sqref="F82">
    <cfRule type="cellIs" dxfId="3151" priority="115" stopIfTrue="1" operator="lessThanOrEqual">
      <formula>0</formula>
    </cfRule>
    <cfRule type="cellIs" dxfId="3150" priority="114" stopIfTrue="1" operator="greaterThan">
      <formula>$F82</formula>
    </cfRule>
  </conditionalFormatting>
  <conditionalFormatting sqref="G10:G20">
    <cfRule type="expression" dxfId="3149" priority="39">
      <formula>IF(+(IF(G10&lt;S10,0,IF(G10&gt;T10,0,1)))=0,1)</formula>
    </cfRule>
  </conditionalFormatting>
  <conditionalFormatting sqref="G68:G69 C74:C76">
    <cfRule type="cellIs" dxfId="3148" priority="163" stopIfTrue="1" operator="lessThanOrEqual">
      <formula>0</formula>
    </cfRule>
  </conditionalFormatting>
  <conditionalFormatting sqref="G68:G69">
    <cfRule type="cellIs" dxfId="3147" priority="148" stopIfTrue="1" operator="greaterThan">
      <formula>$F68</formula>
    </cfRule>
    <cfRule type="cellIs" dxfId="3146" priority="162" stopIfTrue="1" operator="greaterThan">
      <formula>$F68</formula>
    </cfRule>
    <cfRule type="cellIs" dxfId="3145" priority="149" stopIfTrue="1" operator="lessThanOrEqual">
      <formula>0</formula>
    </cfRule>
  </conditionalFormatting>
  <conditionalFormatting sqref="G70">
    <cfRule type="cellIs" dxfId="3144" priority="199" stopIfTrue="1" operator="greaterThan">
      <formula>$F69</formula>
    </cfRule>
    <cfRule type="cellIs" dxfId="3143" priority="200" stopIfTrue="1" operator="lessThanOrEqual">
      <formula>0</formula>
    </cfRule>
  </conditionalFormatting>
  <conditionalFormatting sqref="G71">
    <cfRule type="cellIs" dxfId="3142" priority="158" stopIfTrue="1" operator="greaterThan">
      <formula>$F71</formula>
    </cfRule>
    <cfRule type="cellIs" dxfId="3141" priority="159" stopIfTrue="1" operator="lessThanOrEqual">
      <formula>0</formula>
    </cfRule>
  </conditionalFormatting>
  <conditionalFormatting sqref="G72:G76">
    <cfRule type="cellIs" dxfId="3140" priority="164" stopIfTrue="1" operator="greaterThan">
      <formula>$J72</formula>
    </cfRule>
    <cfRule type="cellIs" dxfId="3139" priority="165" stopIfTrue="1" operator="lessThanOrEqual">
      <formula>0</formula>
    </cfRule>
  </conditionalFormatting>
  <conditionalFormatting sqref="G81:G86 C84 C86">
    <cfRule type="cellIs" dxfId="3138" priority="192" stopIfTrue="1" operator="greaterThan">
      <formula>4.5</formula>
    </cfRule>
    <cfRule type="cellIs" dxfId="3137" priority="193" stopIfTrue="1" operator="lessThanOrEqual">
      <formula>0</formula>
    </cfRule>
  </conditionalFormatting>
  <conditionalFormatting sqref="G80:H80">
    <cfRule type="cellIs" dxfId="3136" priority="173" stopIfTrue="1" operator="greaterThan">
      <formula>$F$79</formula>
    </cfRule>
    <cfRule type="cellIs" dxfId="3135" priority="174" stopIfTrue="1" operator="lessThanOrEqual">
      <formula>0</formula>
    </cfRule>
  </conditionalFormatting>
  <conditionalFormatting sqref="H41:H55">
    <cfRule type="cellIs" dxfId="3134" priority="171" stopIfTrue="1" operator="greaterThan">
      <formula>0</formula>
    </cfRule>
  </conditionalFormatting>
  <conditionalFormatting sqref="H59">
    <cfRule type="cellIs" dxfId="3133" priority="14" stopIfTrue="1" operator="lessThanOrEqual">
      <formula>0</formula>
    </cfRule>
    <cfRule type="cellIs" dxfId="3132" priority="13" stopIfTrue="1" operator="greaterThan">
      <formula>$F$70</formula>
    </cfRule>
    <cfRule type="cellIs" dxfId="3131" priority="12" stopIfTrue="1" operator="lessThanOrEqual">
      <formula>0</formula>
    </cfRule>
    <cfRule type="cellIs" dxfId="3130" priority="11" stopIfTrue="1" operator="greaterThan">
      <formula>$F$72</formula>
    </cfRule>
    <cfRule type="cellIs" dxfId="3129" priority="3" stopIfTrue="1" operator="greaterThan">
      <formula>$F$69</formula>
    </cfRule>
    <cfRule type="cellIs" dxfId="3128" priority="2" stopIfTrue="1" operator="lessThanOrEqual">
      <formula>0</formula>
    </cfRule>
  </conditionalFormatting>
  <conditionalFormatting sqref="H60">
    <cfRule type="cellIs" dxfId="3127" priority="101" stopIfTrue="1" operator="lessThanOrEqual">
      <formula>0</formula>
    </cfRule>
    <cfRule type="cellIs" dxfId="3126" priority="113" stopIfTrue="1" operator="lessThanOrEqual">
      <formula>0</formula>
    </cfRule>
    <cfRule type="cellIs" dxfId="3125" priority="112" stopIfTrue="1" operator="greaterThan">
      <formula>#REF!</formula>
    </cfRule>
    <cfRule type="cellIs" dxfId="3124" priority="111" stopIfTrue="1" operator="lessThanOrEqual">
      <formula>0</formula>
    </cfRule>
    <cfRule type="cellIs" dxfId="3123" priority="110" stopIfTrue="1" operator="greaterThan">
      <formula>$F$28</formula>
    </cfRule>
    <cfRule type="cellIs" dxfId="3122" priority="102" stopIfTrue="1" operator="greaterThan">
      <formula>#REF!</formula>
    </cfRule>
  </conditionalFormatting>
  <conditionalFormatting sqref="H61">
    <cfRule type="cellIs" dxfId="3121" priority="25" stopIfTrue="1" operator="greaterThan">
      <formula>$F$72</formula>
    </cfRule>
    <cfRule type="cellIs" dxfId="3120" priority="16" stopIfTrue="1" operator="lessThanOrEqual">
      <formula>0</formula>
    </cfRule>
    <cfRule type="cellIs" dxfId="3119" priority="17" stopIfTrue="1" operator="greaterThan">
      <formula>$F$69</formula>
    </cfRule>
    <cfRule type="cellIs" dxfId="3118" priority="28" stopIfTrue="1" operator="lessThanOrEqual">
      <formula>0</formula>
    </cfRule>
    <cfRule type="cellIs" dxfId="3117" priority="27" stopIfTrue="1" operator="greaterThan">
      <formula>$F$70</formula>
    </cfRule>
    <cfRule type="cellIs" dxfId="3116" priority="26" stopIfTrue="1" operator="lessThanOrEqual">
      <formula>0</formula>
    </cfRule>
  </conditionalFormatting>
  <conditionalFormatting sqref="H62:H63">
    <cfRule type="cellIs" dxfId="3115" priority="87" stopIfTrue="1" operator="lessThanOrEqual">
      <formula>0</formula>
    </cfRule>
    <cfRule type="cellIs" dxfId="3114" priority="88" stopIfTrue="1" operator="greaterThan">
      <formula>#REF!</formula>
    </cfRule>
    <cfRule type="cellIs" dxfId="3113" priority="96" stopIfTrue="1" operator="greaterThan">
      <formula>$F$27</formula>
    </cfRule>
    <cfRule type="cellIs" dxfId="3112" priority="98" stopIfTrue="1" operator="greaterThan">
      <formula>#REF!</formula>
    </cfRule>
    <cfRule type="cellIs" dxfId="3111" priority="99" stopIfTrue="1" operator="lessThanOrEqual">
      <formula>0</formula>
    </cfRule>
    <cfRule type="cellIs" dxfId="3110" priority="97" stopIfTrue="1" operator="lessThanOrEqual">
      <formula>0</formula>
    </cfRule>
  </conditionalFormatting>
  <conditionalFormatting sqref="H64">
    <cfRule type="cellIs" dxfId="3109" priority="130" stopIfTrue="1" operator="lessThanOrEqual">
      <formula>0</formula>
    </cfRule>
    <cfRule type="cellIs" dxfId="3108" priority="129" stopIfTrue="1" operator="greaterThan">
      <formula>$F$41</formula>
    </cfRule>
    <cfRule type="cellIs" dxfId="3107" priority="128" stopIfTrue="1" operator="lessThanOrEqual">
      <formula>0</formula>
    </cfRule>
    <cfRule type="cellIs" dxfId="3106" priority="127" stopIfTrue="1" operator="greaterThan">
      <formula>$F$43</formula>
    </cfRule>
    <cfRule type="cellIs" dxfId="3105" priority="118" stopIfTrue="1" operator="lessThanOrEqual">
      <formula>0</formula>
    </cfRule>
    <cfRule type="cellIs" dxfId="3104" priority="119" stopIfTrue="1" operator="greaterThan">
      <formula>$F$40</formula>
    </cfRule>
  </conditionalFormatting>
  <conditionalFormatting sqref="H68:H75">
    <cfRule type="cellIs" dxfId="3103" priority="151" stopIfTrue="1" operator="lessThanOrEqual">
      <formula>0</formula>
    </cfRule>
    <cfRule type="cellIs" dxfId="3102" priority="150" stopIfTrue="1" operator="greaterThan">
      <formula>$J68</formula>
    </cfRule>
  </conditionalFormatting>
  <conditionalFormatting sqref="H76">
    <cfRule type="cellIs" dxfId="3101" priority="152" operator="greaterThan">
      <formula>5.3</formula>
    </cfRule>
  </conditionalFormatting>
  <conditionalFormatting sqref="H79 H81:H87">
    <cfRule type="cellIs" dxfId="3100" priority="186" stopIfTrue="1" operator="lessThanOrEqual">
      <formula>0</formula>
    </cfRule>
    <cfRule type="cellIs" dxfId="3099" priority="185" stopIfTrue="1" operator="greaterThan">
      <formula>4.5</formula>
    </cfRule>
  </conditionalFormatting>
  <conditionalFormatting sqref="H59:I59">
    <cfRule type="cellIs" dxfId="3098" priority="1" stopIfTrue="1" operator="greaterThan">
      <formula>$F$71</formula>
    </cfRule>
    <cfRule type="cellIs" dxfId="3097" priority="4" stopIfTrue="1" operator="lessThanOrEqual">
      <formula>0</formula>
    </cfRule>
  </conditionalFormatting>
  <conditionalFormatting sqref="H60:I60">
    <cfRule type="cellIs" dxfId="3096" priority="103" stopIfTrue="1" operator="lessThanOrEqual">
      <formula>0</formula>
    </cfRule>
    <cfRule type="cellIs" dxfId="3095" priority="100" stopIfTrue="1" operator="greaterThan">
      <formula>$F$27</formula>
    </cfRule>
  </conditionalFormatting>
  <conditionalFormatting sqref="H61:I61">
    <cfRule type="cellIs" dxfId="3094" priority="18" stopIfTrue="1" operator="lessThanOrEqual">
      <formula>0</formula>
    </cfRule>
    <cfRule type="cellIs" dxfId="3093" priority="15" stopIfTrue="1" operator="greaterThan">
      <formula>$F$71</formula>
    </cfRule>
  </conditionalFormatting>
  <conditionalFormatting sqref="H62:I63">
    <cfRule type="cellIs" dxfId="3092" priority="86" stopIfTrue="1" operator="greaterThan">
      <formula>#REF!</formula>
    </cfRule>
    <cfRule type="cellIs" dxfId="3091" priority="89" stopIfTrue="1" operator="lessThanOrEqual">
      <formula>0</formula>
    </cfRule>
  </conditionalFormatting>
  <conditionalFormatting sqref="H64:I64">
    <cfRule type="cellIs" dxfId="3090" priority="117" stopIfTrue="1" operator="greaterThan">
      <formula>$F$42</formula>
    </cfRule>
    <cfRule type="cellIs" dxfId="3089" priority="120" stopIfTrue="1" operator="lessThanOrEqual">
      <formula>0</formula>
    </cfRule>
  </conditionalFormatting>
  <conditionalFormatting sqref="H77:I77">
    <cfRule type="cellIs" dxfId="3088" priority="142" stopIfTrue="1" operator="greaterThan">
      <formula>$J77</formula>
    </cfRule>
    <cfRule type="cellIs" dxfId="3087" priority="143" stopIfTrue="1" operator="lessThanOrEqual">
      <formula>0</formula>
    </cfRule>
  </conditionalFormatting>
  <conditionalFormatting sqref="I59">
    <cfRule type="cellIs" dxfId="3086" priority="10" stopIfTrue="1" operator="lessThanOrEqual">
      <formula>0</formula>
    </cfRule>
    <cfRule type="cellIs" dxfId="3085" priority="5" stopIfTrue="1" operator="greaterThan">
      <formula>$F$69</formula>
    </cfRule>
    <cfRule type="cellIs" dxfId="3084" priority="6" stopIfTrue="1" operator="lessThanOrEqual">
      <formula>0</formula>
    </cfRule>
    <cfRule type="cellIs" dxfId="3083" priority="7" stopIfTrue="1" operator="greaterThan">
      <formula>$F$71</formula>
    </cfRule>
    <cfRule type="cellIs" dxfId="3082" priority="8" stopIfTrue="1" operator="lessThanOrEqual">
      <formula>0</formula>
    </cfRule>
    <cfRule type="cellIs" dxfId="3081" priority="9" stopIfTrue="1" operator="greaterThan">
      <formula>$F$69</formula>
    </cfRule>
  </conditionalFormatting>
  <conditionalFormatting sqref="I60">
    <cfRule type="cellIs" dxfId="3080" priority="106" stopIfTrue="1" operator="greaterThan">
      <formula>$F$27</formula>
    </cfRule>
    <cfRule type="cellIs" dxfId="3079" priority="107" stopIfTrue="1" operator="lessThanOrEqual">
      <formula>0</formula>
    </cfRule>
    <cfRule type="cellIs" dxfId="3078" priority="108" stopIfTrue="1" operator="greaterThan">
      <formula>#REF!</formula>
    </cfRule>
    <cfRule type="cellIs" dxfId="3077" priority="109" stopIfTrue="1" operator="lessThanOrEqual">
      <formula>0</formula>
    </cfRule>
    <cfRule type="cellIs" dxfId="3076" priority="105" stopIfTrue="1" operator="lessThanOrEqual">
      <formula>0</formula>
    </cfRule>
    <cfRule type="cellIs" dxfId="3075" priority="104" stopIfTrue="1" operator="greaterThan">
      <formula>#REF!</formula>
    </cfRule>
  </conditionalFormatting>
  <conditionalFormatting sqref="I61">
    <cfRule type="cellIs" dxfId="3074" priority="24" stopIfTrue="1" operator="lessThanOrEqual">
      <formula>0</formula>
    </cfRule>
    <cfRule type="cellIs" dxfId="3073" priority="23" stopIfTrue="1" operator="greaterThan">
      <formula>$F$69</formula>
    </cfRule>
    <cfRule type="cellIs" dxfId="3072" priority="22" stopIfTrue="1" operator="lessThanOrEqual">
      <formula>0</formula>
    </cfRule>
    <cfRule type="cellIs" dxfId="3071" priority="21" stopIfTrue="1" operator="greaterThan">
      <formula>$F$71</formula>
    </cfRule>
    <cfRule type="cellIs" dxfId="3070" priority="20" stopIfTrue="1" operator="lessThanOrEqual">
      <formula>0</formula>
    </cfRule>
    <cfRule type="cellIs" dxfId="3069" priority="19" stopIfTrue="1" operator="greaterThan">
      <formula>$F$69</formula>
    </cfRule>
  </conditionalFormatting>
  <conditionalFormatting sqref="I62:I63">
    <cfRule type="cellIs" dxfId="3068" priority="95" stopIfTrue="1" operator="lessThanOrEqual">
      <formula>0</formula>
    </cfRule>
    <cfRule type="cellIs" dxfId="3067" priority="94" stopIfTrue="1" operator="greaterThan">
      <formula>#REF!</formula>
    </cfRule>
    <cfRule type="cellIs" dxfId="3066" priority="93" stopIfTrue="1" operator="lessThanOrEqual">
      <formula>0</formula>
    </cfRule>
    <cfRule type="cellIs" dxfId="3065" priority="92" stopIfTrue="1" operator="greaterThan">
      <formula>#REF!</formula>
    </cfRule>
    <cfRule type="cellIs" dxfId="3064" priority="91" stopIfTrue="1" operator="lessThanOrEqual">
      <formula>0</formula>
    </cfRule>
    <cfRule type="cellIs" dxfId="3063" priority="90" stopIfTrue="1" operator="greaterThan">
      <formula>#REF!</formula>
    </cfRule>
  </conditionalFormatting>
  <conditionalFormatting sqref="I64">
    <cfRule type="cellIs" dxfId="3062" priority="121" stopIfTrue="1" operator="greaterThan">
      <formula>$F$40</formula>
    </cfRule>
    <cfRule type="cellIs" dxfId="3061" priority="122" stopIfTrue="1" operator="lessThanOrEqual">
      <formula>0</formula>
    </cfRule>
    <cfRule type="cellIs" dxfId="3060" priority="123" stopIfTrue="1" operator="greaterThan">
      <formula>$F$42</formula>
    </cfRule>
    <cfRule type="cellIs" dxfId="3059" priority="124" stopIfTrue="1" operator="lessThanOrEqual">
      <formula>0</formula>
    </cfRule>
    <cfRule type="cellIs" dxfId="3058" priority="125" stopIfTrue="1" operator="greaterThan">
      <formula>$F$40</formula>
    </cfRule>
    <cfRule type="cellIs" dxfId="3057" priority="126" stopIfTrue="1" operator="lessThanOrEqual">
      <formula>0</formula>
    </cfRule>
  </conditionalFormatting>
  <conditionalFormatting sqref="I68:I76">
    <cfRule type="cellIs" dxfId="3056" priority="153" stopIfTrue="1" operator="greaterThan">
      <formula>$J68</formula>
    </cfRule>
    <cfRule type="cellIs" dxfId="3055" priority="154" stopIfTrue="1" operator="lessThanOrEqual">
      <formula>0</formula>
    </cfRule>
  </conditionalFormatting>
  <conditionalFormatting sqref="I79:I87">
    <cfRule type="cellIs" dxfId="3054" priority="181" stopIfTrue="1" operator="greaterThan">
      <formula>4.5</formula>
    </cfRule>
    <cfRule type="cellIs" dxfId="3053" priority="182" stopIfTrue="1" operator="lessThanOrEqual">
      <formula>0</formula>
    </cfRule>
  </conditionalFormatting>
  <conditionalFormatting sqref="I10:J27">
    <cfRule type="cellIs" dxfId="3052" priority="41" operator="lessThan">
      <formula>97.9</formula>
    </cfRule>
  </conditionalFormatting>
  <conditionalFormatting sqref="J30:J32">
    <cfRule type="cellIs" dxfId="3051" priority="132" stopIfTrue="1" operator="lessThan">
      <formula>96.8</formula>
    </cfRule>
    <cfRule type="cellIs" dxfId="3050" priority="133" stopIfTrue="1" operator="greaterThan">
      <formula>100</formula>
    </cfRule>
    <cfRule type="cellIs" dxfId="3049" priority="134" operator="lessThan">
      <formula>98</formula>
    </cfRule>
  </conditionalFormatting>
  <conditionalFormatting sqref="J30:J34">
    <cfRule type="cellIs" dxfId="3048" priority="131" operator="lessThan">
      <formula>97.4</formula>
    </cfRule>
  </conditionalFormatting>
  <conditionalFormatting sqref="J35">
    <cfRule type="cellIs" dxfId="3047" priority="135" operator="lessThan">
      <formula>98</formula>
    </cfRule>
  </conditionalFormatting>
  <conditionalFormatting sqref="J37:J38">
    <cfRule type="cellIs" dxfId="3046" priority="136" stopIfTrue="1" operator="lessThan">
      <formula>96.8</formula>
    </cfRule>
    <cfRule type="cellIs" dxfId="3045" priority="137" stopIfTrue="1" operator="greaterThan">
      <formula>100</formula>
    </cfRule>
  </conditionalFormatting>
  <conditionalFormatting sqref="J37:J39">
    <cfRule type="cellIs" dxfId="3044" priority="138" operator="lessThan">
      <formula>98</formula>
    </cfRule>
  </conditionalFormatting>
  <conditionalFormatting sqref="J77">
    <cfRule type="cellIs" dxfId="3043" priority="139" stopIfTrue="1" operator="greaterThan">
      <formula>$F77</formula>
    </cfRule>
    <cfRule type="cellIs" dxfId="3042" priority="140" stopIfTrue="1" operator="lessThanOrEqual">
      <formula>0</formula>
    </cfRule>
  </conditionalFormatting>
  <conditionalFormatting sqref="K10:K27">
    <cfRule type="cellIs" dxfId="3041" priority="45" operator="greaterThan">
      <formula>6.4</formula>
    </cfRule>
    <cfRule type="cellIs" dxfId="3040" priority="44" operator="lessThan">
      <formula>4</formula>
    </cfRule>
    <cfRule type="cellIs" dxfId="3039" priority="43" operator="greaterThan">
      <formula>6</formula>
    </cfRule>
  </conditionalFormatting>
  <conditionalFormatting sqref="K59:K64 K68:N74 K75 M75:N75 K76:N76">
    <cfRule type="cellIs" dxfId="3038" priority="116" stopIfTrue="1" operator="lessThan">
      <formula>100%</formula>
    </cfRule>
  </conditionalFormatting>
  <conditionalFormatting sqref="K79:K84">
    <cfRule type="cellIs" dxfId="3037" priority="187" stopIfTrue="1" operator="lessThan">
      <formula>100%</formula>
    </cfRule>
  </conditionalFormatting>
  <conditionalFormatting sqref="K86:K87">
    <cfRule type="cellIs" dxfId="3036" priority="194" stopIfTrue="1" operator="lessThan">
      <formula>100%</formula>
    </cfRule>
  </conditionalFormatting>
  <conditionalFormatting sqref="L10:L19 L27">
    <cfRule type="cellIs" dxfId="3035" priority="51" operator="greaterThan">
      <formula>65</formula>
    </cfRule>
    <cfRule type="cellIs" dxfId="3034" priority="50" operator="between">
      <formula>61</formula>
      <formula>65</formula>
    </cfRule>
  </conditionalFormatting>
  <conditionalFormatting sqref="L20:M26">
    <cfRule type="cellIs" dxfId="3033" priority="49" operator="greaterThan">
      <formula>65</formula>
    </cfRule>
    <cfRule type="cellIs" dxfId="3032" priority="48" operator="between">
      <formula>61</formula>
      <formula>65</formula>
    </cfRule>
  </conditionalFormatting>
  <conditionalFormatting sqref="L30:M41">
    <cfRule type="cellIs" dxfId="3031" priority="68" operator="lessThan">
      <formula>97.95</formula>
    </cfRule>
  </conditionalFormatting>
  <conditionalFormatting sqref="L45:N45">
    <cfRule type="cellIs" dxfId="3030" priority="69" operator="notEqual">
      <formula>#REF!</formula>
    </cfRule>
  </conditionalFormatting>
  <conditionalFormatting sqref="L77:N77">
    <cfRule type="cellIs" dxfId="3029" priority="141" stopIfTrue="1" operator="lessThan">
      <formula>100%</formula>
    </cfRule>
  </conditionalFormatting>
  <conditionalFormatting sqref="L79:N87">
    <cfRule type="cellIs" dxfId="3028" priority="172" stopIfTrue="1" operator="lessThan">
      <formula>100%</formula>
    </cfRule>
  </conditionalFormatting>
  <conditionalFormatting sqref="M26 M10:M19">
    <cfRule type="expression" dxfId="3027" priority="52">
      <formula>IF(+(IF(M10&lt;U10,0,IF(M10&gt;V10,0,1)))=0,1)</formula>
    </cfRule>
  </conditionalFormatting>
  <conditionalFormatting sqref="M20:N25 H10:H20 G21:H27">
    <cfRule type="expression" dxfId="3026" priority="67">
      <formula>IF(+(IF(G10&lt;#REF!,0,IF(G10&gt;#REF!,0,1)))=0,1)</formula>
    </cfRule>
  </conditionalFormatting>
  <conditionalFormatting sqref="M27:N27">
    <cfRule type="expression" dxfId="3025" priority="202">
      <formula>IF(+(IF(M27&lt;#REF!,0,IF(M27&gt;#REF!,0,1)))=0,1)</formula>
    </cfRule>
  </conditionalFormatting>
  <conditionalFormatting sqref="N10:N19 N26">
    <cfRule type="expression" dxfId="3024" priority="42">
      <formula>IF(+(IF(N10&lt;W10,0,IF(N10&gt;X10,0,1)))=0,1)</formula>
    </cfRule>
  </conditionalFormatting>
  <conditionalFormatting sqref="P6">
    <cfRule type="cellIs" dxfId="3023" priority="168" operator="greaterThanOrEqual">
      <formula>19</formula>
    </cfRule>
  </conditionalFormatting>
  <dataValidations count="1">
    <dataValidation type="list" allowBlank="1" showInputMessage="1" showErrorMessage="1" sqref="R8" xr:uid="{9FB2A754-B1EE-42DF-B752-1F8323C3F82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4200-58A8-42FC-B3B5-0AED797F3679}">
  <sheetPr>
    <pageSetUpPr fitToPage="1"/>
  </sheetPr>
  <dimension ref="A1:BE78"/>
  <sheetViews>
    <sheetView topLeftCell="A9" zoomScale="95" zoomScaleNormal="95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45938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29" t="s">
        <v>6</v>
      </c>
      <c r="C10" s="366" t="str">
        <f>[22]Brewhouse!$A849</f>
        <v>CA739</v>
      </c>
      <c r="D10" s="279">
        <f>[22]Brewhouse!$AF849</f>
        <v>48.3</v>
      </c>
      <c r="E10" s="279">
        <f>[22]Brewhouse!$AI849</f>
        <v>47.8</v>
      </c>
      <c r="F10" s="278">
        <f>[22]Brewhouse!$V849</f>
        <v>60</v>
      </c>
      <c r="G10" s="279">
        <f>[22]Brewhouse!AG849</f>
        <v>11.9</v>
      </c>
      <c r="H10" s="396">
        <v>11.9</v>
      </c>
      <c r="I10" s="368">
        <f>[22]Brewhouse!$AU849</f>
        <v>93.421221419669621</v>
      </c>
      <c r="J10" s="368">
        <f>[22]Brewhouse!$AV849</f>
        <v>95.309618157680362</v>
      </c>
      <c r="K10" s="281">
        <f>[22]Brewhouse!$Q849</f>
        <v>10.395480225988706</v>
      </c>
      <c r="L10" s="276">
        <f>[22]Brewhouse!$P849</f>
        <v>62</v>
      </c>
      <c r="M10" s="397">
        <f>[22]Brewhouse!$U849-[22]Brewhouse!$T849</f>
        <v>0.11041666666666666</v>
      </c>
      <c r="N10" s="370">
        <f>[22]Brewhouse!$Z849</f>
        <v>0.23749999999999999</v>
      </c>
      <c r="O10" s="421" t="str">
        <f>[22]Brewhouse!$AX849</f>
        <v>K.Benjamin</v>
      </c>
      <c r="P10" s="418"/>
      <c r="R10" s="277" t="str">
        <f t="shared" ref="R10:R25" si="0">B10</f>
        <v>CARIB</v>
      </c>
      <c r="S10" s="296">
        <f t="shared" ref="S10:S37" si="1">VLOOKUP($B10,$R$3:$X$9,2,FALSE)</f>
        <v>11.6</v>
      </c>
      <c r="T10" s="296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296">
        <f t="shared" ref="Z10:Z37" si="8">VLOOKUP($B10,$R$3:$Z$9,9,FALSE)</f>
        <v>60</v>
      </c>
    </row>
    <row r="11" spans="2:29" ht="15.6" customHeight="1">
      <c r="B11" s="29" t="s">
        <v>6</v>
      </c>
      <c r="C11" s="366" t="str">
        <f>[22]Brewhouse!$A850</f>
        <v>CA740</v>
      </c>
      <c r="D11" s="279">
        <f>[22]Brewhouse!$AF850</f>
        <v>52.2</v>
      </c>
      <c r="E11" s="279">
        <f>[22]Brewhouse!$AI850</f>
        <v>51.8</v>
      </c>
      <c r="F11" s="278">
        <f>[22]Brewhouse!$V850</f>
        <v>60</v>
      </c>
      <c r="G11" s="279">
        <f>[22]Brewhouse!AG850</f>
        <v>11.6</v>
      </c>
      <c r="H11" s="396">
        <v>11.6</v>
      </c>
      <c r="I11" s="368">
        <f>[22]Brewhouse!$AU850</f>
        <v>98.678094746943245</v>
      </c>
      <c r="J11" s="368">
        <f>[22]Brewhouse!$AV850</f>
        <v>100.67258993396224</v>
      </c>
      <c r="K11" s="281">
        <f>[22]Brewhouse!$Q850</f>
        <v>4.7457627118644128</v>
      </c>
      <c r="L11" s="276">
        <f>[22]Brewhouse!$P850</f>
        <v>57</v>
      </c>
      <c r="M11" s="397">
        <f>[22]Brewhouse!$U850-[22]Brewhouse!$T850</f>
        <v>0.10902777777777778</v>
      </c>
      <c r="N11" s="370">
        <f>[22]Brewhouse!$Z850</f>
        <v>0.2472222222222222</v>
      </c>
      <c r="O11" s="421" t="str">
        <f>[22]Brewhouse!$AX850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29" t="s">
        <v>6</v>
      </c>
      <c r="C12" s="366" t="str">
        <f>[22]Brewhouse!$A851</f>
        <v>CA741</v>
      </c>
      <c r="D12" s="279">
        <f>[22]Brewhouse!$AF851</f>
        <v>52</v>
      </c>
      <c r="E12" s="279">
        <f>[22]Brewhouse!$AI851</f>
        <v>50.4</v>
      </c>
      <c r="F12" s="278">
        <f>[22]Brewhouse!$V851</f>
        <v>62</v>
      </c>
      <c r="G12" s="279">
        <f>[22]Brewhouse!AG851</f>
        <v>11.6</v>
      </c>
      <c r="H12" s="396">
        <v>11.9</v>
      </c>
      <c r="I12" s="368">
        <f>[22]Brewhouse!$AU851</f>
        <v>95.654034854800202</v>
      </c>
      <c r="J12" s="368">
        <f>[22]Brewhouse!$AV851</f>
        <v>97.587879799021309</v>
      </c>
      <c r="K12" s="281">
        <f>[22]Brewhouse!$Q851</f>
        <v>4.1807909604519748</v>
      </c>
      <c r="L12" s="276">
        <f>[22]Brewhouse!$P851</f>
        <v>51</v>
      </c>
      <c r="M12" s="397">
        <f>[22]Brewhouse!$U851-[22]Brewhouse!$T851</f>
        <v>0.10763888888888884</v>
      </c>
      <c r="N12" s="370">
        <f>[22]Brewhouse!$Z851</f>
        <v>0.25486111111111104</v>
      </c>
      <c r="O12" s="421" t="str">
        <f>[22]Brewhouse!$AX851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6" customHeight="1">
      <c r="B13" s="29" t="s">
        <v>6</v>
      </c>
      <c r="C13" s="366" t="str">
        <f>[22]Brewhouse!$A852</f>
        <v>CA742</v>
      </c>
      <c r="D13" s="279">
        <f>[22]Brewhouse!$AF852</f>
        <v>52.2</v>
      </c>
      <c r="E13" s="279">
        <f>[22]Brewhouse!$AI852</f>
        <v>50.7</v>
      </c>
      <c r="F13" s="278">
        <f>[22]Brewhouse!$V852</f>
        <v>63</v>
      </c>
      <c r="G13" s="279">
        <f>[22]Brewhouse!AG852</f>
        <v>11.7</v>
      </c>
      <c r="H13" s="467"/>
      <c r="I13" s="368">
        <f>[22]Brewhouse!$AU852</f>
        <v>97.33806518912769</v>
      </c>
      <c r="J13" s="368">
        <f>[22]Brewhouse!$AV852</f>
        <v>99.305636175613685</v>
      </c>
      <c r="K13" s="281">
        <f>[22]Brewhouse!$Q852</f>
        <v>3.0508474576271141</v>
      </c>
      <c r="L13" s="276">
        <f>[22]Brewhouse!$P852</f>
        <v>59</v>
      </c>
      <c r="M13" s="397">
        <f>[22]Brewhouse!$U852-[22]Brewhouse!$T852</f>
        <v>0.10902777777777783</v>
      </c>
      <c r="N13" s="370">
        <f>[22]Brewhouse!$Z852</f>
        <v>0.26180555555555557</v>
      </c>
      <c r="O13" s="421" t="str">
        <f>[22]Brewhouse!$AX852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29" t="s">
        <v>6</v>
      </c>
      <c r="C14" s="366" t="str">
        <f>[22]Brewhouse!$A853</f>
        <v>CA743</v>
      </c>
      <c r="D14" s="279">
        <f>[22]Brewhouse!$AF853</f>
        <v>57.3</v>
      </c>
      <c r="E14" s="279">
        <f>[22]Brewhouse!$AI853</f>
        <v>56.6</v>
      </c>
      <c r="F14" s="278">
        <f>[22]Brewhouse!$V853</f>
        <v>68</v>
      </c>
      <c r="G14" s="279">
        <f>[22]Brewhouse!AG853</f>
        <v>10.7</v>
      </c>
      <c r="H14" s="467"/>
      <c r="I14" s="368">
        <f>[22]Brewhouse!$AU853</f>
        <v>99.103729456117165</v>
      </c>
      <c r="J14" s="368">
        <f>[22]Brewhouse!$AV853</f>
        <v>101.10682763026368</v>
      </c>
      <c r="K14" s="281">
        <f>[22]Brewhouse!$Q853</f>
        <v>-1.4689265536723184</v>
      </c>
      <c r="L14" s="276">
        <f>[22]Brewhouse!$P853</f>
        <v>60</v>
      </c>
      <c r="M14" s="397">
        <f>[22]Brewhouse!$U853-[22]Brewhouse!$T853</f>
        <v>0.11666666666666659</v>
      </c>
      <c r="N14" s="370">
        <f>[22]Brewhouse!$Z853</f>
        <v>0.26805555555555555</v>
      </c>
      <c r="O14" s="421" t="str">
        <f>[22]Brewhouse!$AX853</f>
        <v>D. Gomez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29" t="s">
        <v>6</v>
      </c>
      <c r="C15" s="366" t="str">
        <f>[22]Brewhouse!$A854</f>
        <v>CA744</v>
      </c>
      <c r="D15" s="279">
        <f>[22]Brewhouse!$AF854</f>
        <v>52.1</v>
      </c>
      <c r="E15" s="279">
        <f>[22]Brewhouse!$AI854</f>
        <v>50.3</v>
      </c>
      <c r="F15" s="278">
        <f>[22]Brewhouse!$V854</f>
        <v>62</v>
      </c>
      <c r="G15" s="279">
        <f>[22]Brewhouse!AG854</f>
        <v>11.7</v>
      </c>
      <c r="H15" s="467"/>
      <c r="I15" s="368">
        <f>[22]Brewhouse!$AU854</f>
        <v>96.570112012093148</v>
      </c>
      <c r="J15" s="368">
        <f>[22]Brewhouse!$AV854</f>
        <v>98.522159756082203</v>
      </c>
      <c r="K15" s="281">
        <f>[22]Brewhouse!$Q854</f>
        <v>3.0566037735849005</v>
      </c>
      <c r="L15" s="276">
        <f>[22]Brewhouse!$P854</f>
        <v>60</v>
      </c>
      <c r="M15" s="397">
        <f>[22]Brewhouse!$U854-[22]Brewhouse!$T854</f>
        <v>0.12986111111111109</v>
      </c>
      <c r="N15" s="370">
        <f>[22]Brewhouse!$Z854</f>
        <v>0.28680555555555554</v>
      </c>
      <c r="O15" s="421" t="str">
        <f>[22]Brewhouse!$AX854</f>
        <v>D. Gomez</v>
      </c>
      <c r="P15" s="418" t="s">
        <v>181</v>
      </c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6" customHeight="1">
      <c r="B16" s="29" t="s">
        <v>6</v>
      </c>
      <c r="C16" s="366" t="str">
        <f>[22]Brewhouse!$A855</f>
        <v>CA745</v>
      </c>
      <c r="D16" s="279">
        <f>[22]Brewhouse!$AF855</f>
        <v>50.7</v>
      </c>
      <c r="E16" s="279">
        <f>[22]Brewhouse!$AI855</f>
        <v>50</v>
      </c>
      <c r="F16" s="278">
        <f>[22]Brewhouse!$V855</f>
        <v>62</v>
      </c>
      <c r="G16" s="279">
        <f>[22]Brewhouse!AG855</f>
        <v>12.6</v>
      </c>
      <c r="H16" s="464">
        <v>12.5</v>
      </c>
      <c r="I16" s="368">
        <f>[22]Brewhouse!$AU855</f>
        <v>104.15305681524512</v>
      </c>
      <c r="J16" s="368">
        <f>[22]Brewhouse!$AV855</f>
        <v>106.25786758329086</v>
      </c>
      <c r="K16" s="281">
        <f>[22]Brewhouse!$Q855</f>
        <v>3.8846153846153766</v>
      </c>
      <c r="L16" s="276">
        <f>[22]Brewhouse!$P855</f>
        <v>57</v>
      </c>
      <c r="M16" s="397">
        <f>[22]Brewhouse!$U855-[22]Brewhouse!$T855</f>
        <v>0.11597222222222225</v>
      </c>
      <c r="N16" s="370">
        <f>[22]Brewhouse!$Z855</f>
        <v>0.29097222222222219</v>
      </c>
      <c r="O16" s="421" t="str">
        <f>[22]Brewhouse!$AX855</f>
        <v>D. Gomez</v>
      </c>
      <c r="P16" s="418" t="s">
        <v>180</v>
      </c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6" customHeight="1">
      <c r="B17" s="29" t="s">
        <v>6</v>
      </c>
      <c r="C17" s="366" t="str">
        <f>[22]Brewhouse!$A856</f>
        <v>CA746</v>
      </c>
      <c r="D17" s="279">
        <f>[22]Brewhouse!$AF856</f>
        <v>52.4</v>
      </c>
      <c r="E17" s="279">
        <f>[22]Brewhouse!$AI856</f>
        <v>50.8</v>
      </c>
      <c r="F17" s="278">
        <f>[22]Brewhouse!$V856</f>
        <v>66</v>
      </c>
      <c r="G17" s="279">
        <f>[22]Brewhouse!AG856</f>
        <v>11.8</v>
      </c>
      <c r="H17" s="396">
        <v>11.8</v>
      </c>
      <c r="I17" s="368">
        <f>[22]Brewhouse!$AU856</f>
        <v>98.652479136114536</v>
      </c>
      <c r="J17" s="368">
        <f>[22]Brewhouse!$AV856</f>
        <v>100.64629334147554</v>
      </c>
      <c r="K17" s="281">
        <f>[22]Brewhouse!$Q856</f>
        <v>0.61538461538461586</v>
      </c>
      <c r="L17" s="276">
        <f>[22]Brewhouse!$P856</f>
        <v>60</v>
      </c>
      <c r="M17" s="397">
        <f>[22]Brewhouse!$U856-[22]Brewhouse!$T856</f>
        <v>0.10972222222222228</v>
      </c>
      <c r="N17" s="370">
        <f>[22]Brewhouse!$Z856</f>
        <v>0.29791666666666672</v>
      </c>
      <c r="O17" s="421" t="str">
        <f>[22]Brewhouse!$AX856</f>
        <v>D. Gomez</v>
      </c>
      <c r="P17" s="418" t="s">
        <v>179</v>
      </c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6" customHeight="1">
      <c r="B18" s="29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6" customHeight="1">
      <c r="B19" s="33" t="s">
        <v>9</v>
      </c>
      <c r="C19" s="366" t="str">
        <f>[23]Brewhouse!$A408</f>
        <v>ST385</v>
      </c>
      <c r="D19" s="279">
        <f>[23]Brewhouse!$AD408</f>
        <v>48.8</v>
      </c>
      <c r="E19" s="279">
        <f>[23]Brewhouse!$AG408</f>
        <v>48.7</v>
      </c>
      <c r="F19" s="278">
        <f>[23]Brewhouse!$V408</f>
        <v>62</v>
      </c>
      <c r="G19" s="279">
        <f>[23]Brewhouse!$AE408</f>
        <v>12</v>
      </c>
      <c r="H19" s="464">
        <v>12.1</v>
      </c>
      <c r="I19" s="420">
        <f>[23]Brewhouse!$AS408</f>
        <v>97.604360684392503</v>
      </c>
      <c r="J19" s="420">
        <f>[23]Brewhouse!$AT408</f>
        <v>99.267757635236066</v>
      </c>
      <c r="K19" s="281">
        <f>[23]Brewhouse!$Q408</f>
        <v>12.06730769230769</v>
      </c>
      <c r="L19" s="276">
        <f>[23]Brewhouse!$P408</f>
        <v>60</v>
      </c>
      <c r="M19" s="374">
        <f>[23]Brewhouse!$U408-[23]Brewhouse!$T408</f>
        <v>0.11388888888888893</v>
      </c>
      <c r="N19" s="370">
        <f>[23]Brewhouse!$AW408</f>
        <v>0.25069444444444444</v>
      </c>
      <c r="O19" s="421" t="str">
        <f>[23]Brewhouse!$AV408</f>
        <v>R. Regis</v>
      </c>
      <c r="P19" s="418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6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6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6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489" t="s">
        <v>35</v>
      </c>
      <c r="E25" s="490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77" t="str">
        <f>I26</f>
        <v>CARIB</v>
      </c>
      <c r="C26" s="362" cm="1">
        <f t="array" ref="C26:C33">[22]Process!$D$774:$D$781</f>
        <v>11.6</v>
      </c>
      <c r="D26" s="515">
        <v>11.86</v>
      </c>
      <c r="E26" s="516"/>
      <c r="F26" s="294"/>
      <c r="G26" s="294"/>
      <c r="H26" s="348"/>
      <c r="I26" s="29" t="s">
        <v>6</v>
      </c>
      <c r="J26" s="280">
        <f>AVERAGE(I10:I17)</f>
        <v>97.946349203763845</v>
      </c>
      <c r="K26" s="284">
        <f>COUNTA([22]Brewhouse!$A$823:$A$856)</f>
        <v>34</v>
      </c>
      <c r="L26" s="305">
        <f>AVERAGE([22]Brewhouse!$AU$823:$AU$856)</f>
        <v>97.562621986070624</v>
      </c>
      <c r="M26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$856)</f>
        <v>97.699833481686468</v>
      </c>
      <c r="N26" s="30">
        <v>98</v>
      </c>
      <c r="O26" s="11"/>
      <c r="P26" s="31"/>
      <c r="R26" s="277" t="str">
        <f t="shared" ref="R26:R37" si="9">B26</f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1:27" ht="15" customHeight="1">
      <c r="A27" s="28"/>
      <c r="B27" s="578"/>
      <c r="C27" s="362">
        <v>11.7</v>
      </c>
      <c r="D27" s="517"/>
      <c r="E27" s="518"/>
      <c r="F27" s="294"/>
      <c r="G27" s="294"/>
      <c r="H27" s="348"/>
      <c r="I27" s="33" t="s">
        <v>9</v>
      </c>
      <c r="J27" s="280">
        <f>I19</f>
        <v>97.604360684392503</v>
      </c>
      <c r="K27" s="284">
        <f>COUNTA([23]Brewhouse!$A$399:$A$408)</f>
        <v>10</v>
      </c>
      <c r="L27" s="302">
        <f>AVERAGE([23]Brewhouse!$AS$399:$AS$408)</f>
        <v>97.376409388697738</v>
      </c>
      <c r="M27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$408)</f>
        <v>97.980247763216056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78"/>
      <c r="C28" s="362">
        <v>11.8</v>
      </c>
      <c r="D28" s="515">
        <v>11.92</v>
      </c>
      <c r="E28" s="516"/>
      <c r="F28" s="294"/>
      <c r="G28" s="294"/>
      <c r="H28" s="348"/>
      <c r="I28" s="34" t="s">
        <v>12</v>
      </c>
      <c r="J28" s="280"/>
      <c r="K28" s="284"/>
      <c r="L28" s="302"/>
      <c r="M28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78"/>
      <c r="C29" s="362">
        <v>11.8</v>
      </c>
      <c r="D29" s="517"/>
      <c r="E29" s="51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78"/>
      <c r="C30" s="362">
        <v>12</v>
      </c>
      <c r="D30" s="515">
        <v>11.93</v>
      </c>
      <c r="E30" s="51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78"/>
      <c r="C31" s="362">
        <v>11.7</v>
      </c>
      <c r="D31" s="517"/>
      <c r="E31" s="518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78"/>
      <c r="C32" s="362">
        <v>11.7</v>
      </c>
      <c r="D32" s="515">
        <v>11.94</v>
      </c>
      <c r="E32" s="516"/>
      <c r="F32" s="417"/>
      <c r="G32" s="294"/>
      <c r="H32" s="348"/>
      <c r="I32" s="37" t="s">
        <v>16</v>
      </c>
      <c r="J32" s="323"/>
      <c r="K32" s="284"/>
      <c r="L32" s="302"/>
      <c r="M32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2" s="30">
        <v>98</v>
      </c>
      <c r="O32" s="11"/>
      <c r="P32" s="31" t="s">
        <v>41</v>
      </c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78"/>
      <c r="C33" s="362">
        <v>11.7</v>
      </c>
      <c r="D33" s="517"/>
      <c r="E33" s="518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78"/>
      <c r="C34" s="349"/>
      <c r="D34" s="515"/>
      <c r="E34" s="516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78"/>
      <c r="C35" s="349"/>
      <c r="D35" s="517"/>
      <c r="E35" s="518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78"/>
      <c r="C36" s="349"/>
      <c r="D36" s="515"/>
      <c r="E36" s="516"/>
      <c r="F36" s="294"/>
      <c r="G36" s="294"/>
      <c r="H36" s="348"/>
      <c r="I36" s="1"/>
      <c r="J36" s="39"/>
      <c r="K36" s="404">
        <f>SUM(K26:K35)</f>
        <v>44</v>
      </c>
      <c r="L36" s="405">
        <f>((L26*K26)+(L27*K27)+(L28*K28)+(L29*K29)+(L30*K30)+(K33*L33)+(L31*K31)+(L32*K32)+(L35*K35))/(K36)</f>
        <v>97.520300941213151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97.569980333803102</v>
      </c>
      <c r="N36" s="40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79"/>
      <c r="C37" s="350"/>
      <c r="D37" s="517"/>
      <c r="E37" s="51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62"/>
      <c r="C38" s="362"/>
      <c r="D38" s="528"/>
      <c r="E38" s="529"/>
      <c r="F38" s="294"/>
      <c r="G38" s="42"/>
      <c r="H38" s="41"/>
      <c r="I38" s="42"/>
      <c r="J38" s="563" t="s">
        <v>129</v>
      </c>
      <c r="K38" s="563"/>
      <c r="L38" s="294"/>
      <c r="M38" s="294"/>
      <c r="N38" s="294"/>
      <c r="O38" s="294"/>
      <c r="P38" s="12"/>
    </row>
    <row r="39" spans="1:56" ht="15.75" thickBot="1">
      <c r="B39" s="526"/>
      <c r="C39" s="362"/>
      <c r="D39" s="530"/>
      <c r="E39" s="518"/>
      <c r="F39" s="294"/>
      <c r="G39" s="42"/>
      <c r="H39" s="41"/>
      <c r="I39" s="42"/>
      <c r="J39" s="292" t="s">
        <v>17</v>
      </c>
      <c r="K39" s="293" t="s">
        <v>147</v>
      </c>
      <c r="L39" s="532" t="s">
        <v>136</v>
      </c>
      <c r="M39" s="532"/>
      <c r="N39" s="533"/>
      <c r="O39" s="294"/>
      <c r="P39" s="12"/>
    </row>
    <row r="40" spans="1:56" ht="15" customHeight="1" thickBot="1">
      <c r="B40" s="526"/>
      <c r="C40" s="349"/>
      <c r="D40" s="564"/>
      <c r="E40" s="565"/>
      <c r="F40" s="294"/>
      <c r="G40" s="42"/>
      <c r="H40" s="41"/>
      <c r="I40" s="42"/>
      <c r="J40" s="287" t="s">
        <v>6</v>
      </c>
      <c r="K40" s="324">
        <v>8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26"/>
      <c r="C41" s="349"/>
      <c r="D41" s="530"/>
      <c r="E41" s="518"/>
      <c r="F41" s="294"/>
      <c r="G41" s="42"/>
      <c r="H41" s="41"/>
      <c r="I41" s="42"/>
      <c r="J41" s="345" t="s">
        <v>9</v>
      </c>
      <c r="K41" s="324">
        <v>1</v>
      </c>
      <c r="L41" s="344">
        <f>AVERAGE('Oct. 1st'!K49,,'Oct. 2nd'!K51,'Oct. 3rd'!K46,'Oct. 6th'!K54,K50)</f>
        <v>7.333333333333333</v>
      </c>
      <c r="M41" s="325">
        <f>AVERAGE('[31]Jan 29th '!$M$70,'[32]Feb 28th'!$L$40,'[33]Mar. 31st'!$L$40,'[34]Apr. 30th'!$L$50,'[35]May 30th'!$L$42,'[36]June 30th'!$L$62,'[37]July 29th '!$L$49,'[38]Aug 29th'!$L$34,'[39]Sept 30th'!$L$40,L41)</f>
        <v>7.0394611109714074</v>
      </c>
      <c r="N41" s="416">
        <v>9.1999999999999993</v>
      </c>
      <c r="O41" s="294"/>
      <c r="P41" s="12"/>
    </row>
    <row r="42" spans="1:56" ht="15" customHeight="1">
      <c r="B42" s="526"/>
      <c r="C42" s="349"/>
      <c r="D42" s="564"/>
      <c r="E42" s="565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6"/>
      <c r="C43" s="349"/>
      <c r="D43" s="530"/>
      <c r="E43" s="518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30"/>
      <c r="E45" s="518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64"/>
      <c r="E46" s="565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6"/>
      <c r="C47" s="350"/>
      <c r="D47" s="566"/>
      <c r="E47" s="567"/>
      <c r="F47" s="294" t="s">
        <v>178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60">
        <f>AVERAGE(D26:E47)</f>
        <v>11.9125</v>
      </c>
      <c r="E48" s="561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0" t="s">
        <v>17</v>
      </c>
      <c r="C53" s="540" t="s">
        <v>44</v>
      </c>
      <c r="D53" s="542" t="s">
        <v>45</v>
      </c>
      <c r="E53" s="497" t="s">
        <v>46</v>
      </c>
      <c r="F53" s="557" t="s">
        <v>47</v>
      </c>
      <c r="G53" s="551" t="s">
        <v>48</v>
      </c>
      <c r="H53" s="540" t="s">
        <v>49</v>
      </c>
      <c r="I53" s="540" t="s">
        <v>50</v>
      </c>
      <c r="J53" s="545" t="s">
        <v>28</v>
      </c>
      <c r="K53" s="495" t="s">
        <v>51</v>
      </c>
      <c r="L53" s="507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1"/>
      <c r="C54" s="541"/>
      <c r="D54" s="543"/>
      <c r="E54" s="544"/>
      <c r="F54" s="558"/>
      <c r="G54" s="552"/>
      <c r="H54" s="559"/>
      <c r="I54" s="559"/>
      <c r="J54" s="546"/>
      <c r="K54" s="555"/>
      <c r="L54" s="556"/>
      <c r="M54" s="546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60" t="str">
        <f>J40</f>
        <v>CARIB</v>
      </c>
      <c r="C55" s="442">
        <v>45937</v>
      </c>
      <c r="D55" s="443">
        <f>[40]October_2025!$J$3</f>
        <v>400.50000000000006</v>
      </c>
      <c r="E55" s="444"/>
      <c r="F55" s="445"/>
      <c r="G55" s="445">
        <f>[40]October_2025!$J$7</f>
        <v>381.8</v>
      </c>
      <c r="H55" s="462"/>
      <c r="I55" s="462"/>
      <c r="J55" s="449" t="s">
        <v>163</v>
      </c>
      <c r="K55" s="450">
        <f>[41]October_2025!$J$18</f>
        <v>0.95450000000000002</v>
      </c>
      <c r="L55" s="455">
        <f>(((D55+E55)-G55)/(D55+E55))*100</f>
        <v>4.6691635455680514</v>
      </c>
      <c r="M55" s="457" t="s">
        <v>182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58"/>
      <c r="C56" s="431"/>
      <c r="D56" s="432"/>
      <c r="E56" s="433"/>
      <c r="F56" s="434"/>
      <c r="G56" s="435"/>
      <c r="H56" s="429"/>
      <c r="I56" s="429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60"/>
      <c r="C57" s="442"/>
      <c r="D57" s="443"/>
      <c r="E57" s="444"/>
      <c r="F57" s="445"/>
      <c r="G57" s="446"/>
      <c r="H57" s="462"/>
      <c r="I57" s="462"/>
      <c r="J57" s="449"/>
      <c r="K57" s="466"/>
      <c r="L57" s="461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4"/>
      <c r="C58" s="431"/>
      <c r="D58" s="432"/>
      <c r="E58" s="433"/>
      <c r="F58" s="434"/>
      <c r="G58" s="435"/>
      <c r="H58" s="436"/>
      <c r="I58" s="451"/>
      <c r="J58" s="452"/>
      <c r="K58" s="437" t="s">
        <v>41</v>
      </c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2"/>
      <c r="D59" s="443"/>
      <c r="E59" s="444"/>
      <c r="F59" s="445"/>
      <c r="G59" s="446"/>
      <c r="H59" s="447"/>
      <c r="I59" s="448"/>
      <c r="J59" s="449"/>
      <c r="K59" s="450"/>
      <c r="L59" s="455" t="e">
        <f>(((D59+E59)-G59)/(D59+E59))*100</f>
        <v>#DIV/0!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8"/>
      <c r="C60" s="424"/>
      <c r="D60" s="425"/>
      <c r="E60" s="426"/>
      <c r="F60" s="427"/>
      <c r="G60" s="428"/>
      <c r="H60" s="429"/>
      <c r="I60" s="439"/>
      <c r="J60" s="440"/>
      <c r="K60" s="430"/>
      <c r="L60" s="441"/>
      <c r="M60" s="42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>
        <f>L55</f>
        <v>4.6691635455680514</v>
      </c>
      <c r="D64" s="76">
        <v>5.4280582718020227</v>
      </c>
      <c r="E64" s="76">
        <v>6.3177809295166583</v>
      </c>
      <c r="F64" s="66">
        <v>4.8</v>
      </c>
      <c r="G64" s="65">
        <f>[40]October_2025!$J$11</f>
        <v>3.3494369822737955</v>
      </c>
      <c r="H64" s="76">
        <v>4.2640627945127214</v>
      </c>
      <c r="I64" s="76">
        <v>6.1869451198886729</v>
      </c>
      <c r="J64" s="66">
        <v>4.8</v>
      </c>
      <c r="K64" s="67">
        <f>K55</f>
        <v>0.95450000000000002</v>
      </c>
      <c r="L64" s="194">
        <v>0.65879609414011675</v>
      </c>
      <c r="M64" s="194">
        <v>0.76418505858469299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4.9899914212181837</v>
      </c>
      <c r="E65" s="76">
        <v>5.8986910363327869</v>
      </c>
      <c r="F65" s="66">
        <v>4.8</v>
      </c>
      <c r="G65" s="65"/>
      <c r="H65" s="76">
        <v>4.1514556010038586</v>
      </c>
      <c r="I65" s="76">
        <v>5.5953405903132074</v>
      </c>
      <c r="J65" s="66">
        <v>4.8</v>
      </c>
      <c r="K65" s="67"/>
      <c r="L65" s="194">
        <v>0.76762435317700806</v>
      </c>
      <c r="M65" s="194">
        <v>0.71798543638636902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11.810347142051688</v>
      </c>
      <c r="F66" s="66">
        <v>5.5</v>
      </c>
      <c r="G66" s="65"/>
      <c r="H66" s="76"/>
      <c r="I66" s="76">
        <v>12.740878252198055</v>
      </c>
      <c r="J66" s="66">
        <v>5.5</v>
      </c>
      <c r="K66" s="67"/>
      <c r="L66" s="194"/>
      <c r="M66" s="194">
        <v>0.53494558457711439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5.119233255999676</v>
      </c>
      <c r="F67" s="66">
        <v>3.3</v>
      </c>
      <c r="G67" s="65"/>
      <c r="H67" s="76"/>
      <c r="I67" s="76">
        <v>4.4772094679692334</v>
      </c>
      <c r="J67" s="66">
        <v>3.3</v>
      </c>
      <c r="K67" s="67"/>
      <c r="L67" s="194"/>
      <c r="M67" s="194">
        <v>0.80025950292397652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7.3129862357869699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2.0782986950217497</v>
      </c>
      <c r="E70" s="76">
        <v>2.8629317642487306</v>
      </c>
      <c r="F70" s="66">
        <v>3.3</v>
      </c>
      <c r="G70" s="282"/>
      <c r="H70" s="76">
        <v>3.4559849687930924</v>
      </c>
      <c r="I70" s="76">
        <v>4.3478819741669881</v>
      </c>
      <c r="J70" s="66">
        <v>3.3</v>
      </c>
      <c r="K70" s="67"/>
      <c r="L70" s="194">
        <v>0.88859649122807016</v>
      </c>
      <c r="M70" s="194">
        <v>0.85935680751173715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4.5090925479414894</v>
      </c>
      <c r="E73" s="76">
        <v>6.3239263871116034</v>
      </c>
      <c r="F73" s="341">
        <v>5.5</v>
      </c>
      <c r="H73" s="76">
        <v>3.9662444078043819</v>
      </c>
      <c r="I73" s="76">
        <v>6.4829883679855111</v>
      </c>
      <c r="J73" s="341">
        <v>5.5</v>
      </c>
      <c r="L73" s="194">
        <v>0.72049315068493158</v>
      </c>
      <c r="M73" s="194">
        <v>0.73105689780491356</v>
      </c>
      <c r="N73" s="386">
        <v>1</v>
      </c>
    </row>
    <row r="77" spans="2:16">
      <c r="F77" s="315"/>
    </row>
    <row r="78" spans="2:16" ht="15">
      <c r="F78" s="341"/>
    </row>
  </sheetData>
  <mergeCells count="51"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3022" priority="136" operator="notBetween">
      <formula>#REF!</formula>
      <formula>#REF!</formula>
    </cfRule>
  </conditionalFormatting>
  <conditionalFormatting sqref="C52">
    <cfRule type="cellIs" dxfId="3021" priority="167" stopIfTrue="1" operator="lessThan">
      <formula>96</formula>
    </cfRule>
    <cfRule type="cellIs" dxfId="3020" priority="168" stopIfTrue="1" operator="greaterThan">
      <formula>100</formula>
    </cfRule>
  </conditionalFormatting>
  <conditionalFormatting sqref="C64:C68">
    <cfRule type="cellIs" dxfId="3019" priority="117" stopIfTrue="1" operator="lessThanOrEqual">
      <formula>0</formula>
    </cfRule>
  </conditionalFormatting>
  <conditionalFormatting sqref="C64:C72">
    <cfRule type="cellIs" dxfId="3018" priority="116" stopIfTrue="1" operator="greaterThan">
      <formula>$F64</formula>
    </cfRule>
  </conditionalFormatting>
  <conditionalFormatting sqref="C65">
    <cfRule type="cellIs" dxfId="3017" priority="171" stopIfTrue="1" operator="greaterThan">
      <formula>$F64</formula>
    </cfRule>
  </conditionalFormatting>
  <conditionalFormatting sqref="C69">
    <cfRule type="cellIs" dxfId="3016" priority="55" stopIfTrue="1" operator="greaterThan">
      <formula>$F68</formula>
    </cfRule>
    <cfRule type="cellIs" dxfId="3015" priority="54" stopIfTrue="1" operator="lessThanOrEqual">
      <formula>0</formula>
    </cfRule>
  </conditionalFormatting>
  <conditionalFormatting sqref="C75:C79">
    <cfRule type="cellIs" dxfId="3014" priority="159" stopIfTrue="1" operator="lessThanOrEqual">
      <formula>0</formula>
    </cfRule>
  </conditionalFormatting>
  <conditionalFormatting sqref="C76:C79">
    <cfRule type="cellIs" dxfId="3013" priority="158" stopIfTrue="1" operator="greaterThan">
      <formula>$F$75</formula>
    </cfRule>
  </conditionalFormatting>
  <conditionalFormatting sqref="C81">
    <cfRule type="cellIs" dxfId="3012" priority="161" stopIfTrue="1" operator="lessThanOrEqual">
      <formula>0</formula>
    </cfRule>
    <cfRule type="cellIs" dxfId="3011" priority="160" stopIfTrue="1" operator="greaterThan">
      <formula>$F$75</formula>
    </cfRule>
  </conditionalFormatting>
  <conditionalFormatting sqref="C75:D75 D77:D83">
    <cfRule type="cellIs" dxfId="3010" priority="153" stopIfTrue="1" operator="greaterThan">
      <formula>4.5</formula>
    </cfRule>
  </conditionalFormatting>
  <conditionalFormatting sqref="D48:D49">
    <cfRule type="cellIs" dxfId="3009" priority="137" operator="notBetween">
      <formula>#REF!</formula>
      <formula>#REF!</formula>
    </cfRule>
  </conditionalFormatting>
  <conditionalFormatting sqref="D64:D71">
    <cfRule type="cellIs" dxfId="3008" priority="131" stopIfTrue="1" operator="lessThanOrEqual">
      <formula>0</formula>
    </cfRule>
  </conditionalFormatting>
  <conditionalFormatting sqref="D72">
    <cfRule type="cellIs" dxfId="3007" priority="130" stopIfTrue="1" operator="lessThanOrEqual">
      <formula>0</formula>
    </cfRule>
  </conditionalFormatting>
  <conditionalFormatting sqref="D75 D77:D83">
    <cfRule type="cellIs" dxfId="3006" priority="154" stopIfTrue="1" operator="lessThanOrEqual">
      <formula>0</formula>
    </cfRule>
  </conditionalFormatting>
  <conditionalFormatting sqref="D76">
    <cfRule type="cellIs" dxfId="3005" priority="146" stopIfTrue="1" operator="lessThanOrEqual">
      <formula>0</formula>
    </cfRule>
    <cfRule type="cellIs" dxfId="3004" priority="145" stopIfTrue="1" operator="greaterThan">
      <formula>$F$75</formula>
    </cfRule>
  </conditionalFormatting>
  <conditionalFormatting sqref="D64:E73">
    <cfRule type="cellIs" dxfId="3003" priority="114" stopIfTrue="1" operator="greaterThan">
      <formula>$F64</formula>
    </cfRule>
  </conditionalFormatting>
  <conditionalFormatting sqref="D73:E73">
    <cfRule type="cellIs" dxfId="3002" priority="115" stopIfTrue="1" operator="lessThanOrEqual">
      <formula>0</formula>
    </cfRule>
  </conditionalFormatting>
  <conditionalFormatting sqref="E10:E23">
    <cfRule type="cellIs" dxfId="3001" priority="5" operator="lessThan">
      <formula>48</formula>
    </cfRule>
  </conditionalFormatting>
  <conditionalFormatting sqref="E51 E52:F52">
    <cfRule type="cellIs" dxfId="3000" priority="150" stopIfTrue="1" operator="greaterThan">
      <formula>100</formula>
    </cfRule>
  </conditionalFormatting>
  <conditionalFormatting sqref="E52">
    <cfRule type="cellIs" dxfId="2999" priority="147" stopIfTrue="1" operator="lessThan">
      <formula>96.8</formula>
    </cfRule>
    <cfRule type="cellIs" dxfId="2998" priority="148" stopIfTrue="1" operator="greaterThan">
      <formula>100</formula>
    </cfRule>
  </conditionalFormatting>
  <conditionalFormatting sqref="E64:E72">
    <cfRule type="cellIs" dxfId="2997" priority="125" stopIfTrue="1" operator="lessThanOrEqual">
      <formula>0</formula>
    </cfRule>
  </conditionalFormatting>
  <conditionalFormatting sqref="E75:E83">
    <cfRule type="cellIs" dxfId="2996" priority="140" stopIfTrue="1" operator="lessThanOrEqual">
      <formula>0</formula>
    </cfRule>
    <cfRule type="cellIs" dxfId="2995" priority="139" stopIfTrue="1" operator="greaterThan">
      <formula>4.5</formula>
    </cfRule>
  </conditionalFormatting>
  <conditionalFormatting sqref="E52:F52 E51">
    <cfRule type="cellIs" dxfId="2994" priority="149" stopIfTrue="1" operator="lessThan">
      <formula>96.5</formula>
    </cfRule>
  </conditionalFormatting>
  <conditionalFormatting sqref="F10:F23">
    <cfRule type="cellIs" dxfId="2993" priority="6" operator="greaterThan">
      <formula>60</formula>
    </cfRule>
  </conditionalFormatting>
  <conditionalFormatting sqref="F52">
    <cfRule type="cellIs" dxfId="2992" priority="165" stopIfTrue="1" operator="lessThan">
      <formula>96.8</formula>
    </cfRule>
    <cfRule type="cellIs" dxfId="2991" priority="166" stopIfTrue="1" operator="greaterThan">
      <formula>100</formula>
    </cfRule>
  </conditionalFormatting>
  <conditionalFormatting sqref="F73">
    <cfRule type="cellIs" dxfId="2990" priority="127" stopIfTrue="1" operator="lessThanOrEqual">
      <formula>0</formula>
    </cfRule>
    <cfRule type="cellIs" dxfId="2989" priority="126" stopIfTrue="1" operator="greaterThan">
      <formula>$F73</formula>
    </cfRule>
  </conditionalFormatting>
  <conditionalFormatting sqref="F78">
    <cfRule type="cellIs" dxfId="2988" priority="85" stopIfTrue="1" operator="lessThanOrEqual">
      <formula>0</formula>
    </cfRule>
    <cfRule type="cellIs" dxfId="2987" priority="84" stopIfTrue="1" operator="greaterThan">
      <formula>$F78</formula>
    </cfRule>
  </conditionalFormatting>
  <conditionalFormatting sqref="G10:G18">
    <cfRule type="expression" dxfId="2986" priority="38">
      <formula>IF(+(IF(G10&lt;S10,0,IF(G10&gt;T10,0,1)))=0,1)</formula>
    </cfRule>
  </conditionalFormatting>
  <conditionalFormatting sqref="G64:G65 C70:C72">
    <cfRule type="cellIs" dxfId="2985" priority="133" stopIfTrue="1" operator="lessThanOrEqual">
      <formula>0</formula>
    </cfRule>
  </conditionalFormatting>
  <conditionalFormatting sqref="G64:G65">
    <cfRule type="cellIs" dxfId="2984" priority="118" stopIfTrue="1" operator="greaterThan">
      <formula>$F64</formula>
    </cfRule>
    <cfRule type="cellIs" dxfId="2983" priority="119" stopIfTrue="1" operator="lessThanOrEqual">
      <formula>0</formula>
    </cfRule>
    <cfRule type="cellIs" dxfId="2982" priority="132" stopIfTrue="1" operator="greaterThan">
      <formula>$F64</formula>
    </cfRule>
  </conditionalFormatting>
  <conditionalFormatting sqref="G66">
    <cfRule type="cellIs" dxfId="2981" priority="169" stopIfTrue="1" operator="greaterThan">
      <formula>$F65</formula>
    </cfRule>
    <cfRule type="cellIs" dxfId="2980" priority="170" stopIfTrue="1" operator="lessThanOrEqual">
      <formula>0</formula>
    </cfRule>
  </conditionalFormatting>
  <conditionalFormatting sqref="G67">
    <cfRule type="cellIs" dxfId="2979" priority="129" stopIfTrue="1" operator="lessThanOrEqual">
      <formula>0</formula>
    </cfRule>
    <cfRule type="cellIs" dxfId="2978" priority="128" stopIfTrue="1" operator="greaterThan">
      <formula>$F67</formula>
    </cfRule>
  </conditionalFormatting>
  <conditionalFormatting sqref="G68:G72">
    <cfRule type="cellIs" dxfId="2977" priority="134" stopIfTrue="1" operator="greaterThan">
      <formula>$J68</formula>
    </cfRule>
    <cfRule type="cellIs" dxfId="2976" priority="135" stopIfTrue="1" operator="lessThanOrEqual">
      <formula>0</formula>
    </cfRule>
  </conditionalFormatting>
  <conditionalFormatting sqref="G77:G82 C80 C82">
    <cfRule type="cellIs" dxfId="2975" priority="163" stopIfTrue="1" operator="lessThanOrEqual">
      <formula>0</formula>
    </cfRule>
    <cfRule type="cellIs" dxfId="2974" priority="162" stopIfTrue="1" operator="greaterThan">
      <formula>4.5</formula>
    </cfRule>
  </conditionalFormatting>
  <conditionalFormatting sqref="G76:H76">
    <cfRule type="cellIs" dxfId="2973" priority="143" stopIfTrue="1" operator="greaterThan">
      <formula>$F$75</formula>
    </cfRule>
    <cfRule type="cellIs" dxfId="2972" priority="144" stopIfTrue="1" operator="lessThanOrEqual">
      <formula>0</formula>
    </cfRule>
  </conditionalFormatting>
  <conditionalFormatting sqref="H10:H18">
    <cfRule type="expression" dxfId="2971" priority="51">
      <formula>IF(+(IF(H10&lt;#REF!,0,IF(H10&gt;#REF!,0,1)))=0,1)</formula>
    </cfRule>
  </conditionalFormatting>
  <conditionalFormatting sqref="H37:H51">
    <cfRule type="cellIs" dxfId="2970" priority="141" stopIfTrue="1" operator="greaterThan">
      <formula>0</formula>
    </cfRule>
  </conditionalFormatting>
  <conditionalFormatting sqref="H55">
    <cfRule type="cellIs" dxfId="2969" priority="12" stopIfTrue="1" operator="greaterThan">
      <formula>$F$65</formula>
    </cfRule>
    <cfRule type="cellIs" dxfId="2968" priority="21" stopIfTrue="1" operator="lessThanOrEqual">
      <formula>0</formula>
    </cfRule>
    <cfRule type="cellIs" dxfId="2967" priority="11" stopIfTrue="1" operator="lessThanOrEqual">
      <formula>0</formula>
    </cfRule>
    <cfRule type="cellIs" dxfId="2966" priority="20" stopIfTrue="1" operator="greaterThan">
      <formula>$F$68</formula>
    </cfRule>
    <cfRule type="cellIs" dxfId="2965" priority="22" stopIfTrue="1" operator="greaterThan">
      <formula>$F$66</formula>
    </cfRule>
    <cfRule type="cellIs" dxfId="2964" priority="23" stopIfTrue="1" operator="lessThanOrEqual">
      <formula>0</formula>
    </cfRule>
  </conditionalFormatting>
  <conditionalFormatting sqref="H56">
    <cfRule type="cellIs" dxfId="2963" priority="82" stopIfTrue="1" operator="greaterThan">
      <formula>#REF!</formula>
    </cfRule>
    <cfRule type="cellIs" dxfId="2962" priority="83" stopIfTrue="1" operator="lessThanOrEqual">
      <formula>0</formula>
    </cfRule>
    <cfRule type="cellIs" dxfId="2961" priority="71" stopIfTrue="1" operator="lessThanOrEqual">
      <formula>0</formula>
    </cfRule>
    <cfRule type="cellIs" dxfId="2960" priority="72" stopIfTrue="1" operator="greaterThan">
      <formula>#REF!</formula>
    </cfRule>
    <cfRule type="cellIs" dxfId="2959" priority="80" stopIfTrue="1" operator="greaterThan">
      <formula>$F$24</formula>
    </cfRule>
    <cfRule type="cellIs" dxfId="2958" priority="81" stopIfTrue="1" operator="lessThanOrEqual">
      <formula>0</formula>
    </cfRule>
  </conditionalFormatting>
  <conditionalFormatting sqref="H57">
    <cfRule type="cellIs" dxfId="2957" priority="26" stopIfTrue="1" operator="greaterThan">
      <formula>$F$65</formula>
    </cfRule>
    <cfRule type="cellIs" dxfId="2956" priority="25" stopIfTrue="1" operator="lessThanOrEqual">
      <formula>0</formula>
    </cfRule>
    <cfRule type="cellIs" dxfId="2955" priority="36" stopIfTrue="1" operator="greaterThan">
      <formula>$F$66</formula>
    </cfRule>
    <cfRule type="cellIs" dxfId="2954" priority="35" stopIfTrue="1" operator="lessThanOrEqual">
      <formula>0</formula>
    </cfRule>
    <cfRule type="cellIs" dxfId="2953" priority="34" stopIfTrue="1" operator="greaterThan">
      <formula>$F$68</formula>
    </cfRule>
    <cfRule type="cellIs" dxfId="2952" priority="37" stopIfTrue="1" operator="lessThanOrEqual">
      <formula>0</formula>
    </cfRule>
  </conditionalFormatting>
  <conditionalFormatting sqref="H58:H59">
    <cfRule type="cellIs" dxfId="2951" priority="68" stopIfTrue="1" operator="greaterThan">
      <formula>#REF!</formula>
    </cfRule>
    <cfRule type="cellIs" dxfId="2950" priority="69" stopIfTrue="1" operator="lessThanOrEqual">
      <formula>0</formula>
    </cfRule>
    <cfRule type="cellIs" dxfId="2949" priority="57" stopIfTrue="1" operator="lessThanOrEqual">
      <formula>0</formula>
    </cfRule>
    <cfRule type="cellIs" dxfId="2948" priority="58" stopIfTrue="1" operator="greaterThan">
      <formula>#REF!</formula>
    </cfRule>
    <cfRule type="cellIs" dxfId="2947" priority="66" stopIfTrue="1" operator="greaterThan">
      <formula>$F$23</formula>
    </cfRule>
    <cfRule type="cellIs" dxfId="2946" priority="67" stopIfTrue="1" operator="lessThanOrEqual">
      <formula>0</formula>
    </cfRule>
  </conditionalFormatting>
  <conditionalFormatting sqref="H60">
    <cfRule type="cellIs" dxfId="2945" priority="100" stopIfTrue="1" operator="lessThanOrEqual">
      <formula>0</formula>
    </cfRule>
    <cfRule type="cellIs" dxfId="2944" priority="99" stopIfTrue="1" operator="greaterThan">
      <formula>$F$37</formula>
    </cfRule>
    <cfRule type="cellIs" dxfId="2943" priority="89" stopIfTrue="1" operator="greaterThan">
      <formula>$F$36</formula>
    </cfRule>
    <cfRule type="cellIs" dxfId="2942" priority="88" stopIfTrue="1" operator="lessThanOrEqual">
      <formula>0</formula>
    </cfRule>
    <cfRule type="cellIs" dxfId="2941" priority="97" stopIfTrue="1" operator="greaterThan">
      <formula>$F$39</formula>
    </cfRule>
    <cfRule type="cellIs" dxfId="2940" priority="98" stopIfTrue="1" operator="lessThanOrEqual">
      <formula>0</formula>
    </cfRule>
  </conditionalFormatting>
  <conditionalFormatting sqref="H64:H71">
    <cfRule type="cellIs" dxfId="2939" priority="120" stopIfTrue="1" operator="greaterThan">
      <formula>$J64</formula>
    </cfRule>
    <cfRule type="cellIs" dxfId="2938" priority="121" stopIfTrue="1" operator="lessThanOrEqual">
      <formula>0</formula>
    </cfRule>
  </conditionalFormatting>
  <conditionalFormatting sqref="H72">
    <cfRule type="cellIs" dxfId="2937" priority="122" operator="greaterThan">
      <formula>5.3</formula>
    </cfRule>
  </conditionalFormatting>
  <conditionalFormatting sqref="H75 H77:H83">
    <cfRule type="cellIs" dxfId="2936" priority="156" stopIfTrue="1" operator="lessThanOrEqual">
      <formula>0</formula>
    </cfRule>
    <cfRule type="cellIs" dxfId="2935" priority="155" stopIfTrue="1" operator="greaterThan">
      <formula>4.5</formula>
    </cfRule>
  </conditionalFormatting>
  <conditionalFormatting sqref="H55:I55">
    <cfRule type="cellIs" dxfId="2934" priority="10" stopIfTrue="1" operator="greaterThan">
      <formula>$F$67</formula>
    </cfRule>
    <cfRule type="cellIs" dxfId="2933" priority="13" stopIfTrue="1" operator="lessThanOrEqual">
      <formula>0</formula>
    </cfRule>
  </conditionalFormatting>
  <conditionalFormatting sqref="H56:I56">
    <cfRule type="cellIs" dxfId="2932" priority="70" stopIfTrue="1" operator="greaterThan">
      <formula>$F$23</formula>
    </cfRule>
    <cfRule type="cellIs" dxfId="2931" priority="73" stopIfTrue="1" operator="lessThanOrEqual">
      <formula>0</formula>
    </cfRule>
  </conditionalFormatting>
  <conditionalFormatting sqref="H57:I57">
    <cfRule type="cellIs" dxfId="2930" priority="24" stopIfTrue="1" operator="greaterThan">
      <formula>$F$67</formula>
    </cfRule>
    <cfRule type="cellIs" dxfId="2929" priority="27" stopIfTrue="1" operator="lessThanOrEqual">
      <formula>0</formula>
    </cfRule>
  </conditionalFormatting>
  <conditionalFormatting sqref="H58:I59">
    <cfRule type="cellIs" dxfId="2928" priority="59" stopIfTrue="1" operator="lessThanOrEqual">
      <formula>0</formula>
    </cfRule>
    <cfRule type="cellIs" dxfId="2927" priority="56" stopIfTrue="1" operator="greaterThan">
      <formula>#REF!</formula>
    </cfRule>
  </conditionalFormatting>
  <conditionalFormatting sqref="H60:I60">
    <cfRule type="cellIs" dxfId="2926" priority="90" stopIfTrue="1" operator="lessThanOrEqual">
      <formula>0</formula>
    </cfRule>
    <cfRule type="cellIs" dxfId="2925" priority="87" stopIfTrue="1" operator="greaterThan">
      <formula>$F$38</formula>
    </cfRule>
  </conditionalFormatting>
  <conditionalFormatting sqref="H73:I73">
    <cfRule type="cellIs" dxfId="2924" priority="112" stopIfTrue="1" operator="greaterThan">
      <formula>$J73</formula>
    </cfRule>
    <cfRule type="cellIs" dxfId="2923" priority="113" stopIfTrue="1" operator="lessThanOrEqual">
      <formula>0</formula>
    </cfRule>
  </conditionalFormatting>
  <conditionalFormatting sqref="I55">
    <cfRule type="cellIs" dxfId="2922" priority="18" stopIfTrue="1" operator="greaterThan">
      <formula>$F$65</formula>
    </cfRule>
    <cfRule type="cellIs" dxfId="2921" priority="16" stopIfTrue="1" operator="greaterThan">
      <formula>$F$67</formula>
    </cfRule>
    <cfRule type="cellIs" dxfId="2920" priority="15" stopIfTrue="1" operator="lessThanOrEqual">
      <formula>0</formula>
    </cfRule>
    <cfRule type="cellIs" dxfId="2919" priority="14" stopIfTrue="1" operator="greaterThan">
      <formula>$F$65</formula>
    </cfRule>
    <cfRule type="cellIs" dxfId="2918" priority="19" stopIfTrue="1" operator="lessThanOrEqual">
      <formula>0</formula>
    </cfRule>
    <cfRule type="cellIs" dxfId="2917" priority="17" stopIfTrue="1" operator="lessThanOrEqual">
      <formula>0</formula>
    </cfRule>
  </conditionalFormatting>
  <conditionalFormatting sqref="I56">
    <cfRule type="cellIs" dxfId="2916" priority="76" stopIfTrue="1" operator="greaterThan">
      <formula>$F$23</formula>
    </cfRule>
    <cfRule type="cellIs" dxfId="2915" priority="77" stopIfTrue="1" operator="lessThanOrEqual">
      <formula>0</formula>
    </cfRule>
    <cfRule type="cellIs" dxfId="2914" priority="78" stopIfTrue="1" operator="greaterThan">
      <formula>#REF!</formula>
    </cfRule>
    <cfRule type="cellIs" dxfId="2913" priority="79" stopIfTrue="1" operator="lessThanOrEqual">
      <formula>0</formula>
    </cfRule>
    <cfRule type="cellIs" dxfId="2912" priority="74" stopIfTrue="1" operator="greaterThan">
      <formula>#REF!</formula>
    </cfRule>
    <cfRule type="cellIs" dxfId="2911" priority="75" stopIfTrue="1" operator="lessThanOrEqual">
      <formula>0</formula>
    </cfRule>
  </conditionalFormatting>
  <conditionalFormatting sqref="I57">
    <cfRule type="cellIs" dxfId="2910" priority="33" stopIfTrue="1" operator="lessThanOrEqual">
      <formula>0</formula>
    </cfRule>
    <cfRule type="cellIs" dxfId="2909" priority="32" stopIfTrue="1" operator="greaterThan">
      <formula>$F$65</formula>
    </cfRule>
    <cfRule type="cellIs" dxfId="2908" priority="31" stopIfTrue="1" operator="lessThanOrEqual">
      <formula>0</formula>
    </cfRule>
    <cfRule type="cellIs" dxfId="2907" priority="30" stopIfTrue="1" operator="greaterThan">
      <formula>$F$67</formula>
    </cfRule>
    <cfRule type="cellIs" dxfId="2906" priority="29" stopIfTrue="1" operator="lessThanOrEqual">
      <formula>0</formula>
    </cfRule>
    <cfRule type="cellIs" dxfId="2905" priority="28" stopIfTrue="1" operator="greaterThan">
      <formula>$F$65</formula>
    </cfRule>
  </conditionalFormatting>
  <conditionalFormatting sqref="I58:I59">
    <cfRule type="cellIs" dxfId="2904" priority="65" stopIfTrue="1" operator="lessThanOrEqual">
      <formula>0</formula>
    </cfRule>
    <cfRule type="cellIs" dxfId="2903" priority="64" stopIfTrue="1" operator="greaterThan">
      <formula>#REF!</formula>
    </cfRule>
    <cfRule type="cellIs" dxfId="2902" priority="63" stopIfTrue="1" operator="lessThanOrEqual">
      <formula>0</formula>
    </cfRule>
    <cfRule type="cellIs" dxfId="2901" priority="62" stopIfTrue="1" operator="greaterThan">
      <formula>#REF!</formula>
    </cfRule>
    <cfRule type="cellIs" dxfId="2900" priority="61" stopIfTrue="1" operator="lessThanOrEqual">
      <formula>0</formula>
    </cfRule>
    <cfRule type="cellIs" dxfId="2899" priority="60" stopIfTrue="1" operator="greaterThan">
      <formula>#REF!</formula>
    </cfRule>
  </conditionalFormatting>
  <conditionalFormatting sqref="I60">
    <cfRule type="cellIs" dxfId="2898" priority="93" stopIfTrue="1" operator="greaterThan">
      <formula>$F$38</formula>
    </cfRule>
    <cfRule type="cellIs" dxfId="2897" priority="92" stopIfTrue="1" operator="lessThanOrEqual">
      <formula>0</formula>
    </cfRule>
    <cfRule type="cellIs" dxfId="2896" priority="94" stopIfTrue="1" operator="lessThanOrEqual">
      <formula>0</formula>
    </cfRule>
    <cfRule type="cellIs" dxfId="2895" priority="95" stopIfTrue="1" operator="greaterThan">
      <formula>$F$36</formula>
    </cfRule>
    <cfRule type="cellIs" dxfId="2894" priority="96" stopIfTrue="1" operator="lessThanOrEqual">
      <formula>0</formula>
    </cfRule>
    <cfRule type="cellIs" dxfId="2893" priority="91" stopIfTrue="1" operator="greaterThan">
      <formula>$F$36</formula>
    </cfRule>
  </conditionalFormatting>
  <conditionalFormatting sqref="I64:I72">
    <cfRule type="cellIs" dxfId="2892" priority="123" stopIfTrue="1" operator="greaterThan">
      <formula>$J64</formula>
    </cfRule>
    <cfRule type="cellIs" dxfId="2891" priority="124" stopIfTrue="1" operator="lessThanOrEqual">
      <formula>0</formula>
    </cfRule>
  </conditionalFormatting>
  <conditionalFormatting sqref="I75:I83">
    <cfRule type="cellIs" dxfId="2890" priority="151" stopIfTrue="1" operator="greaterThan">
      <formula>4.5</formula>
    </cfRule>
    <cfRule type="cellIs" dxfId="2889" priority="152" stopIfTrue="1" operator="lessThanOrEqual">
      <formula>0</formula>
    </cfRule>
  </conditionalFormatting>
  <conditionalFormatting sqref="I10:J23">
    <cfRule type="cellIs" dxfId="2888" priority="1" operator="lessThan">
      <formula>97.9</formula>
    </cfRule>
  </conditionalFormatting>
  <conditionalFormatting sqref="J26:J28">
    <cfRule type="cellIs" dxfId="2887" priority="102" stopIfTrue="1" operator="lessThan">
      <formula>96.8</formula>
    </cfRule>
    <cfRule type="cellIs" dxfId="2886" priority="103" stopIfTrue="1" operator="greaterThan">
      <formula>100</formula>
    </cfRule>
    <cfRule type="cellIs" dxfId="2885" priority="104" operator="lessThan">
      <formula>98</formula>
    </cfRule>
  </conditionalFormatting>
  <conditionalFormatting sqref="J26:J30">
    <cfRule type="cellIs" dxfId="2884" priority="101" operator="lessThan">
      <formula>97.4</formula>
    </cfRule>
  </conditionalFormatting>
  <conditionalFormatting sqref="J31">
    <cfRule type="cellIs" dxfId="2883" priority="105" operator="lessThan">
      <formula>98</formula>
    </cfRule>
  </conditionalFormatting>
  <conditionalFormatting sqref="J33:J34">
    <cfRule type="cellIs" dxfId="2882" priority="106" stopIfTrue="1" operator="lessThan">
      <formula>96.8</formula>
    </cfRule>
    <cfRule type="cellIs" dxfId="2881" priority="107" stopIfTrue="1" operator="greaterThan">
      <formula>100</formula>
    </cfRule>
  </conditionalFormatting>
  <conditionalFormatting sqref="J33:J35">
    <cfRule type="cellIs" dxfId="2880" priority="108" operator="lessThan">
      <formula>98</formula>
    </cfRule>
  </conditionalFormatting>
  <conditionalFormatting sqref="J73">
    <cfRule type="cellIs" dxfId="2879" priority="109" stopIfTrue="1" operator="greaterThan">
      <formula>$F73</formula>
    </cfRule>
    <cfRule type="cellIs" dxfId="2878" priority="110" stopIfTrue="1" operator="lessThanOrEqual">
      <formula>0</formula>
    </cfRule>
  </conditionalFormatting>
  <conditionalFormatting sqref="K10:K23">
    <cfRule type="cellIs" dxfId="2877" priority="4" operator="greaterThan">
      <formula>6.4</formula>
    </cfRule>
    <cfRule type="cellIs" dxfId="2876" priority="3" operator="lessThan">
      <formula>4</formula>
    </cfRule>
    <cfRule type="cellIs" dxfId="2875" priority="2" operator="greaterThan">
      <formula>6</formula>
    </cfRule>
  </conditionalFormatting>
  <conditionalFormatting sqref="K55:K60 K64:N70 K71 M71:N71 K72:N72">
    <cfRule type="cellIs" dxfId="2874" priority="86" stopIfTrue="1" operator="lessThan">
      <formula>100%</formula>
    </cfRule>
  </conditionalFormatting>
  <conditionalFormatting sqref="K75:K80">
    <cfRule type="cellIs" dxfId="2873" priority="157" stopIfTrue="1" operator="lessThan">
      <formula>100%</formula>
    </cfRule>
  </conditionalFormatting>
  <conditionalFormatting sqref="K82:K83">
    <cfRule type="cellIs" dxfId="2872" priority="164" stopIfTrue="1" operator="lessThan">
      <formula>100%</formula>
    </cfRule>
  </conditionalFormatting>
  <conditionalFormatting sqref="L10:L17 L23">
    <cfRule type="cellIs" dxfId="2871" priority="49" operator="greaterThan">
      <formula>65</formula>
    </cfRule>
    <cfRule type="cellIs" dxfId="2870" priority="48" operator="between">
      <formula>61</formula>
      <formula>65</formula>
    </cfRule>
  </conditionalFormatting>
  <conditionalFormatting sqref="L18:M22">
    <cfRule type="cellIs" dxfId="2869" priority="8" operator="greaterThan">
      <formula>65</formula>
    </cfRule>
    <cfRule type="cellIs" dxfId="2868" priority="7" operator="between">
      <formula>61</formula>
      <formula>65</formula>
    </cfRule>
  </conditionalFormatting>
  <conditionalFormatting sqref="L26:M37">
    <cfRule type="cellIs" dxfId="2867" priority="52" operator="lessThan">
      <formula>97.95</formula>
    </cfRule>
  </conditionalFormatting>
  <conditionalFormatting sqref="L41:N41">
    <cfRule type="cellIs" dxfId="2866" priority="53" operator="notEqual">
      <formula>#REF!</formula>
    </cfRule>
  </conditionalFormatting>
  <conditionalFormatting sqref="L73:N73">
    <cfRule type="cellIs" dxfId="2865" priority="111" stopIfTrue="1" operator="lessThan">
      <formula>100%</formula>
    </cfRule>
  </conditionalFormatting>
  <conditionalFormatting sqref="L75:N83">
    <cfRule type="cellIs" dxfId="2864" priority="142" stopIfTrue="1" operator="lessThan">
      <formula>100%</formula>
    </cfRule>
  </conditionalFormatting>
  <conditionalFormatting sqref="M22 M10:M17">
    <cfRule type="expression" dxfId="2863" priority="50">
      <formula>IF(+(IF(M10&lt;U10,0,IF(M10&gt;V10,0,1)))=0,1)</formula>
    </cfRule>
  </conditionalFormatting>
  <conditionalFormatting sqref="M18:N21 G19:H23">
    <cfRule type="expression" dxfId="2862" priority="9">
      <formula>IF(+(IF(G18&lt;#REF!,0,IF(G18&gt;#REF!,0,1)))=0,1)</formula>
    </cfRule>
  </conditionalFormatting>
  <conditionalFormatting sqref="M23:N23">
    <cfRule type="expression" dxfId="2861" priority="172">
      <formula>IF(+(IF(M23&lt;#REF!,0,IF(M23&gt;#REF!,0,1)))=0,1)</formula>
    </cfRule>
  </conditionalFormatting>
  <conditionalFormatting sqref="N10:N17 N22">
    <cfRule type="expression" dxfId="2860" priority="40">
      <formula>IF(+(IF(N10&lt;W10,0,IF(N10&gt;X10,0,1)))=0,1)</formula>
    </cfRule>
  </conditionalFormatting>
  <conditionalFormatting sqref="P6">
    <cfRule type="cellIs" dxfId="2859" priority="138" operator="greaterThanOrEqual">
      <formula>19</formula>
    </cfRule>
  </conditionalFormatting>
  <dataValidations count="1">
    <dataValidation type="list" allowBlank="1" showInputMessage="1" showErrorMessage="1" sqref="R8" xr:uid="{F57CE9F7-60A3-44EF-A94D-9039FDAC4A7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BC58-DEB6-4F07-BD80-4F40467E5503}">
  <sheetPr>
    <pageSetUpPr fitToPage="1"/>
  </sheetPr>
  <dimension ref="A1:BE76"/>
  <sheetViews>
    <sheetView zoomScale="80" zoomScaleNormal="80" workbookViewId="0">
      <selection activeCell="B20" sqref="B20:O2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45939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33" t="s">
        <v>9</v>
      </c>
      <c r="C10" s="366" t="str">
        <f>[23]Brewhouse!$A409</f>
        <v>ST386</v>
      </c>
      <c r="D10" s="279">
        <f>[23]Brewhouse!$AD409</f>
        <v>48.7</v>
      </c>
      <c r="E10" s="279">
        <f>[23]Brewhouse!$AG409</f>
        <v>49</v>
      </c>
      <c r="F10" s="278">
        <f>[23]Brewhouse!$V409</f>
        <v>57</v>
      </c>
      <c r="G10" s="279">
        <f>[23]Brewhouse!$AE409</f>
        <v>11.9</v>
      </c>
      <c r="H10" s="396">
        <v>12</v>
      </c>
      <c r="I10" s="420">
        <f>[23]Brewhouse!$AS409</f>
        <v>96.734512119595152</v>
      </c>
      <c r="J10" s="420">
        <f>[23]Brewhouse!$AT409</f>
        <v>98.385805117629445</v>
      </c>
      <c r="K10" s="281">
        <f>[23]Brewhouse!$Q409</f>
        <v>14.347408829174665</v>
      </c>
      <c r="L10" s="276">
        <f>[23]Brewhouse!$P409</f>
        <v>60</v>
      </c>
      <c r="M10" s="374">
        <f>[23]Brewhouse!$U409-[23]Brewhouse!$T409</f>
        <v>0.11041666666666669</v>
      </c>
      <c r="N10" s="370">
        <f>[23]Brewhouse!$AW409</f>
        <v>0.24305555555555558</v>
      </c>
      <c r="O10" s="421" t="str">
        <f>[23]Brewhouse!$AV409</f>
        <v>R. Regis</v>
      </c>
      <c r="P10" s="418"/>
      <c r="R10" s="277" t="str">
        <f t="shared" ref="R10" si="0">B10</f>
        <v>STAG</v>
      </c>
      <c r="S10" s="296">
        <f t="shared" ref="S10:S17" si="1">VLOOKUP($B10,$R$3:$X$9,2,FALSE)</f>
        <v>11.6</v>
      </c>
      <c r="T10" s="296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296">
        <f t="shared" ref="Z10:Z17" si="8">VLOOKUP($B10,$R$3:$Z$9,9,FALSE)</f>
        <v>60</v>
      </c>
    </row>
    <row r="11" spans="2:29" ht="15.6" customHeight="1">
      <c r="B11" s="33" t="s">
        <v>9</v>
      </c>
      <c r="C11" s="366" t="str">
        <f>[23]Brewhouse!$A410</f>
        <v>ST387</v>
      </c>
      <c r="D11" s="279">
        <f>[23]Brewhouse!$AD410</f>
        <v>50.5</v>
      </c>
      <c r="E11" s="279">
        <f>[23]Brewhouse!$AG410</f>
        <v>50.8</v>
      </c>
      <c r="F11" s="278">
        <f>[23]Brewhouse!$V410</f>
        <v>62</v>
      </c>
      <c r="G11" s="279">
        <f>[23]Brewhouse!$AE410</f>
        <v>11.9</v>
      </c>
      <c r="H11" s="396">
        <v>12</v>
      </c>
      <c r="I11" s="420">
        <f>[23]Brewhouse!$AS410</f>
        <v>100.54045701826311</v>
      </c>
      <c r="J11" s="420">
        <f>[23]Brewhouse!$AT410</f>
        <v>102.25559222294855</v>
      </c>
      <c r="K11" s="281">
        <f>[23]Brewhouse!$Q410</f>
        <v>11.852207293666021</v>
      </c>
      <c r="L11" s="276">
        <f>[23]Brewhouse!$P410</f>
        <v>61</v>
      </c>
      <c r="M11" s="374">
        <f>[23]Brewhouse!$U410-[23]Brewhouse!$T410</f>
        <v>0.11249999999999999</v>
      </c>
      <c r="N11" s="370">
        <f>[23]Brewhouse!$AW410</f>
        <v>0.25624999999999998</v>
      </c>
      <c r="O11" s="421" t="str">
        <f>[23]Brewhouse!$AV410</f>
        <v>R.Sookram</v>
      </c>
      <c r="P11" s="418"/>
      <c r="R11" s="277" t="str">
        <f t="shared" ref="R11:R17" si="9">B11</f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33" t="s">
        <v>9</v>
      </c>
      <c r="C12" s="366" t="str">
        <f>[23]Brewhouse!$A411</f>
        <v>ST388</v>
      </c>
      <c r="D12" s="279">
        <f>[23]Brewhouse!$AD411</f>
        <v>51</v>
      </c>
      <c r="E12" s="279">
        <f>[23]Brewhouse!$AG411</f>
        <v>50.9</v>
      </c>
      <c r="F12" s="278">
        <f>[23]Brewhouse!$V411</f>
        <v>64</v>
      </c>
      <c r="G12" s="469">
        <f>[23]Brewhouse!$AE411</f>
        <v>12.1</v>
      </c>
      <c r="H12" s="464">
        <v>12.1</v>
      </c>
      <c r="I12" s="420">
        <f>[23]Brewhouse!$AS411</f>
        <v>102.38962605645567</v>
      </c>
      <c r="J12" s="420">
        <f>[23]Brewhouse!$AT411</f>
        <v>104.13688092292909</v>
      </c>
      <c r="K12" s="281">
        <f>[23]Brewhouse!$Q411</f>
        <v>11.682692307692299</v>
      </c>
      <c r="L12" s="276">
        <f>[23]Brewhouse!$P411</f>
        <v>57</v>
      </c>
      <c r="M12" s="374">
        <f>[23]Brewhouse!$U411-[23]Brewhouse!$T411</f>
        <v>0.11805555555555558</v>
      </c>
      <c r="N12" s="370">
        <f>[23]Brewhouse!$AW411</f>
        <v>0.24861111111111112</v>
      </c>
      <c r="O12" s="421" t="str">
        <f>[23]Brewhouse!$AV411</f>
        <v>R.Sookram</v>
      </c>
      <c r="P12" s="418"/>
      <c r="R12" s="277" t="str">
        <f t="shared" si="9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6" customHeight="1">
      <c r="B13" s="33" t="s">
        <v>9</v>
      </c>
      <c r="C13" s="366" t="str">
        <f>[23]Brewhouse!$A412</f>
        <v>ST389</v>
      </c>
      <c r="D13" s="279">
        <f>[23]Brewhouse!$AD412</f>
        <v>50.5</v>
      </c>
      <c r="E13" s="279">
        <f>[23]Brewhouse!$AG412</f>
        <v>50.4</v>
      </c>
      <c r="F13" s="278">
        <f>[23]Brewhouse!$V412</f>
        <v>62</v>
      </c>
      <c r="G13" s="279">
        <f>[23]Brewhouse!$AE412</f>
        <v>11.9</v>
      </c>
      <c r="H13" s="396">
        <v>11.9</v>
      </c>
      <c r="I13" s="420">
        <f>[23]Brewhouse!$AS412</f>
        <v>100.1268396170539</v>
      </c>
      <c r="J13" s="420">
        <f>[23]Brewhouse!$AT412</f>
        <v>101.83322525954746</v>
      </c>
      <c r="K13" s="281">
        <f>[23]Brewhouse!$Q412</f>
        <v>11.276391554702494</v>
      </c>
      <c r="L13" s="276">
        <f>[23]Brewhouse!$P412</f>
        <v>59</v>
      </c>
      <c r="M13" s="374">
        <f>[23]Brewhouse!$U412-[23]Brewhouse!$T412</f>
        <v>0.11597222222222225</v>
      </c>
      <c r="N13" s="370">
        <f>[23]Brewhouse!$AW412</f>
        <v>0.25555555555555559</v>
      </c>
      <c r="O13" s="421" t="str">
        <f>[23]Brewhouse!$AV412</f>
        <v>R.Sookram</v>
      </c>
      <c r="P13" s="418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33" t="s">
        <v>9</v>
      </c>
      <c r="C14" s="366" t="str">
        <f>[23]Brewhouse!$A413</f>
        <v>ST390</v>
      </c>
      <c r="D14" s="279">
        <f>[23]Brewhouse!$AD413</f>
        <v>48.5</v>
      </c>
      <c r="E14" s="279">
        <f>[23]Brewhouse!$AG413</f>
        <v>48.8</v>
      </c>
      <c r="F14" s="278">
        <f>[23]Brewhouse!$V413</f>
        <v>54</v>
      </c>
      <c r="G14" s="279">
        <f>[23]Brewhouse!$AE413</f>
        <v>11.8</v>
      </c>
      <c r="H14" s="396">
        <v>11.9</v>
      </c>
      <c r="I14" s="420">
        <f>[23]Brewhouse!$AS413</f>
        <v>95.728834855551185</v>
      </c>
      <c r="J14" s="420">
        <f>[23]Brewhouse!$AT413</f>
        <v>97.361887853653727</v>
      </c>
      <c r="K14" s="281">
        <f>[23]Brewhouse!$Q413</f>
        <v>12.811900191938575</v>
      </c>
      <c r="L14" s="276">
        <f>[23]Brewhouse!$P413</f>
        <v>59</v>
      </c>
      <c r="M14" s="374">
        <f>[23]Brewhouse!$U413-[23]Brewhouse!$T413</f>
        <v>0.11111111111111105</v>
      </c>
      <c r="N14" s="370">
        <f>[23]Brewhouse!$AW413</f>
        <v>0.25069444444444444</v>
      </c>
      <c r="O14" s="421" t="str">
        <f>[23]Brewhouse!$AV413</f>
        <v>R.Sookram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33" t="s">
        <v>9</v>
      </c>
      <c r="C15" s="366" t="str">
        <f>[23]Brewhouse!$A414</f>
        <v>ST391</v>
      </c>
      <c r="D15" s="279">
        <f>[23]Brewhouse!$AD414</f>
        <v>51.8</v>
      </c>
      <c r="E15" s="279">
        <f>[23]Brewhouse!$AG414</f>
        <v>50.8</v>
      </c>
      <c r="F15" s="278">
        <f>[23]Brewhouse!$V414</f>
        <v>57</v>
      </c>
      <c r="G15" s="279">
        <f>[23]Brewhouse!$AE414</f>
        <v>11.7</v>
      </c>
      <c r="H15" s="396">
        <v>11.8</v>
      </c>
      <c r="I15" s="420">
        <f>[23]Brewhouse!$AS414</f>
        <v>98.639696876676041</v>
      </c>
      <c r="J15" s="420">
        <f>[23]Brewhouse!$AT414</f>
        <v>100.32296008441747</v>
      </c>
      <c r="K15" s="281">
        <f>[23]Brewhouse!$Q414</f>
        <v>5.9134615384615303</v>
      </c>
      <c r="L15" s="276">
        <f>[23]Brewhouse!$P414</f>
        <v>61</v>
      </c>
      <c r="M15" s="374">
        <f>[23]Brewhouse!$U414-[23]Brewhouse!$T414</f>
        <v>0.1347222222222223</v>
      </c>
      <c r="N15" s="370">
        <f>[23]Brewhouse!$AW414</f>
        <v>0.27638888888888891</v>
      </c>
      <c r="O15" s="421" t="str">
        <f>[23]Brewhouse!$AV414</f>
        <v>K. Benjamin</v>
      </c>
      <c r="P15" s="418" t="s">
        <v>184</v>
      </c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6" customHeight="1">
      <c r="B16" s="33" t="s">
        <v>9</v>
      </c>
      <c r="C16" s="366" t="str">
        <f>[23]Brewhouse!$A415</f>
        <v>ST392</v>
      </c>
      <c r="D16" s="279">
        <f>[23]Brewhouse!$AD415</f>
        <v>50.6</v>
      </c>
      <c r="E16" s="279">
        <f>[23]Brewhouse!$AG415</f>
        <v>50.1</v>
      </c>
      <c r="F16" s="278">
        <f>[23]Brewhouse!$V415</f>
        <v>54</v>
      </c>
      <c r="G16" s="279">
        <f>[23]Brewhouse!$AE415</f>
        <v>11.7</v>
      </c>
      <c r="H16" s="396">
        <v>11.8</v>
      </c>
      <c r="I16" s="420">
        <f>[23]Brewhouse!$AS415</f>
        <v>97.402919466213262</v>
      </c>
      <c r="J16" s="420">
        <f>[23]Brewhouse!$AT415</f>
        <v>99.064530932583423</v>
      </c>
      <c r="K16" s="281">
        <f>[23]Brewhouse!$Q415</f>
        <v>4.1826923076923022</v>
      </c>
      <c r="L16" s="276">
        <f>[23]Brewhouse!$P415</f>
        <v>61</v>
      </c>
      <c r="M16" s="374">
        <f>[23]Brewhouse!$U415-[23]Brewhouse!$T415</f>
        <v>0.11805555555555547</v>
      </c>
      <c r="N16" s="370">
        <f>[23]Brewhouse!$AW415</f>
        <v>0.27777777777777779</v>
      </c>
      <c r="O16" s="421" t="str">
        <f>[23]Brewhouse!$AV415</f>
        <v>K. Benjamin</v>
      </c>
      <c r="P16" s="418" t="s">
        <v>183</v>
      </c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6" customHeight="1">
      <c r="B17" s="33" t="s">
        <v>9</v>
      </c>
      <c r="C17" s="366" t="str">
        <f>[23]Brewhouse!$A416</f>
        <v>ST393</v>
      </c>
      <c r="D17" s="279">
        <f>[23]Brewhouse!$AD416</f>
        <v>49.1</v>
      </c>
      <c r="E17" s="279">
        <f>[23]Brewhouse!$AG416</f>
        <v>49</v>
      </c>
      <c r="F17" s="278">
        <f>[23]Brewhouse!$V416</f>
        <v>56</v>
      </c>
      <c r="G17" s="279">
        <f>[23]Brewhouse!$AE416</f>
        <v>12</v>
      </c>
      <c r="H17" s="396">
        <v>12</v>
      </c>
      <c r="I17" s="420">
        <f>[23]Brewhouse!$AS416</f>
        <v>97.834833613698663</v>
      </c>
      <c r="J17" s="420">
        <f>[23]Brewhouse!$AT416</f>
        <v>99.503813170305577</v>
      </c>
      <c r="K17" s="281">
        <f>[23]Brewhouse!$Q416</f>
        <v>11.490384615384617</v>
      </c>
      <c r="L17" s="276">
        <f>[23]Brewhouse!$P416</f>
        <v>61</v>
      </c>
      <c r="M17" s="374">
        <f>[23]Brewhouse!$U416-[23]Brewhouse!$T416</f>
        <v>0.11805555555555558</v>
      </c>
      <c r="N17" s="370">
        <f>[23]Brewhouse!$AW416</f>
        <v>0.24583333333333335</v>
      </c>
      <c r="O17" s="421" t="str">
        <f>[23]Brewhouse!$AV416</f>
        <v>K. Benjamin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6" customHeight="1">
      <c r="B18" s="33" t="s">
        <v>9</v>
      </c>
      <c r="C18" s="366" t="str">
        <f>[23]Brewhouse!$A417</f>
        <v>ST394</v>
      </c>
      <c r="D18" s="279">
        <f>[23]Brewhouse!$AD417</f>
        <v>51</v>
      </c>
      <c r="E18" s="279">
        <f>[23]Brewhouse!$AG417</f>
        <v>51.2</v>
      </c>
      <c r="F18" s="278">
        <f>[23]Brewhouse!$V417</f>
        <v>64</v>
      </c>
      <c r="G18" s="279">
        <f>[23]Brewhouse!$AE417</f>
        <v>11.8</v>
      </c>
      <c r="H18" s="396">
        <v>12</v>
      </c>
      <c r="I18" s="420">
        <f>[23]Brewhouse!$AS417</f>
        <v>100.56337298015596</v>
      </c>
      <c r="J18" s="420">
        <f>[23]Brewhouse!$AT417</f>
        <v>102.2783335402185</v>
      </c>
      <c r="K18" s="281">
        <f>[23]Brewhouse!$Q417</f>
        <v>5.9134615384615303</v>
      </c>
      <c r="L18" s="276">
        <f>[23]Brewhouse!$P417</f>
        <v>60</v>
      </c>
      <c r="M18" s="374">
        <f>[23]Brewhouse!$U417-[23]Brewhouse!$T417</f>
        <v>0.11458333333333337</v>
      </c>
      <c r="N18" s="370">
        <f>[23]Brewhouse!$AW417</f>
        <v>0.24583333333333346</v>
      </c>
      <c r="O18" s="421" t="str">
        <f>[23]Brewhouse!$AV417</f>
        <v>R. Regis</v>
      </c>
      <c r="P18" s="418"/>
      <c r="R18" s="277" t="str">
        <f t="shared" ref="R18:R35" si="10">B18</f>
        <v>STAG</v>
      </c>
      <c r="S18" s="296">
        <f t="shared" ref="S18:S35" si="11">VLOOKUP($B18,$R$3:$X$9,2,FALSE)</f>
        <v>11.6</v>
      </c>
      <c r="T18" s="296">
        <f t="shared" ref="T18:T35" si="12">VLOOKUP($B18,$R$3:$X$9,3,FALSE)</f>
        <v>12</v>
      </c>
      <c r="U18" s="297">
        <f t="shared" ref="U18:U35" si="13">VLOOKUP($B18,$R$3:$X$9,4,FALSE)</f>
        <v>0</v>
      </c>
      <c r="V18" s="297">
        <f t="shared" ref="V18:V35" si="14">VLOOKUP($B18,$R$3:$X$9,5,FALSE)</f>
        <v>0.118055555555556</v>
      </c>
      <c r="W18" s="297">
        <f t="shared" ref="W18:W35" si="15">VLOOKUP($B18,$R$3:$X$9,6,FALSE)</f>
        <v>0.22569444444444445</v>
      </c>
      <c r="X18" s="297">
        <f t="shared" ref="X18:X35" si="16">VLOOKUP($B18,$R$3:$X$9,7,FALSE)</f>
        <v>0.2638888888888889</v>
      </c>
      <c r="Y18" s="297">
        <f t="shared" ref="Y18:Y35" si="17">VLOOKUP($B18,$R$3:$Z$9,8,FALSE)</f>
        <v>0</v>
      </c>
      <c r="Z18" s="296">
        <f t="shared" ref="Z18:Z35" si="18">VLOOKUP($B18,$R$3:$Z$9,9,FALSE)</f>
        <v>60</v>
      </c>
    </row>
    <row r="19" spans="1:27" ht="15.6" customHeight="1">
      <c r="B19" s="33" t="s">
        <v>9</v>
      </c>
      <c r="C19" s="366" t="str">
        <f>[23]Brewhouse!$A418</f>
        <v>ST395</v>
      </c>
      <c r="D19" s="279">
        <f>[23]Brewhouse!$AD418</f>
        <v>48.8</v>
      </c>
      <c r="E19" s="279">
        <f>[23]Brewhouse!$AG418</f>
        <v>49.3</v>
      </c>
      <c r="F19" s="278">
        <f>[23]Brewhouse!$V418</f>
        <v>60</v>
      </c>
      <c r="G19" s="279">
        <f>[23]Brewhouse!$AE418</f>
        <v>11.9</v>
      </c>
      <c r="H19" s="464">
        <v>12.1</v>
      </c>
      <c r="I19" s="420">
        <f>[23]Brewhouse!$AS418</f>
        <v>97.57174273622779</v>
      </c>
      <c r="J19" s="420">
        <f>[23]Brewhouse!$AT418</f>
        <v>99.23623418486936</v>
      </c>
      <c r="K19" s="281">
        <f>[23]Brewhouse!$Q418</f>
        <v>10.892514395393468</v>
      </c>
      <c r="L19" s="276">
        <f>[23]Brewhouse!$P418</f>
        <v>60</v>
      </c>
      <c r="M19" s="374">
        <f>[23]Brewhouse!$U418-[23]Brewhouse!$T418</f>
        <v>0.11041666666666661</v>
      </c>
      <c r="N19" s="370">
        <f>[23]Brewhouse!$AW418</f>
        <v>0.24652777777777768</v>
      </c>
      <c r="O19" s="421" t="str">
        <f>[23]Brewhouse!$AV418</f>
        <v>R. Regis</v>
      </c>
      <c r="P19" s="418"/>
      <c r="R19" s="277" t="str">
        <f t="shared" si="10"/>
        <v>STAG</v>
      </c>
      <c r="S19" s="296">
        <f t="shared" si="11"/>
        <v>11.6</v>
      </c>
      <c r="T19" s="296">
        <f t="shared" si="12"/>
        <v>12</v>
      </c>
      <c r="U19" s="297">
        <f t="shared" si="13"/>
        <v>0</v>
      </c>
      <c r="V19" s="297">
        <f t="shared" si="14"/>
        <v>0.118055555555556</v>
      </c>
      <c r="W19" s="297">
        <f t="shared" si="15"/>
        <v>0.22569444444444445</v>
      </c>
      <c r="X19" s="297">
        <f t="shared" si="16"/>
        <v>0.2638888888888889</v>
      </c>
      <c r="Y19" s="297">
        <f t="shared" si="17"/>
        <v>0</v>
      </c>
      <c r="Z19" s="296">
        <f t="shared" si="18"/>
        <v>60</v>
      </c>
    </row>
    <row r="20" spans="1:27" ht="15.6" customHeight="1">
      <c r="B20" s="33" t="s">
        <v>9</v>
      </c>
      <c r="C20" s="366" t="str">
        <f>[23]Brewhouse!$A419</f>
        <v>ST396</v>
      </c>
      <c r="D20" s="279">
        <f>[23]Brewhouse!$AD419</f>
        <v>49.4</v>
      </c>
      <c r="E20" s="279">
        <f>[23]Brewhouse!$AG419</f>
        <v>49.8</v>
      </c>
      <c r="F20" s="278">
        <f>[23]Brewhouse!$V419</f>
        <v>60</v>
      </c>
      <c r="G20" s="279">
        <f>[23]Brewhouse!$AE419</f>
        <v>11.9</v>
      </c>
      <c r="H20" s="396">
        <v>12</v>
      </c>
      <c r="I20" s="420">
        <f>[23]Brewhouse!$AS419</f>
        <v>98.561314163572874</v>
      </c>
      <c r="J20" s="420">
        <f>[23]Brewhouse!$AT419</f>
        <v>100.24268686422909</v>
      </c>
      <c r="K20" s="281">
        <f>[23]Brewhouse!$Q419</f>
        <v>13.387715930902115</v>
      </c>
      <c r="L20" s="276">
        <f>[23]Brewhouse!$P419</f>
        <v>60</v>
      </c>
      <c r="M20" s="374">
        <f>[23]Brewhouse!$U419-[23]Brewhouse!$T419</f>
        <v>0.13819444444444451</v>
      </c>
      <c r="N20" s="370">
        <f>[23]Brewhouse!$AW419</f>
        <v>0.27638888888888891</v>
      </c>
      <c r="O20" s="421" t="str">
        <f>[23]Brewhouse!$AV419</f>
        <v>R. Regis</v>
      </c>
      <c r="P20" s="418"/>
      <c r="R20" s="277" t="str">
        <f t="shared" si="10"/>
        <v>STAG</v>
      </c>
      <c r="S20" s="296">
        <f t="shared" si="11"/>
        <v>11.6</v>
      </c>
      <c r="T20" s="296">
        <f t="shared" si="12"/>
        <v>12</v>
      </c>
      <c r="U20" s="297">
        <f t="shared" si="13"/>
        <v>0</v>
      </c>
      <c r="V20" s="297">
        <f t="shared" si="14"/>
        <v>0.118055555555556</v>
      </c>
      <c r="W20" s="297">
        <f t="shared" si="15"/>
        <v>0.22569444444444445</v>
      </c>
      <c r="X20" s="297">
        <f t="shared" si="16"/>
        <v>0.2638888888888889</v>
      </c>
      <c r="Y20" s="297">
        <f t="shared" si="17"/>
        <v>0</v>
      </c>
      <c r="Z20" s="296">
        <f t="shared" si="18"/>
        <v>60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10"/>
        <v>0</v>
      </c>
      <c r="S21" s="296" t="e">
        <f t="shared" si="11"/>
        <v>#N/A</v>
      </c>
      <c r="T21" s="296" t="e">
        <f t="shared" si="12"/>
        <v>#N/A</v>
      </c>
      <c r="U21" s="297" t="e">
        <f t="shared" si="13"/>
        <v>#N/A</v>
      </c>
      <c r="V21" s="297" t="e">
        <f t="shared" si="14"/>
        <v>#N/A</v>
      </c>
      <c r="W21" s="297" t="e">
        <f t="shared" si="15"/>
        <v>#N/A</v>
      </c>
      <c r="X21" s="297" t="e">
        <f t="shared" si="16"/>
        <v>#N/A</v>
      </c>
      <c r="Y21" s="297" t="e">
        <f t="shared" si="17"/>
        <v>#N/A</v>
      </c>
      <c r="Z21" s="296" t="e">
        <f t="shared" si="1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10"/>
        <v>0</v>
      </c>
      <c r="S22" s="296" t="e">
        <f t="shared" si="11"/>
        <v>#N/A</v>
      </c>
      <c r="T22" s="296" t="e">
        <f t="shared" si="12"/>
        <v>#N/A</v>
      </c>
      <c r="U22" s="297" t="e">
        <f t="shared" si="13"/>
        <v>#N/A</v>
      </c>
      <c r="V22" s="297" t="e">
        <f t="shared" si="14"/>
        <v>#N/A</v>
      </c>
      <c r="W22" s="297" t="e">
        <f t="shared" si="15"/>
        <v>#N/A</v>
      </c>
      <c r="X22" s="297" t="e">
        <f t="shared" si="16"/>
        <v>#N/A</v>
      </c>
      <c r="Y22" s="297" t="e">
        <f t="shared" si="17"/>
        <v>#N/A</v>
      </c>
      <c r="Z22" s="296" t="e">
        <f t="shared" si="18"/>
        <v>#N/A</v>
      </c>
    </row>
    <row r="23" spans="1:27" ht="15.75" thickBot="1">
      <c r="B23" s="388" t="s">
        <v>162</v>
      </c>
      <c r="C23" s="388"/>
      <c r="D23" s="489" t="s">
        <v>35</v>
      </c>
      <c r="E23" s="490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10"/>
        <v xml:space="preserve">BRAND </v>
      </c>
      <c r="S23" s="296" t="e">
        <f t="shared" si="11"/>
        <v>#N/A</v>
      </c>
      <c r="T23" s="296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296" t="e">
        <f t="shared" si="18"/>
        <v>#N/A</v>
      </c>
    </row>
    <row r="24" spans="1:27" ht="15" customHeight="1">
      <c r="A24" s="28"/>
      <c r="B24" s="580" t="str">
        <f>I26</f>
        <v>GUINNESS</v>
      </c>
      <c r="C24" s="362" cm="1">
        <f t="array" ref="C24:C27">[24]Process!$D$106:$D$109</f>
        <v>17.100000000000001</v>
      </c>
      <c r="D24" s="515">
        <v>17.559999999999999</v>
      </c>
      <c r="E24" s="516"/>
      <c r="F24" s="294"/>
      <c r="G24" s="294"/>
      <c r="H24" s="348"/>
      <c r="I24" s="29" t="s">
        <v>6</v>
      </c>
      <c r="J24" s="280"/>
      <c r="K24" s="284">
        <f>COUNTA([22]Brewhouse!$A$823:$A$856)</f>
        <v>34</v>
      </c>
      <c r="L24" s="305">
        <f>AVERAGE([22]Brewhouse!$AU$823:$AU$856)</f>
        <v>97.562621986070624</v>
      </c>
      <c r="M24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$856)</f>
        <v>97.699833481686468</v>
      </c>
      <c r="N24" s="30">
        <v>98</v>
      </c>
      <c r="O24" s="11"/>
      <c r="P24" s="31"/>
      <c r="R24" s="277" t="str">
        <f t="shared" si="10"/>
        <v>GUINNESS</v>
      </c>
      <c r="S24" s="296">
        <f t="shared" si="11"/>
        <v>17</v>
      </c>
      <c r="T24" s="296">
        <f t="shared" si="12"/>
        <v>17.5</v>
      </c>
      <c r="U24" s="297">
        <f t="shared" si="13"/>
        <v>0</v>
      </c>
      <c r="V24" s="297">
        <f t="shared" si="14"/>
        <v>0.1076388888888889</v>
      </c>
      <c r="W24" s="297">
        <f t="shared" si="15"/>
        <v>0.24652777777777779</v>
      </c>
      <c r="X24" s="297">
        <f t="shared" si="16"/>
        <v>0.28472222222222221</v>
      </c>
      <c r="Y24" s="297">
        <f t="shared" si="17"/>
        <v>0</v>
      </c>
      <c r="Z24" s="296">
        <f t="shared" si="18"/>
        <v>60</v>
      </c>
    </row>
    <row r="25" spans="1:27" ht="15" customHeight="1">
      <c r="A25" s="28"/>
      <c r="B25" s="581"/>
      <c r="C25" s="362">
        <v>17.399999999999999</v>
      </c>
      <c r="D25" s="517"/>
      <c r="E25" s="518"/>
      <c r="F25" s="294"/>
      <c r="G25" s="294"/>
      <c r="H25" s="348"/>
      <c r="I25" s="33" t="s">
        <v>9</v>
      </c>
      <c r="J25" s="280">
        <f>AVERAGE(I10:I20)</f>
        <v>98.735831773042122</v>
      </c>
      <c r="K25" s="284">
        <f>COUNTA([23]Brewhouse!$A$399:$A$419)</f>
        <v>21</v>
      </c>
      <c r="L25" s="302">
        <f>AVERAGE([23]Brewhouse!$AS$399:$AS$419)</f>
        <v>98.088487780497204</v>
      </c>
      <c r="M25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5" s="30">
        <v>98</v>
      </c>
      <c r="O25" s="11"/>
      <c r="P25" s="31"/>
      <c r="R25" s="277">
        <f t="shared" si="10"/>
        <v>0</v>
      </c>
      <c r="S25" s="296" t="e">
        <f t="shared" si="11"/>
        <v>#N/A</v>
      </c>
      <c r="T25" s="296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296" t="e">
        <f t="shared" si="18"/>
        <v>#N/A</v>
      </c>
    </row>
    <row r="26" spans="1:27" ht="14.65" customHeight="1">
      <c r="A26" s="28"/>
      <c r="B26" s="581"/>
      <c r="C26" s="362">
        <v>17.399999999999999</v>
      </c>
      <c r="D26" s="515">
        <v>17.41</v>
      </c>
      <c r="E26" s="516"/>
      <c r="F26" s="294"/>
      <c r="G26" s="294"/>
      <c r="H26" s="348"/>
      <c r="I26" s="34" t="s">
        <v>12</v>
      </c>
      <c r="J26" s="280"/>
      <c r="K26" s="284"/>
      <c r="L26" s="302"/>
      <c r="M26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6" s="30">
        <v>98</v>
      </c>
      <c r="O26" s="11"/>
      <c r="P26" s="31"/>
      <c r="R26" s="277">
        <f t="shared" si="10"/>
        <v>0</v>
      </c>
      <c r="S26" s="296" t="e">
        <f t="shared" si="11"/>
        <v>#N/A</v>
      </c>
      <c r="T26" s="296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296" t="e">
        <f t="shared" si="18"/>
        <v>#N/A</v>
      </c>
    </row>
    <row r="27" spans="1:27" ht="14.65" customHeight="1">
      <c r="A27" s="28"/>
      <c r="B27" s="581"/>
      <c r="C27" s="362">
        <v>17.100000000000001</v>
      </c>
      <c r="D27" s="517"/>
      <c r="E27" s="518"/>
      <c r="F27" s="294"/>
      <c r="G27" s="294"/>
      <c r="H27" s="348"/>
      <c r="I27" s="22" t="s">
        <v>33</v>
      </c>
      <c r="J27" s="280"/>
      <c r="K27" s="284"/>
      <c r="L27" s="302"/>
      <c r="M27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7" s="30">
        <v>98</v>
      </c>
      <c r="O27" s="11"/>
      <c r="P27" s="31"/>
      <c r="R27" s="277">
        <f t="shared" si="10"/>
        <v>0</v>
      </c>
      <c r="S27" s="296" t="e">
        <f t="shared" si="11"/>
        <v>#N/A</v>
      </c>
      <c r="T27" s="296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296" t="e">
        <f t="shared" si="18"/>
        <v>#N/A</v>
      </c>
    </row>
    <row r="28" spans="1:27" ht="14.65" customHeight="1">
      <c r="A28" s="28"/>
      <c r="B28" s="581"/>
      <c r="C28" s="362"/>
      <c r="D28" s="515"/>
      <c r="E28" s="516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10"/>
        <v>0</v>
      </c>
      <c r="S28" s="296" t="e">
        <f t="shared" si="11"/>
        <v>#N/A</v>
      </c>
      <c r="T28" s="296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296" t="e">
        <f t="shared" si="18"/>
        <v>#N/A</v>
      </c>
    </row>
    <row r="29" spans="1:27" ht="14.65" customHeight="1">
      <c r="A29" s="28"/>
      <c r="B29" s="581"/>
      <c r="C29" s="362"/>
      <c r="D29" s="517"/>
      <c r="E29" s="518"/>
      <c r="F29" s="417"/>
      <c r="G29" s="294"/>
      <c r="H29" s="348"/>
      <c r="I29" s="36" t="s">
        <v>15</v>
      </c>
      <c r="J29" s="323"/>
      <c r="K29" s="284"/>
      <c r="L29" s="302"/>
      <c r="M29" s="302">
        <f>AVERAGE([26]Brewhouse!$AT$4:$AT$11,[26]Brewhouse!$AT$13:$AT$16,[26]Brewhouse!$AT$18:$AT$21,[26]Brewhouse!$AT$26,[26]Brewhouse!$AT$28:$AT$35)</f>
        <v>94.794664331624134</v>
      </c>
      <c r="N29" s="30">
        <v>98</v>
      </c>
      <c r="O29" s="11"/>
      <c r="P29" s="31"/>
      <c r="R29" s="277">
        <f t="shared" si="10"/>
        <v>0</v>
      </c>
      <c r="S29" s="296" t="e">
        <f t="shared" si="11"/>
        <v>#N/A</v>
      </c>
      <c r="T29" s="296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296" t="e">
        <f t="shared" si="18"/>
        <v>#N/A</v>
      </c>
      <c r="AA29" s="296"/>
    </row>
    <row r="30" spans="1:27" ht="14.65" customHeight="1">
      <c r="A30" s="28"/>
      <c r="B30" s="581"/>
      <c r="C30" s="362"/>
      <c r="D30" s="515"/>
      <c r="E30" s="516"/>
      <c r="F30" s="417"/>
      <c r="G30" s="294"/>
      <c r="H30" s="348"/>
      <c r="I30" s="37" t="s">
        <v>16</v>
      </c>
      <c r="J30" s="323"/>
      <c r="K30" s="284"/>
      <c r="L30" s="302"/>
      <c r="M30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0" s="30">
        <v>98</v>
      </c>
      <c r="O30" s="11"/>
      <c r="P30" s="31" t="s">
        <v>41</v>
      </c>
      <c r="R30" s="277">
        <f t="shared" si="10"/>
        <v>0</v>
      </c>
      <c r="S30" s="296" t="e">
        <f t="shared" si="11"/>
        <v>#N/A</v>
      </c>
      <c r="T30" s="296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296" t="e">
        <f t="shared" si="18"/>
        <v>#N/A</v>
      </c>
      <c r="AA30" s="296"/>
    </row>
    <row r="31" spans="1:27" ht="14.65" customHeight="1">
      <c r="A31" s="28"/>
      <c r="B31" s="581"/>
      <c r="C31" s="362"/>
      <c r="D31" s="517"/>
      <c r="E31" s="518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AVERAGE([28]Brewhouse!$AU$5:$AU$8,[28]Brewhouse!$AU$10:$AU$13,[27]Brewhouse!$AY$75:$AY$77)</f>
        <v>94.749192473706671</v>
      </c>
      <c r="N31" s="30">
        <v>98</v>
      </c>
      <c r="O31" s="11"/>
      <c r="P31" s="31"/>
      <c r="R31" s="277">
        <f t="shared" si="10"/>
        <v>0</v>
      </c>
      <c r="S31" s="296" t="e">
        <f t="shared" si="11"/>
        <v>#N/A</v>
      </c>
      <c r="T31" s="296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296" t="e">
        <f t="shared" si="18"/>
        <v>#N/A</v>
      </c>
      <c r="AA31" s="296"/>
    </row>
    <row r="32" spans="1:27" ht="14.65" customHeight="1">
      <c r="A32" s="28"/>
      <c r="B32" s="581"/>
      <c r="C32" s="349"/>
      <c r="D32" s="515"/>
      <c r="E32" s="516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>
        <f t="shared" si="10"/>
        <v>0</v>
      </c>
      <c r="S32" s="296" t="e">
        <f t="shared" si="11"/>
        <v>#N/A</v>
      </c>
      <c r="T32" s="296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296" t="e">
        <f t="shared" si="18"/>
        <v>#N/A</v>
      </c>
      <c r="AA32" s="296"/>
    </row>
    <row r="33" spans="1:56" ht="15" customHeight="1" thickBot="1">
      <c r="A33" s="28"/>
      <c r="B33" s="581"/>
      <c r="C33" s="349"/>
      <c r="D33" s="517"/>
      <c r="E33" s="518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>
        <f t="shared" si="10"/>
        <v>0</v>
      </c>
      <c r="S33" s="296" t="e">
        <f t="shared" si="11"/>
        <v>#N/A</v>
      </c>
      <c r="T33" s="296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296" t="e">
        <f t="shared" si="18"/>
        <v>#N/A</v>
      </c>
      <c r="AA33" s="296"/>
    </row>
    <row r="34" spans="1:56" ht="15" customHeight="1" thickBot="1">
      <c r="A34" s="28"/>
      <c r="B34" s="581"/>
      <c r="C34" s="349"/>
      <c r="D34" s="515"/>
      <c r="E34" s="516"/>
      <c r="F34" s="294"/>
      <c r="G34" s="294"/>
      <c r="H34" s="348"/>
      <c r="I34" s="1"/>
      <c r="J34" s="39"/>
      <c r="K34" s="404">
        <f>SUM(K24:K33)</f>
        <v>55</v>
      </c>
      <c r="L34" s="405">
        <f>((L24*K24)+(L25*K25)+(L26*K26)+(L27*K27)+(L28*K28)+(K31*L31)+(L29*K29)+(L30*K30)+(L33*K33))/(K34)</f>
        <v>97.763407107578942</v>
      </c>
      <c r="M34" s="405">
        <f>AVERAGE('[31]Jan 31st'!$L$65,'[32]Feb 28th'!$L$35,'[33]Mar. 31st'!$L$35,'[34]Apr. 30th'!$L$45,'[35]May 30th'!$L$37,'[36]June 30th'!$L$57,'[37]July 29th '!$L$44,'[38]Aug 29th'!$L$29,'[39]Sept 30th'!$L$35,L34)</f>
        <v>97.594290950439685</v>
      </c>
      <c r="N34" s="40">
        <v>98</v>
      </c>
      <c r="O34" s="11"/>
      <c r="P34" s="31"/>
      <c r="R34" s="277">
        <f t="shared" si="10"/>
        <v>0</v>
      </c>
      <c r="S34" s="296" t="e">
        <f t="shared" si="11"/>
        <v>#N/A</v>
      </c>
      <c r="T34" s="296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296" t="e">
        <f t="shared" si="18"/>
        <v>#N/A</v>
      </c>
      <c r="AA34" s="296"/>
    </row>
    <row r="35" spans="1:56" ht="15.75" thickBot="1">
      <c r="B35" s="582"/>
      <c r="C35" s="350"/>
      <c r="D35" s="517"/>
      <c r="E35" s="518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10"/>
        <v>0</v>
      </c>
      <c r="S35" s="296" t="e">
        <f t="shared" si="11"/>
        <v>#N/A</v>
      </c>
      <c r="T35" s="296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296" t="e">
        <f t="shared" si="18"/>
        <v>#N/A</v>
      </c>
      <c r="AA35" s="296"/>
    </row>
    <row r="36" spans="1:56" ht="15.75" thickBot="1">
      <c r="B36" s="562"/>
      <c r="C36" s="362"/>
      <c r="D36" s="528"/>
      <c r="E36" s="529"/>
      <c r="F36" s="294"/>
      <c r="G36" s="42"/>
      <c r="H36" s="41"/>
      <c r="I36" s="42"/>
      <c r="J36" s="563" t="s">
        <v>129</v>
      </c>
      <c r="K36" s="563"/>
      <c r="L36" s="294"/>
      <c r="M36" s="294"/>
      <c r="N36" s="294"/>
      <c r="O36" s="294"/>
      <c r="P36" s="12"/>
    </row>
    <row r="37" spans="1:56" ht="15.75" thickBot="1">
      <c r="B37" s="526"/>
      <c r="C37" s="362"/>
      <c r="D37" s="530"/>
      <c r="E37" s="518"/>
      <c r="F37" s="294"/>
      <c r="G37" s="42"/>
      <c r="H37" s="41"/>
      <c r="I37" s="42"/>
      <c r="J37" s="292" t="s">
        <v>17</v>
      </c>
      <c r="K37" s="293" t="s">
        <v>147</v>
      </c>
      <c r="L37" s="532" t="s">
        <v>136</v>
      </c>
      <c r="M37" s="532"/>
      <c r="N37" s="533"/>
      <c r="O37" s="294"/>
      <c r="P37" s="12"/>
    </row>
    <row r="38" spans="1:56" ht="15" customHeight="1" thickBot="1">
      <c r="B38" s="526"/>
      <c r="C38" s="349"/>
      <c r="D38" s="564"/>
      <c r="E38" s="565"/>
      <c r="F38" s="294"/>
      <c r="G38" s="42"/>
      <c r="H38" s="41"/>
      <c r="I38" s="42"/>
      <c r="J38" s="287" t="s">
        <v>6</v>
      </c>
      <c r="K38" s="324"/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26"/>
      <c r="C39" s="349"/>
      <c r="D39" s="530"/>
      <c r="E39" s="518"/>
      <c r="F39" s="294"/>
      <c r="G39" s="42"/>
      <c r="H39" s="41"/>
      <c r="I39" s="42"/>
      <c r="J39" s="345" t="s">
        <v>9</v>
      </c>
      <c r="K39" s="324">
        <f>COUNTA(B10:B20)</f>
        <v>11</v>
      </c>
      <c r="L39" s="344">
        <f>AVERAGE('Oct. 1st'!K49,,'Oct. 2nd'!K51,'Oct. 3rd'!K46,'Oct. 6th'!K54,Oct.7th!K50,K48)</f>
        <v>7.8571428571428568</v>
      </c>
      <c r="M39" s="325">
        <f>AVERAGE('[31]Jan 29th '!$M$70,'[32]Feb 28th'!$L$40,'[33]Mar. 31st'!$L$40,'[34]Apr. 30th'!$L$50,'[35]May 30th'!$L$42,'[36]June 30th'!$L$62,'[37]July 29th '!$L$49,'[38]Aug 29th'!$L$34,'[39]Sept 30th'!$L$40,L39)</f>
        <v>7.0918420633523613</v>
      </c>
      <c r="N39" s="416">
        <v>9.1999999999999993</v>
      </c>
      <c r="O39" s="294"/>
      <c r="P39" s="12"/>
    </row>
    <row r="40" spans="1:56" ht="15" customHeight="1">
      <c r="B40" s="526"/>
      <c r="C40" s="349"/>
      <c r="D40" s="564"/>
      <c r="E40" s="565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6"/>
      <c r="C41" s="349"/>
      <c r="D41" s="530"/>
      <c r="E41" s="518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6"/>
      <c r="C42" s="349"/>
      <c r="D42" s="564"/>
      <c r="E42" s="565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6"/>
      <c r="C43" s="349"/>
      <c r="D43" s="530"/>
      <c r="E43" s="518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6"/>
      <c r="C45" s="350"/>
      <c r="D45" s="566"/>
      <c r="E45" s="567"/>
      <c r="F45" s="294" t="s">
        <v>178</v>
      </c>
      <c r="G45" s="42"/>
      <c r="H45" s="41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60">
        <f>AVERAGE(D24:E45)</f>
        <v>17.484999999999999</v>
      </c>
      <c r="E46" s="561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11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40" t="s">
        <v>17</v>
      </c>
      <c r="C51" s="540" t="s">
        <v>44</v>
      </c>
      <c r="D51" s="542" t="s">
        <v>45</v>
      </c>
      <c r="E51" s="497" t="s">
        <v>46</v>
      </c>
      <c r="F51" s="557" t="s">
        <v>47</v>
      </c>
      <c r="G51" s="551" t="s">
        <v>48</v>
      </c>
      <c r="H51" s="540" t="s">
        <v>49</v>
      </c>
      <c r="I51" s="540" t="s">
        <v>50</v>
      </c>
      <c r="J51" s="545" t="s">
        <v>28</v>
      </c>
      <c r="K51" s="495" t="s">
        <v>51</v>
      </c>
      <c r="L51" s="507" t="s">
        <v>52</v>
      </c>
      <c r="M51" s="545" t="s">
        <v>53</v>
      </c>
      <c r="N51" s="13"/>
      <c r="O51" s="13"/>
      <c r="P51" s="50"/>
    </row>
    <row r="52" spans="2:57" ht="28.5" customHeight="1" thickTop="1" thickBot="1">
      <c r="B52" s="541"/>
      <c r="C52" s="541"/>
      <c r="D52" s="543"/>
      <c r="E52" s="544"/>
      <c r="F52" s="558"/>
      <c r="G52" s="552"/>
      <c r="H52" s="559"/>
      <c r="I52" s="559"/>
      <c r="J52" s="546"/>
      <c r="K52" s="555"/>
      <c r="L52" s="556"/>
      <c r="M52" s="546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9.45" customHeight="1" thickBot="1">
      <c r="B53" s="468" t="str">
        <f>I26</f>
        <v>GUINNESS</v>
      </c>
      <c r="C53" s="442">
        <v>45938</v>
      </c>
      <c r="D53" s="443">
        <f>[40]October_2025!$K$23</f>
        <v>203.4</v>
      </c>
      <c r="E53" s="444">
        <f>SUM([42]GUINNESS!$S$11)</f>
        <v>9</v>
      </c>
      <c r="F53" s="445">
        <f>SUM([42]GUINNESS!$L$11:$L$14)</f>
        <v>200</v>
      </c>
      <c r="G53" s="445">
        <f>[40]October_2025!$K$28</f>
        <v>186.9</v>
      </c>
      <c r="H53" s="462">
        <f>(D53-F53)/D53*100</f>
        <v>1.6715830875122937</v>
      </c>
      <c r="I53" s="462">
        <f>((F53+E53)-G53)/(F53+E53)*100</f>
        <v>10.574162679425834</v>
      </c>
      <c r="J53" s="449" t="s">
        <v>163</v>
      </c>
      <c r="K53" s="450">
        <f>[41]October_2025!$J$32</f>
        <v>0.9345</v>
      </c>
      <c r="L53" s="461">
        <f>(((D53+E53)-G53)/(D53+E53))*100</f>
        <v>12.005649717514123</v>
      </c>
      <c r="M53" s="457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20.45" hidden="1" customHeight="1" thickBot="1">
      <c r="B54" s="458"/>
      <c r="C54" s="431"/>
      <c r="D54" s="432"/>
      <c r="E54" s="433"/>
      <c r="F54" s="434"/>
      <c r="G54" s="435"/>
      <c r="H54" s="429"/>
      <c r="I54" s="429"/>
      <c r="J54" s="452"/>
      <c r="K54" s="437"/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59.45" hidden="1" customHeight="1" thickBot="1">
      <c r="B55" s="460"/>
      <c r="C55" s="442"/>
      <c r="D55" s="443"/>
      <c r="E55" s="444"/>
      <c r="F55" s="445"/>
      <c r="G55" s="446"/>
      <c r="H55" s="462"/>
      <c r="I55" s="462"/>
      <c r="J55" s="449"/>
      <c r="K55" s="466"/>
      <c r="L55" s="461"/>
      <c r="M55" s="457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4"/>
      <c r="C56" s="431"/>
      <c r="D56" s="432"/>
      <c r="E56" s="433"/>
      <c r="F56" s="434"/>
      <c r="G56" s="435"/>
      <c r="H56" s="436"/>
      <c r="I56" s="451"/>
      <c r="J56" s="452"/>
      <c r="K56" s="437" t="s">
        <v>41</v>
      </c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6.6" hidden="1" customHeight="1" thickBot="1">
      <c r="B57" s="387"/>
      <c r="C57" s="442"/>
      <c r="D57" s="443"/>
      <c r="E57" s="444"/>
      <c r="F57" s="445"/>
      <c r="G57" s="446"/>
      <c r="H57" s="447"/>
      <c r="I57" s="448"/>
      <c r="J57" s="449"/>
      <c r="K57" s="450"/>
      <c r="L57" s="455" t="e">
        <f>(((D57+E57)-G57)/(D57+E57))*100</f>
        <v>#DIV/0!</v>
      </c>
      <c r="M57" s="456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8"/>
      <c r="C58" s="424"/>
      <c r="D58" s="425"/>
      <c r="E58" s="426"/>
      <c r="F58" s="427"/>
      <c r="G58" s="428"/>
      <c r="H58" s="429"/>
      <c r="I58" s="439"/>
      <c r="J58" s="440"/>
      <c r="K58" s="430"/>
      <c r="L58" s="441"/>
      <c r="M58" s="423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547" t="s">
        <v>55</v>
      </c>
      <c r="C60" s="548"/>
      <c r="D60" s="548"/>
      <c r="E60" s="548"/>
      <c r="F60" s="549"/>
      <c r="G60" s="547" t="s">
        <v>56</v>
      </c>
      <c r="H60" s="548"/>
      <c r="I60" s="548"/>
      <c r="J60" s="549"/>
      <c r="K60" s="547" t="s">
        <v>51</v>
      </c>
      <c r="L60" s="548"/>
      <c r="M60" s="548"/>
      <c r="N60" s="550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>
        <v>5.4280582718020227</v>
      </c>
      <c r="E62" s="76">
        <v>6.3177809295166583</v>
      </c>
      <c r="F62" s="66">
        <v>4.8</v>
      </c>
      <c r="G62" s="65"/>
      <c r="H62" s="76">
        <v>4.2640627945127214</v>
      </c>
      <c r="I62" s="76">
        <v>6.1869451198886729</v>
      </c>
      <c r="J62" s="66">
        <v>4.8</v>
      </c>
      <c r="K62" s="67"/>
      <c r="L62" s="194">
        <v>0.65879609414011675</v>
      </c>
      <c r="M62" s="194">
        <v>0.76418505858469299</v>
      </c>
      <c r="N62" s="68">
        <v>1</v>
      </c>
      <c r="O62" s="56"/>
      <c r="P62" s="69"/>
    </row>
    <row r="63" spans="2:57" ht="15">
      <c r="B63" s="33" t="s">
        <v>9</v>
      </c>
      <c r="C63" s="65"/>
      <c r="D63" s="76">
        <v>4.9899914212181837</v>
      </c>
      <c r="E63" s="76">
        <v>5.8986910363327869</v>
      </c>
      <c r="F63" s="66">
        <v>4.8</v>
      </c>
      <c r="G63" s="65"/>
      <c r="H63" s="76">
        <v>4.1514556010038586</v>
      </c>
      <c r="I63" s="76">
        <v>5.5953405903132074</v>
      </c>
      <c r="J63" s="66">
        <v>4.8</v>
      </c>
      <c r="K63" s="67"/>
      <c r="L63" s="194">
        <v>0.76762435317700806</v>
      </c>
      <c r="M63" s="194">
        <v>0.71798543638636902</v>
      </c>
      <c r="N63" s="68">
        <v>1</v>
      </c>
      <c r="P63" s="69"/>
    </row>
    <row r="64" spans="2:57" ht="15">
      <c r="B64" s="34" t="s">
        <v>40</v>
      </c>
      <c r="C64" s="65">
        <f>L53</f>
        <v>12.005649717514123</v>
      </c>
      <c r="D64" s="76">
        <v>9.535333978702802</v>
      </c>
      <c r="E64" s="76">
        <v>11.690789306336304</v>
      </c>
      <c r="F64" s="66">
        <v>5.5</v>
      </c>
      <c r="G64" s="65">
        <f>[40]October_2025!$K$32</f>
        <v>13.488396934333863</v>
      </c>
      <c r="H64" s="76">
        <v>9.7076284177373999</v>
      </c>
      <c r="I64" s="76">
        <v>12.617010368159198</v>
      </c>
      <c r="J64" s="66">
        <v>5.5</v>
      </c>
      <c r="K64" s="67">
        <f>K53</f>
        <v>0.9345</v>
      </c>
      <c r="L64" s="194">
        <v>0.9345</v>
      </c>
      <c r="M64" s="194">
        <v>0.54931804556354924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5.119233255999676</v>
      </c>
      <c r="F65" s="66">
        <v>3.3</v>
      </c>
      <c r="G65" s="65"/>
      <c r="H65" s="76"/>
      <c r="I65" s="76">
        <v>4.4772094679692334</v>
      </c>
      <c r="J65" s="66">
        <v>3.3</v>
      </c>
      <c r="K65" s="67"/>
      <c r="L65" s="194"/>
      <c r="M65" s="194">
        <v>0.80025950292397652</v>
      </c>
      <c r="N65" s="68">
        <v>1</v>
      </c>
      <c r="P65" s="69"/>
    </row>
    <row r="66" spans="2:16" ht="15">
      <c r="B66" s="35" t="s">
        <v>165</v>
      </c>
      <c r="C66" s="65"/>
      <c r="D66" s="76"/>
      <c r="E66" s="76">
        <v>7.837301587301579</v>
      </c>
      <c r="F66" s="66">
        <v>3.3</v>
      </c>
      <c r="G66" s="282"/>
      <c r="H66" s="76"/>
      <c r="I66" s="76">
        <v>5.3377569154690221</v>
      </c>
      <c r="J66" s="66">
        <v>3</v>
      </c>
      <c r="K66" s="67"/>
      <c r="L66" s="194"/>
      <c r="M66" s="194">
        <v>0.32596491228070179</v>
      </c>
      <c r="N66" s="68">
        <v>1</v>
      </c>
      <c r="P66" s="69"/>
    </row>
    <row r="67" spans="2:16" ht="15">
      <c r="B67" s="36" t="s">
        <v>15</v>
      </c>
      <c r="C67" s="65"/>
      <c r="D67" s="76"/>
      <c r="E67" s="76">
        <v>7.3129862357869699</v>
      </c>
      <c r="F67" s="70">
        <f>[21]May_2022!$M$43</f>
        <v>3.4878406700073312</v>
      </c>
      <c r="G67" s="282"/>
      <c r="H67" s="76"/>
      <c r="I67" s="76">
        <v>8.6614709463340702</v>
      </c>
      <c r="J67" s="66">
        <v>5.5</v>
      </c>
      <c r="K67" s="67"/>
      <c r="L67" s="194"/>
      <c r="M67" s="194">
        <v>0.73160818713450293</v>
      </c>
      <c r="N67" s="68">
        <v>1</v>
      </c>
      <c r="P67" s="69"/>
    </row>
    <row r="68" spans="2:16" ht="15">
      <c r="B68" s="37" t="s">
        <v>16</v>
      </c>
      <c r="C68" s="65"/>
      <c r="D68" s="76">
        <v>2.0782986950217497</v>
      </c>
      <c r="E68" s="76">
        <v>2.8629317642487306</v>
      </c>
      <c r="F68" s="66">
        <v>3.3</v>
      </c>
      <c r="G68" s="282"/>
      <c r="H68" s="76">
        <v>3.4559849687930924</v>
      </c>
      <c r="I68" s="76">
        <v>4.3478819741669881</v>
      </c>
      <c r="J68" s="66">
        <v>3.3</v>
      </c>
      <c r="K68" s="67"/>
      <c r="L68" s="194">
        <v>0.88859649122807016</v>
      </c>
      <c r="M68" s="194">
        <v>0.85935680751173715</v>
      </c>
      <c r="N68" s="71">
        <v>1</v>
      </c>
      <c r="P68" s="69"/>
    </row>
    <row r="69" spans="2:16" ht="15.75" thickBot="1">
      <c r="B69" s="38" t="s">
        <v>164</v>
      </c>
      <c r="C69" s="65"/>
      <c r="D69" s="76"/>
      <c r="E69" s="76">
        <v>11.483253588516746</v>
      </c>
      <c r="F69" s="66">
        <v>7.5</v>
      </c>
      <c r="G69" s="282"/>
      <c r="H69" s="76"/>
      <c r="I69" s="76">
        <v>9.7934336121043764</v>
      </c>
      <c r="J69" s="66">
        <v>7.5</v>
      </c>
      <c r="K69" s="67"/>
      <c r="M69" s="194">
        <v>0.32456140350877194</v>
      </c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>
        <v>7.2653644592663174</v>
      </c>
      <c r="F70" s="66">
        <v>4.8</v>
      </c>
      <c r="G70" s="282"/>
      <c r="H70" s="76"/>
      <c r="I70" s="76">
        <v>8.1715311054411259</v>
      </c>
      <c r="J70" s="66">
        <v>4.8</v>
      </c>
      <c r="K70" s="67"/>
      <c r="L70" s="194"/>
      <c r="M70" s="194">
        <v>0.51368421052631585</v>
      </c>
      <c r="N70" s="71">
        <v>1</v>
      </c>
      <c r="O70" s="74"/>
      <c r="P70" s="75"/>
    </row>
    <row r="71" spans="2:16" ht="15">
      <c r="D71" s="76">
        <v>4.9372281432311533</v>
      </c>
      <c r="E71" s="76">
        <v>6.3360353627298833</v>
      </c>
      <c r="F71" s="341">
        <v>5.5</v>
      </c>
      <c r="H71" s="76">
        <v>4.6389451434741931</v>
      </c>
      <c r="I71" s="76">
        <v>6.4962150964521639</v>
      </c>
      <c r="J71" s="341">
        <v>5.5</v>
      </c>
      <c r="L71" s="194">
        <v>0.74162962962962975</v>
      </c>
      <c r="M71" s="194">
        <v>0.73176421845574391</v>
      </c>
      <c r="N71" s="386">
        <v>1</v>
      </c>
    </row>
    <row r="75" spans="2:16">
      <c r="F75" s="315"/>
    </row>
    <row r="76" spans="2:16" ht="15">
      <c r="F76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0:F60"/>
    <mergeCell ref="G60:J60"/>
    <mergeCell ref="K60:N60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2858" priority="144" operator="notBetween">
      <formula>#REF!</formula>
      <formula>#REF!</formula>
    </cfRule>
  </conditionalFormatting>
  <conditionalFormatting sqref="C50">
    <cfRule type="cellIs" dxfId="2857" priority="175" stopIfTrue="1" operator="lessThan">
      <formula>96</formula>
    </cfRule>
    <cfRule type="cellIs" dxfId="2856" priority="176" stopIfTrue="1" operator="greaterThan">
      <formula>100</formula>
    </cfRule>
  </conditionalFormatting>
  <conditionalFormatting sqref="C62:C66">
    <cfRule type="cellIs" dxfId="2855" priority="125" stopIfTrue="1" operator="lessThanOrEqual">
      <formula>0</formula>
    </cfRule>
  </conditionalFormatting>
  <conditionalFormatting sqref="C62:C70">
    <cfRule type="cellIs" dxfId="2854" priority="124" stopIfTrue="1" operator="greaterThan">
      <formula>$F62</formula>
    </cfRule>
  </conditionalFormatting>
  <conditionalFormatting sqref="C63">
    <cfRule type="cellIs" dxfId="2853" priority="179" stopIfTrue="1" operator="greaterThan">
      <formula>$F62</formula>
    </cfRule>
  </conditionalFormatting>
  <conditionalFormatting sqref="C67">
    <cfRule type="cellIs" dxfId="2852" priority="63" stopIfTrue="1" operator="greaterThan">
      <formula>$F66</formula>
    </cfRule>
    <cfRule type="cellIs" dxfId="2851" priority="62" stopIfTrue="1" operator="lessThanOrEqual">
      <formula>0</formula>
    </cfRule>
  </conditionalFormatting>
  <conditionalFormatting sqref="C73:C77">
    <cfRule type="cellIs" dxfId="2850" priority="167" stopIfTrue="1" operator="lessThanOrEqual">
      <formula>0</formula>
    </cfRule>
  </conditionalFormatting>
  <conditionalFormatting sqref="C74:C77">
    <cfRule type="cellIs" dxfId="2849" priority="166" stopIfTrue="1" operator="greaterThan">
      <formula>$F$73</formula>
    </cfRule>
  </conditionalFormatting>
  <conditionalFormatting sqref="C79">
    <cfRule type="cellIs" dxfId="2848" priority="169" stopIfTrue="1" operator="lessThanOrEqual">
      <formula>0</formula>
    </cfRule>
    <cfRule type="cellIs" dxfId="2847" priority="168" stopIfTrue="1" operator="greaterThan">
      <formula>$F$73</formula>
    </cfRule>
  </conditionalFormatting>
  <conditionalFormatting sqref="C73:D73 D75:D81">
    <cfRule type="cellIs" dxfId="2846" priority="161" stopIfTrue="1" operator="greaterThan">
      <formula>4.5</formula>
    </cfRule>
  </conditionalFormatting>
  <conditionalFormatting sqref="D46:D47">
    <cfRule type="cellIs" dxfId="2845" priority="145" operator="notBetween">
      <formula>#REF!</formula>
      <formula>#REF!</formula>
    </cfRule>
  </conditionalFormatting>
  <conditionalFormatting sqref="D62:D69">
    <cfRule type="cellIs" dxfId="2844" priority="139" stopIfTrue="1" operator="lessThanOrEqual">
      <formula>0</formula>
    </cfRule>
  </conditionalFormatting>
  <conditionalFormatting sqref="D70">
    <cfRule type="cellIs" dxfId="2843" priority="138" stopIfTrue="1" operator="lessThanOrEqual">
      <formula>0</formula>
    </cfRule>
  </conditionalFormatting>
  <conditionalFormatting sqref="D73 D75:D81">
    <cfRule type="cellIs" dxfId="2842" priority="162" stopIfTrue="1" operator="lessThanOrEqual">
      <formula>0</formula>
    </cfRule>
  </conditionalFormatting>
  <conditionalFormatting sqref="D74">
    <cfRule type="cellIs" dxfId="2841" priority="154" stopIfTrue="1" operator="lessThanOrEqual">
      <formula>0</formula>
    </cfRule>
    <cfRule type="cellIs" dxfId="2840" priority="153" stopIfTrue="1" operator="greaterThan">
      <formula>$F$73</formula>
    </cfRule>
  </conditionalFormatting>
  <conditionalFormatting sqref="D62:E71">
    <cfRule type="cellIs" dxfId="2839" priority="122" stopIfTrue="1" operator="greaterThan">
      <formula>$F62</formula>
    </cfRule>
  </conditionalFormatting>
  <conditionalFormatting sqref="D71:E71">
    <cfRule type="cellIs" dxfId="2838" priority="123" stopIfTrue="1" operator="lessThanOrEqual">
      <formula>0</formula>
    </cfRule>
  </conditionalFormatting>
  <conditionalFormatting sqref="E10:E21">
    <cfRule type="cellIs" dxfId="2837" priority="21" operator="lessThan">
      <formula>48</formula>
    </cfRule>
  </conditionalFormatting>
  <conditionalFormatting sqref="E49 E50:F50">
    <cfRule type="cellIs" dxfId="2836" priority="158" stopIfTrue="1" operator="greaterThan">
      <formula>100</formula>
    </cfRule>
  </conditionalFormatting>
  <conditionalFormatting sqref="E50">
    <cfRule type="cellIs" dxfId="2835" priority="156" stopIfTrue="1" operator="greaterThan">
      <formula>100</formula>
    </cfRule>
    <cfRule type="cellIs" dxfId="2834" priority="155" stopIfTrue="1" operator="lessThan">
      <formula>96.8</formula>
    </cfRule>
  </conditionalFormatting>
  <conditionalFormatting sqref="E62:E70">
    <cfRule type="cellIs" dxfId="2833" priority="133" stopIfTrue="1" operator="lessThanOrEqual">
      <formula>0</formula>
    </cfRule>
  </conditionalFormatting>
  <conditionalFormatting sqref="E73:E81">
    <cfRule type="cellIs" dxfId="2832" priority="148" stopIfTrue="1" operator="lessThanOrEqual">
      <formula>0</formula>
    </cfRule>
    <cfRule type="cellIs" dxfId="2831" priority="147" stopIfTrue="1" operator="greaterThan">
      <formula>4.5</formula>
    </cfRule>
  </conditionalFormatting>
  <conditionalFormatting sqref="E50:F50 E49">
    <cfRule type="cellIs" dxfId="2830" priority="157" stopIfTrue="1" operator="lessThan">
      <formula>96.5</formula>
    </cfRule>
  </conditionalFormatting>
  <conditionalFormatting sqref="F10:F21">
    <cfRule type="cellIs" dxfId="2829" priority="22" operator="greaterThan">
      <formula>60</formula>
    </cfRule>
  </conditionalFormatting>
  <conditionalFormatting sqref="F50">
    <cfRule type="cellIs" dxfId="2828" priority="173" stopIfTrue="1" operator="lessThan">
      <formula>96.8</formula>
    </cfRule>
    <cfRule type="cellIs" dxfId="2827" priority="174" stopIfTrue="1" operator="greaterThan">
      <formula>100</formula>
    </cfRule>
  </conditionalFormatting>
  <conditionalFormatting sqref="F71">
    <cfRule type="cellIs" dxfId="2826" priority="134" stopIfTrue="1" operator="greaterThan">
      <formula>$F71</formula>
    </cfRule>
    <cfRule type="cellIs" dxfId="2825" priority="135" stopIfTrue="1" operator="lessThanOrEqual">
      <formula>0</formula>
    </cfRule>
  </conditionalFormatting>
  <conditionalFormatting sqref="F76">
    <cfRule type="cellIs" dxfId="2824" priority="92" stopIfTrue="1" operator="greaterThan">
      <formula>$F76</formula>
    </cfRule>
    <cfRule type="cellIs" dxfId="2823" priority="93" stopIfTrue="1" operator="lessThanOrEqual">
      <formula>0</formula>
    </cfRule>
  </conditionalFormatting>
  <conditionalFormatting sqref="G62:G63 C68:C70">
    <cfRule type="cellIs" dxfId="2822" priority="141" stopIfTrue="1" operator="lessThanOrEqual">
      <formula>0</formula>
    </cfRule>
  </conditionalFormatting>
  <conditionalFormatting sqref="G62:G63">
    <cfRule type="cellIs" dxfId="2821" priority="140" stopIfTrue="1" operator="greaterThan">
      <formula>$F62</formula>
    </cfRule>
    <cfRule type="cellIs" dxfId="2820" priority="127" stopIfTrue="1" operator="lessThanOrEqual">
      <formula>0</formula>
    </cfRule>
    <cfRule type="cellIs" dxfId="2819" priority="126" stopIfTrue="1" operator="greaterThan">
      <formula>$F62</formula>
    </cfRule>
  </conditionalFormatting>
  <conditionalFormatting sqref="G64">
    <cfRule type="cellIs" dxfId="2818" priority="177" stopIfTrue="1" operator="greaterThan">
      <formula>$F63</formula>
    </cfRule>
    <cfRule type="cellIs" dxfId="2817" priority="178" stopIfTrue="1" operator="lessThanOrEqual">
      <formula>0</formula>
    </cfRule>
  </conditionalFormatting>
  <conditionalFormatting sqref="G65">
    <cfRule type="cellIs" dxfId="2816" priority="136" stopIfTrue="1" operator="greaterThan">
      <formula>$F65</formula>
    </cfRule>
    <cfRule type="cellIs" dxfId="2815" priority="137" stopIfTrue="1" operator="lessThanOrEqual">
      <formula>0</formula>
    </cfRule>
  </conditionalFormatting>
  <conditionalFormatting sqref="G66:G70">
    <cfRule type="cellIs" dxfId="2814" priority="143" stopIfTrue="1" operator="lessThanOrEqual">
      <formula>0</formula>
    </cfRule>
    <cfRule type="cellIs" dxfId="2813" priority="142" stopIfTrue="1" operator="greaterThan">
      <formula>$J66</formula>
    </cfRule>
  </conditionalFormatting>
  <conditionalFormatting sqref="G75:G80 C78 C80">
    <cfRule type="cellIs" dxfId="2812" priority="170" stopIfTrue="1" operator="greaterThan">
      <formula>4.5</formula>
    </cfRule>
    <cfRule type="cellIs" dxfId="2811" priority="171" stopIfTrue="1" operator="lessThanOrEqual">
      <formula>0</formula>
    </cfRule>
  </conditionalFormatting>
  <conditionalFormatting sqref="G74:H74">
    <cfRule type="cellIs" dxfId="2810" priority="151" stopIfTrue="1" operator="greaterThan">
      <formula>$F$73</formula>
    </cfRule>
    <cfRule type="cellIs" dxfId="2809" priority="152" stopIfTrue="1" operator="lessThanOrEqual">
      <formula>0</formula>
    </cfRule>
  </conditionalFormatting>
  <conditionalFormatting sqref="H35:H49">
    <cfRule type="cellIs" dxfId="2808" priority="149" stopIfTrue="1" operator="greaterThan">
      <formula>0</formula>
    </cfRule>
  </conditionalFormatting>
  <conditionalFormatting sqref="H53">
    <cfRule type="cellIs" dxfId="2807" priority="11" stopIfTrue="1" operator="greaterThan">
      <formula>$F$72</formula>
    </cfRule>
    <cfRule type="cellIs" dxfId="2806" priority="12" stopIfTrue="1" operator="lessThanOrEqual">
      <formula>0</formula>
    </cfRule>
    <cfRule type="cellIs" dxfId="2805" priority="14" stopIfTrue="1" operator="lessThanOrEqual">
      <formula>0</formula>
    </cfRule>
    <cfRule type="cellIs" dxfId="2804" priority="13" stopIfTrue="1" operator="greaterThan">
      <formula>$F$70</formula>
    </cfRule>
    <cfRule type="cellIs" dxfId="2803" priority="2" stopIfTrue="1" operator="lessThanOrEqual">
      <formula>0</formula>
    </cfRule>
    <cfRule type="cellIs" dxfId="2802" priority="3" stopIfTrue="1" operator="greaterThan">
      <formula>$F$69</formula>
    </cfRule>
  </conditionalFormatting>
  <conditionalFormatting sqref="H54">
    <cfRule type="cellIs" dxfId="2801" priority="79" stopIfTrue="1" operator="lessThanOrEqual">
      <formula>0</formula>
    </cfRule>
    <cfRule type="cellIs" dxfId="2800" priority="80" stopIfTrue="1" operator="greaterThan">
      <formula>#REF!</formula>
    </cfRule>
    <cfRule type="cellIs" dxfId="2799" priority="88" stopIfTrue="1" operator="greaterThan">
      <formula>$F$22</formula>
    </cfRule>
    <cfRule type="cellIs" dxfId="2798" priority="89" stopIfTrue="1" operator="lessThanOrEqual">
      <formula>0</formula>
    </cfRule>
    <cfRule type="cellIs" dxfId="2797" priority="90" stopIfTrue="1" operator="greaterThan">
      <formula>#REF!</formula>
    </cfRule>
    <cfRule type="cellIs" dxfId="2796" priority="91" stopIfTrue="1" operator="lessThanOrEqual">
      <formula>0</formula>
    </cfRule>
  </conditionalFormatting>
  <conditionalFormatting sqref="H55">
    <cfRule type="cellIs" dxfId="2795" priority="41" stopIfTrue="1" operator="lessThanOrEqual">
      <formula>0</formula>
    </cfRule>
    <cfRule type="cellIs" dxfId="2794" priority="52" stopIfTrue="1" operator="greaterThan">
      <formula>$F$64</formula>
    </cfRule>
    <cfRule type="cellIs" dxfId="2793" priority="51" stopIfTrue="1" operator="lessThanOrEqual">
      <formula>0</formula>
    </cfRule>
    <cfRule type="cellIs" dxfId="2792" priority="42" stopIfTrue="1" operator="greaterThan">
      <formula>$F$63</formula>
    </cfRule>
    <cfRule type="cellIs" dxfId="2791" priority="50" stopIfTrue="1" operator="greaterThan">
      <formula>$F$66</formula>
    </cfRule>
    <cfRule type="cellIs" dxfId="2790" priority="53" stopIfTrue="1" operator="lessThanOrEqual">
      <formula>0</formula>
    </cfRule>
  </conditionalFormatting>
  <conditionalFormatting sqref="H56:H57">
    <cfRule type="cellIs" dxfId="2789" priority="77" stopIfTrue="1" operator="lessThanOrEqual">
      <formula>0</formula>
    </cfRule>
    <cfRule type="cellIs" dxfId="2788" priority="74" stopIfTrue="1" operator="greaterThan">
      <formula>$F$21</formula>
    </cfRule>
    <cfRule type="cellIs" dxfId="2787" priority="66" stopIfTrue="1" operator="greaterThan">
      <formula>#REF!</formula>
    </cfRule>
    <cfRule type="cellIs" dxfId="2786" priority="65" stopIfTrue="1" operator="lessThanOrEqual">
      <formula>0</formula>
    </cfRule>
    <cfRule type="cellIs" dxfId="2785" priority="75" stopIfTrue="1" operator="lessThanOrEqual">
      <formula>0</formula>
    </cfRule>
    <cfRule type="cellIs" dxfId="2784" priority="76" stopIfTrue="1" operator="greaterThan">
      <formula>#REF!</formula>
    </cfRule>
  </conditionalFormatting>
  <conditionalFormatting sqref="H58">
    <cfRule type="cellIs" dxfId="2783" priority="96" stopIfTrue="1" operator="lessThanOrEqual">
      <formula>0</formula>
    </cfRule>
    <cfRule type="cellIs" dxfId="2782" priority="97" stopIfTrue="1" operator="greaterThan">
      <formula>$F$34</formula>
    </cfRule>
    <cfRule type="cellIs" dxfId="2781" priority="106" stopIfTrue="1" operator="lessThanOrEqual">
      <formula>0</formula>
    </cfRule>
    <cfRule type="cellIs" dxfId="2780" priority="105" stopIfTrue="1" operator="greaterThan">
      <formula>$F$37</formula>
    </cfRule>
    <cfRule type="cellIs" dxfId="2779" priority="108" stopIfTrue="1" operator="lessThanOrEqual">
      <formula>0</formula>
    </cfRule>
    <cfRule type="cellIs" dxfId="2778" priority="107" stopIfTrue="1" operator="greaterThan">
      <formula>$F$35</formula>
    </cfRule>
  </conditionalFormatting>
  <conditionalFormatting sqref="H62:H69">
    <cfRule type="cellIs" dxfId="2777" priority="129" stopIfTrue="1" operator="lessThanOrEqual">
      <formula>0</formula>
    </cfRule>
    <cfRule type="cellIs" dxfId="2776" priority="128" stopIfTrue="1" operator="greaterThan">
      <formula>$J62</formula>
    </cfRule>
  </conditionalFormatting>
  <conditionalFormatting sqref="H70">
    <cfRule type="cellIs" dxfId="2775" priority="130" operator="greaterThan">
      <formula>5.3</formula>
    </cfRule>
  </conditionalFormatting>
  <conditionalFormatting sqref="H73 H75:H81">
    <cfRule type="cellIs" dxfId="2774" priority="163" stopIfTrue="1" operator="greaterThan">
      <formula>4.5</formula>
    </cfRule>
    <cfRule type="cellIs" dxfId="2773" priority="164" stopIfTrue="1" operator="lessThanOrEqual">
      <formula>0</formula>
    </cfRule>
  </conditionalFormatting>
  <conditionalFormatting sqref="H53:I53">
    <cfRule type="cellIs" dxfId="2772" priority="1" stopIfTrue="1" operator="greaterThan">
      <formula>$F$71</formula>
    </cfRule>
    <cfRule type="cellIs" dxfId="2771" priority="4" stopIfTrue="1" operator="lessThanOrEqual">
      <formula>0</formula>
    </cfRule>
  </conditionalFormatting>
  <conditionalFormatting sqref="H54:I54">
    <cfRule type="cellIs" dxfId="2770" priority="81" stopIfTrue="1" operator="lessThanOrEqual">
      <formula>0</formula>
    </cfRule>
    <cfRule type="cellIs" dxfId="2769" priority="78" stopIfTrue="1" operator="greaterThan">
      <formula>$F$21</formula>
    </cfRule>
  </conditionalFormatting>
  <conditionalFormatting sqref="H55:I55">
    <cfRule type="cellIs" dxfId="2768" priority="43" stopIfTrue="1" operator="lessThanOrEqual">
      <formula>0</formula>
    </cfRule>
    <cfRule type="cellIs" dxfId="2767" priority="40" stopIfTrue="1" operator="greaterThan">
      <formula>$F$65</formula>
    </cfRule>
  </conditionalFormatting>
  <conditionalFormatting sqref="H56:I57">
    <cfRule type="cellIs" dxfId="2766" priority="64" stopIfTrue="1" operator="greaterThan">
      <formula>#REF!</formula>
    </cfRule>
    <cfRule type="cellIs" dxfId="2765" priority="67" stopIfTrue="1" operator="lessThanOrEqual">
      <formula>0</formula>
    </cfRule>
  </conditionalFormatting>
  <conditionalFormatting sqref="H58:I58">
    <cfRule type="cellIs" dxfId="2764" priority="98" stopIfTrue="1" operator="lessThanOrEqual">
      <formula>0</formula>
    </cfRule>
    <cfRule type="cellIs" dxfId="2763" priority="95" stopIfTrue="1" operator="greaterThan">
      <formula>$F$36</formula>
    </cfRule>
  </conditionalFormatting>
  <conditionalFormatting sqref="H71:I71">
    <cfRule type="cellIs" dxfId="2762" priority="121" stopIfTrue="1" operator="lessThanOrEqual">
      <formula>0</formula>
    </cfRule>
    <cfRule type="cellIs" dxfId="2761" priority="120" stopIfTrue="1" operator="greaterThan">
      <formula>$J71</formula>
    </cfRule>
  </conditionalFormatting>
  <conditionalFormatting sqref="I53">
    <cfRule type="cellIs" dxfId="2760" priority="10" stopIfTrue="1" operator="lessThanOrEqual">
      <formula>0</formula>
    </cfRule>
    <cfRule type="cellIs" dxfId="2759" priority="7" stopIfTrue="1" operator="greaterThan">
      <formula>$F$71</formula>
    </cfRule>
    <cfRule type="cellIs" dxfId="2758" priority="5" stopIfTrue="1" operator="greaterThan">
      <formula>$F$69</formula>
    </cfRule>
    <cfRule type="cellIs" dxfId="2757" priority="6" stopIfTrue="1" operator="lessThanOrEqual">
      <formula>0</formula>
    </cfRule>
    <cfRule type="cellIs" dxfId="2756" priority="8" stopIfTrue="1" operator="lessThanOrEqual">
      <formula>0</formula>
    </cfRule>
    <cfRule type="cellIs" dxfId="2755" priority="9" stopIfTrue="1" operator="greaterThan">
      <formula>$F$69</formula>
    </cfRule>
  </conditionalFormatting>
  <conditionalFormatting sqref="I54">
    <cfRule type="cellIs" dxfId="2754" priority="82" stopIfTrue="1" operator="greaterThan">
      <formula>#REF!</formula>
    </cfRule>
    <cfRule type="cellIs" dxfId="2753" priority="87" stopIfTrue="1" operator="lessThanOrEqual">
      <formula>0</formula>
    </cfRule>
    <cfRule type="cellIs" dxfId="2752" priority="86" stopIfTrue="1" operator="greaterThan">
      <formula>#REF!</formula>
    </cfRule>
    <cfRule type="cellIs" dxfId="2751" priority="85" stopIfTrue="1" operator="lessThanOrEqual">
      <formula>0</formula>
    </cfRule>
    <cfRule type="cellIs" dxfId="2750" priority="84" stopIfTrue="1" operator="greaterThan">
      <formula>$F$21</formula>
    </cfRule>
    <cfRule type="cellIs" dxfId="2749" priority="83" stopIfTrue="1" operator="lessThanOrEqual">
      <formula>0</formula>
    </cfRule>
  </conditionalFormatting>
  <conditionalFormatting sqref="I55">
    <cfRule type="cellIs" dxfId="2748" priority="45" stopIfTrue="1" operator="lessThanOrEqual">
      <formula>0</formula>
    </cfRule>
    <cfRule type="cellIs" dxfId="2747" priority="49" stopIfTrue="1" operator="lessThanOrEqual">
      <formula>0</formula>
    </cfRule>
    <cfRule type="cellIs" dxfId="2746" priority="48" stopIfTrue="1" operator="greaterThan">
      <formula>$F$63</formula>
    </cfRule>
    <cfRule type="cellIs" dxfId="2745" priority="47" stopIfTrue="1" operator="lessThanOrEqual">
      <formula>0</formula>
    </cfRule>
    <cfRule type="cellIs" dxfId="2744" priority="46" stopIfTrue="1" operator="greaterThan">
      <formula>$F$65</formula>
    </cfRule>
    <cfRule type="cellIs" dxfId="2743" priority="44" stopIfTrue="1" operator="greaterThan">
      <formula>$F$63</formula>
    </cfRule>
  </conditionalFormatting>
  <conditionalFormatting sqref="I56:I57">
    <cfRule type="cellIs" dxfId="2742" priority="69" stopIfTrue="1" operator="lessThanOrEqual">
      <formula>0</formula>
    </cfRule>
    <cfRule type="cellIs" dxfId="2741" priority="68" stopIfTrue="1" operator="greaterThan">
      <formula>#REF!</formula>
    </cfRule>
    <cfRule type="cellIs" dxfId="2740" priority="73" stopIfTrue="1" operator="lessThanOrEqual">
      <formula>0</formula>
    </cfRule>
    <cfRule type="cellIs" dxfId="2739" priority="72" stopIfTrue="1" operator="greaterThan">
      <formula>#REF!</formula>
    </cfRule>
    <cfRule type="cellIs" dxfId="2738" priority="71" stopIfTrue="1" operator="lessThanOrEqual">
      <formula>0</formula>
    </cfRule>
    <cfRule type="cellIs" dxfId="2737" priority="70" stopIfTrue="1" operator="greaterThan">
      <formula>#REF!</formula>
    </cfRule>
  </conditionalFormatting>
  <conditionalFormatting sqref="I58">
    <cfRule type="cellIs" dxfId="2736" priority="102" stopIfTrue="1" operator="lessThanOrEqual">
      <formula>0</formula>
    </cfRule>
    <cfRule type="cellIs" dxfId="2735" priority="101" stopIfTrue="1" operator="greaterThan">
      <formula>$F$36</formula>
    </cfRule>
    <cfRule type="cellIs" dxfId="2734" priority="99" stopIfTrue="1" operator="greaterThan">
      <formula>$F$34</formula>
    </cfRule>
    <cfRule type="cellIs" dxfId="2733" priority="103" stopIfTrue="1" operator="greaterThan">
      <formula>$F$34</formula>
    </cfRule>
    <cfRule type="cellIs" dxfId="2732" priority="104" stopIfTrue="1" operator="lessThanOrEqual">
      <formula>0</formula>
    </cfRule>
    <cfRule type="cellIs" dxfId="2731" priority="100" stopIfTrue="1" operator="lessThanOrEqual">
      <formula>0</formula>
    </cfRule>
  </conditionalFormatting>
  <conditionalFormatting sqref="I62:I70">
    <cfRule type="cellIs" dxfId="2730" priority="131" stopIfTrue="1" operator="greaterThan">
      <formula>$J62</formula>
    </cfRule>
    <cfRule type="cellIs" dxfId="2729" priority="132" stopIfTrue="1" operator="lessThanOrEqual">
      <formula>0</formula>
    </cfRule>
  </conditionalFormatting>
  <conditionalFormatting sqref="I73:I81">
    <cfRule type="cellIs" dxfId="2728" priority="159" stopIfTrue="1" operator="greaterThan">
      <formula>4.5</formula>
    </cfRule>
    <cfRule type="cellIs" dxfId="2727" priority="160" stopIfTrue="1" operator="lessThanOrEqual">
      <formula>0</formula>
    </cfRule>
  </conditionalFormatting>
  <conditionalFormatting sqref="I10:J21">
    <cfRule type="cellIs" dxfId="2726" priority="17" operator="lessThan">
      <formula>97.9</formula>
    </cfRule>
  </conditionalFormatting>
  <conditionalFormatting sqref="J24:J26">
    <cfRule type="cellIs" dxfId="2725" priority="110" stopIfTrue="1" operator="lessThan">
      <formula>96.8</formula>
    </cfRule>
    <cfRule type="cellIs" dxfId="2724" priority="111" stopIfTrue="1" operator="greaterThan">
      <formula>100</formula>
    </cfRule>
    <cfRule type="cellIs" dxfId="2723" priority="112" operator="lessThan">
      <formula>98</formula>
    </cfRule>
  </conditionalFormatting>
  <conditionalFormatting sqref="J24:J28">
    <cfRule type="cellIs" dxfId="2722" priority="109" operator="lessThan">
      <formula>97.4</formula>
    </cfRule>
  </conditionalFormatting>
  <conditionalFormatting sqref="J29">
    <cfRule type="cellIs" dxfId="2721" priority="113" operator="lessThan">
      <formula>98</formula>
    </cfRule>
  </conditionalFormatting>
  <conditionalFormatting sqref="J31:J32">
    <cfRule type="cellIs" dxfId="2720" priority="114" stopIfTrue="1" operator="lessThan">
      <formula>96.8</formula>
    </cfRule>
    <cfRule type="cellIs" dxfId="2719" priority="115" stopIfTrue="1" operator="greaterThan">
      <formula>100</formula>
    </cfRule>
  </conditionalFormatting>
  <conditionalFormatting sqref="J31:J33">
    <cfRule type="cellIs" dxfId="2718" priority="116" operator="lessThan">
      <formula>98</formula>
    </cfRule>
  </conditionalFormatting>
  <conditionalFormatting sqref="J71">
    <cfRule type="cellIs" dxfId="2717" priority="117" stopIfTrue="1" operator="greaterThan">
      <formula>$F71</formula>
    </cfRule>
    <cfRule type="cellIs" dxfId="2716" priority="118" stopIfTrue="1" operator="lessThanOrEqual">
      <formula>0</formula>
    </cfRule>
  </conditionalFormatting>
  <conditionalFormatting sqref="K10:K21">
    <cfRule type="cellIs" dxfId="2715" priority="18" operator="greaterThan">
      <formula>6</formula>
    </cfRule>
    <cfRule type="cellIs" dxfId="2714" priority="19" operator="lessThan">
      <formula>4</formula>
    </cfRule>
    <cfRule type="cellIs" dxfId="2713" priority="20" operator="greaterThan">
      <formula>6.4</formula>
    </cfRule>
  </conditionalFormatting>
  <conditionalFormatting sqref="K53:K58 K62:N68 K69 M69:N69 K70:N70">
    <cfRule type="cellIs" dxfId="2712" priority="94" stopIfTrue="1" operator="lessThan">
      <formula>100%</formula>
    </cfRule>
  </conditionalFormatting>
  <conditionalFormatting sqref="K73:K78">
    <cfRule type="cellIs" dxfId="2711" priority="165" stopIfTrue="1" operator="lessThan">
      <formula>100%</formula>
    </cfRule>
  </conditionalFormatting>
  <conditionalFormatting sqref="K80:K81">
    <cfRule type="cellIs" dxfId="2710" priority="172" stopIfTrue="1" operator="lessThan">
      <formula>100%</formula>
    </cfRule>
  </conditionalFormatting>
  <conditionalFormatting sqref="L10:M20 L21">
    <cfRule type="cellIs" dxfId="2709" priority="57" operator="greaterThan">
      <formula>65</formula>
    </cfRule>
    <cfRule type="cellIs" dxfId="2708" priority="56" operator="between">
      <formula>61</formula>
      <formula>65</formula>
    </cfRule>
  </conditionalFormatting>
  <conditionalFormatting sqref="L24:M35">
    <cfRule type="cellIs" dxfId="2707" priority="60" operator="lessThan">
      <formula>97.95</formula>
    </cfRule>
  </conditionalFormatting>
  <conditionalFormatting sqref="L39:N39">
    <cfRule type="cellIs" dxfId="2706" priority="61" operator="notEqual">
      <formula>#REF!</formula>
    </cfRule>
  </conditionalFormatting>
  <conditionalFormatting sqref="L71:N71">
    <cfRule type="cellIs" dxfId="2705" priority="119" stopIfTrue="1" operator="lessThan">
      <formula>100%</formula>
    </cfRule>
  </conditionalFormatting>
  <conditionalFormatting sqref="L73:N81">
    <cfRule type="cellIs" dxfId="2704" priority="150" stopIfTrue="1" operator="lessThan">
      <formula>100%</formula>
    </cfRule>
  </conditionalFormatting>
  <conditionalFormatting sqref="M10:N14 G10:H21 M15:M16 M17:N19 M20">
    <cfRule type="expression" dxfId="2703" priority="25">
      <formula>IF(+(IF(G10&lt;#REF!,0,IF(G10&gt;#REF!,0,1)))=0,1)</formula>
    </cfRule>
  </conditionalFormatting>
  <conditionalFormatting sqref="M21:N21">
    <cfRule type="expression" dxfId="2702" priority="180">
      <formula>IF(+(IF(M21&lt;#REF!,0,IF(M21&gt;#REF!,0,1)))=0,1)</formula>
    </cfRule>
  </conditionalFormatting>
  <conditionalFormatting sqref="N15:N16">
    <cfRule type="expression" dxfId="2701" priority="16">
      <formula>IF(+(IF(N15&lt;W15,0,IF(N15&gt;X15,0,1)))=0,1)</formula>
    </cfRule>
  </conditionalFormatting>
  <conditionalFormatting sqref="N20">
    <cfRule type="expression" dxfId="2700" priority="15">
      <formula>IF(+(IF(N20&lt;W20,0,IF(N20&gt;X20,0,1)))=0,1)</formula>
    </cfRule>
  </conditionalFormatting>
  <conditionalFormatting sqref="P6">
    <cfRule type="cellIs" dxfId="2699" priority="146" operator="greaterThanOrEqual">
      <formula>19</formula>
    </cfRule>
  </conditionalFormatting>
  <dataValidations count="1">
    <dataValidation type="list" allowBlank="1" showInputMessage="1" showErrorMessage="1" sqref="R8" xr:uid="{52617808-D350-4167-9198-15FBA3ECCAB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676F-2407-41EF-8EA4-D0885A255E51}">
  <sheetPr>
    <pageSetUpPr fitToPage="1"/>
  </sheetPr>
  <dimension ref="A1:BE77"/>
  <sheetViews>
    <sheetView topLeftCell="A7" zoomScale="80" zoomScaleNormal="80" workbookViewId="0">
      <selection activeCell="B15" sqref="B15:O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45940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29" t="s">
        <v>6</v>
      </c>
      <c r="C10" s="366" t="str">
        <f>[22]Brewhouse!$A857</f>
        <v>CA747</v>
      </c>
      <c r="D10" s="279">
        <f>[22]Brewhouse!$AF857</f>
        <v>51.2</v>
      </c>
      <c r="E10" s="279">
        <f>[22]Brewhouse!$AI857</f>
        <v>48.7</v>
      </c>
      <c r="F10" s="278">
        <f>[22]Brewhouse!$V857</f>
        <v>59</v>
      </c>
      <c r="G10" s="279">
        <f>[22]Brewhouse!AG857</f>
        <v>11.8</v>
      </c>
      <c r="H10" s="396"/>
      <c r="I10" s="368">
        <f>[22]Brewhouse!$AU857</f>
        <v>94.339248847980755</v>
      </c>
      <c r="J10" s="368">
        <f>[22]Brewhouse!$AV857</f>
        <v>96.246202397545488</v>
      </c>
      <c r="K10" s="281">
        <f>[22]Brewhouse!$Q857</f>
        <v>4.9340866290018788</v>
      </c>
      <c r="L10" s="276">
        <f>[22]Brewhouse!$P857</f>
        <v>60</v>
      </c>
      <c r="M10" s="397">
        <f>[22]Brewhouse!$U857-[22]Brewhouse!$T857</f>
        <v>0.11249999999999999</v>
      </c>
      <c r="N10" s="370">
        <f>[22]Brewhouse!$Z857</f>
        <v>0.25277777777777777</v>
      </c>
      <c r="O10" s="421" t="str">
        <f>[22]Brewhouse!$AX857</f>
        <v>R. Regis</v>
      </c>
      <c r="P10" s="418"/>
      <c r="R10" s="277" t="str">
        <f t="shared" ref="R10:R11" si="0">B10</f>
        <v>CARIB</v>
      </c>
      <c r="S10" s="296">
        <f t="shared" ref="S10:S36" si="1">VLOOKUP($B10,$R$3:$X$9,2,FALSE)</f>
        <v>11.6</v>
      </c>
      <c r="T10" s="296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296">
        <f t="shared" ref="Z10:Z36" si="8">VLOOKUP($B10,$R$3:$Z$9,9,FALSE)</f>
        <v>60</v>
      </c>
    </row>
    <row r="11" spans="2:29" ht="15.6" customHeight="1">
      <c r="B11" s="29" t="s">
        <v>6</v>
      </c>
      <c r="C11" s="366" t="str">
        <f>[22]Brewhouse!$A858</f>
        <v>CA748</v>
      </c>
      <c r="D11" s="279">
        <f>[22]Brewhouse!$AF858</f>
        <v>52</v>
      </c>
      <c r="E11" s="279">
        <f>[22]Brewhouse!$AI858</f>
        <v>50.2</v>
      </c>
      <c r="F11" s="278">
        <f>[22]Brewhouse!$V858</f>
        <v>56</v>
      </c>
      <c r="G11" s="279">
        <f>[22]Brewhouse!AG858</f>
        <v>11.8</v>
      </c>
      <c r="H11" s="396">
        <v>11.9</v>
      </c>
      <c r="I11" s="368">
        <f>[22]Brewhouse!$AU858</f>
        <v>96.88374970846769</v>
      </c>
      <c r="J11" s="368">
        <f>[22]Brewhouse!$AV858</f>
        <v>98.842614617849193</v>
      </c>
      <c r="K11" s="281">
        <f>[22]Brewhouse!$Q858</f>
        <v>4.1807909604519748</v>
      </c>
      <c r="L11" s="276">
        <f>[22]Brewhouse!$P858</f>
        <v>57</v>
      </c>
      <c r="M11" s="397">
        <f>[22]Brewhouse!$U858-[22]Brewhouse!$T858</f>
        <v>0.10555555555555557</v>
      </c>
      <c r="N11" s="370">
        <f>[22]Brewhouse!$Z858</f>
        <v>0.25138888888888888</v>
      </c>
      <c r="O11" s="421" t="str">
        <f>[22]Brewhouse!$AX858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29" t="s">
        <v>6</v>
      </c>
      <c r="C12" s="366" t="str">
        <f>[22]Brewhouse!$A859</f>
        <v>CA749</v>
      </c>
      <c r="D12" s="279">
        <f>[22]Brewhouse!$AF859</f>
        <v>52.4</v>
      </c>
      <c r="E12" s="279">
        <f>[22]Brewhouse!$AI859</f>
        <v>51.5</v>
      </c>
      <c r="F12" s="278">
        <f>[22]Brewhouse!$V859</f>
        <v>63</v>
      </c>
      <c r="G12" s="279">
        <f>[22]Brewhouse!AG859</f>
        <v>11.7</v>
      </c>
      <c r="H12" s="396">
        <v>11.8</v>
      </c>
      <c r="I12" s="368">
        <f>[22]Brewhouse!$AU859</f>
        <v>98.384875076943416</v>
      </c>
      <c r="J12" s="368">
        <f>[22]Brewhouse!$AV859</f>
        <v>100.37425159911308</v>
      </c>
      <c r="K12" s="281">
        <f>[22]Brewhouse!$Q859</f>
        <v>4.1807909604519748</v>
      </c>
      <c r="L12" s="276">
        <f>[22]Brewhouse!$P859</f>
        <v>66</v>
      </c>
      <c r="M12" s="397">
        <f>[22]Brewhouse!$U859-[22]Brewhouse!$T859</f>
        <v>0.12638888888888888</v>
      </c>
      <c r="N12" s="370">
        <f>[22]Brewhouse!$Z859</f>
        <v>0.27152777777777781</v>
      </c>
      <c r="O12" s="421" t="str">
        <f>[22]Brewhouse!$AX859</f>
        <v>R.Sookram</v>
      </c>
      <c r="P12" s="418"/>
      <c r="R12" s="277" t="str">
        <f t="shared" ref="R12:R36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6" customHeight="1">
      <c r="B13" s="29" t="s">
        <v>6</v>
      </c>
      <c r="C13" s="366" t="str">
        <f>[22]Brewhouse!$A860</f>
        <v>CA750</v>
      </c>
      <c r="D13" s="279">
        <f>[22]Brewhouse!$AF860</f>
        <v>51.9</v>
      </c>
      <c r="E13" s="279">
        <f>[22]Brewhouse!$AI860</f>
        <v>50</v>
      </c>
      <c r="F13" s="278">
        <f>[22]Brewhouse!$V860</f>
        <v>58</v>
      </c>
      <c r="G13" s="279">
        <f>[22]Brewhouse!AG860</f>
        <v>11.9</v>
      </c>
      <c r="H13" s="396">
        <v>11.88</v>
      </c>
      <c r="I13" s="368">
        <f>[22]Brewhouse!$AU860</f>
        <v>97.478647220115519</v>
      </c>
      <c r="J13" s="368">
        <f>[22]Brewhouse!$AV860</f>
        <v>99.449380492185895</v>
      </c>
      <c r="K13" s="281">
        <f>[22]Brewhouse!$Q860</f>
        <v>3.6158192090395511</v>
      </c>
      <c r="L13" s="276">
        <f>[22]Brewhouse!$P860</f>
        <v>57</v>
      </c>
      <c r="M13" s="397">
        <f>[22]Brewhouse!$U860-[22]Brewhouse!$T860</f>
        <v>0.10763888888888895</v>
      </c>
      <c r="N13" s="370">
        <f>[22]Brewhouse!$Z860</f>
        <v>0.26666666666666672</v>
      </c>
      <c r="O13" s="421" t="str">
        <f>[22]Brewhouse!$AX860</f>
        <v>R.Sookram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29" t="s">
        <v>6</v>
      </c>
      <c r="C14" s="366" t="str">
        <f>[22]Brewhouse!$A861</f>
        <v>CA751</v>
      </c>
      <c r="D14" s="279">
        <f>[22]Brewhouse!$AF861</f>
        <v>51.3</v>
      </c>
      <c r="E14" s="279">
        <f>[22]Brewhouse!$AI861</f>
        <v>50.5</v>
      </c>
      <c r="F14" s="278">
        <f>[22]Brewhouse!$V861</f>
        <v>59</v>
      </c>
      <c r="G14" s="279">
        <f>[22]Brewhouse!AG861</f>
        <v>11.6</v>
      </c>
      <c r="H14" s="396">
        <v>11.81</v>
      </c>
      <c r="I14" s="368">
        <f>[22]Brewhouse!$AU861</f>
        <v>96.201617465649306</v>
      </c>
      <c r="J14" s="368">
        <f>[22]Brewhouse!$AV861</f>
        <v>98.146057754152395</v>
      </c>
      <c r="K14" s="281">
        <f>[22]Brewhouse!$Q861</f>
        <v>4.5660377358490596</v>
      </c>
      <c r="L14" s="276">
        <f>[22]Brewhouse!$P861</f>
        <v>60</v>
      </c>
      <c r="M14" s="397">
        <f>[22]Brewhouse!$U861-[22]Brewhouse!$T861</f>
        <v>0.21458333333333335</v>
      </c>
      <c r="N14" s="370">
        <f>[22]Brewhouse!$Z861</f>
        <v>0.3666666666666667</v>
      </c>
      <c r="O14" s="421" t="str">
        <f>[22]Brewhouse!$AX861</f>
        <v>K.Benjamin</v>
      </c>
      <c r="P14" s="418" t="s">
        <v>176</v>
      </c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6" customHeight="1">
      <c r="B15" s="29" t="s">
        <v>6</v>
      </c>
      <c r="C15" s="366" t="str">
        <f>[22]Brewhouse!$A862</f>
        <v>CA752</v>
      </c>
      <c r="D15" s="279">
        <f>[22]Brewhouse!$AF862</f>
        <v>54.8</v>
      </c>
      <c r="E15" s="279">
        <f>[22]Brewhouse!$AI862</f>
        <v>52.8</v>
      </c>
      <c r="F15" s="278">
        <f>[22]Brewhouse!$V862</f>
        <v>58</v>
      </c>
      <c r="G15" s="279">
        <f>[22]Brewhouse!AG862</f>
        <v>11.9</v>
      </c>
      <c r="H15" s="396">
        <v>11.8</v>
      </c>
      <c r="I15" s="368">
        <f>[22]Brewhouse!$AU862</f>
        <v>103.19331571043004</v>
      </c>
      <c r="J15" s="368">
        <f>[22]Brewhouse!$AV862</f>
        <v>105.27924348798166</v>
      </c>
      <c r="K15" s="281">
        <f>[22]Brewhouse!$Q862</f>
        <v>-0.52830188679245493</v>
      </c>
      <c r="L15" s="276">
        <f>[22]Brewhouse!$P862</f>
        <v>60</v>
      </c>
      <c r="M15" s="397">
        <f>[22]Brewhouse!$U862-[22]Brewhouse!$T862</f>
        <v>0.12152777777777779</v>
      </c>
      <c r="N15" s="370">
        <f>[22]Brewhouse!$Z862</f>
        <v>0.26736111111111105</v>
      </c>
      <c r="O15" s="421" t="str">
        <f>[22]Brewhouse!$AX862</f>
        <v>K.Benjamin</v>
      </c>
      <c r="P15" s="418" t="s">
        <v>176</v>
      </c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6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6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6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33"/>
      <c r="C20" s="366"/>
      <c r="D20" s="279"/>
      <c r="E20" s="279"/>
      <c r="F20" s="278"/>
      <c r="G20" s="279"/>
      <c r="H20" s="464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489" t="s">
        <v>35</v>
      </c>
      <c r="E24" s="49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80"/>
      <c r="C25" s="362"/>
      <c r="D25" s="515"/>
      <c r="E25" s="516"/>
      <c r="F25" s="294"/>
      <c r="G25" s="294"/>
      <c r="H25" s="348"/>
      <c r="I25" s="29" t="s">
        <v>6</v>
      </c>
      <c r="J25" s="280">
        <f>AVERAGE(I10:I15)</f>
        <v>97.746909004931112</v>
      </c>
      <c r="K25" s="284">
        <f>COUNTA([22]Brewhouse!$A$823:$A$862)</f>
        <v>40</v>
      </c>
      <c r="L25" s="305">
        <f>AVERAGE([22]Brewhouse!$AU$823:$AU$862)</f>
        <v>97.590265038899688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$862)</f>
        <v>97.7002563157276</v>
      </c>
      <c r="N25" s="30">
        <v>98</v>
      </c>
      <c r="O25" s="11"/>
      <c r="P25" s="31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81"/>
      <c r="C26" s="362"/>
      <c r="D26" s="517"/>
      <c r="E26" s="518"/>
      <c r="F26" s="294"/>
      <c r="G26" s="294"/>
      <c r="H26" s="348"/>
      <c r="I26" s="33" t="s">
        <v>9</v>
      </c>
      <c r="J26" s="280"/>
      <c r="K26" s="284">
        <f>COUNTA([23]Brewhouse!$A$399:$A$419)</f>
        <v>21</v>
      </c>
      <c r="L26" s="302">
        <f>AVERAGE([23]Brewhouse!$AS$399:$AS$419)</f>
        <v>98.088487780497204</v>
      </c>
      <c r="M26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6" s="30">
        <v>98</v>
      </c>
      <c r="O26" s="11"/>
      <c r="P26" s="31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81"/>
      <c r="C27" s="362"/>
      <c r="D27" s="515"/>
      <c r="E27" s="516"/>
      <c r="F27" s="294"/>
      <c r="G27" s="294"/>
      <c r="H27" s="348"/>
      <c r="I27" s="34" t="s">
        <v>12</v>
      </c>
      <c r="J27" s="280"/>
      <c r="K27" s="284"/>
      <c r="L27" s="302"/>
      <c r="M27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81"/>
      <c r="C28" s="362"/>
      <c r="D28" s="517"/>
      <c r="E28" s="51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81"/>
      <c r="C29" s="362"/>
      <c r="D29" s="515"/>
      <c r="E29" s="51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81"/>
      <c r="C30" s="362"/>
      <c r="D30" s="517"/>
      <c r="E30" s="518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81"/>
      <c r="C31" s="362"/>
      <c r="D31" s="515"/>
      <c r="E31" s="516"/>
      <c r="F31" s="417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1" s="30">
        <v>98</v>
      </c>
      <c r="O31" s="11"/>
      <c r="P31" s="31" t="s">
        <v>41</v>
      </c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81"/>
      <c r="C32" s="362"/>
      <c r="D32" s="517"/>
      <c r="E32" s="518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81"/>
      <c r="C33" s="349"/>
      <c r="D33" s="515"/>
      <c r="E33" s="516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81"/>
      <c r="C34" s="349"/>
      <c r="D34" s="517"/>
      <c r="E34" s="518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81"/>
      <c r="C35" s="349"/>
      <c r="D35" s="515"/>
      <c r="E35" s="516"/>
      <c r="F35" s="294"/>
      <c r="G35" s="294"/>
      <c r="H35" s="348"/>
      <c r="I35" s="1"/>
      <c r="J35" s="39"/>
      <c r="K35" s="404">
        <f>SUM(K25:K34)</f>
        <v>61</v>
      </c>
      <c r="L35" s="405">
        <f>((L25*K25)+(L26*K26)+(L27*K27)+(L28*K28)+(L29*K29)+(K32*L32)+(L30*K30)+(L31*K31)+(L34*K34))/(K35)</f>
        <v>97.761784343384065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97.594128674020197</v>
      </c>
      <c r="N35" s="40">
        <v>98</v>
      </c>
      <c r="O35" s="11"/>
      <c r="P35" s="31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82"/>
      <c r="C36" s="350"/>
      <c r="D36" s="517"/>
      <c r="E36" s="51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62"/>
      <c r="C37" s="362"/>
      <c r="D37" s="528"/>
      <c r="E37" s="529"/>
      <c r="F37" s="294"/>
      <c r="G37" s="42"/>
      <c r="H37" s="41"/>
      <c r="I37" s="42"/>
      <c r="J37" s="563" t="s">
        <v>129</v>
      </c>
      <c r="K37" s="563"/>
      <c r="L37" s="294"/>
      <c r="M37" s="294"/>
      <c r="N37" s="294"/>
      <c r="O37" s="294"/>
      <c r="P37" s="12"/>
    </row>
    <row r="38" spans="1:56" ht="15.75" thickBot="1">
      <c r="B38" s="526"/>
      <c r="C38" s="362"/>
      <c r="D38" s="530"/>
      <c r="E38" s="518"/>
      <c r="F38" s="294"/>
      <c r="G38" s="42"/>
      <c r="H38" s="41"/>
      <c r="I38" s="42"/>
      <c r="J38" s="292" t="s">
        <v>17</v>
      </c>
      <c r="K38" s="293" t="s">
        <v>147</v>
      </c>
      <c r="L38" s="532" t="s">
        <v>136</v>
      </c>
      <c r="M38" s="532"/>
      <c r="N38" s="533"/>
      <c r="O38" s="294"/>
      <c r="P38" s="12"/>
    </row>
    <row r="39" spans="1:56" ht="15" customHeight="1" thickBot="1">
      <c r="B39" s="526"/>
      <c r="C39" s="349"/>
      <c r="D39" s="564"/>
      <c r="E39" s="565"/>
      <c r="F39" s="294"/>
      <c r="G39" s="42"/>
      <c r="H39" s="41"/>
      <c r="I39" s="42"/>
      <c r="J39" s="287" t="s">
        <v>6</v>
      </c>
      <c r="K39" s="324">
        <f>COUNTA(B10:B15)</f>
        <v>6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26"/>
      <c r="C40" s="349"/>
      <c r="D40" s="530"/>
      <c r="E40" s="518"/>
      <c r="F40" s="294"/>
      <c r="G40" s="42"/>
      <c r="H40" s="41"/>
      <c r="I40" s="42"/>
      <c r="J40" s="345" t="s">
        <v>9</v>
      </c>
      <c r="K40" s="324"/>
      <c r="L40" s="344">
        <f>AVERAGE('Oct. 1st'!K49,,'Oct. 2nd'!K51,'Oct. 3rd'!K46,'Oct. 6th'!K54,Oct.7th!K50,Oct.8th!K48,K49)</f>
        <v>7.625</v>
      </c>
      <c r="M40" s="325">
        <f>AVERAGE('[31]Jan 29th '!$M$70,'[32]Feb 28th'!$L$40,'[33]Mar. 31st'!$L$40,'[34]Apr. 30th'!$L$50,'[35]May 30th'!$L$42,'[36]June 30th'!$L$62,'[37]July 29th '!$L$49,'[38]Aug 29th'!$L$34,'[39]Sept 30th'!$L$40,L40)</f>
        <v>7.068627777638075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64"/>
      <c r="E41" s="56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6"/>
      <c r="C42" s="349"/>
      <c r="D42" s="530"/>
      <c r="E42" s="518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64"/>
      <c r="E43" s="56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30"/>
      <c r="E44" s="518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64"/>
      <c r="E45" s="56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6"/>
      <c r="C46" s="350"/>
      <c r="D46" s="566"/>
      <c r="E46" s="567"/>
      <c r="F46" s="294" t="s">
        <v>178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60" t="e">
        <f>AVERAGE(D25:E46)</f>
        <v>#DIV/0!</v>
      </c>
      <c r="E47" s="56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0" t="s">
        <v>17</v>
      </c>
      <c r="C52" s="540" t="s">
        <v>44</v>
      </c>
      <c r="D52" s="542" t="s">
        <v>45</v>
      </c>
      <c r="E52" s="497" t="s">
        <v>46</v>
      </c>
      <c r="F52" s="557" t="s">
        <v>47</v>
      </c>
      <c r="G52" s="551" t="s">
        <v>48</v>
      </c>
      <c r="H52" s="540" t="s">
        <v>49</v>
      </c>
      <c r="I52" s="540" t="s">
        <v>50</v>
      </c>
      <c r="J52" s="545" t="s">
        <v>28</v>
      </c>
      <c r="K52" s="495" t="s">
        <v>51</v>
      </c>
      <c r="L52" s="507" t="s">
        <v>52</v>
      </c>
      <c r="M52" s="545" t="s">
        <v>53</v>
      </c>
      <c r="N52" s="13"/>
      <c r="O52" s="13"/>
      <c r="P52" s="50"/>
    </row>
    <row r="53" spans="2:57" ht="28.5" customHeight="1" thickTop="1" thickBot="1">
      <c r="B53" s="541"/>
      <c r="C53" s="541"/>
      <c r="D53" s="543"/>
      <c r="E53" s="544"/>
      <c r="F53" s="558"/>
      <c r="G53" s="552"/>
      <c r="H53" s="559"/>
      <c r="I53" s="559"/>
      <c r="J53" s="546"/>
      <c r="K53" s="555"/>
      <c r="L53" s="556"/>
      <c r="M53" s="546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68"/>
      <c r="C54" s="442"/>
      <c r="D54" s="443"/>
      <c r="E54" s="444"/>
      <c r="F54" s="445"/>
      <c r="G54" s="445"/>
      <c r="H54" s="462"/>
      <c r="I54" s="462"/>
      <c r="J54" s="449"/>
      <c r="K54" s="450"/>
      <c r="L54" s="461"/>
      <c r="M54" s="457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58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60"/>
      <c r="C56" s="442"/>
      <c r="D56" s="443"/>
      <c r="E56" s="444"/>
      <c r="F56" s="445"/>
      <c r="G56" s="446"/>
      <c r="H56" s="462"/>
      <c r="I56" s="462"/>
      <c r="J56" s="449"/>
      <c r="K56" s="466"/>
      <c r="L56" s="461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 t="s">
        <v>41</v>
      </c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/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7" t="s">
        <v>55</v>
      </c>
      <c r="C61" s="548"/>
      <c r="D61" s="548"/>
      <c r="E61" s="548"/>
      <c r="F61" s="549"/>
      <c r="G61" s="547" t="s">
        <v>56</v>
      </c>
      <c r="H61" s="548"/>
      <c r="I61" s="548"/>
      <c r="J61" s="549"/>
      <c r="K61" s="547" t="s">
        <v>51</v>
      </c>
      <c r="L61" s="548"/>
      <c r="M61" s="548"/>
      <c r="N61" s="550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5.4280582718020227</v>
      </c>
      <c r="E63" s="76">
        <v>6.3177809295166583</v>
      </c>
      <c r="F63" s="66">
        <v>4.8</v>
      </c>
      <c r="G63" s="65"/>
      <c r="H63" s="76">
        <v>4.2640627945127214</v>
      </c>
      <c r="I63" s="76">
        <v>6.1869451198886729</v>
      </c>
      <c r="J63" s="66">
        <v>4.8</v>
      </c>
      <c r="K63" s="67"/>
      <c r="L63" s="194">
        <v>0.65879609414011675</v>
      </c>
      <c r="M63" s="194">
        <v>0.76418505858469299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4.9899914212181837</v>
      </c>
      <c r="E64" s="76">
        <v>5.8986910363327869</v>
      </c>
      <c r="F64" s="66">
        <v>4.8</v>
      </c>
      <c r="G64" s="65"/>
      <c r="H64" s="76">
        <v>4.1514556010038586</v>
      </c>
      <c r="I64" s="76">
        <v>5.5953405903132074</v>
      </c>
      <c r="J64" s="66">
        <v>4.8</v>
      </c>
      <c r="K64" s="67"/>
      <c r="L64" s="194">
        <v>0.76762435317700806</v>
      </c>
      <c r="M64" s="194">
        <v>0.71798543638636902</v>
      </c>
      <c r="N64" s="68">
        <v>1</v>
      </c>
      <c r="P64" s="69"/>
    </row>
    <row r="65" spans="2:16" ht="15">
      <c r="B65" s="34" t="s">
        <v>40</v>
      </c>
      <c r="C65" s="65"/>
      <c r="D65" s="76">
        <v>9.535333978702802</v>
      </c>
      <c r="E65" s="76">
        <v>11.690789306336304</v>
      </c>
      <c r="F65" s="66">
        <v>5.5</v>
      </c>
      <c r="G65" s="65"/>
      <c r="H65" s="76">
        <v>9.7076284177373999</v>
      </c>
      <c r="I65" s="76">
        <v>12.617010368159198</v>
      </c>
      <c r="J65" s="66">
        <v>5.5</v>
      </c>
      <c r="K65" s="67"/>
      <c r="L65" s="194">
        <v>0.9345</v>
      </c>
      <c r="M65" s="194">
        <v>0.54931804556354924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5.119233255999676</v>
      </c>
      <c r="F66" s="66">
        <v>3.3</v>
      </c>
      <c r="G66" s="65"/>
      <c r="H66" s="76"/>
      <c r="I66" s="76">
        <v>4.4772094679692334</v>
      </c>
      <c r="J66" s="66">
        <v>3.3</v>
      </c>
      <c r="K66" s="67"/>
      <c r="L66" s="194"/>
      <c r="M66" s="194">
        <v>0.80025950292397652</v>
      </c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7.3129862357869699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2.0782986950217497</v>
      </c>
      <c r="E69" s="76">
        <v>2.8629317642487306</v>
      </c>
      <c r="F69" s="66">
        <v>3.3</v>
      </c>
      <c r="G69" s="282"/>
      <c r="H69" s="76">
        <v>3.4559849687930924</v>
      </c>
      <c r="I69" s="76">
        <v>4.3478819741669881</v>
      </c>
      <c r="J69" s="66">
        <v>3.3</v>
      </c>
      <c r="K69" s="67"/>
      <c r="L69" s="194">
        <v>0.88859649122807016</v>
      </c>
      <c r="M69" s="194">
        <v>0.85935680751173715</v>
      </c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4.9372281432311533</v>
      </c>
      <c r="E72" s="76">
        <v>6.3360353627298833</v>
      </c>
      <c r="F72" s="341">
        <v>5.5</v>
      </c>
      <c r="H72" s="76">
        <v>4.6389451434741931</v>
      </c>
      <c r="I72" s="76">
        <v>6.4962150964521639</v>
      </c>
      <c r="J72" s="341">
        <v>5.5</v>
      </c>
      <c r="L72" s="194">
        <v>0.74162962962962975</v>
      </c>
      <c r="M72" s="194">
        <v>0.73176421845574391</v>
      </c>
      <c r="N72" s="386">
        <v>1</v>
      </c>
    </row>
    <row r="76" spans="2:16">
      <c r="F76" s="315"/>
    </row>
    <row r="77" spans="2:16" ht="15">
      <c r="F7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698" priority="136" operator="notBetween">
      <formula>#REF!</formula>
      <formula>#REF!</formula>
    </cfRule>
  </conditionalFormatting>
  <conditionalFormatting sqref="C51">
    <cfRule type="cellIs" dxfId="2697" priority="168" stopIfTrue="1" operator="greaterThan">
      <formula>100</formula>
    </cfRule>
    <cfRule type="cellIs" dxfId="2696" priority="167" stopIfTrue="1" operator="lessThan">
      <formula>96</formula>
    </cfRule>
  </conditionalFormatting>
  <conditionalFormatting sqref="C63:C67">
    <cfRule type="cellIs" dxfId="2695" priority="117" stopIfTrue="1" operator="lessThanOrEqual">
      <formula>0</formula>
    </cfRule>
  </conditionalFormatting>
  <conditionalFormatting sqref="C63:C71">
    <cfRule type="cellIs" dxfId="2694" priority="116" stopIfTrue="1" operator="greaterThan">
      <formula>$F63</formula>
    </cfRule>
  </conditionalFormatting>
  <conditionalFormatting sqref="C64">
    <cfRule type="cellIs" dxfId="2693" priority="171" stopIfTrue="1" operator="greaterThan">
      <formula>$F63</formula>
    </cfRule>
  </conditionalFormatting>
  <conditionalFormatting sqref="C68">
    <cfRule type="cellIs" dxfId="2692" priority="55" stopIfTrue="1" operator="greaterThan">
      <formula>$F67</formula>
    </cfRule>
    <cfRule type="cellIs" dxfId="2691" priority="54" stopIfTrue="1" operator="lessThanOrEqual">
      <formula>0</formula>
    </cfRule>
  </conditionalFormatting>
  <conditionalFormatting sqref="C74:C78">
    <cfRule type="cellIs" dxfId="2690" priority="159" stopIfTrue="1" operator="lessThanOrEqual">
      <formula>0</formula>
    </cfRule>
  </conditionalFormatting>
  <conditionalFormatting sqref="C75:C78">
    <cfRule type="cellIs" dxfId="2689" priority="158" stopIfTrue="1" operator="greaterThan">
      <formula>$F$74</formula>
    </cfRule>
  </conditionalFormatting>
  <conditionalFormatting sqref="C80">
    <cfRule type="cellIs" dxfId="2688" priority="161" stopIfTrue="1" operator="lessThanOrEqual">
      <formula>0</formula>
    </cfRule>
    <cfRule type="cellIs" dxfId="2687" priority="160" stopIfTrue="1" operator="greaterThan">
      <formula>$F$74</formula>
    </cfRule>
  </conditionalFormatting>
  <conditionalFormatting sqref="C74:D74 D76:D82">
    <cfRule type="cellIs" dxfId="2686" priority="153" stopIfTrue="1" operator="greaterThan">
      <formula>4.5</formula>
    </cfRule>
  </conditionalFormatting>
  <conditionalFormatting sqref="D47:D48">
    <cfRule type="cellIs" dxfId="2685" priority="137" operator="notBetween">
      <formula>#REF!</formula>
      <formula>#REF!</formula>
    </cfRule>
  </conditionalFormatting>
  <conditionalFormatting sqref="D63:D70">
    <cfRule type="cellIs" dxfId="2684" priority="131" stopIfTrue="1" operator="lessThanOrEqual">
      <formula>0</formula>
    </cfRule>
  </conditionalFormatting>
  <conditionalFormatting sqref="D71">
    <cfRule type="cellIs" dxfId="2683" priority="130" stopIfTrue="1" operator="lessThanOrEqual">
      <formula>0</formula>
    </cfRule>
  </conditionalFormatting>
  <conditionalFormatting sqref="D74 D76:D82">
    <cfRule type="cellIs" dxfId="2682" priority="154" stopIfTrue="1" operator="lessThanOrEqual">
      <formula>0</formula>
    </cfRule>
  </conditionalFormatting>
  <conditionalFormatting sqref="D75">
    <cfRule type="cellIs" dxfId="2681" priority="146" stopIfTrue="1" operator="lessThanOrEqual">
      <formula>0</formula>
    </cfRule>
    <cfRule type="cellIs" dxfId="2680" priority="145" stopIfTrue="1" operator="greaterThan">
      <formula>$F$74</formula>
    </cfRule>
  </conditionalFormatting>
  <conditionalFormatting sqref="D63:E72">
    <cfRule type="cellIs" dxfId="2679" priority="114" stopIfTrue="1" operator="greaterThan">
      <formula>$F63</formula>
    </cfRule>
  </conditionalFormatting>
  <conditionalFormatting sqref="D72:E72">
    <cfRule type="cellIs" dxfId="2678" priority="115" stopIfTrue="1" operator="lessThanOrEqual">
      <formula>0</formula>
    </cfRule>
  </conditionalFormatting>
  <conditionalFormatting sqref="E10:E22">
    <cfRule type="cellIs" dxfId="2677" priority="33" operator="lessThan">
      <formula>48</formula>
    </cfRule>
  </conditionalFormatting>
  <conditionalFormatting sqref="E50 E51:F51">
    <cfRule type="cellIs" dxfId="2676" priority="150" stopIfTrue="1" operator="greaterThan">
      <formula>100</formula>
    </cfRule>
  </conditionalFormatting>
  <conditionalFormatting sqref="E51">
    <cfRule type="cellIs" dxfId="2675" priority="148" stopIfTrue="1" operator="greaterThan">
      <formula>100</formula>
    </cfRule>
    <cfRule type="cellIs" dxfId="2674" priority="147" stopIfTrue="1" operator="lessThan">
      <formula>96.8</formula>
    </cfRule>
  </conditionalFormatting>
  <conditionalFormatting sqref="E63:E71">
    <cfRule type="cellIs" dxfId="2673" priority="125" stopIfTrue="1" operator="lessThanOrEqual">
      <formula>0</formula>
    </cfRule>
  </conditionalFormatting>
  <conditionalFormatting sqref="E74:E82">
    <cfRule type="cellIs" dxfId="2672" priority="140" stopIfTrue="1" operator="lessThanOrEqual">
      <formula>0</formula>
    </cfRule>
    <cfRule type="cellIs" dxfId="2671" priority="139" stopIfTrue="1" operator="greaterThan">
      <formula>4.5</formula>
    </cfRule>
  </conditionalFormatting>
  <conditionalFormatting sqref="E51:F51 E50">
    <cfRule type="cellIs" dxfId="2670" priority="149" stopIfTrue="1" operator="lessThan">
      <formula>96.5</formula>
    </cfRule>
  </conditionalFormatting>
  <conditionalFormatting sqref="F10:F22">
    <cfRule type="cellIs" dxfId="2669" priority="34" operator="greaterThan">
      <formula>60</formula>
    </cfRule>
  </conditionalFormatting>
  <conditionalFormatting sqref="F51">
    <cfRule type="cellIs" dxfId="2668" priority="166" stopIfTrue="1" operator="greaterThan">
      <formula>100</formula>
    </cfRule>
    <cfRule type="cellIs" dxfId="2667" priority="165" stopIfTrue="1" operator="lessThan">
      <formula>96.8</formula>
    </cfRule>
  </conditionalFormatting>
  <conditionalFormatting sqref="F72">
    <cfRule type="cellIs" dxfId="2666" priority="126" stopIfTrue="1" operator="greaterThan">
      <formula>$F72</formula>
    </cfRule>
    <cfRule type="cellIs" dxfId="2665" priority="127" stopIfTrue="1" operator="lessThanOrEqual">
      <formula>0</formula>
    </cfRule>
  </conditionalFormatting>
  <conditionalFormatting sqref="F77">
    <cfRule type="cellIs" dxfId="2664" priority="85" stopIfTrue="1" operator="lessThanOrEqual">
      <formula>0</formula>
    </cfRule>
    <cfRule type="cellIs" dxfId="2663" priority="84" stopIfTrue="1" operator="greaterThan">
      <formula>$F77</formula>
    </cfRule>
  </conditionalFormatting>
  <conditionalFormatting sqref="G10:G18">
    <cfRule type="expression" dxfId="2662" priority="7">
      <formula>IF(+(IF(G10&lt;S10,0,IF(G10&gt;T10,0,1)))=0,1)</formula>
    </cfRule>
  </conditionalFormatting>
  <conditionalFormatting sqref="G63:G64 C69:C71">
    <cfRule type="cellIs" dxfId="2661" priority="133" stopIfTrue="1" operator="lessThanOrEqual">
      <formula>0</formula>
    </cfRule>
  </conditionalFormatting>
  <conditionalFormatting sqref="G63:G64">
    <cfRule type="cellIs" dxfId="2660" priority="118" stopIfTrue="1" operator="greaterThan">
      <formula>$F63</formula>
    </cfRule>
    <cfRule type="cellIs" dxfId="2659" priority="119" stopIfTrue="1" operator="lessThanOrEqual">
      <formula>0</formula>
    </cfRule>
    <cfRule type="cellIs" dxfId="2658" priority="132" stopIfTrue="1" operator="greaterThan">
      <formula>$F63</formula>
    </cfRule>
  </conditionalFormatting>
  <conditionalFormatting sqref="G65">
    <cfRule type="cellIs" dxfId="2657" priority="170" stopIfTrue="1" operator="lessThanOrEqual">
      <formula>0</formula>
    </cfRule>
    <cfRule type="cellIs" dxfId="2656" priority="169" stopIfTrue="1" operator="greaterThan">
      <formula>$F64</formula>
    </cfRule>
  </conditionalFormatting>
  <conditionalFormatting sqref="G66">
    <cfRule type="cellIs" dxfId="2655" priority="128" stopIfTrue="1" operator="greaterThan">
      <formula>$F66</formula>
    </cfRule>
    <cfRule type="cellIs" dxfId="2654" priority="129" stopIfTrue="1" operator="lessThanOrEqual">
      <formula>0</formula>
    </cfRule>
  </conditionalFormatting>
  <conditionalFormatting sqref="G67:G71">
    <cfRule type="cellIs" dxfId="2653" priority="135" stopIfTrue="1" operator="lessThanOrEqual">
      <formula>0</formula>
    </cfRule>
    <cfRule type="cellIs" dxfId="2652" priority="134" stopIfTrue="1" operator="greaterThan">
      <formula>$J67</formula>
    </cfRule>
  </conditionalFormatting>
  <conditionalFormatting sqref="G76:G81 C79 C81">
    <cfRule type="cellIs" dxfId="2651" priority="162" stopIfTrue="1" operator="greaterThan">
      <formula>4.5</formula>
    </cfRule>
    <cfRule type="cellIs" dxfId="2650" priority="163" stopIfTrue="1" operator="lessThanOrEqual">
      <formula>0</formula>
    </cfRule>
  </conditionalFormatting>
  <conditionalFormatting sqref="G75:H75">
    <cfRule type="cellIs" dxfId="2649" priority="144" stopIfTrue="1" operator="lessThanOrEqual">
      <formula>0</formula>
    </cfRule>
    <cfRule type="cellIs" dxfId="2648" priority="143" stopIfTrue="1" operator="greaterThan">
      <formula>$F$74</formula>
    </cfRule>
  </conditionalFormatting>
  <conditionalFormatting sqref="H10:H18 M19:N20 G19:H22 M21">
    <cfRule type="expression" dxfId="2647" priority="35">
      <formula>IF(+(IF(G10&lt;#REF!,0,IF(G10&gt;#REF!,0,1)))=0,1)</formula>
    </cfRule>
  </conditionalFormatting>
  <conditionalFormatting sqref="H36:H50">
    <cfRule type="cellIs" dxfId="2646" priority="141" stopIfTrue="1" operator="greaterThan">
      <formula>0</formula>
    </cfRule>
  </conditionalFormatting>
  <conditionalFormatting sqref="H54">
    <cfRule type="cellIs" dxfId="2645" priority="24" stopIfTrue="1" operator="lessThanOrEqual">
      <formula>0</formula>
    </cfRule>
    <cfRule type="cellIs" dxfId="2644" priority="14" stopIfTrue="1" operator="lessThanOrEqual">
      <formula>0</formula>
    </cfRule>
    <cfRule type="cellIs" dxfId="2643" priority="15" stopIfTrue="1" operator="greaterThan">
      <formula>$F$70</formula>
    </cfRule>
    <cfRule type="cellIs" dxfId="2642" priority="23" stopIfTrue="1" operator="greaterThan">
      <formula>$F$73</formula>
    </cfRule>
    <cfRule type="cellIs" dxfId="2641" priority="25" stopIfTrue="1" operator="greaterThan">
      <formula>$F$71</formula>
    </cfRule>
    <cfRule type="cellIs" dxfId="2640" priority="26" stopIfTrue="1" operator="lessThanOrEqual">
      <formula>0</formula>
    </cfRule>
  </conditionalFormatting>
  <conditionalFormatting sqref="H55">
    <cfRule type="cellIs" dxfId="2639" priority="71" stopIfTrue="1" operator="lessThanOrEqual">
      <formula>0</formula>
    </cfRule>
    <cfRule type="cellIs" dxfId="2638" priority="72" stopIfTrue="1" operator="greaterThan">
      <formula>#REF!</formula>
    </cfRule>
    <cfRule type="cellIs" dxfId="2637" priority="81" stopIfTrue="1" operator="lessThanOrEqual">
      <formula>0</formula>
    </cfRule>
    <cfRule type="cellIs" dxfId="2636" priority="80" stopIfTrue="1" operator="greaterThan">
      <formula>$F$23</formula>
    </cfRule>
    <cfRule type="cellIs" dxfId="2635" priority="82" stopIfTrue="1" operator="greaterThan">
      <formula>#REF!</formula>
    </cfRule>
    <cfRule type="cellIs" dxfId="2634" priority="83" stopIfTrue="1" operator="lessThanOrEqual">
      <formula>0</formula>
    </cfRule>
  </conditionalFormatting>
  <conditionalFormatting sqref="H56">
    <cfRule type="cellIs" dxfId="2633" priority="37" stopIfTrue="1" operator="lessThanOrEqual">
      <formula>0</formula>
    </cfRule>
    <cfRule type="cellIs" dxfId="2632" priority="38" stopIfTrue="1" operator="greaterThan">
      <formula>$F$64</formula>
    </cfRule>
    <cfRule type="cellIs" dxfId="2631" priority="49" stopIfTrue="1" operator="lessThanOrEqual">
      <formula>0</formula>
    </cfRule>
    <cfRule type="cellIs" dxfId="2630" priority="48" stopIfTrue="1" operator="greaterThan">
      <formula>$F$65</formula>
    </cfRule>
    <cfRule type="cellIs" dxfId="2629" priority="47" stopIfTrue="1" operator="lessThanOrEqual">
      <formula>0</formula>
    </cfRule>
    <cfRule type="cellIs" dxfId="2628" priority="46" stopIfTrue="1" operator="greaterThan">
      <formula>$F$67</formula>
    </cfRule>
  </conditionalFormatting>
  <conditionalFormatting sqref="H57:H58">
    <cfRule type="cellIs" dxfId="2627" priority="67" stopIfTrue="1" operator="lessThanOrEqual">
      <formula>0</formula>
    </cfRule>
    <cfRule type="cellIs" dxfId="2626" priority="66" stopIfTrue="1" operator="greaterThan">
      <formula>$F$22</formula>
    </cfRule>
    <cfRule type="cellIs" dxfId="2625" priority="58" stopIfTrue="1" operator="greaterThan">
      <formula>#REF!</formula>
    </cfRule>
    <cfRule type="cellIs" dxfId="2624" priority="57" stopIfTrue="1" operator="lessThanOrEqual">
      <formula>0</formula>
    </cfRule>
    <cfRule type="cellIs" dxfId="2623" priority="68" stopIfTrue="1" operator="greaterThan">
      <formula>#REF!</formula>
    </cfRule>
    <cfRule type="cellIs" dxfId="2622" priority="69" stopIfTrue="1" operator="lessThanOrEqual">
      <formula>0</formula>
    </cfRule>
  </conditionalFormatting>
  <conditionalFormatting sqref="H59">
    <cfRule type="cellIs" dxfId="2621" priority="100" stopIfTrue="1" operator="lessThanOrEqual">
      <formula>0</formula>
    </cfRule>
    <cfRule type="cellIs" dxfId="2620" priority="99" stopIfTrue="1" operator="greaterThan">
      <formula>$F$36</formula>
    </cfRule>
    <cfRule type="cellIs" dxfId="2619" priority="88" stopIfTrue="1" operator="lessThanOrEqual">
      <formula>0</formula>
    </cfRule>
    <cfRule type="cellIs" dxfId="2618" priority="97" stopIfTrue="1" operator="greaterThan">
      <formula>$F$38</formula>
    </cfRule>
    <cfRule type="cellIs" dxfId="2617" priority="89" stopIfTrue="1" operator="greaterThan">
      <formula>$F$35</formula>
    </cfRule>
    <cfRule type="cellIs" dxfId="2616" priority="98" stopIfTrue="1" operator="lessThanOrEqual">
      <formula>0</formula>
    </cfRule>
  </conditionalFormatting>
  <conditionalFormatting sqref="H63:H70">
    <cfRule type="cellIs" dxfId="2615" priority="120" stopIfTrue="1" operator="greaterThan">
      <formula>$J63</formula>
    </cfRule>
    <cfRule type="cellIs" dxfId="2614" priority="121" stopIfTrue="1" operator="lessThanOrEqual">
      <formula>0</formula>
    </cfRule>
  </conditionalFormatting>
  <conditionalFormatting sqref="H71">
    <cfRule type="cellIs" dxfId="2613" priority="122" operator="greaterThan">
      <formula>5.3</formula>
    </cfRule>
  </conditionalFormatting>
  <conditionalFormatting sqref="H74 H76:H82">
    <cfRule type="cellIs" dxfId="2612" priority="155" stopIfTrue="1" operator="greaterThan">
      <formula>4.5</formula>
    </cfRule>
    <cfRule type="cellIs" dxfId="2611" priority="156" stopIfTrue="1" operator="lessThanOrEqual">
      <formula>0</formula>
    </cfRule>
  </conditionalFormatting>
  <conditionalFormatting sqref="H54:I54">
    <cfRule type="cellIs" dxfId="2610" priority="16" stopIfTrue="1" operator="lessThanOrEqual">
      <formula>0</formula>
    </cfRule>
    <cfRule type="cellIs" dxfId="2609" priority="13" stopIfTrue="1" operator="greaterThan">
      <formula>$F$72</formula>
    </cfRule>
  </conditionalFormatting>
  <conditionalFormatting sqref="H55:I55">
    <cfRule type="cellIs" dxfId="2608" priority="73" stopIfTrue="1" operator="lessThanOrEqual">
      <formula>0</formula>
    </cfRule>
    <cfRule type="cellIs" dxfId="2607" priority="70" stopIfTrue="1" operator="greaterThan">
      <formula>$F$22</formula>
    </cfRule>
  </conditionalFormatting>
  <conditionalFormatting sqref="H56:I56">
    <cfRule type="cellIs" dxfId="2606" priority="39" stopIfTrue="1" operator="lessThanOrEqual">
      <formula>0</formula>
    </cfRule>
    <cfRule type="cellIs" dxfId="2605" priority="36" stopIfTrue="1" operator="greaterThan">
      <formula>$F$66</formula>
    </cfRule>
  </conditionalFormatting>
  <conditionalFormatting sqref="H57:I58">
    <cfRule type="cellIs" dxfId="2604" priority="56" stopIfTrue="1" operator="greaterThan">
      <formula>#REF!</formula>
    </cfRule>
    <cfRule type="cellIs" dxfId="2603" priority="59" stopIfTrue="1" operator="lessThanOrEqual">
      <formula>0</formula>
    </cfRule>
  </conditionalFormatting>
  <conditionalFormatting sqref="H59:I59">
    <cfRule type="cellIs" dxfId="2602" priority="90" stopIfTrue="1" operator="lessThanOrEqual">
      <formula>0</formula>
    </cfRule>
    <cfRule type="cellIs" dxfId="2601" priority="87" stopIfTrue="1" operator="greaterThan">
      <formula>$F$37</formula>
    </cfRule>
  </conditionalFormatting>
  <conditionalFormatting sqref="H72:I72">
    <cfRule type="cellIs" dxfId="2600" priority="112" stopIfTrue="1" operator="greaterThan">
      <formula>$J72</formula>
    </cfRule>
    <cfRule type="cellIs" dxfId="2599" priority="113" stopIfTrue="1" operator="lessThanOrEqual">
      <formula>0</formula>
    </cfRule>
  </conditionalFormatting>
  <conditionalFormatting sqref="I54">
    <cfRule type="cellIs" dxfId="2598" priority="22" stopIfTrue="1" operator="lessThanOrEqual">
      <formula>0</formula>
    </cfRule>
    <cfRule type="cellIs" dxfId="2597" priority="21" stopIfTrue="1" operator="greaterThan">
      <formula>$F$70</formula>
    </cfRule>
    <cfRule type="cellIs" dxfId="2596" priority="20" stopIfTrue="1" operator="lessThanOrEqual">
      <formula>0</formula>
    </cfRule>
    <cfRule type="cellIs" dxfId="2595" priority="19" stopIfTrue="1" operator="greaterThan">
      <formula>$F$72</formula>
    </cfRule>
    <cfRule type="cellIs" dxfId="2594" priority="17" stopIfTrue="1" operator="greaterThan">
      <formula>$F$70</formula>
    </cfRule>
    <cfRule type="cellIs" dxfId="2593" priority="18" stopIfTrue="1" operator="lessThanOrEqual">
      <formula>0</formula>
    </cfRule>
  </conditionalFormatting>
  <conditionalFormatting sqref="I55">
    <cfRule type="cellIs" dxfId="2592" priority="76" stopIfTrue="1" operator="greaterThan">
      <formula>$F$22</formula>
    </cfRule>
    <cfRule type="cellIs" dxfId="2591" priority="77" stopIfTrue="1" operator="lessThanOrEqual">
      <formula>0</formula>
    </cfRule>
    <cfRule type="cellIs" dxfId="2590" priority="78" stopIfTrue="1" operator="greaterThan">
      <formula>#REF!</formula>
    </cfRule>
    <cfRule type="cellIs" dxfId="2589" priority="79" stopIfTrue="1" operator="lessThanOrEqual">
      <formula>0</formula>
    </cfRule>
    <cfRule type="cellIs" dxfId="2588" priority="74" stopIfTrue="1" operator="greaterThan">
      <formula>#REF!</formula>
    </cfRule>
    <cfRule type="cellIs" dxfId="2587" priority="75" stopIfTrue="1" operator="lessThanOrEqual">
      <formula>0</formula>
    </cfRule>
  </conditionalFormatting>
  <conditionalFormatting sqref="I56">
    <cfRule type="cellIs" dxfId="2586" priority="44" stopIfTrue="1" operator="greaterThan">
      <formula>$F$64</formula>
    </cfRule>
    <cfRule type="cellIs" dxfId="2585" priority="45" stopIfTrue="1" operator="lessThanOrEqual">
      <formula>0</formula>
    </cfRule>
    <cfRule type="cellIs" dxfId="2584" priority="43" stopIfTrue="1" operator="lessThanOrEqual">
      <formula>0</formula>
    </cfRule>
    <cfRule type="cellIs" dxfId="2583" priority="42" stopIfTrue="1" operator="greaterThan">
      <formula>$F$66</formula>
    </cfRule>
    <cfRule type="cellIs" dxfId="2582" priority="41" stopIfTrue="1" operator="lessThanOrEqual">
      <formula>0</formula>
    </cfRule>
    <cfRule type="cellIs" dxfId="2581" priority="40" stopIfTrue="1" operator="greaterThan">
      <formula>$F$64</formula>
    </cfRule>
  </conditionalFormatting>
  <conditionalFormatting sqref="I57:I58">
    <cfRule type="cellIs" dxfId="2580" priority="62" stopIfTrue="1" operator="greaterThan">
      <formula>#REF!</formula>
    </cfRule>
    <cfRule type="cellIs" dxfId="2579" priority="65" stopIfTrue="1" operator="lessThanOrEqual">
      <formula>0</formula>
    </cfRule>
    <cfRule type="cellIs" dxfId="2578" priority="64" stopIfTrue="1" operator="greaterThan">
      <formula>#REF!</formula>
    </cfRule>
    <cfRule type="cellIs" dxfId="2577" priority="63" stopIfTrue="1" operator="lessThanOrEqual">
      <formula>0</formula>
    </cfRule>
    <cfRule type="cellIs" dxfId="2576" priority="61" stopIfTrue="1" operator="lessThanOrEqual">
      <formula>0</formula>
    </cfRule>
    <cfRule type="cellIs" dxfId="2575" priority="60" stopIfTrue="1" operator="greaterThan">
      <formula>#REF!</formula>
    </cfRule>
  </conditionalFormatting>
  <conditionalFormatting sqref="I59">
    <cfRule type="cellIs" dxfId="2574" priority="93" stopIfTrue="1" operator="greaterThan">
      <formula>$F$37</formula>
    </cfRule>
    <cfRule type="cellIs" dxfId="2573" priority="95" stopIfTrue="1" operator="greaterThan">
      <formula>$F$35</formula>
    </cfRule>
    <cfRule type="cellIs" dxfId="2572" priority="96" stopIfTrue="1" operator="lessThanOrEqual">
      <formula>0</formula>
    </cfRule>
    <cfRule type="cellIs" dxfId="2571" priority="92" stopIfTrue="1" operator="lessThanOrEqual">
      <formula>0</formula>
    </cfRule>
    <cfRule type="cellIs" dxfId="2570" priority="91" stopIfTrue="1" operator="greaterThan">
      <formula>$F$35</formula>
    </cfRule>
    <cfRule type="cellIs" dxfId="2569" priority="94" stopIfTrue="1" operator="lessThanOrEqual">
      <formula>0</formula>
    </cfRule>
  </conditionalFormatting>
  <conditionalFormatting sqref="I63:I71">
    <cfRule type="cellIs" dxfId="2568" priority="123" stopIfTrue="1" operator="greaterThan">
      <formula>$J63</formula>
    </cfRule>
    <cfRule type="cellIs" dxfId="2567" priority="124" stopIfTrue="1" operator="lessThanOrEqual">
      <formula>0</formula>
    </cfRule>
  </conditionalFormatting>
  <conditionalFormatting sqref="I74:I82">
    <cfRule type="cellIs" dxfId="2566" priority="151" stopIfTrue="1" operator="greaterThan">
      <formula>4.5</formula>
    </cfRule>
    <cfRule type="cellIs" dxfId="2565" priority="152" stopIfTrue="1" operator="lessThanOrEqual">
      <formula>0</formula>
    </cfRule>
  </conditionalFormatting>
  <conditionalFormatting sqref="I10:J22">
    <cfRule type="cellIs" dxfId="2564" priority="29" operator="lessThan">
      <formula>97.9</formula>
    </cfRule>
  </conditionalFormatting>
  <conditionalFormatting sqref="J25:J27">
    <cfRule type="cellIs" dxfId="2563" priority="102" stopIfTrue="1" operator="lessThan">
      <formula>96.8</formula>
    </cfRule>
    <cfRule type="cellIs" dxfId="2562" priority="103" stopIfTrue="1" operator="greaterThan">
      <formula>100</formula>
    </cfRule>
    <cfRule type="cellIs" dxfId="2561" priority="104" operator="lessThan">
      <formula>98</formula>
    </cfRule>
  </conditionalFormatting>
  <conditionalFormatting sqref="J25:J29">
    <cfRule type="cellIs" dxfId="2560" priority="101" operator="lessThan">
      <formula>97.4</formula>
    </cfRule>
  </conditionalFormatting>
  <conditionalFormatting sqref="J30">
    <cfRule type="cellIs" dxfId="2559" priority="105" operator="lessThan">
      <formula>98</formula>
    </cfRule>
  </conditionalFormatting>
  <conditionalFormatting sqref="J32:J33">
    <cfRule type="cellIs" dxfId="2558" priority="106" stopIfTrue="1" operator="lessThan">
      <formula>96.8</formula>
    </cfRule>
    <cfRule type="cellIs" dxfId="2557" priority="107" stopIfTrue="1" operator="greaterThan">
      <formula>100</formula>
    </cfRule>
  </conditionalFormatting>
  <conditionalFormatting sqref="J32:J34">
    <cfRule type="cellIs" dxfId="2556" priority="108" operator="lessThan">
      <formula>98</formula>
    </cfRule>
  </conditionalFormatting>
  <conditionalFormatting sqref="J72">
    <cfRule type="cellIs" dxfId="2555" priority="109" stopIfTrue="1" operator="greaterThan">
      <formula>$F72</formula>
    </cfRule>
    <cfRule type="cellIs" dxfId="2554" priority="110" stopIfTrue="1" operator="lessThanOrEqual">
      <formula>0</formula>
    </cfRule>
  </conditionalFormatting>
  <conditionalFormatting sqref="K10:K22">
    <cfRule type="cellIs" dxfId="2553" priority="32" operator="greaterThan">
      <formula>6.4</formula>
    </cfRule>
    <cfRule type="cellIs" dxfId="2552" priority="31" operator="lessThan">
      <formula>4</formula>
    </cfRule>
    <cfRule type="cellIs" dxfId="2551" priority="30" operator="greaterThan">
      <formula>6</formula>
    </cfRule>
  </conditionalFormatting>
  <conditionalFormatting sqref="K54:K59 K63:N69 K70 M70:N70 K71:N71">
    <cfRule type="cellIs" dxfId="2550" priority="86" stopIfTrue="1" operator="lessThan">
      <formula>100%</formula>
    </cfRule>
  </conditionalFormatting>
  <conditionalFormatting sqref="K74:K79">
    <cfRule type="cellIs" dxfId="2549" priority="157" stopIfTrue="1" operator="lessThan">
      <formula>100%</formula>
    </cfRule>
  </conditionalFormatting>
  <conditionalFormatting sqref="K81:K82">
    <cfRule type="cellIs" dxfId="2548" priority="164" stopIfTrue="1" operator="lessThan">
      <formula>100%</formula>
    </cfRule>
  </conditionalFormatting>
  <conditionalFormatting sqref="L10:L18 L19:M21 L22">
    <cfRule type="cellIs" dxfId="2547" priority="51" operator="greaterThan">
      <formula>65</formula>
    </cfRule>
  </conditionalFormatting>
  <conditionalFormatting sqref="L19:M21 L10:L18 L22">
    <cfRule type="cellIs" dxfId="2546" priority="50" operator="between">
      <formula>61</formula>
      <formula>65</formula>
    </cfRule>
  </conditionalFormatting>
  <conditionalFormatting sqref="L25:M36">
    <cfRule type="cellIs" dxfId="2545" priority="52" operator="lessThan">
      <formula>97.95</formula>
    </cfRule>
  </conditionalFormatting>
  <conditionalFormatting sqref="L40:N40">
    <cfRule type="cellIs" dxfId="2544" priority="53" operator="notEqual">
      <formula>#REF!</formula>
    </cfRule>
  </conditionalFormatting>
  <conditionalFormatting sqref="L72:N72">
    <cfRule type="cellIs" dxfId="2543" priority="111" stopIfTrue="1" operator="lessThan">
      <formula>100%</formula>
    </cfRule>
  </conditionalFormatting>
  <conditionalFormatting sqref="L74:N82">
    <cfRule type="cellIs" dxfId="2542" priority="142" stopIfTrue="1" operator="lessThan">
      <formula>100%</formula>
    </cfRule>
  </conditionalFormatting>
  <conditionalFormatting sqref="M10:M18">
    <cfRule type="expression" dxfId="2541" priority="11">
      <formula>IF(+(IF(M10&lt;U10,0,IF(M10&gt;V10,0,1)))=0,1)</formula>
    </cfRule>
  </conditionalFormatting>
  <conditionalFormatting sqref="M22:N22">
    <cfRule type="expression" dxfId="2540" priority="172">
      <formula>IF(+(IF(M22&lt;#REF!,0,IF(M22&gt;#REF!,0,1)))=0,1)</formula>
    </cfRule>
  </conditionalFormatting>
  <conditionalFormatting sqref="N10:N18 N21">
    <cfRule type="expression" dxfId="2539" priority="27">
      <formula>IF(+(IF(N10&lt;W10,0,IF(N10&gt;X10,0,1)))=0,1)</formula>
    </cfRule>
  </conditionalFormatting>
  <conditionalFormatting sqref="P6">
    <cfRule type="cellIs" dxfId="2538" priority="138" operator="greaterThanOrEqual">
      <formula>19</formula>
    </cfRule>
  </conditionalFormatting>
  <dataValidations count="1">
    <dataValidation type="list" allowBlank="1" showInputMessage="1" showErrorMessage="1" sqref="R8" xr:uid="{F42A6BA7-359F-4388-809F-1651A8824BB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FC4B-B63B-4C61-A6F7-55BBB2206C74}">
  <sheetPr>
    <pageSetUpPr fitToPage="1"/>
  </sheetPr>
  <dimension ref="A1:BE77"/>
  <sheetViews>
    <sheetView zoomScale="80" zoomScaleNormal="80" workbookViewId="0">
      <selection activeCell="L54" sqref="L54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45943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421"/>
      <c r="P10" s="418"/>
      <c r="R10" s="277">
        <f t="shared" ref="R10:R36" si="0">B10</f>
        <v>0</v>
      </c>
      <c r="S10" s="296" t="e">
        <f t="shared" ref="S10:S36" si="1">VLOOKUP($B10,$R$3:$X$9,2,FALSE)</f>
        <v>#N/A</v>
      </c>
      <c r="T10" s="296" t="e">
        <f t="shared" ref="T10:T36" si="2">VLOOKUP($B10,$R$3:$X$9,3,FALSE)</f>
        <v>#N/A</v>
      </c>
      <c r="U10" s="297" t="e">
        <f t="shared" ref="U10:U36" si="3">VLOOKUP($B10,$R$3:$X$9,4,FALSE)</f>
        <v>#N/A</v>
      </c>
      <c r="V10" s="297" t="e">
        <f t="shared" ref="V10:V36" si="4">VLOOKUP($B10,$R$3:$X$9,5,FALSE)</f>
        <v>#N/A</v>
      </c>
      <c r="W10" s="297" t="e">
        <f t="shared" ref="W10:W36" si="5">VLOOKUP($B10,$R$3:$X$9,6,FALSE)</f>
        <v>#N/A</v>
      </c>
      <c r="X10" s="297" t="e">
        <f t="shared" ref="X10:X36" si="6">VLOOKUP($B10,$R$3:$X$9,7,FALSE)</f>
        <v>#N/A</v>
      </c>
      <c r="Y10" s="297" t="e">
        <f t="shared" ref="Y10:Y36" si="7">VLOOKUP($B10,$R$3:$Z$9,8,FALSE)</f>
        <v>#N/A</v>
      </c>
      <c r="Z10" s="296" t="e">
        <f t="shared" ref="Z10:Z36" si="8">VLOOKUP($B10,$R$3:$Z$9,9,FALSE)</f>
        <v>#N/A</v>
      </c>
    </row>
    <row r="11" spans="2:29" ht="15.6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6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6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6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33"/>
      <c r="C20" s="366"/>
      <c r="D20" s="279"/>
      <c r="E20" s="279"/>
      <c r="F20" s="278"/>
      <c r="G20" s="279"/>
      <c r="H20" s="464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489" t="s">
        <v>35</v>
      </c>
      <c r="E24" s="49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12" t="str">
        <f>I26</f>
        <v>STAG</v>
      </c>
      <c r="C25" s="362" cm="1">
        <f t="array" ref="C25:C32">[23]Process!$D$385:$D$392</f>
        <v>12</v>
      </c>
      <c r="D25" s="515">
        <v>11.6</v>
      </c>
      <c r="E25" s="516"/>
      <c r="F25" s="294"/>
      <c r="G25" s="294"/>
      <c r="H25" s="348"/>
      <c r="I25" s="29" t="s">
        <v>6</v>
      </c>
      <c r="J25" s="280"/>
      <c r="K25" s="284">
        <f>COUNTA([22]Brewhouse!$A$823:$A$862)</f>
        <v>40</v>
      </c>
      <c r="L25" s="305">
        <f>AVERAGE([22]Brewhouse!$AU$823:$AU$862)</f>
        <v>97.590265038899688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$862)</f>
        <v>97.7002563157276</v>
      </c>
      <c r="N25" s="30">
        <v>98</v>
      </c>
      <c r="O25" s="11"/>
      <c r="P25" s="31"/>
      <c r="R25" s="277" t="str">
        <f t="shared" si="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1:27" ht="15" customHeight="1">
      <c r="A26" s="28"/>
      <c r="B26" s="513"/>
      <c r="C26" s="362">
        <v>12</v>
      </c>
      <c r="D26" s="517"/>
      <c r="E26" s="518"/>
      <c r="F26" s="294"/>
      <c r="G26" s="294"/>
      <c r="H26" s="348"/>
      <c r="I26" s="33" t="s">
        <v>9</v>
      </c>
      <c r="J26" s="280"/>
      <c r="K26" s="284">
        <f>COUNTA([23]Brewhouse!$A$399:$A$419)</f>
        <v>21</v>
      </c>
      <c r="L26" s="302">
        <f>AVERAGE([23]Brewhouse!$AS$399:$AS$419)</f>
        <v>98.088487780497204</v>
      </c>
      <c r="M26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13"/>
      <c r="C27" s="362">
        <v>12</v>
      </c>
      <c r="D27" s="515">
        <v>11.62</v>
      </c>
      <c r="E27" s="516"/>
      <c r="F27" s="294"/>
      <c r="G27" s="294"/>
      <c r="H27" s="348"/>
      <c r="I27" s="34" t="s">
        <v>12</v>
      </c>
      <c r="J27" s="280"/>
      <c r="K27" s="284"/>
      <c r="L27" s="302"/>
      <c r="M27" s="302">
        <f>AVERAGE([24]Brewhouse!$AU$4:$AU$7,[24]Brewhouse!$AU$9:$AU$22,[24]Brewhouse!$AU$24:$AU$35,[24]Brewhouse!$AU$37:$AU$45,[24]Brewhouse!$AU$47:$AU$62,[24]Brewhouse!$AU$64:$AU$79,[24]Brewhouse!$AU$81:$AU$92,[24]Brewhouse!$AU$94:$AU$97)</f>
        <v>96.816600378435098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3"/>
      <c r="C28" s="362">
        <v>11.6</v>
      </c>
      <c r="D28" s="517"/>
      <c r="E28" s="518"/>
      <c r="F28" s="294"/>
      <c r="G28" s="294"/>
      <c r="H28" s="348"/>
      <c r="I28" s="22" t="s">
        <v>33</v>
      </c>
      <c r="J28" s="280"/>
      <c r="K28" s="284"/>
      <c r="L28" s="302"/>
      <c r="M28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13"/>
      <c r="C29" s="362">
        <v>11.9</v>
      </c>
      <c r="D29" s="515">
        <v>11.6</v>
      </c>
      <c r="E29" s="516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13"/>
      <c r="C30" s="362">
        <v>12</v>
      </c>
      <c r="D30" s="517"/>
      <c r="E30" s="518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13"/>
      <c r="C31" s="362">
        <v>11.7</v>
      </c>
      <c r="D31" s="515">
        <v>11.75</v>
      </c>
      <c r="E31" s="516"/>
      <c r="F31" s="417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1" s="30">
        <v>98</v>
      </c>
      <c r="O31" s="11"/>
      <c r="P31" s="31" t="s">
        <v>41</v>
      </c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13"/>
      <c r="C32" s="362">
        <v>11.7</v>
      </c>
      <c r="D32" s="517"/>
      <c r="E32" s="518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13"/>
      <c r="C33" s="349"/>
      <c r="D33" s="515"/>
      <c r="E33" s="516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13"/>
      <c r="C34" s="349"/>
      <c r="D34" s="517"/>
      <c r="E34" s="518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13"/>
      <c r="C35" s="349"/>
      <c r="D35" s="515"/>
      <c r="E35" s="516"/>
      <c r="F35" s="294"/>
      <c r="G35" s="294"/>
      <c r="H35" s="348"/>
      <c r="I35" s="1"/>
      <c r="J35" s="39"/>
      <c r="K35" s="404">
        <f>SUM(K25:K34)</f>
        <v>61</v>
      </c>
      <c r="L35" s="405">
        <f>((L25*K25)+(L26*K26)+(L27*K27)+(L28*K28)+(L29*K29)+(K32*L32)+(L30*K30)+(L31*K31)+(L34*K34))/(K35)</f>
        <v>97.761784343384065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97.594128674020197</v>
      </c>
      <c r="N35" s="4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76"/>
      <c r="C36" s="350"/>
      <c r="D36" s="517"/>
      <c r="E36" s="51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62"/>
      <c r="C37" s="362"/>
      <c r="D37" s="528"/>
      <c r="E37" s="529"/>
      <c r="F37" s="294"/>
      <c r="G37" s="42"/>
      <c r="H37" s="41"/>
      <c r="I37" s="42"/>
      <c r="J37" s="563" t="s">
        <v>129</v>
      </c>
      <c r="K37" s="563"/>
      <c r="L37" s="294"/>
      <c r="M37" s="294"/>
      <c r="N37" s="294"/>
      <c r="O37" s="294"/>
      <c r="P37" s="12"/>
    </row>
    <row r="38" spans="1:56" ht="15.75" thickBot="1">
      <c r="B38" s="526"/>
      <c r="C38" s="362"/>
      <c r="D38" s="530"/>
      <c r="E38" s="518"/>
      <c r="F38" s="294"/>
      <c r="G38" s="42"/>
      <c r="H38" s="41"/>
      <c r="I38" s="42"/>
      <c r="J38" s="292" t="s">
        <v>17</v>
      </c>
      <c r="K38" s="293" t="s">
        <v>147</v>
      </c>
      <c r="L38" s="532" t="s">
        <v>136</v>
      </c>
      <c r="M38" s="532"/>
      <c r="N38" s="533"/>
      <c r="O38" s="294"/>
      <c r="P38" s="12"/>
    </row>
    <row r="39" spans="1:56" ht="15" customHeight="1" thickBot="1">
      <c r="B39" s="526"/>
      <c r="C39" s="349"/>
      <c r="D39" s="564"/>
      <c r="E39" s="565"/>
      <c r="F39" s="294"/>
      <c r="G39" s="42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26"/>
      <c r="C40" s="349"/>
      <c r="D40" s="530"/>
      <c r="E40" s="518"/>
      <c r="F40" s="294"/>
      <c r="G40" s="42"/>
      <c r="H40" s="41"/>
      <c r="I40" s="42"/>
      <c r="J40" s="345" t="s">
        <v>9</v>
      </c>
      <c r="K40" s="324"/>
      <c r="L40" s="344">
        <f>AVERAGE('Oct. 1st'!K49,,'Oct. 2nd'!K51,'Oct. 3rd'!K46,'Oct. 6th'!K54,Oct.7th!K50,Oct.8th!K48,Oct.9th!K49)</f>
        <v>7.625</v>
      </c>
      <c r="M40" s="325">
        <f>AVERAGE('[31]Jan 29th '!$M$70,'[32]Feb 28th'!$L$40,'[33]Mar. 31st'!$L$40,'[34]Apr. 30th'!$L$50,'[35]May 30th'!$L$42,'[36]June 30th'!$L$62,'[37]July 29th '!$L$49,'[38]Aug 29th'!$L$34,'[39]Sept 30th'!$L$40,L40)</f>
        <v>7.068627777638075</v>
      </c>
      <c r="N40" s="416">
        <v>9.1999999999999993</v>
      </c>
      <c r="O40" s="294"/>
      <c r="P40" s="12"/>
    </row>
    <row r="41" spans="1:56" ht="15" customHeight="1">
      <c r="B41" s="526"/>
      <c r="C41" s="349"/>
      <c r="D41" s="564"/>
      <c r="E41" s="56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6"/>
      <c r="C42" s="349"/>
      <c r="D42" s="530"/>
      <c r="E42" s="518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6"/>
      <c r="C43" s="349"/>
      <c r="D43" s="564"/>
      <c r="E43" s="56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30"/>
      <c r="E44" s="518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64"/>
      <c r="E45" s="56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6"/>
      <c r="C46" s="350"/>
      <c r="D46" s="566"/>
      <c r="E46" s="567"/>
      <c r="F46" s="294" t="s">
        <v>178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60">
        <f>AVERAGE(D25:E46)</f>
        <v>11.6425</v>
      </c>
      <c r="E47" s="56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0" t="s">
        <v>17</v>
      </c>
      <c r="C52" s="540" t="s">
        <v>44</v>
      </c>
      <c r="D52" s="542" t="s">
        <v>45</v>
      </c>
      <c r="E52" s="497" t="s">
        <v>46</v>
      </c>
      <c r="F52" s="557" t="s">
        <v>47</v>
      </c>
      <c r="G52" s="551" t="s">
        <v>48</v>
      </c>
      <c r="H52" s="540" t="s">
        <v>49</v>
      </c>
      <c r="I52" s="540" t="s">
        <v>50</v>
      </c>
      <c r="J52" s="545" t="s">
        <v>28</v>
      </c>
      <c r="K52" s="495" t="s">
        <v>51</v>
      </c>
      <c r="L52" s="507" t="s">
        <v>52</v>
      </c>
      <c r="M52" s="545" t="s">
        <v>53</v>
      </c>
      <c r="N52" s="13"/>
      <c r="O52" s="13"/>
      <c r="P52" s="50"/>
    </row>
    <row r="53" spans="2:57" ht="28.5" customHeight="1" thickTop="1" thickBot="1">
      <c r="B53" s="541"/>
      <c r="C53" s="541"/>
      <c r="D53" s="543"/>
      <c r="E53" s="544"/>
      <c r="F53" s="558"/>
      <c r="G53" s="552"/>
      <c r="H53" s="559"/>
      <c r="I53" s="559"/>
      <c r="J53" s="546"/>
      <c r="K53" s="555"/>
      <c r="L53" s="556"/>
      <c r="M53" s="546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59" t="str">
        <f>J40</f>
        <v>STAG</v>
      </c>
      <c r="C54" s="442">
        <v>45940</v>
      </c>
      <c r="D54" s="443">
        <f>[40]October_2025!$M$3</f>
        <v>0</v>
      </c>
      <c r="E54" s="444"/>
      <c r="F54" s="445"/>
      <c r="G54" s="445">
        <f>[40]October_2025!$M$7</f>
        <v>0</v>
      </c>
      <c r="H54" s="462"/>
      <c r="I54" s="462"/>
      <c r="J54" s="449" t="s">
        <v>185</v>
      </c>
      <c r="K54" s="450">
        <f>[41]October_2025!$M$25</f>
        <v>0.69192982456140351</v>
      </c>
      <c r="L54" s="461" t="e">
        <f>(((D54+E54)-G54)/(D54+E54))*100</f>
        <v>#DIV/0!</v>
      </c>
      <c r="M54" s="457" t="s">
        <v>175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58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60"/>
      <c r="C56" s="442"/>
      <c r="D56" s="443"/>
      <c r="E56" s="444"/>
      <c r="F56" s="445"/>
      <c r="G56" s="446"/>
      <c r="H56" s="462"/>
      <c r="I56" s="462"/>
      <c r="J56" s="449"/>
      <c r="K56" s="466"/>
      <c r="L56" s="461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 t="s">
        <v>41</v>
      </c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/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7" t="s">
        <v>55</v>
      </c>
      <c r="C61" s="548"/>
      <c r="D61" s="548"/>
      <c r="E61" s="548"/>
      <c r="F61" s="549"/>
      <c r="G61" s="547" t="s">
        <v>56</v>
      </c>
      <c r="H61" s="548"/>
      <c r="I61" s="548"/>
      <c r="J61" s="549"/>
      <c r="K61" s="547" t="s">
        <v>51</v>
      </c>
      <c r="L61" s="548"/>
      <c r="M61" s="548"/>
      <c r="N61" s="550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5.4280582718020227</v>
      </c>
      <c r="E63" s="76">
        <v>6.3177809295166583</v>
      </c>
      <c r="F63" s="66">
        <v>4.8</v>
      </c>
      <c r="G63" s="65"/>
      <c r="H63" s="76">
        <v>3.6734408432854382</v>
      </c>
      <c r="I63" s="76">
        <v>6.1451990760192619</v>
      </c>
      <c r="J63" s="66">
        <v>4.8</v>
      </c>
      <c r="K63" s="67"/>
      <c r="L63" s="194">
        <v>0.65879609414011675</v>
      </c>
      <c r="M63" s="194">
        <v>0.76418505858469299</v>
      </c>
      <c r="N63" s="68">
        <v>1</v>
      </c>
      <c r="O63" s="56"/>
      <c r="P63" s="69"/>
    </row>
    <row r="64" spans="2:57" ht="15">
      <c r="B64" s="33" t="s">
        <v>9</v>
      </c>
      <c r="C64" s="65" t="e">
        <f>L54</f>
        <v>#DIV/0!</v>
      </c>
      <c r="D64" s="76">
        <v>3.367402810731873</v>
      </c>
      <c r="E64" s="76">
        <v>5.7631643497258951</v>
      </c>
      <c r="F64" s="66">
        <v>4.8</v>
      </c>
      <c r="G64" s="65">
        <f>[40]October_2025!$M$11</f>
        <v>0</v>
      </c>
      <c r="H64" s="76">
        <v>4.1514556010038586</v>
      </c>
      <c r="I64" s="76">
        <v>5.5953405903132074</v>
      </c>
      <c r="J64" s="66">
        <v>4.8</v>
      </c>
      <c r="K64" s="67">
        <f>K54</f>
        <v>0.69192982456140351</v>
      </c>
      <c r="L64" s="194">
        <v>0.73757131292234013</v>
      </c>
      <c r="M64" s="194">
        <v>0.71798543638636902</v>
      </c>
      <c r="N64" s="68">
        <v>1</v>
      </c>
      <c r="P64" s="69"/>
    </row>
    <row r="65" spans="2:16" ht="15">
      <c r="B65" s="34" t="s">
        <v>40</v>
      </c>
      <c r="C65" s="65"/>
      <c r="D65" s="76">
        <v>9.535333978702802</v>
      </c>
      <c r="E65" s="76">
        <v>11.690789306336304</v>
      </c>
      <c r="F65" s="66">
        <v>5.5</v>
      </c>
      <c r="G65" s="65"/>
      <c r="H65" s="76">
        <v>9.7076284177373999</v>
      </c>
      <c r="I65" s="76">
        <v>12.617010368159198</v>
      </c>
      <c r="J65" s="66">
        <v>5.5</v>
      </c>
      <c r="K65" s="67"/>
      <c r="L65" s="194">
        <v>0.9345</v>
      </c>
      <c r="M65" s="194">
        <v>0.54931804556354924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5.119233255999676</v>
      </c>
      <c r="F66" s="66">
        <v>3.3</v>
      </c>
      <c r="G66" s="65"/>
      <c r="H66" s="76"/>
      <c r="I66" s="76">
        <v>4.4772094679692334</v>
      </c>
      <c r="J66" s="66">
        <v>3.3</v>
      </c>
      <c r="K66" s="67"/>
      <c r="L66" s="194"/>
      <c r="M66" s="194">
        <v>0.80025950292397652</v>
      </c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7.3129862357869699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2.0782986950217497</v>
      </c>
      <c r="E69" s="76">
        <v>2.8629317642487306</v>
      </c>
      <c r="F69" s="66">
        <v>3.3</v>
      </c>
      <c r="G69" s="282"/>
      <c r="H69" s="76">
        <v>3.4559849687930924</v>
      </c>
      <c r="I69" s="76">
        <v>4.3478819741669881</v>
      </c>
      <c r="J69" s="66">
        <v>3.3</v>
      </c>
      <c r="K69" s="67"/>
      <c r="L69" s="194">
        <v>0.88859649122807016</v>
      </c>
      <c r="M69" s="194">
        <v>0.85935680751173715</v>
      </c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4.3145454223293234</v>
      </c>
      <c r="E72" s="76">
        <v>6.2941497828806909</v>
      </c>
      <c r="F72" s="341">
        <v>5.5</v>
      </c>
      <c r="H72" s="76">
        <v>4.3427696969339697</v>
      </c>
      <c r="I72" s="76">
        <v>6.4747536874390663</v>
      </c>
      <c r="J72" s="341">
        <v>5.5</v>
      </c>
      <c r="L72" s="194">
        <v>0.73549783549783565</v>
      </c>
      <c r="M72" s="194">
        <v>0.73176421845574391</v>
      </c>
      <c r="N72" s="386">
        <v>1</v>
      </c>
    </row>
    <row r="76" spans="2:16">
      <c r="F76" s="315"/>
    </row>
    <row r="77" spans="2:16" ht="15">
      <c r="F77" s="341"/>
    </row>
  </sheetData>
  <mergeCells count="51"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537" priority="125" operator="notBetween">
      <formula>#REF!</formula>
      <formula>#REF!</formula>
    </cfRule>
  </conditionalFormatting>
  <conditionalFormatting sqref="C51">
    <cfRule type="cellIs" dxfId="2536" priority="157" stopIfTrue="1" operator="greaterThan">
      <formula>100</formula>
    </cfRule>
    <cfRule type="cellIs" dxfId="2535" priority="156" stopIfTrue="1" operator="lessThan">
      <formula>96</formula>
    </cfRule>
  </conditionalFormatting>
  <conditionalFormatting sqref="C63:C67">
    <cfRule type="cellIs" dxfId="2534" priority="106" stopIfTrue="1" operator="lessThanOrEqual">
      <formula>0</formula>
    </cfRule>
  </conditionalFormatting>
  <conditionalFormatting sqref="C63:C71">
    <cfRule type="cellIs" dxfId="2533" priority="105" stopIfTrue="1" operator="greaterThan">
      <formula>$F63</formula>
    </cfRule>
  </conditionalFormatting>
  <conditionalFormatting sqref="C64">
    <cfRule type="cellIs" dxfId="2532" priority="160" stopIfTrue="1" operator="greaterThan">
      <formula>$F63</formula>
    </cfRule>
  </conditionalFormatting>
  <conditionalFormatting sqref="C68">
    <cfRule type="cellIs" dxfId="2531" priority="44" stopIfTrue="1" operator="greaterThan">
      <formula>$F67</formula>
    </cfRule>
    <cfRule type="cellIs" dxfId="2530" priority="43" stopIfTrue="1" operator="lessThanOrEqual">
      <formula>0</formula>
    </cfRule>
  </conditionalFormatting>
  <conditionalFormatting sqref="C74:C78">
    <cfRule type="cellIs" dxfId="2529" priority="148" stopIfTrue="1" operator="lessThanOrEqual">
      <formula>0</formula>
    </cfRule>
  </conditionalFormatting>
  <conditionalFormatting sqref="C75:C78">
    <cfRule type="cellIs" dxfId="2528" priority="147" stopIfTrue="1" operator="greaterThan">
      <formula>$F$74</formula>
    </cfRule>
  </conditionalFormatting>
  <conditionalFormatting sqref="C80">
    <cfRule type="cellIs" dxfId="2527" priority="150" stopIfTrue="1" operator="lessThanOrEqual">
      <formula>0</formula>
    </cfRule>
    <cfRule type="cellIs" dxfId="2526" priority="149" stopIfTrue="1" operator="greaterThan">
      <formula>$F$74</formula>
    </cfRule>
  </conditionalFormatting>
  <conditionalFormatting sqref="C74:D74 D76:D82">
    <cfRule type="cellIs" dxfId="2525" priority="142" stopIfTrue="1" operator="greaterThan">
      <formula>4.5</formula>
    </cfRule>
  </conditionalFormatting>
  <conditionalFormatting sqref="D47:D48">
    <cfRule type="cellIs" dxfId="2524" priority="126" operator="notBetween">
      <formula>#REF!</formula>
      <formula>#REF!</formula>
    </cfRule>
  </conditionalFormatting>
  <conditionalFormatting sqref="D63:D70">
    <cfRule type="cellIs" dxfId="2523" priority="120" stopIfTrue="1" operator="lessThanOrEqual">
      <formula>0</formula>
    </cfRule>
  </conditionalFormatting>
  <conditionalFormatting sqref="D71">
    <cfRule type="cellIs" dxfId="2522" priority="119" stopIfTrue="1" operator="lessThanOrEqual">
      <formula>0</formula>
    </cfRule>
  </conditionalFormatting>
  <conditionalFormatting sqref="D74 D76:D82">
    <cfRule type="cellIs" dxfId="2521" priority="143" stopIfTrue="1" operator="lessThanOrEqual">
      <formula>0</formula>
    </cfRule>
  </conditionalFormatting>
  <conditionalFormatting sqref="D75">
    <cfRule type="cellIs" dxfId="2520" priority="135" stopIfTrue="1" operator="lessThanOrEqual">
      <formula>0</formula>
    </cfRule>
    <cfRule type="cellIs" dxfId="2519" priority="134" stopIfTrue="1" operator="greaterThan">
      <formula>$F$74</formula>
    </cfRule>
  </conditionalFormatting>
  <conditionalFormatting sqref="D63:E72">
    <cfRule type="cellIs" dxfId="2518" priority="103" stopIfTrue="1" operator="greaterThan">
      <formula>$F63</formula>
    </cfRule>
  </conditionalFormatting>
  <conditionalFormatting sqref="D72:E72">
    <cfRule type="cellIs" dxfId="2517" priority="104" stopIfTrue="1" operator="lessThanOrEqual">
      <formula>0</formula>
    </cfRule>
  </conditionalFormatting>
  <conditionalFormatting sqref="E10:E22">
    <cfRule type="cellIs" dxfId="2516" priority="22" operator="lessThan">
      <formula>48</formula>
    </cfRule>
  </conditionalFormatting>
  <conditionalFormatting sqref="E50 E51:F51">
    <cfRule type="cellIs" dxfId="2515" priority="139" stopIfTrue="1" operator="greaterThan">
      <formula>100</formula>
    </cfRule>
  </conditionalFormatting>
  <conditionalFormatting sqref="E51">
    <cfRule type="cellIs" dxfId="2514" priority="137" stopIfTrue="1" operator="greaterThan">
      <formula>100</formula>
    </cfRule>
    <cfRule type="cellIs" dxfId="2513" priority="136" stopIfTrue="1" operator="lessThan">
      <formula>96.8</formula>
    </cfRule>
  </conditionalFormatting>
  <conditionalFormatting sqref="E63:E71">
    <cfRule type="cellIs" dxfId="2512" priority="114" stopIfTrue="1" operator="lessThanOrEqual">
      <formula>0</formula>
    </cfRule>
  </conditionalFormatting>
  <conditionalFormatting sqref="E74:E82">
    <cfRule type="cellIs" dxfId="2511" priority="129" stopIfTrue="1" operator="lessThanOrEqual">
      <formula>0</formula>
    </cfRule>
    <cfRule type="cellIs" dxfId="2510" priority="128" stopIfTrue="1" operator="greaterThan">
      <formula>4.5</formula>
    </cfRule>
  </conditionalFormatting>
  <conditionalFormatting sqref="E51:F51 E50">
    <cfRule type="cellIs" dxfId="2509" priority="138" stopIfTrue="1" operator="lessThan">
      <formula>96.5</formula>
    </cfRule>
  </conditionalFormatting>
  <conditionalFormatting sqref="F10:F22">
    <cfRule type="cellIs" dxfId="2508" priority="23" operator="greaterThan">
      <formula>60</formula>
    </cfRule>
  </conditionalFormatting>
  <conditionalFormatting sqref="F51">
    <cfRule type="cellIs" dxfId="2507" priority="155" stopIfTrue="1" operator="greaterThan">
      <formula>100</formula>
    </cfRule>
    <cfRule type="cellIs" dxfId="2506" priority="154" stopIfTrue="1" operator="lessThan">
      <formula>96.8</formula>
    </cfRule>
  </conditionalFormatting>
  <conditionalFormatting sqref="F72">
    <cfRule type="cellIs" dxfId="2505" priority="115" stopIfTrue="1" operator="greaterThan">
      <formula>$F72</formula>
    </cfRule>
    <cfRule type="cellIs" dxfId="2504" priority="116" stopIfTrue="1" operator="lessThanOrEqual">
      <formula>0</formula>
    </cfRule>
  </conditionalFormatting>
  <conditionalFormatting sqref="F77">
    <cfRule type="cellIs" dxfId="2503" priority="74" stopIfTrue="1" operator="lessThanOrEqual">
      <formula>0</formula>
    </cfRule>
    <cfRule type="cellIs" dxfId="2502" priority="73" stopIfTrue="1" operator="greaterThan">
      <formula>$F77</formula>
    </cfRule>
  </conditionalFormatting>
  <conditionalFormatting sqref="G10:G18">
    <cfRule type="expression" dxfId="2501" priority="1">
      <formula>IF(+(IF(G10&lt;S10,0,IF(G10&gt;T10,0,1)))=0,1)</formula>
    </cfRule>
  </conditionalFormatting>
  <conditionalFormatting sqref="G63:G64 C69:C71">
    <cfRule type="cellIs" dxfId="2500" priority="122" stopIfTrue="1" operator="lessThanOrEqual">
      <formula>0</formula>
    </cfRule>
  </conditionalFormatting>
  <conditionalFormatting sqref="G63:G64">
    <cfRule type="cellIs" dxfId="2499" priority="107" stopIfTrue="1" operator="greaterThan">
      <formula>$F63</formula>
    </cfRule>
    <cfRule type="cellIs" dxfId="2498" priority="108" stopIfTrue="1" operator="lessThanOrEqual">
      <formula>0</formula>
    </cfRule>
    <cfRule type="cellIs" dxfId="2497" priority="121" stopIfTrue="1" operator="greaterThan">
      <formula>$F63</formula>
    </cfRule>
  </conditionalFormatting>
  <conditionalFormatting sqref="G65">
    <cfRule type="cellIs" dxfId="2496" priority="159" stopIfTrue="1" operator="lessThanOrEqual">
      <formula>0</formula>
    </cfRule>
    <cfRule type="cellIs" dxfId="2495" priority="158" stopIfTrue="1" operator="greaterThan">
      <formula>$F64</formula>
    </cfRule>
  </conditionalFormatting>
  <conditionalFormatting sqref="G66">
    <cfRule type="cellIs" dxfId="2494" priority="117" stopIfTrue="1" operator="greaterThan">
      <formula>$F66</formula>
    </cfRule>
    <cfRule type="cellIs" dxfId="2493" priority="118" stopIfTrue="1" operator="lessThanOrEqual">
      <formula>0</formula>
    </cfRule>
  </conditionalFormatting>
  <conditionalFormatting sqref="G67:G71">
    <cfRule type="cellIs" dxfId="2492" priority="124" stopIfTrue="1" operator="lessThanOrEqual">
      <formula>0</formula>
    </cfRule>
    <cfRule type="cellIs" dxfId="2491" priority="123" stopIfTrue="1" operator="greaterThan">
      <formula>$J67</formula>
    </cfRule>
  </conditionalFormatting>
  <conditionalFormatting sqref="G76:G81 C79 C81">
    <cfRule type="cellIs" dxfId="2490" priority="151" stopIfTrue="1" operator="greaterThan">
      <formula>4.5</formula>
    </cfRule>
    <cfRule type="cellIs" dxfId="2489" priority="152" stopIfTrue="1" operator="lessThanOrEqual">
      <formula>0</formula>
    </cfRule>
  </conditionalFormatting>
  <conditionalFormatting sqref="G75:H75">
    <cfRule type="cellIs" dxfId="2488" priority="133" stopIfTrue="1" operator="lessThanOrEqual">
      <formula>0</formula>
    </cfRule>
    <cfRule type="cellIs" dxfId="2487" priority="132" stopIfTrue="1" operator="greaterThan">
      <formula>$F$74</formula>
    </cfRule>
  </conditionalFormatting>
  <conditionalFormatting sqref="H10:H18 M19:N20 G19:H22 M21">
    <cfRule type="expression" dxfId="2486" priority="24">
      <formula>IF(+(IF(G10&lt;#REF!,0,IF(G10&gt;#REF!,0,1)))=0,1)</formula>
    </cfRule>
  </conditionalFormatting>
  <conditionalFormatting sqref="H36:H50">
    <cfRule type="cellIs" dxfId="2485" priority="130" stopIfTrue="1" operator="greaterThan">
      <formula>0</formula>
    </cfRule>
  </conditionalFormatting>
  <conditionalFormatting sqref="H54">
    <cfRule type="cellIs" dxfId="2484" priority="14" stopIfTrue="1" operator="lessThanOrEqual">
      <formula>0</formula>
    </cfRule>
    <cfRule type="cellIs" dxfId="2483" priority="4" stopIfTrue="1" operator="lessThanOrEqual">
      <formula>0</formula>
    </cfRule>
    <cfRule type="cellIs" dxfId="2482" priority="5" stopIfTrue="1" operator="greaterThan">
      <formula>$F$70</formula>
    </cfRule>
    <cfRule type="cellIs" dxfId="2481" priority="13" stopIfTrue="1" operator="greaterThan">
      <formula>$F$73</formula>
    </cfRule>
    <cfRule type="cellIs" dxfId="2480" priority="15" stopIfTrue="1" operator="greaterThan">
      <formula>$F$71</formula>
    </cfRule>
    <cfRule type="cellIs" dxfId="2479" priority="16" stopIfTrue="1" operator="lessThanOrEqual">
      <formula>0</formula>
    </cfRule>
  </conditionalFormatting>
  <conditionalFormatting sqref="H55">
    <cfRule type="cellIs" dxfId="2478" priority="60" stopIfTrue="1" operator="lessThanOrEqual">
      <formula>0</formula>
    </cfRule>
    <cfRule type="cellIs" dxfId="2477" priority="61" stopIfTrue="1" operator="greaterThan">
      <formula>#REF!</formula>
    </cfRule>
    <cfRule type="cellIs" dxfId="2476" priority="70" stopIfTrue="1" operator="lessThanOrEqual">
      <formula>0</formula>
    </cfRule>
    <cfRule type="cellIs" dxfId="2475" priority="69" stopIfTrue="1" operator="greaterThan">
      <formula>$F$23</formula>
    </cfRule>
    <cfRule type="cellIs" dxfId="2474" priority="71" stopIfTrue="1" operator="greaterThan">
      <formula>#REF!</formula>
    </cfRule>
    <cfRule type="cellIs" dxfId="2473" priority="72" stopIfTrue="1" operator="lessThanOrEqual">
      <formula>0</formula>
    </cfRule>
  </conditionalFormatting>
  <conditionalFormatting sqref="H56">
    <cfRule type="cellIs" dxfId="2472" priority="26" stopIfTrue="1" operator="lessThanOrEqual">
      <formula>0</formula>
    </cfRule>
    <cfRule type="cellIs" dxfId="2471" priority="27" stopIfTrue="1" operator="greaterThan">
      <formula>$F$64</formula>
    </cfRule>
    <cfRule type="cellIs" dxfId="2470" priority="38" stopIfTrue="1" operator="lessThanOrEqual">
      <formula>0</formula>
    </cfRule>
    <cfRule type="cellIs" dxfId="2469" priority="37" stopIfTrue="1" operator="greaterThan">
      <formula>$F$65</formula>
    </cfRule>
    <cfRule type="cellIs" dxfId="2468" priority="36" stopIfTrue="1" operator="lessThanOrEqual">
      <formula>0</formula>
    </cfRule>
    <cfRule type="cellIs" dxfId="2467" priority="35" stopIfTrue="1" operator="greaterThan">
      <formula>$F$67</formula>
    </cfRule>
  </conditionalFormatting>
  <conditionalFormatting sqref="H57:H58">
    <cfRule type="cellIs" dxfId="2466" priority="56" stopIfTrue="1" operator="lessThanOrEqual">
      <formula>0</formula>
    </cfRule>
    <cfRule type="cellIs" dxfId="2465" priority="55" stopIfTrue="1" operator="greaterThan">
      <formula>$F$22</formula>
    </cfRule>
    <cfRule type="cellIs" dxfId="2464" priority="47" stopIfTrue="1" operator="greaterThan">
      <formula>#REF!</formula>
    </cfRule>
    <cfRule type="cellIs" dxfId="2463" priority="46" stopIfTrue="1" operator="lessThanOrEqual">
      <formula>0</formula>
    </cfRule>
    <cfRule type="cellIs" dxfId="2462" priority="57" stopIfTrue="1" operator="greaterThan">
      <formula>#REF!</formula>
    </cfRule>
    <cfRule type="cellIs" dxfId="2461" priority="58" stopIfTrue="1" operator="lessThanOrEqual">
      <formula>0</formula>
    </cfRule>
  </conditionalFormatting>
  <conditionalFormatting sqref="H59">
    <cfRule type="cellIs" dxfId="2460" priority="89" stopIfTrue="1" operator="lessThanOrEqual">
      <formula>0</formula>
    </cfRule>
    <cfRule type="cellIs" dxfId="2459" priority="88" stopIfTrue="1" operator="greaterThan">
      <formula>$F$36</formula>
    </cfRule>
    <cfRule type="cellIs" dxfId="2458" priority="77" stopIfTrue="1" operator="lessThanOrEqual">
      <formula>0</formula>
    </cfRule>
    <cfRule type="cellIs" dxfId="2457" priority="86" stopIfTrue="1" operator="greaterThan">
      <formula>$F$38</formula>
    </cfRule>
    <cfRule type="cellIs" dxfId="2456" priority="78" stopIfTrue="1" operator="greaterThan">
      <formula>$F$35</formula>
    </cfRule>
    <cfRule type="cellIs" dxfId="2455" priority="87" stopIfTrue="1" operator="lessThanOrEqual">
      <formula>0</formula>
    </cfRule>
  </conditionalFormatting>
  <conditionalFormatting sqref="H63:H70">
    <cfRule type="cellIs" dxfId="2454" priority="109" stopIfTrue="1" operator="greaterThan">
      <formula>$J63</formula>
    </cfRule>
    <cfRule type="cellIs" dxfId="2453" priority="110" stopIfTrue="1" operator="lessThanOrEqual">
      <formula>0</formula>
    </cfRule>
  </conditionalFormatting>
  <conditionalFormatting sqref="H71">
    <cfRule type="cellIs" dxfId="2452" priority="111" operator="greaterThan">
      <formula>5.3</formula>
    </cfRule>
  </conditionalFormatting>
  <conditionalFormatting sqref="H74 H76:H82">
    <cfRule type="cellIs" dxfId="2451" priority="144" stopIfTrue="1" operator="greaterThan">
      <formula>4.5</formula>
    </cfRule>
    <cfRule type="cellIs" dxfId="2450" priority="145" stopIfTrue="1" operator="lessThanOrEqual">
      <formula>0</formula>
    </cfRule>
  </conditionalFormatting>
  <conditionalFormatting sqref="H54:I54">
    <cfRule type="cellIs" dxfId="2449" priority="6" stopIfTrue="1" operator="lessThanOrEqual">
      <formula>0</formula>
    </cfRule>
    <cfRule type="cellIs" dxfId="2448" priority="3" stopIfTrue="1" operator="greaterThan">
      <formula>$F$72</formula>
    </cfRule>
  </conditionalFormatting>
  <conditionalFormatting sqref="H55:I55">
    <cfRule type="cellIs" dxfId="2447" priority="62" stopIfTrue="1" operator="lessThanOrEqual">
      <formula>0</formula>
    </cfRule>
    <cfRule type="cellIs" dxfId="2446" priority="59" stopIfTrue="1" operator="greaterThan">
      <formula>$F$22</formula>
    </cfRule>
  </conditionalFormatting>
  <conditionalFormatting sqref="H56:I56">
    <cfRule type="cellIs" dxfId="2445" priority="28" stopIfTrue="1" operator="lessThanOrEqual">
      <formula>0</formula>
    </cfRule>
    <cfRule type="cellIs" dxfId="2444" priority="25" stopIfTrue="1" operator="greaterThan">
      <formula>$F$66</formula>
    </cfRule>
  </conditionalFormatting>
  <conditionalFormatting sqref="H57:I58">
    <cfRule type="cellIs" dxfId="2443" priority="45" stopIfTrue="1" operator="greaterThan">
      <formula>#REF!</formula>
    </cfRule>
    <cfRule type="cellIs" dxfId="2442" priority="48" stopIfTrue="1" operator="lessThanOrEqual">
      <formula>0</formula>
    </cfRule>
  </conditionalFormatting>
  <conditionalFormatting sqref="H59:I59">
    <cfRule type="cellIs" dxfId="2441" priority="79" stopIfTrue="1" operator="lessThanOrEqual">
      <formula>0</formula>
    </cfRule>
    <cfRule type="cellIs" dxfId="2440" priority="76" stopIfTrue="1" operator="greaterThan">
      <formula>$F$37</formula>
    </cfRule>
  </conditionalFormatting>
  <conditionalFormatting sqref="H72:I72">
    <cfRule type="cellIs" dxfId="2439" priority="101" stopIfTrue="1" operator="greaterThan">
      <formula>$J72</formula>
    </cfRule>
    <cfRule type="cellIs" dxfId="2438" priority="102" stopIfTrue="1" operator="lessThanOrEqual">
      <formula>0</formula>
    </cfRule>
  </conditionalFormatting>
  <conditionalFormatting sqref="I54">
    <cfRule type="cellIs" dxfId="2437" priority="12" stopIfTrue="1" operator="lessThanOrEqual">
      <formula>0</formula>
    </cfRule>
    <cfRule type="cellIs" dxfId="2436" priority="11" stopIfTrue="1" operator="greaterThan">
      <formula>$F$70</formula>
    </cfRule>
    <cfRule type="cellIs" dxfId="2435" priority="10" stopIfTrue="1" operator="lessThanOrEqual">
      <formula>0</formula>
    </cfRule>
    <cfRule type="cellIs" dxfId="2434" priority="9" stopIfTrue="1" operator="greaterThan">
      <formula>$F$72</formula>
    </cfRule>
    <cfRule type="cellIs" dxfId="2433" priority="7" stopIfTrue="1" operator="greaterThan">
      <formula>$F$70</formula>
    </cfRule>
    <cfRule type="cellIs" dxfId="2432" priority="8" stopIfTrue="1" operator="lessThanOrEqual">
      <formula>0</formula>
    </cfRule>
  </conditionalFormatting>
  <conditionalFormatting sqref="I55">
    <cfRule type="cellIs" dxfId="2431" priority="65" stopIfTrue="1" operator="greaterThan">
      <formula>$F$22</formula>
    </cfRule>
    <cfRule type="cellIs" dxfId="2430" priority="66" stopIfTrue="1" operator="lessThanOrEqual">
      <formula>0</formula>
    </cfRule>
    <cfRule type="cellIs" dxfId="2429" priority="67" stopIfTrue="1" operator="greaterThan">
      <formula>#REF!</formula>
    </cfRule>
    <cfRule type="cellIs" dxfId="2428" priority="68" stopIfTrue="1" operator="lessThanOrEqual">
      <formula>0</formula>
    </cfRule>
    <cfRule type="cellIs" dxfId="2427" priority="63" stopIfTrue="1" operator="greaterThan">
      <formula>#REF!</formula>
    </cfRule>
    <cfRule type="cellIs" dxfId="2426" priority="64" stopIfTrue="1" operator="lessThanOrEqual">
      <formula>0</formula>
    </cfRule>
  </conditionalFormatting>
  <conditionalFormatting sqref="I56">
    <cfRule type="cellIs" dxfId="2425" priority="33" stopIfTrue="1" operator="greaterThan">
      <formula>$F$64</formula>
    </cfRule>
    <cfRule type="cellIs" dxfId="2424" priority="34" stopIfTrue="1" operator="lessThanOrEqual">
      <formula>0</formula>
    </cfRule>
    <cfRule type="cellIs" dxfId="2423" priority="32" stopIfTrue="1" operator="lessThanOrEqual">
      <formula>0</formula>
    </cfRule>
    <cfRule type="cellIs" dxfId="2422" priority="31" stopIfTrue="1" operator="greaterThan">
      <formula>$F$66</formula>
    </cfRule>
    <cfRule type="cellIs" dxfId="2421" priority="30" stopIfTrue="1" operator="lessThanOrEqual">
      <formula>0</formula>
    </cfRule>
    <cfRule type="cellIs" dxfId="2420" priority="29" stopIfTrue="1" operator="greaterThan">
      <formula>$F$64</formula>
    </cfRule>
  </conditionalFormatting>
  <conditionalFormatting sqref="I57:I58">
    <cfRule type="cellIs" dxfId="2419" priority="51" stopIfTrue="1" operator="greaterThan">
      <formula>#REF!</formula>
    </cfRule>
    <cfRule type="cellIs" dxfId="2418" priority="54" stopIfTrue="1" operator="lessThanOrEqual">
      <formula>0</formula>
    </cfRule>
    <cfRule type="cellIs" dxfId="2417" priority="53" stopIfTrue="1" operator="greaterThan">
      <formula>#REF!</formula>
    </cfRule>
    <cfRule type="cellIs" dxfId="2416" priority="52" stopIfTrue="1" operator="lessThanOrEqual">
      <formula>0</formula>
    </cfRule>
    <cfRule type="cellIs" dxfId="2415" priority="50" stopIfTrue="1" operator="lessThanOrEqual">
      <formula>0</formula>
    </cfRule>
    <cfRule type="cellIs" dxfId="2414" priority="49" stopIfTrue="1" operator="greaterThan">
      <formula>#REF!</formula>
    </cfRule>
  </conditionalFormatting>
  <conditionalFormatting sqref="I59">
    <cfRule type="cellIs" dxfId="2413" priority="82" stopIfTrue="1" operator="greaterThan">
      <formula>$F$37</formula>
    </cfRule>
    <cfRule type="cellIs" dxfId="2412" priority="84" stopIfTrue="1" operator="greaterThan">
      <formula>$F$35</formula>
    </cfRule>
    <cfRule type="cellIs" dxfId="2411" priority="85" stopIfTrue="1" operator="lessThanOrEqual">
      <formula>0</formula>
    </cfRule>
    <cfRule type="cellIs" dxfId="2410" priority="81" stopIfTrue="1" operator="lessThanOrEqual">
      <formula>0</formula>
    </cfRule>
    <cfRule type="cellIs" dxfId="2409" priority="80" stopIfTrue="1" operator="greaterThan">
      <formula>$F$35</formula>
    </cfRule>
    <cfRule type="cellIs" dxfId="2408" priority="83" stopIfTrue="1" operator="lessThanOrEqual">
      <formula>0</formula>
    </cfRule>
  </conditionalFormatting>
  <conditionalFormatting sqref="I63:I71">
    <cfRule type="cellIs" dxfId="2407" priority="112" stopIfTrue="1" operator="greaterThan">
      <formula>$J63</formula>
    </cfRule>
    <cfRule type="cellIs" dxfId="2406" priority="113" stopIfTrue="1" operator="lessThanOrEqual">
      <formula>0</formula>
    </cfRule>
  </conditionalFormatting>
  <conditionalFormatting sqref="I74:I82">
    <cfRule type="cellIs" dxfId="2405" priority="140" stopIfTrue="1" operator="greaterThan">
      <formula>4.5</formula>
    </cfRule>
    <cfRule type="cellIs" dxfId="2404" priority="141" stopIfTrue="1" operator="lessThanOrEqual">
      <formula>0</formula>
    </cfRule>
  </conditionalFormatting>
  <conditionalFormatting sqref="I10:J22">
    <cfRule type="cellIs" dxfId="2403" priority="18" operator="lessThan">
      <formula>97.9</formula>
    </cfRule>
  </conditionalFormatting>
  <conditionalFormatting sqref="J25:J27">
    <cfRule type="cellIs" dxfId="2402" priority="91" stopIfTrue="1" operator="lessThan">
      <formula>96.8</formula>
    </cfRule>
    <cfRule type="cellIs" dxfId="2401" priority="92" stopIfTrue="1" operator="greaterThan">
      <formula>100</formula>
    </cfRule>
    <cfRule type="cellIs" dxfId="2400" priority="93" operator="lessThan">
      <formula>98</formula>
    </cfRule>
  </conditionalFormatting>
  <conditionalFormatting sqref="J25:J29">
    <cfRule type="cellIs" dxfId="2399" priority="90" operator="lessThan">
      <formula>97.4</formula>
    </cfRule>
  </conditionalFormatting>
  <conditionalFormatting sqref="J30">
    <cfRule type="cellIs" dxfId="2398" priority="94" operator="lessThan">
      <formula>98</formula>
    </cfRule>
  </conditionalFormatting>
  <conditionalFormatting sqref="J32:J33">
    <cfRule type="cellIs" dxfId="2397" priority="95" stopIfTrue="1" operator="lessThan">
      <formula>96.8</formula>
    </cfRule>
    <cfRule type="cellIs" dxfId="2396" priority="96" stopIfTrue="1" operator="greaterThan">
      <formula>100</formula>
    </cfRule>
  </conditionalFormatting>
  <conditionalFormatting sqref="J32:J34">
    <cfRule type="cellIs" dxfId="2395" priority="97" operator="lessThan">
      <formula>98</formula>
    </cfRule>
  </conditionalFormatting>
  <conditionalFormatting sqref="J72">
    <cfRule type="cellIs" dxfId="2394" priority="98" stopIfTrue="1" operator="greaterThan">
      <formula>$F72</formula>
    </cfRule>
    <cfRule type="cellIs" dxfId="2393" priority="99" stopIfTrue="1" operator="lessThanOrEqual">
      <formula>0</formula>
    </cfRule>
  </conditionalFormatting>
  <conditionalFormatting sqref="K10:K22">
    <cfRule type="cellIs" dxfId="2392" priority="21" operator="greaterThan">
      <formula>6.4</formula>
    </cfRule>
    <cfRule type="cellIs" dxfId="2391" priority="20" operator="lessThan">
      <formula>4</formula>
    </cfRule>
    <cfRule type="cellIs" dxfId="2390" priority="19" operator="greaterThan">
      <formula>6</formula>
    </cfRule>
  </conditionalFormatting>
  <conditionalFormatting sqref="K54:K59 K63:N69 K70 M70:N70 K71:N71">
    <cfRule type="cellIs" dxfId="2389" priority="75" stopIfTrue="1" operator="lessThan">
      <formula>100%</formula>
    </cfRule>
  </conditionalFormatting>
  <conditionalFormatting sqref="K74:K79">
    <cfRule type="cellIs" dxfId="2388" priority="146" stopIfTrue="1" operator="lessThan">
      <formula>100%</formula>
    </cfRule>
  </conditionalFormatting>
  <conditionalFormatting sqref="K81:K82">
    <cfRule type="cellIs" dxfId="2387" priority="153" stopIfTrue="1" operator="lessThan">
      <formula>100%</formula>
    </cfRule>
  </conditionalFormatting>
  <conditionalFormatting sqref="L10:L18 L19:M21 L22">
    <cfRule type="cellIs" dxfId="2386" priority="40" operator="greaterThan">
      <formula>65</formula>
    </cfRule>
  </conditionalFormatting>
  <conditionalFormatting sqref="L19:M21 L10:L18 L22">
    <cfRule type="cellIs" dxfId="2385" priority="39" operator="between">
      <formula>61</formula>
      <formula>65</formula>
    </cfRule>
  </conditionalFormatting>
  <conditionalFormatting sqref="L25:M36">
    <cfRule type="cellIs" dxfId="2384" priority="41" operator="lessThan">
      <formula>97.95</formula>
    </cfRule>
  </conditionalFormatting>
  <conditionalFormatting sqref="L40:N40">
    <cfRule type="cellIs" dxfId="2383" priority="42" operator="notEqual">
      <formula>#REF!</formula>
    </cfRule>
  </conditionalFormatting>
  <conditionalFormatting sqref="L72:N72">
    <cfRule type="cellIs" dxfId="2382" priority="100" stopIfTrue="1" operator="lessThan">
      <formula>100%</formula>
    </cfRule>
  </conditionalFormatting>
  <conditionalFormatting sqref="L74:N82">
    <cfRule type="cellIs" dxfId="2381" priority="131" stopIfTrue="1" operator="lessThan">
      <formula>100%</formula>
    </cfRule>
  </conditionalFormatting>
  <conditionalFormatting sqref="M10:M18">
    <cfRule type="expression" dxfId="2380" priority="2">
      <formula>IF(+(IF(M10&lt;U10,0,IF(M10&gt;V10,0,1)))=0,1)</formula>
    </cfRule>
  </conditionalFormatting>
  <conditionalFormatting sqref="M22:N22">
    <cfRule type="expression" dxfId="2379" priority="161">
      <formula>IF(+(IF(M22&lt;#REF!,0,IF(M22&gt;#REF!,0,1)))=0,1)</formula>
    </cfRule>
  </conditionalFormatting>
  <conditionalFormatting sqref="N10:N18 N21">
    <cfRule type="expression" dxfId="2378" priority="17">
      <formula>IF(+(IF(N10&lt;W10,0,IF(N10&gt;X10,0,1)))=0,1)</formula>
    </cfRule>
  </conditionalFormatting>
  <conditionalFormatting sqref="P6">
    <cfRule type="cellIs" dxfId="2377" priority="127" operator="greaterThanOrEqual">
      <formula>19</formula>
    </cfRule>
  </conditionalFormatting>
  <dataValidations count="1">
    <dataValidation type="list" allowBlank="1" showInputMessage="1" showErrorMessage="1" sqref="R8" xr:uid="{A7EB45E5-9E29-496B-892C-1BA47E9899F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C4A4-CA06-4730-B276-9E4175B8D657}">
  <sheetPr>
    <pageSetUpPr fitToPage="1"/>
  </sheetPr>
  <dimension ref="A1:BE75"/>
  <sheetViews>
    <sheetView zoomScale="70" zoomScaleNormal="7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45944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4" t="s">
        <v>12</v>
      </c>
      <c r="C10" s="366" t="str">
        <f>[24]Brewhouse!$A99</f>
        <v>GU088</v>
      </c>
      <c r="D10" s="279">
        <f>[24]Brewhouse!$AF99</f>
        <v>51.5</v>
      </c>
      <c r="E10" s="279">
        <f>[24]Brewhouse!$AI99</f>
        <v>49.3</v>
      </c>
      <c r="F10" s="278">
        <f>[24]Brewhouse!$V99</f>
        <v>62</v>
      </c>
      <c r="G10" s="279">
        <f>[24]Brewhouse!$AG99</f>
        <v>17.5</v>
      </c>
      <c r="H10" s="396">
        <v>17</v>
      </c>
      <c r="I10" s="420">
        <f>[24]Brewhouse!$AU99</f>
        <v>93.495308959672286</v>
      </c>
      <c r="J10" s="420">
        <f>[24]Brewhouse!$AV99</f>
        <v>95.146369751797721</v>
      </c>
      <c r="K10" s="470">
        <f>[24]Brewhouse!$R99</f>
        <v>12.740740740740733</v>
      </c>
      <c r="L10" s="276">
        <f>[24]Brewhouse!$O99</f>
        <v>60</v>
      </c>
      <c r="M10" s="374">
        <f>[24]Brewhouse!$U99-[24]Brewhouse!$T99</f>
        <v>0.12013888888888885</v>
      </c>
      <c r="N10" s="370">
        <f>[24]Brewhouse!$Z99</f>
        <v>0.25555555555555554</v>
      </c>
      <c r="O10" s="421" t="str">
        <f>[24]Brewhouse!$AW99</f>
        <v>R. Regis</v>
      </c>
      <c r="P10" s="418"/>
      <c r="R10" s="277" t="str">
        <f t="shared" ref="R10:R34" si="0">B10</f>
        <v>GUINNESS</v>
      </c>
      <c r="S10" s="296">
        <f t="shared" ref="S10:S34" si="1">VLOOKUP($B10,$R$3:$X$9,2,FALSE)</f>
        <v>17</v>
      </c>
      <c r="T10" s="296">
        <f t="shared" ref="T10:T34" si="2">VLOOKUP($B10,$R$3:$X$9,3,FALSE)</f>
        <v>17.5</v>
      </c>
      <c r="U10" s="297">
        <f t="shared" ref="U10:U34" si="3">VLOOKUP($B10,$R$3:$X$9,4,FALSE)</f>
        <v>0</v>
      </c>
      <c r="V10" s="297">
        <f t="shared" ref="V10:V34" si="4">VLOOKUP($B10,$R$3:$X$9,5,FALSE)</f>
        <v>0.1076388888888889</v>
      </c>
      <c r="W10" s="297">
        <f t="shared" ref="W10:W34" si="5">VLOOKUP($B10,$R$3:$X$9,6,FALSE)</f>
        <v>0.24652777777777779</v>
      </c>
      <c r="X10" s="297">
        <f t="shared" ref="X10:X34" si="6">VLOOKUP($B10,$R$3:$X$9,7,FALSE)</f>
        <v>0.28472222222222221</v>
      </c>
      <c r="Y10" s="297">
        <f t="shared" ref="Y10:Y34" si="7">VLOOKUP($B10,$R$3:$Z$9,8,FALSE)</f>
        <v>0</v>
      </c>
      <c r="Z10" s="296">
        <f t="shared" ref="Z10:Z34" si="8">VLOOKUP($B10,$R$3:$Z$9,9,FALSE)</f>
        <v>60</v>
      </c>
    </row>
    <row r="11" spans="2:29" ht="15" customHeight="1">
      <c r="B11" s="34" t="s">
        <v>12</v>
      </c>
      <c r="C11" s="366" t="str">
        <f>[24]Brewhouse!$A100</f>
        <v>GU089</v>
      </c>
      <c r="D11" s="279">
        <f>[24]Brewhouse!$AF100</f>
        <v>53.6</v>
      </c>
      <c r="E11" s="279">
        <f>[24]Brewhouse!$AI100</f>
        <v>51.5</v>
      </c>
      <c r="F11" s="278">
        <f>[24]Brewhouse!$V100</f>
        <v>63</v>
      </c>
      <c r="G11" s="279">
        <f>[24]Brewhouse!$AG100</f>
        <v>17.100000000000001</v>
      </c>
      <c r="H11" s="367"/>
      <c r="I11" s="420">
        <f>[24]Brewhouse!$AU100</f>
        <v>94.939013157842624</v>
      </c>
      <c r="J11" s="420">
        <f>[24]Brewhouse!$AV100</f>
        <v>96.617035477742988</v>
      </c>
      <c r="K11" s="470">
        <f>[24]Brewhouse!$R100</f>
        <v>8.3571428571428559</v>
      </c>
      <c r="L11" s="276">
        <f>[24]Brewhouse!$O100</f>
        <v>58</v>
      </c>
      <c r="M11" s="374">
        <f>[24]Brewhouse!$U100-[24]Brewhouse!$T100</f>
        <v>0.11597222222222225</v>
      </c>
      <c r="N11" s="370">
        <f>[24]Brewhouse!$Z100</f>
        <v>0.27569444444444446</v>
      </c>
      <c r="O11" s="421" t="str">
        <f>[24]Brewhouse!$AW100</f>
        <v>R. Regis</v>
      </c>
      <c r="P11" s="418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" customHeight="1">
      <c r="B12" s="34" t="s">
        <v>12</v>
      </c>
      <c r="C12" s="366" t="str">
        <f>[24]Brewhouse!$A101</f>
        <v>GU090</v>
      </c>
      <c r="D12" s="279">
        <f>[24]Brewhouse!$AF101</f>
        <v>52.9</v>
      </c>
      <c r="E12" s="279">
        <f>[24]Brewhouse!$AI101</f>
        <v>51.1</v>
      </c>
      <c r="F12" s="278">
        <f>[24]Brewhouse!$V101</f>
        <v>64</v>
      </c>
      <c r="G12" s="279">
        <f>[24]Brewhouse!$AG101</f>
        <v>17.2</v>
      </c>
      <c r="H12" s="396">
        <v>17.2</v>
      </c>
      <c r="I12" s="420">
        <f>[24]Brewhouse!$AU101</f>
        <v>94.844556920967619</v>
      </c>
      <c r="J12" s="420">
        <f>[24]Brewhouse!$AV101</f>
        <v>96.520617629679109</v>
      </c>
      <c r="K12" s="470">
        <f>[24]Brewhouse!$R101</f>
        <v>7.6292335115864542</v>
      </c>
      <c r="L12" s="276">
        <f>[24]Brewhouse!$O101</f>
        <v>59</v>
      </c>
      <c r="M12" s="374">
        <f>[24]Brewhouse!$U101-[24]Brewhouse!$T101</f>
        <v>0.11319444444444438</v>
      </c>
      <c r="N12" s="370">
        <f>[24]Brewhouse!$Z101</f>
        <v>0.25624999999999998</v>
      </c>
      <c r="O12" s="421" t="str">
        <f>[24]Brewhouse!$AW101</f>
        <v>R. Regis</v>
      </c>
      <c r="P12" s="418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5" customHeight="1">
      <c r="B13" s="34" t="s">
        <v>12</v>
      </c>
      <c r="C13" s="366" t="str">
        <f>[24]Brewhouse!$A102</f>
        <v>GU091</v>
      </c>
      <c r="D13" s="279">
        <f>[24]Brewhouse!$AF102</f>
        <v>53.4</v>
      </c>
      <c r="E13" s="279">
        <f>[24]Brewhouse!$AI102</f>
        <v>51.5</v>
      </c>
      <c r="F13" s="278">
        <f>[24]Brewhouse!$V102</f>
        <v>65</v>
      </c>
      <c r="G13" s="279">
        <f>[24]Brewhouse!$AG102</f>
        <v>17.100000000000001</v>
      </c>
      <c r="H13" s="396">
        <v>17.100000000000001</v>
      </c>
      <c r="I13" s="420">
        <f>[24]Brewhouse!$AU102</f>
        <v>95.04867932044354</v>
      </c>
      <c r="J13" s="420">
        <f>[24]Brewhouse!$AV102</f>
        <v>96.310456011054796</v>
      </c>
      <c r="K13" s="470">
        <f>[24]Brewhouse!$R102</f>
        <v>7.7676950998185141</v>
      </c>
      <c r="L13" s="276">
        <f>[24]Brewhouse!$O102</f>
        <v>55</v>
      </c>
      <c r="M13" s="374">
        <f>[24]Brewhouse!$U102-[24]Brewhouse!$T102</f>
        <v>0.11388888888888893</v>
      </c>
      <c r="N13" s="370">
        <f>[24]Brewhouse!$Z102</f>
        <v>0.26041666666666663</v>
      </c>
      <c r="O13" s="421" t="str">
        <f>[24]Brewhouse!$AW102</f>
        <v>R. Sookram</v>
      </c>
      <c r="P13" s="418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5" customHeight="1">
      <c r="B14" s="34" t="s">
        <v>12</v>
      </c>
      <c r="C14" s="366" t="str">
        <f>[24]Brewhouse!$A103</f>
        <v>GU092</v>
      </c>
      <c r="D14" s="279">
        <f>[24]Brewhouse!$AF103</f>
        <v>53.6</v>
      </c>
      <c r="E14" s="279">
        <f>[24]Brewhouse!$AI103</f>
        <v>51.3</v>
      </c>
      <c r="F14" s="278">
        <f>[24]Brewhouse!$V103</f>
        <v>79</v>
      </c>
      <c r="G14" s="279">
        <f>[24]Brewhouse!$AG103</f>
        <v>17.2</v>
      </c>
      <c r="H14" s="367"/>
      <c r="I14" s="420">
        <f>[24]Brewhouse!$AU103</f>
        <v>95.51431937725215</v>
      </c>
      <c r="J14" s="420">
        <f>[24]Brewhouse!$AV103</f>
        <v>96.361165048543668</v>
      </c>
      <c r="K14" s="470">
        <f>[24]Brewhouse!$R103</f>
        <v>4.6823956442831181</v>
      </c>
      <c r="L14" s="276">
        <f>[24]Brewhouse!$O103</f>
        <v>57</v>
      </c>
      <c r="M14" s="374">
        <f>[24]Brewhouse!$U103-[24]Brewhouse!$T103</f>
        <v>0.13680555555555551</v>
      </c>
      <c r="N14" s="370">
        <f>[24]Brewhouse!$Z103</f>
        <v>0.29374999999999996</v>
      </c>
      <c r="O14" s="421" t="str">
        <f>[24]Brewhouse!$AW103</f>
        <v>R. Sookram</v>
      </c>
      <c r="P14" s="418" t="s">
        <v>186</v>
      </c>
      <c r="R14" s="277" t="str">
        <f t="shared" si="0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5" customHeight="1">
      <c r="B15" s="34" t="s">
        <v>12</v>
      </c>
      <c r="C15" s="366" t="str">
        <f>[24]Brewhouse!$A104</f>
        <v>GU093</v>
      </c>
      <c r="D15" s="279">
        <f>[24]Brewhouse!$AF104</f>
        <v>53.6</v>
      </c>
      <c r="E15" s="279">
        <f>[24]Brewhouse!$AI104</f>
        <v>51.7</v>
      </c>
      <c r="F15" s="278">
        <f>[24]Brewhouse!$V104</f>
        <v>62</v>
      </c>
      <c r="G15" s="279">
        <f>[24]Brewhouse!$AG104</f>
        <v>17.100000000000001</v>
      </c>
      <c r="H15" s="396">
        <v>17.100000000000001</v>
      </c>
      <c r="I15" s="420">
        <f>[24]Brewhouse!$AU104</f>
        <v>95.758971226876398</v>
      </c>
      <c r="J15" s="420">
        <f>[24]Brewhouse!$AV104</f>
        <v>96.607839627707193</v>
      </c>
      <c r="K15" s="470">
        <f>[24]Brewhouse!$R104</f>
        <v>7.4047186932849325</v>
      </c>
      <c r="L15" s="276">
        <f>[24]Brewhouse!$O104</f>
        <v>59</v>
      </c>
      <c r="M15" s="374">
        <f>[24]Brewhouse!$U104-[24]Brewhouse!$T104</f>
        <v>0.1166666666666667</v>
      </c>
      <c r="N15" s="370">
        <f>[24]Brewhouse!$Z104</f>
        <v>0.28194444444444455</v>
      </c>
      <c r="O15" s="421" t="str">
        <f>[24]Brewhouse!$AW104</f>
        <v>R. Sookram</v>
      </c>
      <c r="P15" s="418"/>
      <c r="R15" s="277" t="str">
        <f t="shared" ref="R15:R22" si="9">B15</f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5" customHeight="1">
      <c r="B16" s="34" t="s">
        <v>12</v>
      </c>
      <c r="C16" s="366" t="str">
        <f>[24]Brewhouse!$A105</f>
        <v>GU094</v>
      </c>
      <c r="D16" s="279">
        <f>[24]Brewhouse!$AF105</f>
        <v>53.6</v>
      </c>
      <c r="E16" s="279">
        <f>[24]Brewhouse!$AI105</f>
        <v>50</v>
      </c>
      <c r="F16" s="278">
        <f>[24]Brewhouse!$V105</f>
        <v>57</v>
      </c>
      <c r="G16" s="279">
        <f>[24]Brewhouse!$AG105</f>
        <v>17.3</v>
      </c>
      <c r="H16" s="396">
        <v>17.3</v>
      </c>
      <c r="I16" s="420">
        <f>[24]Brewhouse!$AU105</f>
        <v>93.701673172125652</v>
      </c>
      <c r="J16" s="420">
        <f>[24]Brewhouse!$AV105</f>
        <v>94.532447623914152</v>
      </c>
      <c r="K16" s="470">
        <f>[24]Brewhouse!$R105</f>
        <v>4.5090909090909035</v>
      </c>
      <c r="L16" s="276">
        <f>[24]Brewhouse!$O105</f>
        <v>58</v>
      </c>
      <c r="M16" s="374">
        <f>[24]Brewhouse!$U105-[24]Brewhouse!$T105</f>
        <v>0.11874999999999991</v>
      </c>
      <c r="N16" s="370">
        <f>[24]Brewhouse!$Z105</f>
        <v>0.26805555555555549</v>
      </c>
      <c r="O16" s="421" t="str">
        <f>[24]Brewhouse!$AW105</f>
        <v>K. Benjamin</v>
      </c>
      <c r="P16" s="418" t="s">
        <v>186</v>
      </c>
      <c r="R16" s="277" t="str">
        <f t="shared" si="9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1:27" ht="15" customHeight="1">
      <c r="B17" s="34" t="s">
        <v>12</v>
      </c>
      <c r="C17" s="366" t="str">
        <f>[24]Brewhouse!$A106</f>
        <v>GU095</v>
      </c>
      <c r="D17" s="279">
        <f>[24]Brewhouse!$AF106</f>
        <v>52.8</v>
      </c>
      <c r="E17" s="279">
        <f>[24]Brewhouse!$AI106</f>
        <v>51.3</v>
      </c>
      <c r="F17" s="278">
        <f>[24]Brewhouse!$V106</f>
        <v>62</v>
      </c>
      <c r="G17" s="279">
        <f>[24]Brewhouse!$AG106</f>
        <v>17.2</v>
      </c>
      <c r="H17" s="396">
        <v>17.3</v>
      </c>
      <c r="I17" s="420">
        <f>[24]Brewhouse!$AU106</f>
        <v>95.287475319992694</v>
      </c>
      <c r="J17" s="420">
        <f>[24]Brewhouse!$AV106</f>
        <v>96.132745392909015</v>
      </c>
      <c r="K17" s="470">
        <f>[24]Brewhouse!$R106</f>
        <v>7.0545454545454467</v>
      </c>
      <c r="L17" s="276">
        <f>[24]Brewhouse!$O106</f>
        <v>59</v>
      </c>
      <c r="M17" s="374">
        <f>[24]Brewhouse!$U106-[24]Brewhouse!$T106</f>
        <v>0.13194444444444442</v>
      </c>
      <c r="N17" s="370">
        <f>[24]Brewhouse!$Z106</f>
        <v>0.27569444444444446</v>
      </c>
      <c r="O17" s="421" t="str">
        <f>[24]Brewhouse!$AW106</f>
        <v>K. Benjamin</v>
      </c>
      <c r="P17" s="418" t="s">
        <v>186</v>
      </c>
      <c r="R17" s="277" t="str">
        <f t="shared" si="9"/>
        <v>GUINNESS</v>
      </c>
      <c r="S17" s="296">
        <f t="shared" si="1"/>
        <v>17</v>
      </c>
      <c r="T17" s="296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296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464"/>
      <c r="I18" s="420"/>
      <c r="J18" s="420"/>
      <c r="K18" s="281"/>
      <c r="L18" s="276"/>
      <c r="M18" s="374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11"/>
      <c r="J21" s="511"/>
      <c r="K21" s="511"/>
      <c r="L21" s="511"/>
      <c r="M21" s="511"/>
      <c r="N21" s="511"/>
      <c r="O21" s="1"/>
      <c r="P21" s="12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thickBot="1">
      <c r="B22" s="388" t="s">
        <v>162</v>
      </c>
      <c r="C22" s="388"/>
      <c r="D22" s="489" t="s">
        <v>35</v>
      </c>
      <c r="E22" s="490"/>
      <c r="F22" s="294"/>
      <c r="G22" s="294"/>
      <c r="H22" s="348"/>
      <c r="I22" s="24" t="s">
        <v>17</v>
      </c>
      <c r="J22" s="25" t="s">
        <v>36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A23" s="28"/>
      <c r="B23" s="512"/>
      <c r="C23" s="362"/>
      <c r="D23" s="515"/>
      <c r="E23" s="516"/>
      <c r="F23" s="294"/>
      <c r="G23" s="294"/>
      <c r="H23" s="348"/>
      <c r="I23" s="29" t="s">
        <v>6</v>
      </c>
      <c r="J23" s="280"/>
      <c r="K23" s="284">
        <f>COUNTA([22]Brewhouse!$A$823:$A$862)</f>
        <v>40</v>
      </c>
      <c r="L23" s="305">
        <f>AVERAGE([22]Brewhouse!$AU$823:$AU$862)</f>
        <v>97.590265038899688</v>
      </c>
      <c r="M23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$862)</f>
        <v>97.7002563157276</v>
      </c>
      <c r="N23" s="30">
        <v>98</v>
      </c>
      <c r="O23" s="11"/>
      <c r="P23" s="31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customHeight="1">
      <c r="A24" s="28"/>
      <c r="B24" s="513"/>
      <c r="C24" s="362"/>
      <c r="D24" s="517"/>
      <c r="E24" s="518"/>
      <c r="F24" s="294"/>
      <c r="G24" s="294"/>
      <c r="H24" s="348"/>
      <c r="I24" s="33" t="s">
        <v>9</v>
      </c>
      <c r="J24" s="280"/>
      <c r="K24" s="284">
        <f>COUNTA([23]Brewhouse!$A$399:$A$419)</f>
        <v>21</v>
      </c>
      <c r="L24" s="302">
        <f>AVERAGE([23]Brewhouse!$AS$399:$AS$419)</f>
        <v>98.088487780497204</v>
      </c>
      <c r="M24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13"/>
      <c r="C25" s="362"/>
      <c r="D25" s="515"/>
      <c r="E25" s="516"/>
      <c r="F25" s="294"/>
      <c r="G25" s="294"/>
      <c r="H25" s="348"/>
      <c r="I25" s="34" t="s">
        <v>12</v>
      </c>
      <c r="J25" s="280">
        <f>AVERAGE(I10:I17)</f>
        <v>94.823749681896615</v>
      </c>
      <c r="K25" s="284">
        <f>COUNTA([24]Brewhouse!$A$99:$A$106)</f>
        <v>8</v>
      </c>
      <c r="L25" s="302">
        <f>AVERAGE([24]Brewhouse!$AU$99:$AU$106)</f>
        <v>94.823749681896615</v>
      </c>
      <c r="M25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13"/>
      <c r="C26" s="362"/>
      <c r="D26" s="517"/>
      <c r="E26" s="518"/>
      <c r="F26" s="294"/>
      <c r="G26" s="294"/>
      <c r="H26" s="348"/>
      <c r="I26" s="22" t="s">
        <v>33</v>
      </c>
      <c r="J26" s="280"/>
      <c r="K26" s="284"/>
      <c r="L26" s="302"/>
      <c r="M26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13"/>
      <c r="C27" s="362"/>
      <c r="D27" s="515"/>
      <c r="E27" s="516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3"/>
      <c r="C28" s="362"/>
      <c r="D28" s="517"/>
      <c r="E28" s="518"/>
      <c r="F28" s="417"/>
      <c r="G28" s="294"/>
      <c r="H28" s="348"/>
      <c r="I28" s="36" t="s">
        <v>15</v>
      </c>
      <c r="J28" s="323"/>
      <c r="K28" s="284"/>
      <c r="L28" s="302"/>
      <c r="M28" s="302">
        <f>AVERAGE([26]Brewhouse!$AT$4:$AT$11,[26]Brewhouse!$AT$13:$AT$16,[26]Brewhouse!$AT$18:$AT$21,[26]Brewhouse!$AT$26,[26]Brewhouse!$AT$28:$AT$35)</f>
        <v>94.794664331624134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13"/>
      <c r="C29" s="362"/>
      <c r="D29" s="515"/>
      <c r="E29" s="516"/>
      <c r="F29" s="417"/>
      <c r="G29" s="294"/>
      <c r="H29" s="348"/>
      <c r="I29" s="37" t="s">
        <v>16</v>
      </c>
      <c r="J29" s="323"/>
      <c r="K29" s="284"/>
      <c r="L29" s="302"/>
      <c r="M29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29" s="30">
        <v>98</v>
      </c>
      <c r="O29" s="11"/>
      <c r="P29" s="31" t="s">
        <v>41</v>
      </c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13"/>
      <c r="C30" s="362"/>
      <c r="D30" s="517"/>
      <c r="E30" s="518"/>
      <c r="F30" s="294"/>
      <c r="G30" s="294"/>
      <c r="H30" s="348"/>
      <c r="I30" s="411" t="s">
        <v>158</v>
      </c>
      <c r="J30" s="326"/>
      <c r="K30" s="284"/>
      <c r="L30" s="305"/>
      <c r="M30" s="305">
        <f>AVERAGE([28]Brewhouse!$AU$5:$AU$8,[28]Brewhouse!$AU$10:$AU$13,[27]Brewhouse!$AY$75:$AY$77)</f>
        <v>94.749192473706671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13"/>
      <c r="C31" s="349"/>
      <c r="D31" s="515"/>
      <c r="E31" s="516"/>
      <c r="F31" s="294"/>
      <c r="G31" s="294"/>
      <c r="H31" s="348"/>
      <c r="I31" s="410" t="s">
        <v>157</v>
      </c>
      <c r="J31" s="326"/>
      <c r="K31" s="284"/>
      <c r="L31" s="305"/>
      <c r="M31" s="305">
        <f>AVERAGE([29]Brewhouse!$AW$26:$AW$27)</f>
        <v>95.310680905194914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13"/>
      <c r="C32" s="349"/>
      <c r="D32" s="517"/>
      <c r="E32" s="518"/>
      <c r="F32" s="294"/>
      <c r="G32" s="294"/>
      <c r="H32" s="348"/>
      <c r="I32" s="406" t="s">
        <v>156</v>
      </c>
      <c r="J32" s="327"/>
      <c r="K32" s="407"/>
      <c r="L32" s="408"/>
      <c r="M32" s="408">
        <f>AVERAGE([30]Brewhouse!$AU$13:$AU$14)</f>
        <v>97.110575243268045</v>
      </c>
      <c r="N32" s="409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5" customHeight="1" thickBot="1">
      <c r="A33" s="28"/>
      <c r="B33" s="513"/>
      <c r="C33" s="349"/>
      <c r="D33" s="515"/>
      <c r="E33" s="516"/>
      <c r="F33" s="294"/>
      <c r="G33" s="294"/>
      <c r="H33" s="348"/>
      <c r="I33" s="1"/>
      <c r="J33" s="39"/>
      <c r="K33" s="404">
        <f>SUM(K23:K32)</f>
        <v>69</v>
      </c>
      <c r="L33" s="405">
        <f>((L23*K23)+(L24*K24)+(L25*K25)+(L26*K26)+(L27*K27)+(K30*L30)+(L28*K28)+(L29*K29)+(L32*K32))/(K33)</f>
        <v>97.421142643501469</v>
      </c>
      <c r="M33" s="405">
        <f>AVERAGE('[31]Jan 31st'!$L$65,'[32]Feb 28th'!$L$35,'[33]Mar. 31st'!$L$35,'[34]Apr. 30th'!$L$45,'[35]May 30th'!$L$37,'[36]June 30th'!$L$57,'[37]July 29th '!$L$44,'[38]Aug 29th'!$L$29,'[39]Sept 30th'!$L$35,L33)</f>
        <v>97.560064504031942</v>
      </c>
      <c r="N33" s="4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.75" thickBot="1">
      <c r="B34" s="576"/>
      <c r="C34" s="350"/>
      <c r="D34" s="517"/>
      <c r="E34" s="518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.75" thickBot="1">
      <c r="B35" s="562"/>
      <c r="C35" s="362"/>
      <c r="D35" s="528"/>
      <c r="E35" s="529"/>
      <c r="F35" s="294"/>
      <c r="G35" s="42"/>
      <c r="H35" s="41"/>
      <c r="I35" s="42"/>
      <c r="J35" s="563" t="s">
        <v>129</v>
      </c>
      <c r="K35" s="563"/>
      <c r="L35" s="294"/>
      <c r="M35" s="294"/>
      <c r="N35" s="294"/>
      <c r="O35" s="294"/>
      <c r="P35" s="12"/>
    </row>
    <row r="36" spans="1:56" ht="15.75" thickBot="1">
      <c r="B36" s="526"/>
      <c r="C36" s="362"/>
      <c r="D36" s="530"/>
      <c r="E36" s="518"/>
      <c r="F36" s="294"/>
      <c r="G36" s="42"/>
      <c r="H36" s="41"/>
      <c r="I36" s="42"/>
      <c r="J36" s="292" t="s">
        <v>17</v>
      </c>
      <c r="K36" s="293" t="s">
        <v>147</v>
      </c>
      <c r="L36" s="532" t="s">
        <v>136</v>
      </c>
      <c r="M36" s="532"/>
      <c r="N36" s="533"/>
      <c r="O36" s="294"/>
      <c r="P36" s="12"/>
    </row>
    <row r="37" spans="1:56" ht="15" customHeight="1" thickBot="1">
      <c r="B37" s="526"/>
      <c r="C37" s="349"/>
      <c r="D37" s="564"/>
      <c r="E37" s="565"/>
      <c r="F37" s="294"/>
      <c r="G37" s="42"/>
      <c r="H37" s="41"/>
      <c r="I37" s="42"/>
      <c r="J37" s="287" t="s">
        <v>6</v>
      </c>
      <c r="K37" s="324"/>
      <c r="L37" s="343" t="s">
        <v>37</v>
      </c>
      <c r="M37" s="307" t="s">
        <v>38</v>
      </c>
      <c r="N37" s="307" t="s">
        <v>84</v>
      </c>
      <c r="O37" s="294"/>
      <c r="P37" s="12"/>
    </row>
    <row r="38" spans="1:56" ht="15.75" customHeight="1" thickBot="1">
      <c r="B38" s="526"/>
      <c r="C38" s="349"/>
      <c r="D38" s="530"/>
      <c r="E38" s="518"/>
      <c r="F38" s="294"/>
      <c r="G38" s="42"/>
      <c r="H38" s="41"/>
      <c r="I38" s="42"/>
      <c r="J38" s="345" t="s">
        <v>9</v>
      </c>
      <c r="K38" s="324"/>
      <c r="L38" s="344">
        <f>AVERAGE('Oct. 1st'!K49,,'Oct. 2nd'!K51,'Oct. 3rd'!K46,'Oct. 6th'!K54,Oct.7th!K50,Oct.8th!K48,Oct.9th!K49,Oct.9th!K49)</f>
        <v>7.4444444444444446</v>
      </c>
      <c r="M38" s="325">
        <f>AVERAGE('[31]Jan 29th '!$M$70,'[32]Feb 28th'!$L$40,'[33]Mar. 31st'!$L$40,'[34]Apr. 30th'!$L$50,'[35]May 30th'!$L$42,'[36]June 30th'!$L$62,'[37]July 29th '!$L$49,'[38]Aug 29th'!$L$34,'[39]Sept 30th'!$L$40,L38)</f>
        <v>7.0505722220825193</v>
      </c>
      <c r="N38" s="416">
        <v>9.1999999999999993</v>
      </c>
      <c r="O38" s="294"/>
      <c r="P38" s="12"/>
    </row>
    <row r="39" spans="1:56" ht="15" customHeight="1">
      <c r="B39" s="526"/>
      <c r="C39" s="349"/>
      <c r="D39" s="564"/>
      <c r="E39" s="565"/>
      <c r="F39" s="294"/>
      <c r="G39" s="42"/>
      <c r="H39" s="41"/>
      <c r="I39" s="42"/>
      <c r="J39" s="288" t="s">
        <v>40</v>
      </c>
      <c r="K39" s="324">
        <f>COUNTA(B10:B17)</f>
        <v>8</v>
      </c>
      <c r="L39" s="294"/>
      <c r="M39" s="294"/>
      <c r="N39" s="294"/>
      <c r="O39" s="294"/>
      <c r="P39" s="12"/>
    </row>
    <row r="40" spans="1:56" ht="15" customHeight="1">
      <c r="B40" s="526"/>
      <c r="C40" s="349"/>
      <c r="D40" s="530"/>
      <c r="E40" s="518"/>
      <c r="F40" s="294"/>
      <c r="G40" s="42"/>
      <c r="H40" s="41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6"/>
      <c r="C41" s="349"/>
      <c r="D41" s="564"/>
      <c r="E41" s="565"/>
      <c r="F41" s="294"/>
      <c r="G41" s="42"/>
      <c r="H41" s="41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6"/>
      <c r="C42" s="349"/>
      <c r="D42" s="530"/>
      <c r="E42" s="518"/>
      <c r="F42" s="294"/>
      <c r="G42" s="42"/>
      <c r="H42" s="41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6"/>
      <c r="C43" s="349"/>
      <c r="D43" s="564"/>
      <c r="E43" s="565"/>
      <c r="F43" s="294"/>
      <c r="G43" s="42"/>
      <c r="H43" s="41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6"/>
      <c r="C44" s="350"/>
      <c r="D44" s="566"/>
      <c r="E44" s="567"/>
      <c r="F44" s="294" t="s">
        <v>178</v>
      </c>
      <c r="G44" s="42"/>
      <c r="H44" s="41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60" t="e">
        <f>AVERAGE(D23:E44)</f>
        <v>#DIV/0!</v>
      </c>
      <c r="E45" s="561"/>
      <c r="F45" s="294"/>
      <c r="H45" s="41"/>
      <c r="I45" s="42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1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1"/>
      <c r="I47" s="42"/>
      <c r="J47" s="346" t="s">
        <v>130</v>
      </c>
      <c r="K47" s="324">
        <f>SUM(K37:K46)</f>
        <v>8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40" t="s">
        <v>17</v>
      </c>
      <c r="C50" s="540" t="s">
        <v>44</v>
      </c>
      <c r="D50" s="542" t="s">
        <v>45</v>
      </c>
      <c r="E50" s="497" t="s">
        <v>46</v>
      </c>
      <c r="F50" s="557" t="s">
        <v>47</v>
      </c>
      <c r="G50" s="551" t="s">
        <v>48</v>
      </c>
      <c r="H50" s="540" t="s">
        <v>49</v>
      </c>
      <c r="I50" s="540" t="s">
        <v>50</v>
      </c>
      <c r="J50" s="545" t="s">
        <v>28</v>
      </c>
      <c r="K50" s="495" t="s">
        <v>51</v>
      </c>
      <c r="L50" s="507" t="s">
        <v>52</v>
      </c>
      <c r="M50" s="545" t="s">
        <v>53</v>
      </c>
      <c r="N50" s="13"/>
      <c r="O50" s="13"/>
      <c r="P50" s="50"/>
    </row>
    <row r="51" spans="2:57" ht="28.5" customHeight="1" thickTop="1" thickBot="1">
      <c r="B51" s="541"/>
      <c r="C51" s="541"/>
      <c r="D51" s="543"/>
      <c r="E51" s="544"/>
      <c r="F51" s="558"/>
      <c r="G51" s="552"/>
      <c r="H51" s="559"/>
      <c r="I51" s="559"/>
      <c r="J51" s="546"/>
      <c r="K51" s="555"/>
      <c r="L51" s="556"/>
      <c r="M51" s="546"/>
      <c r="N51" s="13"/>
      <c r="O51" s="13"/>
      <c r="P51" s="50"/>
      <c r="Q51" s="355"/>
      <c r="AB51" s="51">
        <v>43474</v>
      </c>
      <c r="AC51" s="51">
        <v>43475</v>
      </c>
      <c r="AD51" s="51">
        <v>43476</v>
      </c>
      <c r="AE51" s="51">
        <v>43477</v>
      </c>
      <c r="AF51" s="51">
        <v>43478</v>
      </c>
      <c r="AG51" s="51">
        <v>43479</v>
      </c>
      <c r="AH51" s="51">
        <v>43480</v>
      </c>
      <c r="AI51" s="51">
        <v>43481</v>
      </c>
      <c r="AJ51" s="51">
        <v>43482</v>
      </c>
      <c r="AK51" s="51">
        <v>43483</v>
      </c>
      <c r="AL51" s="51">
        <v>43484</v>
      </c>
      <c r="AM51" s="51">
        <v>43485</v>
      </c>
      <c r="AN51" s="51">
        <v>43486</v>
      </c>
      <c r="AO51" s="51">
        <v>43487</v>
      </c>
      <c r="AP51" s="51">
        <v>43488</v>
      </c>
      <c r="AQ51" s="51">
        <v>43489</v>
      </c>
      <c r="AR51" s="51">
        <v>43490</v>
      </c>
      <c r="AS51" s="51">
        <v>43491</v>
      </c>
      <c r="AT51" s="51">
        <v>43492</v>
      </c>
      <c r="AU51" s="51">
        <v>43493</v>
      </c>
      <c r="AV51" s="51">
        <v>43494</v>
      </c>
      <c r="AW51" s="51">
        <v>43495</v>
      </c>
      <c r="AX51" s="51">
        <v>43496</v>
      </c>
    </row>
    <row r="52" spans="2:57" s="54" customFormat="1" ht="59.45" customHeight="1" thickBot="1">
      <c r="B52" s="459"/>
      <c r="C52" s="442"/>
      <c r="D52" s="443"/>
      <c r="E52" s="444"/>
      <c r="F52" s="445"/>
      <c r="G52" s="445"/>
      <c r="H52" s="462"/>
      <c r="I52" s="462"/>
      <c r="J52" s="449"/>
      <c r="K52" s="450"/>
      <c r="L52" s="461"/>
      <c r="M52" s="457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[20]January_2019!L7</f>
        <v>285.8</v>
      </c>
      <c r="AC52" s="57">
        <f>[20]January_2019!M7</f>
        <v>508.1</v>
      </c>
      <c r="AD52" s="57">
        <f>[20]January_2019!N7</f>
        <v>0</v>
      </c>
      <c r="AE52" s="57">
        <f>[20]January_2019!O7</f>
        <v>0</v>
      </c>
      <c r="AF52" s="57">
        <f>[20]January_2019!P7</f>
        <v>109.56666666666666</v>
      </c>
      <c r="AG52" s="57">
        <f>[20]January_2019!Q7</f>
        <v>297.64999999999998</v>
      </c>
      <c r="AH52" s="57">
        <f>[20]January_2019!R7</f>
        <v>122.3</v>
      </c>
      <c r="AI52" s="57">
        <f>[20]January_2019!S7</f>
        <v>0</v>
      </c>
      <c r="AJ52" s="57">
        <f>[20]January_2019!T7</f>
        <v>294.7</v>
      </c>
      <c r="AK52" s="57">
        <f>[20]January_2019!U7</f>
        <v>280.5</v>
      </c>
      <c r="AL52" s="57">
        <f>[20]January_2019!V7</f>
        <v>0</v>
      </c>
      <c r="AM52" s="57">
        <f>[20]January_2019!W7</f>
        <v>0</v>
      </c>
      <c r="AN52" s="57">
        <f>[20]January_2019!X7</f>
        <v>188.25</v>
      </c>
      <c r="AO52" s="57">
        <f>[20]January_2019!Y7</f>
        <v>295.7</v>
      </c>
      <c r="AP52" s="57">
        <f>[20]January_2019!Z7</f>
        <v>257.8</v>
      </c>
      <c r="AQ52" s="57">
        <f>[20]January_2019!AA7</f>
        <v>291.2</v>
      </c>
      <c r="AR52" s="57">
        <f>[20]January_2019!AB7</f>
        <v>187</v>
      </c>
      <c r="AS52" s="57">
        <f>[20]January_2019!AC7</f>
        <v>0</v>
      </c>
      <c r="AT52" s="57">
        <f>[20]January_2019!AD7</f>
        <v>0</v>
      </c>
      <c r="AU52" s="57">
        <f>[20]January_2019!AE7</f>
        <v>485.1</v>
      </c>
      <c r="AV52" s="57">
        <f>[20]January_2019!AF7</f>
        <v>171.55</v>
      </c>
      <c r="AW52" s="57">
        <f>[20]January_2019!AG7</f>
        <v>423.8</v>
      </c>
      <c r="AX52" s="277">
        <f>[20]January_2019!AH7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20.45" hidden="1" customHeight="1" thickBot="1">
      <c r="B53" s="458"/>
      <c r="C53" s="431"/>
      <c r="D53" s="432"/>
      <c r="E53" s="433"/>
      <c r="F53" s="434"/>
      <c r="G53" s="435"/>
      <c r="H53" s="429"/>
      <c r="I53" s="429"/>
      <c r="J53" s="452"/>
      <c r="K53" s="437"/>
      <c r="L53" s="453"/>
      <c r="M53" s="422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59.45" hidden="1" customHeight="1" thickBot="1">
      <c r="B54" s="460"/>
      <c r="C54" s="442"/>
      <c r="D54" s="443"/>
      <c r="E54" s="444"/>
      <c r="F54" s="445"/>
      <c r="G54" s="446"/>
      <c r="H54" s="462"/>
      <c r="I54" s="462"/>
      <c r="J54" s="449"/>
      <c r="K54" s="466"/>
      <c r="L54" s="461"/>
      <c r="M54" s="457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4"/>
      <c r="C55" s="431"/>
      <c r="D55" s="432"/>
      <c r="E55" s="433"/>
      <c r="F55" s="434"/>
      <c r="G55" s="435"/>
      <c r="H55" s="436"/>
      <c r="I55" s="451"/>
      <c r="J55" s="452"/>
      <c r="K55" s="437" t="s">
        <v>41</v>
      </c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6.6" hidden="1" customHeight="1" thickBot="1">
      <c r="B56" s="387"/>
      <c r="C56" s="442"/>
      <c r="D56" s="443"/>
      <c r="E56" s="444"/>
      <c r="F56" s="445"/>
      <c r="G56" s="446"/>
      <c r="H56" s="447"/>
      <c r="I56" s="448"/>
      <c r="J56" s="449"/>
      <c r="K56" s="450"/>
      <c r="L56" s="455" t="e">
        <f>(((D56+E56)-G56)/(D56+E56))*100</f>
        <v>#DIV/0!</v>
      </c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8"/>
      <c r="C57" s="424"/>
      <c r="D57" s="425"/>
      <c r="E57" s="426"/>
      <c r="F57" s="427"/>
      <c r="G57" s="428"/>
      <c r="H57" s="429"/>
      <c r="I57" s="439"/>
      <c r="J57" s="440"/>
      <c r="K57" s="430"/>
      <c r="L57" s="441"/>
      <c r="M57" s="423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2:57" ht="15.75" thickBot="1">
      <c r="B59" s="547" t="s">
        <v>55</v>
      </c>
      <c r="C59" s="548"/>
      <c r="D59" s="548"/>
      <c r="E59" s="548"/>
      <c r="F59" s="549"/>
      <c r="G59" s="547" t="s">
        <v>56</v>
      </c>
      <c r="H59" s="548"/>
      <c r="I59" s="548"/>
      <c r="J59" s="549"/>
      <c r="K59" s="547" t="s">
        <v>51</v>
      </c>
      <c r="L59" s="548"/>
      <c r="M59" s="548"/>
      <c r="N59" s="550"/>
      <c r="O59" s="56"/>
      <c r="P59" s="50"/>
    </row>
    <row r="60" spans="2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7" ht="15">
      <c r="B61" s="29" t="s">
        <v>6</v>
      </c>
      <c r="C61" s="65"/>
      <c r="D61" s="76">
        <v>5.4280582718020227</v>
      </c>
      <c r="E61" s="76">
        <v>6.3177809295166583</v>
      </c>
      <c r="F61" s="66">
        <v>4.8</v>
      </c>
      <c r="G61" s="65"/>
      <c r="H61" s="76">
        <v>3.6734408432854382</v>
      </c>
      <c r="I61" s="76">
        <v>6.1451990760192619</v>
      </c>
      <c r="J61" s="66">
        <v>4.8</v>
      </c>
      <c r="K61" s="67"/>
      <c r="L61" s="194">
        <v>0.65879609414011675</v>
      </c>
      <c r="M61" s="194">
        <v>0.76418505858469299</v>
      </c>
      <c r="N61" s="68">
        <v>1</v>
      </c>
      <c r="O61" s="56"/>
      <c r="P61" s="69"/>
    </row>
    <row r="62" spans="2:57" ht="15">
      <c r="B62" s="33" t="s">
        <v>9</v>
      </c>
      <c r="C62" s="65"/>
      <c r="D62" s="76">
        <v>3.367402810731873</v>
      </c>
      <c r="E62" s="76">
        <v>5.7631643497258951</v>
      </c>
      <c r="F62" s="66">
        <v>4.8</v>
      </c>
      <c r="G62" s="65"/>
      <c r="H62" s="76">
        <v>4.1514556010038586</v>
      </c>
      <c r="I62" s="76">
        <v>5.5953405903132074</v>
      </c>
      <c r="J62" s="66">
        <v>4.8</v>
      </c>
      <c r="K62" s="67"/>
      <c r="L62" s="194">
        <v>0.73757131292234013</v>
      </c>
      <c r="M62" s="194">
        <v>0.71798543638636902</v>
      </c>
      <c r="N62" s="68">
        <v>1</v>
      </c>
      <c r="P62" s="69"/>
    </row>
    <row r="63" spans="2:57" ht="15">
      <c r="B63" s="34" t="s">
        <v>40</v>
      </c>
      <c r="C63" s="65"/>
      <c r="D63" s="76">
        <v>9.535333978702802</v>
      </c>
      <c r="E63" s="76">
        <v>11.690789306336304</v>
      </c>
      <c r="F63" s="66">
        <v>5.5</v>
      </c>
      <c r="G63" s="65"/>
      <c r="H63" s="76">
        <v>9.7076284177373999</v>
      </c>
      <c r="I63" s="76">
        <v>12.617010368159198</v>
      </c>
      <c r="J63" s="66">
        <v>5.5</v>
      </c>
      <c r="K63" s="67"/>
      <c r="L63" s="194">
        <v>0.9345</v>
      </c>
      <c r="M63" s="194">
        <v>0.54931804556354924</v>
      </c>
      <c r="N63" s="68">
        <v>1</v>
      </c>
      <c r="P63" s="69"/>
    </row>
    <row r="64" spans="2:57" ht="15">
      <c r="B64" s="22" t="s">
        <v>33</v>
      </c>
      <c r="C64" s="65"/>
      <c r="D64" s="76"/>
      <c r="E64" s="76">
        <v>5.119233255999676</v>
      </c>
      <c r="F64" s="66">
        <v>3.3</v>
      </c>
      <c r="G64" s="65"/>
      <c r="H64" s="76"/>
      <c r="I64" s="76">
        <v>4.4772094679692334</v>
      </c>
      <c r="J64" s="66">
        <v>3.3</v>
      </c>
      <c r="K64" s="67"/>
      <c r="L64" s="194"/>
      <c r="M64" s="194">
        <v>0.80025950292397652</v>
      </c>
      <c r="N64" s="68">
        <v>1</v>
      </c>
      <c r="P64" s="69"/>
    </row>
    <row r="65" spans="2:16" ht="15">
      <c r="B65" s="35" t="s">
        <v>165</v>
      </c>
      <c r="C65" s="65"/>
      <c r="D65" s="76"/>
      <c r="E65" s="76">
        <v>7.837301587301579</v>
      </c>
      <c r="F65" s="66">
        <v>3.3</v>
      </c>
      <c r="G65" s="282"/>
      <c r="H65" s="76"/>
      <c r="I65" s="76">
        <v>5.3377569154690221</v>
      </c>
      <c r="J65" s="66">
        <v>3</v>
      </c>
      <c r="K65" s="67"/>
      <c r="L65" s="194"/>
      <c r="M65" s="194">
        <v>0.32596491228070179</v>
      </c>
      <c r="N65" s="68">
        <v>1</v>
      </c>
      <c r="P65" s="69"/>
    </row>
    <row r="66" spans="2:16" ht="15">
      <c r="B66" s="36" t="s">
        <v>15</v>
      </c>
      <c r="C66" s="65"/>
      <c r="D66" s="76"/>
      <c r="E66" s="76">
        <v>7.3129862357869699</v>
      </c>
      <c r="F66" s="70">
        <f>[21]May_2022!$M$43</f>
        <v>3.4878406700073312</v>
      </c>
      <c r="G66" s="282"/>
      <c r="H66" s="76"/>
      <c r="I66" s="76">
        <v>8.6614709463340702</v>
      </c>
      <c r="J66" s="66">
        <v>5.5</v>
      </c>
      <c r="K66" s="67"/>
      <c r="L66" s="194"/>
      <c r="M66" s="194">
        <v>0.73160818713450293</v>
      </c>
      <c r="N66" s="68">
        <v>1</v>
      </c>
      <c r="P66" s="69"/>
    </row>
    <row r="67" spans="2:16" ht="15">
      <c r="B67" s="37" t="s">
        <v>16</v>
      </c>
      <c r="C67" s="65"/>
      <c r="D67" s="76">
        <v>2.0782986950217497</v>
      </c>
      <c r="E67" s="76">
        <v>2.8629317642487306</v>
      </c>
      <c r="F67" s="66">
        <v>3.3</v>
      </c>
      <c r="G67" s="282"/>
      <c r="H67" s="76">
        <v>3.4559849687930924</v>
      </c>
      <c r="I67" s="76">
        <v>4.3478819741669881</v>
      </c>
      <c r="J67" s="66">
        <v>3.3</v>
      </c>
      <c r="K67" s="67"/>
      <c r="L67" s="194">
        <v>0.88859649122807016</v>
      </c>
      <c r="M67" s="194">
        <v>0.85935680751173715</v>
      </c>
      <c r="N67" s="71">
        <v>1</v>
      </c>
      <c r="P67" s="69"/>
    </row>
    <row r="68" spans="2:16" ht="15.75" thickBot="1">
      <c r="B68" s="38" t="s">
        <v>164</v>
      </c>
      <c r="C68" s="65"/>
      <c r="D68" s="76"/>
      <c r="E68" s="76">
        <v>11.483253588516746</v>
      </c>
      <c r="F68" s="66">
        <v>7.5</v>
      </c>
      <c r="G68" s="282"/>
      <c r="H68" s="76"/>
      <c r="I68" s="76">
        <v>9.7934336121043764</v>
      </c>
      <c r="J68" s="66">
        <v>7.5</v>
      </c>
      <c r="K68" s="67"/>
      <c r="M68" s="194">
        <v>0.32456140350877194</v>
      </c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>
        <v>7.2653644592663174</v>
      </c>
      <c r="F69" s="66">
        <v>4.8</v>
      </c>
      <c r="G69" s="282"/>
      <c r="H69" s="76"/>
      <c r="I69" s="76">
        <v>8.1715311054411259</v>
      </c>
      <c r="J69" s="66">
        <v>4.8</v>
      </c>
      <c r="K69" s="67"/>
      <c r="L69" s="194"/>
      <c r="M69" s="194">
        <v>0.51368421052631585</v>
      </c>
      <c r="N69" s="71">
        <v>1</v>
      </c>
      <c r="O69" s="74"/>
      <c r="P69" s="75"/>
    </row>
    <row r="70" spans="2:16" ht="15">
      <c r="D70" s="76">
        <v>4.3145454223293234</v>
      </c>
      <c r="E70" s="76">
        <v>6.2941497828806909</v>
      </c>
      <c r="F70" s="341">
        <v>5.5</v>
      </c>
      <c r="H70" s="76">
        <v>4.3427696969339697</v>
      </c>
      <c r="I70" s="76">
        <v>6.4747536874390663</v>
      </c>
      <c r="J70" s="341">
        <v>5.5</v>
      </c>
      <c r="L70" s="194">
        <v>0.73549783549783565</v>
      </c>
      <c r="M70" s="194">
        <v>0.73176421845574391</v>
      </c>
      <c r="N70" s="386">
        <v>1</v>
      </c>
    </row>
    <row r="74" spans="2:16">
      <c r="F74" s="315"/>
    </row>
    <row r="75" spans="2:16" ht="15">
      <c r="F75" s="341"/>
    </row>
  </sheetData>
  <mergeCells count="51">
    <mergeCell ref="M50:M51"/>
    <mergeCell ref="B59:F59"/>
    <mergeCell ref="G59:J59"/>
    <mergeCell ref="K59:N59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2376" priority="137" operator="notBetween">
      <formula>#REF!</formula>
      <formula>#REF!</formula>
    </cfRule>
  </conditionalFormatting>
  <conditionalFormatting sqref="C49">
    <cfRule type="cellIs" dxfId="2375" priority="169" stopIfTrue="1" operator="greaterThan">
      <formula>100</formula>
    </cfRule>
    <cfRule type="cellIs" dxfId="2374" priority="168" stopIfTrue="1" operator="lessThan">
      <formula>96</formula>
    </cfRule>
  </conditionalFormatting>
  <conditionalFormatting sqref="C61:C65">
    <cfRule type="cellIs" dxfId="2373" priority="118" stopIfTrue="1" operator="lessThanOrEqual">
      <formula>0</formula>
    </cfRule>
  </conditionalFormatting>
  <conditionalFormatting sqref="C61:C69">
    <cfRule type="cellIs" dxfId="2372" priority="117" stopIfTrue="1" operator="greaterThan">
      <formula>$F61</formula>
    </cfRule>
  </conditionalFormatting>
  <conditionalFormatting sqref="C62">
    <cfRule type="cellIs" dxfId="2371" priority="172" stopIfTrue="1" operator="greaterThan">
      <formula>$F61</formula>
    </cfRule>
  </conditionalFormatting>
  <conditionalFormatting sqref="C66">
    <cfRule type="cellIs" dxfId="2370" priority="55" stopIfTrue="1" operator="lessThanOrEqual">
      <formula>0</formula>
    </cfRule>
    <cfRule type="cellIs" dxfId="2369" priority="56" stopIfTrue="1" operator="greaterThan">
      <formula>$F65</formula>
    </cfRule>
  </conditionalFormatting>
  <conditionalFormatting sqref="C72:C76">
    <cfRule type="cellIs" dxfId="2368" priority="160" stopIfTrue="1" operator="lessThanOrEqual">
      <formula>0</formula>
    </cfRule>
  </conditionalFormatting>
  <conditionalFormatting sqref="C73:C76">
    <cfRule type="cellIs" dxfId="2367" priority="159" stopIfTrue="1" operator="greaterThan">
      <formula>$F$72</formula>
    </cfRule>
  </conditionalFormatting>
  <conditionalFormatting sqref="C78">
    <cfRule type="cellIs" dxfId="2366" priority="162" stopIfTrue="1" operator="lessThanOrEqual">
      <formula>0</formula>
    </cfRule>
    <cfRule type="cellIs" dxfId="2365" priority="161" stopIfTrue="1" operator="greaterThan">
      <formula>$F$72</formula>
    </cfRule>
  </conditionalFormatting>
  <conditionalFormatting sqref="C72:D72 D74:D80">
    <cfRule type="cellIs" dxfId="2364" priority="154" stopIfTrue="1" operator="greaterThan">
      <formula>4.5</formula>
    </cfRule>
  </conditionalFormatting>
  <conditionalFormatting sqref="D45:D46">
    <cfRule type="cellIs" dxfId="2363" priority="138" operator="notBetween">
      <formula>#REF!</formula>
      <formula>#REF!</formula>
    </cfRule>
  </conditionalFormatting>
  <conditionalFormatting sqref="D61:D68">
    <cfRule type="cellIs" dxfId="2362" priority="132" stopIfTrue="1" operator="lessThanOrEqual">
      <formula>0</formula>
    </cfRule>
  </conditionalFormatting>
  <conditionalFormatting sqref="D69">
    <cfRule type="cellIs" dxfId="2361" priority="131" stopIfTrue="1" operator="lessThanOrEqual">
      <formula>0</formula>
    </cfRule>
  </conditionalFormatting>
  <conditionalFormatting sqref="D72 D74:D80">
    <cfRule type="cellIs" dxfId="2360" priority="155" stopIfTrue="1" operator="lessThanOrEqual">
      <formula>0</formula>
    </cfRule>
  </conditionalFormatting>
  <conditionalFormatting sqref="D73">
    <cfRule type="cellIs" dxfId="2359" priority="146" stopIfTrue="1" operator="greaterThan">
      <formula>$F$72</formula>
    </cfRule>
    <cfRule type="cellIs" dxfId="2358" priority="147" stopIfTrue="1" operator="lessThanOrEqual">
      <formula>0</formula>
    </cfRule>
  </conditionalFormatting>
  <conditionalFormatting sqref="D61:E70">
    <cfRule type="cellIs" dxfId="2357" priority="115" stopIfTrue="1" operator="greaterThan">
      <formula>$F61</formula>
    </cfRule>
  </conditionalFormatting>
  <conditionalFormatting sqref="D70:E70">
    <cfRule type="cellIs" dxfId="2356" priority="116" stopIfTrue="1" operator="lessThanOrEqual">
      <formula>0</formula>
    </cfRule>
  </conditionalFormatting>
  <conditionalFormatting sqref="E10:E20">
    <cfRule type="cellIs" dxfId="2355" priority="34" operator="lessThan">
      <formula>48</formula>
    </cfRule>
  </conditionalFormatting>
  <conditionalFormatting sqref="E48 E49:F49">
    <cfRule type="cellIs" dxfId="2354" priority="151" stopIfTrue="1" operator="greaterThan">
      <formula>100</formula>
    </cfRule>
  </conditionalFormatting>
  <conditionalFormatting sqref="E49">
    <cfRule type="cellIs" dxfId="2353" priority="148" stopIfTrue="1" operator="lessThan">
      <formula>96.8</formula>
    </cfRule>
    <cfRule type="cellIs" dxfId="2352" priority="149" stopIfTrue="1" operator="greaterThan">
      <formula>100</formula>
    </cfRule>
  </conditionalFormatting>
  <conditionalFormatting sqref="E61:E69">
    <cfRule type="cellIs" dxfId="2351" priority="126" stopIfTrue="1" operator="lessThanOrEqual">
      <formula>0</formula>
    </cfRule>
  </conditionalFormatting>
  <conditionalFormatting sqref="E72:E80">
    <cfRule type="cellIs" dxfId="2350" priority="141" stopIfTrue="1" operator="lessThanOrEqual">
      <formula>0</formula>
    </cfRule>
    <cfRule type="cellIs" dxfId="2349" priority="140" stopIfTrue="1" operator="greaterThan">
      <formula>4.5</formula>
    </cfRule>
  </conditionalFormatting>
  <conditionalFormatting sqref="E49:F49 E48">
    <cfRule type="cellIs" dxfId="2348" priority="150" stopIfTrue="1" operator="lessThan">
      <formula>96.5</formula>
    </cfRule>
  </conditionalFormatting>
  <conditionalFormatting sqref="F10:F20">
    <cfRule type="cellIs" dxfId="2347" priority="35" operator="greaterThan">
      <formula>60</formula>
    </cfRule>
  </conditionalFormatting>
  <conditionalFormatting sqref="F49">
    <cfRule type="cellIs" dxfId="2346" priority="167" stopIfTrue="1" operator="greaterThan">
      <formula>100</formula>
    </cfRule>
    <cfRule type="cellIs" dxfId="2345" priority="166" stopIfTrue="1" operator="lessThan">
      <formula>96.8</formula>
    </cfRule>
  </conditionalFormatting>
  <conditionalFormatting sqref="F70">
    <cfRule type="cellIs" dxfId="2344" priority="128" stopIfTrue="1" operator="lessThanOrEqual">
      <formula>0</formula>
    </cfRule>
    <cfRule type="cellIs" dxfId="2343" priority="127" stopIfTrue="1" operator="greaterThan">
      <formula>$F70</formula>
    </cfRule>
  </conditionalFormatting>
  <conditionalFormatting sqref="F75">
    <cfRule type="cellIs" dxfId="2342" priority="85" stopIfTrue="1" operator="greaterThan">
      <formula>$F75</formula>
    </cfRule>
    <cfRule type="cellIs" dxfId="2341" priority="86" stopIfTrue="1" operator="lessThanOrEqual">
      <formula>0</formula>
    </cfRule>
  </conditionalFormatting>
  <conditionalFormatting sqref="G10:G17">
    <cfRule type="expression" dxfId="2340" priority="10">
      <formula>IF(+(IF(G10&lt;S10,0,IF(G10&gt;T10,0,1)))=0,1)</formula>
    </cfRule>
  </conditionalFormatting>
  <conditionalFormatting sqref="G61:G62 C67:C69">
    <cfRule type="cellIs" dxfId="2339" priority="134" stopIfTrue="1" operator="lessThanOrEqual">
      <formula>0</formula>
    </cfRule>
  </conditionalFormatting>
  <conditionalFormatting sqref="G61:G62">
    <cfRule type="cellIs" dxfId="2338" priority="119" stopIfTrue="1" operator="greaterThan">
      <formula>$F61</formula>
    </cfRule>
    <cfRule type="cellIs" dxfId="2337" priority="120" stopIfTrue="1" operator="lessThanOrEqual">
      <formula>0</formula>
    </cfRule>
    <cfRule type="cellIs" dxfId="2336" priority="133" stopIfTrue="1" operator="greaterThan">
      <formula>$F61</formula>
    </cfRule>
  </conditionalFormatting>
  <conditionalFormatting sqref="G63">
    <cfRule type="cellIs" dxfId="2335" priority="170" stopIfTrue="1" operator="greaterThan">
      <formula>$F62</formula>
    </cfRule>
    <cfRule type="cellIs" dxfId="2334" priority="171" stopIfTrue="1" operator="lessThanOrEqual">
      <formula>0</formula>
    </cfRule>
  </conditionalFormatting>
  <conditionalFormatting sqref="G64">
    <cfRule type="cellIs" dxfId="2333" priority="129" stopIfTrue="1" operator="greaterThan">
      <formula>$F64</formula>
    </cfRule>
    <cfRule type="cellIs" dxfId="2332" priority="130" stopIfTrue="1" operator="lessThanOrEqual">
      <formula>0</formula>
    </cfRule>
  </conditionalFormatting>
  <conditionalFormatting sqref="G65:G69">
    <cfRule type="cellIs" dxfId="2331" priority="136" stopIfTrue="1" operator="lessThanOrEqual">
      <formula>0</formula>
    </cfRule>
    <cfRule type="cellIs" dxfId="2330" priority="135" stopIfTrue="1" operator="greaterThan">
      <formula>$J65</formula>
    </cfRule>
  </conditionalFormatting>
  <conditionalFormatting sqref="G74:G79 C77 C79">
    <cfRule type="cellIs" dxfId="2329" priority="163" stopIfTrue="1" operator="greaterThan">
      <formula>4.5</formula>
    </cfRule>
    <cfRule type="cellIs" dxfId="2328" priority="164" stopIfTrue="1" operator="lessThanOrEqual">
      <formula>0</formula>
    </cfRule>
  </conditionalFormatting>
  <conditionalFormatting sqref="G73:H73">
    <cfRule type="cellIs" dxfId="2327" priority="145" stopIfTrue="1" operator="lessThanOrEqual">
      <formula>0</formula>
    </cfRule>
    <cfRule type="cellIs" dxfId="2326" priority="144" stopIfTrue="1" operator="greaterThan">
      <formula>$F$72</formula>
    </cfRule>
  </conditionalFormatting>
  <conditionalFormatting sqref="H10:H17 M18:N18 G18:H20 M19">
    <cfRule type="expression" dxfId="2325" priority="36">
      <formula>IF(+(IF(G10&lt;#REF!,0,IF(G10&gt;#REF!,0,1)))=0,1)</formula>
    </cfRule>
  </conditionalFormatting>
  <conditionalFormatting sqref="H34:H48">
    <cfRule type="cellIs" dxfId="2324" priority="142" stopIfTrue="1" operator="greaterThan">
      <formula>0</formula>
    </cfRule>
  </conditionalFormatting>
  <conditionalFormatting sqref="H52">
    <cfRule type="cellIs" dxfId="2323" priority="25" stopIfTrue="1" operator="greaterThan">
      <formula>$F$71</formula>
    </cfRule>
    <cfRule type="cellIs" dxfId="2322" priority="26" stopIfTrue="1" operator="lessThanOrEqual">
      <formula>0</formula>
    </cfRule>
    <cfRule type="cellIs" dxfId="2321" priority="28" stopIfTrue="1" operator="lessThanOrEqual">
      <formula>0</formula>
    </cfRule>
    <cfRule type="cellIs" dxfId="2320" priority="16" stopIfTrue="1" operator="lessThanOrEqual">
      <formula>0</formula>
    </cfRule>
    <cfRule type="cellIs" dxfId="2319" priority="17" stopIfTrue="1" operator="greaterThan">
      <formula>$F$68</formula>
    </cfRule>
    <cfRule type="cellIs" dxfId="2318" priority="27" stopIfTrue="1" operator="greaterThan">
      <formula>$F$69</formula>
    </cfRule>
  </conditionalFormatting>
  <conditionalFormatting sqref="H53">
    <cfRule type="cellIs" dxfId="2317" priority="72" stopIfTrue="1" operator="lessThanOrEqual">
      <formula>0</formula>
    </cfRule>
    <cfRule type="cellIs" dxfId="2316" priority="73" stopIfTrue="1" operator="greaterThan">
      <formula>#REF!</formula>
    </cfRule>
    <cfRule type="cellIs" dxfId="2315" priority="81" stopIfTrue="1" operator="greaterThan">
      <formula>$F$21</formula>
    </cfRule>
    <cfRule type="cellIs" dxfId="2314" priority="82" stopIfTrue="1" operator="lessThanOrEqual">
      <formula>0</formula>
    </cfRule>
    <cfRule type="cellIs" dxfId="2313" priority="83" stopIfTrue="1" operator="greaterThan">
      <formula>#REF!</formula>
    </cfRule>
    <cfRule type="cellIs" dxfId="2312" priority="84" stopIfTrue="1" operator="lessThanOrEqual">
      <formula>0</formula>
    </cfRule>
  </conditionalFormatting>
  <conditionalFormatting sqref="H54">
    <cfRule type="cellIs" dxfId="2311" priority="38" stopIfTrue="1" operator="lessThanOrEqual">
      <formula>0</formula>
    </cfRule>
    <cfRule type="cellIs" dxfId="2310" priority="39" stopIfTrue="1" operator="greaterThan">
      <formula>$F$62</formula>
    </cfRule>
    <cfRule type="cellIs" dxfId="2309" priority="47" stopIfTrue="1" operator="greaterThan">
      <formula>$F$65</formula>
    </cfRule>
    <cfRule type="cellIs" dxfId="2308" priority="48" stopIfTrue="1" operator="lessThanOrEqual">
      <formula>0</formula>
    </cfRule>
    <cfRule type="cellIs" dxfId="2307" priority="49" stopIfTrue="1" operator="greaterThan">
      <formula>$F$63</formula>
    </cfRule>
    <cfRule type="cellIs" dxfId="2306" priority="50" stopIfTrue="1" operator="lessThanOrEqual">
      <formula>0</formula>
    </cfRule>
  </conditionalFormatting>
  <conditionalFormatting sqref="H55:H56">
    <cfRule type="cellIs" dxfId="2305" priority="58" stopIfTrue="1" operator="lessThanOrEqual">
      <formula>0</formula>
    </cfRule>
    <cfRule type="cellIs" dxfId="2304" priority="59" stopIfTrue="1" operator="greaterThan">
      <formula>#REF!</formula>
    </cfRule>
    <cfRule type="cellIs" dxfId="2303" priority="70" stopIfTrue="1" operator="lessThanOrEqual">
      <formula>0</formula>
    </cfRule>
    <cfRule type="cellIs" dxfId="2302" priority="69" stopIfTrue="1" operator="greaterThan">
      <formula>#REF!</formula>
    </cfRule>
    <cfRule type="cellIs" dxfId="2301" priority="68" stopIfTrue="1" operator="lessThanOrEqual">
      <formula>0</formula>
    </cfRule>
    <cfRule type="cellIs" dxfId="2300" priority="67" stopIfTrue="1" operator="greaterThan">
      <formula>$F$20</formula>
    </cfRule>
  </conditionalFormatting>
  <conditionalFormatting sqref="H57">
    <cfRule type="cellIs" dxfId="2299" priority="90" stopIfTrue="1" operator="greaterThan">
      <formula>$F$33</formula>
    </cfRule>
    <cfRule type="cellIs" dxfId="2298" priority="89" stopIfTrue="1" operator="lessThanOrEqual">
      <formula>0</formula>
    </cfRule>
    <cfRule type="cellIs" dxfId="2297" priority="101" stopIfTrue="1" operator="lessThanOrEqual">
      <formula>0</formula>
    </cfRule>
    <cfRule type="cellIs" dxfId="2296" priority="98" stopIfTrue="1" operator="greaterThan">
      <formula>$F$36</formula>
    </cfRule>
    <cfRule type="cellIs" dxfId="2295" priority="99" stopIfTrue="1" operator="lessThanOrEqual">
      <formula>0</formula>
    </cfRule>
    <cfRule type="cellIs" dxfId="2294" priority="100" stopIfTrue="1" operator="greaterThan">
      <formula>$F$34</formula>
    </cfRule>
  </conditionalFormatting>
  <conditionalFormatting sqref="H61:H68">
    <cfRule type="cellIs" dxfId="2293" priority="121" stopIfTrue="1" operator="greaterThan">
      <formula>$J61</formula>
    </cfRule>
    <cfRule type="cellIs" dxfId="2292" priority="122" stopIfTrue="1" operator="lessThanOrEqual">
      <formula>0</formula>
    </cfRule>
  </conditionalFormatting>
  <conditionalFormatting sqref="H69">
    <cfRule type="cellIs" dxfId="2291" priority="123" operator="greaterThan">
      <formula>5.3</formula>
    </cfRule>
  </conditionalFormatting>
  <conditionalFormatting sqref="H72 H74:H80">
    <cfRule type="cellIs" dxfId="2290" priority="156" stopIfTrue="1" operator="greaterThan">
      <formula>4.5</formula>
    </cfRule>
    <cfRule type="cellIs" dxfId="2289" priority="157" stopIfTrue="1" operator="lessThanOrEqual">
      <formula>0</formula>
    </cfRule>
  </conditionalFormatting>
  <conditionalFormatting sqref="H52:I52">
    <cfRule type="cellIs" dxfId="2288" priority="18" stopIfTrue="1" operator="lessThanOrEqual">
      <formula>0</formula>
    </cfRule>
    <cfRule type="cellIs" dxfId="2287" priority="15" stopIfTrue="1" operator="greaterThan">
      <formula>$F$70</formula>
    </cfRule>
  </conditionalFormatting>
  <conditionalFormatting sqref="H53:I53">
    <cfRule type="cellIs" dxfId="2286" priority="71" stopIfTrue="1" operator="greaterThan">
      <formula>$F$20</formula>
    </cfRule>
    <cfRule type="cellIs" dxfId="2285" priority="74" stopIfTrue="1" operator="lessThanOrEqual">
      <formula>0</formula>
    </cfRule>
  </conditionalFormatting>
  <conditionalFormatting sqref="H54:I54">
    <cfRule type="cellIs" dxfId="2284" priority="40" stopIfTrue="1" operator="lessThanOrEqual">
      <formula>0</formula>
    </cfRule>
    <cfRule type="cellIs" dxfId="2283" priority="37" stopIfTrue="1" operator="greaterThan">
      <formula>$F$64</formula>
    </cfRule>
  </conditionalFormatting>
  <conditionalFormatting sqref="H55:I56">
    <cfRule type="cellIs" dxfId="2282" priority="60" stopIfTrue="1" operator="lessThanOrEqual">
      <formula>0</formula>
    </cfRule>
    <cfRule type="cellIs" dxfId="2281" priority="57" stopIfTrue="1" operator="greaterThan">
      <formula>#REF!</formula>
    </cfRule>
  </conditionalFormatting>
  <conditionalFormatting sqref="H57:I57">
    <cfRule type="cellIs" dxfId="2280" priority="91" stopIfTrue="1" operator="lessThanOrEqual">
      <formula>0</formula>
    </cfRule>
    <cfRule type="cellIs" dxfId="2279" priority="88" stopIfTrue="1" operator="greaterThan">
      <formula>$F$35</formula>
    </cfRule>
  </conditionalFormatting>
  <conditionalFormatting sqref="H70:I70">
    <cfRule type="cellIs" dxfId="2278" priority="114" stopIfTrue="1" operator="lessThanOrEqual">
      <formula>0</formula>
    </cfRule>
    <cfRule type="cellIs" dxfId="2277" priority="113" stopIfTrue="1" operator="greaterThan">
      <formula>$J70</formula>
    </cfRule>
  </conditionalFormatting>
  <conditionalFormatting sqref="I52">
    <cfRule type="cellIs" dxfId="2276" priority="23" stopIfTrue="1" operator="greaterThan">
      <formula>$F$68</formula>
    </cfRule>
    <cfRule type="cellIs" dxfId="2275" priority="19" stopIfTrue="1" operator="greaterThan">
      <formula>$F$68</formula>
    </cfRule>
    <cfRule type="cellIs" dxfId="2274" priority="20" stopIfTrue="1" operator="lessThanOrEqual">
      <formula>0</formula>
    </cfRule>
    <cfRule type="cellIs" dxfId="2273" priority="21" stopIfTrue="1" operator="greaterThan">
      <formula>$F$70</formula>
    </cfRule>
    <cfRule type="cellIs" dxfId="2272" priority="22" stopIfTrue="1" operator="lessThanOrEqual">
      <formula>0</formula>
    </cfRule>
    <cfRule type="cellIs" dxfId="2271" priority="24" stopIfTrue="1" operator="lessThanOrEqual">
      <formula>0</formula>
    </cfRule>
  </conditionalFormatting>
  <conditionalFormatting sqref="I53">
    <cfRule type="cellIs" dxfId="2270" priority="75" stopIfTrue="1" operator="greaterThan">
      <formula>#REF!</formula>
    </cfRule>
    <cfRule type="cellIs" dxfId="2269" priority="76" stopIfTrue="1" operator="lessThanOrEqual">
      <formula>0</formula>
    </cfRule>
    <cfRule type="cellIs" dxfId="2268" priority="80" stopIfTrue="1" operator="lessThanOrEqual">
      <formula>0</formula>
    </cfRule>
    <cfRule type="cellIs" dxfId="2267" priority="78" stopIfTrue="1" operator="lessThanOrEqual">
      <formula>0</formula>
    </cfRule>
    <cfRule type="cellIs" dxfId="2266" priority="77" stopIfTrue="1" operator="greaterThan">
      <formula>$F$20</formula>
    </cfRule>
    <cfRule type="cellIs" dxfId="2265" priority="79" stopIfTrue="1" operator="greaterThan">
      <formula>#REF!</formula>
    </cfRule>
  </conditionalFormatting>
  <conditionalFormatting sqref="I54">
    <cfRule type="cellIs" dxfId="2264" priority="46" stopIfTrue="1" operator="lessThanOrEqual">
      <formula>0</formula>
    </cfRule>
    <cfRule type="cellIs" dxfId="2263" priority="44" stopIfTrue="1" operator="lessThanOrEqual">
      <formula>0</formula>
    </cfRule>
    <cfRule type="cellIs" dxfId="2262" priority="43" stopIfTrue="1" operator="greaterThan">
      <formula>$F$64</formula>
    </cfRule>
    <cfRule type="cellIs" dxfId="2261" priority="42" stopIfTrue="1" operator="lessThanOrEqual">
      <formula>0</formula>
    </cfRule>
    <cfRule type="cellIs" dxfId="2260" priority="41" stopIfTrue="1" operator="greaterThan">
      <formula>$F$62</formula>
    </cfRule>
    <cfRule type="cellIs" dxfId="2259" priority="45" stopIfTrue="1" operator="greaterThan">
      <formula>$F$62</formula>
    </cfRule>
  </conditionalFormatting>
  <conditionalFormatting sqref="I55:I56">
    <cfRule type="cellIs" dxfId="2258" priority="65" stopIfTrue="1" operator="greaterThan">
      <formula>#REF!</formula>
    </cfRule>
    <cfRule type="cellIs" dxfId="2257" priority="64" stopIfTrue="1" operator="lessThanOrEqual">
      <formula>0</formula>
    </cfRule>
    <cfRule type="cellIs" dxfId="2256" priority="63" stopIfTrue="1" operator="greaterThan">
      <formula>#REF!</formula>
    </cfRule>
    <cfRule type="cellIs" dxfId="2255" priority="66" stopIfTrue="1" operator="lessThanOrEqual">
      <formula>0</formula>
    </cfRule>
    <cfRule type="cellIs" dxfId="2254" priority="62" stopIfTrue="1" operator="lessThanOrEqual">
      <formula>0</formula>
    </cfRule>
    <cfRule type="cellIs" dxfId="2253" priority="61" stopIfTrue="1" operator="greaterThan">
      <formula>#REF!</formula>
    </cfRule>
  </conditionalFormatting>
  <conditionalFormatting sqref="I57">
    <cfRule type="cellIs" dxfId="2252" priority="96" stopIfTrue="1" operator="greaterThan">
      <formula>$F$33</formula>
    </cfRule>
    <cfRule type="cellIs" dxfId="2251" priority="97" stopIfTrue="1" operator="lessThanOrEqual">
      <formula>0</formula>
    </cfRule>
    <cfRule type="cellIs" dxfId="2250" priority="93" stopIfTrue="1" operator="lessThanOrEqual">
      <formula>0</formula>
    </cfRule>
    <cfRule type="cellIs" dxfId="2249" priority="92" stopIfTrue="1" operator="greaterThan">
      <formula>$F$33</formula>
    </cfRule>
    <cfRule type="cellIs" dxfId="2248" priority="94" stopIfTrue="1" operator="greaterThan">
      <formula>$F$35</formula>
    </cfRule>
    <cfRule type="cellIs" dxfId="2247" priority="95" stopIfTrue="1" operator="lessThanOrEqual">
      <formula>0</formula>
    </cfRule>
  </conditionalFormatting>
  <conditionalFormatting sqref="I61:I69">
    <cfRule type="cellIs" dxfId="2246" priority="125" stopIfTrue="1" operator="lessThanOrEqual">
      <formula>0</formula>
    </cfRule>
    <cfRule type="cellIs" dxfId="2245" priority="124" stopIfTrue="1" operator="greaterThan">
      <formula>$J61</formula>
    </cfRule>
  </conditionalFormatting>
  <conditionalFormatting sqref="I72:I80">
    <cfRule type="cellIs" dxfId="2244" priority="152" stopIfTrue="1" operator="greaterThan">
      <formula>4.5</formula>
    </cfRule>
    <cfRule type="cellIs" dxfId="2243" priority="153" stopIfTrue="1" operator="lessThanOrEqual">
      <formula>0</formula>
    </cfRule>
  </conditionalFormatting>
  <conditionalFormatting sqref="I10:J20">
    <cfRule type="cellIs" dxfId="2242" priority="30" operator="lessThan">
      <formula>97.9</formula>
    </cfRule>
  </conditionalFormatting>
  <conditionalFormatting sqref="J23:J25">
    <cfRule type="cellIs" dxfId="2241" priority="103" stopIfTrue="1" operator="lessThan">
      <formula>96.8</formula>
    </cfRule>
    <cfRule type="cellIs" dxfId="2240" priority="104" stopIfTrue="1" operator="greaterThan">
      <formula>100</formula>
    </cfRule>
    <cfRule type="cellIs" dxfId="2239" priority="105" operator="lessThan">
      <formula>98</formula>
    </cfRule>
  </conditionalFormatting>
  <conditionalFormatting sqref="J23:J27">
    <cfRule type="cellIs" dxfId="2238" priority="102" operator="lessThan">
      <formula>97.4</formula>
    </cfRule>
  </conditionalFormatting>
  <conditionalFormatting sqref="J28">
    <cfRule type="cellIs" dxfId="2237" priority="106" operator="lessThan">
      <formula>98</formula>
    </cfRule>
  </conditionalFormatting>
  <conditionalFormatting sqref="J30:J31">
    <cfRule type="cellIs" dxfId="2236" priority="107" stopIfTrue="1" operator="lessThan">
      <formula>96.8</formula>
    </cfRule>
    <cfRule type="cellIs" dxfId="2235" priority="108" stopIfTrue="1" operator="greaterThan">
      <formula>100</formula>
    </cfRule>
  </conditionalFormatting>
  <conditionalFormatting sqref="J30:J32">
    <cfRule type="cellIs" dxfId="2234" priority="109" operator="lessThan">
      <formula>98</formula>
    </cfRule>
  </conditionalFormatting>
  <conditionalFormatting sqref="J70">
    <cfRule type="cellIs" dxfId="2233" priority="110" stopIfTrue="1" operator="greaterThan">
      <formula>$F70</formula>
    </cfRule>
    <cfRule type="cellIs" dxfId="2232" priority="111" stopIfTrue="1" operator="lessThanOrEqual">
      <formula>0</formula>
    </cfRule>
  </conditionalFormatting>
  <conditionalFormatting sqref="K10:K20">
    <cfRule type="cellIs" dxfId="2231" priority="33" operator="greaterThan">
      <formula>6.4</formula>
    </cfRule>
    <cfRule type="cellIs" dxfId="2230" priority="32" operator="lessThan">
      <formula>4</formula>
    </cfRule>
    <cfRule type="cellIs" dxfId="2229" priority="31" operator="greaterThan">
      <formula>6</formula>
    </cfRule>
  </conditionalFormatting>
  <conditionalFormatting sqref="K52:K57 K61:N67 K68 M68:N68 K69:N69">
    <cfRule type="cellIs" dxfId="2228" priority="87" stopIfTrue="1" operator="lessThan">
      <formula>100%</formula>
    </cfRule>
  </conditionalFormatting>
  <conditionalFormatting sqref="K72:K77">
    <cfRule type="cellIs" dxfId="2227" priority="158" stopIfTrue="1" operator="lessThan">
      <formula>100%</formula>
    </cfRule>
  </conditionalFormatting>
  <conditionalFormatting sqref="K79:K80">
    <cfRule type="cellIs" dxfId="2226" priority="165" stopIfTrue="1" operator="lessThan">
      <formula>100%</formula>
    </cfRule>
  </conditionalFormatting>
  <conditionalFormatting sqref="L10:L17">
    <cfRule type="cellIs" dxfId="2225" priority="12" operator="greaterThan">
      <formula>65</formula>
    </cfRule>
    <cfRule type="cellIs" dxfId="2224" priority="11" operator="between">
      <formula>61</formula>
      <formula>65</formula>
    </cfRule>
  </conditionalFormatting>
  <conditionalFormatting sqref="L18:M19 L20">
    <cfRule type="cellIs" dxfId="2223" priority="51" operator="between">
      <formula>61</formula>
      <formula>65</formula>
    </cfRule>
    <cfRule type="cellIs" dxfId="2222" priority="52" operator="greaterThan">
      <formula>65</formula>
    </cfRule>
  </conditionalFormatting>
  <conditionalFormatting sqref="L23:M34">
    <cfRule type="cellIs" dxfId="2221" priority="53" operator="lessThan">
      <formula>97.95</formula>
    </cfRule>
  </conditionalFormatting>
  <conditionalFormatting sqref="L38:N38">
    <cfRule type="cellIs" dxfId="2220" priority="54" operator="notEqual">
      <formula>#REF!</formula>
    </cfRule>
  </conditionalFormatting>
  <conditionalFormatting sqref="L70:N70">
    <cfRule type="cellIs" dxfId="2219" priority="112" stopIfTrue="1" operator="lessThan">
      <formula>100%</formula>
    </cfRule>
  </conditionalFormatting>
  <conditionalFormatting sqref="L72:N80">
    <cfRule type="cellIs" dxfId="2218" priority="143" stopIfTrue="1" operator="lessThan">
      <formula>100%</formula>
    </cfRule>
  </conditionalFormatting>
  <conditionalFormatting sqref="M10:M17">
    <cfRule type="expression" dxfId="2217" priority="7">
      <formula>IF(+(IF(M10&lt;U10,0,IF(M10&gt;V10,0,1)))=0,1)</formula>
    </cfRule>
  </conditionalFormatting>
  <conditionalFormatting sqref="M20:N20">
    <cfRule type="expression" dxfId="2216" priority="173">
      <formula>IF(+(IF(M20&lt;#REF!,0,IF(M20&gt;#REF!,0,1)))=0,1)</formula>
    </cfRule>
  </conditionalFormatting>
  <conditionalFormatting sqref="N10:N17 N19">
    <cfRule type="expression" dxfId="2215" priority="29">
      <formula>IF(+(IF(N10&lt;W10,0,IF(N10&gt;X10,0,1)))=0,1)</formula>
    </cfRule>
  </conditionalFormatting>
  <conditionalFormatting sqref="P6">
    <cfRule type="cellIs" dxfId="2214" priority="139" operator="greaterThanOrEqual">
      <formula>19</formula>
    </cfRule>
  </conditionalFormatting>
  <dataValidations count="1">
    <dataValidation type="list" allowBlank="1" showInputMessage="1" showErrorMessage="1" sqref="R8" xr:uid="{54361E57-BE8D-4994-AF07-55B58C83E00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98FF-45C2-48AC-9D66-013BCD2C0F0E}">
  <sheetPr>
    <pageSetUpPr fitToPage="1"/>
  </sheetPr>
  <dimension ref="A1:BE75"/>
  <sheetViews>
    <sheetView topLeftCell="A10" zoomScale="80" zoomScaleNormal="80" workbookViewId="0">
      <selection activeCell="H52" sqref="H52:I5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45945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/>
      <c r="C10" s="366"/>
      <c r="D10" s="279"/>
      <c r="E10" s="279"/>
      <c r="F10" s="278"/>
      <c r="G10" s="279"/>
      <c r="H10" s="396"/>
      <c r="I10" s="420"/>
      <c r="J10" s="420"/>
      <c r="K10" s="281"/>
      <c r="L10" s="276"/>
      <c r="M10" s="374"/>
      <c r="N10" s="370"/>
      <c r="O10" s="421"/>
      <c r="P10" s="418"/>
      <c r="R10" s="277">
        <f t="shared" ref="R10:R34" si="0">B10</f>
        <v>0</v>
      </c>
      <c r="S10" s="296" t="e">
        <f t="shared" ref="S10:S34" si="1">VLOOKUP($B10,$R$3:$X$9,2,FALSE)</f>
        <v>#N/A</v>
      </c>
      <c r="T10" s="296" t="e">
        <f t="shared" ref="T10:T34" si="2">VLOOKUP($B10,$R$3:$X$9,3,FALSE)</f>
        <v>#N/A</v>
      </c>
      <c r="U10" s="297" t="e">
        <f t="shared" ref="U10:U34" si="3">VLOOKUP($B10,$R$3:$X$9,4,FALSE)</f>
        <v>#N/A</v>
      </c>
      <c r="V10" s="297" t="e">
        <f t="shared" ref="V10:V34" si="4">VLOOKUP($B10,$R$3:$X$9,5,FALSE)</f>
        <v>#N/A</v>
      </c>
      <c r="W10" s="297" t="e">
        <f t="shared" ref="W10:W34" si="5">VLOOKUP($B10,$R$3:$X$9,6,FALSE)</f>
        <v>#N/A</v>
      </c>
      <c r="X10" s="297" t="e">
        <f t="shared" ref="X10:X34" si="6">VLOOKUP($B10,$R$3:$X$9,7,FALSE)</f>
        <v>#N/A</v>
      </c>
      <c r="Y10" s="297" t="e">
        <f t="shared" ref="Y10:Y34" si="7">VLOOKUP($B10,$R$3:$Z$9,8,FALSE)</f>
        <v>#N/A</v>
      </c>
      <c r="Z10" s="296" t="e">
        <f t="shared" ref="Z10:Z34" si="8">VLOOKUP($B10,$R$3:$Z$9,9,FALSE)</f>
        <v>#N/A</v>
      </c>
    </row>
    <row r="11" spans="2:29" ht="15" customHeight="1">
      <c r="B11" s="33"/>
      <c r="C11" s="366"/>
      <c r="D11" s="279"/>
      <c r="E11" s="279"/>
      <c r="F11" s="278"/>
      <c r="G11" s="279"/>
      <c r="H11" s="396"/>
      <c r="I11" s="420"/>
      <c r="J11" s="420"/>
      <c r="K11" s="281"/>
      <c r="L11" s="276"/>
      <c r="M11" s="374"/>
      <c r="N11" s="370"/>
      <c r="O11" s="42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" customHeight="1">
      <c r="B12" s="33"/>
      <c r="C12" s="366"/>
      <c r="D12" s="279"/>
      <c r="E12" s="279"/>
      <c r="F12" s="278"/>
      <c r="G12" s="279"/>
      <c r="H12" s="396"/>
      <c r="I12" s="420"/>
      <c r="J12" s="420"/>
      <c r="K12" s="281"/>
      <c r="L12" s="276"/>
      <c r="M12" s="374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" customHeight="1">
      <c r="B13" s="33"/>
      <c r="C13" s="366"/>
      <c r="D13" s="279"/>
      <c r="E13" s="279"/>
      <c r="F13" s="278"/>
      <c r="G13" s="279"/>
      <c r="H13" s="396"/>
      <c r="I13" s="420"/>
      <c r="J13" s="420"/>
      <c r="K13" s="281"/>
      <c r="L13" s="276"/>
      <c r="M13" s="374"/>
      <c r="N13" s="370"/>
      <c r="O13" s="421"/>
      <c r="P13" s="418"/>
      <c r="R13" s="277">
        <f t="shared" ref="R13:R26" si="9">B13</f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9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hidden="1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34"/>
      <c r="C18" s="366"/>
      <c r="D18" s="279"/>
      <c r="E18" s="279"/>
      <c r="F18" s="278"/>
      <c r="G18" s="279"/>
      <c r="H18" s="396"/>
      <c r="I18" s="420"/>
      <c r="J18" s="420"/>
      <c r="K18" s="470"/>
      <c r="L18" s="276"/>
      <c r="M18" s="374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11"/>
      <c r="J21" s="511"/>
      <c r="K21" s="511"/>
      <c r="L21" s="511"/>
      <c r="M21" s="511"/>
      <c r="N21" s="511"/>
      <c r="O21" s="1"/>
      <c r="P21" s="12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thickBot="1">
      <c r="B22" s="388" t="s">
        <v>162</v>
      </c>
      <c r="C22" s="388"/>
      <c r="D22" s="489" t="s">
        <v>35</v>
      </c>
      <c r="E22" s="490"/>
      <c r="F22" s="294"/>
      <c r="G22" s="294"/>
      <c r="H22" s="348"/>
      <c r="I22" s="24" t="s">
        <v>17</v>
      </c>
      <c r="J22" s="25" t="s">
        <v>36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A23" s="28"/>
      <c r="B23" s="512" t="str">
        <f>I24</f>
        <v>STAG</v>
      </c>
      <c r="C23" s="362" cm="1">
        <f t="array" ref="C23:C26">[23]Process!$D$393:$D$396</f>
        <v>11.8</v>
      </c>
      <c r="D23" s="515">
        <v>12.17</v>
      </c>
      <c r="E23" s="516"/>
      <c r="F23" s="294"/>
      <c r="G23" s="294"/>
      <c r="H23" s="348"/>
      <c r="I23" s="29" t="s">
        <v>6</v>
      </c>
      <c r="J23" s="280"/>
      <c r="K23" s="284">
        <f>COUNTA([22]Brewhouse!$A$823:$A$862)</f>
        <v>40</v>
      </c>
      <c r="L23" s="305">
        <f>AVERAGE([22]Brewhouse!$AU$823:$AU$862)</f>
        <v>97.590265038899688</v>
      </c>
      <c r="M23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$862)</f>
        <v>97.7002563157276</v>
      </c>
      <c r="N23" s="30">
        <v>98</v>
      </c>
      <c r="O23" s="11"/>
      <c r="P23" s="31"/>
      <c r="R23" s="277" t="str">
        <f t="shared" si="9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1:27" ht="15" customHeight="1">
      <c r="A24" s="28"/>
      <c r="B24" s="513"/>
      <c r="C24" s="362">
        <v>12.2</v>
      </c>
      <c r="D24" s="517"/>
      <c r="E24" s="518"/>
      <c r="F24" s="294"/>
      <c r="G24" s="294"/>
      <c r="H24" s="348"/>
      <c r="I24" s="33" t="s">
        <v>9</v>
      </c>
      <c r="J24" s="280"/>
      <c r="K24" s="284">
        <f>COUNTA([23]Brewhouse!$A$399:$A$419)</f>
        <v>21</v>
      </c>
      <c r="L24" s="302">
        <f>AVERAGE([23]Brewhouse!$AS$399:$AS$419)</f>
        <v>98.088487780497204</v>
      </c>
      <c r="M24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4" s="30">
        <v>98</v>
      </c>
      <c r="O24" s="11"/>
      <c r="P24" s="31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13"/>
      <c r="C25" s="362">
        <v>11.7</v>
      </c>
      <c r="D25" s="515">
        <v>11.91</v>
      </c>
      <c r="E25" s="516"/>
      <c r="F25" s="294"/>
      <c r="G25" s="294"/>
      <c r="H25" s="348"/>
      <c r="I25" s="34" t="s">
        <v>12</v>
      </c>
      <c r="J25" s="280"/>
      <c r="K25" s="284">
        <f>COUNTA([24]Brewhouse!$A$99:$A$106)</f>
        <v>8</v>
      </c>
      <c r="L25" s="302">
        <f>AVERAGE([24]Brewhouse!$AU$99:$AU$106)</f>
        <v>94.823749681896615</v>
      </c>
      <c r="M25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5" s="30">
        <v>98</v>
      </c>
      <c r="O25" s="11"/>
      <c r="P25" s="31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13"/>
      <c r="C26" s="362">
        <v>11.9</v>
      </c>
      <c r="D26" s="517"/>
      <c r="E26" s="518"/>
      <c r="F26" s="294"/>
      <c r="G26" s="294"/>
      <c r="H26" s="348"/>
      <c r="I26" s="22" t="s">
        <v>33</v>
      </c>
      <c r="J26" s="280"/>
      <c r="K26" s="284"/>
      <c r="L26" s="302"/>
      <c r="M26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6" s="30">
        <v>98</v>
      </c>
      <c r="O26" s="11"/>
      <c r="P26" s="31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13"/>
      <c r="C27" s="362"/>
      <c r="D27" s="515"/>
      <c r="E27" s="516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3"/>
      <c r="C28" s="362"/>
      <c r="D28" s="517"/>
      <c r="E28" s="518"/>
      <c r="F28" s="417"/>
      <c r="G28" s="294"/>
      <c r="H28" s="348"/>
      <c r="I28" s="36" t="s">
        <v>15</v>
      </c>
      <c r="J28" s="323"/>
      <c r="K28" s="284"/>
      <c r="L28" s="302"/>
      <c r="M28" s="302">
        <f>AVERAGE([26]Brewhouse!$AT$4:$AT$11,[26]Brewhouse!$AT$13:$AT$16,[26]Brewhouse!$AT$18:$AT$21,[26]Brewhouse!$AT$26,[26]Brewhouse!$AT$28:$AT$35)</f>
        <v>94.794664331624134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13"/>
      <c r="C29" s="362"/>
      <c r="D29" s="515"/>
      <c r="E29" s="516"/>
      <c r="F29" s="417"/>
      <c r="G29" s="294"/>
      <c r="H29" s="348"/>
      <c r="I29" s="37" t="s">
        <v>16</v>
      </c>
      <c r="J29" s="323"/>
      <c r="K29" s="284"/>
      <c r="L29" s="302"/>
      <c r="M29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29" s="30">
        <v>98</v>
      </c>
      <c r="O29" s="11"/>
      <c r="P29" s="31" t="s">
        <v>41</v>
      </c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13"/>
      <c r="C30" s="362"/>
      <c r="D30" s="517"/>
      <c r="E30" s="518"/>
      <c r="F30" s="294"/>
      <c r="G30" s="294"/>
      <c r="H30" s="348"/>
      <c r="I30" s="411" t="s">
        <v>158</v>
      </c>
      <c r="J30" s="326"/>
      <c r="K30" s="284"/>
      <c r="L30" s="305"/>
      <c r="M30" s="305">
        <f>AVERAGE([28]Brewhouse!$AU$5:$AU$8,[28]Brewhouse!$AU$10:$AU$13,[27]Brewhouse!$AY$75:$AY$77)</f>
        <v>94.749192473706671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13"/>
      <c r="C31" s="349"/>
      <c r="D31" s="515"/>
      <c r="E31" s="516"/>
      <c r="F31" s="294"/>
      <c r="G31" s="294"/>
      <c r="H31" s="348"/>
      <c r="I31" s="410" t="s">
        <v>157</v>
      </c>
      <c r="J31" s="326"/>
      <c r="K31" s="284"/>
      <c r="L31" s="305"/>
      <c r="M31" s="305">
        <f>AVERAGE([29]Brewhouse!$AW$26:$AW$27)</f>
        <v>95.310680905194914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13"/>
      <c r="C32" s="349"/>
      <c r="D32" s="517"/>
      <c r="E32" s="518"/>
      <c r="F32" s="294"/>
      <c r="G32" s="294"/>
      <c r="H32" s="348"/>
      <c r="I32" s="406" t="s">
        <v>156</v>
      </c>
      <c r="J32" s="327"/>
      <c r="K32" s="407"/>
      <c r="L32" s="408"/>
      <c r="M32" s="408">
        <f>AVERAGE([30]Brewhouse!$AU$13:$AU$14)</f>
        <v>97.110575243268045</v>
      </c>
      <c r="N32" s="409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5" customHeight="1" thickBot="1">
      <c r="A33" s="28"/>
      <c r="B33" s="513"/>
      <c r="C33" s="349"/>
      <c r="D33" s="515"/>
      <c r="E33" s="516"/>
      <c r="F33" s="294"/>
      <c r="G33" s="294"/>
      <c r="H33" s="348"/>
      <c r="I33" s="1"/>
      <c r="J33" s="39"/>
      <c r="K33" s="404">
        <f>SUM(K23:K32)</f>
        <v>69</v>
      </c>
      <c r="L33" s="405">
        <f>((L23*K23)+(L24*K24)+(L25*K25)+(L26*K26)+(L27*K27)+(K30*L30)+(L28*K28)+(L29*K29)+(L32*K32))/(K33)</f>
        <v>97.421142643501469</v>
      </c>
      <c r="M33" s="405">
        <f>AVERAGE('[31]Jan 31st'!$L$65,'[32]Feb 28th'!$L$35,'[33]Mar. 31st'!$L$35,'[34]Apr. 30th'!$L$45,'[35]May 30th'!$L$37,'[36]June 30th'!$L$57,'[37]July 29th '!$L$44,'[38]Aug 29th'!$L$29,'[39]Sept 30th'!$L$35,L33)</f>
        <v>97.560064504031942</v>
      </c>
      <c r="N33" s="4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.75" thickBot="1">
      <c r="B34" s="576"/>
      <c r="C34" s="350"/>
      <c r="D34" s="517"/>
      <c r="E34" s="518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.75" thickBot="1">
      <c r="B35" s="562"/>
      <c r="C35" s="362"/>
      <c r="D35" s="528"/>
      <c r="E35" s="529"/>
      <c r="F35" s="294"/>
      <c r="G35" s="42"/>
      <c r="H35" s="41"/>
      <c r="I35" s="42"/>
      <c r="J35" s="563" t="s">
        <v>129</v>
      </c>
      <c r="K35" s="563"/>
      <c r="L35" s="294"/>
      <c r="M35" s="294"/>
      <c r="N35" s="294"/>
      <c r="O35" s="294"/>
      <c r="P35" s="12"/>
    </row>
    <row r="36" spans="1:56" ht="15.75" thickBot="1">
      <c r="B36" s="526"/>
      <c r="C36" s="362"/>
      <c r="D36" s="530"/>
      <c r="E36" s="518"/>
      <c r="F36" s="294"/>
      <c r="G36" s="42"/>
      <c r="H36" s="41"/>
      <c r="I36" s="42"/>
      <c r="J36" s="292" t="s">
        <v>17</v>
      </c>
      <c r="K36" s="293" t="s">
        <v>147</v>
      </c>
      <c r="L36" s="532" t="s">
        <v>136</v>
      </c>
      <c r="M36" s="532"/>
      <c r="N36" s="533"/>
      <c r="O36" s="294"/>
      <c r="P36" s="12"/>
    </row>
    <row r="37" spans="1:56" ht="15" customHeight="1" thickBot="1">
      <c r="B37" s="526"/>
      <c r="C37" s="349"/>
      <c r="D37" s="564"/>
      <c r="E37" s="565"/>
      <c r="F37" s="294"/>
      <c r="G37" s="42"/>
      <c r="H37" s="41"/>
      <c r="I37" s="42"/>
      <c r="J37" s="287" t="s">
        <v>6</v>
      </c>
      <c r="K37" s="324"/>
      <c r="L37" s="343" t="s">
        <v>37</v>
      </c>
      <c r="M37" s="307" t="s">
        <v>38</v>
      </c>
      <c r="N37" s="307" t="s">
        <v>84</v>
      </c>
      <c r="O37" s="294"/>
      <c r="P37" s="12"/>
    </row>
    <row r="38" spans="1:56" ht="15.75" customHeight="1" thickBot="1">
      <c r="B38" s="526"/>
      <c r="C38" s="349"/>
      <c r="D38" s="530"/>
      <c r="E38" s="518"/>
      <c r="F38" s="294"/>
      <c r="G38" s="42"/>
      <c r="H38" s="41"/>
      <c r="I38" s="42"/>
      <c r="J38" s="345" t="s">
        <v>9</v>
      </c>
      <c r="K38" s="324"/>
      <c r="L38" s="344">
        <f>AVERAGE('Oct. 1st'!K49,,'Oct. 2nd'!K51,'Oct. 3rd'!K46,'Oct. 6th'!K54,Oct.7th!K50,Oct.8th!K48,Oct.9th!K49,Oct.9th!K49)</f>
        <v>7.4444444444444446</v>
      </c>
      <c r="M38" s="325">
        <f>AVERAGE('[31]Jan 29th '!$M$70,'[32]Feb 28th'!$L$40,'[33]Mar. 31st'!$L$40,'[34]Apr. 30th'!$L$50,'[35]May 30th'!$L$42,'[36]June 30th'!$L$62,'[37]July 29th '!$L$49,'[38]Aug 29th'!$L$34,'[39]Sept 30th'!$L$40,L38)</f>
        <v>7.0505722220825193</v>
      </c>
      <c r="N38" s="416">
        <v>9.1999999999999993</v>
      </c>
      <c r="O38" s="294"/>
      <c r="P38" s="12"/>
    </row>
    <row r="39" spans="1:56" ht="15" customHeight="1">
      <c r="B39" s="526"/>
      <c r="C39" s="349"/>
      <c r="D39" s="564"/>
      <c r="E39" s="565"/>
      <c r="F39" s="294"/>
      <c r="G39" s="42"/>
      <c r="H39" s="41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6"/>
      <c r="C40" s="349"/>
      <c r="D40" s="530"/>
      <c r="E40" s="518"/>
      <c r="F40" s="294"/>
      <c r="G40" s="42"/>
      <c r="H40" s="41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6"/>
      <c r="C41" s="349"/>
      <c r="D41" s="564"/>
      <c r="E41" s="565"/>
      <c r="F41" s="294"/>
      <c r="G41" s="42"/>
      <c r="H41" s="41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6"/>
      <c r="C42" s="349"/>
      <c r="D42" s="530"/>
      <c r="E42" s="518"/>
      <c r="F42" s="294"/>
      <c r="G42" s="42"/>
      <c r="H42" s="41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6"/>
      <c r="C43" s="349"/>
      <c r="D43" s="564"/>
      <c r="E43" s="565"/>
      <c r="F43" s="294"/>
      <c r="G43" s="42"/>
      <c r="H43" s="41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6"/>
      <c r="C44" s="350"/>
      <c r="D44" s="566"/>
      <c r="E44" s="567"/>
      <c r="F44" s="294" t="s">
        <v>178</v>
      </c>
      <c r="G44" s="42"/>
      <c r="H44" s="41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60">
        <f>AVERAGE(D23:E44)</f>
        <v>12.04</v>
      </c>
      <c r="E45" s="561"/>
      <c r="F45" s="294"/>
      <c r="H45" s="41"/>
      <c r="I45" s="42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1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1"/>
      <c r="I47" s="42"/>
      <c r="J47" s="346" t="s">
        <v>130</v>
      </c>
      <c r="K47" s="324">
        <f>SUM(K37:K46)</f>
        <v>0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40" t="s">
        <v>17</v>
      </c>
      <c r="C50" s="540" t="s">
        <v>44</v>
      </c>
      <c r="D50" s="542" t="s">
        <v>45</v>
      </c>
      <c r="E50" s="497" t="s">
        <v>46</v>
      </c>
      <c r="F50" s="557" t="s">
        <v>47</v>
      </c>
      <c r="G50" s="551" t="s">
        <v>48</v>
      </c>
      <c r="H50" s="540" t="s">
        <v>49</v>
      </c>
      <c r="I50" s="540" t="s">
        <v>50</v>
      </c>
      <c r="J50" s="545" t="s">
        <v>28</v>
      </c>
      <c r="K50" s="495" t="s">
        <v>51</v>
      </c>
      <c r="L50" s="507" t="s">
        <v>52</v>
      </c>
      <c r="M50" s="545" t="s">
        <v>53</v>
      </c>
      <c r="N50" s="13"/>
      <c r="O50" s="13"/>
      <c r="P50" s="50"/>
    </row>
    <row r="51" spans="2:57" ht="28.5" customHeight="1" thickTop="1" thickBot="1">
      <c r="B51" s="541"/>
      <c r="C51" s="541"/>
      <c r="D51" s="543"/>
      <c r="E51" s="544"/>
      <c r="F51" s="558"/>
      <c r="G51" s="552"/>
      <c r="H51" s="559"/>
      <c r="I51" s="559"/>
      <c r="J51" s="546"/>
      <c r="K51" s="555"/>
      <c r="L51" s="556"/>
      <c r="M51" s="546"/>
      <c r="N51" s="13"/>
      <c r="O51" s="13"/>
      <c r="P51" s="50"/>
      <c r="Q51" s="355"/>
      <c r="AB51" s="51">
        <v>43474</v>
      </c>
      <c r="AC51" s="51">
        <v>43475</v>
      </c>
      <c r="AD51" s="51">
        <v>43476</v>
      </c>
      <c r="AE51" s="51">
        <v>43477</v>
      </c>
      <c r="AF51" s="51">
        <v>43478</v>
      </c>
      <c r="AG51" s="51">
        <v>43479</v>
      </c>
      <c r="AH51" s="51">
        <v>43480</v>
      </c>
      <c r="AI51" s="51">
        <v>43481</v>
      </c>
      <c r="AJ51" s="51">
        <v>43482</v>
      </c>
      <c r="AK51" s="51">
        <v>43483</v>
      </c>
      <c r="AL51" s="51">
        <v>43484</v>
      </c>
      <c r="AM51" s="51">
        <v>43485</v>
      </c>
      <c r="AN51" s="51">
        <v>43486</v>
      </c>
      <c r="AO51" s="51">
        <v>43487</v>
      </c>
      <c r="AP51" s="51">
        <v>43488</v>
      </c>
      <c r="AQ51" s="51">
        <v>43489</v>
      </c>
      <c r="AR51" s="51">
        <v>43490</v>
      </c>
      <c r="AS51" s="51">
        <v>43491</v>
      </c>
      <c r="AT51" s="51">
        <v>43492</v>
      </c>
      <c r="AU51" s="51">
        <v>43493</v>
      </c>
      <c r="AV51" s="51">
        <v>43494</v>
      </c>
      <c r="AW51" s="51">
        <v>43495</v>
      </c>
      <c r="AX51" s="51">
        <v>43496</v>
      </c>
    </row>
    <row r="52" spans="2:57" s="54" customFormat="1" ht="59.45" customHeight="1" thickBot="1">
      <c r="B52" s="459" t="str">
        <f>I24</f>
        <v>STAG</v>
      </c>
      <c r="C52" s="442">
        <v>45944</v>
      </c>
      <c r="D52" s="443">
        <f>[40]October_2025!$Q$13</f>
        <v>196.40000000000003</v>
      </c>
      <c r="E52" s="444"/>
      <c r="F52" s="445">
        <f>SUM([42]STAG!$L$28:$L$31)</f>
        <v>192</v>
      </c>
      <c r="G52" s="445">
        <f>[40]October_2025!$Q$17</f>
        <v>190.7</v>
      </c>
      <c r="H52" s="462">
        <f>(D52-F52)/D52*100</f>
        <v>2.240325865580465</v>
      </c>
      <c r="I52" s="462">
        <f>((F52+E52)-G52)/(F52+E52)*100</f>
        <v>0.67708333333333925</v>
      </c>
      <c r="J52" s="449" t="s">
        <v>163</v>
      </c>
      <c r="K52" s="450">
        <f>[41]October_2025!$Q$25</f>
        <v>0.66912280701754379</v>
      </c>
      <c r="L52" s="471">
        <f>(((D52+E52)-G52)/(D52+E52))*100</f>
        <v>2.9022403258656029</v>
      </c>
      <c r="M52" s="457" t="s">
        <v>187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[20]January_2019!L7</f>
        <v>285.8</v>
      </c>
      <c r="AC52" s="57">
        <f>[20]January_2019!M7</f>
        <v>508.1</v>
      </c>
      <c r="AD52" s="57">
        <f>[20]January_2019!N7</f>
        <v>0</v>
      </c>
      <c r="AE52" s="57">
        <f>[20]January_2019!O7</f>
        <v>0</v>
      </c>
      <c r="AF52" s="57">
        <f>[20]January_2019!P7</f>
        <v>109.56666666666666</v>
      </c>
      <c r="AG52" s="57">
        <f>[20]January_2019!Q7</f>
        <v>297.64999999999998</v>
      </c>
      <c r="AH52" s="57">
        <f>[20]January_2019!R7</f>
        <v>122.3</v>
      </c>
      <c r="AI52" s="57">
        <f>[20]January_2019!S7</f>
        <v>0</v>
      </c>
      <c r="AJ52" s="57">
        <f>[20]January_2019!T7</f>
        <v>294.7</v>
      </c>
      <c r="AK52" s="57">
        <f>[20]January_2019!U7</f>
        <v>280.5</v>
      </c>
      <c r="AL52" s="57">
        <f>[20]January_2019!V7</f>
        <v>0</v>
      </c>
      <c r="AM52" s="57">
        <f>[20]January_2019!W7</f>
        <v>0</v>
      </c>
      <c r="AN52" s="57">
        <f>[20]January_2019!X7</f>
        <v>188.25</v>
      </c>
      <c r="AO52" s="57">
        <f>[20]January_2019!Y7</f>
        <v>295.7</v>
      </c>
      <c r="AP52" s="57">
        <f>[20]January_2019!Z7</f>
        <v>257.8</v>
      </c>
      <c r="AQ52" s="57">
        <f>[20]January_2019!AA7</f>
        <v>291.2</v>
      </c>
      <c r="AR52" s="57">
        <f>[20]January_2019!AB7</f>
        <v>187</v>
      </c>
      <c r="AS52" s="57">
        <f>[20]January_2019!AC7</f>
        <v>0</v>
      </c>
      <c r="AT52" s="57">
        <f>[20]January_2019!AD7</f>
        <v>0</v>
      </c>
      <c r="AU52" s="57">
        <f>[20]January_2019!AE7</f>
        <v>485.1</v>
      </c>
      <c r="AV52" s="57">
        <f>[20]January_2019!AF7</f>
        <v>171.55</v>
      </c>
      <c r="AW52" s="57">
        <f>[20]January_2019!AG7</f>
        <v>423.8</v>
      </c>
      <c r="AX52" s="277">
        <f>[20]January_2019!AH7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20.45" hidden="1" customHeight="1" thickBot="1">
      <c r="B53" s="458"/>
      <c r="C53" s="431"/>
      <c r="D53" s="432"/>
      <c r="E53" s="433"/>
      <c r="F53" s="434"/>
      <c r="G53" s="435"/>
      <c r="H53" s="429"/>
      <c r="I53" s="429"/>
      <c r="J53" s="452"/>
      <c r="K53" s="437"/>
      <c r="L53" s="453"/>
      <c r="M53" s="422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59.45" hidden="1" customHeight="1" thickBot="1">
      <c r="B54" s="460"/>
      <c r="C54" s="442"/>
      <c r="D54" s="443"/>
      <c r="E54" s="444"/>
      <c r="F54" s="445"/>
      <c r="G54" s="446"/>
      <c r="H54" s="462"/>
      <c r="I54" s="462"/>
      <c r="J54" s="449"/>
      <c r="K54" s="466"/>
      <c r="L54" s="461"/>
      <c r="M54" s="457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4"/>
      <c r="C55" s="431"/>
      <c r="D55" s="432"/>
      <c r="E55" s="433"/>
      <c r="F55" s="434"/>
      <c r="G55" s="435"/>
      <c r="H55" s="436"/>
      <c r="I55" s="451"/>
      <c r="J55" s="452"/>
      <c r="K55" s="437" t="s">
        <v>41</v>
      </c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6.6" hidden="1" customHeight="1" thickBot="1">
      <c r="B56" s="387"/>
      <c r="C56" s="442"/>
      <c r="D56" s="443"/>
      <c r="E56" s="444"/>
      <c r="F56" s="445"/>
      <c r="G56" s="446"/>
      <c r="H56" s="447"/>
      <c r="I56" s="448"/>
      <c r="J56" s="449"/>
      <c r="K56" s="450"/>
      <c r="L56" s="455" t="e">
        <f>(((D56+E56)-G56)/(D56+E56))*100</f>
        <v>#DIV/0!</v>
      </c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8"/>
      <c r="C57" s="424"/>
      <c r="D57" s="425"/>
      <c r="E57" s="426"/>
      <c r="F57" s="427"/>
      <c r="G57" s="428"/>
      <c r="H57" s="429"/>
      <c r="I57" s="439"/>
      <c r="J57" s="440"/>
      <c r="K57" s="430"/>
      <c r="L57" s="441"/>
      <c r="M57" s="423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2:57" ht="15.75" thickBot="1">
      <c r="B59" s="547" t="s">
        <v>55</v>
      </c>
      <c r="C59" s="548"/>
      <c r="D59" s="548"/>
      <c r="E59" s="548"/>
      <c r="F59" s="549"/>
      <c r="G59" s="547" t="s">
        <v>56</v>
      </c>
      <c r="H59" s="548"/>
      <c r="I59" s="548"/>
      <c r="J59" s="549"/>
      <c r="K59" s="547" t="s">
        <v>51</v>
      </c>
      <c r="L59" s="548"/>
      <c r="M59" s="548"/>
      <c r="N59" s="550"/>
      <c r="O59" s="56"/>
      <c r="P59" s="50"/>
    </row>
    <row r="60" spans="2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7" ht="15">
      <c r="B61" s="29" t="s">
        <v>6</v>
      </c>
      <c r="C61" s="65"/>
      <c r="D61" s="76">
        <v>5.4280582718020227</v>
      </c>
      <c r="E61" s="76">
        <v>6.3177809295166583</v>
      </c>
      <c r="F61" s="66">
        <v>4.8</v>
      </c>
      <c r="G61" s="65"/>
      <c r="H61" s="76">
        <v>3.6734408432854382</v>
      </c>
      <c r="I61" s="76">
        <v>6.1451990760192619</v>
      </c>
      <c r="J61" s="66">
        <v>4.8</v>
      </c>
      <c r="K61" s="67"/>
      <c r="L61" s="194">
        <v>0.65879609414011675</v>
      </c>
      <c r="M61" s="194">
        <v>0.76418505858469299</v>
      </c>
      <c r="N61" s="68">
        <v>1</v>
      </c>
      <c r="O61" s="56"/>
      <c r="P61" s="69"/>
    </row>
    <row r="62" spans="2:57" ht="15">
      <c r="B62" s="33" t="s">
        <v>9</v>
      </c>
      <c r="C62" s="65">
        <f>L52</f>
        <v>2.9022403258656029</v>
      </c>
      <c r="D62" s="76">
        <v>3.2967032967032899</v>
      </c>
      <c r="E62" s="76">
        <v>5.7279886212748821</v>
      </c>
      <c r="F62" s="66">
        <v>4.8</v>
      </c>
      <c r="G62" s="65">
        <f>[40]October_2025!$Q$21</f>
        <v>1.654397631258248</v>
      </c>
      <c r="H62" s="76">
        <v>3.5998660810754992</v>
      </c>
      <c r="I62" s="76">
        <v>5.5540404226710187</v>
      </c>
      <c r="J62" s="66">
        <v>4.8</v>
      </c>
      <c r="K62" s="67">
        <f>K52</f>
        <v>0.66912280701754379</v>
      </c>
      <c r="L62" s="194">
        <v>0.71811851863775211</v>
      </c>
      <c r="M62" s="194">
        <v>0.71659459276745896</v>
      </c>
      <c r="N62" s="68">
        <v>1</v>
      </c>
      <c r="P62" s="69"/>
    </row>
    <row r="63" spans="2:57" ht="15">
      <c r="B63" s="34" t="s">
        <v>40</v>
      </c>
      <c r="C63" s="65"/>
      <c r="D63" s="76">
        <v>9.535333978702802</v>
      </c>
      <c r="E63" s="76">
        <v>11.690789306336304</v>
      </c>
      <c r="F63" s="66">
        <v>5.5</v>
      </c>
      <c r="G63" s="65"/>
      <c r="H63" s="76">
        <v>9.7076284177373999</v>
      </c>
      <c r="I63" s="76">
        <v>12.617010368159198</v>
      </c>
      <c r="J63" s="66">
        <v>5.5</v>
      </c>
      <c r="K63" s="67"/>
      <c r="L63" s="194">
        <v>0.9345</v>
      </c>
      <c r="M63" s="194">
        <v>0.54931804556354924</v>
      </c>
      <c r="N63" s="68">
        <v>1</v>
      </c>
      <c r="P63" s="69"/>
    </row>
    <row r="64" spans="2:57" ht="15">
      <c r="B64" s="22" t="s">
        <v>33</v>
      </c>
      <c r="C64" s="65"/>
      <c r="D64" s="76"/>
      <c r="E64" s="76">
        <v>5.119233255999676</v>
      </c>
      <c r="F64" s="66">
        <v>3.3</v>
      </c>
      <c r="G64" s="65"/>
      <c r="H64" s="76"/>
      <c r="I64" s="76">
        <v>4.4772094679692334</v>
      </c>
      <c r="J64" s="66">
        <v>3.3</v>
      </c>
      <c r="K64" s="67"/>
      <c r="L64" s="194"/>
      <c r="M64" s="194">
        <v>0.80025950292397652</v>
      </c>
      <c r="N64" s="68">
        <v>1</v>
      </c>
      <c r="P64" s="69"/>
    </row>
    <row r="65" spans="2:16" ht="15">
      <c r="B65" s="35" t="s">
        <v>165</v>
      </c>
      <c r="C65" s="65"/>
      <c r="D65" s="76"/>
      <c r="E65" s="76">
        <v>7.837301587301579</v>
      </c>
      <c r="F65" s="66">
        <v>3.3</v>
      </c>
      <c r="G65" s="282"/>
      <c r="H65" s="76"/>
      <c r="I65" s="76">
        <v>5.3377569154690221</v>
      </c>
      <c r="J65" s="66">
        <v>3</v>
      </c>
      <c r="K65" s="67"/>
      <c r="L65" s="194"/>
      <c r="M65" s="194">
        <v>0.32596491228070179</v>
      </c>
      <c r="N65" s="68">
        <v>1</v>
      </c>
      <c r="P65" s="69"/>
    </row>
    <row r="66" spans="2:16" ht="15">
      <c r="B66" s="36" t="s">
        <v>15</v>
      </c>
      <c r="C66" s="65"/>
      <c r="D66" s="76"/>
      <c r="E66" s="76">
        <v>7.3129862357869699</v>
      </c>
      <c r="F66" s="70">
        <f>[21]May_2022!$M$43</f>
        <v>3.4878406700073312</v>
      </c>
      <c r="G66" s="282"/>
      <c r="H66" s="76"/>
      <c r="I66" s="76">
        <v>8.6614709463340702</v>
      </c>
      <c r="J66" s="66">
        <v>5.5</v>
      </c>
      <c r="K66" s="67"/>
      <c r="L66" s="194"/>
      <c r="M66" s="194">
        <v>0.73160818713450293</v>
      </c>
      <c r="N66" s="68">
        <v>1</v>
      </c>
      <c r="P66" s="69"/>
    </row>
    <row r="67" spans="2:16" ht="15">
      <c r="B67" s="37" t="s">
        <v>16</v>
      </c>
      <c r="C67" s="65"/>
      <c r="D67" s="76">
        <v>2.0782986950217497</v>
      </c>
      <c r="E67" s="76">
        <v>2.8629317642487306</v>
      </c>
      <c r="F67" s="66">
        <v>3.3</v>
      </c>
      <c r="G67" s="282"/>
      <c r="H67" s="76">
        <v>3.4559849687930924</v>
      </c>
      <c r="I67" s="76">
        <v>4.3478819741669881</v>
      </c>
      <c r="J67" s="66">
        <v>3.3</v>
      </c>
      <c r="K67" s="67"/>
      <c r="L67" s="194">
        <v>0.88859649122807016</v>
      </c>
      <c r="M67" s="194">
        <v>0.85935680751173715</v>
      </c>
      <c r="N67" s="71">
        <v>1</v>
      </c>
      <c r="P67" s="69"/>
    </row>
    <row r="68" spans="2:16" ht="15.75" thickBot="1">
      <c r="B68" s="38" t="s">
        <v>164</v>
      </c>
      <c r="C68" s="65"/>
      <c r="D68" s="76"/>
      <c r="E68" s="76">
        <v>11.483253588516746</v>
      </c>
      <c r="F68" s="66">
        <v>7.5</v>
      </c>
      <c r="G68" s="282"/>
      <c r="H68" s="76"/>
      <c r="I68" s="76">
        <v>9.7934336121043764</v>
      </c>
      <c r="J68" s="66">
        <v>7.5</v>
      </c>
      <c r="K68" s="67"/>
      <c r="M68" s="194">
        <v>0.32456140350877194</v>
      </c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>
        <v>7.2653644592663174</v>
      </c>
      <c r="F69" s="66">
        <v>4.8</v>
      </c>
      <c r="G69" s="282"/>
      <c r="H69" s="76"/>
      <c r="I69" s="76">
        <v>8.1715311054411259</v>
      </c>
      <c r="J69" s="66">
        <v>4.8</v>
      </c>
      <c r="K69" s="67"/>
      <c r="L69" s="194"/>
      <c r="M69" s="194">
        <v>0.51368421052631585</v>
      </c>
      <c r="N69" s="71">
        <v>1</v>
      </c>
      <c r="O69" s="74"/>
      <c r="P69" s="75"/>
    </row>
    <row r="70" spans="2:16" ht="15">
      <c r="D70" s="76">
        <v>4.2226455727656553</v>
      </c>
      <c r="E70" s="76">
        <v>6.2821217677365402</v>
      </c>
      <c r="F70" s="341">
        <v>5.5</v>
      </c>
      <c r="H70" s="76">
        <v>4.1801884092396104</v>
      </c>
      <c r="I70" s="76">
        <v>6.4623735232525075</v>
      </c>
      <c r="J70" s="341">
        <v>5.5</v>
      </c>
      <c r="L70" s="194">
        <v>0.72820809248554919</v>
      </c>
      <c r="M70" s="194">
        <v>0.7312614969733483</v>
      </c>
      <c r="N70" s="386">
        <v>1</v>
      </c>
    </row>
    <row r="74" spans="2:16">
      <c r="F74" s="315"/>
    </row>
    <row r="75" spans="2:16" ht="15">
      <c r="F75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59:F59"/>
    <mergeCell ref="G59:J59"/>
    <mergeCell ref="K59:N59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2213" priority="151" operator="notBetween">
      <formula>#REF!</formula>
      <formula>#REF!</formula>
    </cfRule>
  </conditionalFormatting>
  <conditionalFormatting sqref="C49">
    <cfRule type="cellIs" dxfId="2212" priority="183" stopIfTrue="1" operator="greaterThan">
      <formula>100</formula>
    </cfRule>
    <cfRule type="cellIs" dxfId="2211" priority="182" stopIfTrue="1" operator="lessThan">
      <formula>96</formula>
    </cfRule>
  </conditionalFormatting>
  <conditionalFormatting sqref="C61:C65">
    <cfRule type="cellIs" dxfId="2210" priority="132" stopIfTrue="1" operator="lessThanOrEqual">
      <formula>0</formula>
    </cfRule>
  </conditionalFormatting>
  <conditionalFormatting sqref="C61:C69">
    <cfRule type="cellIs" dxfId="2209" priority="131" stopIfTrue="1" operator="greaterThan">
      <formula>$F61</formula>
    </cfRule>
  </conditionalFormatting>
  <conditionalFormatting sqref="C62">
    <cfRule type="cellIs" dxfId="2208" priority="186" stopIfTrue="1" operator="greaterThan">
      <formula>$F61</formula>
    </cfRule>
  </conditionalFormatting>
  <conditionalFormatting sqref="C66">
    <cfRule type="cellIs" dxfId="2207" priority="70" stopIfTrue="1" operator="greaterThan">
      <formula>$F65</formula>
    </cfRule>
    <cfRule type="cellIs" dxfId="2206" priority="69" stopIfTrue="1" operator="lessThanOrEqual">
      <formula>0</formula>
    </cfRule>
  </conditionalFormatting>
  <conditionalFormatting sqref="C72:C76">
    <cfRule type="cellIs" dxfId="2205" priority="174" stopIfTrue="1" operator="lessThanOrEqual">
      <formula>0</formula>
    </cfRule>
  </conditionalFormatting>
  <conditionalFormatting sqref="C73:C76">
    <cfRule type="cellIs" dxfId="2204" priority="173" stopIfTrue="1" operator="greaterThan">
      <formula>$F$72</formula>
    </cfRule>
  </conditionalFormatting>
  <conditionalFormatting sqref="C78">
    <cfRule type="cellIs" dxfId="2203" priority="176" stopIfTrue="1" operator="lessThanOrEqual">
      <formula>0</formula>
    </cfRule>
    <cfRule type="cellIs" dxfId="2202" priority="175" stopIfTrue="1" operator="greaterThan">
      <formula>$F$72</formula>
    </cfRule>
  </conditionalFormatting>
  <conditionalFormatting sqref="C72:D72 D74:D80">
    <cfRule type="cellIs" dxfId="2201" priority="168" stopIfTrue="1" operator="greaterThan">
      <formula>4.5</formula>
    </cfRule>
  </conditionalFormatting>
  <conditionalFormatting sqref="D45:D46">
    <cfRule type="cellIs" dxfId="2200" priority="152" operator="notBetween">
      <formula>#REF!</formula>
      <formula>#REF!</formula>
    </cfRule>
  </conditionalFormatting>
  <conditionalFormatting sqref="D61:D68">
    <cfRule type="cellIs" dxfId="2199" priority="146" stopIfTrue="1" operator="lessThanOrEqual">
      <formula>0</formula>
    </cfRule>
  </conditionalFormatting>
  <conditionalFormatting sqref="D69">
    <cfRule type="cellIs" dxfId="2198" priority="145" stopIfTrue="1" operator="lessThanOrEqual">
      <formula>0</formula>
    </cfRule>
  </conditionalFormatting>
  <conditionalFormatting sqref="D72 D74:D80">
    <cfRule type="cellIs" dxfId="2197" priority="169" stopIfTrue="1" operator="lessThanOrEqual">
      <formula>0</formula>
    </cfRule>
  </conditionalFormatting>
  <conditionalFormatting sqref="D73">
    <cfRule type="cellIs" dxfId="2196" priority="160" stopIfTrue="1" operator="greaterThan">
      <formula>$F$72</formula>
    </cfRule>
    <cfRule type="cellIs" dxfId="2195" priority="161" stopIfTrue="1" operator="lessThanOrEqual">
      <formula>0</formula>
    </cfRule>
  </conditionalFormatting>
  <conditionalFormatting sqref="D61:E70">
    <cfRule type="cellIs" dxfId="2194" priority="129" stopIfTrue="1" operator="greaterThan">
      <formula>$F61</formula>
    </cfRule>
  </conditionalFormatting>
  <conditionalFormatting sqref="D70:E70">
    <cfRule type="cellIs" dxfId="2193" priority="130" stopIfTrue="1" operator="lessThanOrEqual">
      <formula>0</formula>
    </cfRule>
  </conditionalFormatting>
  <conditionalFormatting sqref="E10:E20">
    <cfRule type="cellIs" dxfId="2192" priority="48" operator="lessThan">
      <formula>48</formula>
    </cfRule>
  </conditionalFormatting>
  <conditionalFormatting sqref="E48 E49:F49">
    <cfRule type="cellIs" dxfId="2191" priority="165" stopIfTrue="1" operator="greaterThan">
      <formula>100</formula>
    </cfRule>
  </conditionalFormatting>
  <conditionalFormatting sqref="E49">
    <cfRule type="cellIs" dxfId="2190" priority="163" stopIfTrue="1" operator="greaterThan">
      <formula>100</formula>
    </cfRule>
    <cfRule type="cellIs" dxfId="2189" priority="162" stopIfTrue="1" operator="lessThan">
      <formula>96.8</formula>
    </cfRule>
  </conditionalFormatting>
  <conditionalFormatting sqref="E61:E69">
    <cfRule type="cellIs" dxfId="2188" priority="140" stopIfTrue="1" operator="lessThanOrEqual">
      <formula>0</formula>
    </cfRule>
  </conditionalFormatting>
  <conditionalFormatting sqref="E72:E80">
    <cfRule type="cellIs" dxfId="2187" priority="155" stopIfTrue="1" operator="lessThanOrEqual">
      <formula>0</formula>
    </cfRule>
    <cfRule type="cellIs" dxfId="2186" priority="154" stopIfTrue="1" operator="greaterThan">
      <formula>4.5</formula>
    </cfRule>
  </conditionalFormatting>
  <conditionalFormatting sqref="E49:F49 E48">
    <cfRule type="cellIs" dxfId="2185" priority="164" stopIfTrue="1" operator="lessThan">
      <formula>96.5</formula>
    </cfRule>
  </conditionalFormatting>
  <conditionalFormatting sqref="F10:F20">
    <cfRule type="cellIs" dxfId="2184" priority="49" operator="greaterThan">
      <formula>60</formula>
    </cfRule>
  </conditionalFormatting>
  <conditionalFormatting sqref="F49">
    <cfRule type="cellIs" dxfId="2183" priority="181" stopIfTrue="1" operator="greaterThan">
      <formula>100</formula>
    </cfRule>
    <cfRule type="cellIs" dxfId="2182" priority="180" stopIfTrue="1" operator="lessThan">
      <formula>96.8</formula>
    </cfRule>
  </conditionalFormatting>
  <conditionalFormatting sqref="F70">
    <cfRule type="cellIs" dxfId="2181" priority="142" stopIfTrue="1" operator="lessThanOrEqual">
      <formula>0</formula>
    </cfRule>
    <cfRule type="cellIs" dxfId="2180" priority="141" stopIfTrue="1" operator="greaterThan">
      <formula>$F70</formula>
    </cfRule>
  </conditionalFormatting>
  <conditionalFormatting sqref="F75">
    <cfRule type="cellIs" dxfId="2179" priority="99" stopIfTrue="1" operator="greaterThan">
      <formula>$F75</formula>
    </cfRule>
    <cfRule type="cellIs" dxfId="2178" priority="100" stopIfTrue="1" operator="lessThanOrEqual">
      <formula>0</formula>
    </cfRule>
  </conditionalFormatting>
  <conditionalFormatting sqref="G18">
    <cfRule type="expression" dxfId="2177" priority="26">
      <formula>IF(+(IF(G18&lt;S18,0,IF(G18&gt;T18,0,1)))=0,1)</formula>
    </cfRule>
  </conditionalFormatting>
  <conditionalFormatting sqref="G61:G62 C67:C69">
    <cfRule type="cellIs" dxfId="2176" priority="148" stopIfTrue="1" operator="lessThanOrEqual">
      <formula>0</formula>
    </cfRule>
  </conditionalFormatting>
  <conditionalFormatting sqref="G61:G62">
    <cfRule type="cellIs" dxfId="2175" priority="147" stopIfTrue="1" operator="greaterThan">
      <formula>$F61</formula>
    </cfRule>
    <cfRule type="cellIs" dxfId="2174" priority="134" stopIfTrue="1" operator="lessThanOrEqual">
      <formula>0</formula>
    </cfRule>
    <cfRule type="cellIs" dxfId="2173" priority="133" stopIfTrue="1" operator="greaterThan">
      <formula>$F61</formula>
    </cfRule>
  </conditionalFormatting>
  <conditionalFormatting sqref="G63">
    <cfRule type="cellIs" dxfId="2172" priority="184" stopIfTrue="1" operator="greaterThan">
      <formula>$F62</formula>
    </cfRule>
    <cfRule type="cellIs" dxfId="2171" priority="185" stopIfTrue="1" operator="lessThanOrEqual">
      <formula>0</formula>
    </cfRule>
  </conditionalFormatting>
  <conditionalFormatting sqref="G64">
    <cfRule type="cellIs" dxfId="2170" priority="143" stopIfTrue="1" operator="greaterThan">
      <formula>$F64</formula>
    </cfRule>
    <cfRule type="cellIs" dxfId="2169" priority="144" stopIfTrue="1" operator="lessThanOrEqual">
      <formula>0</formula>
    </cfRule>
  </conditionalFormatting>
  <conditionalFormatting sqref="G65:G69">
    <cfRule type="cellIs" dxfId="2168" priority="150" stopIfTrue="1" operator="lessThanOrEqual">
      <formula>0</formula>
    </cfRule>
    <cfRule type="cellIs" dxfId="2167" priority="149" stopIfTrue="1" operator="greaterThan">
      <formula>$J65</formula>
    </cfRule>
  </conditionalFormatting>
  <conditionalFormatting sqref="G74:G79 C77 C79">
    <cfRule type="cellIs" dxfId="2166" priority="178" stopIfTrue="1" operator="lessThanOrEqual">
      <formula>0</formula>
    </cfRule>
    <cfRule type="cellIs" dxfId="2165" priority="177" stopIfTrue="1" operator="greaterThan">
      <formula>4.5</formula>
    </cfRule>
  </conditionalFormatting>
  <conditionalFormatting sqref="G73:H73">
    <cfRule type="cellIs" dxfId="2164" priority="158" stopIfTrue="1" operator="greaterThan">
      <formula>$F$72</formula>
    </cfRule>
    <cfRule type="cellIs" dxfId="2163" priority="159" stopIfTrue="1" operator="lessThanOrEqual">
      <formula>0</formula>
    </cfRule>
  </conditionalFormatting>
  <conditionalFormatting sqref="H34:H48">
    <cfRule type="cellIs" dxfId="2162" priority="156" stopIfTrue="1" operator="greaterThan">
      <formula>0</formula>
    </cfRule>
  </conditionalFormatting>
  <conditionalFormatting sqref="H52">
    <cfRule type="cellIs" dxfId="2161" priority="11" stopIfTrue="1" operator="greaterThan">
      <formula>$F$72</formula>
    </cfRule>
    <cfRule type="cellIs" dxfId="2160" priority="13" stopIfTrue="1" operator="greaterThan">
      <formula>$F$70</formula>
    </cfRule>
    <cfRule type="cellIs" dxfId="2159" priority="2" stopIfTrue="1" operator="lessThanOrEqual">
      <formula>0</formula>
    </cfRule>
    <cfRule type="cellIs" dxfId="2158" priority="3" stopIfTrue="1" operator="greaterThan">
      <formula>$F$69</formula>
    </cfRule>
    <cfRule type="cellIs" dxfId="2157" priority="12" stopIfTrue="1" operator="lessThanOrEqual">
      <formula>0</formula>
    </cfRule>
    <cfRule type="cellIs" dxfId="2156" priority="14" stopIfTrue="1" operator="lessThanOrEqual">
      <formula>0</formula>
    </cfRule>
  </conditionalFormatting>
  <conditionalFormatting sqref="H53">
    <cfRule type="cellIs" dxfId="2155" priority="97" stopIfTrue="1" operator="greaterThan">
      <formula>#REF!</formula>
    </cfRule>
    <cfRule type="cellIs" dxfId="2154" priority="87" stopIfTrue="1" operator="greaterThan">
      <formula>#REF!</formula>
    </cfRule>
    <cfRule type="cellIs" dxfId="2153" priority="96" stopIfTrue="1" operator="lessThanOrEqual">
      <formula>0</formula>
    </cfRule>
    <cfRule type="cellIs" dxfId="2152" priority="86" stopIfTrue="1" operator="lessThanOrEqual">
      <formula>0</formula>
    </cfRule>
    <cfRule type="cellIs" dxfId="2151" priority="95" stopIfTrue="1" operator="greaterThan">
      <formula>$F$21</formula>
    </cfRule>
    <cfRule type="cellIs" dxfId="2150" priority="98" stopIfTrue="1" operator="lessThanOrEqual">
      <formula>0</formula>
    </cfRule>
  </conditionalFormatting>
  <conditionalFormatting sqref="H54">
    <cfRule type="cellIs" dxfId="2149" priority="63" stopIfTrue="1" operator="greaterThan">
      <formula>$F$63</formula>
    </cfRule>
    <cfRule type="cellIs" dxfId="2148" priority="62" stopIfTrue="1" operator="lessThanOrEqual">
      <formula>0</formula>
    </cfRule>
    <cfRule type="cellIs" dxfId="2147" priority="64" stopIfTrue="1" operator="lessThanOrEqual">
      <formula>0</formula>
    </cfRule>
    <cfRule type="cellIs" dxfId="2146" priority="61" stopIfTrue="1" operator="greaterThan">
      <formula>$F$65</formula>
    </cfRule>
    <cfRule type="cellIs" dxfId="2145" priority="53" stopIfTrue="1" operator="greaterThan">
      <formula>$F$62</formula>
    </cfRule>
    <cfRule type="cellIs" dxfId="2144" priority="52" stopIfTrue="1" operator="lessThanOrEqual">
      <formula>0</formula>
    </cfRule>
  </conditionalFormatting>
  <conditionalFormatting sqref="H55:H56">
    <cfRule type="cellIs" dxfId="2143" priority="83" stopIfTrue="1" operator="greaterThan">
      <formula>#REF!</formula>
    </cfRule>
    <cfRule type="cellIs" dxfId="2142" priority="84" stopIfTrue="1" operator="lessThanOrEqual">
      <formula>0</formula>
    </cfRule>
    <cfRule type="cellIs" dxfId="2141" priority="73" stopIfTrue="1" operator="greaterThan">
      <formula>#REF!</formula>
    </cfRule>
    <cfRule type="cellIs" dxfId="2140" priority="72" stopIfTrue="1" operator="lessThanOrEqual">
      <formula>0</formula>
    </cfRule>
    <cfRule type="cellIs" dxfId="2139" priority="81" stopIfTrue="1" operator="greaterThan">
      <formula>$F$20</formula>
    </cfRule>
    <cfRule type="cellIs" dxfId="2138" priority="82" stopIfTrue="1" operator="lessThanOrEqual">
      <formula>0</formula>
    </cfRule>
  </conditionalFormatting>
  <conditionalFormatting sqref="H57">
    <cfRule type="cellIs" dxfId="2137" priority="104" stopIfTrue="1" operator="greaterThan">
      <formula>$F$33</formula>
    </cfRule>
    <cfRule type="cellIs" dxfId="2136" priority="112" stopIfTrue="1" operator="greaterThan">
      <formula>$F$36</formula>
    </cfRule>
    <cfRule type="cellIs" dxfId="2135" priority="113" stopIfTrue="1" operator="lessThanOrEqual">
      <formula>0</formula>
    </cfRule>
    <cfRule type="cellIs" dxfId="2134" priority="114" stopIfTrue="1" operator="greaterThan">
      <formula>$F$34</formula>
    </cfRule>
    <cfRule type="cellIs" dxfId="2133" priority="115" stopIfTrue="1" operator="lessThanOrEqual">
      <formula>0</formula>
    </cfRule>
    <cfRule type="cellIs" dxfId="2132" priority="103" stopIfTrue="1" operator="lessThanOrEqual">
      <formula>0</formula>
    </cfRule>
  </conditionalFormatting>
  <conditionalFormatting sqref="H61:H68">
    <cfRule type="cellIs" dxfId="2131" priority="136" stopIfTrue="1" operator="lessThanOrEqual">
      <formula>0</formula>
    </cfRule>
    <cfRule type="cellIs" dxfId="2130" priority="135" stopIfTrue="1" operator="greaterThan">
      <formula>$J61</formula>
    </cfRule>
  </conditionalFormatting>
  <conditionalFormatting sqref="H69">
    <cfRule type="cellIs" dxfId="2129" priority="137" operator="greaterThan">
      <formula>5.3</formula>
    </cfRule>
  </conditionalFormatting>
  <conditionalFormatting sqref="H72 H74:H80">
    <cfRule type="cellIs" dxfId="2128" priority="170" stopIfTrue="1" operator="greaterThan">
      <formula>4.5</formula>
    </cfRule>
    <cfRule type="cellIs" dxfId="2127" priority="171" stopIfTrue="1" operator="lessThanOrEqual">
      <formula>0</formula>
    </cfRule>
  </conditionalFormatting>
  <conditionalFormatting sqref="H52:I52">
    <cfRule type="cellIs" dxfId="2126" priority="1" stopIfTrue="1" operator="greaterThan">
      <formula>$F$71</formula>
    </cfRule>
    <cfRule type="cellIs" dxfId="2125" priority="4" stopIfTrue="1" operator="lessThanOrEqual">
      <formula>0</formula>
    </cfRule>
  </conditionalFormatting>
  <conditionalFormatting sqref="H53:I53">
    <cfRule type="cellIs" dxfId="2124" priority="88" stopIfTrue="1" operator="lessThanOrEqual">
      <formula>0</formula>
    </cfRule>
    <cfRule type="cellIs" dxfId="2123" priority="85" stopIfTrue="1" operator="greaterThan">
      <formula>$F$20</formula>
    </cfRule>
  </conditionalFormatting>
  <conditionalFormatting sqref="H54:I54">
    <cfRule type="cellIs" dxfId="2122" priority="54" stopIfTrue="1" operator="lessThanOrEqual">
      <formula>0</formula>
    </cfRule>
    <cfRule type="cellIs" dxfId="2121" priority="51" stopIfTrue="1" operator="greaterThan">
      <formula>$F$64</formula>
    </cfRule>
  </conditionalFormatting>
  <conditionalFormatting sqref="H55:I56">
    <cfRule type="cellIs" dxfId="2120" priority="74" stopIfTrue="1" operator="lessThanOrEqual">
      <formula>0</formula>
    </cfRule>
    <cfRule type="cellIs" dxfId="2119" priority="71" stopIfTrue="1" operator="greaterThan">
      <formula>#REF!</formula>
    </cfRule>
  </conditionalFormatting>
  <conditionalFormatting sqref="H57:I57">
    <cfRule type="cellIs" dxfId="2118" priority="102" stopIfTrue="1" operator="greaterThan">
      <formula>$F$35</formula>
    </cfRule>
    <cfRule type="cellIs" dxfId="2117" priority="105" stopIfTrue="1" operator="lessThanOrEqual">
      <formula>0</formula>
    </cfRule>
  </conditionalFormatting>
  <conditionalFormatting sqref="H70:I70">
    <cfRule type="cellIs" dxfId="2116" priority="127" stopIfTrue="1" operator="greaterThan">
      <formula>$J70</formula>
    </cfRule>
    <cfRule type="cellIs" dxfId="2115" priority="128" stopIfTrue="1" operator="lessThanOrEqual">
      <formula>0</formula>
    </cfRule>
  </conditionalFormatting>
  <conditionalFormatting sqref="I52">
    <cfRule type="cellIs" dxfId="2114" priority="6" stopIfTrue="1" operator="lessThanOrEqual">
      <formula>0</formula>
    </cfRule>
    <cfRule type="cellIs" dxfId="2113" priority="5" stopIfTrue="1" operator="greaterThan">
      <formula>$F$69</formula>
    </cfRule>
    <cfRule type="cellIs" dxfId="2112" priority="10" stopIfTrue="1" operator="lessThanOrEqual">
      <formula>0</formula>
    </cfRule>
    <cfRule type="cellIs" dxfId="2111" priority="9" stopIfTrue="1" operator="greaterThan">
      <formula>$F$69</formula>
    </cfRule>
    <cfRule type="cellIs" dxfId="2110" priority="8" stopIfTrue="1" operator="lessThanOrEqual">
      <formula>0</formula>
    </cfRule>
    <cfRule type="cellIs" dxfId="2109" priority="7" stopIfTrue="1" operator="greaterThan">
      <formula>$F$71</formula>
    </cfRule>
  </conditionalFormatting>
  <conditionalFormatting sqref="I53">
    <cfRule type="cellIs" dxfId="2108" priority="91" stopIfTrue="1" operator="greaterThan">
      <formula>$F$20</formula>
    </cfRule>
    <cfRule type="cellIs" dxfId="2107" priority="92" stopIfTrue="1" operator="lessThanOrEqual">
      <formula>0</formula>
    </cfRule>
    <cfRule type="cellIs" dxfId="2106" priority="94" stopIfTrue="1" operator="lessThanOrEqual">
      <formula>0</formula>
    </cfRule>
    <cfRule type="cellIs" dxfId="2105" priority="93" stopIfTrue="1" operator="greaterThan">
      <formula>#REF!</formula>
    </cfRule>
    <cfRule type="cellIs" dxfId="2104" priority="89" stopIfTrue="1" operator="greaterThan">
      <formula>#REF!</formula>
    </cfRule>
    <cfRule type="cellIs" dxfId="2103" priority="90" stopIfTrue="1" operator="lessThanOrEqual">
      <formula>0</formula>
    </cfRule>
  </conditionalFormatting>
  <conditionalFormatting sqref="I54">
    <cfRule type="cellIs" dxfId="2102" priority="60" stopIfTrue="1" operator="lessThanOrEqual">
      <formula>0</formula>
    </cfRule>
    <cfRule type="cellIs" dxfId="2101" priority="59" stopIfTrue="1" operator="greaterThan">
      <formula>$F$62</formula>
    </cfRule>
    <cfRule type="cellIs" dxfId="2100" priority="58" stopIfTrue="1" operator="lessThanOrEqual">
      <formula>0</formula>
    </cfRule>
    <cfRule type="cellIs" dxfId="2099" priority="57" stopIfTrue="1" operator="greaterThan">
      <formula>$F$64</formula>
    </cfRule>
    <cfRule type="cellIs" dxfId="2098" priority="55" stopIfTrue="1" operator="greaterThan">
      <formula>$F$62</formula>
    </cfRule>
    <cfRule type="cellIs" dxfId="2097" priority="56" stopIfTrue="1" operator="lessThanOrEqual">
      <formula>0</formula>
    </cfRule>
  </conditionalFormatting>
  <conditionalFormatting sqref="I55:I56">
    <cfRule type="cellIs" dxfId="2096" priority="78" stopIfTrue="1" operator="lessThanOrEqual">
      <formula>0</formula>
    </cfRule>
    <cfRule type="cellIs" dxfId="2095" priority="76" stopIfTrue="1" operator="lessThanOrEqual">
      <formula>0</formula>
    </cfRule>
    <cfRule type="cellIs" dxfId="2094" priority="80" stopIfTrue="1" operator="lessThanOrEqual">
      <formula>0</formula>
    </cfRule>
    <cfRule type="cellIs" dxfId="2093" priority="79" stopIfTrue="1" operator="greaterThan">
      <formula>#REF!</formula>
    </cfRule>
    <cfRule type="cellIs" dxfId="2092" priority="75" stopIfTrue="1" operator="greaterThan">
      <formula>#REF!</formula>
    </cfRule>
    <cfRule type="cellIs" dxfId="2091" priority="77" stopIfTrue="1" operator="greaterThan">
      <formula>#REF!</formula>
    </cfRule>
  </conditionalFormatting>
  <conditionalFormatting sqref="I57">
    <cfRule type="cellIs" dxfId="2090" priority="107" stopIfTrue="1" operator="lessThanOrEqual">
      <formula>0</formula>
    </cfRule>
    <cfRule type="cellIs" dxfId="2089" priority="106" stopIfTrue="1" operator="greaterThan">
      <formula>$F$33</formula>
    </cfRule>
    <cfRule type="cellIs" dxfId="2088" priority="108" stopIfTrue="1" operator="greaterThan">
      <formula>$F$35</formula>
    </cfRule>
    <cfRule type="cellIs" dxfId="2087" priority="109" stopIfTrue="1" operator="lessThanOrEqual">
      <formula>0</formula>
    </cfRule>
    <cfRule type="cellIs" dxfId="2086" priority="110" stopIfTrue="1" operator="greaterThan">
      <formula>$F$33</formula>
    </cfRule>
    <cfRule type="cellIs" dxfId="2085" priority="111" stopIfTrue="1" operator="lessThanOrEqual">
      <formula>0</formula>
    </cfRule>
  </conditionalFormatting>
  <conditionalFormatting sqref="I61:I69">
    <cfRule type="cellIs" dxfId="2084" priority="139" stopIfTrue="1" operator="lessThanOrEqual">
      <formula>0</formula>
    </cfRule>
    <cfRule type="cellIs" dxfId="2083" priority="138" stopIfTrue="1" operator="greaterThan">
      <formula>$J61</formula>
    </cfRule>
  </conditionalFormatting>
  <conditionalFormatting sqref="I72:I80">
    <cfRule type="cellIs" dxfId="2082" priority="166" stopIfTrue="1" operator="greaterThan">
      <formula>4.5</formula>
    </cfRule>
    <cfRule type="cellIs" dxfId="2081" priority="167" stopIfTrue="1" operator="lessThanOrEqual">
      <formula>0</formula>
    </cfRule>
  </conditionalFormatting>
  <conditionalFormatting sqref="I10:J20">
    <cfRule type="cellIs" dxfId="2080" priority="44" operator="lessThan">
      <formula>97.9</formula>
    </cfRule>
  </conditionalFormatting>
  <conditionalFormatting sqref="J23:J25">
    <cfRule type="cellIs" dxfId="2079" priority="117" stopIfTrue="1" operator="lessThan">
      <formula>96.8</formula>
    </cfRule>
    <cfRule type="cellIs" dxfId="2078" priority="118" stopIfTrue="1" operator="greaterThan">
      <formula>100</formula>
    </cfRule>
    <cfRule type="cellIs" dxfId="2077" priority="119" operator="lessThan">
      <formula>98</formula>
    </cfRule>
  </conditionalFormatting>
  <conditionalFormatting sqref="J23:J27">
    <cfRule type="cellIs" dxfId="2076" priority="116" operator="lessThan">
      <formula>97.4</formula>
    </cfRule>
  </conditionalFormatting>
  <conditionalFormatting sqref="J28">
    <cfRule type="cellIs" dxfId="2075" priority="120" operator="lessThan">
      <formula>98</formula>
    </cfRule>
  </conditionalFormatting>
  <conditionalFormatting sqref="J30:J31">
    <cfRule type="cellIs" dxfId="2074" priority="121" stopIfTrue="1" operator="lessThan">
      <formula>96.8</formula>
    </cfRule>
    <cfRule type="cellIs" dxfId="2073" priority="122" stopIfTrue="1" operator="greaterThan">
      <formula>100</formula>
    </cfRule>
  </conditionalFormatting>
  <conditionalFormatting sqref="J30:J32">
    <cfRule type="cellIs" dxfId="2072" priority="123" operator="lessThan">
      <formula>98</formula>
    </cfRule>
  </conditionalFormatting>
  <conditionalFormatting sqref="J70">
    <cfRule type="cellIs" dxfId="2071" priority="124" stopIfTrue="1" operator="greaterThan">
      <formula>$F70</formula>
    </cfRule>
    <cfRule type="cellIs" dxfId="2070" priority="125" stopIfTrue="1" operator="lessThanOrEqual">
      <formula>0</formula>
    </cfRule>
  </conditionalFormatting>
  <conditionalFormatting sqref="K10:K20">
    <cfRule type="cellIs" dxfId="2069" priority="47" operator="greaterThan">
      <formula>6.4</formula>
    </cfRule>
    <cfRule type="cellIs" dxfId="2068" priority="46" operator="lessThan">
      <formula>4</formula>
    </cfRule>
    <cfRule type="cellIs" dxfId="2067" priority="45" operator="greaterThan">
      <formula>6</formula>
    </cfRule>
  </conditionalFormatting>
  <conditionalFormatting sqref="K52:K57 K61:N67 K68 M68:N68 K69:N69">
    <cfRule type="cellIs" dxfId="2066" priority="101" stopIfTrue="1" operator="lessThan">
      <formula>100%</formula>
    </cfRule>
  </conditionalFormatting>
  <conditionalFormatting sqref="K72:K77">
    <cfRule type="cellIs" dxfId="2065" priority="172" stopIfTrue="1" operator="lessThan">
      <formula>100%</formula>
    </cfRule>
  </conditionalFormatting>
  <conditionalFormatting sqref="K79:K80">
    <cfRule type="cellIs" dxfId="2064" priority="179" stopIfTrue="1" operator="lessThan">
      <formula>100%</formula>
    </cfRule>
  </conditionalFormatting>
  <conditionalFormatting sqref="L10:M17 L18">
    <cfRule type="cellIs" dxfId="2063" priority="28" operator="greaterThan">
      <formula>65</formula>
    </cfRule>
    <cfRule type="cellIs" dxfId="2062" priority="27" operator="between">
      <formula>61</formula>
      <formula>65</formula>
    </cfRule>
  </conditionalFormatting>
  <conditionalFormatting sqref="L19:M19 L20">
    <cfRule type="cellIs" dxfId="2061" priority="66" operator="greaterThan">
      <formula>65</formula>
    </cfRule>
    <cfRule type="cellIs" dxfId="2060" priority="65" operator="between">
      <formula>61</formula>
      <formula>65</formula>
    </cfRule>
  </conditionalFormatting>
  <conditionalFormatting sqref="L23:M34">
    <cfRule type="cellIs" dxfId="2059" priority="67" operator="lessThan">
      <formula>97.95</formula>
    </cfRule>
  </conditionalFormatting>
  <conditionalFormatting sqref="L38:N38">
    <cfRule type="cellIs" dxfId="2058" priority="68" operator="notEqual">
      <formula>#REF!</formula>
    </cfRule>
  </conditionalFormatting>
  <conditionalFormatting sqref="L70:N70">
    <cfRule type="cellIs" dxfId="2057" priority="126" stopIfTrue="1" operator="lessThan">
      <formula>100%</formula>
    </cfRule>
  </conditionalFormatting>
  <conditionalFormatting sqref="L72:N80">
    <cfRule type="cellIs" dxfId="2056" priority="157" stopIfTrue="1" operator="lessThan">
      <formula>100%</formula>
    </cfRule>
  </conditionalFormatting>
  <conditionalFormatting sqref="M10:M17 G10:H17 H18 M19 G19:H20">
    <cfRule type="expression" dxfId="2055" priority="50">
      <formula>IF(+(IF(G10&lt;#REF!,0,IF(G10&gt;#REF!,0,1)))=0,1)</formula>
    </cfRule>
  </conditionalFormatting>
  <conditionalFormatting sqref="M18">
    <cfRule type="expression" dxfId="2054" priority="25">
      <formula>IF(+(IF(M18&lt;U18,0,IF(M18&gt;V18,0,1)))=0,1)</formula>
    </cfRule>
  </conditionalFormatting>
  <conditionalFormatting sqref="M20:N20">
    <cfRule type="expression" dxfId="2053" priority="187">
      <formula>IF(+(IF(M20&lt;#REF!,0,IF(M20&gt;#REF!,0,1)))=0,1)</formula>
    </cfRule>
  </conditionalFormatting>
  <conditionalFormatting sqref="N10:N19">
    <cfRule type="expression" dxfId="2052" priority="43">
      <formula>IF(+(IF(N10&lt;W10,0,IF(N10&gt;X10,0,1)))=0,1)</formula>
    </cfRule>
  </conditionalFormatting>
  <conditionalFormatting sqref="P6">
    <cfRule type="cellIs" dxfId="2051" priority="153" operator="greaterThanOrEqual">
      <formula>19</formula>
    </cfRule>
  </conditionalFormatting>
  <dataValidations count="1">
    <dataValidation type="list" allowBlank="1" showInputMessage="1" showErrorMessage="1" sqref="R8" xr:uid="{FF445958-F51B-4071-A03F-E85D30775A7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1E61-E38C-4F1B-9EFA-AE1B6C512ED6}">
  <sheetPr>
    <pageSetUpPr fitToPage="1"/>
  </sheetPr>
  <dimension ref="A1:BE78"/>
  <sheetViews>
    <sheetView zoomScale="80" zoomScaleNormal="80" workbookViewId="0">
      <selection activeCell="L55" sqref="L5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45946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571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 t="s">
        <v>9</v>
      </c>
      <c r="C10" s="366" t="str">
        <f>[23]Brewhouse!$A420</f>
        <v>ST397</v>
      </c>
      <c r="D10" s="279">
        <f>[23]Brewhouse!$AD420</f>
        <v>48.2</v>
      </c>
      <c r="E10" s="279">
        <f>[23]Brewhouse!$AG420</f>
        <v>48.6</v>
      </c>
      <c r="F10" s="278">
        <f>[23]Brewhouse!$V420</f>
        <v>60</v>
      </c>
      <c r="G10" s="279">
        <f>[23]Brewhouse!$AE420</f>
        <v>11.7</v>
      </c>
      <c r="H10" s="396">
        <v>11.8</v>
      </c>
      <c r="I10" s="420">
        <f>[23]Brewhouse!$AS420</f>
        <v>94.453686243503554</v>
      </c>
      <c r="J10" s="420">
        <f>[23]Brewhouse!$AT420</f>
        <v>95.262966612684451</v>
      </c>
      <c r="K10" s="281">
        <f>[23]Brewhouse!$Q420</f>
        <v>11.105769230769228</v>
      </c>
      <c r="L10" s="276">
        <f>[23]Brewhouse!$P420</f>
        <v>61</v>
      </c>
      <c r="M10" s="374">
        <f>[23]Brewhouse!$U420-[23]Brewhouse!$T420</f>
        <v>0.11319444444444443</v>
      </c>
      <c r="N10" s="370">
        <f>[23]Brewhouse!$AW420</f>
        <v>0.24583333333333332</v>
      </c>
      <c r="O10" s="421" t="str">
        <f>[23]Brewhouse!$AV420</f>
        <v>R. Regis</v>
      </c>
      <c r="P10" s="583" t="s">
        <v>188</v>
      </c>
      <c r="R10" s="277" t="str">
        <f t="shared" ref="R10:R37" si="0">B10</f>
        <v>STAG</v>
      </c>
      <c r="S10" s="296">
        <f t="shared" ref="S10:S37" si="1">VLOOKUP($B10,$R$3:$X$9,2,FALSE)</f>
        <v>11.6</v>
      </c>
      <c r="T10" s="296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296">
        <f t="shared" ref="Z10:Z37" si="8">VLOOKUP($B10,$R$3:$Z$9,9,FALSE)</f>
        <v>60</v>
      </c>
    </row>
    <row r="11" spans="2:29" ht="15" customHeight="1">
      <c r="B11" s="33" t="s">
        <v>9</v>
      </c>
      <c r="C11" s="366" t="str">
        <f>[23]Brewhouse!$A421</f>
        <v>ST398</v>
      </c>
      <c r="D11" s="279">
        <f>[23]Brewhouse!$AD421</f>
        <v>49.1</v>
      </c>
      <c r="E11" s="279">
        <f>[23]Brewhouse!$AG421</f>
        <v>49.5</v>
      </c>
      <c r="F11" s="278">
        <f>[23]Brewhouse!$V421</f>
        <v>57</v>
      </c>
      <c r="G11" s="279">
        <f>[23]Brewhouse!$AE421</f>
        <v>11.9</v>
      </c>
      <c r="H11" s="396">
        <v>11.7</v>
      </c>
      <c r="I11" s="420">
        <f>[23]Brewhouse!$AS421</f>
        <v>97.933378236938694</v>
      </c>
      <c r="J11" s="420">
        <f>[23]Brewhouse!$AT421</f>
        <v>98.772472650791414</v>
      </c>
      <c r="K11" s="281">
        <f>[23]Brewhouse!$Q421</f>
        <v>10.316698656429942</v>
      </c>
      <c r="L11" s="276">
        <f>[23]Brewhouse!$P421</f>
        <v>60</v>
      </c>
      <c r="M11" s="374">
        <f>[23]Brewhouse!$U421-[23]Brewhouse!$T421</f>
        <v>0.10972222222222217</v>
      </c>
      <c r="N11" s="370">
        <f>[23]Brewhouse!$AW421</f>
        <v>0.25138888888888888</v>
      </c>
      <c r="O11" s="421" t="str">
        <f>[23]Brewhouse!$AV421</f>
        <v>R. Regis</v>
      </c>
      <c r="P11" s="584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33" t="s">
        <v>9</v>
      </c>
      <c r="C12" s="366" t="str">
        <f>[23]Brewhouse!$A422</f>
        <v>ST399</v>
      </c>
      <c r="D12" s="279">
        <f>[23]Brewhouse!$AD422</f>
        <v>48.1</v>
      </c>
      <c r="E12" s="279">
        <f>[23]Brewhouse!$AG422</f>
        <v>47.8</v>
      </c>
      <c r="F12" s="278">
        <f>[23]Brewhouse!$V422</f>
        <v>68</v>
      </c>
      <c r="G12" s="279">
        <f>[23]Brewhouse!$AE422</f>
        <v>12</v>
      </c>
      <c r="H12" s="396">
        <v>11.8</v>
      </c>
      <c r="I12" s="420">
        <f>[23]Brewhouse!$AS422</f>
        <v>95.524482724698444</v>
      </c>
      <c r="J12" s="420">
        <f>[23]Brewhouse!$AT422</f>
        <v>96.342673143943856</v>
      </c>
      <c r="K12" s="281">
        <f>[23]Brewhouse!$Q422</f>
        <v>9.9328214971209157</v>
      </c>
      <c r="L12" s="276">
        <f>[23]Brewhouse!$P422</f>
        <v>60</v>
      </c>
      <c r="M12" s="374">
        <f>[23]Brewhouse!$U422-[23]Brewhouse!$T422</f>
        <v>0.11388888888888882</v>
      </c>
      <c r="N12" s="370">
        <f>[23]Brewhouse!$AW422</f>
        <v>0.24444444444444441</v>
      </c>
      <c r="O12" s="421" t="str">
        <f>[23]Brewhouse!$AV422</f>
        <v>R. Regis</v>
      </c>
      <c r="P12" s="584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33" t="s">
        <v>9</v>
      </c>
      <c r="C13" s="366" t="str">
        <f>[23]Brewhouse!$A423</f>
        <v>ST400</v>
      </c>
      <c r="D13" s="279">
        <f>[23]Brewhouse!$AD423</f>
        <v>50.1</v>
      </c>
      <c r="E13" s="279">
        <f>[23]Brewhouse!$AG423</f>
        <v>50.3</v>
      </c>
      <c r="F13" s="278">
        <f>[23]Brewhouse!$V423</f>
        <v>66</v>
      </c>
      <c r="G13" s="279">
        <f>[23]Brewhouse!$AE423</f>
        <v>11.7</v>
      </c>
      <c r="H13" s="367"/>
      <c r="I13" s="420">
        <f>[23]Brewhouse!$AS423</f>
        <v>98.616972818330652</v>
      </c>
      <c r="J13" s="420">
        <f>[23]Brewhouse!$AT423</f>
        <v>99.459998121935044</v>
      </c>
      <c r="K13" s="281">
        <f>[23]Brewhouse!$Q423</f>
        <v>11.276391554702494</v>
      </c>
      <c r="L13" s="276">
        <f>[23]Brewhouse!$P423</f>
        <v>60</v>
      </c>
      <c r="M13" s="374">
        <f>[23]Brewhouse!$U423-[23]Brewhouse!$T423</f>
        <v>0.11527777777777781</v>
      </c>
      <c r="N13" s="370">
        <f>[23]Brewhouse!$AW423</f>
        <v>0.25069444444444444</v>
      </c>
      <c r="O13" s="421" t="str">
        <f>[23]Brewhouse!$AV423</f>
        <v>R. Regis</v>
      </c>
      <c r="P13" s="585"/>
      <c r="R13" s="277" t="str">
        <f t="shared" ref="R13:R29" si="9">B13</f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9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hidden="1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70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489" t="s">
        <v>35</v>
      </c>
      <c r="E25" s="490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86" t="str">
        <f>J49</f>
        <v>CARIBE</v>
      </c>
      <c r="C26" s="362"/>
      <c r="D26" s="515"/>
      <c r="E26" s="516"/>
      <c r="F26" s="294"/>
      <c r="G26" s="294"/>
      <c r="H26" s="348"/>
      <c r="I26" s="29" t="s">
        <v>6</v>
      </c>
      <c r="J26" s="280"/>
      <c r="K26" s="284">
        <f>COUNTA([22]Brewhouse!$A$823:$A$862,[23]Brewhouse!$A$420:$A$423)</f>
        <v>44</v>
      </c>
      <c r="L26" s="305">
        <f>AVERAGE([22]Brewhouse!$AU$823:$AU$862,[23]Brewhouse!$AS$420:$AS$423)</f>
        <v>97.503161854078598</v>
      </c>
      <c r="M26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$423)</f>
        <v>97.693898421026049</v>
      </c>
      <c r="N26" s="30">
        <v>98</v>
      </c>
      <c r="O26" s="11"/>
      <c r="P26" s="31"/>
      <c r="R26" s="277" t="str">
        <f t="shared" si="9"/>
        <v>CARIBE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87"/>
      <c r="C27" s="362"/>
      <c r="D27" s="517"/>
      <c r="E27" s="518"/>
      <c r="F27" s="294"/>
      <c r="G27" s="294"/>
      <c r="H27" s="348"/>
      <c r="I27" s="33" t="s">
        <v>9</v>
      </c>
      <c r="J27" s="280">
        <f>AVERAGE(I10:I13)</f>
        <v>96.632130005867822</v>
      </c>
      <c r="K27" s="284">
        <f>COUNTA([23]Brewhouse!$A$399:$A$419)</f>
        <v>21</v>
      </c>
      <c r="L27" s="302">
        <f>AVERAGE([23]Brewhouse!$AS$399:$AS$419)</f>
        <v>98.088487780497204</v>
      </c>
      <c r="M27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87"/>
      <c r="C28" s="362"/>
      <c r="D28" s="515"/>
      <c r="E28" s="516"/>
      <c r="F28" s="294"/>
      <c r="G28" s="294"/>
      <c r="H28" s="348"/>
      <c r="I28" s="34" t="s">
        <v>12</v>
      </c>
      <c r="J28" s="280"/>
      <c r="K28" s="284">
        <f>COUNTA([24]Brewhouse!$A$99:$A$106)</f>
        <v>8</v>
      </c>
      <c r="L28" s="302">
        <f>AVERAGE([24]Brewhouse!$AU$99:$AU$106)</f>
        <v>94.823749681896615</v>
      </c>
      <c r="M28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87"/>
      <c r="C29" s="362"/>
      <c r="D29" s="517"/>
      <c r="E29" s="51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87"/>
      <c r="C30" s="362"/>
      <c r="D30" s="515"/>
      <c r="E30" s="51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87"/>
      <c r="C31" s="362"/>
      <c r="D31" s="517"/>
      <c r="E31" s="518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87"/>
      <c r="C32" s="362"/>
      <c r="D32" s="515"/>
      <c r="E32" s="516"/>
      <c r="F32" s="417"/>
      <c r="G32" s="294"/>
      <c r="H32" s="348"/>
      <c r="I32" s="37" t="s">
        <v>16</v>
      </c>
      <c r="J32" s="323"/>
      <c r="K32" s="284"/>
      <c r="L32" s="302"/>
      <c r="M32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2" s="30">
        <v>98</v>
      </c>
      <c r="O32" s="11"/>
      <c r="P32" s="31" t="s">
        <v>41</v>
      </c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87"/>
      <c r="C33" s="362"/>
      <c r="D33" s="517"/>
      <c r="E33" s="518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87"/>
      <c r="C34" s="349"/>
      <c r="D34" s="515"/>
      <c r="E34" s="516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87"/>
      <c r="C35" s="349"/>
      <c r="D35" s="517"/>
      <c r="E35" s="518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87"/>
      <c r="C36" s="349"/>
      <c r="D36" s="515"/>
      <c r="E36" s="516"/>
      <c r="F36" s="294"/>
      <c r="G36" s="294"/>
      <c r="H36" s="348"/>
      <c r="I36" s="1"/>
      <c r="J36" s="39"/>
      <c r="K36" s="404">
        <f>SUM(K26:K35)</f>
        <v>73</v>
      </c>
      <c r="L36" s="405">
        <f>((L26*K26)+(L27*K27)+(L28*K28)+(L29*K29)+(L30*K30)+(K33*L33)+(L31*K31)+(L32*K32)+(L35*K35))/(K36)</f>
        <v>97.377909074316065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97.555741147113409</v>
      </c>
      <c r="N36" s="4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88"/>
      <c r="C37" s="350"/>
      <c r="D37" s="517"/>
      <c r="E37" s="51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62"/>
      <c r="C38" s="362"/>
      <c r="D38" s="528"/>
      <c r="E38" s="529"/>
      <c r="F38" s="294"/>
      <c r="G38" s="42"/>
      <c r="H38" s="41"/>
      <c r="I38" s="42"/>
      <c r="J38" s="563" t="s">
        <v>129</v>
      </c>
      <c r="K38" s="563"/>
      <c r="L38" s="294"/>
      <c r="M38" s="294"/>
      <c r="N38" s="294"/>
      <c r="O38" s="294"/>
      <c r="P38" s="12"/>
    </row>
    <row r="39" spans="1:56" ht="15.75" thickBot="1">
      <c r="B39" s="526"/>
      <c r="C39" s="362"/>
      <c r="D39" s="530"/>
      <c r="E39" s="518"/>
      <c r="F39" s="294"/>
      <c r="G39" s="42"/>
      <c r="H39" s="41"/>
      <c r="I39" s="42"/>
      <c r="J39" s="292" t="s">
        <v>17</v>
      </c>
      <c r="K39" s="293" t="s">
        <v>147</v>
      </c>
      <c r="L39" s="532" t="s">
        <v>136</v>
      </c>
      <c r="M39" s="532"/>
      <c r="N39" s="533"/>
      <c r="O39" s="294"/>
      <c r="P39" s="12"/>
    </row>
    <row r="40" spans="1:56" ht="15" customHeight="1" thickBot="1">
      <c r="B40" s="526"/>
      <c r="C40" s="349"/>
      <c r="D40" s="564"/>
      <c r="E40" s="565"/>
      <c r="F40" s="294"/>
      <c r="G40" s="42"/>
      <c r="H40" s="41"/>
      <c r="I40" s="42"/>
      <c r="J40" s="287" t="s">
        <v>6</v>
      </c>
      <c r="K40" s="324"/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26"/>
      <c r="C41" s="349"/>
      <c r="D41" s="530"/>
      <c r="E41" s="518"/>
      <c r="F41" s="294"/>
      <c r="G41" s="42"/>
      <c r="H41" s="41"/>
      <c r="I41" s="42"/>
      <c r="J41" s="345" t="s">
        <v>9</v>
      </c>
      <c r="K41" s="324">
        <f>COUNTA(C10:C13)</f>
        <v>4</v>
      </c>
      <c r="L41" s="344">
        <f>AVERAGE('Oct. 1st'!K49,,'Oct. 2nd'!K51,'Oct. 3rd'!K46,'Oct. 6th'!K54,Oct.7th!K50,Oct.8th!K48,Oct.9th!K49,Oct.13th!K47,Oct.15th!K50)</f>
        <v>7.3</v>
      </c>
      <c r="M41" s="325">
        <f>AVERAGE('[31]Jan 29th '!$M$70,'[32]Feb 28th'!$L$40,'[33]Mar. 31st'!$L$40,'[34]Apr. 30th'!$L$50,'[35]May 30th'!$L$42,'[36]June 30th'!$L$62,'[37]July 29th '!$L$49,'[38]Aug 29th'!$L$34,'[39]Sept 30th'!$L$40,L41)</f>
        <v>7.0361277776380744</v>
      </c>
      <c r="N41" s="416">
        <v>9.1999999999999993</v>
      </c>
      <c r="O41" s="294"/>
      <c r="P41" s="12"/>
    </row>
    <row r="42" spans="1:56" ht="15" customHeight="1">
      <c r="B42" s="526"/>
      <c r="C42" s="349"/>
      <c r="D42" s="564"/>
      <c r="E42" s="565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6"/>
      <c r="C43" s="349"/>
      <c r="D43" s="530"/>
      <c r="E43" s="518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30"/>
      <c r="E45" s="518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64"/>
      <c r="E46" s="565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6"/>
      <c r="C47" s="350"/>
      <c r="D47" s="566"/>
      <c r="E47" s="567"/>
      <c r="F47" s="294" t="s">
        <v>178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60" t="e">
        <f>AVERAGE(D26:E47)</f>
        <v>#DIV/0!</v>
      </c>
      <c r="E48" s="561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4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0" t="s">
        <v>17</v>
      </c>
      <c r="C53" s="540" t="s">
        <v>44</v>
      </c>
      <c r="D53" s="542" t="s">
        <v>45</v>
      </c>
      <c r="E53" s="497" t="s">
        <v>46</v>
      </c>
      <c r="F53" s="557" t="s">
        <v>47</v>
      </c>
      <c r="G53" s="551" t="s">
        <v>48</v>
      </c>
      <c r="H53" s="540" t="s">
        <v>49</v>
      </c>
      <c r="I53" s="540" t="s">
        <v>50</v>
      </c>
      <c r="J53" s="545" t="s">
        <v>28</v>
      </c>
      <c r="K53" s="495" t="s">
        <v>51</v>
      </c>
      <c r="L53" s="507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1"/>
      <c r="C54" s="541"/>
      <c r="D54" s="543"/>
      <c r="E54" s="544"/>
      <c r="F54" s="558"/>
      <c r="G54" s="552"/>
      <c r="H54" s="559"/>
      <c r="I54" s="559"/>
      <c r="J54" s="546"/>
      <c r="K54" s="555"/>
      <c r="L54" s="556"/>
      <c r="M54" s="546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72" t="str">
        <f>J49</f>
        <v>CARIBE</v>
      </c>
      <c r="C55" s="442">
        <v>45945</v>
      </c>
      <c r="D55" s="443"/>
      <c r="E55" s="444"/>
      <c r="F55" s="445"/>
      <c r="G55" s="445"/>
      <c r="H55" s="462"/>
      <c r="I55" s="462"/>
      <c r="J55" s="449"/>
      <c r="K55" s="450"/>
      <c r="L55" s="471" t="e">
        <f>(((D55+E55)-G55)/(D55+E55))*100</f>
        <v>#DIV/0!</v>
      </c>
      <c r="M55" s="457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58"/>
      <c r="C56" s="431"/>
      <c r="D56" s="432"/>
      <c r="E56" s="433"/>
      <c r="F56" s="434"/>
      <c r="G56" s="435"/>
      <c r="H56" s="429"/>
      <c r="I56" s="429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60" t="str">
        <f>J40</f>
        <v>CARIB</v>
      </c>
      <c r="C57" s="442">
        <v>45945</v>
      </c>
      <c r="D57" s="443"/>
      <c r="E57" s="444"/>
      <c r="F57" s="445"/>
      <c r="G57" s="446"/>
      <c r="H57" s="462"/>
      <c r="I57" s="462"/>
      <c r="J57" s="449"/>
      <c r="K57" s="466"/>
      <c r="L57" s="461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4"/>
      <c r="C58" s="431"/>
      <c r="D58" s="432"/>
      <c r="E58" s="433"/>
      <c r="F58" s="434"/>
      <c r="G58" s="435"/>
      <c r="H58" s="436"/>
      <c r="I58" s="451"/>
      <c r="J58" s="452"/>
      <c r="K58" s="437" t="s">
        <v>41</v>
      </c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2"/>
      <c r="D59" s="443"/>
      <c r="E59" s="444"/>
      <c r="F59" s="445"/>
      <c r="G59" s="446"/>
      <c r="H59" s="447"/>
      <c r="I59" s="448"/>
      <c r="J59" s="449"/>
      <c r="K59" s="450"/>
      <c r="L59" s="455" t="e">
        <f>(((D59+E59)-G59)/(D59+E59))*100</f>
        <v>#DIV/0!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8"/>
      <c r="C60" s="424"/>
      <c r="D60" s="425"/>
      <c r="E60" s="426"/>
      <c r="F60" s="427"/>
      <c r="G60" s="428"/>
      <c r="H60" s="429"/>
      <c r="I60" s="439"/>
      <c r="J60" s="440"/>
      <c r="K60" s="430"/>
      <c r="L60" s="441"/>
      <c r="M60" s="42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5.4280582718020227</v>
      </c>
      <c r="E64" s="76">
        <v>6.3177809295166583</v>
      </c>
      <c r="F64" s="66">
        <v>4.8</v>
      </c>
      <c r="G64" s="65"/>
      <c r="H64" s="76">
        <v>3.6734408432854382</v>
      </c>
      <c r="I64" s="76">
        <v>6.1451990760192619</v>
      </c>
      <c r="J64" s="66">
        <v>4.8</v>
      </c>
      <c r="K64" s="67"/>
      <c r="L64" s="194">
        <v>0.65879609414011675</v>
      </c>
      <c r="M64" s="194">
        <v>0.76418505858469299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3.2967032967032899</v>
      </c>
      <c r="E65" s="76">
        <v>5.7279886212748821</v>
      </c>
      <c r="F65" s="66">
        <v>4.8</v>
      </c>
      <c r="G65" s="65"/>
      <c r="H65" s="76">
        <v>3.5998660810754992</v>
      </c>
      <c r="I65" s="76">
        <v>5.5540404226710187</v>
      </c>
      <c r="J65" s="66">
        <v>4.8</v>
      </c>
      <c r="K65" s="67"/>
      <c r="L65" s="194">
        <v>0.71811851863775211</v>
      </c>
      <c r="M65" s="194">
        <v>0.71659459276745896</v>
      </c>
      <c r="N65" s="68">
        <v>1</v>
      </c>
      <c r="P65" s="69"/>
    </row>
    <row r="66" spans="2:16" ht="15">
      <c r="B66" s="34" t="s">
        <v>40</v>
      </c>
      <c r="C66" s="65"/>
      <c r="D66" s="76">
        <v>9.535333978702802</v>
      </c>
      <c r="E66" s="76">
        <v>11.690789306336304</v>
      </c>
      <c r="F66" s="66">
        <v>5.5</v>
      </c>
      <c r="G66" s="65"/>
      <c r="H66" s="76">
        <v>9.7076284177373999</v>
      </c>
      <c r="I66" s="76">
        <v>12.617010368159198</v>
      </c>
      <c r="J66" s="66">
        <v>5.5</v>
      </c>
      <c r="K66" s="67"/>
      <c r="L66" s="194">
        <v>0.9345</v>
      </c>
      <c r="M66" s="194">
        <v>0.54931804556354924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5.119233255999676</v>
      </c>
      <c r="F67" s="66">
        <v>3.3</v>
      </c>
      <c r="G67" s="65"/>
      <c r="H67" s="76"/>
      <c r="I67" s="76">
        <v>4.4772094679692334</v>
      </c>
      <c r="J67" s="66">
        <v>3.3</v>
      </c>
      <c r="K67" s="67"/>
      <c r="L67" s="194"/>
      <c r="M67" s="194">
        <v>0.80025950292397652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7.3129862357869699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2.0782986950217497</v>
      </c>
      <c r="E70" s="76">
        <v>2.8629317642487306</v>
      </c>
      <c r="F70" s="66">
        <v>3.3</v>
      </c>
      <c r="G70" s="282"/>
      <c r="H70" s="76">
        <v>3.4559849687930924</v>
      </c>
      <c r="I70" s="76">
        <v>4.3478819741669881</v>
      </c>
      <c r="J70" s="66">
        <v>3.3</v>
      </c>
      <c r="K70" s="67"/>
      <c r="L70" s="194">
        <v>0.88859649122807016</v>
      </c>
      <c r="M70" s="194">
        <v>0.85935680751173715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4.2226455727656553</v>
      </c>
      <c r="E73" s="76">
        <v>6.2821217677365402</v>
      </c>
      <c r="F73" s="341">
        <v>5.5</v>
      </c>
      <c r="H73" s="76">
        <v>4.1801884092396104</v>
      </c>
      <c r="I73" s="76">
        <v>6.4623735232525075</v>
      </c>
      <c r="J73" s="341">
        <v>5.5</v>
      </c>
      <c r="L73" s="194">
        <v>0.72820809248554919</v>
      </c>
      <c r="M73" s="194">
        <v>0.7312614969733483</v>
      </c>
      <c r="N73" s="386">
        <v>1</v>
      </c>
    </row>
    <row r="77" spans="2:16">
      <c r="F77" s="315"/>
    </row>
    <row r="78" spans="2:16" ht="15">
      <c r="F78" s="341"/>
    </row>
  </sheetData>
  <mergeCells count="52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P10:P13"/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</mergeCells>
  <conditionalFormatting sqref="B48:B49">
    <cfRule type="cellIs" dxfId="2050" priority="149" operator="notBetween">
      <formula>#REF!</formula>
      <formula>#REF!</formula>
    </cfRule>
  </conditionalFormatting>
  <conditionalFormatting sqref="C52">
    <cfRule type="cellIs" dxfId="2049" priority="181" stopIfTrue="1" operator="greaterThan">
      <formula>100</formula>
    </cfRule>
    <cfRule type="cellIs" dxfId="2048" priority="180" stopIfTrue="1" operator="lessThan">
      <formula>96</formula>
    </cfRule>
  </conditionalFormatting>
  <conditionalFormatting sqref="C64:C68">
    <cfRule type="cellIs" dxfId="2047" priority="130" stopIfTrue="1" operator="lessThanOrEqual">
      <formula>0</formula>
    </cfRule>
  </conditionalFormatting>
  <conditionalFormatting sqref="C64:C72">
    <cfRule type="cellIs" dxfId="2046" priority="129" stopIfTrue="1" operator="greaterThan">
      <formula>$F64</formula>
    </cfRule>
  </conditionalFormatting>
  <conditionalFormatting sqref="C65">
    <cfRule type="cellIs" dxfId="2045" priority="184" stopIfTrue="1" operator="greaterThan">
      <formula>$F64</formula>
    </cfRule>
  </conditionalFormatting>
  <conditionalFormatting sqref="C69">
    <cfRule type="cellIs" dxfId="2044" priority="68" stopIfTrue="1" operator="greaterThan">
      <formula>$F68</formula>
    </cfRule>
    <cfRule type="cellIs" dxfId="2043" priority="67" stopIfTrue="1" operator="lessThanOrEqual">
      <formula>0</formula>
    </cfRule>
  </conditionalFormatting>
  <conditionalFormatting sqref="C75:C79">
    <cfRule type="cellIs" dxfId="2042" priority="172" stopIfTrue="1" operator="lessThanOrEqual">
      <formula>0</formula>
    </cfRule>
  </conditionalFormatting>
  <conditionalFormatting sqref="C76:C79">
    <cfRule type="cellIs" dxfId="2041" priority="171" stopIfTrue="1" operator="greaterThan">
      <formula>$F$75</formula>
    </cfRule>
  </conditionalFormatting>
  <conditionalFormatting sqref="C81">
    <cfRule type="cellIs" dxfId="2040" priority="174" stopIfTrue="1" operator="lessThanOrEqual">
      <formula>0</formula>
    </cfRule>
    <cfRule type="cellIs" dxfId="2039" priority="173" stopIfTrue="1" operator="greaterThan">
      <formula>$F$75</formula>
    </cfRule>
  </conditionalFormatting>
  <conditionalFormatting sqref="C75:D75 D77:D83">
    <cfRule type="cellIs" dxfId="2038" priority="166" stopIfTrue="1" operator="greaterThan">
      <formula>4.5</formula>
    </cfRule>
  </conditionalFormatting>
  <conditionalFormatting sqref="D48:D49">
    <cfRule type="cellIs" dxfId="2037" priority="150" operator="notBetween">
      <formula>#REF!</formula>
      <formula>#REF!</formula>
    </cfRule>
  </conditionalFormatting>
  <conditionalFormatting sqref="D64:D71">
    <cfRule type="cellIs" dxfId="2036" priority="144" stopIfTrue="1" operator="lessThanOrEqual">
      <formula>0</formula>
    </cfRule>
  </conditionalFormatting>
  <conditionalFormatting sqref="D72">
    <cfRule type="cellIs" dxfId="2035" priority="143" stopIfTrue="1" operator="lessThanOrEqual">
      <formula>0</formula>
    </cfRule>
  </conditionalFormatting>
  <conditionalFormatting sqref="D75 D77:D83">
    <cfRule type="cellIs" dxfId="2034" priority="167" stopIfTrue="1" operator="lessThanOrEqual">
      <formula>0</formula>
    </cfRule>
  </conditionalFormatting>
  <conditionalFormatting sqref="D76">
    <cfRule type="cellIs" dxfId="2033" priority="159" stopIfTrue="1" operator="lessThanOrEqual">
      <formula>0</formula>
    </cfRule>
    <cfRule type="cellIs" dxfId="2032" priority="158" stopIfTrue="1" operator="greaterThan">
      <formula>$F$75</formula>
    </cfRule>
  </conditionalFormatting>
  <conditionalFormatting sqref="D64:E73">
    <cfRule type="cellIs" dxfId="2031" priority="127" stopIfTrue="1" operator="greaterThan">
      <formula>$F64</formula>
    </cfRule>
  </conditionalFormatting>
  <conditionalFormatting sqref="D73:E73">
    <cfRule type="cellIs" dxfId="2030" priority="128" stopIfTrue="1" operator="lessThanOrEqual">
      <formula>0</formula>
    </cfRule>
  </conditionalFormatting>
  <conditionalFormatting sqref="E10:E23">
    <cfRule type="cellIs" dxfId="2029" priority="46" operator="lessThan">
      <formula>48</formula>
    </cfRule>
  </conditionalFormatting>
  <conditionalFormatting sqref="E51 E52:F52">
    <cfRule type="cellIs" dxfId="2028" priority="163" stopIfTrue="1" operator="greaterThan">
      <formula>100</formula>
    </cfRule>
  </conditionalFormatting>
  <conditionalFormatting sqref="E52">
    <cfRule type="cellIs" dxfId="2027" priority="161" stopIfTrue="1" operator="greaterThan">
      <formula>100</formula>
    </cfRule>
    <cfRule type="cellIs" dxfId="2026" priority="160" stopIfTrue="1" operator="lessThan">
      <formula>96.8</formula>
    </cfRule>
  </conditionalFormatting>
  <conditionalFormatting sqref="E64:E72">
    <cfRule type="cellIs" dxfId="2025" priority="138" stopIfTrue="1" operator="lessThanOrEqual">
      <formula>0</formula>
    </cfRule>
  </conditionalFormatting>
  <conditionalFormatting sqref="E75:E83">
    <cfRule type="cellIs" dxfId="2024" priority="152" stopIfTrue="1" operator="greaterThan">
      <formula>4.5</formula>
    </cfRule>
    <cfRule type="cellIs" dxfId="2023" priority="153" stopIfTrue="1" operator="lessThanOrEqual">
      <formula>0</formula>
    </cfRule>
  </conditionalFormatting>
  <conditionalFormatting sqref="E52:F52 E51">
    <cfRule type="cellIs" dxfId="2022" priority="162" stopIfTrue="1" operator="lessThan">
      <formula>96.5</formula>
    </cfRule>
  </conditionalFormatting>
  <conditionalFormatting sqref="F10:F23">
    <cfRule type="cellIs" dxfId="2021" priority="47" operator="greaterThan">
      <formula>60</formula>
    </cfRule>
  </conditionalFormatting>
  <conditionalFormatting sqref="F52">
    <cfRule type="cellIs" dxfId="2020" priority="179" stopIfTrue="1" operator="greaterThan">
      <formula>100</formula>
    </cfRule>
    <cfRule type="cellIs" dxfId="2019" priority="178" stopIfTrue="1" operator="lessThan">
      <formula>96.8</formula>
    </cfRule>
  </conditionalFormatting>
  <conditionalFormatting sqref="F73">
    <cfRule type="cellIs" dxfId="2018" priority="139" stopIfTrue="1" operator="greaterThan">
      <formula>$F73</formula>
    </cfRule>
    <cfRule type="cellIs" dxfId="2017" priority="140" stopIfTrue="1" operator="lessThanOrEqual">
      <formula>0</formula>
    </cfRule>
  </conditionalFormatting>
  <conditionalFormatting sqref="F78">
    <cfRule type="cellIs" dxfId="2016" priority="98" stopIfTrue="1" operator="lessThanOrEqual">
      <formula>0</formula>
    </cfRule>
    <cfRule type="cellIs" dxfId="2015" priority="97" stopIfTrue="1" operator="greaterThan">
      <formula>$F78</formula>
    </cfRule>
  </conditionalFormatting>
  <conditionalFormatting sqref="G15:G18 G21">
    <cfRule type="expression" dxfId="2014" priority="38">
      <formula>IF(+(IF(G15&lt;S15,0,IF(G15&gt;T15,0,1)))=0,1)</formula>
    </cfRule>
  </conditionalFormatting>
  <conditionalFormatting sqref="G64:G65 C70:C72">
    <cfRule type="cellIs" dxfId="2013" priority="146" stopIfTrue="1" operator="lessThanOrEqual">
      <formula>0</formula>
    </cfRule>
  </conditionalFormatting>
  <conditionalFormatting sqref="G64:G65">
    <cfRule type="cellIs" dxfId="2012" priority="145" stopIfTrue="1" operator="greaterThan">
      <formula>$F64</formula>
    </cfRule>
    <cfRule type="cellIs" dxfId="2011" priority="132" stopIfTrue="1" operator="lessThanOrEqual">
      <formula>0</formula>
    </cfRule>
    <cfRule type="cellIs" dxfId="2010" priority="131" stopIfTrue="1" operator="greaterThan">
      <formula>$F64</formula>
    </cfRule>
  </conditionalFormatting>
  <conditionalFormatting sqref="G66">
    <cfRule type="cellIs" dxfId="2009" priority="182" stopIfTrue="1" operator="greaterThan">
      <formula>$F65</formula>
    </cfRule>
    <cfRule type="cellIs" dxfId="2008" priority="183" stopIfTrue="1" operator="lessThanOrEqual">
      <formula>0</formula>
    </cfRule>
  </conditionalFormatting>
  <conditionalFormatting sqref="G67">
    <cfRule type="cellIs" dxfId="2007" priority="142" stopIfTrue="1" operator="lessThanOrEqual">
      <formula>0</formula>
    </cfRule>
    <cfRule type="cellIs" dxfId="2006" priority="141" stopIfTrue="1" operator="greaterThan">
      <formula>$F67</formula>
    </cfRule>
  </conditionalFormatting>
  <conditionalFormatting sqref="G68:G72">
    <cfRule type="cellIs" dxfId="2005" priority="147" stopIfTrue="1" operator="greaterThan">
      <formula>$J68</formula>
    </cfRule>
    <cfRule type="cellIs" dxfId="2004" priority="148" stopIfTrue="1" operator="lessThanOrEqual">
      <formula>0</formula>
    </cfRule>
  </conditionalFormatting>
  <conditionalFormatting sqref="G77:G82 C80 C82">
    <cfRule type="cellIs" dxfId="2003" priority="176" stopIfTrue="1" operator="lessThanOrEqual">
      <formula>0</formula>
    </cfRule>
    <cfRule type="cellIs" dxfId="2002" priority="175" stopIfTrue="1" operator="greaterThan">
      <formula>4.5</formula>
    </cfRule>
  </conditionalFormatting>
  <conditionalFormatting sqref="G76:H76">
    <cfRule type="cellIs" dxfId="2001" priority="156" stopIfTrue="1" operator="greaterThan">
      <formula>$F$75</formula>
    </cfRule>
    <cfRule type="cellIs" dxfId="2000" priority="157" stopIfTrue="1" operator="lessThanOrEqual">
      <formula>0</formula>
    </cfRule>
  </conditionalFormatting>
  <conditionalFormatting sqref="H37:H51">
    <cfRule type="cellIs" dxfId="1999" priority="154" stopIfTrue="1" operator="greaterThan">
      <formula>0</formula>
    </cfRule>
  </conditionalFormatting>
  <conditionalFormatting sqref="H55">
    <cfRule type="cellIs" dxfId="1998" priority="36" stopIfTrue="1" operator="lessThanOrEqual">
      <formula>0</formula>
    </cfRule>
    <cfRule type="cellIs" dxfId="1997" priority="35" stopIfTrue="1" operator="greaterThan">
      <formula>$F$73</formula>
    </cfRule>
    <cfRule type="cellIs" dxfId="1996" priority="34" stopIfTrue="1" operator="lessThanOrEqual">
      <formula>0</formula>
    </cfRule>
    <cfRule type="cellIs" dxfId="1995" priority="33" stopIfTrue="1" operator="greaterThan">
      <formula>$F$75</formula>
    </cfRule>
    <cfRule type="cellIs" dxfId="1994" priority="25" stopIfTrue="1" operator="greaterThan">
      <formula>$F$72</formula>
    </cfRule>
    <cfRule type="cellIs" dxfId="1993" priority="24" stopIfTrue="1" operator="lessThanOrEqual">
      <formula>0</formula>
    </cfRule>
  </conditionalFormatting>
  <conditionalFormatting sqref="H56">
    <cfRule type="cellIs" dxfId="1992" priority="93" stopIfTrue="1" operator="greaterThan">
      <formula>$F$24</formula>
    </cfRule>
    <cfRule type="cellIs" dxfId="1991" priority="84" stopIfTrue="1" operator="lessThanOrEqual">
      <formula>0</formula>
    </cfRule>
    <cfRule type="cellIs" dxfId="1990" priority="85" stopIfTrue="1" operator="greaterThan">
      <formula>#REF!</formula>
    </cfRule>
    <cfRule type="cellIs" dxfId="1989" priority="94" stopIfTrue="1" operator="lessThanOrEqual">
      <formula>0</formula>
    </cfRule>
    <cfRule type="cellIs" dxfId="1988" priority="95" stopIfTrue="1" operator="greaterThan">
      <formula>#REF!</formula>
    </cfRule>
    <cfRule type="cellIs" dxfId="1987" priority="96" stopIfTrue="1" operator="lessThanOrEqual">
      <formula>0</formula>
    </cfRule>
  </conditionalFormatting>
  <conditionalFormatting sqref="H57">
    <cfRule type="cellIs" dxfId="1986" priority="62" stopIfTrue="1" operator="lessThanOrEqual">
      <formula>0</formula>
    </cfRule>
    <cfRule type="cellIs" dxfId="1985" priority="61" stopIfTrue="1" operator="greaterThan">
      <formula>$F$66</formula>
    </cfRule>
    <cfRule type="cellIs" dxfId="1984" priority="50" stopIfTrue="1" operator="lessThanOrEqual">
      <formula>0</formula>
    </cfRule>
    <cfRule type="cellIs" dxfId="1983" priority="51" stopIfTrue="1" operator="greaterThan">
      <formula>$F$65</formula>
    </cfRule>
    <cfRule type="cellIs" dxfId="1982" priority="59" stopIfTrue="1" operator="greaterThan">
      <formula>$F$68</formula>
    </cfRule>
    <cfRule type="cellIs" dxfId="1981" priority="60" stopIfTrue="1" operator="lessThanOrEqual">
      <formula>0</formula>
    </cfRule>
  </conditionalFormatting>
  <conditionalFormatting sqref="H58:H59">
    <cfRule type="cellIs" dxfId="1980" priority="82" stopIfTrue="1" operator="lessThanOrEqual">
      <formula>0</formula>
    </cfRule>
    <cfRule type="cellIs" dxfId="1979" priority="81" stopIfTrue="1" operator="greaterThan">
      <formula>#REF!</formula>
    </cfRule>
    <cfRule type="cellIs" dxfId="1978" priority="80" stopIfTrue="1" operator="lessThanOrEqual">
      <formula>0</formula>
    </cfRule>
    <cfRule type="cellIs" dxfId="1977" priority="79" stopIfTrue="1" operator="greaterThan">
      <formula>$F$23</formula>
    </cfRule>
    <cfRule type="cellIs" dxfId="1976" priority="71" stopIfTrue="1" operator="greaterThan">
      <formula>#REF!</formula>
    </cfRule>
    <cfRule type="cellIs" dxfId="1975" priority="70" stopIfTrue="1" operator="lessThanOrEqual">
      <formula>0</formula>
    </cfRule>
  </conditionalFormatting>
  <conditionalFormatting sqref="H60">
    <cfRule type="cellIs" dxfId="1974" priority="101" stopIfTrue="1" operator="lessThanOrEqual">
      <formula>0</formula>
    </cfRule>
    <cfRule type="cellIs" dxfId="1973" priority="102" stopIfTrue="1" operator="greaterThan">
      <formula>$F$36</formula>
    </cfRule>
    <cfRule type="cellIs" dxfId="1972" priority="113" stopIfTrue="1" operator="lessThanOrEqual">
      <formula>0</formula>
    </cfRule>
    <cfRule type="cellIs" dxfId="1971" priority="112" stopIfTrue="1" operator="greaterThan">
      <formula>$F$37</formula>
    </cfRule>
    <cfRule type="cellIs" dxfId="1970" priority="111" stopIfTrue="1" operator="lessThanOrEqual">
      <formula>0</formula>
    </cfRule>
    <cfRule type="cellIs" dxfId="1969" priority="110" stopIfTrue="1" operator="greaterThan">
      <formula>$F$39</formula>
    </cfRule>
  </conditionalFormatting>
  <conditionalFormatting sqref="H64:H71">
    <cfRule type="cellIs" dxfId="1968" priority="133" stopIfTrue="1" operator="greaterThan">
      <formula>$J64</formula>
    </cfRule>
    <cfRule type="cellIs" dxfId="1967" priority="134" stopIfTrue="1" operator="lessThanOrEqual">
      <formula>0</formula>
    </cfRule>
  </conditionalFormatting>
  <conditionalFormatting sqref="H72">
    <cfRule type="cellIs" dxfId="1966" priority="135" operator="greaterThan">
      <formula>5.3</formula>
    </cfRule>
  </conditionalFormatting>
  <conditionalFormatting sqref="H75 H77:H83">
    <cfRule type="cellIs" dxfId="1965" priority="169" stopIfTrue="1" operator="lessThanOrEqual">
      <formula>0</formula>
    </cfRule>
    <cfRule type="cellIs" dxfId="1964" priority="168" stopIfTrue="1" operator="greaterThan">
      <formula>4.5</formula>
    </cfRule>
  </conditionalFormatting>
  <conditionalFormatting sqref="H55:I55">
    <cfRule type="cellIs" dxfId="1963" priority="23" stopIfTrue="1" operator="greaterThan">
      <formula>$F$74</formula>
    </cfRule>
    <cfRule type="cellIs" dxfId="1962" priority="26" stopIfTrue="1" operator="lessThanOrEqual">
      <formula>0</formula>
    </cfRule>
  </conditionalFormatting>
  <conditionalFormatting sqref="H56:I56">
    <cfRule type="cellIs" dxfId="1961" priority="83" stopIfTrue="1" operator="greaterThan">
      <formula>$F$23</formula>
    </cfRule>
    <cfRule type="cellIs" dxfId="1960" priority="86" stopIfTrue="1" operator="lessThanOrEqual">
      <formula>0</formula>
    </cfRule>
  </conditionalFormatting>
  <conditionalFormatting sqref="H57:I57">
    <cfRule type="cellIs" dxfId="1959" priority="49" stopIfTrue="1" operator="greaterThan">
      <formula>$F$67</formula>
    </cfRule>
    <cfRule type="cellIs" dxfId="1958" priority="52" stopIfTrue="1" operator="lessThanOrEqual">
      <formula>0</formula>
    </cfRule>
  </conditionalFormatting>
  <conditionalFormatting sqref="H58:I59">
    <cfRule type="cellIs" dxfId="1957" priority="72" stopIfTrue="1" operator="lessThanOrEqual">
      <formula>0</formula>
    </cfRule>
    <cfRule type="cellIs" dxfId="1956" priority="69" stopIfTrue="1" operator="greaterThan">
      <formula>#REF!</formula>
    </cfRule>
  </conditionalFormatting>
  <conditionalFormatting sqref="H60:I60">
    <cfRule type="cellIs" dxfId="1955" priority="100" stopIfTrue="1" operator="greaterThan">
      <formula>$F$38</formula>
    </cfRule>
    <cfRule type="cellIs" dxfId="1954" priority="103" stopIfTrue="1" operator="lessThanOrEqual">
      <formula>0</formula>
    </cfRule>
  </conditionalFormatting>
  <conditionalFormatting sqref="H73:I73">
    <cfRule type="cellIs" dxfId="1953" priority="126" stopIfTrue="1" operator="lessThanOrEqual">
      <formula>0</formula>
    </cfRule>
    <cfRule type="cellIs" dxfId="1952" priority="125" stopIfTrue="1" operator="greaterThan">
      <formula>$J73</formula>
    </cfRule>
  </conditionalFormatting>
  <conditionalFormatting sqref="I55">
    <cfRule type="cellIs" dxfId="1951" priority="27" stopIfTrue="1" operator="greaterThan">
      <formula>$F$72</formula>
    </cfRule>
    <cfRule type="cellIs" dxfId="1950" priority="28" stopIfTrue="1" operator="lessThanOrEqual">
      <formula>0</formula>
    </cfRule>
    <cfRule type="cellIs" dxfId="1949" priority="32" stopIfTrue="1" operator="lessThanOrEqual">
      <formula>0</formula>
    </cfRule>
    <cfRule type="cellIs" dxfId="1948" priority="31" stopIfTrue="1" operator="greaterThan">
      <formula>$F$72</formula>
    </cfRule>
    <cfRule type="cellIs" dxfId="1947" priority="30" stopIfTrue="1" operator="lessThanOrEqual">
      <formula>0</formula>
    </cfRule>
    <cfRule type="cellIs" dxfId="1946" priority="29" stopIfTrue="1" operator="greaterThan">
      <formula>$F$74</formula>
    </cfRule>
  </conditionalFormatting>
  <conditionalFormatting sqref="I56">
    <cfRule type="cellIs" dxfId="1945" priority="91" stopIfTrue="1" operator="greaterThan">
      <formula>#REF!</formula>
    </cfRule>
    <cfRule type="cellIs" dxfId="1944" priority="92" stopIfTrue="1" operator="lessThanOrEqual">
      <formula>0</formula>
    </cfRule>
    <cfRule type="cellIs" dxfId="1943" priority="87" stopIfTrue="1" operator="greaterThan">
      <formula>#REF!</formula>
    </cfRule>
    <cfRule type="cellIs" dxfId="1942" priority="88" stopIfTrue="1" operator="lessThanOrEqual">
      <formula>0</formula>
    </cfRule>
    <cfRule type="cellIs" dxfId="1941" priority="89" stopIfTrue="1" operator="greaterThan">
      <formula>$F$23</formula>
    </cfRule>
    <cfRule type="cellIs" dxfId="1940" priority="90" stopIfTrue="1" operator="lessThanOrEqual">
      <formula>0</formula>
    </cfRule>
  </conditionalFormatting>
  <conditionalFormatting sqref="I57">
    <cfRule type="cellIs" dxfId="1939" priority="53" stopIfTrue="1" operator="greaterThan">
      <formula>$F$65</formula>
    </cfRule>
    <cfRule type="cellIs" dxfId="1938" priority="58" stopIfTrue="1" operator="lessThanOrEqual">
      <formula>0</formula>
    </cfRule>
    <cfRule type="cellIs" dxfId="1937" priority="57" stopIfTrue="1" operator="greaterThan">
      <formula>$F$65</formula>
    </cfRule>
    <cfRule type="cellIs" dxfId="1936" priority="56" stopIfTrue="1" operator="lessThanOrEqual">
      <formula>0</formula>
    </cfRule>
    <cfRule type="cellIs" dxfId="1935" priority="55" stopIfTrue="1" operator="greaterThan">
      <formula>$F$67</formula>
    </cfRule>
    <cfRule type="cellIs" dxfId="1934" priority="54" stopIfTrue="1" operator="lessThanOrEqual">
      <formula>0</formula>
    </cfRule>
  </conditionalFormatting>
  <conditionalFormatting sqref="I58:I59">
    <cfRule type="cellIs" dxfId="1933" priority="73" stopIfTrue="1" operator="greaterThan">
      <formula>#REF!</formula>
    </cfRule>
    <cfRule type="cellIs" dxfId="1932" priority="74" stopIfTrue="1" operator="lessThanOrEqual">
      <formula>0</formula>
    </cfRule>
    <cfRule type="cellIs" dxfId="1931" priority="75" stopIfTrue="1" operator="greaterThan">
      <formula>#REF!</formula>
    </cfRule>
    <cfRule type="cellIs" dxfId="1930" priority="76" stopIfTrue="1" operator="lessThanOrEqual">
      <formula>0</formula>
    </cfRule>
    <cfRule type="cellIs" dxfId="1929" priority="77" stopIfTrue="1" operator="greaterThan">
      <formula>#REF!</formula>
    </cfRule>
    <cfRule type="cellIs" dxfId="1928" priority="78" stopIfTrue="1" operator="lessThanOrEqual">
      <formula>0</formula>
    </cfRule>
  </conditionalFormatting>
  <conditionalFormatting sqref="I60">
    <cfRule type="cellIs" dxfId="1927" priority="109" stopIfTrue="1" operator="lessThanOrEqual">
      <formula>0</formula>
    </cfRule>
    <cfRule type="cellIs" dxfId="1926" priority="108" stopIfTrue="1" operator="greaterThan">
      <formula>$F$36</formula>
    </cfRule>
    <cfRule type="cellIs" dxfId="1925" priority="107" stopIfTrue="1" operator="lessThanOrEqual">
      <formula>0</formula>
    </cfRule>
    <cfRule type="cellIs" dxfId="1924" priority="106" stopIfTrue="1" operator="greaterThan">
      <formula>$F$38</formula>
    </cfRule>
    <cfRule type="cellIs" dxfId="1923" priority="105" stopIfTrue="1" operator="lessThanOrEqual">
      <formula>0</formula>
    </cfRule>
    <cfRule type="cellIs" dxfId="1922" priority="104" stopIfTrue="1" operator="greaterThan">
      <formula>$F$36</formula>
    </cfRule>
  </conditionalFormatting>
  <conditionalFormatting sqref="I64:I72">
    <cfRule type="cellIs" dxfId="1921" priority="137" stopIfTrue="1" operator="lessThanOrEqual">
      <formula>0</formula>
    </cfRule>
    <cfRule type="cellIs" dxfId="1920" priority="136" stopIfTrue="1" operator="greaterThan">
      <formula>$J64</formula>
    </cfRule>
  </conditionalFormatting>
  <conditionalFormatting sqref="I75:I83">
    <cfRule type="cellIs" dxfId="1919" priority="164" stopIfTrue="1" operator="greaterThan">
      <formula>4.5</formula>
    </cfRule>
    <cfRule type="cellIs" dxfId="1918" priority="165" stopIfTrue="1" operator="lessThanOrEqual">
      <formula>0</formula>
    </cfRule>
  </conditionalFormatting>
  <conditionalFormatting sqref="I10:J23">
    <cfRule type="cellIs" dxfId="1917" priority="42" operator="lessThan">
      <formula>97.9</formula>
    </cfRule>
  </conditionalFormatting>
  <conditionalFormatting sqref="J26:J28">
    <cfRule type="cellIs" dxfId="1916" priority="115" stopIfTrue="1" operator="lessThan">
      <formula>96.8</formula>
    </cfRule>
    <cfRule type="cellIs" dxfId="1915" priority="116" stopIfTrue="1" operator="greaterThan">
      <formula>100</formula>
    </cfRule>
    <cfRule type="cellIs" dxfId="1914" priority="117" operator="lessThan">
      <formula>98</formula>
    </cfRule>
  </conditionalFormatting>
  <conditionalFormatting sqref="J26:J30">
    <cfRule type="cellIs" dxfId="1913" priority="114" operator="lessThan">
      <formula>97.4</formula>
    </cfRule>
  </conditionalFormatting>
  <conditionalFormatting sqref="J31">
    <cfRule type="cellIs" dxfId="1912" priority="118" operator="lessThan">
      <formula>98</formula>
    </cfRule>
  </conditionalFormatting>
  <conditionalFormatting sqref="J33:J34">
    <cfRule type="cellIs" dxfId="1911" priority="119" stopIfTrue="1" operator="lessThan">
      <formula>96.8</formula>
    </cfRule>
    <cfRule type="cellIs" dxfId="1910" priority="120" stopIfTrue="1" operator="greaterThan">
      <formula>100</formula>
    </cfRule>
  </conditionalFormatting>
  <conditionalFormatting sqref="J33:J35">
    <cfRule type="cellIs" dxfId="1909" priority="121" operator="lessThan">
      <formula>98</formula>
    </cfRule>
  </conditionalFormatting>
  <conditionalFormatting sqref="J73">
    <cfRule type="cellIs" dxfId="1908" priority="122" stopIfTrue="1" operator="greaterThan">
      <formula>$F73</formula>
    </cfRule>
    <cfRule type="cellIs" dxfId="1907" priority="123" stopIfTrue="1" operator="lessThanOrEqual">
      <formula>0</formula>
    </cfRule>
  </conditionalFormatting>
  <conditionalFormatting sqref="K10:K23">
    <cfRule type="cellIs" dxfId="1906" priority="45" operator="greaterThan">
      <formula>6.4</formula>
    </cfRule>
    <cfRule type="cellIs" dxfId="1905" priority="44" operator="lessThan">
      <formula>4</formula>
    </cfRule>
    <cfRule type="cellIs" dxfId="1904" priority="43" operator="greaterThan">
      <formula>6</formula>
    </cfRule>
  </conditionalFormatting>
  <conditionalFormatting sqref="K55:K60 K64:N70 K71 M71:N71 K72:N72">
    <cfRule type="cellIs" dxfId="1903" priority="99" stopIfTrue="1" operator="lessThan">
      <formula>100%</formula>
    </cfRule>
  </conditionalFormatting>
  <conditionalFormatting sqref="K75:K80">
    <cfRule type="cellIs" dxfId="1902" priority="170" stopIfTrue="1" operator="lessThan">
      <formula>100%</formula>
    </cfRule>
  </conditionalFormatting>
  <conditionalFormatting sqref="K82:K83">
    <cfRule type="cellIs" dxfId="1901" priority="177" stopIfTrue="1" operator="lessThan">
      <formula>100%</formula>
    </cfRule>
  </conditionalFormatting>
  <conditionalFormatting sqref="L15:L18">
    <cfRule type="cellIs" dxfId="1900" priority="12" operator="greaterThan">
      <formula>65</formula>
    </cfRule>
    <cfRule type="cellIs" dxfId="1899" priority="11" operator="between">
      <formula>61</formula>
      <formula>65</formula>
    </cfRule>
  </conditionalFormatting>
  <conditionalFormatting sqref="L10:M14 L19:M20 L21">
    <cfRule type="cellIs" dxfId="1898" priority="39" operator="between">
      <formula>61</formula>
      <formula>65</formula>
    </cfRule>
    <cfRule type="cellIs" dxfId="1897" priority="40" operator="greaterThan">
      <formula>65</formula>
    </cfRule>
  </conditionalFormatting>
  <conditionalFormatting sqref="L22:M22 L23">
    <cfRule type="cellIs" dxfId="1896" priority="64" operator="greaterThan">
      <formula>65</formula>
    </cfRule>
    <cfRule type="cellIs" dxfId="1895" priority="63" operator="between">
      <formula>61</formula>
      <formula>65</formula>
    </cfRule>
  </conditionalFormatting>
  <conditionalFormatting sqref="L26:M37">
    <cfRule type="cellIs" dxfId="1894" priority="65" operator="lessThan">
      <formula>97.95</formula>
    </cfRule>
  </conditionalFormatting>
  <conditionalFormatting sqref="L41:N41">
    <cfRule type="cellIs" dxfId="1893" priority="66" operator="notEqual">
      <formula>#REF!</formula>
    </cfRule>
  </conditionalFormatting>
  <conditionalFormatting sqref="L73:N73">
    <cfRule type="cellIs" dxfId="1892" priority="124" stopIfTrue="1" operator="lessThan">
      <formula>100%</formula>
    </cfRule>
  </conditionalFormatting>
  <conditionalFormatting sqref="L75:N83">
    <cfRule type="cellIs" dxfId="1891" priority="155" stopIfTrue="1" operator="lessThan">
      <formula>100%</formula>
    </cfRule>
  </conditionalFormatting>
  <conditionalFormatting sqref="M10:M14 M19:M20 G10:H14 H15:H18 G19:H20 H21 M22 G22:H23">
    <cfRule type="expression" dxfId="1890" priority="48">
      <formula>IF(+(IF(G10&lt;#REF!,0,IF(G10&gt;#REF!,0,1)))=0,1)</formula>
    </cfRule>
  </conditionalFormatting>
  <conditionalFormatting sqref="M15:M18 M21">
    <cfRule type="expression" dxfId="1889" priority="37">
      <formula>IF(+(IF(M15&lt;U15,0,IF(M15&gt;V15,0,1)))=0,1)</formula>
    </cfRule>
  </conditionalFormatting>
  <conditionalFormatting sqref="M23:N23">
    <cfRule type="expression" dxfId="1888" priority="185">
      <formula>IF(+(IF(M23&lt;#REF!,0,IF(M23&gt;#REF!,0,1)))=0,1)</formula>
    </cfRule>
  </conditionalFormatting>
  <conditionalFormatting sqref="N10:N22">
    <cfRule type="expression" dxfId="1887" priority="41">
      <formula>IF(+(IF(N10&lt;W10,0,IF(N10&gt;X10,0,1)))=0,1)</formula>
    </cfRule>
  </conditionalFormatting>
  <conditionalFormatting sqref="P6">
    <cfRule type="cellIs" dxfId="1886" priority="151" operator="greaterThanOrEqual">
      <formula>19</formula>
    </cfRule>
  </conditionalFormatting>
  <dataValidations count="1">
    <dataValidation type="list" allowBlank="1" showInputMessage="1" showErrorMessage="1" sqref="R8" xr:uid="{45DB5081-AAF4-49F5-B133-9DB1CF6510D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B81E-AE2B-48B7-98FF-0DAB648F3327}">
  <sheetPr>
    <pageSetUpPr fitToPage="1"/>
  </sheetPr>
  <dimension ref="A1:BE78"/>
  <sheetViews>
    <sheetView topLeftCell="A8" zoomScale="80" zoomScaleNormal="80" workbookViewId="0">
      <selection activeCell="B13" sqref="B13:O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45947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[22]Brewhouse!$A867</f>
        <v>CA753</v>
      </c>
      <c r="D10" s="279">
        <f>[22]Brewhouse!$AF867</f>
        <v>49.1</v>
      </c>
      <c r="E10" s="279">
        <f>[22]Brewhouse!$AI867</f>
        <v>50</v>
      </c>
      <c r="F10" s="278">
        <f>[22]Brewhouse!$V867</f>
        <v>65</v>
      </c>
      <c r="G10" s="279">
        <f>[22]Brewhouse!AG867</f>
        <v>11.5</v>
      </c>
      <c r="H10" s="396">
        <v>11.7</v>
      </c>
      <c r="I10" s="368">
        <f>[22]Brewhouse!$AU867</f>
        <v>94.972542354638222</v>
      </c>
      <c r="J10" s="368">
        <f>[22]Brewhouse!$AV867</f>
        <v>95.934703591257232</v>
      </c>
      <c r="K10" s="281">
        <f>[22]Brewhouse!$Q867</f>
        <v>8.7169811320754675</v>
      </c>
      <c r="L10" s="276">
        <f>[22]Brewhouse!$P867</f>
        <v>61</v>
      </c>
      <c r="M10" s="397">
        <f>[22]Brewhouse!$U867-[22]Brewhouse!$T867</f>
        <v>0.12013888888888891</v>
      </c>
      <c r="N10" s="370">
        <f>[22]Brewhouse!$Z867</f>
        <v>0.27222222222222225</v>
      </c>
      <c r="O10" s="421" t="str">
        <f>[22]Brewhouse!$AX867</f>
        <v>R. Regis</v>
      </c>
      <c r="P10" s="418" t="s">
        <v>189</v>
      </c>
      <c r="R10" s="277" t="str">
        <f t="shared" ref="R10:R19" si="0">B10</f>
        <v>CARIB</v>
      </c>
      <c r="S10" s="296">
        <f t="shared" ref="S10:S37" si="1">VLOOKUP($B10,$R$3:$X$9,2,FALSE)</f>
        <v>11.6</v>
      </c>
      <c r="T10" s="296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296">
        <f t="shared" ref="Z10:Z37" si="8">VLOOKUP($B10,$R$3:$Z$9,9,FALSE)</f>
        <v>60</v>
      </c>
    </row>
    <row r="11" spans="2:29" ht="15" customHeight="1">
      <c r="B11" s="29" t="s">
        <v>6</v>
      </c>
      <c r="C11" s="366" t="str">
        <f>[22]Brewhouse!$A868</f>
        <v>CA754</v>
      </c>
      <c r="D11" s="279">
        <f>[22]Brewhouse!$AF868</f>
        <v>52.8</v>
      </c>
      <c r="E11" s="279">
        <f>[22]Brewhouse!$AI868</f>
        <v>51.8</v>
      </c>
      <c r="F11" s="278">
        <f>[22]Brewhouse!$V868</f>
        <v>67</v>
      </c>
      <c r="G11" s="279">
        <f>[22]Brewhouse!AG868</f>
        <v>11.6</v>
      </c>
      <c r="H11" s="396">
        <v>11.9</v>
      </c>
      <c r="I11" s="368">
        <f>[22]Brewhouse!$AU868</f>
        <v>98.197776374125141</v>
      </c>
      <c r="J11" s="368">
        <f>[22]Brewhouse!$AV868</f>
        <v>99.193330717569566</v>
      </c>
      <c r="K11" s="281">
        <f>[22]Brewhouse!$Q868</f>
        <v>3.6158192090395511</v>
      </c>
      <c r="L11" s="276">
        <f>[22]Brewhouse!$P868</f>
        <v>60</v>
      </c>
      <c r="M11" s="397">
        <f>[22]Brewhouse!$U868-[22]Brewhouse!$T868</f>
        <v>0.1118055555555556</v>
      </c>
      <c r="N11" s="370">
        <f>[22]Brewhouse!$Z868</f>
        <v>0.24652777777777779</v>
      </c>
      <c r="O11" s="421" t="str">
        <f>[22]Brewhouse!$AX868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[22]Brewhouse!$A869</f>
        <v>CA755</v>
      </c>
      <c r="D12" s="279">
        <f>[22]Brewhouse!$AF869</f>
        <v>51.7</v>
      </c>
      <c r="E12" s="279">
        <f>[22]Brewhouse!$AI869</f>
        <v>50.4</v>
      </c>
      <c r="F12" s="278">
        <f>[22]Brewhouse!$V869</f>
        <v>60</v>
      </c>
      <c r="G12" s="279">
        <f>[22]Brewhouse!AG869</f>
        <v>11.7</v>
      </c>
      <c r="H12" s="396">
        <v>11.7</v>
      </c>
      <c r="I12" s="368">
        <f>[22]Brewhouse!$AU869</f>
        <v>96.766626486749658</v>
      </c>
      <c r="J12" s="368">
        <f>[22]Brewhouse!$AV869</f>
        <v>97.747437210982426</v>
      </c>
      <c r="K12" s="281">
        <f>[22]Brewhouse!$Q869</f>
        <v>3.8113207547169736</v>
      </c>
      <c r="L12" s="276">
        <f>[22]Brewhouse!$P869</f>
        <v>61</v>
      </c>
      <c r="M12" s="397">
        <f>[22]Brewhouse!$U869-[22]Brewhouse!$T869</f>
        <v>0.10555555555555562</v>
      </c>
      <c r="N12" s="370">
        <f>[22]Brewhouse!$Z869</f>
        <v>0.2416666666666667</v>
      </c>
      <c r="O12" s="421" t="str">
        <f>[22]Brewhouse!$AX869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[22]Brewhouse!$A870</f>
        <v>CA756</v>
      </c>
      <c r="D13" s="279">
        <f>[22]Brewhouse!$AF870</f>
        <v>51.7</v>
      </c>
      <c r="E13" s="279">
        <f>[22]Brewhouse!$AI870</f>
        <v>51.5</v>
      </c>
      <c r="F13" s="278">
        <f>[22]Brewhouse!$V870</f>
        <v>54</v>
      </c>
      <c r="G13" s="279">
        <f>[22]Brewhouse!AG870</f>
        <v>11.7</v>
      </c>
      <c r="H13" s="396">
        <v>11.6</v>
      </c>
      <c r="I13" s="368">
        <f>[22]Brewhouse!$AU870</f>
        <v>99.122397304682863</v>
      </c>
      <c r="J13" s="368">
        <f>[22]Brewhouse!$AV870</f>
        <v>100.1269247811383</v>
      </c>
      <c r="K13" s="281">
        <f>[22]Brewhouse!$Q870</f>
        <v>3.992467043314496</v>
      </c>
      <c r="L13" s="276">
        <f>[22]Brewhouse!$P870</f>
        <v>58</v>
      </c>
      <c r="M13" s="397">
        <f>[22]Brewhouse!$U870-[22]Brewhouse!$T870</f>
        <v>0.10208333333333341</v>
      </c>
      <c r="N13" s="370">
        <f>[22]Brewhouse!$Z870</f>
        <v>0.23750000000000004</v>
      </c>
      <c r="O13" s="421" t="str">
        <f>[22]Brewhouse!$AX870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ref="R20:R37" si="9">B20</f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70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489" t="s">
        <v>35</v>
      </c>
      <c r="E25" s="490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77"/>
      <c r="C26" s="362"/>
      <c r="D26" s="515"/>
      <c r="E26" s="516"/>
      <c r="F26" s="294"/>
      <c r="G26" s="294"/>
      <c r="H26" s="348"/>
      <c r="I26" s="29" t="s">
        <v>6</v>
      </c>
      <c r="J26" s="280">
        <f>AVERAGE(I10:I13)</f>
        <v>97.264835630048964</v>
      </c>
      <c r="K26" s="284">
        <f>COUNTA([22]Brewhouse!$A$823:$A$862,[23]Brewhouse!$A$420:$A$423,[22]Brewhouse!$A$867:$A$870)</f>
        <v>48</v>
      </c>
      <c r="L26" s="305">
        <f>AVERAGE([22]Brewhouse!$AU$823:$AU$862,[23]Brewhouse!$AS$420:$AS$423,[22]Brewhouse!$AU$867:$AU$870)</f>
        <v>97.48330133540945</v>
      </c>
      <c r="M26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$870)</f>
        <v>97.691359587943339</v>
      </c>
      <c r="N26" s="30">
        <v>98</v>
      </c>
      <c r="O26" s="11"/>
      <c r="P26" s="31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78"/>
      <c r="C27" s="362"/>
      <c r="D27" s="517"/>
      <c r="E27" s="518"/>
      <c r="F27" s="294"/>
      <c r="G27" s="294"/>
      <c r="H27" s="348"/>
      <c r="I27" s="33" t="s">
        <v>9</v>
      </c>
      <c r="J27" s="280"/>
      <c r="K27" s="284">
        <f>COUNTA([23]Brewhouse!$A$399:$A$419)</f>
        <v>21</v>
      </c>
      <c r="L27" s="302">
        <f>AVERAGE([23]Brewhouse!$AS$399:$AS$419)</f>
        <v>98.088487780497204</v>
      </c>
      <c r="M27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$419)</f>
        <v>98.001236207933459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78"/>
      <c r="C28" s="362"/>
      <c r="D28" s="515"/>
      <c r="E28" s="516"/>
      <c r="F28" s="294"/>
      <c r="G28" s="294"/>
      <c r="H28" s="348"/>
      <c r="I28" s="34" t="s">
        <v>12</v>
      </c>
      <c r="J28" s="280"/>
      <c r="K28" s="284">
        <f>COUNTA([24]Brewhouse!$A$99:$A$106)</f>
        <v>8</v>
      </c>
      <c r="L28" s="302">
        <f>AVERAGE([24]Brewhouse!$AU$99:$AU$106)</f>
        <v>94.823749681896615</v>
      </c>
      <c r="M28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78"/>
      <c r="C29" s="362"/>
      <c r="D29" s="517"/>
      <c r="E29" s="51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78"/>
      <c r="C30" s="362"/>
      <c r="D30" s="515"/>
      <c r="E30" s="51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78"/>
      <c r="C31" s="362"/>
      <c r="D31" s="517"/>
      <c r="E31" s="518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78"/>
      <c r="C32" s="362"/>
      <c r="D32" s="515"/>
      <c r="E32" s="516"/>
      <c r="F32" s="417"/>
      <c r="G32" s="294"/>
      <c r="H32" s="348"/>
      <c r="I32" s="37" t="s">
        <v>16</v>
      </c>
      <c r="J32" s="323"/>
      <c r="K32" s="284"/>
      <c r="L32" s="302"/>
      <c r="M32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2" s="30">
        <v>98</v>
      </c>
      <c r="O32" s="11"/>
      <c r="P32" s="31" t="s">
        <v>41</v>
      </c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78"/>
      <c r="C33" s="362"/>
      <c r="D33" s="517"/>
      <c r="E33" s="518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78"/>
      <c r="C34" s="349"/>
      <c r="D34" s="515"/>
      <c r="E34" s="516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78"/>
      <c r="C35" s="349"/>
      <c r="D35" s="517"/>
      <c r="E35" s="518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78"/>
      <c r="C36" s="349"/>
      <c r="D36" s="515"/>
      <c r="E36" s="516"/>
      <c r="F36" s="294"/>
      <c r="G36" s="294"/>
      <c r="H36" s="348"/>
      <c r="I36" s="1"/>
      <c r="J36" s="39"/>
      <c r="K36" s="404">
        <f>SUM(K26:K35)</f>
        <v>77</v>
      </c>
      <c r="L36" s="405">
        <f>((L26*K26)+(L27*K27)+(L28*K28)+(L29*K29)+(L30*K30)+(K33*L33)+(L31*K31)+(L32*K32)+(L35*K35))/(K36)</f>
        <v>97.372035129159315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97.555153752597718</v>
      </c>
      <c r="N36" s="40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79"/>
      <c r="C37" s="350"/>
      <c r="D37" s="517"/>
      <c r="E37" s="51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62"/>
      <c r="C38" s="362"/>
      <c r="D38" s="528"/>
      <c r="E38" s="529"/>
      <c r="F38" s="294"/>
      <c r="G38" s="42"/>
      <c r="H38" s="41"/>
      <c r="I38" s="42"/>
      <c r="J38" s="563" t="s">
        <v>129</v>
      </c>
      <c r="K38" s="563"/>
      <c r="L38" s="294"/>
      <c r="M38" s="294"/>
      <c r="N38" s="294"/>
      <c r="O38" s="294"/>
      <c r="P38" s="12"/>
    </row>
    <row r="39" spans="1:56" ht="15.75" thickBot="1">
      <c r="B39" s="526"/>
      <c r="C39" s="362"/>
      <c r="D39" s="530"/>
      <c r="E39" s="518"/>
      <c r="F39" s="294"/>
      <c r="G39" s="42"/>
      <c r="H39" s="41"/>
      <c r="I39" s="42"/>
      <c r="J39" s="292" t="s">
        <v>17</v>
      </c>
      <c r="K39" s="293" t="s">
        <v>147</v>
      </c>
      <c r="L39" s="532" t="s">
        <v>136</v>
      </c>
      <c r="M39" s="532"/>
      <c r="N39" s="533"/>
      <c r="O39" s="294"/>
      <c r="P39" s="12"/>
    </row>
    <row r="40" spans="1:56" ht="15" customHeight="1" thickBot="1">
      <c r="B40" s="526"/>
      <c r="C40" s="349"/>
      <c r="D40" s="564"/>
      <c r="E40" s="565"/>
      <c r="F40" s="294"/>
      <c r="G40" s="42"/>
      <c r="H40" s="41"/>
      <c r="I40" s="42"/>
      <c r="J40" s="287" t="s">
        <v>6</v>
      </c>
      <c r="K40" s="324">
        <f>COUNTA(B10:B13)</f>
        <v>4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26"/>
      <c r="C41" s="349"/>
      <c r="D41" s="530"/>
      <c r="E41" s="518"/>
      <c r="F41" s="294"/>
      <c r="G41" s="42"/>
      <c r="H41" s="41"/>
      <c r="I41" s="42"/>
      <c r="J41" s="345" t="s">
        <v>9</v>
      </c>
      <c r="K41" s="324"/>
      <c r="L41" s="344">
        <f>AVERAGE('Oct. 1st'!K49,,'Oct. 2nd'!K51,'Oct. 3rd'!K46,'Oct. 6th'!K54,Oct.7th!K50,Oct.8th!K48,Oct.9th!K49,Oct.13th!K47,Oct.15th!K50,Oct.16th!K50)</f>
        <v>7</v>
      </c>
      <c r="M41" s="325">
        <f>AVERAGE('[31]Jan 29th '!$M$70,'[32]Feb 28th'!$L$40,'[33]Mar. 31st'!$L$40,'[34]Apr. 30th'!$L$50,'[35]May 30th'!$L$42,'[36]June 30th'!$L$62,'[37]July 29th '!$L$49,'[38]Aug 29th'!$L$34,'[39]Sept 30th'!$L$40,L41)</f>
        <v>7.006127777638075</v>
      </c>
      <c r="N41" s="416">
        <v>9.1999999999999993</v>
      </c>
      <c r="O41" s="294"/>
      <c r="P41" s="12"/>
    </row>
    <row r="42" spans="1:56" ht="15" customHeight="1">
      <c r="B42" s="526"/>
      <c r="C42" s="349"/>
      <c r="D42" s="564"/>
      <c r="E42" s="565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6"/>
      <c r="C43" s="349"/>
      <c r="D43" s="530"/>
      <c r="E43" s="518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30"/>
      <c r="E45" s="518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64"/>
      <c r="E46" s="565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6"/>
      <c r="C47" s="350"/>
      <c r="D47" s="566"/>
      <c r="E47" s="567"/>
      <c r="F47" s="294" t="s">
        <v>178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60" t="e">
        <f>AVERAGE(D26:E47)</f>
        <v>#DIV/0!</v>
      </c>
      <c r="E48" s="561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4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0" t="s">
        <v>17</v>
      </c>
      <c r="C53" s="540" t="s">
        <v>44</v>
      </c>
      <c r="D53" s="542" t="s">
        <v>45</v>
      </c>
      <c r="E53" s="497" t="s">
        <v>46</v>
      </c>
      <c r="F53" s="557" t="s">
        <v>47</v>
      </c>
      <c r="G53" s="551" t="s">
        <v>48</v>
      </c>
      <c r="H53" s="540" t="s">
        <v>49</v>
      </c>
      <c r="I53" s="540" t="s">
        <v>50</v>
      </c>
      <c r="J53" s="545" t="s">
        <v>28</v>
      </c>
      <c r="K53" s="495" t="s">
        <v>51</v>
      </c>
      <c r="L53" s="507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1"/>
      <c r="C54" s="541"/>
      <c r="D54" s="543"/>
      <c r="E54" s="544"/>
      <c r="F54" s="558"/>
      <c r="G54" s="552"/>
      <c r="H54" s="559"/>
      <c r="I54" s="559"/>
      <c r="J54" s="546"/>
      <c r="K54" s="555"/>
      <c r="L54" s="556"/>
      <c r="M54" s="546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60"/>
      <c r="C55" s="442"/>
      <c r="D55" s="443"/>
      <c r="E55" s="444"/>
      <c r="F55" s="445"/>
      <c r="G55" s="445"/>
      <c r="H55" s="462"/>
      <c r="I55" s="462"/>
      <c r="J55" s="449"/>
      <c r="K55" s="450"/>
      <c r="L55" s="471"/>
      <c r="M55" s="457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58"/>
      <c r="C56" s="431"/>
      <c r="D56" s="432"/>
      <c r="E56" s="433"/>
      <c r="F56" s="434"/>
      <c r="G56" s="435"/>
      <c r="H56" s="429"/>
      <c r="I56" s="429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60" t="str">
        <f>J40</f>
        <v>CARIB</v>
      </c>
      <c r="C57" s="442">
        <v>45945</v>
      </c>
      <c r="D57" s="443"/>
      <c r="E57" s="444"/>
      <c r="F57" s="445"/>
      <c r="G57" s="446"/>
      <c r="H57" s="462"/>
      <c r="I57" s="462"/>
      <c r="J57" s="449"/>
      <c r="K57" s="466"/>
      <c r="L57" s="461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4"/>
      <c r="C58" s="431"/>
      <c r="D58" s="432"/>
      <c r="E58" s="433"/>
      <c r="F58" s="434"/>
      <c r="G58" s="435"/>
      <c r="H58" s="436"/>
      <c r="I58" s="451"/>
      <c r="J58" s="452"/>
      <c r="K58" s="437" t="s">
        <v>41</v>
      </c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2"/>
      <c r="D59" s="443"/>
      <c r="E59" s="444"/>
      <c r="F59" s="445"/>
      <c r="G59" s="446"/>
      <c r="H59" s="447"/>
      <c r="I59" s="448"/>
      <c r="J59" s="449"/>
      <c r="K59" s="450"/>
      <c r="L59" s="455" t="e">
        <f>(((D59+E59)-G59)/(D59+E59))*100</f>
        <v>#DIV/0!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8"/>
      <c r="C60" s="424"/>
      <c r="D60" s="425"/>
      <c r="E60" s="426"/>
      <c r="F60" s="427"/>
      <c r="G60" s="428"/>
      <c r="H60" s="429"/>
      <c r="I60" s="439"/>
      <c r="J60" s="440"/>
      <c r="K60" s="430"/>
      <c r="L60" s="441"/>
      <c r="M60" s="42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5.4280582718020227</v>
      </c>
      <c r="E64" s="76">
        <v>6.3177809295166583</v>
      </c>
      <c r="F64" s="66">
        <v>4.8</v>
      </c>
      <c r="G64" s="65"/>
      <c r="H64" s="76">
        <v>3.6734408432854382</v>
      </c>
      <c r="I64" s="76">
        <v>6.1451990760192619</v>
      </c>
      <c r="J64" s="66">
        <v>4.8</v>
      </c>
      <c r="K64" s="67"/>
      <c r="L64" s="194">
        <v>0.65879609414011675</v>
      </c>
      <c r="M64" s="194">
        <v>0.76418505858469299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3.2967032967032899</v>
      </c>
      <c r="E65" s="76">
        <v>5.7279886212748821</v>
      </c>
      <c r="F65" s="66">
        <v>4.8</v>
      </c>
      <c r="G65" s="65"/>
      <c r="H65" s="76">
        <v>3.5998660810754992</v>
      </c>
      <c r="I65" s="76">
        <v>5.5540404226710187</v>
      </c>
      <c r="J65" s="66">
        <v>4.8</v>
      </c>
      <c r="K65" s="67"/>
      <c r="L65" s="194">
        <v>0.71811851863775211</v>
      </c>
      <c r="M65" s="194">
        <v>0.71659459276745896</v>
      </c>
      <c r="N65" s="68">
        <v>1</v>
      </c>
      <c r="P65" s="69"/>
    </row>
    <row r="66" spans="2:16" ht="15">
      <c r="B66" s="34" t="s">
        <v>40</v>
      </c>
      <c r="C66" s="65"/>
      <c r="D66" s="76">
        <v>9.535333978702802</v>
      </c>
      <c r="E66" s="76">
        <v>11.690789306336304</v>
      </c>
      <c r="F66" s="66">
        <v>5.5</v>
      </c>
      <c r="G66" s="65"/>
      <c r="H66" s="76">
        <v>9.7076284177373999</v>
      </c>
      <c r="I66" s="76">
        <v>12.617010368159198</v>
      </c>
      <c r="J66" s="66">
        <v>5.5</v>
      </c>
      <c r="K66" s="67"/>
      <c r="L66" s="194">
        <v>0.9345</v>
      </c>
      <c r="M66" s="194">
        <v>0.54931804556354924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5.119233255999676</v>
      </c>
      <c r="F67" s="66">
        <v>3.3</v>
      </c>
      <c r="G67" s="65"/>
      <c r="H67" s="76"/>
      <c r="I67" s="76">
        <v>4.4772094679692334</v>
      </c>
      <c r="J67" s="66">
        <v>3.3</v>
      </c>
      <c r="K67" s="67"/>
      <c r="L67" s="194"/>
      <c r="M67" s="194">
        <v>0.80025950292397652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7.3129862357869699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2.0782986950217497</v>
      </c>
      <c r="E70" s="76">
        <v>2.8629317642487306</v>
      </c>
      <c r="F70" s="66">
        <v>3.3</v>
      </c>
      <c r="G70" s="282"/>
      <c r="H70" s="76">
        <v>3.4559849687930924</v>
      </c>
      <c r="I70" s="76">
        <v>4.3478819741669881</v>
      </c>
      <c r="J70" s="66">
        <v>3.3</v>
      </c>
      <c r="K70" s="67"/>
      <c r="L70" s="194">
        <v>0.88859649122807016</v>
      </c>
      <c r="M70" s="194">
        <v>0.85935680751173715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4.2226455727656553</v>
      </c>
      <c r="E73" s="76">
        <v>6.2821217677365402</v>
      </c>
      <c r="F73" s="341">
        <v>5.5</v>
      </c>
      <c r="H73" s="76">
        <v>4.1801884092396104</v>
      </c>
      <c r="I73" s="76">
        <v>6.4623735232525075</v>
      </c>
      <c r="J73" s="341">
        <v>5.5</v>
      </c>
      <c r="L73" s="194">
        <v>0.72820809248554919</v>
      </c>
      <c r="M73" s="194">
        <v>0.7312614969733483</v>
      </c>
      <c r="N73" s="386">
        <v>1</v>
      </c>
    </row>
    <row r="77" spans="2:16">
      <c r="F77" s="315"/>
    </row>
    <row r="78" spans="2:16" ht="15">
      <c r="F78" s="341"/>
    </row>
  </sheetData>
  <mergeCells count="51"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885" priority="141" operator="notBetween">
      <formula>#REF!</formula>
      <formula>#REF!</formula>
    </cfRule>
  </conditionalFormatting>
  <conditionalFormatting sqref="C52">
    <cfRule type="cellIs" dxfId="1884" priority="173" stopIfTrue="1" operator="greaterThan">
      <formula>100</formula>
    </cfRule>
    <cfRule type="cellIs" dxfId="1883" priority="172" stopIfTrue="1" operator="lessThan">
      <formula>96</formula>
    </cfRule>
  </conditionalFormatting>
  <conditionalFormatting sqref="C64:C68">
    <cfRule type="cellIs" dxfId="1882" priority="122" stopIfTrue="1" operator="lessThanOrEqual">
      <formula>0</formula>
    </cfRule>
  </conditionalFormatting>
  <conditionalFormatting sqref="C64:C72">
    <cfRule type="cellIs" dxfId="1881" priority="121" stopIfTrue="1" operator="greaterThan">
      <formula>$F64</formula>
    </cfRule>
  </conditionalFormatting>
  <conditionalFormatting sqref="C65">
    <cfRule type="cellIs" dxfId="1880" priority="176" stopIfTrue="1" operator="greaterThan">
      <formula>$F64</formula>
    </cfRule>
  </conditionalFormatting>
  <conditionalFormatting sqref="C69">
    <cfRule type="cellIs" dxfId="1879" priority="60" stopIfTrue="1" operator="greaterThan">
      <formula>$F68</formula>
    </cfRule>
    <cfRule type="cellIs" dxfId="1878" priority="59" stopIfTrue="1" operator="lessThanOrEqual">
      <formula>0</formula>
    </cfRule>
  </conditionalFormatting>
  <conditionalFormatting sqref="C75:C79">
    <cfRule type="cellIs" dxfId="1877" priority="164" stopIfTrue="1" operator="lessThanOrEqual">
      <formula>0</formula>
    </cfRule>
  </conditionalFormatting>
  <conditionalFormatting sqref="C76:C79">
    <cfRule type="cellIs" dxfId="1876" priority="163" stopIfTrue="1" operator="greaterThan">
      <formula>$F$75</formula>
    </cfRule>
  </conditionalFormatting>
  <conditionalFormatting sqref="C81">
    <cfRule type="cellIs" dxfId="1875" priority="166" stopIfTrue="1" operator="lessThanOrEqual">
      <formula>0</formula>
    </cfRule>
    <cfRule type="cellIs" dxfId="1874" priority="165" stopIfTrue="1" operator="greaterThan">
      <formula>$F$75</formula>
    </cfRule>
  </conditionalFormatting>
  <conditionalFormatting sqref="C75:D75 D77:D83">
    <cfRule type="cellIs" dxfId="1873" priority="158" stopIfTrue="1" operator="greaterThan">
      <formula>4.5</formula>
    </cfRule>
  </conditionalFormatting>
  <conditionalFormatting sqref="D48:D49">
    <cfRule type="cellIs" dxfId="1872" priority="142" operator="notBetween">
      <formula>#REF!</formula>
      <formula>#REF!</formula>
    </cfRule>
  </conditionalFormatting>
  <conditionalFormatting sqref="D64:D71">
    <cfRule type="cellIs" dxfId="1871" priority="136" stopIfTrue="1" operator="lessThanOrEqual">
      <formula>0</formula>
    </cfRule>
  </conditionalFormatting>
  <conditionalFormatting sqref="D72">
    <cfRule type="cellIs" dxfId="1870" priority="135" stopIfTrue="1" operator="lessThanOrEqual">
      <formula>0</formula>
    </cfRule>
  </conditionalFormatting>
  <conditionalFormatting sqref="D75 D77:D83">
    <cfRule type="cellIs" dxfId="1869" priority="159" stopIfTrue="1" operator="lessThanOrEqual">
      <formula>0</formula>
    </cfRule>
  </conditionalFormatting>
  <conditionalFormatting sqref="D76">
    <cfRule type="cellIs" dxfId="1868" priority="151" stopIfTrue="1" operator="lessThanOrEqual">
      <formula>0</formula>
    </cfRule>
    <cfRule type="cellIs" dxfId="1867" priority="150" stopIfTrue="1" operator="greaterThan">
      <formula>$F$75</formula>
    </cfRule>
  </conditionalFormatting>
  <conditionalFormatting sqref="D64:E73">
    <cfRule type="cellIs" dxfId="1866" priority="119" stopIfTrue="1" operator="greaterThan">
      <formula>$F64</formula>
    </cfRule>
  </conditionalFormatting>
  <conditionalFormatting sqref="D73:E73">
    <cfRule type="cellIs" dxfId="1865" priority="120" stopIfTrue="1" operator="lessThanOrEqual">
      <formula>0</formula>
    </cfRule>
  </conditionalFormatting>
  <conditionalFormatting sqref="E10:E23">
    <cfRule type="cellIs" dxfId="1864" priority="38" operator="lessThan">
      <formula>48</formula>
    </cfRule>
  </conditionalFormatting>
  <conditionalFormatting sqref="E51 E52:F52">
    <cfRule type="cellIs" dxfId="1863" priority="155" stopIfTrue="1" operator="greaterThan">
      <formula>100</formula>
    </cfRule>
  </conditionalFormatting>
  <conditionalFormatting sqref="E52">
    <cfRule type="cellIs" dxfId="1862" priority="153" stopIfTrue="1" operator="greaterThan">
      <formula>100</formula>
    </cfRule>
    <cfRule type="cellIs" dxfId="1861" priority="152" stopIfTrue="1" operator="lessThan">
      <formula>96.8</formula>
    </cfRule>
  </conditionalFormatting>
  <conditionalFormatting sqref="E64:E72">
    <cfRule type="cellIs" dxfId="1860" priority="130" stopIfTrue="1" operator="lessThanOrEqual">
      <formula>0</formula>
    </cfRule>
  </conditionalFormatting>
  <conditionalFormatting sqref="E75:E83">
    <cfRule type="cellIs" dxfId="1859" priority="144" stopIfTrue="1" operator="greaterThan">
      <formula>4.5</formula>
    </cfRule>
    <cfRule type="cellIs" dxfId="1858" priority="145" stopIfTrue="1" operator="lessThanOrEqual">
      <formula>0</formula>
    </cfRule>
  </conditionalFormatting>
  <conditionalFormatting sqref="E52:F52 E51">
    <cfRule type="cellIs" dxfId="1857" priority="154" stopIfTrue="1" operator="lessThan">
      <formula>96.5</formula>
    </cfRule>
  </conditionalFormatting>
  <conditionalFormatting sqref="F10:F23">
    <cfRule type="cellIs" dxfId="1856" priority="39" operator="greaterThan">
      <formula>60</formula>
    </cfRule>
  </conditionalFormatting>
  <conditionalFormatting sqref="F52">
    <cfRule type="cellIs" dxfId="1855" priority="171" stopIfTrue="1" operator="greaterThan">
      <formula>100</formula>
    </cfRule>
    <cfRule type="cellIs" dxfId="1854" priority="170" stopIfTrue="1" operator="lessThan">
      <formula>96.8</formula>
    </cfRule>
  </conditionalFormatting>
  <conditionalFormatting sqref="F73">
    <cfRule type="cellIs" dxfId="1853" priority="131" stopIfTrue="1" operator="greaterThan">
      <formula>$F73</formula>
    </cfRule>
    <cfRule type="cellIs" dxfId="1852" priority="132" stopIfTrue="1" operator="lessThanOrEqual">
      <formula>0</formula>
    </cfRule>
  </conditionalFormatting>
  <conditionalFormatting sqref="F78">
    <cfRule type="cellIs" dxfId="1851" priority="90" stopIfTrue="1" operator="lessThanOrEqual">
      <formula>0</formula>
    </cfRule>
    <cfRule type="cellIs" dxfId="1850" priority="89" stopIfTrue="1" operator="greaterThan">
      <formula>$F78</formula>
    </cfRule>
  </conditionalFormatting>
  <conditionalFormatting sqref="G10:G19 G21">
    <cfRule type="expression" dxfId="1849" priority="30">
      <formula>IF(+(IF(G10&lt;S10,0,IF(G10&gt;T10,0,1)))=0,1)</formula>
    </cfRule>
  </conditionalFormatting>
  <conditionalFormatting sqref="G64:G65 C70:C72">
    <cfRule type="cellIs" dxfId="1848" priority="138" stopIfTrue="1" operator="lessThanOrEqual">
      <formula>0</formula>
    </cfRule>
  </conditionalFormatting>
  <conditionalFormatting sqref="G64:G65">
    <cfRule type="cellIs" dxfId="1847" priority="137" stopIfTrue="1" operator="greaterThan">
      <formula>$F64</formula>
    </cfRule>
    <cfRule type="cellIs" dxfId="1846" priority="124" stopIfTrue="1" operator="lessThanOrEqual">
      <formula>0</formula>
    </cfRule>
    <cfRule type="cellIs" dxfId="1845" priority="123" stopIfTrue="1" operator="greaterThan">
      <formula>$F64</formula>
    </cfRule>
  </conditionalFormatting>
  <conditionalFormatting sqref="G66">
    <cfRule type="cellIs" dxfId="1844" priority="174" stopIfTrue="1" operator="greaterThan">
      <formula>$F65</formula>
    </cfRule>
    <cfRule type="cellIs" dxfId="1843" priority="175" stopIfTrue="1" operator="lessThanOrEqual">
      <formula>0</formula>
    </cfRule>
  </conditionalFormatting>
  <conditionalFormatting sqref="G67">
    <cfRule type="cellIs" dxfId="1842" priority="134" stopIfTrue="1" operator="lessThanOrEqual">
      <formula>0</formula>
    </cfRule>
    <cfRule type="cellIs" dxfId="1841" priority="133" stopIfTrue="1" operator="greaterThan">
      <formula>$F67</formula>
    </cfRule>
  </conditionalFormatting>
  <conditionalFormatting sqref="G68:G72">
    <cfRule type="cellIs" dxfId="1840" priority="139" stopIfTrue="1" operator="greaterThan">
      <formula>$J68</formula>
    </cfRule>
    <cfRule type="cellIs" dxfId="1839" priority="140" stopIfTrue="1" operator="lessThanOrEqual">
      <formula>0</formula>
    </cfRule>
  </conditionalFormatting>
  <conditionalFormatting sqref="G77:G82 C80 C82">
    <cfRule type="cellIs" dxfId="1838" priority="168" stopIfTrue="1" operator="lessThanOrEqual">
      <formula>0</formula>
    </cfRule>
    <cfRule type="cellIs" dxfId="1837" priority="167" stopIfTrue="1" operator="greaterThan">
      <formula>4.5</formula>
    </cfRule>
  </conditionalFormatting>
  <conditionalFormatting sqref="G76:H76">
    <cfRule type="cellIs" dxfId="1836" priority="148" stopIfTrue="1" operator="greaterThan">
      <formula>$F$75</formula>
    </cfRule>
    <cfRule type="cellIs" dxfId="1835" priority="149" stopIfTrue="1" operator="lessThanOrEqual">
      <formula>0</formula>
    </cfRule>
  </conditionalFormatting>
  <conditionalFormatting sqref="H37:H51">
    <cfRule type="cellIs" dxfId="1834" priority="146" stopIfTrue="1" operator="greaterThan">
      <formula>0</formula>
    </cfRule>
  </conditionalFormatting>
  <conditionalFormatting sqref="H55">
    <cfRule type="cellIs" dxfId="1833" priority="28" stopIfTrue="1" operator="lessThanOrEqual">
      <formula>0</formula>
    </cfRule>
    <cfRule type="cellIs" dxfId="1832" priority="27" stopIfTrue="1" operator="greaterThan">
      <formula>$F$73</formula>
    </cfRule>
    <cfRule type="cellIs" dxfId="1831" priority="26" stopIfTrue="1" operator="lessThanOrEqual">
      <formula>0</formula>
    </cfRule>
    <cfRule type="cellIs" dxfId="1830" priority="25" stopIfTrue="1" operator="greaterThan">
      <formula>$F$75</formula>
    </cfRule>
    <cfRule type="cellIs" dxfId="1829" priority="17" stopIfTrue="1" operator="greaterThan">
      <formula>$F$72</formula>
    </cfRule>
    <cfRule type="cellIs" dxfId="1828" priority="16" stopIfTrue="1" operator="lessThanOrEqual">
      <formula>0</formula>
    </cfRule>
  </conditionalFormatting>
  <conditionalFormatting sqref="H56">
    <cfRule type="cellIs" dxfId="1827" priority="85" stopIfTrue="1" operator="greaterThan">
      <formula>$F$24</formula>
    </cfRule>
    <cfRule type="cellIs" dxfId="1826" priority="76" stopIfTrue="1" operator="lessThanOrEqual">
      <formula>0</formula>
    </cfRule>
    <cfRule type="cellIs" dxfId="1825" priority="77" stopIfTrue="1" operator="greaterThan">
      <formula>#REF!</formula>
    </cfRule>
    <cfRule type="cellIs" dxfId="1824" priority="86" stopIfTrue="1" operator="lessThanOrEqual">
      <formula>0</formula>
    </cfRule>
    <cfRule type="cellIs" dxfId="1823" priority="87" stopIfTrue="1" operator="greaterThan">
      <formula>#REF!</formula>
    </cfRule>
    <cfRule type="cellIs" dxfId="1822" priority="88" stopIfTrue="1" operator="lessThanOrEqual">
      <formula>0</formula>
    </cfRule>
  </conditionalFormatting>
  <conditionalFormatting sqref="H57">
    <cfRule type="cellIs" dxfId="1821" priority="54" stopIfTrue="1" operator="lessThanOrEqual">
      <formula>0</formula>
    </cfRule>
    <cfRule type="cellIs" dxfId="1820" priority="53" stopIfTrue="1" operator="greaterThan">
      <formula>$F$66</formula>
    </cfRule>
    <cfRule type="cellIs" dxfId="1819" priority="42" stopIfTrue="1" operator="lessThanOrEqual">
      <formula>0</formula>
    </cfRule>
    <cfRule type="cellIs" dxfId="1818" priority="43" stopIfTrue="1" operator="greaterThan">
      <formula>$F$65</formula>
    </cfRule>
    <cfRule type="cellIs" dxfId="1817" priority="51" stopIfTrue="1" operator="greaterThan">
      <formula>$F$68</formula>
    </cfRule>
    <cfRule type="cellIs" dxfId="1816" priority="52" stopIfTrue="1" operator="lessThanOrEqual">
      <formula>0</formula>
    </cfRule>
  </conditionalFormatting>
  <conditionalFormatting sqref="H58:H59">
    <cfRule type="cellIs" dxfId="1815" priority="74" stopIfTrue="1" operator="lessThanOrEqual">
      <formula>0</formula>
    </cfRule>
    <cfRule type="cellIs" dxfId="1814" priority="73" stopIfTrue="1" operator="greaterThan">
      <formula>#REF!</formula>
    </cfRule>
    <cfRule type="cellIs" dxfId="1813" priority="72" stopIfTrue="1" operator="lessThanOrEqual">
      <formula>0</formula>
    </cfRule>
    <cfRule type="cellIs" dxfId="1812" priority="71" stopIfTrue="1" operator="greaterThan">
      <formula>$F$23</formula>
    </cfRule>
    <cfRule type="cellIs" dxfId="1811" priority="63" stopIfTrue="1" operator="greaterThan">
      <formula>#REF!</formula>
    </cfRule>
    <cfRule type="cellIs" dxfId="1810" priority="62" stopIfTrue="1" operator="lessThanOrEqual">
      <formula>0</formula>
    </cfRule>
  </conditionalFormatting>
  <conditionalFormatting sqref="H60">
    <cfRule type="cellIs" dxfId="1809" priority="93" stopIfTrue="1" operator="lessThanOrEqual">
      <formula>0</formula>
    </cfRule>
    <cfRule type="cellIs" dxfId="1808" priority="94" stopIfTrue="1" operator="greaterThan">
      <formula>$F$36</formula>
    </cfRule>
    <cfRule type="cellIs" dxfId="1807" priority="105" stopIfTrue="1" operator="lessThanOrEqual">
      <formula>0</formula>
    </cfRule>
    <cfRule type="cellIs" dxfId="1806" priority="104" stopIfTrue="1" operator="greaterThan">
      <formula>$F$37</formula>
    </cfRule>
    <cfRule type="cellIs" dxfId="1805" priority="103" stopIfTrue="1" operator="lessThanOrEqual">
      <formula>0</formula>
    </cfRule>
    <cfRule type="cellIs" dxfId="1804" priority="102" stopIfTrue="1" operator="greaterThan">
      <formula>$F$39</formula>
    </cfRule>
  </conditionalFormatting>
  <conditionalFormatting sqref="H64:H71">
    <cfRule type="cellIs" dxfId="1803" priority="125" stopIfTrue="1" operator="greaterThan">
      <formula>$J64</formula>
    </cfRule>
    <cfRule type="cellIs" dxfId="1802" priority="126" stopIfTrue="1" operator="lessThanOrEqual">
      <formula>0</formula>
    </cfRule>
  </conditionalFormatting>
  <conditionalFormatting sqref="H72">
    <cfRule type="cellIs" dxfId="1801" priority="127" operator="greaterThan">
      <formula>5.3</formula>
    </cfRule>
  </conditionalFormatting>
  <conditionalFormatting sqref="H75 H77:H83">
    <cfRule type="cellIs" dxfId="1800" priority="161" stopIfTrue="1" operator="lessThanOrEqual">
      <formula>0</formula>
    </cfRule>
    <cfRule type="cellIs" dxfId="1799" priority="160" stopIfTrue="1" operator="greaterThan">
      <formula>4.5</formula>
    </cfRule>
  </conditionalFormatting>
  <conditionalFormatting sqref="H55:I55">
    <cfRule type="cellIs" dxfId="1798" priority="15" stopIfTrue="1" operator="greaterThan">
      <formula>$F$74</formula>
    </cfRule>
    <cfRule type="cellIs" dxfId="1797" priority="18" stopIfTrue="1" operator="lessThanOrEqual">
      <formula>0</formula>
    </cfRule>
  </conditionalFormatting>
  <conditionalFormatting sqref="H56:I56">
    <cfRule type="cellIs" dxfId="1796" priority="75" stopIfTrue="1" operator="greaterThan">
      <formula>$F$23</formula>
    </cfRule>
    <cfRule type="cellIs" dxfId="1795" priority="78" stopIfTrue="1" operator="lessThanOrEqual">
      <formula>0</formula>
    </cfRule>
  </conditionalFormatting>
  <conditionalFormatting sqref="H57:I57">
    <cfRule type="cellIs" dxfId="1794" priority="41" stopIfTrue="1" operator="greaterThan">
      <formula>$F$67</formula>
    </cfRule>
    <cfRule type="cellIs" dxfId="1793" priority="44" stopIfTrue="1" operator="lessThanOrEqual">
      <formula>0</formula>
    </cfRule>
  </conditionalFormatting>
  <conditionalFormatting sqref="H58:I59">
    <cfRule type="cellIs" dxfId="1792" priority="64" stopIfTrue="1" operator="lessThanOrEqual">
      <formula>0</formula>
    </cfRule>
    <cfRule type="cellIs" dxfId="1791" priority="61" stopIfTrue="1" operator="greaterThan">
      <formula>#REF!</formula>
    </cfRule>
  </conditionalFormatting>
  <conditionalFormatting sqref="H60:I60">
    <cfRule type="cellIs" dxfId="1790" priority="92" stopIfTrue="1" operator="greaterThan">
      <formula>$F$38</formula>
    </cfRule>
    <cfRule type="cellIs" dxfId="1789" priority="95" stopIfTrue="1" operator="lessThanOrEqual">
      <formula>0</formula>
    </cfRule>
  </conditionalFormatting>
  <conditionalFormatting sqref="H73:I73">
    <cfRule type="cellIs" dxfId="1788" priority="118" stopIfTrue="1" operator="lessThanOrEqual">
      <formula>0</formula>
    </cfRule>
    <cfRule type="cellIs" dxfId="1787" priority="117" stopIfTrue="1" operator="greaterThan">
      <formula>$J73</formula>
    </cfRule>
  </conditionalFormatting>
  <conditionalFormatting sqref="I55">
    <cfRule type="cellIs" dxfId="1786" priority="19" stopIfTrue="1" operator="greaterThan">
      <formula>$F$72</formula>
    </cfRule>
    <cfRule type="cellIs" dxfId="1785" priority="20" stopIfTrue="1" operator="lessThanOrEqual">
      <formula>0</formula>
    </cfRule>
    <cfRule type="cellIs" dxfId="1784" priority="24" stopIfTrue="1" operator="lessThanOrEqual">
      <formula>0</formula>
    </cfRule>
    <cfRule type="cellIs" dxfId="1783" priority="23" stopIfTrue="1" operator="greaterThan">
      <formula>$F$72</formula>
    </cfRule>
    <cfRule type="cellIs" dxfId="1782" priority="22" stopIfTrue="1" operator="lessThanOrEqual">
      <formula>0</formula>
    </cfRule>
    <cfRule type="cellIs" dxfId="1781" priority="21" stopIfTrue="1" operator="greaterThan">
      <formula>$F$74</formula>
    </cfRule>
  </conditionalFormatting>
  <conditionalFormatting sqref="I56">
    <cfRule type="cellIs" dxfId="1780" priority="83" stopIfTrue="1" operator="greaterThan">
      <formula>#REF!</formula>
    </cfRule>
    <cfRule type="cellIs" dxfId="1779" priority="84" stopIfTrue="1" operator="lessThanOrEqual">
      <formula>0</formula>
    </cfRule>
    <cfRule type="cellIs" dxfId="1778" priority="79" stopIfTrue="1" operator="greaterThan">
      <formula>#REF!</formula>
    </cfRule>
    <cfRule type="cellIs" dxfId="1777" priority="80" stopIfTrue="1" operator="lessThanOrEqual">
      <formula>0</formula>
    </cfRule>
    <cfRule type="cellIs" dxfId="1776" priority="81" stopIfTrue="1" operator="greaterThan">
      <formula>$F$23</formula>
    </cfRule>
    <cfRule type="cellIs" dxfId="1775" priority="82" stopIfTrue="1" operator="lessThanOrEqual">
      <formula>0</formula>
    </cfRule>
  </conditionalFormatting>
  <conditionalFormatting sqref="I57">
    <cfRule type="cellIs" dxfId="1774" priority="45" stopIfTrue="1" operator="greaterThan">
      <formula>$F$65</formula>
    </cfRule>
    <cfRule type="cellIs" dxfId="1773" priority="50" stopIfTrue="1" operator="lessThanOrEqual">
      <formula>0</formula>
    </cfRule>
    <cfRule type="cellIs" dxfId="1772" priority="49" stopIfTrue="1" operator="greaterThan">
      <formula>$F$65</formula>
    </cfRule>
    <cfRule type="cellIs" dxfId="1771" priority="48" stopIfTrue="1" operator="lessThanOrEqual">
      <formula>0</formula>
    </cfRule>
    <cfRule type="cellIs" dxfId="1770" priority="47" stopIfTrue="1" operator="greaterThan">
      <formula>$F$67</formula>
    </cfRule>
    <cfRule type="cellIs" dxfId="1769" priority="46" stopIfTrue="1" operator="lessThanOrEqual">
      <formula>0</formula>
    </cfRule>
  </conditionalFormatting>
  <conditionalFormatting sqref="I58:I59">
    <cfRule type="cellIs" dxfId="1768" priority="65" stopIfTrue="1" operator="greaterThan">
      <formula>#REF!</formula>
    </cfRule>
    <cfRule type="cellIs" dxfId="1767" priority="66" stopIfTrue="1" operator="lessThanOrEqual">
      <formula>0</formula>
    </cfRule>
    <cfRule type="cellIs" dxfId="1766" priority="67" stopIfTrue="1" operator="greaterThan">
      <formula>#REF!</formula>
    </cfRule>
    <cfRule type="cellIs" dxfId="1765" priority="68" stopIfTrue="1" operator="lessThanOrEqual">
      <formula>0</formula>
    </cfRule>
    <cfRule type="cellIs" dxfId="1764" priority="69" stopIfTrue="1" operator="greaterThan">
      <formula>#REF!</formula>
    </cfRule>
    <cfRule type="cellIs" dxfId="1763" priority="70" stopIfTrue="1" operator="lessThanOrEqual">
      <formula>0</formula>
    </cfRule>
  </conditionalFormatting>
  <conditionalFormatting sqref="I60">
    <cfRule type="cellIs" dxfId="1762" priority="101" stopIfTrue="1" operator="lessThanOrEqual">
      <formula>0</formula>
    </cfRule>
    <cfRule type="cellIs" dxfId="1761" priority="100" stopIfTrue="1" operator="greaterThan">
      <formula>$F$36</formula>
    </cfRule>
    <cfRule type="cellIs" dxfId="1760" priority="99" stopIfTrue="1" operator="lessThanOrEqual">
      <formula>0</formula>
    </cfRule>
    <cfRule type="cellIs" dxfId="1759" priority="98" stopIfTrue="1" operator="greaterThan">
      <formula>$F$38</formula>
    </cfRule>
    <cfRule type="cellIs" dxfId="1758" priority="97" stopIfTrue="1" operator="lessThanOrEqual">
      <formula>0</formula>
    </cfRule>
    <cfRule type="cellIs" dxfId="1757" priority="96" stopIfTrue="1" operator="greaterThan">
      <formula>$F$36</formula>
    </cfRule>
  </conditionalFormatting>
  <conditionalFormatting sqref="I64:I72">
    <cfRule type="cellIs" dxfId="1756" priority="129" stopIfTrue="1" operator="lessThanOrEqual">
      <formula>0</formula>
    </cfRule>
    <cfRule type="cellIs" dxfId="1755" priority="128" stopIfTrue="1" operator="greaterThan">
      <formula>$J64</formula>
    </cfRule>
  </conditionalFormatting>
  <conditionalFormatting sqref="I75:I83">
    <cfRule type="cellIs" dxfId="1754" priority="156" stopIfTrue="1" operator="greaterThan">
      <formula>4.5</formula>
    </cfRule>
    <cfRule type="cellIs" dxfId="1753" priority="157" stopIfTrue="1" operator="lessThanOrEqual">
      <formula>0</formula>
    </cfRule>
  </conditionalFormatting>
  <conditionalFormatting sqref="I10:J23">
    <cfRule type="cellIs" dxfId="1752" priority="34" operator="lessThan">
      <formula>97.9</formula>
    </cfRule>
  </conditionalFormatting>
  <conditionalFormatting sqref="J26:J28">
    <cfRule type="cellIs" dxfId="1751" priority="107" stopIfTrue="1" operator="lessThan">
      <formula>96.8</formula>
    </cfRule>
    <cfRule type="cellIs" dxfId="1750" priority="108" stopIfTrue="1" operator="greaterThan">
      <formula>100</formula>
    </cfRule>
    <cfRule type="cellIs" dxfId="1749" priority="109" operator="lessThan">
      <formula>98</formula>
    </cfRule>
  </conditionalFormatting>
  <conditionalFormatting sqref="J26:J30">
    <cfRule type="cellIs" dxfId="1748" priority="106" operator="lessThan">
      <formula>97.4</formula>
    </cfRule>
  </conditionalFormatting>
  <conditionalFormatting sqref="J31">
    <cfRule type="cellIs" dxfId="1747" priority="110" operator="lessThan">
      <formula>98</formula>
    </cfRule>
  </conditionalFormatting>
  <conditionalFormatting sqref="J33:J34">
    <cfRule type="cellIs" dxfId="1746" priority="111" stopIfTrue="1" operator="lessThan">
      <formula>96.8</formula>
    </cfRule>
    <cfRule type="cellIs" dxfId="1745" priority="112" stopIfTrue="1" operator="greaterThan">
      <formula>100</formula>
    </cfRule>
  </conditionalFormatting>
  <conditionalFormatting sqref="J33:J35">
    <cfRule type="cellIs" dxfId="1744" priority="113" operator="lessThan">
      <formula>98</formula>
    </cfRule>
  </conditionalFormatting>
  <conditionalFormatting sqref="J73">
    <cfRule type="cellIs" dxfId="1743" priority="114" stopIfTrue="1" operator="greaterThan">
      <formula>$F73</formula>
    </cfRule>
    <cfRule type="cellIs" dxfId="1742" priority="115" stopIfTrue="1" operator="lessThanOrEqual">
      <formula>0</formula>
    </cfRule>
  </conditionalFormatting>
  <conditionalFormatting sqref="K10:K23">
    <cfRule type="cellIs" dxfId="1741" priority="37" operator="greaterThan">
      <formula>6.4</formula>
    </cfRule>
    <cfRule type="cellIs" dxfId="1740" priority="36" operator="lessThan">
      <formula>4</formula>
    </cfRule>
    <cfRule type="cellIs" dxfId="1739" priority="35" operator="greaterThan">
      <formula>6</formula>
    </cfRule>
  </conditionalFormatting>
  <conditionalFormatting sqref="K55:K60 K64:N70 K71 M71:N71 K72:N72">
    <cfRule type="cellIs" dxfId="1738" priority="91" stopIfTrue="1" operator="lessThan">
      <formula>100%</formula>
    </cfRule>
  </conditionalFormatting>
  <conditionalFormatting sqref="K75:K80">
    <cfRule type="cellIs" dxfId="1737" priority="162" stopIfTrue="1" operator="lessThan">
      <formula>100%</formula>
    </cfRule>
  </conditionalFormatting>
  <conditionalFormatting sqref="K82:K83">
    <cfRule type="cellIs" dxfId="1736" priority="169" stopIfTrue="1" operator="lessThan">
      <formula>100%</formula>
    </cfRule>
  </conditionalFormatting>
  <conditionalFormatting sqref="L10:L19">
    <cfRule type="cellIs" dxfId="1735" priority="12" operator="greaterThan">
      <formula>65</formula>
    </cfRule>
    <cfRule type="cellIs" dxfId="1734" priority="11" operator="between">
      <formula>61</formula>
      <formula>65</formula>
    </cfRule>
  </conditionalFormatting>
  <conditionalFormatting sqref="L20:M20 L21">
    <cfRule type="cellIs" dxfId="1733" priority="31" operator="between">
      <formula>61</formula>
      <formula>65</formula>
    </cfRule>
    <cfRule type="cellIs" dxfId="1732" priority="32" operator="greaterThan">
      <formula>65</formula>
    </cfRule>
  </conditionalFormatting>
  <conditionalFormatting sqref="L22:M22 L23">
    <cfRule type="cellIs" dxfId="1731" priority="56" operator="greaterThan">
      <formula>65</formula>
    </cfRule>
    <cfRule type="cellIs" dxfId="1730" priority="55" operator="between">
      <formula>61</formula>
      <formula>65</formula>
    </cfRule>
  </conditionalFormatting>
  <conditionalFormatting sqref="L26:M37">
    <cfRule type="cellIs" dxfId="1729" priority="57" operator="lessThan">
      <formula>97.95</formula>
    </cfRule>
  </conditionalFormatting>
  <conditionalFormatting sqref="L41:N41">
    <cfRule type="cellIs" dxfId="1728" priority="58" operator="notEqual">
      <formula>#REF!</formula>
    </cfRule>
  </conditionalFormatting>
  <conditionalFormatting sqref="L73:N73">
    <cfRule type="cellIs" dxfId="1727" priority="116" stopIfTrue="1" operator="lessThan">
      <formula>100%</formula>
    </cfRule>
  </conditionalFormatting>
  <conditionalFormatting sqref="L75:N83">
    <cfRule type="cellIs" dxfId="1726" priority="147" stopIfTrue="1" operator="lessThan">
      <formula>100%</formula>
    </cfRule>
  </conditionalFormatting>
  <conditionalFormatting sqref="M10:M19 M21">
    <cfRule type="expression" dxfId="1725" priority="29">
      <formula>IF(+(IF(M10&lt;U10,0,IF(M10&gt;V10,0,1)))=0,1)</formula>
    </cfRule>
  </conditionalFormatting>
  <conditionalFormatting sqref="M20 H10:H19 G20:H20 H21 M22 G22:H23">
    <cfRule type="expression" dxfId="1724" priority="40">
      <formula>IF(+(IF(G10&lt;#REF!,0,IF(G10&gt;#REF!,0,1)))=0,1)</formula>
    </cfRule>
  </conditionalFormatting>
  <conditionalFormatting sqref="M23:N23">
    <cfRule type="expression" dxfId="1723" priority="177">
      <formula>IF(+(IF(M23&lt;#REF!,0,IF(M23&gt;#REF!,0,1)))=0,1)</formula>
    </cfRule>
  </conditionalFormatting>
  <conditionalFormatting sqref="N10:N22">
    <cfRule type="expression" dxfId="1722" priority="33">
      <formula>IF(+(IF(N10&lt;W10,0,IF(N10&gt;X10,0,1)))=0,1)</formula>
    </cfRule>
  </conditionalFormatting>
  <conditionalFormatting sqref="P6">
    <cfRule type="cellIs" dxfId="1721" priority="143" operator="greaterThanOrEqual">
      <formula>19</formula>
    </cfRule>
  </conditionalFormatting>
  <dataValidations count="1">
    <dataValidation type="list" allowBlank="1" showInputMessage="1" showErrorMessage="1" sqref="R8" xr:uid="{AF238B2F-4FA2-499E-AFF4-3841B761188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7C2A-0B4B-4A2A-AF9F-6C3B7F46101A}">
  <sheetPr>
    <pageSetUpPr fitToPage="1"/>
  </sheetPr>
  <dimension ref="A1:BE74"/>
  <sheetViews>
    <sheetView topLeftCell="A8" zoomScale="80" zoomScaleNormal="80" workbookViewId="0">
      <selection activeCell="C23" sqref="C2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45951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 t="s">
        <v>9</v>
      </c>
      <c r="C10" s="366" t="str">
        <f>[23]Brewhouse!$A424</f>
        <v>ST401</v>
      </c>
      <c r="D10" s="279">
        <f>[23]Brewhouse!$AD424</f>
        <v>49</v>
      </c>
      <c r="E10" s="279">
        <f>[23]Brewhouse!$AG424</f>
        <v>48.8</v>
      </c>
      <c r="F10" s="278">
        <f>[23]Brewhouse!$V424</f>
        <v>60</v>
      </c>
      <c r="G10" s="279">
        <f>[23]Brewhouse!$AE424</f>
        <v>11.8</v>
      </c>
      <c r="H10" s="396"/>
      <c r="I10" s="420">
        <f>[23]Brewhouse!$AS424</f>
        <v>95.695423158912149</v>
      </c>
      <c r="J10" s="420">
        <f>[23]Brewhouse!$AT424</f>
        <v>96.515342745568773</v>
      </c>
      <c r="K10" s="281">
        <f>[23]Brewhouse!$Q424</f>
        <v>7.4376199616122838</v>
      </c>
      <c r="L10" s="276">
        <f>[23]Brewhouse!$P424</f>
        <v>60</v>
      </c>
      <c r="M10" s="374">
        <f>[23]Brewhouse!$U424-[23]Brewhouse!$T424</f>
        <v>0.10694444444444451</v>
      </c>
      <c r="N10" s="370">
        <f>[23]Brewhouse!$AW424</f>
        <v>0.2506944444444445</v>
      </c>
      <c r="O10" s="421" t="str">
        <f>[23]Brewhouse!$AV424</f>
        <v>R. Regis</v>
      </c>
      <c r="P10" s="418"/>
      <c r="R10" s="277" t="str">
        <f t="shared" ref="R10:R33" si="0">B10</f>
        <v>STAG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" customHeight="1">
      <c r="B11" s="33" t="s">
        <v>9</v>
      </c>
      <c r="C11" s="366" t="str">
        <f>[23]Brewhouse!$A425</f>
        <v>ST402</v>
      </c>
      <c r="D11" s="279">
        <f>[23]Brewhouse!$AD425</f>
        <v>49.5</v>
      </c>
      <c r="E11" s="279">
        <f>[23]Brewhouse!$AG425</f>
        <v>49.1</v>
      </c>
      <c r="F11" s="278">
        <f>[23]Brewhouse!$V425</f>
        <v>61</v>
      </c>
      <c r="G11" s="279">
        <f>[23]Brewhouse!$AE425</f>
        <v>11.9</v>
      </c>
      <c r="H11" s="396"/>
      <c r="I11" s="420">
        <f>[23]Brewhouse!$AS425</f>
        <v>97.021219458619385</v>
      </c>
      <c r="J11" s="420">
        <f>[23]Brewhouse!$AT425</f>
        <v>97.852766510664409</v>
      </c>
      <c r="K11" s="281">
        <f>[23]Brewhouse!$Q425</f>
        <v>7.8365384615384528</v>
      </c>
      <c r="L11" s="276">
        <f>[23]Brewhouse!$P425</f>
        <v>58</v>
      </c>
      <c r="M11" s="374">
        <f>[23]Brewhouse!$U425-[23]Brewhouse!$T425</f>
        <v>0.10972222222222217</v>
      </c>
      <c r="N11" s="370">
        <f>[23]Brewhouse!$AW425</f>
        <v>0.24930555555555556</v>
      </c>
      <c r="O11" s="421" t="str">
        <f>[23]Brewhouse!$AV425</f>
        <v>R.Sookram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33" t="s">
        <v>9</v>
      </c>
      <c r="C12" s="366" t="str">
        <f>[23]Brewhouse!$A426</f>
        <v>ST403</v>
      </c>
      <c r="D12" s="279">
        <f>[23]Brewhouse!$AD426</f>
        <v>49.3</v>
      </c>
      <c r="E12" s="279">
        <f>[23]Brewhouse!$AG426</f>
        <v>48.9</v>
      </c>
      <c r="F12" s="278">
        <f>[23]Brewhouse!$V426</f>
        <v>65</v>
      </c>
      <c r="G12" s="279">
        <f>[23]Brewhouse!$AE426</f>
        <v>11.9</v>
      </c>
      <c r="H12" s="396"/>
      <c r="I12" s="420">
        <f>[23]Brewhouse!$AS426</f>
        <v>96.866892814423892</v>
      </c>
      <c r="J12" s="420">
        <f>[23]Brewhouse!$AT426</f>
        <v>97.696581302465717</v>
      </c>
      <c r="K12" s="281">
        <f>[23]Brewhouse!$Q426</f>
        <v>6.8618042226487583</v>
      </c>
      <c r="L12" s="276">
        <f>[23]Brewhouse!$P426</f>
        <v>58</v>
      </c>
      <c r="M12" s="374">
        <f>[23]Brewhouse!$U426-[23]Brewhouse!$T426</f>
        <v>0.10902777777777772</v>
      </c>
      <c r="N12" s="370">
        <f>[23]Brewhouse!$AW426</f>
        <v>0.24444444444444446</v>
      </c>
      <c r="O12" s="421" t="str">
        <f>[23]Brewhouse!$AV426</f>
        <v>R.Sookram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33" t="s">
        <v>9</v>
      </c>
      <c r="C13" s="366" t="str">
        <f>[23]Brewhouse!$A427</f>
        <v>ST404</v>
      </c>
      <c r="D13" s="279">
        <f>[23]Brewhouse!$AD427</f>
        <v>50</v>
      </c>
      <c r="E13" s="279">
        <f>[23]Brewhouse!$AG427</f>
        <v>49.4</v>
      </c>
      <c r="F13" s="278">
        <f>[23]Brewhouse!$V427</f>
        <v>56</v>
      </c>
      <c r="G13" s="367">
        <f>[23]Brewhouse!$AE427</f>
        <v>11.8</v>
      </c>
      <c r="H13" s="396"/>
      <c r="I13" s="420">
        <f>[23]Brewhouse!$AS427</f>
        <v>97.235138963004928</v>
      </c>
      <c r="J13" s="420">
        <f>[23]Brewhouse!$AT427</f>
        <v>98.067440984119642</v>
      </c>
      <c r="K13" s="281">
        <f>[23]Brewhouse!$Q427</f>
        <v>6.2859884836852178</v>
      </c>
      <c r="L13" s="276">
        <f>[23]Brewhouse!$P427</f>
        <v>65</v>
      </c>
      <c r="M13" s="374">
        <f>[23]Brewhouse!$U427-[23]Brewhouse!$T427</f>
        <v>0.10763888888888884</v>
      </c>
      <c r="N13" s="370">
        <f>[23]Brewhouse!$AW427</f>
        <v>0.24930555555555556</v>
      </c>
      <c r="O13" s="421" t="str">
        <f>[23]Brewhouse!$AV427</f>
        <v>R.Sookram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34"/>
      <c r="C17" s="366"/>
      <c r="D17" s="279"/>
      <c r="E17" s="279"/>
      <c r="F17" s="278"/>
      <c r="G17" s="279"/>
      <c r="H17" s="396"/>
      <c r="I17" s="420"/>
      <c r="J17" s="420"/>
      <c r="K17" s="470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1"/>
      <c r="J20" s="511"/>
      <c r="K20" s="511"/>
      <c r="L20" s="511"/>
      <c r="M20" s="511"/>
      <c r="N20" s="511"/>
      <c r="O20" s="1"/>
      <c r="P20" s="12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thickBot="1">
      <c r="B21" s="388" t="s">
        <v>162</v>
      </c>
      <c r="C21" s="388"/>
      <c r="D21" s="489" t="s">
        <v>35</v>
      </c>
      <c r="E21" s="490"/>
      <c r="F21" s="294"/>
      <c r="G21" s="294"/>
      <c r="H21" s="348"/>
      <c r="I21" s="24" t="s">
        <v>17</v>
      </c>
      <c r="J21" s="25" t="s">
        <v>36</v>
      </c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A22" s="28"/>
      <c r="B22" s="577" t="str">
        <f>I22</f>
        <v>CARIB</v>
      </c>
      <c r="C22" s="362" cm="1">
        <f t="array" ref="C22:C33">[22]Process!$D$786:$D$797</f>
        <v>12</v>
      </c>
      <c r="D22" s="515">
        <v>12.03</v>
      </c>
      <c r="E22" s="516"/>
      <c r="F22" s="294"/>
      <c r="G22" s="294"/>
      <c r="H22" s="348"/>
      <c r="I22" s="29" t="s">
        <v>6</v>
      </c>
      <c r="J22" s="280"/>
      <c r="K22" s="284">
        <f>COUNTA([22]Brewhouse!$A$823:$A$862,[23]Brewhouse!$A$420:$A$423,[22]Brewhouse!$A$867:$A$870)</f>
        <v>48</v>
      </c>
      <c r="L22" s="305">
        <f>AVERAGE([22]Brewhouse!$AU$823:$AU$862,[23]Brewhouse!$AS$420:$AS$423,[22]Brewhouse!$AU$867:$AU$870)</f>
        <v>97.48330133540945</v>
      </c>
      <c r="M22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$870)</f>
        <v>97.691359587943339</v>
      </c>
      <c r="N22" s="30">
        <v>98</v>
      </c>
      <c r="O22" s="11"/>
      <c r="P22" s="31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1:27" ht="15" customHeight="1">
      <c r="A23" s="28"/>
      <c r="B23" s="578"/>
      <c r="C23" s="362">
        <v>11.7</v>
      </c>
      <c r="D23" s="517"/>
      <c r="E23" s="518"/>
      <c r="F23" s="294"/>
      <c r="G23" s="294"/>
      <c r="H23" s="348"/>
      <c r="I23" s="33" t="s">
        <v>9</v>
      </c>
      <c r="J23" s="280">
        <f>AVERAGE(I10:I12)</f>
        <v>96.527845143985132</v>
      </c>
      <c r="K23" s="284">
        <f>COUNTA([23]Brewhouse!$A$399:$A$427)</f>
        <v>29</v>
      </c>
      <c r="L23" s="302">
        <f>AVERAGE([23]Brewhouse!$AS$399:$AS$426)</f>
        <v>97.713224958780984</v>
      </c>
      <c r="M23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$426)</f>
        <v>97.976678892796727</v>
      </c>
      <c r="N23" s="30">
        <v>98</v>
      </c>
      <c r="O23" s="11"/>
      <c r="P23" s="31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4.65" customHeight="1">
      <c r="A24" s="28"/>
      <c r="B24" s="578"/>
      <c r="C24" s="362">
        <v>11.7</v>
      </c>
      <c r="D24" s="515">
        <v>12.06</v>
      </c>
      <c r="E24" s="516"/>
      <c r="F24" s="294"/>
      <c r="G24" s="294"/>
      <c r="H24" s="348"/>
      <c r="I24" s="34" t="s">
        <v>12</v>
      </c>
      <c r="J24" s="280"/>
      <c r="K24" s="284">
        <f>COUNTA([24]Brewhouse!$A$99:$A$106)</f>
        <v>8</v>
      </c>
      <c r="L24" s="302">
        <f>AVERAGE([24]Brewhouse!$AU$99:$AU$106)</f>
        <v>94.823749681896615</v>
      </c>
      <c r="M24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78"/>
      <c r="C25" s="362">
        <v>11.8</v>
      </c>
      <c r="D25" s="517"/>
      <c r="E25" s="518"/>
      <c r="F25" s="294"/>
      <c r="G25" s="294"/>
      <c r="H25" s="348"/>
      <c r="I25" s="22" t="s">
        <v>33</v>
      </c>
      <c r="J25" s="280"/>
      <c r="K25" s="284"/>
      <c r="L25" s="302"/>
      <c r="M25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78"/>
      <c r="C26" s="362">
        <v>11.6</v>
      </c>
      <c r="D26" s="515">
        <v>11.9</v>
      </c>
      <c r="E26" s="516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78"/>
      <c r="C27" s="362">
        <v>11.6</v>
      </c>
      <c r="D27" s="517"/>
      <c r="E27" s="518"/>
      <c r="F27" s="417"/>
      <c r="G27" s="294"/>
      <c r="H27" s="348"/>
      <c r="I27" s="36" t="s">
        <v>15</v>
      </c>
      <c r="J27" s="323"/>
      <c r="K27" s="284"/>
      <c r="L27" s="302"/>
      <c r="M27" s="302">
        <f>AVERAGE([26]Brewhouse!$AT$4:$AT$11,[26]Brewhouse!$AT$13:$AT$16,[26]Brewhouse!$AT$18:$AT$21,[26]Brewhouse!$AT$26,[26]Brewhouse!$AT$28:$AT$35)</f>
        <v>94.794664331624134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  <c r="AA27" s="296"/>
    </row>
    <row r="28" spans="1:27" ht="14.65" customHeight="1">
      <c r="A28" s="28"/>
      <c r="B28" s="578"/>
      <c r="C28" s="362">
        <v>11.6</v>
      </c>
      <c r="D28" s="515">
        <v>11.79</v>
      </c>
      <c r="E28" s="516"/>
      <c r="F28" s="417"/>
      <c r="G28" s="294"/>
      <c r="H28" s="348"/>
      <c r="I28" s="37" t="s">
        <v>16</v>
      </c>
      <c r="J28" s="323"/>
      <c r="K28" s="284"/>
      <c r="L28" s="302"/>
      <c r="M28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28" s="30">
        <v>98</v>
      </c>
      <c r="O28" s="11"/>
      <c r="P28" s="31" t="s">
        <v>41</v>
      </c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78"/>
      <c r="C29" s="362">
        <v>11.6</v>
      </c>
      <c r="D29" s="517"/>
      <c r="E29" s="518"/>
      <c r="F29" s="294"/>
      <c r="G29" s="294"/>
      <c r="H29" s="348"/>
      <c r="I29" s="411" t="s">
        <v>158</v>
      </c>
      <c r="J29" s="326"/>
      <c r="K29" s="284"/>
      <c r="L29" s="305"/>
      <c r="M29" s="305">
        <f>AVERAGE([28]Brewhouse!$AU$5:$AU$8,[28]Brewhouse!$AU$10:$AU$13,[27]Brewhouse!$AY$75:$AY$77)</f>
        <v>94.749192473706671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78"/>
      <c r="C30" s="349">
        <v>12</v>
      </c>
      <c r="D30" s="515">
        <v>11.79</v>
      </c>
      <c r="E30" s="516"/>
      <c r="F30" s="294"/>
      <c r="G30" s="294"/>
      <c r="H30" s="348"/>
      <c r="I30" s="410" t="s">
        <v>157</v>
      </c>
      <c r="J30" s="326"/>
      <c r="K30" s="284"/>
      <c r="L30" s="305"/>
      <c r="M30" s="305">
        <f>AVERAGE([29]Brewhouse!$AW$26:$AW$27)</f>
        <v>95.310680905194914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5" customHeight="1" thickBot="1">
      <c r="A31" s="28"/>
      <c r="B31" s="578"/>
      <c r="C31" s="349">
        <v>11.6</v>
      </c>
      <c r="D31" s="517"/>
      <c r="E31" s="518"/>
      <c r="F31" s="294"/>
      <c r="G31" s="294"/>
      <c r="H31" s="348"/>
      <c r="I31" s="406" t="s">
        <v>156</v>
      </c>
      <c r="J31" s="327"/>
      <c r="K31" s="407"/>
      <c r="L31" s="408"/>
      <c r="M31" s="408">
        <f>AVERAGE([30]Brewhouse!$AU$13:$AU$14)</f>
        <v>97.110575243268045</v>
      </c>
      <c r="N31" s="409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78"/>
      <c r="C32" s="349">
        <v>11.6</v>
      </c>
      <c r="D32" s="515">
        <v>11.82</v>
      </c>
      <c r="E32" s="516"/>
      <c r="F32" s="294"/>
      <c r="G32" s="294"/>
      <c r="H32" s="348"/>
      <c r="I32" s="1"/>
      <c r="J32" s="39"/>
      <c r="K32" s="404">
        <f>SUM(K22:K31)</f>
        <v>85</v>
      </c>
      <c r="L32" s="405">
        <f>((L22*K22)+(L23*K23)+(L24*K24)+(L25*K25)+(L26*K26)+(K29*L29)+(L27*K27)+(L28*K28)+(L31*K31))/(K32)</f>
        <v>97.311435121876173</v>
      </c>
      <c r="M32" s="405">
        <f>AVERAGE('[31]Jan 31st'!$L$65,'[32]Feb 28th'!$L$35,'[33]Mar. 31st'!$L$35,'[34]Apr. 30th'!$L$45,'[35]May 30th'!$L$37,'[36]June 30th'!$L$57,'[37]July 29th '!$L$44,'[38]Aug 29th'!$L$29,'[39]Sept 30th'!$L$35,L32)</f>
        <v>97.549093751869421</v>
      </c>
      <c r="N32" s="4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2:56" ht="15.75" thickBot="1">
      <c r="B33" s="579"/>
      <c r="C33" s="350">
        <v>11.9</v>
      </c>
      <c r="D33" s="517"/>
      <c r="E33" s="518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2:56" ht="15.75" thickBot="1">
      <c r="B34" s="562"/>
      <c r="C34" s="362"/>
      <c r="D34" s="528"/>
      <c r="E34" s="529"/>
      <c r="F34" s="294"/>
      <c r="G34" s="42"/>
      <c r="H34" s="41"/>
      <c r="I34" s="42"/>
      <c r="J34" s="563" t="s">
        <v>129</v>
      </c>
      <c r="K34" s="563"/>
      <c r="L34" s="294"/>
      <c r="M34" s="294"/>
      <c r="N34" s="294"/>
      <c r="O34" s="294"/>
      <c r="P34" s="12"/>
    </row>
    <row r="35" spans="2:56" ht="15.75" thickBot="1">
      <c r="B35" s="526"/>
      <c r="C35" s="362"/>
      <c r="D35" s="530"/>
      <c r="E35" s="518"/>
      <c r="F35" s="294"/>
      <c r="G35" s="42"/>
      <c r="H35" s="41"/>
      <c r="I35" s="42"/>
      <c r="J35" s="292" t="s">
        <v>17</v>
      </c>
      <c r="K35" s="293" t="s">
        <v>147</v>
      </c>
      <c r="L35" s="532" t="s">
        <v>136</v>
      </c>
      <c r="M35" s="532"/>
      <c r="N35" s="533"/>
      <c r="O35" s="294"/>
      <c r="P35" s="12"/>
    </row>
    <row r="36" spans="2:56" ht="15" customHeight="1" thickBot="1">
      <c r="B36" s="526"/>
      <c r="C36" s="349"/>
      <c r="D36" s="564"/>
      <c r="E36" s="565"/>
      <c r="F36" s="294"/>
      <c r="G36" s="42"/>
      <c r="H36" s="41"/>
      <c r="I36" s="42"/>
      <c r="J36" s="287" t="s">
        <v>6</v>
      </c>
      <c r="K36" s="324"/>
      <c r="L36" s="343" t="s">
        <v>37</v>
      </c>
      <c r="M36" s="307" t="s">
        <v>38</v>
      </c>
      <c r="N36" s="307" t="s">
        <v>84</v>
      </c>
      <c r="O36" s="294"/>
      <c r="P36" s="12"/>
    </row>
    <row r="37" spans="2:56" ht="15.75" customHeight="1" thickBot="1">
      <c r="B37" s="526"/>
      <c r="C37" s="349"/>
      <c r="D37" s="530"/>
      <c r="E37" s="518"/>
      <c r="F37" s="294"/>
      <c r="G37" s="42"/>
      <c r="H37" s="41"/>
      <c r="I37" s="42"/>
      <c r="J37" s="345" t="s">
        <v>9</v>
      </c>
      <c r="K37" s="324">
        <v>4</v>
      </c>
      <c r="L37" s="344">
        <f>AVERAGE('Oct. 1st'!K49,,'Oct. 2nd'!K51,'Oct. 3rd'!K46,'Oct. 6th'!K54,Oct.7th!K50,Oct.8th!K48,Oct.9th!K49,Oct.13th!K47,Oct.15th!K50,Oct.16th!K50,Oct.17th!K46)</f>
        <v>6.75</v>
      </c>
      <c r="M37" s="325">
        <f>AVERAGE('[31]Jan 29th '!$M$70,'[32]Feb 28th'!$L$40,'[33]Mar. 31st'!$L$40,'[34]Apr. 30th'!$L$50,'[35]May 30th'!$L$42,'[36]June 30th'!$L$62,'[37]July 29th '!$L$49,'[38]Aug 29th'!$L$34,'[39]Sept 30th'!$L$40,L37)</f>
        <v>6.9811277776380747</v>
      </c>
      <c r="N37" s="416">
        <v>9.1999999999999993</v>
      </c>
      <c r="O37" s="294"/>
      <c r="P37" s="12"/>
    </row>
    <row r="38" spans="2:56" ht="15" customHeight="1">
      <c r="B38" s="526"/>
      <c r="C38" s="349"/>
      <c r="D38" s="564"/>
      <c r="E38" s="565"/>
      <c r="F38" s="294"/>
      <c r="G38" s="42"/>
      <c r="H38" s="41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6"/>
      <c r="C39" s="349"/>
      <c r="D39" s="530"/>
      <c r="E39" s="518"/>
      <c r="F39" s="294"/>
      <c r="G39" s="42"/>
      <c r="H39" s="41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6"/>
      <c r="C40" s="349"/>
      <c r="D40" s="564"/>
      <c r="E40" s="565"/>
      <c r="F40" s="294"/>
      <c r="G40" s="42"/>
      <c r="H40" s="41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6"/>
      <c r="C41" s="349"/>
      <c r="D41" s="530"/>
      <c r="E41" s="518"/>
      <c r="F41" s="294"/>
      <c r="G41" s="42"/>
      <c r="H41" s="41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6"/>
      <c r="C42" s="349"/>
      <c r="D42" s="564"/>
      <c r="E42" s="565"/>
      <c r="F42" s="294"/>
      <c r="G42" s="42"/>
      <c r="H42" s="41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6"/>
      <c r="C43" s="350"/>
      <c r="D43" s="566"/>
      <c r="E43" s="567"/>
      <c r="F43" s="294" t="s">
        <v>178</v>
      </c>
      <c r="G43" s="42"/>
      <c r="H43" s="41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60">
        <f>AVERAGE(D22:E43)</f>
        <v>11.898333333333333</v>
      </c>
      <c r="E44" s="561"/>
      <c r="F44" s="294"/>
      <c r="H44" s="41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2"/>
      <c r="J46" s="346" t="s">
        <v>130</v>
      </c>
      <c r="K46" s="324">
        <f>SUM(K36:K45)</f>
        <v>4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40" t="s">
        <v>17</v>
      </c>
      <c r="C49" s="540" t="s">
        <v>44</v>
      </c>
      <c r="D49" s="542" t="s">
        <v>45</v>
      </c>
      <c r="E49" s="497" t="s">
        <v>46</v>
      </c>
      <c r="F49" s="557" t="s">
        <v>47</v>
      </c>
      <c r="G49" s="551" t="s">
        <v>48</v>
      </c>
      <c r="H49" s="540" t="s">
        <v>49</v>
      </c>
      <c r="I49" s="540" t="s">
        <v>50</v>
      </c>
      <c r="J49" s="545" t="s">
        <v>28</v>
      </c>
      <c r="K49" s="495" t="s">
        <v>51</v>
      </c>
      <c r="L49" s="507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1"/>
      <c r="C50" s="541"/>
      <c r="D50" s="543"/>
      <c r="E50" s="544"/>
      <c r="F50" s="558"/>
      <c r="G50" s="552"/>
      <c r="H50" s="559"/>
      <c r="I50" s="559"/>
      <c r="J50" s="546"/>
      <c r="K50" s="555"/>
      <c r="L50" s="556"/>
      <c r="M50" s="546"/>
      <c r="N50" s="13"/>
      <c r="O50" s="13"/>
      <c r="P50" s="50"/>
      <c r="Q50" s="355"/>
      <c r="AB50" s="51">
        <v>43474</v>
      </c>
      <c r="AC50" s="51">
        <v>43475</v>
      </c>
      <c r="AD50" s="51">
        <v>43476</v>
      </c>
      <c r="AE50" s="51">
        <v>43477</v>
      </c>
      <c r="AF50" s="51">
        <v>43478</v>
      </c>
      <c r="AG50" s="51">
        <v>43479</v>
      </c>
      <c r="AH50" s="51">
        <v>43480</v>
      </c>
      <c r="AI50" s="51">
        <v>43481</v>
      </c>
      <c r="AJ50" s="51">
        <v>43482</v>
      </c>
      <c r="AK50" s="51">
        <v>43483</v>
      </c>
      <c r="AL50" s="51">
        <v>43484</v>
      </c>
      <c r="AM50" s="51">
        <v>43485</v>
      </c>
      <c r="AN50" s="51">
        <v>43486</v>
      </c>
      <c r="AO50" s="51">
        <v>43487</v>
      </c>
      <c r="AP50" s="51">
        <v>43488</v>
      </c>
      <c r="AQ50" s="51">
        <v>43489</v>
      </c>
      <c r="AR50" s="51">
        <v>43490</v>
      </c>
      <c r="AS50" s="51">
        <v>43491</v>
      </c>
      <c r="AT50" s="51">
        <v>43492</v>
      </c>
      <c r="AU50" s="51">
        <v>43493</v>
      </c>
      <c r="AV50" s="51">
        <v>43494</v>
      </c>
      <c r="AW50" s="51">
        <v>43495</v>
      </c>
      <c r="AX50" s="51">
        <v>43496</v>
      </c>
    </row>
    <row r="51" spans="2:57" s="54" customFormat="1" ht="59.45" customHeight="1" thickBot="1">
      <c r="B51" s="460" t="str">
        <f>J36</f>
        <v>CARIB</v>
      </c>
      <c r="C51" s="442">
        <v>45947</v>
      </c>
      <c r="D51" s="443">
        <f>[40]October_2025!$T$3</f>
        <v>606.70000000000005</v>
      </c>
      <c r="E51" s="444"/>
      <c r="F51" s="445"/>
      <c r="G51" s="445">
        <f>[40]October_2025!$T$7</f>
        <v>575.09999999999991</v>
      </c>
      <c r="H51" s="462"/>
      <c r="I51" s="462"/>
      <c r="J51" s="449" t="s">
        <v>167</v>
      </c>
      <c r="K51" s="450">
        <f>[41]October_2025!$T$18</f>
        <v>1.0089473684210524</v>
      </c>
      <c r="L51" s="461">
        <f>(((D51+E51)-G51)/(D51+E51))*100</f>
        <v>5.2085050271963302</v>
      </c>
      <c r="M51" s="457" t="s">
        <v>190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[20]January_2019!L7</f>
        <v>285.8</v>
      </c>
      <c r="AC51" s="57">
        <f>[20]January_2019!M7</f>
        <v>508.1</v>
      </c>
      <c r="AD51" s="57">
        <f>[20]January_2019!N7</f>
        <v>0</v>
      </c>
      <c r="AE51" s="57">
        <f>[20]January_2019!O7</f>
        <v>0</v>
      </c>
      <c r="AF51" s="57">
        <f>[20]January_2019!P7</f>
        <v>109.56666666666666</v>
      </c>
      <c r="AG51" s="57">
        <f>[20]January_2019!Q7</f>
        <v>297.64999999999998</v>
      </c>
      <c r="AH51" s="57">
        <f>[20]January_2019!R7</f>
        <v>122.3</v>
      </c>
      <c r="AI51" s="57">
        <f>[20]January_2019!S7</f>
        <v>0</v>
      </c>
      <c r="AJ51" s="57">
        <f>[20]January_2019!T7</f>
        <v>294.7</v>
      </c>
      <c r="AK51" s="57">
        <f>[20]January_2019!U7</f>
        <v>280.5</v>
      </c>
      <c r="AL51" s="57">
        <f>[20]January_2019!V7</f>
        <v>0</v>
      </c>
      <c r="AM51" s="57">
        <f>[20]January_2019!W7</f>
        <v>0</v>
      </c>
      <c r="AN51" s="57">
        <f>[20]January_2019!X7</f>
        <v>188.25</v>
      </c>
      <c r="AO51" s="57">
        <f>[20]January_2019!Y7</f>
        <v>295.7</v>
      </c>
      <c r="AP51" s="57">
        <f>[20]January_2019!Z7</f>
        <v>257.8</v>
      </c>
      <c r="AQ51" s="57">
        <f>[20]January_2019!AA7</f>
        <v>291.2</v>
      </c>
      <c r="AR51" s="57">
        <f>[20]January_2019!AB7</f>
        <v>187</v>
      </c>
      <c r="AS51" s="57">
        <f>[20]January_2019!AC7</f>
        <v>0</v>
      </c>
      <c r="AT51" s="57">
        <f>[20]January_2019!AD7</f>
        <v>0</v>
      </c>
      <c r="AU51" s="57">
        <f>[20]January_2019!AE7</f>
        <v>485.1</v>
      </c>
      <c r="AV51" s="57">
        <f>[20]January_2019!AF7</f>
        <v>171.55</v>
      </c>
      <c r="AW51" s="57">
        <f>[20]January_2019!AG7</f>
        <v>423.8</v>
      </c>
      <c r="AX51" s="277">
        <f>[20]January_2019!AH7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20.45" hidden="1" customHeight="1" thickBot="1">
      <c r="B52" s="458"/>
      <c r="C52" s="431"/>
      <c r="D52" s="432"/>
      <c r="E52" s="433"/>
      <c r="F52" s="434"/>
      <c r="G52" s="435"/>
      <c r="H52" s="429"/>
      <c r="I52" s="429"/>
      <c r="J52" s="452"/>
      <c r="K52" s="437"/>
      <c r="L52" s="453"/>
      <c r="M52" s="422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59.45" hidden="1" customHeight="1" thickBot="1">
      <c r="B53" s="460" t="str">
        <f>J36</f>
        <v>CARIB</v>
      </c>
      <c r="C53" s="442">
        <v>45945</v>
      </c>
      <c r="D53" s="443"/>
      <c r="E53" s="444"/>
      <c r="F53" s="445"/>
      <c r="G53" s="446"/>
      <c r="H53" s="462"/>
      <c r="I53" s="462"/>
      <c r="J53" s="449"/>
      <c r="K53" s="466"/>
      <c r="L53" s="461"/>
      <c r="M53" s="457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4"/>
      <c r="C54" s="431"/>
      <c r="D54" s="432"/>
      <c r="E54" s="433"/>
      <c r="F54" s="434"/>
      <c r="G54" s="435"/>
      <c r="H54" s="436"/>
      <c r="I54" s="451"/>
      <c r="J54" s="452"/>
      <c r="K54" s="437" t="s">
        <v>41</v>
      </c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6.6" hidden="1" customHeight="1" thickBot="1">
      <c r="B55" s="387"/>
      <c r="C55" s="442"/>
      <c r="D55" s="443"/>
      <c r="E55" s="444"/>
      <c r="F55" s="445"/>
      <c r="G55" s="446"/>
      <c r="H55" s="447"/>
      <c r="I55" s="448"/>
      <c r="J55" s="449"/>
      <c r="K55" s="450"/>
      <c r="L55" s="455" t="e">
        <f>(((D55+E55)-G55)/(D55+E55))*100</f>
        <v>#DIV/0!</v>
      </c>
      <c r="M55" s="45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8"/>
      <c r="C56" s="424"/>
      <c r="D56" s="425"/>
      <c r="E56" s="426"/>
      <c r="F56" s="427"/>
      <c r="G56" s="428"/>
      <c r="H56" s="429"/>
      <c r="I56" s="439"/>
      <c r="J56" s="440"/>
      <c r="K56" s="430"/>
      <c r="L56" s="441"/>
      <c r="M56" s="423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47" t="s">
        <v>55</v>
      </c>
      <c r="C58" s="548"/>
      <c r="D58" s="548"/>
      <c r="E58" s="548"/>
      <c r="F58" s="549"/>
      <c r="G58" s="547" t="s">
        <v>56</v>
      </c>
      <c r="H58" s="548"/>
      <c r="I58" s="548"/>
      <c r="J58" s="549"/>
      <c r="K58" s="547" t="s">
        <v>51</v>
      </c>
      <c r="L58" s="548"/>
      <c r="M58" s="548"/>
      <c r="N58" s="550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>
        <f>L51</f>
        <v>5.2085050271963302</v>
      </c>
      <c r="D60" s="76">
        <v>5.3452669525762673</v>
      </c>
      <c r="E60" s="76">
        <v>6.294078678360747</v>
      </c>
      <c r="F60" s="66">
        <v>4.8</v>
      </c>
      <c r="G60" s="65">
        <f>[40]October_2025!$T$11</f>
        <v>2.8679742871271157</v>
      </c>
      <c r="H60" s="76">
        <v>3.4186238271339571</v>
      </c>
      <c r="I60" s="76">
        <v>6.0925847116537604</v>
      </c>
      <c r="J60" s="66">
        <v>4.8</v>
      </c>
      <c r="K60" s="67">
        <f>K51</f>
        <v>1.0089473684210524</v>
      </c>
      <c r="L60" s="194">
        <v>0.7304777378398748</v>
      </c>
      <c r="M60" s="194">
        <v>0.76670807263070795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3.2967032967032899</v>
      </c>
      <c r="E61" s="76">
        <v>5.7279886212748821</v>
      </c>
      <c r="F61" s="66">
        <v>4.8</v>
      </c>
      <c r="G61" s="65"/>
      <c r="H61" s="76">
        <v>3.5998660810754992</v>
      </c>
      <c r="I61" s="76">
        <v>5.5540404226710187</v>
      </c>
      <c r="J61" s="66">
        <v>4.8</v>
      </c>
      <c r="K61" s="67"/>
      <c r="L61" s="194">
        <v>0.71811851863775211</v>
      </c>
      <c r="M61" s="194">
        <v>0.71659459276745896</v>
      </c>
      <c r="N61" s="68">
        <v>1</v>
      </c>
      <c r="P61" s="69"/>
    </row>
    <row r="62" spans="2:57" ht="15">
      <c r="B62" s="34" t="s">
        <v>40</v>
      </c>
      <c r="C62" s="65"/>
      <c r="D62" s="76">
        <v>9.535333978702802</v>
      </c>
      <c r="E62" s="76">
        <v>11.690789306336304</v>
      </c>
      <c r="F62" s="66">
        <v>5.5</v>
      </c>
      <c r="G62" s="65"/>
      <c r="H62" s="76">
        <v>9.7076284177373999</v>
      </c>
      <c r="I62" s="76">
        <v>12.617010368159198</v>
      </c>
      <c r="J62" s="66">
        <v>5.5</v>
      </c>
      <c r="K62" s="67"/>
      <c r="L62" s="194">
        <v>0.9345</v>
      </c>
      <c r="M62" s="194">
        <v>0.54931804556354924</v>
      </c>
      <c r="N62" s="68">
        <v>1</v>
      </c>
      <c r="P62" s="69"/>
    </row>
    <row r="63" spans="2:57" ht="15">
      <c r="B63" s="22" t="s">
        <v>33</v>
      </c>
      <c r="C63" s="65"/>
      <c r="D63" s="76"/>
      <c r="E63" s="76">
        <v>5.119233255999676</v>
      </c>
      <c r="F63" s="66">
        <v>3.3</v>
      </c>
      <c r="G63" s="65"/>
      <c r="H63" s="76"/>
      <c r="I63" s="76">
        <v>4.4772094679692334</v>
      </c>
      <c r="J63" s="66">
        <v>3.3</v>
      </c>
      <c r="K63" s="67"/>
      <c r="L63" s="194"/>
      <c r="M63" s="194">
        <v>0.80025950292397652</v>
      </c>
      <c r="N63" s="68">
        <v>1</v>
      </c>
      <c r="P63" s="69"/>
    </row>
    <row r="64" spans="2:57" ht="15">
      <c r="B64" s="35" t="s">
        <v>165</v>
      </c>
      <c r="C64" s="65"/>
      <c r="D64" s="76"/>
      <c r="E64" s="76">
        <v>7.837301587301579</v>
      </c>
      <c r="F64" s="66">
        <v>3.3</v>
      </c>
      <c r="G64" s="282"/>
      <c r="H64" s="76"/>
      <c r="I64" s="76">
        <v>5.3377569154690221</v>
      </c>
      <c r="J64" s="66">
        <v>3</v>
      </c>
      <c r="K64" s="67"/>
      <c r="L64" s="194"/>
      <c r="M64" s="194">
        <v>0.32596491228070179</v>
      </c>
      <c r="N64" s="68">
        <v>1</v>
      </c>
      <c r="P64" s="69"/>
    </row>
    <row r="65" spans="2:16" ht="15">
      <c r="B65" s="36" t="s">
        <v>15</v>
      </c>
      <c r="C65" s="65"/>
      <c r="D65" s="76"/>
      <c r="E65" s="76">
        <v>7.3129862357869699</v>
      </c>
      <c r="F65" s="70">
        <f>[21]May_2022!$M$43</f>
        <v>3.4878406700073312</v>
      </c>
      <c r="G65" s="282"/>
      <c r="H65" s="76"/>
      <c r="I65" s="76">
        <v>8.6614709463340702</v>
      </c>
      <c r="J65" s="66">
        <v>5.5</v>
      </c>
      <c r="K65" s="67"/>
      <c r="L65" s="194"/>
      <c r="M65" s="194">
        <v>0.73160818713450293</v>
      </c>
      <c r="N65" s="68">
        <v>1</v>
      </c>
      <c r="P65" s="69"/>
    </row>
    <row r="66" spans="2:16" ht="15">
      <c r="B66" s="37" t="s">
        <v>16</v>
      </c>
      <c r="C66" s="65"/>
      <c r="D66" s="76">
        <v>2.0782986950217497</v>
      </c>
      <c r="E66" s="76">
        <v>2.8629317642487306</v>
      </c>
      <c r="F66" s="66">
        <v>3.3</v>
      </c>
      <c r="G66" s="282"/>
      <c r="H66" s="76">
        <v>3.4559849687930924</v>
      </c>
      <c r="I66" s="76">
        <v>4.3478819741669881</v>
      </c>
      <c r="J66" s="66">
        <v>3.3</v>
      </c>
      <c r="K66" s="67"/>
      <c r="L66" s="194">
        <v>0.88859649122807016</v>
      </c>
      <c r="M66" s="194">
        <v>0.85935680751173715</v>
      </c>
      <c r="N66" s="71">
        <v>1</v>
      </c>
      <c r="P66" s="69"/>
    </row>
    <row r="67" spans="2:16" ht="15.75" thickBot="1">
      <c r="B67" s="38" t="s">
        <v>164</v>
      </c>
      <c r="C67" s="65"/>
      <c r="D67" s="76"/>
      <c r="E67" s="76">
        <v>11.483253588516746</v>
      </c>
      <c r="F67" s="66">
        <v>7.5</v>
      </c>
      <c r="G67" s="282"/>
      <c r="H67" s="76"/>
      <c r="I67" s="76">
        <v>9.7934336121043764</v>
      </c>
      <c r="J67" s="66">
        <v>7.5</v>
      </c>
      <c r="K67" s="67"/>
      <c r="M67" s="194">
        <v>0.32456140350877194</v>
      </c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>
        <v>7.2653644592663174</v>
      </c>
      <c r="F68" s="66">
        <v>4.8</v>
      </c>
      <c r="G68" s="282"/>
      <c r="H68" s="76"/>
      <c r="I68" s="76">
        <v>8.1715311054411259</v>
      </c>
      <c r="J68" s="66">
        <v>4.8</v>
      </c>
      <c r="K68" s="67"/>
      <c r="L68" s="194"/>
      <c r="M68" s="194">
        <v>0.51368421052631585</v>
      </c>
      <c r="N68" s="71">
        <v>1</v>
      </c>
      <c r="O68" s="74"/>
      <c r="P68" s="75"/>
    </row>
    <row r="69" spans="2:16" ht="15">
      <c r="D69" s="76">
        <v>4.3876467261617211</v>
      </c>
      <c r="E69" s="76">
        <v>6.2704885460599877</v>
      </c>
      <c r="F69" s="341">
        <v>5.5</v>
      </c>
      <c r="H69" s="76">
        <v>3.9778434429200522</v>
      </c>
      <c r="I69" s="76">
        <v>6.4347573549981565</v>
      </c>
      <c r="J69" s="341">
        <v>5.5</v>
      </c>
      <c r="L69" s="194">
        <v>0.75598958333333333</v>
      </c>
      <c r="M69" s="194">
        <v>0.73261710631494814</v>
      </c>
      <c r="N69" s="386">
        <v>1</v>
      </c>
    </row>
    <row r="73" spans="2:16">
      <c r="F73" s="315"/>
    </row>
    <row r="74" spans="2:16" ht="15">
      <c r="F74" s="341"/>
    </row>
  </sheetData>
  <mergeCells count="51">
    <mergeCell ref="M49:M50"/>
    <mergeCell ref="B58:F58"/>
    <mergeCell ref="G58:J58"/>
    <mergeCell ref="K58:N58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1720" priority="139" operator="notBetween">
      <formula>#REF!</formula>
      <formula>#REF!</formula>
    </cfRule>
  </conditionalFormatting>
  <conditionalFormatting sqref="C48">
    <cfRule type="cellIs" dxfId="1719" priority="171" stopIfTrue="1" operator="greaterThan">
      <formula>100</formula>
    </cfRule>
    <cfRule type="cellIs" dxfId="1718" priority="170" stopIfTrue="1" operator="lessThan">
      <formula>96</formula>
    </cfRule>
  </conditionalFormatting>
  <conditionalFormatting sqref="C60:C64">
    <cfRule type="cellIs" dxfId="1717" priority="120" stopIfTrue="1" operator="lessThanOrEqual">
      <formula>0</formula>
    </cfRule>
  </conditionalFormatting>
  <conditionalFormatting sqref="C60:C68">
    <cfRule type="cellIs" dxfId="1716" priority="119" stopIfTrue="1" operator="greaterThan">
      <formula>$F60</formula>
    </cfRule>
  </conditionalFormatting>
  <conditionalFormatting sqref="C61">
    <cfRule type="cellIs" dxfId="1715" priority="174" stopIfTrue="1" operator="greaterThan">
      <formula>$F60</formula>
    </cfRule>
  </conditionalFormatting>
  <conditionalFormatting sqref="C65">
    <cfRule type="cellIs" dxfId="1714" priority="58" stopIfTrue="1" operator="greaterThan">
      <formula>$F64</formula>
    </cfRule>
    <cfRule type="cellIs" dxfId="1713" priority="57" stopIfTrue="1" operator="lessThanOrEqual">
      <formula>0</formula>
    </cfRule>
  </conditionalFormatting>
  <conditionalFormatting sqref="C71:C75">
    <cfRule type="cellIs" dxfId="1712" priority="162" stopIfTrue="1" operator="lessThanOrEqual">
      <formula>0</formula>
    </cfRule>
  </conditionalFormatting>
  <conditionalFormatting sqref="C72:C75">
    <cfRule type="cellIs" dxfId="1711" priority="161" stopIfTrue="1" operator="greaterThan">
      <formula>$F$71</formula>
    </cfRule>
  </conditionalFormatting>
  <conditionalFormatting sqref="C77">
    <cfRule type="cellIs" dxfId="1710" priority="164" stopIfTrue="1" operator="lessThanOrEqual">
      <formula>0</formula>
    </cfRule>
    <cfRule type="cellIs" dxfId="1709" priority="163" stopIfTrue="1" operator="greaterThan">
      <formula>$F$71</formula>
    </cfRule>
  </conditionalFormatting>
  <conditionalFormatting sqref="C71:D71 D73:D79">
    <cfRule type="cellIs" dxfId="1708" priority="156" stopIfTrue="1" operator="greaterThan">
      <formula>4.5</formula>
    </cfRule>
  </conditionalFormatting>
  <conditionalFormatting sqref="D44:D45">
    <cfRule type="cellIs" dxfId="1707" priority="140" operator="notBetween">
      <formula>#REF!</formula>
      <formula>#REF!</formula>
    </cfRule>
  </conditionalFormatting>
  <conditionalFormatting sqref="D60:D67">
    <cfRule type="cellIs" dxfId="1706" priority="134" stopIfTrue="1" operator="lessThanOrEqual">
      <formula>0</formula>
    </cfRule>
  </conditionalFormatting>
  <conditionalFormatting sqref="D68">
    <cfRule type="cellIs" dxfId="1705" priority="133" stopIfTrue="1" operator="lessThanOrEqual">
      <formula>0</formula>
    </cfRule>
  </conditionalFormatting>
  <conditionalFormatting sqref="D71 D73:D79">
    <cfRule type="cellIs" dxfId="1704" priority="157" stopIfTrue="1" operator="lessThanOrEqual">
      <formula>0</formula>
    </cfRule>
  </conditionalFormatting>
  <conditionalFormatting sqref="D72">
    <cfRule type="cellIs" dxfId="1703" priority="149" stopIfTrue="1" operator="lessThanOrEqual">
      <formula>0</formula>
    </cfRule>
    <cfRule type="cellIs" dxfId="1702" priority="148" stopIfTrue="1" operator="greaterThan">
      <formula>$F$71</formula>
    </cfRule>
  </conditionalFormatting>
  <conditionalFormatting sqref="D60:E69">
    <cfRule type="cellIs" dxfId="1701" priority="117" stopIfTrue="1" operator="greaterThan">
      <formula>$F60</formula>
    </cfRule>
  </conditionalFormatting>
  <conditionalFormatting sqref="D69:E69">
    <cfRule type="cellIs" dxfId="1700" priority="118" stopIfTrue="1" operator="lessThanOrEqual">
      <formula>0</formula>
    </cfRule>
  </conditionalFormatting>
  <conditionalFormatting sqref="E10:E19">
    <cfRule type="cellIs" dxfId="1699" priority="36" operator="lessThan">
      <formula>48</formula>
    </cfRule>
  </conditionalFormatting>
  <conditionalFormatting sqref="E47 E48:F48">
    <cfRule type="cellIs" dxfId="1698" priority="153" stopIfTrue="1" operator="greaterThan">
      <formula>100</formula>
    </cfRule>
  </conditionalFormatting>
  <conditionalFormatting sqref="E48">
    <cfRule type="cellIs" dxfId="1697" priority="151" stopIfTrue="1" operator="greaterThan">
      <formula>100</formula>
    </cfRule>
    <cfRule type="cellIs" dxfId="1696" priority="150" stopIfTrue="1" operator="lessThan">
      <formula>96.8</formula>
    </cfRule>
  </conditionalFormatting>
  <conditionalFormatting sqref="E60:E68">
    <cfRule type="cellIs" dxfId="1695" priority="128" stopIfTrue="1" operator="lessThanOrEqual">
      <formula>0</formula>
    </cfRule>
  </conditionalFormatting>
  <conditionalFormatting sqref="E71:E79">
    <cfRule type="cellIs" dxfId="1694" priority="142" stopIfTrue="1" operator="greaterThan">
      <formula>4.5</formula>
    </cfRule>
    <cfRule type="cellIs" dxfId="1693" priority="143" stopIfTrue="1" operator="lessThanOrEqual">
      <formula>0</formula>
    </cfRule>
  </conditionalFormatting>
  <conditionalFormatting sqref="E48:F48 E47">
    <cfRule type="cellIs" dxfId="1692" priority="152" stopIfTrue="1" operator="lessThan">
      <formula>96.5</formula>
    </cfRule>
  </conditionalFormatting>
  <conditionalFormatting sqref="F10:F19">
    <cfRule type="cellIs" dxfId="1691" priority="37" operator="greaterThan">
      <formula>60</formula>
    </cfRule>
  </conditionalFormatting>
  <conditionalFormatting sqref="F48">
    <cfRule type="cellIs" dxfId="1690" priority="169" stopIfTrue="1" operator="greaterThan">
      <formula>100</formula>
    </cfRule>
    <cfRule type="cellIs" dxfId="1689" priority="168" stopIfTrue="1" operator="lessThan">
      <formula>96.8</formula>
    </cfRule>
  </conditionalFormatting>
  <conditionalFormatting sqref="F69">
    <cfRule type="cellIs" dxfId="1688" priority="129" stopIfTrue="1" operator="greaterThan">
      <formula>$F69</formula>
    </cfRule>
    <cfRule type="cellIs" dxfId="1687" priority="130" stopIfTrue="1" operator="lessThanOrEqual">
      <formula>0</formula>
    </cfRule>
  </conditionalFormatting>
  <conditionalFormatting sqref="F74">
    <cfRule type="cellIs" dxfId="1686" priority="88" stopIfTrue="1" operator="lessThanOrEqual">
      <formula>0</formula>
    </cfRule>
    <cfRule type="cellIs" dxfId="1685" priority="87" stopIfTrue="1" operator="greaterThan">
      <formula>$F74</formula>
    </cfRule>
  </conditionalFormatting>
  <conditionalFormatting sqref="G14:G15 G17">
    <cfRule type="expression" dxfId="1684" priority="28">
      <formula>IF(+(IF(G14&lt;S14,0,IF(G14&gt;T14,0,1)))=0,1)</formula>
    </cfRule>
  </conditionalFormatting>
  <conditionalFormatting sqref="G60:G61 C66:C68">
    <cfRule type="cellIs" dxfId="1683" priority="136" stopIfTrue="1" operator="lessThanOrEqual">
      <formula>0</formula>
    </cfRule>
  </conditionalFormatting>
  <conditionalFormatting sqref="G60:G61">
    <cfRule type="cellIs" dxfId="1682" priority="135" stopIfTrue="1" operator="greaterThan">
      <formula>$F60</formula>
    </cfRule>
    <cfRule type="cellIs" dxfId="1681" priority="122" stopIfTrue="1" operator="lessThanOrEqual">
      <formula>0</formula>
    </cfRule>
    <cfRule type="cellIs" dxfId="1680" priority="121" stopIfTrue="1" operator="greaterThan">
      <formula>$F60</formula>
    </cfRule>
  </conditionalFormatting>
  <conditionalFormatting sqref="G62">
    <cfRule type="cellIs" dxfId="1679" priority="172" stopIfTrue="1" operator="greaterThan">
      <formula>$F61</formula>
    </cfRule>
    <cfRule type="cellIs" dxfId="1678" priority="173" stopIfTrue="1" operator="lessThanOrEqual">
      <formula>0</formula>
    </cfRule>
  </conditionalFormatting>
  <conditionalFormatting sqref="G63">
    <cfRule type="cellIs" dxfId="1677" priority="132" stopIfTrue="1" operator="lessThanOrEqual">
      <formula>0</formula>
    </cfRule>
    <cfRule type="cellIs" dxfId="1676" priority="131" stopIfTrue="1" operator="greaterThan">
      <formula>$F63</formula>
    </cfRule>
  </conditionalFormatting>
  <conditionalFormatting sqref="G64:G68">
    <cfRule type="cellIs" dxfId="1675" priority="137" stopIfTrue="1" operator="greaterThan">
      <formula>$J64</formula>
    </cfRule>
    <cfRule type="cellIs" dxfId="1674" priority="138" stopIfTrue="1" operator="lessThanOrEqual">
      <formula>0</formula>
    </cfRule>
  </conditionalFormatting>
  <conditionalFormatting sqref="G73:G78 C76 C78">
    <cfRule type="cellIs" dxfId="1673" priority="166" stopIfTrue="1" operator="lessThanOrEqual">
      <formula>0</formula>
    </cfRule>
    <cfRule type="cellIs" dxfId="1672" priority="165" stopIfTrue="1" operator="greaterThan">
      <formula>4.5</formula>
    </cfRule>
  </conditionalFormatting>
  <conditionalFormatting sqref="G72:H72">
    <cfRule type="cellIs" dxfId="1671" priority="146" stopIfTrue="1" operator="greaterThan">
      <formula>$F$71</formula>
    </cfRule>
    <cfRule type="cellIs" dxfId="1670" priority="147" stopIfTrue="1" operator="lessThanOrEqual">
      <formula>0</formula>
    </cfRule>
  </conditionalFormatting>
  <conditionalFormatting sqref="H33:H47">
    <cfRule type="cellIs" dxfId="1669" priority="144" stopIfTrue="1" operator="greaterThan">
      <formula>0</formula>
    </cfRule>
  </conditionalFormatting>
  <conditionalFormatting sqref="H51">
    <cfRule type="cellIs" dxfId="1668" priority="26" stopIfTrue="1" operator="lessThanOrEqual">
      <formula>0</formula>
    </cfRule>
    <cfRule type="cellIs" dxfId="1667" priority="25" stopIfTrue="1" operator="greaterThan">
      <formula>$F$69</formula>
    </cfRule>
    <cfRule type="cellIs" dxfId="1666" priority="24" stopIfTrue="1" operator="lessThanOrEqual">
      <formula>0</formula>
    </cfRule>
    <cfRule type="cellIs" dxfId="1665" priority="23" stopIfTrue="1" operator="greaterThan">
      <formula>$F$71</formula>
    </cfRule>
    <cfRule type="cellIs" dxfId="1664" priority="15" stopIfTrue="1" operator="greaterThan">
      <formula>$F$68</formula>
    </cfRule>
    <cfRule type="cellIs" dxfId="1663" priority="14" stopIfTrue="1" operator="lessThanOrEqual">
      <formula>0</formula>
    </cfRule>
  </conditionalFormatting>
  <conditionalFormatting sqref="H52">
    <cfRule type="cellIs" dxfId="1662" priority="83" stopIfTrue="1" operator="greaterThan">
      <formula>$F$20</formula>
    </cfRule>
    <cfRule type="cellIs" dxfId="1661" priority="74" stopIfTrue="1" operator="lessThanOrEqual">
      <formula>0</formula>
    </cfRule>
    <cfRule type="cellIs" dxfId="1660" priority="75" stopIfTrue="1" operator="greaterThan">
      <formula>#REF!</formula>
    </cfRule>
    <cfRule type="cellIs" dxfId="1659" priority="84" stopIfTrue="1" operator="lessThanOrEqual">
      <formula>0</formula>
    </cfRule>
    <cfRule type="cellIs" dxfId="1658" priority="85" stopIfTrue="1" operator="greaterThan">
      <formula>#REF!</formula>
    </cfRule>
    <cfRule type="cellIs" dxfId="1657" priority="86" stopIfTrue="1" operator="lessThanOrEqual">
      <formula>0</formula>
    </cfRule>
  </conditionalFormatting>
  <conditionalFormatting sqref="H53">
    <cfRule type="cellIs" dxfId="1656" priority="52" stopIfTrue="1" operator="lessThanOrEqual">
      <formula>0</formula>
    </cfRule>
    <cfRule type="cellIs" dxfId="1655" priority="51" stopIfTrue="1" operator="greaterThan">
      <formula>$F$62</formula>
    </cfRule>
    <cfRule type="cellIs" dxfId="1654" priority="40" stopIfTrue="1" operator="lessThanOrEqual">
      <formula>0</formula>
    </cfRule>
    <cfRule type="cellIs" dxfId="1653" priority="41" stopIfTrue="1" operator="greaterThan">
      <formula>$F$61</formula>
    </cfRule>
    <cfRule type="cellIs" dxfId="1652" priority="49" stopIfTrue="1" operator="greaterThan">
      <formula>$F$64</formula>
    </cfRule>
    <cfRule type="cellIs" dxfId="1651" priority="50" stopIfTrue="1" operator="lessThanOrEqual">
      <formula>0</formula>
    </cfRule>
  </conditionalFormatting>
  <conditionalFormatting sqref="H54:H55">
    <cfRule type="cellIs" dxfId="1650" priority="72" stopIfTrue="1" operator="lessThanOrEqual">
      <formula>0</formula>
    </cfRule>
    <cfRule type="cellIs" dxfId="1649" priority="71" stopIfTrue="1" operator="greaterThan">
      <formula>#REF!</formula>
    </cfRule>
    <cfRule type="cellIs" dxfId="1648" priority="70" stopIfTrue="1" operator="lessThanOrEqual">
      <formula>0</formula>
    </cfRule>
    <cfRule type="cellIs" dxfId="1647" priority="69" stopIfTrue="1" operator="greaterThan">
      <formula>$F$19</formula>
    </cfRule>
    <cfRule type="cellIs" dxfId="1646" priority="61" stopIfTrue="1" operator="greaterThan">
      <formula>#REF!</formula>
    </cfRule>
    <cfRule type="cellIs" dxfId="1645" priority="60" stopIfTrue="1" operator="lessThanOrEqual">
      <formula>0</formula>
    </cfRule>
  </conditionalFormatting>
  <conditionalFormatting sqref="H56">
    <cfRule type="cellIs" dxfId="1644" priority="91" stopIfTrue="1" operator="lessThanOrEqual">
      <formula>0</formula>
    </cfRule>
    <cfRule type="cellIs" dxfId="1643" priority="92" stopIfTrue="1" operator="greaterThan">
      <formula>$F$32</formula>
    </cfRule>
    <cfRule type="cellIs" dxfId="1642" priority="103" stopIfTrue="1" operator="lessThanOrEqual">
      <formula>0</formula>
    </cfRule>
    <cfRule type="cellIs" dxfId="1641" priority="102" stopIfTrue="1" operator="greaterThan">
      <formula>$F$33</formula>
    </cfRule>
    <cfRule type="cellIs" dxfId="1640" priority="101" stopIfTrue="1" operator="lessThanOrEqual">
      <formula>0</formula>
    </cfRule>
    <cfRule type="cellIs" dxfId="1639" priority="100" stopIfTrue="1" operator="greaterThan">
      <formula>$F$35</formula>
    </cfRule>
  </conditionalFormatting>
  <conditionalFormatting sqref="H60:H67">
    <cfRule type="cellIs" dxfId="1638" priority="123" stopIfTrue="1" operator="greaterThan">
      <formula>$J60</formula>
    </cfRule>
    <cfRule type="cellIs" dxfId="1637" priority="124" stopIfTrue="1" operator="lessThanOrEqual">
      <formula>0</formula>
    </cfRule>
  </conditionalFormatting>
  <conditionalFormatting sqref="H68">
    <cfRule type="cellIs" dxfId="1636" priority="125" operator="greaterThan">
      <formula>5.3</formula>
    </cfRule>
  </conditionalFormatting>
  <conditionalFormatting sqref="H71 H73:H79">
    <cfRule type="cellIs" dxfId="1635" priority="159" stopIfTrue="1" operator="lessThanOrEqual">
      <formula>0</formula>
    </cfRule>
    <cfRule type="cellIs" dxfId="1634" priority="158" stopIfTrue="1" operator="greaterThan">
      <formula>4.5</formula>
    </cfRule>
  </conditionalFormatting>
  <conditionalFormatting sqref="H51:I51">
    <cfRule type="cellIs" dxfId="1633" priority="13" stopIfTrue="1" operator="greaterThan">
      <formula>$F$70</formula>
    </cfRule>
    <cfRule type="cellIs" dxfId="1632" priority="16" stopIfTrue="1" operator="lessThanOrEqual">
      <formula>0</formula>
    </cfRule>
  </conditionalFormatting>
  <conditionalFormatting sqref="H52:I52">
    <cfRule type="cellIs" dxfId="1631" priority="73" stopIfTrue="1" operator="greaterThan">
      <formula>$F$19</formula>
    </cfRule>
    <cfRule type="cellIs" dxfId="1630" priority="76" stopIfTrue="1" operator="lessThanOrEqual">
      <formula>0</formula>
    </cfRule>
  </conditionalFormatting>
  <conditionalFormatting sqref="H53:I53">
    <cfRule type="cellIs" dxfId="1629" priority="39" stopIfTrue="1" operator="greaterThan">
      <formula>$F$63</formula>
    </cfRule>
    <cfRule type="cellIs" dxfId="1628" priority="42" stopIfTrue="1" operator="lessThanOrEqual">
      <formula>0</formula>
    </cfRule>
  </conditionalFormatting>
  <conditionalFormatting sqref="H54:I55">
    <cfRule type="cellIs" dxfId="1627" priority="62" stopIfTrue="1" operator="lessThanOrEqual">
      <formula>0</formula>
    </cfRule>
    <cfRule type="cellIs" dxfId="1626" priority="59" stopIfTrue="1" operator="greaterThan">
      <formula>#REF!</formula>
    </cfRule>
  </conditionalFormatting>
  <conditionalFormatting sqref="H56:I56">
    <cfRule type="cellIs" dxfId="1625" priority="90" stopIfTrue="1" operator="greaterThan">
      <formula>$F$34</formula>
    </cfRule>
    <cfRule type="cellIs" dxfId="1624" priority="93" stopIfTrue="1" operator="lessThanOrEqual">
      <formula>0</formula>
    </cfRule>
  </conditionalFormatting>
  <conditionalFormatting sqref="H69:I69">
    <cfRule type="cellIs" dxfId="1623" priority="116" stopIfTrue="1" operator="lessThanOrEqual">
      <formula>0</formula>
    </cfRule>
    <cfRule type="cellIs" dxfId="1622" priority="115" stopIfTrue="1" operator="greaterThan">
      <formula>$J69</formula>
    </cfRule>
  </conditionalFormatting>
  <conditionalFormatting sqref="I51">
    <cfRule type="cellIs" dxfId="1621" priority="17" stopIfTrue="1" operator="greaterThan">
      <formula>$F$68</formula>
    </cfRule>
    <cfRule type="cellIs" dxfId="1620" priority="18" stopIfTrue="1" operator="lessThanOrEqual">
      <formula>0</formula>
    </cfRule>
    <cfRule type="cellIs" dxfId="1619" priority="22" stopIfTrue="1" operator="lessThanOrEqual">
      <formula>0</formula>
    </cfRule>
    <cfRule type="cellIs" dxfId="1618" priority="21" stopIfTrue="1" operator="greaterThan">
      <formula>$F$68</formula>
    </cfRule>
    <cfRule type="cellIs" dxfId="1617" priority="20" stopIfTrue="1" operator="lessThanOrEqual">
      <formula>0</formula>
    </cfRule>
    <cfRule type="cellIs" dxfId="1616" priority="19" stopIfTrue="1" operator="greaterThan">
      <formula>$F$70</formula>
    </cfRule>
  </conditionalFormatting>
  <conditionalFormatting sqref="I52">
    <cfRule type="cellIs" dxfId="1615" priority="81" stopIfTrue="1" operator="greaterThan">
      <formula>#REF!</formula>
    </cfRule>
    <cfRule type="cellIs" dxfId="1614" priority="82" stopIfTrue="1" operator="lessThanOrEqual">
      <formula>0</formula>
    </cfRule>
    <cfRule type="cellIs" dxfId="1613" priority="77" stopIfTrue="1" operator="greaterThan">
      <formula>#REF!</formula>
    </cfRule>
    <cfRule type="cellIs" dxfId="1612" priority="78" stopIfTrue="1" operator="lessThanOrEqual">
      <formula>0</formula>
    </cfRule>
    <cfRule type="cellIs" dxfId="1611" priority="79" stopIfTrue="1" operator="greaterThan">
      <formula>$F$19</formula>
    </cfRule>
    <cfRule type="cellIs" dxfId="1610" priority="80" stopIfTrue="1" operator="lessThanOrEqual">
      <formula>0</formula>
    </cfRule>
  </conditionalFormatting>
  <conditionalFormatting sqref="I53">
    <cfRule type="cellIs" dxfId="1609" priority="43" stopIfTrue="1" operator="greaterThan">
      <formula>$F$61</formula>
    </cfRule>
    <cfRule type="cellIs" dxfId="1608" priority="48" stopIfTrue="1" operator="lessThanOrEqual">
      <formula>0</formula>
    </cfRule>
    <cfRule type="cellIs" dxfId="1607" priority="47" stopIfTrue="1" operator="greaterThan">
      <formula>$F$61</formula>
    </cfRule>
    <cfRule type="cellIs" dxfId="1606" priority="46" stopIfTrue="1" operator="lessThanOrEqual">
      <formula>0</formula>
    </cfRule>
    <cfRule type="cellIs" dxfId="1605" priority="45" stopIfTrue="1" operator="greaterThan">
      <formula>$F$63</formula>
    </cfRule>
    <cfRule type="cellIs" dxfId="1604" priority="44" stopIfTrue="1" operator="lessThanOrEqual">
      <formula>0</formula>
    </cfRule>
  </conditionalFormatting>
  <conditionalFormatting sqref="I54:I55">
    <cfRule type="cellIs" dxfId="1603" priority="63" stopIfTrue="1" operator="greaterThan">
      <formula>#REF!</formula>
    </cfRule>
    <cfRule type="cellIs" dxfId="1602" priority="64" stopIfTrue="1" operator="lessThanOrEqual">
      <formula>0</formula>
    </cfRule>
    <cfRule type="cellIs" dxfId="1601" priority="65" stopIfTrue="1" operator="greaterThan">
      <formula>#REF!</formula>
    </cfRule>
    <cfRule type="cellIs" dxfId="1600" priority="66" stopIfTrue="1" operator="lessThanOrEqual">
      <formula>0</formula>
    </cfRule>
    <cfRule type="cellIs" dxfId="1599" priority="67" stopIfTrue="1" operator="greaterThan">
      <formula>#REF!</formula>
    </cfRule>
    <cfRule type="cellIs" dxfId="1598" priority="68" stopIfTrue="1" operator="lessThanOrEqual">
      <formula>0</formula>
    </cfRule>
  </conditionalFormatting>
  <conditionalFormatting sqref="I56">
    <cfRule type="cellIs" dxfId="1597" priority="99" stopIfTrue="1" operator="lessThanOrEqual">
      <formula>0</formula>
    </cfRule>
    <cfRule type="cellIs" dxfId="1596" priority="98" stopIfTrue="1" operator="greaterThan">
      <formula>$F$32</formula>
    </cfRule>
    <cfRule type="cellIs" dxfId="1595" priority="97" stopIfTrue="1" operator="lessThanOrEqual">
      <formula>0</formula>
    </cfRule>
    <cfRule type="cellIs" dxfId="1594" priority="96" stopIfTrue="1" operator="greaterThan">
      <formula>$F$34</formula>
    </cfRule>
    <cfRule type="cellIs" dxfId="1593" priority="95" stopIfTrue="1" operator="lessThanOrEqual">
      <formula>0</formula>
    </cfRule>
    <cfRule type="cellIs" dxfId="1592" priority="94" stopIfTrue="1" operator="greaterThan">
      <formula>$F$32</formula>
    </cfRule>
  </conditionalFormatting>
  <conditionalFormatting sqref="I60:I68">
    <cfRule type="cellIs" dxfId="1591" priority="127" stopIfTrue="1" operator="lessThanOrEqual">
      <formula>0</formula>
    </cfRule>
    <cfRule type="cellIs" dxfId="1590" priority="126" stopIfTrue="1" operator="greaterThan">
      <formula>$J60</formula>
    </cfRule>
  </conditionalFormatting>
  <conditionalFormatting sqref="I71:I79">
    <cfRule type="cellIs" dxfId="1589" priority="154" stopIfTrue="1" operator="greaterThan">
      <formula>4.5</formula>
    </cfRule>
    <cfRule type="cellIs" dxfId="1588" priority="155" stopIfTrue="1" operator="lessThanOrEqual">
      <formula>0</formula>
    </cfRule>
  </conditionalFormatting>
  <conditionalFormatting sqref="I10:J19">
    <cfRule type="cellIs" dxfId="1587" priority="32" operator="lessThan">
      <formula>97.9</formula>
    </cfRule>
  </conditionalFormatting>
  <conditionalFormatting sqref="J22:J24">
    <cfRule type="cellIs" dxfId="1586" priority="105" stopIfTrue="1" operator="lessThan">
      <formula>96.8</formula>
    </cfRule>
    <cfRule type="cellIs" dxfId="1585" priority="106" stopIfTrue="1" operator="greaterThan">
      <formula>100</formula>
    </cfRule>
    <cfRule type="cellIs" dxfId="1584" priority="107" operator="lessThan">
      <formula>98</formula>
    </cfRule>
  </conditionalFormatting>
  <conditionalFormatting sqref="J22:J26">
    <cfRule type="cellIs" dxfId="1583" priority="104" operator="lessThan">
      <formula>97.4</formula>
    </cfRule>
  </conditionalFormatting>
  <conditionalFormatting sqref="J27">
    <cfRule type="cellIs" dxfId="1582" priority="108" operator="lessThan">
      <formula>98</formula>
    </cfRule>
  </conditionalFormatting>
  <conditionalFormatting sqref="J29:J30">
    <cfRule type="cellIs" dxfId="1581" priority="109" stopIfTrue="1" operator="lessThan">
      <formula>96.8</formula>
    </cfRule>
    <cfRule type="cellIs" dxfId="1580" priority="110" stopIfTrue="1" operator="greaterThan">
      <formula>100</formula>
    </cfRule>
  </conditionalFormatting>
  <conditionalFormatting sqref="J29:J31">
    <cfRule type="cellIs" dxfId="1579" priority="111" operator="lessThan">
      <formula>98</formula>
    </cfRule>
  </conditionalFormatting>
  <conditionalFormatting sqref="J69">
    <cfRule type="cellIs" dxfId="1578" priority="112" stopIfTrue="1" operator="greaterThan">
      <formula>$F69</formula>
    </cfRule>
    <cfRule type="cellIs" dxfId="1577" priority="113" stopIfTrue="1" operator="lessThanOrEqual">
      <formula>0</formula>
    </cfRule>
  </conditionalFormatting>
  <conditionalFormatting sqref="K10:K19">
    <cfRule type="cellIs" dxfId="1576" priority="35" operator="greaterThan">
      <formula>6.4</formula>
    </cfRule>
    <cfRule type="cellIs" dxfId="1575" priority="34" operator="lessThan">
      <formula>4</formula>
    </cfRule>
    <cfRule type="cellIs" dxfId="1574" priority="33" operator="greaterThan">
      <formula>6</formula>
    </cfRule>
  </conditionalFormatting>
  <conditionalFormatting sqref="K51:K56 K60:N66 K67 M67:N67 K68:N68">
    <cfRule type="cellIs" dxfId="1573" priority="89" stopIfTrue="1" operator="lessThan">
      <formula>100%</formula>
    </cfRule>
  </conditionalFormatting>
  <conditionalFormatting sqref="K71:K76">
    <cfRule type="cellIs" dxfId="1572" priority="160" stopIfTrue="1" operator="lessThan">
      <formula>100%</formula>
    </cfRule>
  </conditionalFormatting>
  <conditionalFormatting sqref="K78:K79">
    <cfRule type="cellIs" dxfId="1571" priority="167" stopIfTrue="1" operator="lessThan">
      <formula>100%</formula>
    </cfRule>
  </conditionalFormatting>
  <conditionalFormatting sqref="L10:M13 L14:L15">
    <cfRule type="cellIs" dxfId="1570" priority="12" operator="greaterThan">
      <formula>65</formula>
    </cfRule>
    <cfRule type="cellIs" dxfId="1569" priority="11" operator="between">
      <formula>61</formula>
      <formula>65</formula>
    </cfRule>
  </conditionalFormatting>
  <conditionalFormatting sqref="L16:M16 L17">
    <cfRule type="cellIs" dxfId="1568" priority="29" operator="between">
      <formula>61</formula>
      <formula>65</formula>
    </cfRule>
    <cfRule type="cellIs" dxfId="1567" priority="30" operator="greaterThan">
      <formula>65</formula>
    </cfRule>
  </conditionalFormatting>
  <conditionalFormatting sqref="L18:M18 L19">
    <cfRule type="cellIs" dxfId="1566" priority="54" operator="greaterThan">
      <formula>65</formula>
    </cfRule>
    <cfRule type="cellIs" dxfId="1565" priority="53" operator="between">
      <formula>61</formula>
      <formula>65</formula>
    </cfRule>
  </conditionalFormatting>
  <conditionalFormatting sqref="L22:M33">
    <cfRule type="cellIs" dxfId="1564" priority="55" operator="lessThan">
      <formula>97.95</formula>
    </cfRule>
  </conditionalFormatting>
  <conditionalFormatting sqref="L37:N37">
    <cfRule type="cellIs" dxfId="1563" priority="56" operator="notEqual">
      <formula>#REF!</formula>
    </cfRule>
  </conditionalFormatting>
  <conditionalFormatting sqref="L69:N69">
    <cfRule type="cellIs" dxfId="1562" priority="114" stopIfTrue="1" operator="lessThan">
      <formula>100%</formula>
    </cfRule>
  </conditionalFormatting>
  <conditionalFormatting sqref="L71:N79">
    <cfRule type="cellIs" dxfId="1561" priority="145" stopIfTrue="1" operator="lessThan">
      <formula>100%</formula>
    </cfRule>
  </conditionalFormatting>
  <conditionalFormatting sqref="M14:M15 M17">
    <cfRule type="expression" dxfId="1560" priority="27">
      <formula>IF(+(IF(M14&lt;U14,0,IF(M14&gt;V14,0,1)))=0,1)</formula>
    </cfRule>
  </conditionalFormatting>
  <conditionalFormatting sqref="M16 M10:M13 G10:G13 H10:H15 G16:H16 H17 M18 G18:H19">
    <cfRule type="expression" dxfId="1559" priority="38">
      <formula>IF(+(IF(G10&lt;#REF!,0,IF(G10&gt;#REF!,0,1)))=0,1)</formula>
    </cfRule>
  </conditionalFormatting>
  <conditionalFormatting sqref="M19:N19">
    <cfRule type="expression" dxfId="1558" priority="175">
      <formula>IF(+(IF(M19&lt;#REF!,0,IF(M19&gt;#REF!,0,1)))=0,1)</formula>
    </cfRule>
  </conditionalFormatting>
  <conditionalFormatting sqref="N10:N18">
    <cfRule type="expression" dxfId="1557" priority="31">
      <formula>IF(+(IF(N10&lt;W10,0,IF(N10&gt;X10,0,1)))=0,1)</formula>
    </cfRule>
  </conditionalFormatting>
  <conditionalFormatting sqref="P6">
    <cfRule type="cellIs" dxfId="1556" priority="141" operator="greaterThanOrEqual">
      <formula>19</formula>
    </cfRule>
  </conditionalFormatting>
  <dataValidations count="1">
    <dataValidation type="list" allowBlank="1" showInputMessage="1" showErrorMessage="1" sqref="R8" xr:uid="{52031B92-1030-4AD0-BA7D-BCB4CD907D7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C4CA-D271-4AAF-960B-ED00349BB9A6}">
  <sheetPr>
    <pageSetUpPr fitToPage="1"/>
  </sheetPr>
  <dimension ref="A1:BE78"/>
  <sheetViews>
    <sheetView zoomScale="80" zoomScaleNormal="8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45952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 t="s">
        <v>9</v>
      </c>
      <c r="C10" s="366" t="str">
        <f>[23]Brewhouse!$A428</f>
        <v>ST405</v>
      </c>
      <c r="D10" s="279">
        <f>[23]Brewhouse!$AD428</f>
        <v>47.7</v>
      </c>
      <c r="E10" s="279">
        <f>[23]Brewhouse!$AG428</f>
        <v>47.2</v>
      </c>
      <c r="F10" s="278">
        <f>[23]Brewhouse!$V428</f>
        <v>65</v>
      </c>
      <c r="G10" s="279">
        <f>[23]Brewhouse!$AE428</f>
        <v>11.8</v>
      </c>
      <c r="H10" s="396">
        <v>11.8</v>
      </c>
      <c r="I10" s="420">
        <f>[23]Brewhouse!$AS428</f>
        <v>92.673233606779775</v>
      </c>
      <c r="J10" s="420">
        <f>[23]Brewhouse!$AT428</f>
        <v>93.467002384110771</v>
      </c>
      <c r="K10" s="281">
        <f>[23]Brewhouse!$Q428</f>
        <v>12.811900191938575</v>
      </c>
      <c r="L10" s="276">
        <f>[23]Brewhouse!$P428</f>
        <v>58</v>
      </c>
      <c r="M10" s="374">
        <f>[23]Brewhouse!$U428-[23]Brewhouse!$T428</f>
        <v>0.11250000000000002</v>
      </c>
      <c r="N10" s="370">
        <f>[23]Brewhouse!$AW428</f>
        <v>0.24930555555555559</v>
      </c>
      <c r="O10" s="421" t="str">
        <f>[23]Brewhouse!$AV428</f>
        <v>R.Sookram</v>
      </c>
      <c r="P10" s="418"/>
      <c r="R10" s="277" t="str">
        <f t="shared" ref="R10:R37" si="0">B10</f>
        <v>STAG</v>
      </c>
      <c r="S10" s="296">
        <f t="shared" ref="S10:S37" si="1">VLOOKUP($B10,$R$3:$X$9,2,FALSE)</f>
        <v>11.6</v>
      </c>
      <c r="T10" s="296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296">
        <f t="shared" ref="Z10:Z37" si="8">VLOOKUP($B10,$R$3:$Z$9,9,FALSE)</f>
        <v>60</v>
      </c>
    </row>
    <row r="11" spans="2:29" ht="15" customHeight="1">
      <c r="B11" s="33" t="s">
        <v>9</v>
      </c>
      <c r="C11" s="366" t="str">
        <f>[23]Brewhouse!$A429</f>
        <v>ST406</v>
      </c>
      <c r="D11" s="279">
        <f>[23]Brewhouse!$AD429</f>
        <v>47.8</v>
      </c>
      <c r="E11" s="279">
        <f>[23]Brewhouse!$AG429</f>
        <v>48</v>
      </c>
      <c r="F11" s="278">
        <f>[23]Brewhouse!$V429</f>
        <v>56</v>
      </c>
      <c r="G11" s="279">
        <f>[23]Brewhouse!$AE429</f>
        <v>12.2</v>
      </c>
      <c r="H11" s="396">
        <v>11.8</v>
      </c>
      <c r="I11" s="420">
        <f>[23]Brewhouse!$AS429</f>
        <v>98.299248654282238</v>
      </c>
      <c r="J11" s="420">
        <f>[23]Brewhouse!$AT429</f>
        <v>98.196126401004378</v>
      </c>
      <c r="K11" s="281">
        <f>[23]Brewhouse!$Q429</f>
        <v>15.115163147792707</v>
      </c>
      <c r="L11" s="276">
        <f>[23]Brewhouse!$P429</f>
        <v>57</v>
      </c>
      <c r="M11" s="374">
        <f>[23]Brewhouse!$U429-[23]Brewhouse!$T429</f>
        <v>0.11874999999999997</v>
      </c>
      <c r="N11" s="370">
        <f>[23]Brewhouse!$AW429</f>
        <v>0.25624999999999998</v>
      </c>
      <c r="O11" s="421" t="str">
        <f>[23]Brewhouse!$AV429</f>
        <v>R.Sookram</v>
      </c>
      <c r="P11" s="418"/>
      <c r="R11" s="277" t="str">
        <f t="shared" ref="R11:R30" si="9">B11</f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33" t="s">
        <v>9</v>
      </c>
      <c r="C12" s="366" t="str">
        <f>[23]Brewhouse!$A430</f>
        <v>ST407</v>
      </c>
      <c r="D12" s="279">
        <f>[23]Brewhouse!$AD430</f>
        <v>47</v>
      </c>
      <c r="E12" s="279">
        <f>[23]Brewhouse!$AG430</f>
        <v>47.7</v>
      </c>
      <c r="F12" s="278">
        <f>[23]Brewhouse!$V430</f>
        <v>54</v>
      </c>
      <c r="G12" s="279">
        <f>[23]Brewhouse!$AE430</f>
        <v>12</v>
      </c>
      <c r="H12" s="396">
        <v>12.2</v>
      </c>
      <c r="I12" s="420">
        <f>[23]Brewhouse!$AS430</f>
        <v>95.765747077302663</v>
      </c>
      <c r="J12" s="420">
        <f>[23]Brewhouse!$AT430</f>
        <v>95.665218107218791</v>
      </c>
      <c r="K12" s="281">
        <f>[23]Brewhouse!$Q430</f>
        <v>16.682692307692299</v>
      </c>
      <c r="L12" s="276">
        <f>[23]Brewhouse!$P430</f>
        <v>63</v>
      </c>
      <c r="M12" s="374">
        <f>[23]Brewhouse!$U430-[23]Brewhouse!$T430</f>
        <v>0.12361111111111112</v>
      </c>
      <c r="N12" s="370">
        <f>[23]Brewhouse!$AW430</f>
        <v>0.26527777777777778</v>
      </c>
      <c r="O12" s="421" t="str">
        <f>[23]Brewhouse!$AV430</f>
        <v>K. Benjamin</v>
      </c>
      <c r="P12" s="418"/>
      <c r="R12" s="277" t="str">
        <f t="shared" si="9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33" t="s">
        <v>9</v>
      </c>
      <c r="C13" s="366" t="str">
        <f>[23]Brewhouse!$A431</f>
        <v>ST408</v>
      </c>
      <c r="D13" s="279">
        <f>[23]Brewhouse!$AD431</f>
        <v>49.1</v>
      </c>
      <c r="E13" s="279">
        <f>[23]Brewhouse!$AG431</f>
        <v>49.2</v>
      </c>
      <c r="F13" s="278">
        <f>[23]Brewhouse!$V431</f>
        <v>58</v>
      </c>
      <c r="G13" s="279">
        <f>[23]Brewhouse!$AE431</f>
        <v>11.7</v>
      </c>
      <c r="H13" s="396">
        <v>12.1</v>
      </c>
      <c r="I13" s="420">
        <f>[23]Brewhouse!$AS431</f>
        <v>96.30112740094556</v>
      </c>
      <c r="J13" s="420">
        <f>[23]Brewhouse!$AT431</f>
        <v>96.200068823507451</v>
      </c>
      <c r="K13" s="281">
        <f>[23]Brewhouse!$Q431</f>
        <v>8.6057692307692335</v>
      </c>
      <c r="L13" s="276">
        <f>[23]Brewhouse!$P431</f>
        <v>60</v>
      </c>
      <c r="M13" s="374">
        <f>[23]Brewhouse!$U431-[23]Brewhouse!$T431</f>
        <v>0.11249999999999993</v>
      </c>
      <c r="N13" s="370">
        <f>[23]Brewhouse!$AW431</f>
        <v>0.26874999999999993</v>
      </c>
      <c r="O13" s="421" t="str">
        <f>[23]Brewhouse!$AV431</f>
        <v>K. Benjamin</v>
      </c>
      <c r="P13" s="418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33" t="s">
        <v>9</v>
      </c>
      <c r="C14" s="366" t="str">
        <f>[23]Brewhouse!$A432</f>
        <v>ST409</v>
      </c>
      <c r="D14" s="279">
        <f>[23]Brewhouse!$AD432</f>
        <v>47.6</v>
      </c>
      <c r="E14" s="279">
        <f>[23]Brewhouse!$AG432</f>
        <v>48.3</v>
      </c>
      <c r="F14" s="278">
        <f>[23]Brewhouse!$V432</f>
        <v>58</v>
      </c>
      <c r="G14" s="279">
        <f>[23]Brewhouse!$AE432</f>
        <v>11.8</v>
      </c>
      <c r="H14" s="396">
        <v>12.2</v>
      </c>
      <c r="I14" s="420">
        <f>[23]Brewhouse!$AS432</f>
        <v>95.62674232392358</v>
      </c>
      <c r="J14" s="420">
        <f>[23]Brewhouse!$AT432</f>
        <v>95.526456037110066</v>
      </c>
      <c r="K14" s="281">
        <f>[23]Brewhouse!$Q432</f>
        <v>11.490384615384617</v>
      </c>
      <c r="L14" s="276">
        <f>[23]Brewhouse!$P432</f>
        <v>62</v>
      </c>
      <c r="M14" s="374">
        <f>[23]Brewhouse!$U432-[23]Brewhouse!$T432</f>
        <v>0.12013888888888891</v>
      </c>
      <c r="N14" s="370">
        <f>[23]Brewhouse!$AW432</f>
        <v>0.26111111111111107</v>
      </c>
      <c r="O14" s="421" t="str">
        <f>[23]Brewhouse!$AV432</f>
        <v>K. Benjamin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33" t="s">
        <v>9</v>
      </c>
      <c r="C15" s="366" t="str">
        <f>[23]Brewhouse!$A433</f>
        <v>ST410</v>
      </c>
      <c r="D15" s="279">
        <f>[23]Brewhouse!$AD433</f>
        <v>49.8</v>
      </c>
      <c r="E15" s="279">
        <f>[23]Brewhouse!$AG433</f>
        <v>50.1</v>
      </c>
      <c r="F15" s="278">
        <f>[23]Brewhouse!$V433</f>
        <v>65</v>
      </c>
      <c r="G15" s="279">
        <f>[23]Brewhouse!$AE433</f>
        <v>11.8</v>
      </c>
      <c r="H15" s="396">
        <v>12.1</v>
      </c>
      <c r="I15" s="420">
        <f>[23]Brewhouse!$AS433</f>
        <v>98.944736715653534</v>
      </c>
      <c r="J15" s="420">
        <f>[23]Brewhouse!$AT433</f>
        <v>98.840903929814587</v>
      </c>
      <c r="K15" s="281">
        <f>[23]Brewhouse!$Q433</f>
        <v>10.336538461538462</v>
      </c>
      <c r="L15" s="276">
        <f>[23]Brewhouse!$P433</f>
        <v>60</v>
      </c>
      <c r="M15" s="374">
        <f>[23]Brewhouse!$U433-[23]Brewhouse!$T433</f>
        <v>0.1166666666666667</v>
      </c>
      <c r="N15" s="370">
        <f>[23]Brewhouse!$AW433</f>
        <v>0.25416666666666665</v>
      </c>
      <c r="O15" s="421" t="str">
        <f>[23]Brewhouse!$AV433</f>
        <v>R. Regis</v>
      </c>
      <c r="P15" s="418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33" t="s">
        <v>9</v>
      </c>
      <c r="C16" s="366" t="str">
        <f>[23]Brewhouse!$A434</f>
        <v>ST411</v>
      </c>
      <c r="D16" s="279">
        <f>[23]Brewhouse!$AD434</f>
        <v>48.7</v>
      </c>
      <c r="E16" s="279">
        <f>[23]Brewhouse!$AG434</f>
        <v>49.1</v>
      </c>
      <c r="F16" s="278">
        <f>[23]Brewhouse!$V434</f>
        <v>62</v>
      </c>
      <c r="G16" s="279">
        <f>[23]Brewhouse!$AE434</f>
        <v>12</v>
      </c>
      <c r="H16" s="396">
        <v>12.1</v>
      </c>
      <c r="I16" s="420">
        <f>[23]Brewhouse!$AS434</f>
        <v>98.820998709085245</v>
      </c>
      <c r="J16" s="420">
        <f>[23]Brewhouse!$AT434</f>
        <v>98.717329106340969</v>
      </c>
      <c r="K16" s="281">
        <f>[23]Brewhouse!$Q434</f>
        <v>11.852207293666021</v>
      </c>
      <c r="L16" s="276">
        <f>[23]Brewhouse!$P434</f>
        <v>60</v>
      </c>
      <c r="M16" s="374">
        <f>[23]Brewhouse!$U434-[23]Brewhouse!$T434</f>
        <v>0.11388888888888893</v>
      </c>
      <c r="N16" s="370">
        <f>[23]Brewhouse!$AW434</f>
        <v>0.25555555555555565</v>
      </c>
      <c r="O16" s="421" t="str">
        <f>[23]Brewhouse!$AV434</f>
        <v>R. Regis</v>
      </c>
      <c r="P16" s="418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" customHeight="1">
      <c r="B17" s="33" t="s">
        <v>9</v>
      </c>
      <c r="C17" s="366" t="str">
        <f>[23]Brewhouse!$A435</f>
        <v>ST412</v>
      </c>
      <c r="D17" s="279">
        <f>[23]Brewhouse!$AD435</f>
        <v>50</v>
      </c>
      <c r="E17" s="279">
        <f>[23]Brewhouse!$AG435</f>
        <v>50.6</v>
      </c>
      <c r="F17" s="278">
        <f>[23]Brewhouse!$V435</f>
        <v>68</v>
      </c>
      <c r="G17" s="279">
        <f>[23]Brewhouse!$AE435</f>
        <v>11.7</v>
      </c>
      <c r="H17" s="396">
        <v>12.1</v>
      </c>
      <c r="I17" s="420">
        <f>[23]Brewhouse!$AS435</f>
        <v>99.164238456440273</v>
      </c>
      <c r="J17" s="420">
        <f>[23]Brewhouse!$AT435</f>
        <v>99.060208773058093</v>
      </c>
      <c r="K17" s="281">
        <f>[23]Brewhouse!$Q435</f>
        <v>12.236084452975048</v>
      </c>
      <c r="L17" s="276">
        <f>[23]Brewhouse!$P435</f>
        <v>60</v>
      </c>
      <c r="M17" s="374">
        <f>[23]Brewhouse!$U435-[23]Brewhouse!$T435</f>
        <v>0.11597222222222225</v>
      </c>
      <c r="N17" s="370">
        <f>[23]Brewhouse!$AW435</f>
        <v>0.24444444444444446</v>
      </c>
      <c r="O17" s="421" t="str">
        <f>[23]Brewhouse!$AV435</f>
        <v>R. Regis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B19" s="29" t="s">
        <v>6</v>
      </c>
      <c r="C19" s="366" t="str">
        <f>[22]Brewhouse!$A871</f>
        <v>CA757</v>
      </c>
      <c r="D19" s="279">
        <f>[22]Brewhouse!$AF871</f>
        <v>46.7</v>
      </c>
      <c r="E19" s="279">
        <f>[22]Brewhouse!$AI871</f>
        <v>45.2</v>
      </c>
      <c r="F19" s="278">
        <f>[22]Brewhouse!$V871</f>
        <v>59</v>
      </c>
      <c r="G19" s="279">
        <f>[22]Brewhouse!AG871</f>
        <v>11.5</v>
      </c>
      <c r="H19" s="464">
        <v>11.4</v>
      </c>
      <c r="I19" s="368">
        <f>[22]Brewhouse!$AU871</f>
        <v>95.200766830802223</v>
      </c>
      <c r="J19" s="368">
        <f>[22]Brewhouse!$AV871</f>
        <v>95.08346070867762</v>
      </c>
      <c r="K19" s="281">
        <f>[22]Brewhouse!$Q871</f>
        <v>6.1632653061224412</v>
      </c>
      <c r="L19" s="276">
        <f>[22]Brewhouse!$P871</f>
        <v>60</v>
      </c>
      <c r="M19" s="397">
        <f>[22]Brewhouse!$U871-[22]Brewhouse!$T871</f>
        <v>0.10902777777777772</v>
      </c>
      <c r="N19" s="370">
        <f>[22]Brewhouse!$Z871</f>
        <v>0.23194444444444451</v>
      </c>
      <c r="O19" s="421" t="str">
        <f>[22]Brewhouse!$AX871</f>
        <v>R.Sookram</v>
      </c>
      <c r="P19" s="418"/>
      <c r="R19" s="277" t="str">
        <f t="shared" si="9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70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489" t="s">
        <v>35</v>
      </c>
      <c r="E25" s="490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12" t="str">
        <f>J41</f>
        <v>STAG</v>
      </c>
      <c r="C26" s="362" cm="1">
        <f t="array" ref="C26:C34">[23]Process!$D$399:$D$407</f>
        <v>11.8</v>
      </c>
      <c r="D26" s="515">
        <v>12.06</v>
      </c>
      <c r="E26" s="516"/>
      <c r="F26" s="294"/>
      <c r="G26" s="294"/>
      <c r="H26" s="348"/>
      <c r="I26" s="29" t="s">
        <v>6</v>
      </c>
      <c r="J26" s="280">
        <f>AVERAGE(I19)</f>
        <v>95.200766830802223</v>
      </c>
      <c r="K26" s="284">
        <f>COUNTA([22]Brewhouse!$A$823:$A$862,[23]Brewhouse!$A$420:$A$423,[22]Brewhouse!$A$867:$A$871)</f>
        <v>49</v>
      </c>
      <c r="L26" s="305">
        <f>AVERAGE([22]Brewhouse!$AU$823:$AU$862,[23]Brewhouse!$AS$420:$AS$423,[22]Brewhouse!$AU$867:$AU$871)</f>
        <v>97.43671899858073</v>
      </c>
      <c r="M26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$871)</f>
        <v>97.68768072124152</v>
      </c>
      <c r="N26" s="30">
        <v>98</v>
      </c>
      <c r="O26" s="11"/>
      <c r="P26" s="31"/>
      <c r="R26" s="277" t="str">
        <f t="shared" si="9"/>
        <v>STAG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1:27" ht="15" customHeight="1">
      <c r="A27" s="28"/>
      <c r="B27" s="513"/>
      <c r="C27" s="362">
        <v>12</v>
      </c>
      <c r="D27" s="517"/>
      <c r="E27" s="518"/>
      <c r="F27" s="294"/>
      <c r="G27" s="294"/>
      <c r="H27" s="348"/>
      <c r="I27" s="33" t="s">
        <v>9</v>
      </c>
      <c r="J27" s="280">
        <f>AVERAGE(I10:I17)</f>
        <v>96.949509118051594</v>
      </c>
      <c r="K27" s="284">
        <f>COUNTA([23]Brewhouse!$A$399:$A$435)</f>
        <v>37</v>
      </c>
      <c r="L27" s="302">
        <f>AVERAGE([23]Brewhouse!$AS$399:$AS$435)</f>
        <v>97.535175966305019</v>
      </c>
      <c r="M27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$435)</f>
        <v>97.954933994428416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3"/>
      <c r="C28" s="362">
        <v>11.9</v>
      </c>
      <c r="D28" s="515">
        <v>12.11</v>
      </c>
      <c r="E28" s="516"/>
      <c r="F28" s="294"/>
      <c r="G28" s="294"/>
      <c r="H28" s="348"/>
      <c r="I28" s="34" t="s">
        <v>12</v>
      </c>
      <c r="J28" s="280"/>
      <c r="K28" s="284">
        <f>COUNTA([24]Brewhouse!$A$99:$A$106)</f>
        <v>8</v>
      </c>
      <c r="L28" s="302">
        <f>AVERAGE([24]Brewhouse!$AU$99:$AU$106)</f>
        <v>94.823749681896615</v>
      </c>
      <c r="M28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13"/>
      <c r="C29" s="362">
        <v>12</v>
      </c>
      <c r="D29" s="517"/>
      <c r="E29" s="518"/>
      <c r="F29" s="294"/>
      <c r="G29" s="294"/>
      <c r="H29" s="348"/>
      <c r="I29" s="22" t="s">
        <v>33</v>
      </c>
      <c r="J29" s="280"/>
      <c r="K29" s="284"/>
      <c r="L29" s="302"/>
      <c r="M29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13"/>
      <c r="C30" s="362">
        <v>11.9</v>
      </c>
      <c r="D30" s="515">
        <v>12.12</v>
      </c>
      <c r="E30" s="516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13"/>
      <c r="C31" s="362">
        <v>11.7</v>
      </c>
      <c r="D31" s="517"/>
      <c r="E31" s="518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13"/>
      <c r="C32" s="362">
        <v>12.2</v>
      </c>
      <c r="D32" s="515">
        <v>11.97</v>
      </c>
      <c r="E32" s="516"/>
      <c r="F32" s="417"/>
      <c r="G32" s="294"/>
      <c r="H32" s="348"/>
      <c r="I32" s="37" t="s">
        <v>16</v>
      </c>
      <c r="J32" s="323"/>
      <c r="K32" s="284"/>
      <c r="L32" s="302"/>
      <c r="M32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2" s="30">
        <v>98</v>
      </c>
      <c r="O32" s="11"/>
      <c r="P32" s="31" t="s">
        <v>41</v>
      </c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13"/>
      <c r="C33" s="362">
        <v>11.8</v>
      </c>
      <c r="D33" s="517"/>
      <c r="E33" s="518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13"/>
      <c r="C34" s="349">
        <v>11.9</v>
      </c>
      <c r="D34" s="515">
        <v>12.14</v>
      </c>
      <c r="E34" s="516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13"/>
      <c r="C35" s="349">
        <f>[23]Process!$D$397</f>
        <v>11.7</v>
      </c>
      <c r="D35" s="517"/>
      <c r="E35" s="518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13"/>
      <c r="C36" s="349"/>
      <c r="D36" s="515"/>
      <c r="E36" s="516"/>
      <c r="F36" s="294"/>
      <c r="G36" s="294"/>
      <c r="H36" s="348"/>
      <c r="I36" s="1"/>
      <c r="J36" s="39"/>
      <c r="K36" s="404">
        <f>SUM(K26:K35)</f>
        <v>94</v>
      </c>
      <c r="L36" s="405">
        <f>((L26*K26)+(L27*K27)+(L28*K28)+(L29*K29)+(L30*K30)+(K33*L33)+(L31*K31)+(L32*K32)+(L35*K35))/(K36)</f>
        <v>97.2530929695629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97.543259536638089</v>
      </c>
      <c r="N36" s="4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76"/>
      <c r="C37" s="350"/>
      <c r="D37" s="517"/>
      <c r="E37" s="51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62"/>
      <c r="C38" s="362"/>
      <c r="D38" s="528"/>
      <c r="E38" s="529"/>
      <c r="F38" s="294"/>
      <c r="G38" s="42"/>
      <c r="H38" s="41"/>
      <c r="I38" s="42"/>
      <c r="J38" s="563" t="s">
        <v>129</v>
      </c>
      <c r="K38" s="563"/>
      <c r="L38" s="294"/>
      <c r="M38" s="294"/>
      <c r="N38" s="294"/>
      <c r="O38" s="294"/>
      <c r="P38" s="12"/>
    </row>
    <row r="39" spans="1:56" ht="15.75" thickBot="1">
      <c r="B39" s="526"/>
      <c r="C39" s="362"/>
      <c r="D39" s="530"/>
      <c r="E39" s="518"/>
      <c r="F39" s="294"/>
      <c r="G39" s="42"/>
      <c r="H39" s="41"/>
      <c r="I39" s="42"/>
      <c r="J39" s="292" t="s">
        <v>17</v>
      </c>
      <c r="K39" s="293" t="s">
        <v>147</v>
      </c>
      <c r="L39" s="532" t="s">
        <v>136</v>
      </c>
      <c r="M39" s="532"/>
      <c r="N39" s="533"/>
      <c r="O39" s="294"/>
      <c r="P39" s="12"/>
    </row>
    <row r="40" spans="1:56" ht="15" customHeight="1" thickBot="1">
      <c r="B40" s="526"/>
      <c r="C40" s="349"/>
      <c r="D40" s="564"/>
      <c r="E40" s="565"/>
      <c r="F40" s="294"/>
      <c r="G40" s="42"/>
      <c r="H40" s="41"/>
      <c r="I40" s="42"/>
      <c r="J40" s="287" t="s">
        <v>6</v>
      </c>
      <c r="K40" s="324">
        <v>1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26"/>
      <c r="C41" s="349"/>
      <c r="D41" s="530"/>
      <c r="E41" s="518"/>
      <c r="F41" s="294"/>
      <c r="G41" s="42"/>
      <c r="H41" s="41"/>
      <c r="I41" s="42"/>
      <c r="J41" s="345" t="s">
        <v>9</v>
      </c>
      <c r="K41" s="324">
        <v>8</v>
      </c>
      <c r="L41" s="344">
        <f>AVERAGE('Oct. 1st'!K49,,'Oct. 2nd'!K51,'Oct. 3rd'!K46,'Oct. 6th'!K54,Oct.7th!K50,Oct.8th!K48,Oct.9th!K49,Oct.13th!K47,Oct.15th!K50,Oct.16th!K50,Oct.17th!K46,Oct.21st!K50)</f>
        <v>6.9230769230769234</v>
      </c>
      <c r="M41" s="325">
        <f>AVERAGE('[31]Jan 29th '!$M$70,'[32]Feb 28th'!$L$40,'[33]Mar. 31st'!$L$40,'[34]Apr. 30th'!$L$50,'[35]May 30th'!$L$42,'[36]June 30th'!$L$62,'[37]July 29th '!$L$49,'[38]Aug 29th'!$L$34,'[39]Sept 30th'!$L$40,L41)</f>
        <v>6.9984354699457665</v>
      </c>
      <c r="N41" s="416">
        <v>9.1999999999999993</v>
      </c>
      <c r="O41" s="294"/>
      <c r="P41" s="12"/>
    </row>
    <row r="42" spans="1:56" ht="15" customHeight="1">
      <c r="B42" s="526"/>
      <c r="C42" s="349"/>
      <c r="D42" s="564"/>
      <c r="E42" s="565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6"/>
      <c r="C43" s="349"/>
      <c r="D43" s="530"/>
      <c r="E43" s="518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6"/>
      <c r="C45" s="349"/>
      <c r="D45" s="530"/>
      <c r="E45" s="518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6"/>
      <c r="C46" s="349"/>
      <c r="D46" s="564"/>
      <c r="E46" s="565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6"/>
      <c r="C47" s="350"/>
      <c r="D47" s="566"/>
      <c r="E47" s="567"/>
      <c r="F47" s="294" t="s">
        <v>178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60">
        <f>AVERAGE(D26:E47)</f>
        <v>12.08</v>
      </c>
      <c r="E48" s="561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0" t="s">
        <v>17</v>
      </c>
      <c r="C53" s="540" t="s">
        <v>44</v>
      </c>
      <c r="D53" s="542" t="s">
        <v>45</v>
      </c>
      <c r="E53" s="497" t="s">
        <v>46</v>
      </c>
      <c r="F53" s="557" t="s">
        <v>47</v>
      </c>
      <c r="G53" s="551" t="s">
        <v>48</v>
      </c>
      <c r="H53" s="540" t="s">
        <v>49</v>
      </c>
      <c r="I53" s="540" t="s">
        <v>50</v>
      </c>
      <c r="J53" s="545" t="s">
        <v>28</v>
      </c>
      <c r="K53" s="495" t="s">
        <v>51</v>
      </c>
      <c r="L53" s="507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1"/>
      <c r="C54" s="541"/>
      <c r="D54" s="543"/>
      <c r="E54" s="544"/>
      <c r="F54" s="558"/>
      <c r="G54" s="552"/>
      <c r="H54" s="559"/>
      <c r="I54" s="559"/>
      <c r="J54" s="546"/>
      <c r="K54" s="555"/>
      <c r="L54" s="556"/>
      <c r="M54" s="546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59" t="str">
        <f>J41</f>
        <v>STAG</v>
      </c>
      <c r="C55" s="442">
        <v>45951</v>
      </c>
      <c r="D55" s="443">
        <f>[40]October_2025!$X$13</f>
        <v>494.71000000000004</v>
      </c>
      <c r="E55" s="444"/>
      <c r="F55" s="445"/>
      <c r="G55" s="445">
        <f>[40]October_2025!$X$17</f>
        <v>473</v>
      </c>
      <c r="H55" s="462"/>
      <c r="I55" s="462"/>
      <c r="J55" s="449" t="s">
        <v>192</v>
      </c>
      <c r="K55" s="450">
        <f>[41]October_2025!$X$25</f>
        <v>1.6596491228070176</v>
      </c>
      <c r="L55" s="455">
        <f>(((D55+E55)-G55)/(D55+E55))*100</f>
        <v>4.3884295850094057</v>
      </c>
      <c r="M55" s="457" t="s">
        <v>191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58"/>
      <c r="C56" s="431"/>
      <c r="D56" s="432"/>
      <c r="E56" s="433"/>
      <c r="F56" s="434"/>
      <c r="G56" s="435"/>
      <c r="H56" s="429"/>
      <c r="I56" s="429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60" t="str">
        <f>J40</f>
        <v>CARIB</v>
      </c>
      <c r="C57" s="442">
        <v>45945</v>
      </c>
      <c r="D57" s="443"/>
      <c r="E57" s="444"/>
      <c r="F57" s="445"/>
      <c r="G57" s="446"/>
      <c r="H57" s="462"/>
      <c r="I57" s="462"/>
      <c r="J57" s="449"/>
      <c r="K57" s="466"/>
      <c r="L57" s="461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4"/>
      <c r="C58" s="431"/>
      <c r="D58" s="432"/>
      <c r="E58" s="433"/>
      <c r="F58" s="434"/>
      <c r="G58" s="435"/>
      <c r="H58" s="436"/>
      <c r="I58" s="451"/>
      <c r="J58" s="452"/>
      <c r="K58" s="437" t="s">
        <v>41</v>
      </c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2"/>
      <c r="D59" s="443"/>
      <c r="E59" s="444"/>
      <c r="F59" s="445"/>
      <c r="G59" s="446"/>
      <c r="H59" s="447"/>
      <c r="I59" s="448"/>
      <c r="J59" s="449"/>
      <c r="K59" s="450"/>
      <c r="L59" s="455" t="e">
        <f>(((D59+E59)-G59)/(D59+E59))*100</f>
        <v>#DIV/0!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8"/>
      <c r="C60" s="424"/>
      <c r="D60" s="425"/>
      <c r="E60" s="426"/>
      <c r="F60" s="427"/>
      <c r="G60" s="428"/>
      <c r="H60" s="429"/>
      <c r="I60" s="439"/>
      <c r="J60" s="440"/>
      <c r="K60" s="430"/>
      <c r="L60" s="441"/>
      <c r="M60" s="42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7" t="s">
        <v>55</v>
      </c>
      <c r="C62" s="548"/>
      <c r="D62" s="548"/>
      <c r="E62" s="548"/>
      <c r="F62" s="549"/>
      <c r="G62" s="547" t="s">
        <v>56</v>
      </c>
      <c r="H62" s="548"/>
      <c r="I62" s="548"/>
      <c r="J62" s="549"/>
      <c r="K62" s="547" t="s">
        <v>51</v>
      </c>
      <c r="L62" s="548"/>
      <c r="M62" s="548"/>
      <c r="N62" s="550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5.3452669525762673</v>
      </c>
      <c r="E64" s="76">
        <v>6.294078678360747</v>
      </c>
      <c r="F64" s="66">
        <v>4.8</v>
      </c>
      <c r="G64" s="65"/>
      <c r="H64" s="76">
        <v>3.4186238271339571</v>
      </c>
      <c r="I64" s="76">
        <v>6.0925847116537604</v>
      </c>
      <c r="J64" s="66">
        <v>4.8</v>
      </c>
      <c r="K64" s="67"/>
      <c r="L64" s="194">
        <v>0.7304777378398748</v>
      </c>
      <c r="M64" s="194">
        <v>0.76670807263070795</v>
      </c>
      <c r="N64" s="68">
        <v>1</v>
      </c>
      <c r="O64" s="56"/>
      <c r="P64" s="69"/>
    </row>
    <row r="65" spans="2:16" ht="15">
      <c r="B65" s="33" t="s">
        <v>9</v>
      </c>
      <c r="C65" s="65">
        <f>L55</f>
        <v>4.3884295850094057</v>
      </c>
      <c r="D65" s="76">
        <v>3.5989501429842425</v>
      </c>
      <c r="E65" s="76">
        <v>5.6877482788228022</v>
      </c>
      <c r="F65" s="66">
        <v>4.8</v>
      </c>
      <c r="G65" s="65">
        <f>[40]October_2025!$X$21</f>
        <v>2.7731094090522008</v>
      </c>
      <c r="H65" s="76">
        <v>3.3049198771516219</v>
      </c>
      <c r="I65" s="76">
        <v>5.4826084373839814</v>
      </c>
      <c r="J65" s="66">
        <v>4.8</v>
      </c>
      <c r="K65" s="67">
        <f>K55</f>
        <v>1.6596491228070176</v>
      </c>
      <c r="L65" s="194">
        <v>0.92648177510936203</v>
      </c>
      <c r="M65" s="194">
        <v>0.73378312777097876</v>
      </c>
      <c r="N65" s="68">
        <v>1</v>
      </c>
      <c r="P65" s="69"/>
    </row>
    <row r="66" spans="2:16" ht="15">
      <c r="B66" s="34" t="s">
        <v>40</v>
      </c>
      <c r="C66" s="65"/>
      <c r="D66" s="76">
        <v>9.535333978702802</v>
      </c>
      <c r="E66" s="76">
        <v>11.690789306336304</v>
      </c>
      <c r="F66" s="66">
        <v>5.5</v>
      </c>
      <c r="G66" s="65"/>
      <c r="H66" s="76">
        <v>9.7076284177373999</v>
      </c>
      <c r="I66" s="76">
        <v>12.617010368159198</v>
      </c>
      <c r="J66" s="66">
        <v>5.5</v>
      </c>
      <c r="K66" s="67"/>
      <c r="L66" s="194">
        <v>0.9345</v>
      </c>
      <c r="M66" s="194">
        <v>0.54931804556354924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5.119233255999676</v>
      </c>
      <c r="F67" s="66">
        <v>3.3</v>
      </c>
      <c r="G67" s="65"/>
      <c r="H67" s="76"/>
      <c r="I67" s="76">
        <v>4.4772094679692334</v>
      </c>
      <c r="J67" s="66">
        <v>3.3</v>
      </c>
      <c r="K67" s="67"/>
      <c r="L67" s="194"/>
      <c r="M67" s="194">
        <v>0.80025950292397652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7.3129862357869699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2.0782986950217497</v>
      </c>
      <c r="E70" s="76">
        <v>2.8629317642487306</v>
      </c>
      <c r="F70" s="66">
        <v>3.3</v>
      </c>
      <c r="G70" s="282"/>
      <c r="H70" s="76">
        <v>3.4559849687930924</v>
      </c>
      <c r="I70" s="76">
        <v>4.3478819741669881</v>
      </c>
      <c r="J70" s="66">
        <v>3.3</v>
      </c>
      <c r="K70" s="67"/>
      <c r="L70" s="194">
        <v>0.88859649122807016</v>
      </c>
      <c r="M70" s="194">
        <v>0.85935680751173715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4.3877407358859655</v>
      </c>
      <c r="E73" s="76">
        <v>6.2540053917441369</v>
      </c>
      <c r="F73" s="341">
        <v>5.5</v>
      </c>
      <c r="H73" s="76">
        <v>3.8405853422754404</v>
      </c>
      <c r="I73" s="76">
        <v>6.411427953396009</v>
      </c>
      <c r="J73" s="341">
        <v>5.5</v>
      </c>
      <c r="L73" s="194">
        <v>0.83736176935229079</v>
      </c>
      <c r="M73" s="194">
        <v>0.73712071365663812</v>
      </c>
      <c r="N73" s="386">
        <v>1</v>
      </c>
    </row>
    <row r="77" spans="2:16">
      <c r="F77" s="315"/>
    </row>
    <row r="78" spans="2:16" ht="15">
      <c r="F78" s="341"/>
    </row>
  </sheetData>
  <mergeCells count="51"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555" priority="141" operator="notBetween">
      <formula>#REF!</formula>
      <formula>#REF!</formula>
    </cfRule>
  </conditionalFormatting>
  <conditionalFormatting sqref="C52">
    <cfRule type="cellIs" dxfId="1554" priority="173" stopIfTrue="1" operator="greaterThan">
      <formula>100</formula>
    </cfRule>
    <cfRule type="cellIs" dxfId="1553" priority="172" stopIfTrue="1" operator="lessThan">
      <formula>96</formula>
    </cfRule>
  </conditionalFormatting>
  <conditionalFormatting sqref="C64:C68">
    <cfRule type="cellIs" dxfId="1552" priority="122" stopIfTrue="1" operator="lessThanOrEqual">
      <formula>0</formula>
    </cfRule>
  </conditionalFormatting>
  <conditionalFormatting sqref="C64:C72">
    <cfRule type="cellIs" dxfId="1551" priority="121" stopIfTrue="1" operator="greaterThan">
      <formula>$F64</formula>
    </cfRule>
  </conditionalFormatting>
  <conditionalFormatting sqref="C65">
    <cfRule type="cellIs" dxfId="1550" priority="176" stopIfTrue="1" operator="greaterThan">
      <formula>$F64</formula>
    </cfRule>
  </conditionalFormatting>
  <conditionalFormatting sqref="C69">
    <cfRule type="cellIs" dxfId="1549" priority="60" stopIfTrue="1" operator="greaterThan">
      <formula>$F68</formula>
    </cfRule>
    <cfRule type="cellIs" dxfId="1548" priority="59" stopIfTrue="1" operator="lessThanOrEqual">
      <formula>0</formula>
    </cfRule>
  </conditionalFormatting>
  <conditionalFormatting sqref="C75:C79">
    <cfRule type="cellIs" dxfId="1547" priority="164" stopIfTrue="1" operator="lessThanOrEqual">
      <formula>0</formula>
    </cfRule>
  </conditionalFormatting>
  <conditionalFormatting sqref="C76:C79">
    <cfRule type="cellIs" dxfId="1546" priority="163" stopIfTrue="1" operator="greaterThan">
      <formula>$F$75</formula>
    </cfRule>
  </conditionalFormatting>
  <conditionalFormatting sqref="C81">
    <cfRule type="cellIs" dxfId="1545" priority="166" stopIfTrue="1" operator="lessThanOrEqual">
      <formula>0</formula>
    </cfRule>
    <cfRule type="cellIs" dxfId="1544" priority="165" stopIfTrue="1" operator="greaterThan">
      <formula>$F$75</formula>
    </cfRule>
  </conditionalFormatting>
  <conditionalFormatting sqref="C75:D75 D77:D83">
    <cfRule type="cellIs" dxfId="1543" priority="158" stopIfTrue="1" operator="greaterThan">
      <formula>4.5</formula>
    </cfRule>
  </conditionalFormatting>
  <conditionalFormatting sqref="D48:D49">
    <cfRule type="cellIs" dxfId="1542" priority="142" operator="notBetween">
      <formula>#REF!</formula>
      <formula>#REF!</formula>
    </cfRule>
  </conditionalFormatting>
  <conditionalFormatting sqref="D64:D71">
    <cfRule type="cellIs" dxfId="1541" priority="136" stopIfTrue="1" operator="lessThanOrEqual">
      <formula>0</formula>
    </cfRule>
  </conditionalFormatting>
  <conditionalFormatting sqref="D72">
    <cfRule type="cellIs" dxfId="1540" priority="135" stopIfTrue="1" operator="lessThanOrEqual">
      <formula>0</formula>
    </cfRule>
  </conditionalFormatting>
  <conditionalFormatting sqref="D75 D77:D83">
    <cfRule type="cellIs" dxfId="1539" priority="159" stopIfTrue="1" operator="lessThanOrEqual">
      <formula>0</formula>
    </cfRule>
  </conditionalFormatting>
  <conditionalFormatting sqref="D76">
    <cfRule type="cellIs" dxfId="1538" priority="151" stopIfTrue="1" operator="lessThanOrEqual">
      <formula>0</formula>
    </cfRule>
    <cfRule type="cellIs" dxfId="1537" priority="150" stopIfTrue="1" operator="greaterThan">
      <formula>$F$75</formula>
    </cfRule>
  </conditionalFormatting>
  <conditionalFormatting sqref="D64:E73">
    <cfRule type="cellIs" dxfId="1536" priority="119" stopIfTrue="1" operator="greaterThan">
      <formula>$F64</formula>
    </cfRule>
  </conditionalFormatting>
  <conditionalFormatting sqref="D73:E73">
    <cfRule type="cellIs" dxfId="1535" priority="120" stopIfTrue="1" operator="lessThanOrEqual">
      <formula>0</formula>
    </cfRule>
  </conditionalFormatting>
  <conditionalFormatting sqref="E10:E23">
    <cfRule type="cellIs" dxfId="1534" priority="10" operator="lessThan">
      <formula>48</formula>
    </cfRule>
  </conditionalFormatting>
  <conditionalFormatting sqref="E51 E52:F52">
    <cfRule type="cellIs" dxfId="1533" priority="155" stopIfTrue="1" operator="greaterThan">
      <formula>100</formula>
    </cfRule>
  </conditionalFormatting>
  <conditionalFormatting sqref="E52">
    <cfRule type="cellIs" dxfId="1532" priority="153" stopIfTrue="1" operator="greaterThan">
      <formula>100</formula>
    </cfRule>
    <cfRule type="cellIs" dxfId="1531" priority="152" stopIfTrue="1" operator="lessThan">
      <formula>96.8</formula>
    </cfRule>
  </conditionalFormatting>
  <conditionalFormatting sqref="E64:E72">
    <cfRule type="cellIs" dxfId="1530" priority="130" stopIfTrue="1" operator="lessThanOrEqual">
      <formula>0</formula>
    </cfRule>
  </conditionalFormatting>
  <conditionalFormatting sqref="E75:E83">
    <cfRule type="cellIs" dxfId="1529" priority="145" stopIfTrue="1" operator="lessThanOrEqual">
      <formula>0</formula>
    </cfRule>
    <cfRule type="cellIs" dxfId="1528" priority="144" stopIfTrue="1" operator="greaterThan">
      <formula>4.5</formula>
    </cfRule>
  </conditionalFormatting>
  <conditionalFormatting sqref="E52:F52 E51">
    <cfRule type="cellIs" dxfId="1527" priority="154" stopIfTrue="1" operator="lessThan">
      <formula>96.5</formula>
    </cfRule>
  </conditionalFormatting>
  <conditionalFormatting sqref="F10:F23">
    <cfRule type="cellIs" dxfId="1526" priority="11" operator="greaterThan">
      <formula>60</formula>
    </cfRule>
  </conditionalFormatting>
  <conditionalFormatting sqref="F52">
    <cfRule type="cellIs" dxfId="1525" priority="170" stopIfTrue="1" operator="lessThan">
      <formula>96.8</formula>
    </cfRule>
    <cfRule type="cellIs" dxfId="1524" priority="171" stopIfTrue="1" operator="greaterThan">
      <formula>100</formula>
    </cfRule>
  </conditionalFormatting>
  <conditionalFormatting sqref="F73">
    <cfRule type="cellIs" dxfId="1523" priority="131" stopIfTrue="1" operator="greaterThan">
      <formula>$F73</formula>
    </cfRule>
    <cfRule type="cellIs" dxfId="1522" priority="132" stopIfTrue="1" operator="lessThanOrEqual">
      <formula>0</formula>
    </cfRule>
  </conditionalFormatting>
  <conditionalFormatting sqref="F78">
    <cfRule type="cellIs" dxfId="1521" priority="90" stopIfTrue="1" operator="lessThanOrEqual">
      <formula>0</formula>
    </cfRule>
    <cfRule type="cellIs" dxfId="1520" priority="89" stopIfTrue="1" operator="greaterThan">
      <formula>$F78</formula>
    </cfRule>
  </conditionalFormatting>
  <conditionalFormatting sqref="G19">
    <cfRule type="expression" dxfId="1519" priority="4">
      <formula>IF(+(IF(G19&lt;S19,0,IF(G19&gt;T19,0,1)))=0,1)</formula>
    </cfRule>
  </conditionalFormatting>
  <conditionalFormatting sqref="G21">
    <cfRule type="expression" dxfId="1518" priority="30">
      <formula>IF(+(IF(G21&lt;S21,0,IF(G21&gt;T21,0,1)))=0,1)</formula>
    </cfRule>
  </conditionalFormatting>
  <conditionalFormatting sqref="G64:G65 C70:C72">
    <cfRule type="cellIs" dxfId="1517" priority="138" stopIfTrue="1" operator="lessThanOrEqual">
      <formula>0</formula>
    </cfRule>
  </conditionalFormatting>
  <conditionalFormatting sqref="G64:G65">
    <cfRule type="cellIs" dxfId="1516" priority="137" stopIfTrue="1" operator="greaterThan">
      <formula>$F64</formula>
    </cfRule>
    <cfRule type="cellIs" dxfId="1515" priority="124" stopIfTrue="1" operator="lessThanOrEqual">
      <formula>0</formula>
    </cfRule>
    <cfRule type="cellIs" dxfId="1514" priority="123" stopIfTrue="1" operator="greaterThan">
      <formula>$F64</formula>
    </cfRule>
  </conditionalFormatting>
  <conditionalFormatting sqref="G66">
    <cfRule type="cellIs" dxfId="1513" priority="175" stopIfTrue="1" operator="lessThanOrEqual">
      <formula>0</formula>
    </cfRule>
    <cfRule type="cellIs" dxfId="1512" priority="174" stopIfTrue="1" operator="greaterThan">
      <formula>$F65</formula>
    </cfRule>
  </conditionalFormatting>
  <conditionalFormatting sqref="G67">
    <cfRule type="cellIs" dxfId="1511" priority="134" stopIfTrue="1" operator="lessThanOrEqual">
      <formula>0</formula>
    </cfRule>
    <cfRule type="cellIs" dxfId="1510" priority="133" stopIfTrue="1" operator="greaterThan">
      <formula>$F67</formula>
    </cfRule>
  </conditionalFormatting>
  <conditionalFormatting sqref="G68:G72">
    <cfRule type="cellIs" dxfId="1509" priority="139" stopIfTrue="1" operator="greaterThan">
      <formula>$J68</formula>
    </cfRule>
    <cfRule type="cellIs" dxfId="1508" priority="140" stopIfTrue="1" operator="lessThanOrEqual">
      <formula>0</formula>
    </cfRule>
  </conditionalFormatting>
  <conditionalFormatting sqref="G77:G82 C80 C82">
    <cfRule type="cellIs" dxfId="1507" priority="167" stopIfTrue="1" operator="greaterThan">
      <formula>4.5</formula>
    </cfRule>
    <cfRule type="cellIs" dxfId="1506" priority="168" stopIfTrue="1" operator="lessThanOrEqual">
      <formula>0</formula>
    </cfRule>
  </conditionalFormatting>
  <conditionalFormatting sqref="G76:H76">
    <cfRule type="cellIs" dxfId="1505" priority="148" stopIfTrue="1" operator="greaterThan">
      <formula>$F$75</formula>
    </cfRule>
    <cfRule type="cellIs" dxfId="1504" priority="149" stopIfTrue="1" operator="lessThanOrEqual">
      <formula>0</formula>
    </cfRule>
  </conditionalFormatting>
  <conditionalFormatting sqref="H19">
    <cfRule type="expression" dxfId="1503" priority="12">
      <formula>IF(+(IF(H19&lt;#REF!,0,IF(H19&gt;#REF!,0,1)))=0,1)</formula>
    </cfRule>
  </conditionalFormatting>
  <conditionalFormatting sqref="H37:H51">
    <cfRule type="cellIs" dxfId="1502" priority="146" stopIfTrue="1" operator="greaterThan">
      <formula>0</formula>
    </cfRule>
  </conditionalFormatting>
  <conditionalFormatting sqref="H55">
    <cfRule type="cellIs" dxfId="1501" priority="17" stopIfTrue="1" operator="greaterThan">
      <formula>$F$72</formula>
    </cfRule>
    <cfRule type="cellIs" dxfId="1500" priority="26" stopIfTrue="1" operator="lessThanOrEqual">
      <formula>0</formula>
    </cfRule>
    <cfRule type="cellIs" dxfId="1499" priority="16" stopIfTrue="1" operator="lessThanOrEqual">
      <formula>0</formula>
    </cfRule>
    <cfRule type="cellIs" dxfId="1498" priority="28" stopIfTrue="1" operator="lessThanOrEqual">
      <formula>0</formula>
    </cfRule>
    <cfRule type="cellIs" dxfId="1497" priority="27" stopIfTrue="1" operator="greaterThan">
      <formula>$F$73</formula>
    </cfRule>
    <cfRule type="cellIs" dxfId="1496" priority="25" stopIfTrue="1" operator="greaterThan">
      <formula>$F$75</formula>
    </cfRule>
  </conditionalFormatting>
  <conditionalFormatting sqref="H56">
    <cfRule type="cellIs" dxfId="1495" priority="86" stopIfTrue="1" operator="lessThanOrEqual">
      <formula>0</formula>
    </cfRule>
    <cfRule type="cellIs" dxfId="1494" priority="85" stopIfTrue="1" operator="greaterThan">
      <formula>$F$24</formula>
    </cfRule>
    <cfRule type="cellIs" dxfId="1493" priority="88" stopIfTrue="1" operator="lessThanOrEqual">
      <formula>0</formula>
    </cfRule>
    <cfRule type="cellIs" dxfId="1492" priority="87" stopIfTrue="1" operator="greaterThan">
      <formula>#REF!</formula>
    </cfRule>
    <cfRule type="cellIs" dxfId="1491" priority="76" stopIfTrue="1" operator="lessThanOrEqual">
      <formula>0</formula>
    </cfRule>
    <cfRule type="cellIs" dxfId="1490" priority="77" stopIfTrue="1" operator="greaterThan">
      <formula>#REF!</formula>
    </cfRule>
  </conditionalFormatting>
  <conditionalFormatting sqref="H57">
    <cfRule type="cellIs" dxfId="1489" priority="43" stopIfTrue="1" operator="greaterThan">
      <formula>$F$65</formula>
    </cfRule>
    <cfRule type="cellIs" dxfId="1488" priority="51" stopIfTrue="1" operator="greaterThan">
      <formula>$F$68</formula>
    </cfRule>
    <cfRule type="cellIs" dxfId="1487" priority="52" stopIfTrue="1" operator="lessThanOrEqual">
      <formula>0</formula>
    </cfRule>
    <cfRule type="cellIs" dxfId="1486" priority="53" stopIfTrue="1" operator="greaterThan">
      <formula>$F$66</formula>
    </cfRule>
    <cfRule type="cellIs" dxfId="1485" priority="54" stopIfTrue="1" operator="lessThanOrEqual">
      <formula>0</formula>
    </cfRule>
    <cfRule type="cellIs" dxfId="1484" priority="42" stopIfTrue="1" operator="lessThanOrEqual">
      <formula>0</formula>
    </cfRule>
  </conditionalFormatting>
  <conditionalFormatting sqref="H58:H59">
    <cfRule type="cellIs" dxfId="1483" priority="63" stopIfTrue="1" operator="greaterThan">
      <formula>#REF!</formula>
    </cfRule>
    <cfRule type="cellIs" dxfId="1482" priority="74" stopIfTrue="1" operator="lessThanOrEqual">
      <formula>0</formula>
    </cfRule>
    <cfRule type="cellIs" dxfId="1481" priority="72" stopIfTrue="1" operator="lessThanOrEqual">
      <formula>0</formula>
    </cfRule>
    <cfRule type="cellIs" dxfId="1480" priority="62" stopIfTrue="1" operator="lessThanOrEqual">
      <formula>0</formula>
    </cfRule>
    <cfRule type="cellIs" dxfId="1479" priority="71" stopIfTrue="1" operator="greaterThan">
      <formula>$F$23</formula>
    </cfRule>
    <cfRule type="cellIs" dxfId="1478" priority="73" stopIfTrue="1" operator="greaterThan">
      <formula>#REF!</formula>
    </cfRule>
  </conditionalFormatting>
  <conditionalFormatting sqref="H60">
    <cfRule type="cellIs" dxfId="1477" priority="93" stopIfTrue="1" operator="lessThanOrEqual">
      <formula>0</formula>
    </cfRule>
    <cfRule type="cellIs" dxfId="1476" priority="103" stopIfTrue="1" operator="lessThanOrEqual">
      <formula>0</formula>
    </cfRule>
    <cfRule type="cellIs" dxfId="1475" priority="94" stopIfTrue="1" operator="greaterThan">
      <formula>$F$36</formula>
    </cfRule>
    <cfRule type="cellIs" dxfId="1474" priority="102" stopIfTrue="1" operator="greaterThan">
      <formula>$F$39</formula>
    </cfRule>
    <cfRule type="cellIs" dxfId="1473" priority="104" stopIfTrue="1" operator="greaterThan">
      <formula>$F$37</formula>
    </cfRule>
    <cfRule type="cellIs" dxfId="1472" priority="105" stopIfTrue="1" operator="lessThanOrEqual">
      <formula>0</formula>
    </cfRule>
  </conditionalFormatting>
  <conditionalFormatting sqref="H64:H71">
    <cfRule type="cellIs" dxfId="1471" priority="125" stopIfTrue="1" operator="greaterThan">
      <formula>$J64</formula>
    </cfRule>
    <cfRule type="cellIs" dxfId="1470" priority="126" stopIfTrue="1" operator="lessThanOrEqual">
      <formula>0</formula>
    </cfRule>
  </conditionalFormatting>
  <conditionalFormatting sqref="H72">
    <cfRule type="cellIs" dxfId="1469" priority="127" operator="greaterThan">
      <formula>5.3</formula>
    </cfRule>
  </conditionalFormatting>
  <conditionalFormatting sqref="H75 H77:H83">
    <cfRule type="cellIs" dxfId="1468" priority="161" stopIfTrue="1" operator="lessThanOrEqual">
      <formula>0</formula>
    </cfRule>
    <cfRule type="cellIs" dxfId="1467" priority="160" stopIfTrue="1" operator="greaterThan">
      <formula>4.5</formula>
    </cfRule>
  </conditionalFormatting>
  <conditionalFormatting sqref="H55:I55">
    <cfRule type="cellIs" dxfId="1466" priority="18" stopIfTrue="1" operator="lessThanOrEqual">
      <formula>0</formula>
    </cfRule>
    <cfRule type="cellIs" dxfId="1465" priority="15" stopIfTrue="1" operator="greaterThan">
      <formula>$F$74</formula>
    </cfRule>
  </conditionalFormatting>
  <conditionalFormatting sqref="H56:I56">
    <cfRule type="cellIs" dxfId="1464" priority="78" stopIfTrue="1" operator="lessThanOrEqual">
      <formula>0</formula>
    </cfRule>
    <cfRule type="cellIs" dxfId="1463" priority="75" stopIfTrue="1" operator="greaterThan">
      <formula>$F$23</formula>
    </cfRule>
  </conditionalFormatting>
  <conditionalFormatting sqref="H57:I57">
    <cfRule type="cellIs" dxfId="1462" priority="44" stopIfTrue="1" operator="lessThanOrEqual">
      <formula>0</formula>
    </cfRule>
    <cfRule type="cellIs" dxfId="1461" priority="41" stopIfTrue="1" operator="greaterThan">
      <formula>$F$67</formula>
    </cfRule>
  </conditionalFormatting>
  <conditionalFormatting sqref="H58:I59">
    <cfRule type="cellIs" dxfId="1460" priority="64" stopIfTrue="1" operator="lessThanOrEqual">
      <formula>0</formula>
    </cfRule>
    <cfRule type="cellIs" dxfId="1459" priority="61" stopIfTrue="1" operator="greaterThan">
      <formula>#REF!</formula>
    </cfRule>
  </conditionalFormatting>
  <conditionalFormatting sqref="H60:I60">
    <cfRule type="cellIs" dxfId="1458" priority="92" stopIfTrue="1" operator="greaterThan">
      <formula>$F$38</formula>
    </cfRule>
    <cfRule type="cellIs" dxfId="1457" priority="95" stopIfTrue="1" operator="lessThanOrEqual">
      <formula>0</formula>
    </cfRule>
  </conditionalFormatting>
  <conditionalFormatting sqref="H73:I73">
    <cfRule type="cellIs" dxfId="1456" priority="117" stopIfTrue="1" operator="greaterThan">
      <formula>$J73</formula>
    </cfRule>
    <cfRule type="cellIs" dxfId="1455" priority="118" stopIfTrue="1" operator="lessThanOrEqual">
      <formula>0</formula>
    </cfRule>
  </conditionalFormatting>
  <conditionalFormatting sqref="I55">
    <cfRule type="cellIs" dxfId="1454" priority="19" stopIfTrue="1" operator="greaterThan">
      <formula>$F$72</formula>
    </cfRule>
    <cfRule type="cellIs" dxfId="1453" priority="22" stopIfTrue="1" operator="lessThanOrEqual">
      <formula>0</formula>
    </cfRule>
    <cfRule type="cellIs" dxfId="1452" priority="24" stopIfTrue="1" operator="lessThanOrEqual">
      <formula>0</formula>
    </cfRule>
    <cfRule type="cellIs" dxfId="1451" priority="23" stopIfTrue="1" operator="greaterThan">
      <formula>$F$72</formula>
    </cfRule>
    <cfRule type="cellIs" dxfId="1450" priority="21" stopIfTrue="1" operator="greaterThan">
      <formula>$F$74</formula>
    </cfRule>
    <cfRule type="cellIs" dxfId="1449" priority="20" stopIfTrue="1" operator="lessThanOrEqual">
      <formula>0</formula>
    </cfRule>
  </conditionalFormatting>
  <conditionalFormatting sqref="I56">
    <cfRule type="cellIs" dxfId="1448" priority="79" stopIfTrue="1" operator="greaterThan">
      <formula>#REF!</formula>
    </cfRule>
    <cfRule type="cellIs" dxfId="1447" priority="80" stopIfTrue="1" operator="lessThanOrEqual">
      <formula>0</formula>
    </cfRule>
    <cfRule type="cellIs" dxfId="1446" priority="81" stopIfTrue="1" operator="greaterThan">
      <formula>$F$23</formula>
    </cfRule>
    <cfRule type="cellIs" dxfId="1445" priority="82" stopIfTrue="1" operator="lessThanOrEqual">
      <formula>0</formula>
    </cfRule>
    <cfRule type="cellIs" dxfId="1444" priority="83" stopIfTrue="1" operator="greaterThan">
      <formula>#REF!</formula>
    </cfRule>
    <cfRule type="cellIs" dxfId="1443" priority="84" stopIfTrue="1" operator="lessThanOrEqual">
      <formula>0</formula>
    </cfRule>
  </conditionalFormatting>
  <conditionalFormatting sqref="I57">
    <cfRule type="cellIs" dxfId="1442" priority="48" stopIfTrue="1" operator="lessThanOrEqual">
      <formula>0</formula>
    </cfRule>
    <cfRule type="cellIs" dxfId="1441" priority="49" stopIfTrue="1" operator="greaterThan">
      <formula>$F$65</formula>
    </cfRule>
    <cfRule type="cellIs" dxfId="1440" priority="50" stopIfTrue="1" operator="lessThanOrEqual">
      <formula>0</formula>
    </cfRule>
    <cfRule type="cellIs" dxfId="1439" priority="45" stopIfTrue="1" operator="greaterThan">
      <formula>$F$65</formula>
    </cfRule>
    <cfRule type="cellIs" dxfId="1438" priority="46" stopIfTrue="1" operator="lessThanOrEqual">
      <formula>0</formula>
    </cfRule>
    <cfRule type="cellIs" dxfId="1437" priority="47" stopIfTrue="1" operator="greaterThan">
      <formula>$F$67</formula>
    </cfRule>
  </conditionalFormatting>
  <conditionalFormatting sqref="I58:I59">
    <cfRule type="cellIs" dxfId="1436" priority="70" stopIfTrue="1" operator="lessThanOrEqual">
      <formula>0</formula>
    </cfRule>
    <cfRule type="cellIs" dxfId="1435" priority="67" stopIfTrue="1" operator="greaterThan">
      <formula>#REF!</formula>
    </cfRule>
    <cfRule type="cellIs" dxfId="1434" priority="66" stopIfTrue="1" operator="lessThanOrEqual">
      <formula>0</formula>
    </cfRule>
    <cfRule type="cellIs" dxfId="1433" priority="69" stopIfTrue="1" operator="greaterThan">
      <formula>#REF!</formula>
    </cfRule>
    <cfRule type="cellIs" dxfId="1432" priority="68" stopIfTrue="1" operator="lessThanOrEqual">
      <formula>0</formula>
    </cfRule>
    <cfRule type="cellIs" dxfId="1431" priority="65" stopIfTrue="1" operator="greaterThan">
      <formula>#REF!</formula>
    </cfRule>
  </conditionalFormatting>
  <conditionalFormatting sqref="I60">
    <cfRule type="cellIs" dxfId="1430" priority="96" stopIfTrue="1" operator="greaterThan">
      <formula>$F$36</formula>
    </cfRule>
    <cfRule type="cellIs" dxfId="1429" priority="97" stopIfTrue="1" operator="lessThanOrEqual">
      <formula>0</formula>
    </cfRule>
    <cfRule type="cellIs" dxfId="1428" priority="98" stopIfTrue="1" operator="greaterThan">
      <formula>$F$38</formula>
    </cfRule>
    <cfRule type="cellIs" dxfId="1427" priority="99" stopIfTrue="1" operator="lessThanOrEqual">
      <formula>0</formula>
    </cfRule>
    <cfRule type="cellIs" dxfId="1426" priority="100" stopIfTrue="1" operator="greaterThan">
      <formula>$F$36</formula>
    </cfRule>
    <cfRule type="cellIs" dxfId="1425" priority="101" stopIfTrue="1" operator="lessThanOrEqual">
      <formula>0</formula>
    </cfRule>
  </conditionalFormatting>
  <conditionalFormatting sqref="I64:I72">
    <cfRule type="cellIs" dxfId="1424" priority="128" stopIfTrue="1" operator="greaterThan">
      <formula>$J64</formula>
    </cfRule>
    <cfRule type="cellIs" dxfId="1423" priority="129" stopIfTrue="1" operator="lessThanOrEqual">
      <formula>0</formula>
    </cfRule>
  </conditionalFormatting>
  <conditionalFormatting sqref="I75:I83">
    <cfRule type="cellIs" dxfId="1422" priority="157" stopIfTrue="1" operator="lessThanOrEqual">
      <formula>0</formula>
    </cfRule>
    <cfRule type="cellIs" dxfId="1421" priority="156" stopIfTrue="1" operator="greaterThan">
      <formula>4.5</formula>
    </cfRule>
  </conditionalFormatting>
  <conditionalFormatting sqref="I10:J23">
    <cfRule type="cellIs" dxfId="1420" priority="6" operator="lessThan">
      <formula>97.9</formula>
    </cfRule>
  </conditionalFormatting>
  <conditionalFormatting sqref="J26:J28">
    <cfRule type="cellIs" dxfId="1419" priority="109" operator="lessThan">
      <formula>98</formula>
    </cfRule>
    <cfRule type="cellIs" dxfId="1418" priority="108" stopIfTrue="1" operator="greaterThan">
      <formula>100</formula>
    </cfRule>
    <cfRule type="cellIs" dxfId="1417" priority="107" stopIfTrue="1" operator="lessThan">
      <formula>96.8</formula>
    </cfRule>
  </conditionalFormatting>
  <conditionalFormatting sqref="J26:J30">
    <cfRule type="cellIs" dxfId="1416" priority="106" operator="lessThan">
      <formula>97.4</formula>
    </cfRule>
  </conditionalFormatting>
  <conditionalFormatting sqref="J31">
    <cfRule type="cellIs" dxfId="1415" priority="110" operator="lessThan">
      <formula>98</formula>
    </cfRule>
  </conditionalFormatting>
  <conditionalFormatting sqref="J33:J34">
    <cfRule type="cellIs" dxfId="1414" priority="112" stopIfTrue="1" operator="greaterThan">
      <formula>100</formula>
    </cfRule>
    <cfRule type="cellIs" dxfId="1413" priority="111" stopIfTrue="1" operator="lessThan">
      <formula>96.8</formula>
    </cfRule>
  </conditionalFormatting>
  <conditionalFormatting sqref="J33:J35">
    <cfRule type="cellIs" dxfId="1412" priority="113" operator="lessThan">
      <formula>98</formula>
    </cfRule>
  </conditionalFormatting>
  <conditionalFormatting sqref="J73">
    <cfRule type="cellIs" dxfId="1411" priority="114" stopIfTrue="1" operator="greaterThan">
      <formula>$F73</formula>
    </cfRule>
    <cfRule type="cellIs" dxfId="1410" priority="115" stopIfTrue="1" operator="lessThanOrEqual">
      <formula>0</formula>
    </cfRule>
  </conditionalFormatting>
  <conditionalFormatting sqref="K10:K23">
    <cfRule type="cellIs" dxfId="1409" priority="8" operator="lessThan">
      <formula>4</formula>
    </cfRule>
    <cfRule type="cellIs" dxfId="1408" priority="7" operator="greaterThan">
      <formula>6</formula>
    </cfRule>
    <cfRule type="cellIs" dxfId="1407" priority="9" operator="greaterThan">
      <formula>6.4</formula>
    </cfRule>
  </conditionalFormatting>
  <conditionalFormatting sqref="K55:K60 K64:N70 K71 M71:N71 K72:N72">
    <cfRule type="cellIs" dxfId="1406" priority="91" stopIfTrue="1" operator="lessThan">
      <formula>100%</formula>
    </cfRule>
  </conditionalFormatting>
  <conditionalFormatting sqref="K75:K80">
    <cfRule type="cellIs" dxfId="1405" priority="162" stopIfTrue="1" operator="lessThan">
      <formula>100%</formula>
    </cfRule>
  </conditionalFormatting>
  <conditionalFormatting sqref="K82:K83">
    <cfRule type="cellIs" dxfId="1404" priority="169" stopIfTrue="1" operator="lessThan">
      <formula>100%</formula>
    </cfRule>
  </conditionalFormatting>
  <conditionalFormatting sqref="L19">
    <cfRule type="cellIs" dxfId="1403" priority="2" operator="greaterThan">
      <formula>65</formula>
    </cfRule>
    <cfRule type="cellIs" dxfId="1402" priority="1" operator="between">
      <formula>61</formula>
      <formula>65</formula>
    </cfRule>
  </conditionalFormatting>
  <conditionalFormatting sqref="L21">
    <cfRule type="cellIs" dxfId="1401" priority="32" operator="greaterThan">
      <formula>65</formula>
    </cfRule>
    <cfRule type="cellIs" dxfId="1400" priority="31" operator="between">
      <formula>61</formula>
      <formula>65</formula>
    </cfRule>
  </conditionalFormatting>
  <conditionalFormatting sqref="L10:M18 L20:M20">
    <cfRule type="cellIs" dxfId="1399" priority="13" operator="between">
      <formula>61</formula>
      <formula>65</formula>
    </cfRule>
    <cfRule type="cellIs" dxfId="1398" priority="14" operator="greaterThan">
      <formula>65</formula>
    </cfRule>
  </conditionalFormatting>
  <conditionalFormatting sqref="L22:M22 L23">
    <cfRule type="cellIs" dxfId="1397" priority="55" operator="between">
      <formula>61</formula>
      <formula>65</formula>
    </cfRule>
    <cfRule type="cellIs" dxfId="1396" priority="56" operator="greaterThan">
      <formula>65</formula>
    </cfRule>
  </conditionalFormatting>
  <conditionalFormatting sqref="L26:M37">
    <cfRule type="cellIs" dxfId="1395" priority="57" operator="lessThan">
      <formula>97.95</formula>
    </cfRule>
  </conditionalFormatting>
  <conditionalFormatting sqref="L41:N41">
    <cfRule type="cellIs" dxfId="1394" priority="58" operator="notEqual">
      <formula>#REF!</formula>
    </cfRule>
  </conditionalFormatting>
  <conditionalFormatting sqref="L73:N73">
    <cfRule type="cellIs" dxfId="1393" priority="116" stopIfTrue="1" operator="lessThan">
      <formula>100%</formula>
    </cfRule>
  </conditionalFormatting>
  <conditionalFormatting sqref="L75:N83">
    <cfRule type="cellIs" dxfId="1392" priority="147" stopIfTrue="1" operator="lessThan">
      <formula>100%</formula>
    </cfRule>
  </conditionalFormatting>
  <conditionalFormatting sqref="M10:M18 M20 G10:H18 G20:H20 H21 M22 G22:H23">
    <cfRule type="expression" dxfId="1391" priority="40">
      <formula>IF(+(IF(G10&lt;#REF!,0,IF(G10&gt;#REF!,0,1)))=0,1)</formula>
    </cfRule>
  </conditionalFormatting>
  <conditionalFormatting sqref="M19">
    <cfRule type="expression" dxfId="1390" priority="3">
      <formula>IF(+(IF(M19&lt;U19,0,IF(M19&gt;V19,0,1)))=0,1)</formula>
    </cfRule>
  </conditionalFormatting>
  <conditionalFormatting sqref="M21">
    <cfRule type="expression" dxfId="1389" priority="29">
      <formula>IF(+(IF(M21&lt;U21,0,IF(M21&gt;V21,0,1)))=0,1)</formula>
    </cfRule>
  </conditionalFormatting>
  <conditionalFormatting sqref="M23:N23">
    <cfRule type="expression" dxfId="1388" priority="177">
      <formula>IF(+(IF(M23&lt;#REF!,0,IF(M23&gt;#REF!,0,1)))=0,1)</formula>
    </cfRule>
  </conditionalFormatting>
  <conditionalFormatting sqref="N10:N22">
    <cfRule type="expression" dxfId="1387" priority="5">
      <formula>IF(+(IF(N10&lt;W10,0,IF(N10&gt;X10,0,1)))=0,1)</formula>
    </cfRule>
  </conditionalFormatting>
  <conditionalFormatting sqref="P6">
    <cfRule type="cellIs" dxfId="1386" priority="143" operator="greaterThanOrEqual">
      <formula>19</formula>
    </cfRule>
  </conditionalFormatting>
  <dataValidations count="1">
    <dataValidation type="list" allowBlank="1" showInputMessage="1" showErrorMessage="1" sqref="R8" xr:uid="{EDDB7DC7-DCED-4D81-871D-DF0DBF54F40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D603-A4D6-4A52-B1F1-43E88A6E80A1}">
  <sheetPr>
    <pageSetUpPr fitToPage="1"/>
  </sheetPr>
  <dimension ref="A1:BE76"/>
  <sheetViews>
    <sheetView zoomScale="80" zoomScaleNormal="80" workbookViewId="0">
      <selection activeCell="H53" sqref="H53:I5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45953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[22]Brewhouse!$A872</f>
        <v>CA758</v>
      </c>
      <c r="D10" s="279">
        <f>[22]Brewhouse!$AF872</f>
        <v>51.2</v>
      </c>
      <c r="E10" s="279">
        <f>[22]Brewhouse!$AI872</f>
        <v>49.5</v>
      </c>
      <c r="F10" s="278">
        <f>[22]Brewhouse!$V872</f>
        <v>62</v>
      </c>
      <c r="G10" s="279">
        <f>[22]Brewhouse!AG872</f>
        <v>11.8</v>
      </c>
      <c r="H10" s="396">
        <v>11.7</v>
      </c>
      <c r="I10" s="368">
        <f>[22]Brewhouse!$AU872</f>
        <v>96.866699496120006</v>
      </c>
      <c r="J10" s="368">
        <f>[22]Brewhouse!$AV872</f>
        <v>96.746514331566758</v>
      </c>
      <c r="K10" s="281">
        <f>[22]Brewhouse!$Q872</f>
        <v>5.5094339622641542</v>
      </c>
      <c r="L10" s="276">
        <f>[22]Brewhouse!$P872</f>
        <v>58</v>
      </c>
      <c r="M10" s="397">
        <f>[22]Brewhouse!$U872-[22]Brewhouse!$T872</f>
        <v>0.11458333333333331</v>
      </c>
      <c r="N10" s="370">
        <f>[22]Brewhouse!$Z872</f>
        <v>0.2416666666666667</v>
      </c>
      <c r="O10" s="421" t="str">
        <f>[22]Brewhouse!$AX872</f>
        <v>K.Benjamin</v>
      </c>
      <c r="P10" s="418"/>
      <c r="R10" s="277" t="str">
        <f t="shared" ref="R10:R17" si="0">B10</f>
        <v>CARIB</v>
      </c>
      <c r="S10" s="296">
        <f t="shared" ref="S10:S17" si="1">VLOOKUP($B10,$R$3:$X$9,2,FALSE)</f>
        <v>11.6</v>
      </c>
      <c r="T10" s="296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296">
        <f t="shared" ref="Z10:Z17" si="8">VLOOKUP($B10,$R$3:$Z$9,9,FALSE)</f>
        <v>60</v>
      </c>
    </row>
    <row r="11" spans="2:29" ht="15" customHeight="1">
      <c r="B11" s="29" t="s">
        <v>6</v>
      </c>
      <c r="C11" s="366" t="str">
        <f>[22]Brewhouse!$A873</f>
        <v>CA759</v>
      </c>
      <c r="D11" s="279">
        <f>[22]Brewhouse!$AF873</f>
        <v>51.6</v>
      </c>
      <c r="E11" s="279">
        <f>[22]Brewhouse!$AI873</f>
        <v>49.9</v>
      </c>
      <c r="F11" s="278">
        <f>[22]Brewhouse!$V873</f>
        <v>60</v>
      </c>
      <c r="G11" s="279">
        <f>[22]Brewhouse!AG873</f>
        <v>11.8</v>
      </c>
      <c r="H11" s="396">
        <v>11.8</v>
      </c>
      <c r="I11" s="368">
        <f>[22]Brewhouse!$AU873</f>
        <v>97.410340268201949</v>
      </c>
      <c r="J11" s="368">
        <f>[22]Brewhouse!$AV873</f>
        <v>97.28946137504451</v>
      </c>
      <c r="K11" s="281">
        <f>[22]Brewhouse!$Q873</f>
        <v>3.9999999999999951</v>
      </c>
      <c r="L11" s="276">
        <f>[22]Brewhouse!$P873</f>
        <v>60</v>
      </c>
      <c r="M11" s="397">
        <f>[22]Brewhouse!$U873-[22]Brewhouse!$T873</f>
        <v>0.11111111111111116</v>
      </c>
      <c r="N11" s="370">
        <f>[22]Brewhouse!$Z873</f>
        <v>0.24375000000000002</v>
      </c>
      <c r="O11" s="421" t="str">
        <f>[22]Brewhouse!$AX873</f>
        <v>K.Benjamin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[22]Brewhouse!$A874</f>
        <v>CA760</v>
      </c>
      <c r="D12" s="279">
        <f>[22]Brewhouse!$AF874</f>
        <v>51.7</v>
      </c>
      <c r="E12" s="279">
        <f>[22]Brewhouse!$AI874</f>
        <v>50.4</v>
      </c>
      <c r="F12" s="278">
        <f>[22]Brewhouse!$V874</f>
        <v>64</v>
      </c>
      <c r="G12" s="279">
        <f>[22]Brewhouse!AG874</f>
        <v>11.7</v>
      </c>
      <c r="H12" s="396">
        <v>11.7</v>
      </c>
      <c r="I12" s="368">
        <f>[22]Brewhouse!$AU874</f>
        <v>97.748733094007179</v>
      </c>
      <c r="J12" s="368">
        <f>[22]Brewhouse!$AV874</f>
        <v>97.627453566234635</v>
      </c>
      <c r="K12" s="281">
        <f>[22]Brewhouse!$Q874</f>
        <v>3.992467043314496</v>
      </c>
      <c r="L12" s="276">
        <f>[22]Brewhouse!$P874</f>
        <v>60</v>
      </c>
      <c r="M12" s="397">
        <f>[22]Brewhouse!$U874-[22]Brewhouse!$T874</f>
        <v>0.10763888888888895</v>
      </c>
      <c r="N12" s="370">
        <f>[22]Brewhouse!$Z874</f>
        <v>0.24930555555555556</v>
      </c>
      <c r="O12" s="421" t="str">
        <f>[22]Brewhouse!$AX874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[22]Brewhouse!$A875</f>
        <v>CA761</v>
      </c>
      <c r="D13" s="279">
        <f>[22]Brewhouse!$AF875</f>
        <v>52.3</v>
      </c>
      <c r="E13" s="279">
        <f>[22]Brewhouse!$AI875</f>
        <v>51</v>
      </c>
      <c r="F13" s="278">
        <f>[22]Brewhouse!$V875</f>
        <v>60</v>
      </c>
      <c r="G13" s="279">
        <f>[22]Brewhouse!AG875</f>
        <v>11.8</v>
      </c>
      <c r="H13" s="396">
        <v>11.8</v>
      </c>
      <c r="I13" s="368">
        <f>[22]Brewhouse!$AU875</f>
        <v>99.679708414599418</v>
      </c>
      <c r="J13" s="368">
        <f>[22]Brewhouse!$AV875</f>
        <v>99.556023227675951</v>
      </c>
      <c r="K13" s="281">
        <f>[22]Brewhouse!$Q875</f>
        <v>2.6792452830188709</v>
      </c>
      <c r="L13" s="276">
        <f>[22]Brewhouse!$P875</f>
        <v>60</v>
      </c>
      <c r="M13" s="397">
        <f>[22]Brewhouse!$U875-[22]Brewhouse!$T875</f>
        <v>0.10555555555555551</v>
      </c>
      <c r="N13" s="370">
        <f>[22]Brewhouse!$Z875</f>
        <v>0.25694444444444442</v>
      </c>
      <c r="O13" s="421" t="str">
        <f>[22]Brewhouse!$AX875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[22]Brewhouse!$A876</f>
        <v>CA762</v>
      </c>
      <c r="D14" s="279">
        <f>[22]Brewhouse!$AF876</f>
        <v>52</v>
      </c>
      <c r="E14" s="279">
        <f>[22]Brewhouse!$AI876</f>
        <v>50.6</v>
      </c>
      <c r="F14" s="278">
        <f>[22]Brewhouse!$V876</f>
        <v>64</v>
      </c>
      <c r="G14" s="279">
        <f>[22]Brewhouse!AG876</f>
        <v>11.7</v>
      </c>
      <c r="H14" s="396">
        <v>11.7</v>
      </c>
      <c r="I14" s="368">
        <f>[22]Brewhouse!$AU876</f>
        <v>98.016320901061235</v>
      </c>
      <c r="J14" s="368">
        <f>[22]Brewhouse!$AV876</f>
        <v>97.894699688830428</v>
      </c>
      <c r="K14" s="281">
        <f>[22]Brewhouse!$Q876</f>
        <v>3.4274952919020718</v>
      </c>
      <c r="L14" s="276">
        <f>[22]Brewhouse!$P876</f>
        <v>60</v>
      </c>
      <c r="M14" s="397">
        <f>[22]Brewhouse!$U876-[22]Brewhouse!$T876</f>
        <v>0.11041666666666672</v>
      </c>
      <c r="N14" s="370">
        <f>[22]Brewhouse!$Z876</f>
        <v>0.24722222222222223</v>
      </c>
      <c r="O14" s="421" t="str">
        <f>[22]Brewhouse!$AX876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[22]Brewhouse!$A877</f>
        <v>CA763</v>
      </c>
      <c r="D15" s="279">
        <f>[22]Brewhouse!$AF877</f>
        <v>52.8</v>
      </c>
      <c r="E15" s="279">
        <f>[22]Brewhouse!$AI877</f>
        <v>51.3</v>
      </c>
      <c r="F15" s="278">
        <f>[22]Brewhouse!$V877</f>
        <v>71</v>
      </c>
      <c r="G15" s="279">
        <f>[22]Brewhouse!AG877</f>
        <v>11.6</v>
      </c>
      <c r="H15" s="396">
        <v>11.6</v>
      </c>
      <c r="I15" s="368">
        <f>[22]Brewhouse!$AU877</f>
        <v>98.59936743760062</v>
      </c>
      <c r="J15" s="368">
        <f>[22]Brewhouse!$AV877</f>
        <v>98.477032504522725</v>
      </c>
      <c r="K15" s="281">
        <f>[22]Brewhouse!$Q877</f>
        <v>1.9209039548022655</v>
      </c>
      <c r="L15" s="276">
        <f>[22]Brewhouse!$P877</f>
        <v>61</v>
      </c>
      <c r="M15" s="397">
        <f>[22]Brewhouse!$U877-[22]Brewhouse!$T877</f>
        <v>0.11388888888888882</v>
      </c>
      <c r="N15" s="370">
        <f>[22]Brewhouse!$Z877</f>
        <v>0.25069444444444433</v>
      </c>
      <c r="O15" s="421" t="str">
        <f>[22]Brewhouse!$AX877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[22]Brewhouse!$A878</f>
        <v>CA764</v>
      </c>
      <c r="D16" s="279">
        <f>[22]Brewhouse!$AF878</f>
        <v>52.99</v>
      </c>
      <c r="E16" s="279">
        <f>[22]Brewhouse!$AI878</f>
        <v>51.5</v>
      </c>
      <c r="F16" s="278">
        <f>[22]Brewhouse!$V878</f>
        <v>73</v>
      </c>
      <c r="G16" s="279">
        <f>[22]Brewhouse!AG878</f>
        <v>11.5</v>
      </c>
      <c r="H16" s="396">
        <v>11.6</v>
      </c>
      <c r="I16" s="368">
        <f>[22]Brewhouse!$AU878</f>
        <v>98.085402876156465</v>
      </c>
      <c r="J16" s="368">
        <f>[22]Brewhouse!$AV878</f>
        <v>97.963705632973188</v>
      </c>
      <c r="K16" s="281">
        <f>[22]Brewhouse!$Q878</f>
        <v>1.7325800376647864</v>
      </c>
      <c r="L16" s="276">
        <f>[22]Brewhouse!$P878</f>
        <v>59</v>
      </c>
      <c r="M16" s="397">
        <f>[22]Brewhouse!$U878-[22]Brewhouse!$T878</f>
        <v>0.125</v>
      </c>
      <c r="N16" s="370">
        <f>[22]Brewhouse!$Z878</f>
        <v>0.25902777777777786</v>
      </c>
      <c r="O16" s="421" t="str">
        <f>[22]Brewhouse!$AX878</f>
        <v>R.Sookram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" customHeight="1">
      <c r="B17" s="29" t="s">
        <v>6</v>
      </c>
      <c r="C17" s="366" t="str">
        <f>[22]Brewhouse!$A879</f>
        <v>CA765</v>
      </c>
      <c r="D17" s="279">
        <f>[22]Brewhouse!$AF879</f>
        <v>53</v>
      </c>
      <c r="E17" s="279">
        <f>[22]Brewhouse!$AI879</f>
        <v>51.9</v>
      </c>
      <c r="F17" s="278">
        <f>[22]Brewhouse!$V879</f>
        <v>74</v>
      </c>
      <c r="G17" s="279">
        <f>[22]Brewhouse!AG879</f>
        <v>11.7</v>
      </c>
      <c r="H17" s="396">
        <v>11.6</v>
      </c>
      <c r="I17" s="368">
        <f>[22]Brewhouse!$AU879</f>
        <v>100.78161966256438</v>
      </c>
      <c r="J17" s="368">
        <f>[22]Brewhouse!$AV879</f>
        <v>100.65658712797594</v>
      </c>
      <c r="K17" s="281">
        <f>[22]Brewhouse!$Q879</f>
        <v>1.5442561205273075</v>
      </c>
      <c r="L17" s="276">
        <f>[22]Brewhouse!$P879</f>
        <v>60</v>
      </c>
      <c r="M17" s="397">
        <f>[22]Brewhouse!$U879-[22]Brewhouse!$T879</f>
        <v>0.11805555555555558</v>
      </c>
      <c r="N17" s="370">
        <f>[22]Brewhouse!$Z879</f>
        <v>0.25694444444444453</v>
      </c>
      <c r="O17" s="421" t="str">
        <f>[22]Brewhouse!$AX879</f>
        <v>R.Sookram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ref="R18:R35" si="9">B18</f>
        <v>0</v>
      </c>
      <c r="S18" s="296" t="e">
        <f t="shared" ref="S18:S35" si="10">VLOOKUP($B18,$R$3:$X$9,2,FALSE)</f>
        <v>#N/A</v>
      </c>
      <c r="T18" s="296" t="e">
        <f t="shared" ref="T18:T35" si="11">VLOOKUP($B18,$R$3:$X$9,3,FALSE)</f>
        <v>#N/A</v>
      </c>
      <c r="U18" s="297" t="e">
        <f t="shared" ref="U18:U35" si="12">VLOOKUP($B18,$R$3:$X$9,4,FALSE)</f>
        <v>#N/A</v>
      </c>
      <c r="V18" s="297" t="e">
        <f t="shared" ref="V18:V35" si="13">VLOOKUP($B18,$R$3:$X$9,5,FALSE)</f>
        <v>#N/A</v>
      </c>
      <c r="W18" s="297" t="e">
        <f t="shared" ref="W18:W35" si="14">VLOOKUP($B18,$R$3:$X$9,6,FALSE)</f>
        <v>#N/A</v>
      </c>
      <c r="X18" s="297" t="e">
        <f t="shared" ref="X18:X35" si="15">VLOOKUP($B18,$R$3:$X$9,7,FALSE)</f>
        <v>#N/A</v>
      </c>
      <c r="Y18" s="297" t="e">
        <f t="shared" ref="Y18:Y35" si="16">VLOOKUP($B18,$R$3:$Z$9,8,FALSE)</f>
        <v>#N/A</v>
      </c>
      <c r="Z18" s="296" t="e">
        <f t="shared" ref="Z18:Z35" si="17">VLOOKUP($B18,$R$3:$Z$9,9,FALSE)</f>
        <v>#N/A</v>
      </c>
    </row>
    <row r="19" spans="1:27" ht="15" customHeight="1">
      <c r="B19" s="34"/>
      <c r="C19" s="366"/>
      <c r="D19" s="279"/>
      <c r="E19" s="279"/>
      <c r="F19" s="278"/>
      <c r="G19" s="279"/>
      <c r="H19" s="396"/>
      <c r="I19" s="420"/>
      <c r="J19" s="420"/>
      <c r="K19" s="470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7" ht="15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7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7" ht="15.75" thickBot="1">
      <c r="B23" s="388" t="s">
        <v>162</v>
      </c>
      <c r="C23" s="388"/>
      <c r="D23" s="489" t="s">
        <v>35</v>
      </c>
      <c r="E23" s="490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7" ht="15" customHeight="1">
      <c r="A24" s="28"/>
      <c r="B24" s="577" t="str">
        <f>I24</f>
        <v>CARIB</v>
      </c>
      <c r="C24" s="362" cm="1">
        <f t="array" ref="C24:C31">[22]Process!$D$798:$D$805</f>
        <v>11.9</v>
      </c>
      <c r="D24" s="515">
        <v>11.84</v>
      </c>
      <c r="E24" s="516"/>
      <c r="F24" s="294"/>
      <c r="G24" s="294"/>
      <c r="H24" s="348"/>
      <c r="I24" s="29" t="s">
        <v>6</v>
      </c>
      <c r="J24" s="280">
        <f>AVERAGE(I10:I12,I14:I17)</f>
        <v>98.215497676530262</v>
      </c>
      <c r="K24" s="284">
        <f>COUNTA([22]Brewhouse!$A$823:$A$862,[23]Brewhouse!$A$420:$A$423,[22]Brewhouse!$A$867:$A$879)</f>
        <v>57</v>
      </c>
      <c r="L24" s="305">
        <f>AVERAGE([22]Brewhouse!$AU$823:$AU$862,[23]Brewhouse!$AS$420:$AS$423,[22]Brewhouse!$AU$867:$AU$879)</f>
        <v>97.571709176855592</v>
      </c>
      <c r="M24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$879)</f>
        <v>97.695982540774935</v>
      </c>
      <c r="N24" s="30">
        <v>98</v>
      </c>
      <c r="O24" s="11"/>
      <c r="P24" s="31"/>
      <c r="R24" s="277" t="str">
        <f t="shared" si="9"/>
        <v>CARIB</v>
      </c>
      <c r="S24" s="296">
        <f t="shared" si="10"/>
        <v>11.6</v>
      </c>
      <c r="T24" s="296">
        <f t="shared" si="11"/>
        <v>12</v>
      </c>
      <c r="U24" s="297">
        <f t="shared" si="12"/>
        <v>0</v>
      </c>
      <c r="V24" s="297">
        <f t="shared" si="13"/>
        <v>0.118055555555556</v>
      </c>
      <c r="W24" s="297">
        <f t="shared" si="14"/>
        <v>0.22569444444444445</v>
      </c>
      <c r="X24" s="297">
        <f t="shared" si="15"/>
        <v>0.2638888888888889</v>
      </c>
      <c r="Y24" s="297">
        <f t="shared" si="16"/>
        <v>0</v>
      </c>
      <c r="Z24" s="296">
        <f t="shared" si="17"/>
        <v>60</v>
      </c>
    </row>
    <row r="25" spans="1:27" ht="15" customHeight="1">
      <c r="A25" s="28"/>
      <c r="B25" s="578"/>
      <c r="C25" s="362">
        <v>11.8</v>
      </c>
      <c r="D25" s="517"/>
      <c r="E25" s="518"/>
      <c r="F25" s="294"/>
      <c r="G25" s="294"/>
      <c r="H25" s="348"/>
      <c r="I25" s="33" t="s">
        <v>9</v>
      </c>
      <c r="J25" s="280"/>
      <c r="K25" s="284">
        <f>COUNTA([23]Brewhouse!$A$399:$A$435)</f>
        <v>37</v>
      </c>
      <c r="L25" s="302">
        <f>AVERAGE([23]Brewhouse!$AS$399:$AS$435)</f>
        <v>97.535175966305019</v>
      </c>
      <c r="M25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$435)</f>
        <v>97.954933994428416</v>
      </c>
      <c r="N25" s="30">
        <v>98</v>
      </c>
      <c r="O25" s="11"/>
      <c r="P25" s="31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7" ht="14.65" customHeight="1">
      <c r="A26" s="28"/>
      <c r="B26" s="578"/>
      <c r="C26" s="362">
        <v>11.6</v>
      </c>
      <c r="D26" s="515">
        <v>11.73</v>
      </c>
      <c r="E26" s="516"/>
      <c r="F26" s="294"/>
      <c r="G26" s="294"/>
      <c r="H26" s="348"/>
      <c r="I26" s="34" t="s">
        <v>12</v>
      </c>
      <c r="J26" s="280"/>
      <c r="K26" s="284">
        <f>COUNTA([24]Brewhouse!$A$99:$A$106)</f>
        <v>8</v>
      </c>
      <c r="L26" s="302">
        <f>AVERAGE([24]Brewhouse!$AU$99:$AU$106)</f>
        <v>94.823749681896615</v>
      </c>
      <c r="M26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6" s="30">
        <v>98</v>
      </c>
      <c r="O26" s="11"/>
      <c r="P26" s="31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4.65" customHeight="1">
      <c r="A27" s="28"/>
      <c r="B27" s="578"/>
      <c r="C27" s="362">
        <v>11.6</v>
      </c>
      <c r="D27" s="517"/>
      <c r="E27" s="518"/>
      <c r="F27" s="294"/>
      <c r="G27" s="294"/>
      <c r="H27" s="348"/>
      <c r="I27" s="22" t="s">
        <v>33</v>
      </c>
      <c r="J27" s="280"/>
      <c r="K27" s="284"/>
      <c r="L27" s="302"/>
      <c r="M27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AVERAGE([25]Brewhouse!$AV$5:$AV$14,[25]Brewhouse!$AV$16:$AV$19,[25]Brewhouse!$AV$21:$AV$24,[25]Brewhouse!$AV$26:$AV$33,[25]Brewhouse!$AV$35:$AV$46,[25]Brewhouse!$AV$48:$AV$53,[25]Brewhouse!$AV$55:$AV$62,[25]Brewhouse!$AV$64:$AV$77,[25]Brewhouse!$AV$79:$AV$86)</f>
        <v>98.293408393493976</v>
      </c>
      <c r="N27" s="30">
        <v>98</v>
      </c>
      <c r="O27" s="11"/>
      <c r="P27" s="31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7" ht="14.65" customHeight="1">
      <c r="A28" s="28"/>
      <c r="B28" s="578"/>
      <c r="C28" s="362">
        <v>11.5</v>
      </c>
      <c r="D28" s="515">
        <v>11.81</v>
      </c>
      <c r="E28" s="516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7" ht="14.65" customHeight="1">
      <c r="A29" s="28"/>
      <c r="B29" s="578"/>
      <c r="C29" s="362">
        <v>11.8</v>
      </c>
      <c r="D29" s="517"/>
      <c r="E29" s="518"/>
      <c r="F29" s="417"/>
      <c r="G29" s="294"/>
      <c r="H29" s="348"/>
      <c r="I29" s="36" t="s">
        <v>15</v>
      </c>
      <c r="J29" s="323"/>
      <c r="K29" s="284"/>
      <c r="L29" s="302"/>
      <c r="M29" s="302">
        <f>AVERAGE([26]Brewhouse!$AT$4:$AT$11,[26]Brewhouse!$AT$13:$AT$16,[26]Brewhouse!$AT$18:$AT$21,[26]Brewhouse!$AT$26,[26]Brewhouse!$AT$28:$AT$35)</f>
        <v>94.794664331624134</v>
      </c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  <c r="AA29" s="296"/>
    </row>
    <row r="30" spans="1:27" ht="14.65" customHeight="1">
      <c r="A30" s="28"/>
      <c r="B30" s="578"/>
      <c r="C30" s="362">
        <v>11.6</v>
      </c>
      <c r="D30" s="515">
        <v>11.89</v>
      </c>
      <c r="E30" s="516"/>
      <c r="F30" s="417"/>
      <c r="G30" s="294"/>
      <c r="H30" s="348"/>
      <c r="I30" s="37" t="s">
        <v>16</v>
      </c>
      <c r="J30" s="323"/>
      <c r="K30" s="284"/>
      <c r="L30" s="302"/>
      <c r="M30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0" s="30">
        <v>98</v>
      </c>
      <c r="O30" s="11"/>
      <c r="P30" s="31" t="s">
        <v>41</v>
      </c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  <c r="AA30" s="296"/>
    </row>
    <row r="31" spans="1:27" ht="14.65" customHeight="1">
      <c r="A31" s="28"/>
      <c r="B31" s="578"/>
      <c r="C31" s="362">
        <v>11.6</v>
      </c>
      <c r="D31" s="517"/>
      <c r="E31" s="518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AVERAGE([28]Brewhouse!$AU$5:$AU$8,[28]Brewhouse!$AU$10:$AU$13,[27]Brewhouse!$AY$75:$AY$77)</f>
        <v>94.749192473706671</v>
      </c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  <c r="AA31" s="296"/>
    </row>
    <row r="32" spans="1:27" ht="14.65" customHeight="1">
      <c r="A32" s="28"/>
      <c r="B32" s="578"/>
      <c r="C32" s="349"/>
      <c r="D32" s="515"/>
      <c r="E32" s="516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  <c r="AA32" s="296"/>
    </row>
    <row r="33" spans="1:56" ht="15" customHeight="1" thickBot="1">
      <c r="A33" s="28"/>
      <c r="B33" s="578"/>
      <c r="C33" s="349"/>
      <c r="D33" s="517"/>
      <c r="E33" s="518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  <c r="AA33" s="296"/>
    </row>
    <row r="34" spans="1:56" ht="15" customHeight="1" thickBot="1">
      <c r="A34" s="28"/>
      <c r="B34" s="578"/>
      <c r="C34" s="349"/>
      <c r="D34" s="515"/>
      <c r="E34" s="516"/>
      <c r="F34" s="294"/>
      <c r="G34" s="294"/>
      <c r="H34" s="348"/>
      <c r="I34" s="1"/>
      <c r="J34" s="39"/>
      <c r="K34" s="404">
        <f>SUM(K24:K33)</f>
        <v>102</v>
      </c>
      <c r="L34" s="405">
        <f>((L24*K24)+(L25*K25)+(L26*K26)+(L27*K27)+(L28*K28)+(K31*L31)+(L29*K29)+(L30*K30)+(L33*K33))/(K34)</f>
        <v>97.342930698913989</v>
      </c>
      <c r="M34" s="405">
        <f>AVERAGE('[31]Jan 31st'!$L$65,'[32]Feb 28th'!$L$35,'[33]Mar. 31st'!$L$35,'[34]Apr. 30th'!$L$45,'[35]May 30th'!$L$37,'[36]June 30th'!$L$57,'[37]July 29th '!$L$44,'[38]Aug 29th'!$L$29,'[39]Sept 30th'!$L$35,L34)</f>
        <v>97.552243309573186</v>
      </c>
      <c r="N34" s="4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  <c r="AA34" s="296"/>
    </row>
    <row r="35" spans="1:56" ht="15.75" thickBot="1">
      <c r="B35" s="579"/>
      <c r="C35" s="350"/>
      <c r="D35" s="517"/>
      <c r="E35" s="518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5.75" thickBot="1">
      <c r="B36" s="562"/>
      <c r="C36" s="362"/>
      <c r="D36" s="528"/>
      <c r="E36" s="529"/>
      <c r="F36" s="294"/>
      <c r="G36" s="42"/>
      <c r="H36" s="41"/>
      <c r="I36" s="42"/>
      <c r="J36" s="563" t="s">
        <v>129</v>
      </c>
      <c r="K36" s="563"/>
      <c r="L36" s="294"/>
      <c r="M36" s="294"/>
      <c r="N36" s="294"/>
      <c r="O36" s="294"/>
      <c r="P36" s="12"/>
    </row>
    <row r="37" spans="1:56" ht="15.75" thickBot="1">
      <c r="B37" s="526"/>
      <c r="C37" s="362"/>
      <c r="D37" s="530"/>
      <c r="E37" s="518"/>
      <c r="F37" s="294"/>
      <c r="G37" s="42"/>
      <c r="H37" s="41"/>
      <c r="I37" s="42"/>
      <c r="J37" s="292" t="s">
        <v>17</v>
      </c>
      <c r="K37" s="293" t="s">
        <v>147</v>
      </c>
      <c r="L37" s="532" t="s">
        <v>136</v>
      </c>
      <c r="M37" s="532"/>
      <c r="N37" s="533"/>
      <c r="O37" s="294"/>
      <c r="P37" s="12"/>
    </row>
    <row r="38" spans="1:56" ht="15" customHeight="1" thickBot="1">
      <c r="B38" s="526"/>
      <c r="C38" s="349"/>
      <c r="D38" s="564"/>
      <c r="E38" s="565"/>
      <c r="F38" s="294"/>
      <c r="G38" s="42"/>
      <c r="H38" s="41"/>
      <c r="I38" s="42"/>
      <c r="J38" s="287" t="s">
        <v>6</v>
      </c>
      <c r="K38" s="324">
        <v>8</v>
      </c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26"/>
      <c r="C39" s="349"/>
      <c r="D39" s="530"/>
      <c r="E39" s="518"/>
      <c r="F39" s="294"/>
      <c r="G39" s="42"/>
      <c r="H39" s="41"/>
      <c r="I39" s="42"/>
      <c r="J39" s="345" t="s">
        <v>9</v>
      </c>
      <c r="K39" s="324"/>
      <c r="L39" s="344">
        <f>AVERAGE('Oct. 1st'!K49,,'Oct. 2nd'!K51,'Oct. 3rd'!K46,'Oct. 6th'!K54,Oct.7th!K50,Oct.8th!K48,Oct.9th!K49,Oct.13th!K47,Oct.15th!K50,Oct.16th!K50,Oct.17th!K46,Oct.21st!K50,Oct.22nd!K48)</f>
        <v>7</v>
      </c>
      <c r="M39" s="325">
        <f>AVERAGE('[31]Jan 29th '!$M$70,'[32]Feb 28th'!$L$40,'[33]Mar. 31st'!$L$40,'[34]Apr. 30th'!$L$50,'[35]May 30th'!$L$42,'[36]June 30th'!$L$62,'[37]July 29th '!$L$49,'[38]Aug 29th'!$L$34,'[39]Sept 30th'!$L$40,L39)</f>
        <v>7.006127777638075</v>
      </c>
      <c r="N39" s="416">
        <v>9.1999999999999993</v>
      </c>
      <c r="O39" s="294"/>
      <c r="P39" s="12"/>
    </row>
    <row r="40" spans="1:56" ht="15" customHeight="1">
      <c r="B40" s="526"/>
      <c r="C40" s="349"/>
      <c r="D40" s="564"/>
      <c r="E40" s="565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6"/>
      <c r="C41" s="349"/>
      <c r="D41" s="530"/>
      <c r="E41" s="518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6"/>
      <c r="C42" s="349"/>
      <c r="D42" s="564"/>
      <c r="E42" s="565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6"/>
      <c r="C43" s="349"/>
      <c r="D43" s="530"/>
      <c r="E43" s="518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6"/>
      <c r="C44" s="349"/>
      <c r="D44" s="564"/>
      <c r="E44" s="565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6"/>
      <c r="C45" s="350"/>
      <c r="D45" s="566"/>
      <c r="E45" s="567"/>
      <c r="F45" s="294" t="s">
        <v>178</v>
      </c>
      <c r="G45" s="42"/>
      <c r="H45" s="41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60">
        <f>AVERAGE(D24:E45)</f>
        <v>11.817500000000001</v>
      </c>
      <c r="E46" s="561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40" t="s">
        <v>17</v>
      </c>
      <c r="C51" s="540" t="s">
        <v>44</v>
      </c>
      <c r="D51" s="542" t="s">
        <v>45</v>
      </c>
      <c r="E51" s="497" t="s">
        <v>46</v>
      </c>
      <c r="F51" s="557" t="s">
        <v>47</v>
      </c>
      <c r="G51" s="551" t="s">
        <v>48</v>
      </c>
      <c r="H51" s="540" t="s">
        <v>49</v>
      </c>
      <c r="I51" s="540" t="s">
        <v>50</v>
      </c>
      <c r="J51" s="545" t="s">
        <v>28</v>
      </c>
      <c r="K51" s="495" t="s">
        <v>51</v>
      </c>
      <c r="L51" s="507" t="s">
        <v>52</v>
      </c>
      <c r="M51" s="545" t="s">
        <v>53</v>
      </c>
      <c r="N51" s="13"/>
      <c r="O51" s="13"/>
      <c r="P51" s="50"/>
    </row>
    <row r="52" spans="2:57" ht="28.5" customHeight="1" thickTop="1" thickBot="1">
      <c r="B52" s="541"/>
      <c r="C52" s="541"/>
      <c r="D52" s="543"/>
      <c r="E52" s="544"/>
      <c r="F52" s="558"/>
      <c r="G52" s="552"/>
      <c r="H52" s="559"/>
      <c r="I52" s="559"/>
      <c r="J52" s="546"/>
      <c r="K52" s="555"/>
      <c r="L52" s="556"/>
      <c r="M52" s="546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9.45" customHeight="1" thickBot="1">
      <c r="B53" s="460" t="str">
        <f>J38</f>
        <v>CARIB</v>
      </c>
      <c r="C53" s="442">
        <v>45952</v>
      </c>
      <c r="D53" s="443">
        <f>[40]October_2025!$Y$3</f>
        <v>395.18999999999994</v>
      </c>
      <c r="E53" s="444"/>
      <c r="F53" s="445">
        <f>SUM([42]CARIB!$L$38:$L$45)</f>
        <v>386</v>
      </c>
      <c r="G53" s="445">
        <f>[40]October_2025!$Y$7</f>
        <v>371.40000000000003</v>
      </c>
      <c r="H53" s="462">
        <f>(D53-F53)/D53*100</f>
        <v>2.3254637010045656</v>
      </c>
      <c r="I53" s="462">
        <f>((F53+E53)-G53)/(F53+E53)*100</f>
        <v>3.78238341968911</v>
      </c>
      <c r="J53" s="449" t="s">
        <v>167</v>
      </c>
      <c r="K53" s="450">
        <f>[41]October_2025!$Y$18</f>
        <v>0.65157894736842115</v>
      </c>
      <c r="L53" s="461">
        <f>(((D53+E53)-G53)/(D53+E53))*100</f>
        <v>6.0198891672359904</v>
      </c>
      <c r="M53" s="457" t="s">
        <v>193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20.45" hidden="1" customHeight="1" thickBot="1">
      <c r="B54" s="458"/>
      <c r="C54" s="431"/>
      <c r="D54" s="432"/>
      <c r="E54" s="433"/>
      <c r="F54" s="434"/>
      <c r="G54" s="435"/>
      <c r="H54" s="429"/>
      <c r="I54" s="429"/>
      <c r="J54" s="452"/>
      <c r="K54" s="437"/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59.45" hidden="1" customHeight="1" thickBot="1">
      <c r="B55" s="460" t="str">
        <f>J38</f>
        <v>CARIB</v>
      </c>
      <c r="C55" s="442">
        <v>45945</v>
      </c>
      <c r="D55" s="443"/>
      <c r="E55" s="444"/>
      <c r="F55" s="445"/>
      <c r="G55" s="446"/>
      <c r="H55" s="462"/>
      <c r="I55" s="462"/>
      <c r="J55" s="449"/>
      <c r="K55" s="466"/>
      <c r="L55" s="461"/>
      <c r="M55" s="457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4"/>
      <c r="C56" s="431"/>
      <c r="D56" s="432"/>
      <c r="E56" s="433"/>
      <c r="F56" s="434"/>
      <c r="G56" s="435"/>
      <c r="H56" s="436"/>
      <c r="I56" s="451"/>
      <c r="J56" s="452"/>
      <c r="K56" s="437" t="s">
        <v>41</v>
      </c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6.6" hidden="1" customHeight="1" thickBot="1">
      <c r="B57" s="387"/>
      <c r="C57" s="442"/>
      <c r="D57" s="443"/>
      <c r="E57" s="444"/>
      <c r="F57" s="445"/>
      <c r="G57" s="446"/>
      <c r="H57" s="447"/>
      <c r="I57" s="448"/>
      <c r="J57" s="449"/>
      <c r="K57" s="450"/>
      <c r="L57" s="455" t="e">
        <f>(((D57+E57)-G57)/(D57+E57))*100</f>
        <v>#DIV/0!</v>
      </c>
      <c r="M57" s="456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8"/>
      <c r="C58" s="424"/>
      <c r="D58" s="425"/>
      <c r="E58" s="426"/>
      <c r="F58" s="427"/>
      <c r="G58" s="428"/>
      <c r="H58" s="429"/>
      <c r="I58" s="439"/>
      <c r="J58" s="440"/>
      <c r="K58" s="430"/>
      <c r="L58" s="441"/>
      <c r="M58" s="423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547" t="s">
        <v>55</v>
      </c>
      <c r="C60" s="548"/>
      <c r="D60" s="548"/>
      <c r="E60" s="548"/>
      <c r="F60" s="549"/>
      <c r="G60" s="547" t="s">
        <v>56</v>
      </c>
      <c r="H60" s="548"/>
      <c r="I60" s="548"/>
      <c r="J60" s="549"/>
      <c r="K60" s="547" t="s">
        <v>51</v>
      </c>
      <c r="L60" s="548"/>
      <c r="M60" s="548"/>
      <c r="N60" s="550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>
        <f>L53</f>
        <v>6.0198891672359904</v>
      </c>
      <c r="D62" s="76">
        <v>5.4782968828745089</v>
      </c>
      <c r="E62" s="76">
        <v>6.2903148492029315</v>
      </c>
      <c r="F62" s="66">
        <v>4.8</v>
      </c>
      <c r="G62" s="65">
        <f>[40]October_2025!$Y$11</f>
        <v>5.0192819265923205</v>
      </c>
      <c r="H62" s="76">
        <v>3.693231302296994</v>
      </c>
      <c r="I62" s="76">
        <v>6.0814224699786958</v>
      </c>
      <c r="J62" s="66">
        <v>4.8</v>
      </c>
      <c r="K62" s="67">
        <f>K53</f>
        <v>0.65157894736842115</v>
      </c>
      <c r="L62" s="194">
        <v>0.71707054568903494</v>
      </c>
      <c r="M62" s="194">
        <v>0.76553342791026213</v>
      </c>
      <c r="N62" s="68">
        <v>1</v>
      </c>
      <c r="O62" s="56"/>
      <c r="P62" s="69"/>
    </row>
    <row r="63" spans="2:57" ht="15">
      <c r="B63" s="33" t="s">
        <v>9</v>
      </c>
      <c r="C63" s="65"/>
      <c r="D63" s="76">
        <v>3.5989501429842425</v>
      </c>
      <c r="E63" s="76">
        <v>5.6877482788228022</v>
      </c>
      <c r="F63" s="66">
        <v>4.8</v>
      </c>
      <c r="G63" s="65"/>
      <c r="H63" s="76">
        <v>3.3049198771516219</v>
      </c>
      <c r="I63" s="76">
        <v>5.4826084373839814</v>
      </c>
      <c r="J63" s="66">
        <v>4.8</v>
      </c>
      <c r="K63" s="67"/>
      <c r="L63" s="194">
        <v>0.92648177510936203</v>
      </c>
      <c r="M63" s="194">
        <v>0.73378312777097876</v>
      </c>
      <c r="N63" s="68">
        <v>1</v>
      </c>
      <c r="P63" s="69"/>
    </row>
    <row r="64" spans="2:57" ht="15">
      <c r="B64" s="34" t="s">
        <v>40</v>
      </c>
      <c r="C64" s="65"/>
      <c r="D64" s="76">
        <v>9.535333978702802</v>
      </c>
      <c r="E64" s="76">
        <v>11.690789306336304</v>
      </c>
      <c r="F64" s="66">
        <v>5.5</v>
      </c>
      <c r="G64" s="65"/>
      <c r="H64" s="76">
        <v>9.7076284177373999</v>
      </c>
      <c r="I64" s="76">
        <v>12.617010368159198</v>
      </c>
      <c r="J64" s="66">
        <v>5.5</v>
      </c>
      <c r="K64" s="67"/>
      <c r="L64" s="194">
        <v>0.9345</v>
      </c>
      <c r="M64" s="194">
        <v>0.54931804556354924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5.119233255999676</v>
      </c>
      <c r="F65" s="66">
        <v>3.3</v>
      </c>
      <c r="G65" s="65"/>
      <c r="H65" s="76"/>
      <c r="I65" s="76">
        <v>4.4772094679692334</v>
      </c>
      <c r="J65" s="66">
        <v>3.3</v>
      </c>
      <c r="K65" s="67"/>
      <c r="L65" s="194"/>
      <c r="M65" s="194">
        <v>0.80025950292397652</v>
      </c>
      <c r="N65" s="68">
        <v>1</v>
      </c>
      <c r="P65" s="69"/>
    </row>
    <row r="66" spans="2:16" ht="15">
      <c r="B66" s="35" t="s">
        <v>165</v>
      </c>
      <c r="C66" s="65"/>
      <c r="D66" s="76"/>
      <c r="E66" s="76">
        <v>7.837301587301579</v>
      </c>
      <c r="F66" s="66">
        <v>3.3</v>
      </c>
      <c r="G66" s="282"/>
      <c r="H66" s="76"/>
      <c r="I66" s="76">
        <v>5.3377569154690221</v>
      </c>
      <c r="J66" s="66">
        <v>3</v>
      </c>
      <c r="K66" s="67"/>
      <c r="L66" s="194"/>
      <c r="M66" s="194">
        <v>0.32596491228070179</v>
      </c>
      <c r="N66" s="68">
        <v>1</v>
      </c>
      <c r="P66" s="69"/>
    </row>
    <row r="67" spans="2:16" ht="15">
      <c r="B67" s="36" t="s">
        <v>15</v>
      </c>
      <c r="C67" s="65"/>
      <c r="D67" s="76"/>
      <c r="E67" s="76">
        <v>7.3129862357869699</v>
      </c>
      <c r="F67" s="70">
        <f>[21]May_2022!$M$43</f>
        <v>3.4878406700073312</v>
      </c>
      <c r="G67" s="282"/>
      <c r="H67" s="76"/>
      <c r="I67" s="76">
        <v>8.6614709463340702</v>
      </c>
      <c r="J67" s="66">
        <v>5.5</v>
      </c>
      <c r="K67" s="67"/>
      <c r="L67" s="194"/>
      <c r="M67" s="194">
        <v>0.73160818713450293</v>
      </c>
      <c r="N67" s="68">
        <v>1</v>
      </c>
      <c r="P67" s="69"/>
    </row>
    <row r="68" spans="2:16" ht="15">
      <c r="B68" s="37" t="s">
        <v>16</v>
      </c>
      <c r="C68" s="65"/>
      <c r="D68" s="76">
        <v>2.0782986950217497</v>
      </c>
      <c r="E68" s="76">
        <v>2.8629317642487306</v>
      </c>
      <c r="F68" s="66">
        <v>3.3</v>
      </c>
      <c r="G68" s="282"/>
      <c r="H68" s="76">
        <v>3.4559849687930924</v>
      </c>
      <c r="I68" s="76">
        <v>4.3478819741669881</v>
      </c>
      <c r="J68" s="66">
        <v>3.3</v>
      </c>
      <c r="K68" s="67"/>
      <c r="L68" s="194">
        <v>0.88859649122807016</v>
      </c>
      <c r="M68" s="194">
        <v>0.85935680751173715</v>
      </c>
      <c r="N68" s="71">
        <v>1</v>
      </c>
      <c r="P68" s="69"/>
    </row>
    <row r="69" spans="2:16" ht="15.75" thickBot="1">
      <c r="B69" s="38" t="s">
        <v>164</v>
      </c>
      <c r="C69" s="65"/>
      <c r="D69" s="76"/>
      <c r="E69" s="76">
        <v>11.483253588516746</v>
      </c>
      <c r="F69" s="66">
        <v>7.5</v>
      </c>
      <c r="G69" s="282"/>
      <c r="H69" s="76"/>
      <c r="I69" s="76">
        <v>9.7934336121043764</v>
      </c>
      <c r="J69" s="66">
        <v>7.5</v>
      </c>
      <c r="K69" s="67"/>
      <c r="M69" s="194">
        <v>0.32456140350877194</v>
      </c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>
        <v>7.2653644592663174</v>
      </c>
      <c r="F70" s="66">
        <v>4.8</v>
      </c>
      <c r="G70" s="282"/>
      <c r="H70" s="76"/>
      <c r="I70" s="76">
        <v>8.1715311054411259</v>
      </c>
      <c r="J70" s="66">
        <v>4.8</v>
      </c>
      <c r="K70" s="67"/>
      <c r="L70" s="194"/>
      <c r="M70" s="194">
        <v>0.51368421052631585</v>
      </c>
      <c r="N70" s="71">
        <v>1</v>
      </c>
      <c r="O70" s="74"/>
      <c r="P70" s="75"/>
    </row>
    <row r="71" spans="2:16" ht="15">
      <c r="D71" s="76">
        <v>4.5306045605058696</v>
      </c>
      <c r="E71" s="76">
        <v>6.2523788469196022</v>
      </c>
      <c r="F71" s="341">
        <v>5.5</v>
      </c>
      <c r="H71" s="76">
        <v>3.9373395420626061</v>
      </c>
      <c r="I71" s="76">
        <v>6.4045056360264292</v>
      </c>
      <c r="J71" s="341">
        <v>5.5</v>
      </c>
      <c r="L71" s="194">
        <v>0.82201449275362326</v>
      </c>
      <c r="M71" s="194">
        <v>0.7367071529544813</v>
      </c>
      <c r="N71" s="386">
        <v>1</v>
      </c>
    </row>
    <row r="75" spans="2:16">
      <c r="F75" s="315"/>
    </row>
    <row r="76" spans="2:16" ht="15">
      <c r="F76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0:F60"/>
    <mergeCell ref="G60:J60"/>
    <mergeCell ref="K60:N60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385" priority="148" operator="notBetween">
      <formula>#REF!</formula>
      <formula>#REF!</formula>
    </cfRule>
  </conditionalFormatting>
  <conditionalFormatting sqref="C50">
    <cfRule type="cellIs" dxfId="1384" priority="180" stopIfTrue="1" operator="greaterThan">
      <formula>100</formula>
    </cfRule>
    <cfRule type="cellIs" dxfId="1383" priority="179" stopIfTrue="1" operator="lessThan">
      <formula>96</formula>
    </cfRule>
  </conditionalFormatting>
  <conditionalFormatting sqref="C62:C66">
    <cfRule type="cellIs" dxfId="1382" priority="129" stopIfTrue="1" operator="lessThanOrEqual">
      <formula>0</formula>
    </cfRule>
  </conditionalFormatting>
  <conditionalFormatting sqref="C62:C70">
    <cfRule type="cellIs" dxfId="1381" priority="128" stopIfTrue="1" operator="greaterThan">
      <formula>$F62</formula>
    </cfRule>
  </conditionalFormatting>
  <conditionalFormatting sqref="C63">
    <cfRule type="cellIs" dxfId="1380" priority="183" stopIfTrue="1" operator="greaterThan">
      <formula>$F62</formula>
    </cfRule>
  </conditionalFormatting>
  <conditionalFormatting sqref="C67">
    <cfRule type="cellIs" dxfId="1379" priority="67" stopIfTrue="1" operator="greaterThan">
      <formula>$F66</formula>
    </cfRule>
    <cfRule type="cellIs" dxfId="1378" priority="66" stopIfTrue="1" operator="lessThanOrEqual">
      <formula>0</formula>
    </cfRule>
  </conditionalFormatting>
  <conditionalFormatting sqref="C73:C77">
    <cfRule type="cellIs" dxfId="1377" priority="171" stopIfTrue="1" operator="lessThanOrEqual">
      <formula>0</formula>
    </cfRule>
  </conditionalFormatting>
  <conditionalFormatting sqref="C74:C77">
    <cfRule type="cellIs" dxfId="1376" priority="170" stopIfTrue="1" operator="greaterThan">
      <formula>$F$73</formula>
    </cfRule>
  </conditionalFormatting>
  <conditionalFormatting sqref="C79">
    <cfRule type="cellIs" dxfId="1375" priority="173" stopIfTrue="1" operator="lessThanOrEqual">
      <formula>0</formula>
    </cfRule>
    <cfRule type="cellIs" dxfId="1374" priority="172" stopIfTrue="1" operator="greaterThan">
      <formula>$F$73</formula>
    </cfRule>
  </conditionalFormatting>
  <conditionalFormatting sqref="C73:D73 D75:D81">
    <cfRule type="cellIs" dxfId="1373" priority="165" stopIfTrue="1" operator="greaterThan">
      <formula>4.5</formula>
    </cfRule>
  </conditionalFormatting>
  <conditionalFormatting sqref="D46:D47">
    <cfRule type="cellIs" dxfId="1372" priority="149" operator="notBetween">
      <formula>#REF!</formula>
      <formula>#REF!</formula>
    </cfRule>
  </conditionalFormatting>
  <conditionalFormatting sqref="D62:D69">
    <cfRule type="cellIs" dxfId="1371" priority="143" stopIfTrue="1" operator="lessThanOrEqual">
      <formula>0</formula>
    </cfRule>
  </conditionalFormatting>
  <conditionalFormatting sqref="D70">
    <cfRule type="cellIs" dxfId="1370" priority="142" stopIfTrue="1" operator="lessThanOrEqual">
      <formula>0</formula>
    </cfRule>
  </conditionalFormatting>
  <conditionalFormatting sqref="D73 D75:D81">
    <cfRule type="cellIs" dxfId="1369" priority="166" stopIfTrue="1" operator="lessThanOrEqual">
      <formula>0</formula>
    </cfRule>
  </conditionalFormatting>
  <conditionalFormatting sqref="D74">
    <cfRule type="cellIs" dxfId="1368" priority="158" stopIfTrue="1" operator="lessThanOrEqual">
      <formula>0</formula>
    </cfRule>
    <cfRule type="cellIs" dxfId="1367" priority="157" stopIfTrue="1" operator="greaterThan">
      <formula>$F$73</formula>
    </cfRule>
  </conditionalFormatting>
  <conditionalFormatting sqref="D62:E71">
    <cfRule type="cellIs" dxfId="1366" priority="126" stopIfTrue="1" operator="greaterThan">
      <formula>$F62</formula>
    </cfRule>
  </conditionalFormatting>
  <conditionalFormatting sqref="D71:E71">
    <cfRule type="cellIs" dxfId="1365" priority="127" stopIfTrue="1" operator="lessThanOrEqual">
      <formula>0</formula>
    </cfRule>
  </conditionalFormatting>
  <conditionalFormatting sqref="E10:E21">
    <cfRule type="cellIs" dxfId="1364" priority="24" operator="lessThan">
      <formula>48</formula>
    </cfRule>
  </conditionalFormatting>
  <conditionalFormatting sqref="E49 E50:F50">
    <cfRule type="cellIs" dxfId="1363" priority="162" stopIfTrue="1" operator="greaterThan">
      <formula>100</formula>
    </cfRule>
  </conditionalFormatting>
  <conditionalFormatting sqref="E50">
    <cfRule type="cellIs" dxfId="1362" priority="159" stopIfTrue="1" operator="lessThan">
      <formula>96.8</formula>
    </cfRule>
    <cfRule type="cellIs" dxfId="1361" priority="160" stopIfTrue="1" operator="greaterThan">
      <formula>100</formula>
    </cfRule>
  </conditionalFormatting>
  <conditionalFormatting sqref="E62:E70">
    <cfRule type="cellIs" dxfId="1360" priority="137" stopIfTrue="1" operator="lessThanOrEqual">
      <formula>0</formula>
    </cfRule>
  </conditionalFormatting>
  <conditionalFormatting sqref="E73:E81">
    <cfRule type="cellIs" dxfId="1359" priority="152" stopIfTrue="1" operator="lessThanOrEqual">
      <formula>0</formula>
    </cfRule>
    <cfRule type="cellIs" dxfId="1358" priority="151" stopIfTrue="1" operator="greaterThan">
      <formula>4.5</formula>
    </cfRule>
  </conditionalFormatting>
  <conditionalFormatting sqref="E50:F50 E49">
    <cfRule type="cellIs" dxfId="1357" priority="161" stopIfTrue="1" operator="lessThan">
      <formula>96.5</formula>
    </cfRule>
  </conditionalFormatting>
  <conditionalFormatting sqref="F10:F21">
    <cfRule type="cellIs" dxfId="1356" priority="25" operator="greaterThan">
      <formula>60</formula>
    </cfRule>
  </conditionalFormatting>
  <conditionalFormatting sqref="F50">
    <cfRule type="cellIs" dxfId="1355" priority="178" stopIfTrue="1" operator="greaterThan">
      <formula>100</formula>
    </cfRule>
    <cfRule type="cellIs" dxfId="1354" priority="177" stopIfTrue="1" operator="lessThan">
      <formula>96.8</formula>
    </cfRule>
  </conditionalFormatting>
  <conditionalFormatting sqref="F71">
    <cfRule type="cellIs" dxfId="1353" priority="138" stopIfTrue="1" operator="greaterThan">
      <formula>$F71</formula>
    </cfRule>
    <cfRule type="cellIs" dxfId="1352" priority="139" stopIfTrue="1" operator="lessThanOrEqual">
      <formula>0</formula>
    </cfRule>
  </conditionalFormatting>
  <conditionalFormatting sqref="F76">
    <cfRule type="cellIs" dxfId="1351" priority="97" stopIfTrue="1" operator="lessThanOrEqual">
      <formula>0</formula>
    </cfRule>
    <cfRule type="cellIs" dxfId="1350" priority="96" stopIfTrue="1" operator="greaterThan">
      <formula>$F76</formula>
    </cfRule>
  </conditionalFormatting>
  <conditionalFormatting sqref="G10:G17">
    <cfRule type="expression" dxfId="1349" priority="18">
      <formula>IF(+(IF(G10&lt;S10,0,IF(G10&gt;T10,0,1)))=0,1)</formula>
    </cfRule>
  </conditionalFormatting>
  <conditionalFormatting sqref="G19">
    <cfRule type="expression" dxfId="1348" priority="44">
      <formula>IF(+(IF(G19&lt;S19,0,IF(G19&gt;T19,0,1)))=0,1)</formula>
    </cfRule>
  </conditionalFormatting>
  <conditionalFormatting sqref="G62:G63 C68:C70">
    <cfRule type="cellIs" dxfId="1347" priority="145" stopIfTrue="1" operator="lessThanOrEqual">
      <formula>0</formula>
    </cfRule>
  </conditionalFormatting>
  <conditionalFormatting sqref="G62:G63">
    <cfRule type="cellIs" dxfId="1346" priority="144" stopIfTrue="1" operator="greaterThan">
      <formula>$F62</formula>
    </cfRule>
    <cfRule type="cellIs" dxfId="1345" priority="130" stopIfTrue="1" operator="greaterThan">
      <formula>$F62</formula>
    </cfRule>
    <cfRule type="cellIs" dxfId="1344" priority="131" stopIfTrue="1" operator="lessThanOrEqual">
      <formula>0</formula>
    </cfRule>
  </conditionalFormatting>
  <conditionalFormatting sqref="G64">
    <cfRule type="cellIs" dxfId="1343" priority="182" stopIfTrue="1" operator="lessThanOrEqual">
      <formula>0</formula>
    </cfRule>
    <cfRule type="cellIs" dxfId="1342" priority="181" stopIfTrue="1" operator="greaterThan">
      <formula>$F63</formula>
    </cfRule>
  </conditionalFormatting>
  <conditionalFormatting sqref="G65">
    <cfRule type="cellIs" dxfId="1341" priority="141" stopIfTrue="1" operator="lessThanOrEqual">
      <formula>0</formula>
    </cfRule>
    <cfRule type="cellIs" dxfId="1340" priority="140" stopIfTrue="1" operator="greaterThan">
      <formula>$F65</formula>
    </cfRule>
  </conditionalFormatting>
  <conditionalFormatting sqref="G66:G70">
    <cfRule type="cellIs" dxfId="1339" priority="146" stopIfTrue="1" operator="greaterThan">
      <formula>$J66</formula>
    </cfRule>
    <cfRule type="cellIs" dxfId="1338" priority="147" stopIfTrue="1" operator="lessThanOrEqual">
      <formula>0</formula>
    </cfRule>
  </conditionalFormatting>
  <conditionalFormatting sqref="G75:G80 C78 C80">
    <cfRule type="cellIs" dxfId="1337" priority="174" stopIfTrue="1" operator="greaterThan">
      <formula>4.5</formula>
    </cfRule>
    <cfRule type="cellIs" dxfId="1336" priority="175" stopIfTrue="1" operator="lessThanOrEqual">
      <formula>0</formula>
    </cfRule>
  </conditionalFormatting>
  <conditionalFormatting sqref="G74:H74">
    <cfRule type="cellIs" dxfId="1335" priority="156" stopIfTrue="1" operator="lessThanOrEqual">
      <formula>0</formula>
    </cfRule>
    <cfRule type="cellIs" dxfId="1334" priority="155" stopIfTrue="1" operator="greaterThan">
      <formula>$F$73</formula>
    </cfRule>
  </conditionalFormatting>
  <conditionalFormatting sqref="H10:H17">
    <cfRule type="expression" dxfId="1333" priority="26">
      <formula>IF(+(IF(H10&lt;#REF!,0,IF(H10&gt;#REF!,0,1)))=0,1)</formula>
    </cfRule>
  </conditionalFormatting>
  <conditionalFormatting sqref="H35:H49">
    <cfRule type="cellIs" dxfId="1332" priority="153" stopIfTrue="1" operator="greaterThan">
      <formula>0</formula>
    </cfRule>
  </conditionalFormatting>
  <conditionalFormatting sqref="H53">
    <cfRule type="cellIs" dxfId="1331" priority="2" stopIfTrue="1" operator="lessThanOrEqual">
      <formula>0</formula>
    </cfRule>
    <cfRule type="cellIs" dxfId="1330" priority="3" stopIfTrue="1" operator="greaterThan">
      <formula>$F$69</formula>
    </cfRule>
    <cfRule type="cellIs" dxfId="1329" priority="11" stopIfTrue="1" operator="greaterThan">
      <formula>$F$72</formula>
    </cfRule>
    <cfRule type="cellIs" dxfId="1328" priority="12" stopIfTrue="1" operator="lessThanOrEqual">
      <formula>0</formula>
    </cfRule>
    <cfRule type="cellIs" dxfId="1327" priority="13" stopIfTrue="1" operator="greaterThan">
      <formula>$F$70</formula>
    </cfRule>
    <cfRule type="cellIs" dxfId="1326" priority="14" stopIfTrue="1" operator="lessThanOrEqual">
      <formula>0</formula>
    </cfRule>
  </conditionalFormatting>
  <conditionalFormatting sqref="H54">
    <cfRule type="cellIs" dxfId="1325" priority="83" stopIfTrue="1" operator="lessThanOrEqual">
      <formula>0</formula>
    </cfRule>
    <cfRule type="cellIs" dxfId="1324" priority="95" stopIfTrue="1" operator="lessThanOrEqual">
      <formula>0</formula>
    </cfRule>
    <cfRule type="cellIs" dxfId="1323" priority="92" stopIfTrue="1" operator="greaterThan">
      <formula>$F$22</formula>
    </cfRule>
    <cfRule type="cellIs" dxfId="1322" priority="93" stopIfTrue="1" operator="lessThanOrEqual">
      <formula>0</formula>
    </cfRule>
    <cfRule type="cellIs" dxfId="1321" priority="94" stopIfTrue="1" operator="greaterThan">
      <formula>#REF!</formula>
    </cfRule>
    <cfRule type="cellIs" dxfId="1320" priority="84" stopIfTrue="1" operator="greaterThan">
      <formula>#REF!</formula>
    </cfRule>
  </conditionalFormatting>
  <conditionalFormatting sqref="H55">
    <cfRule type="cellIs" dxfId="1319" priority="49" stopIfTrue="1" operator="lessThanOrEqual">
      <formula>0</formula>
    </cfRule>
    <cfRule type="cellIs" dxfId="1318" priority="61" stopIfTrue="1" operator="lessThanOrEqual">
      <formula>0</formula>
    </cfRule>
    <cfRule type="cellIs" dxfId="1317" priority="50" stopIfTrue="1" operator="greaterThan">
      <formula>$F$63</formula>
    </cfRule>
    <cfRule type="cellIs" dxfId="1316" priority="58" stopIfTrue="1" operator="greaterThan">
      <formula>$F$66</formula>
    </cfRule>
    <cfRule type="cellIs" dxfId="1315" priority="59" stopIfTrue="1" operator="lessThanOrEqual">
      <formula>0</formula>
    </cfRule>
    <cfRule type="cellIs" dxfId="1314" priority="60" stopIfTrue="1" operator="greaterThan">
      <formula>$F$64</formula>
    </cfRule>
  </conditionalFormatting>
  <conditionalFormatting sqref="H56:H57">
    <cfRule type="cellIs" dxfId="1313" priority="81" stopIfTrue="1" operator="lessThanOrEqual">
      <formula>0</formula>
    </cfRule>
    <cfRule type="cellIs" dxfId="1312" priority="80" stopIfTrue="1" operator="greaterThan">
      <formula>#REF!</formula>
    </cfRule>
    <cfRule type="cellIs" dxfId="1311" priority="70" stopIfTrue="1" operator="greaterThan">
      <formula>#REF!</formula>
    </cfRule>
    <cfRule type="cellIs" dxfId="1310" priority="78" stopIfTrue="1" operator="greaterThan">
      <formula>$F$21</formula>
    </cfRule>
    <cfRule type="cellIs" dxfId="1309" priority="79" stopIfTrue="1" operator="lessThanOrEqual">
      <formula>0</formula>
    </cfRule>
    <cfRule type="cellIs" dxfId="1308" priority="69" stopIfTrue="1" operator="lessThanOrEqual">
      <formula>0</formula>
    </cfRule>
  </conditionalFormatting>
  <conditionalFormatting sqref="H58">
    <cfRule type="cellIs" dxfId="1307" priority="109" stopIfTrue="1" operator="greaterThan">
      <formula>$F$37</formula>
    </cfRule>
    <cfRule type="cellIs" dxfId="1306" priority="111" stopIfTrue="1" operator="greaterThan">
      <formula>$F$35</formula>
    </cfRule>
    <cfRule type="cellIs" dxfId="1305" priority="101" stopIfTrue="1" operator="greaterThan">
      <formula>$F$34</formula>
    </cfRule>
    <cfRule type="cellIs" dxfId="1304" priority="100" stopIfTrue="1" operator="lessThanOrEqual">
      <formula>0</formula>
    </cfRule>
    <cfRule type="cellIs" dxfId="1303" priority="112" stopIfTrue="1" operator="lessThanOrEqual">
      <formula>0</formula>
    </cfRule>
    <cfRule type="cellIs" dxfId="1302" priority="110" stopIfTrue="1" operator="lessThanOrEqual">
      <formula>0</formula>
    </cfRule>
  </conditionalFormatting>
  <conditionalFormatting sqref="H62:H69">
    <cfRule type="cellIs" dxfId="1301" priority="133" stopIfTrue="1" operator="lessThanOrEqual">
      <formula>0</formula>
    </cfRule>
    <cfRule type="cellIs" dxfId="1300" priority="132" stopIfTrue="1" operator="greaterThan">
      <formula>$J62</formula>
    </cfRule>
  </conditionalFormatting>
  <conditionalFormatting sqref="H70">
    <cfRule type="cellIs" dxfId="1299" priority="134" operator="greaterThan">
      <formula>5.3</formula>
    </cfRule>
  </conditionalFormatting>
  <conditionalFormatting sqref="H73 H75:H81">
    <cfRule type="cellIs" dxfId="1298" priority="168" stopIfTrue="1" operator="lessThanOrEqual">
      <formula>0</formula>
    </cfRule>
    <cfRule type="cellIs" dxfId="1297" priority="167" stopIfTrue="1" operator="greaterThan">
      <formula>4.5</formula>
    </cfRule>
  </conditionalFormatting>
  <conditionalFormatting sqref="H53:I53">
    <cfRule type="cellIs" dxfId="1296" priority="1" stopIfTrue="1" operator="greaterThan">
      <formula>$F$71</formula>
    </cfRule>
    <cfRule type="cellIs" dxfId="1295" priority="4" stopIfTrue="1" operator="lessThanOrEqual">
      <formula>0</formula>
    </cfRule>
  </conditionalFormatting>
  <conditionalFormatting sqref="H54:I54">
    <cfRule type="cellIs" dxfId="1294" priority="82" stopIfTrue="1" operator="greaterThan">
      <formula>$F$21</formula>
    </cfRule>
    <cfRule type="cellIs" dxfId="1293" priority="85" stopIfTrue="1" operator="lessThanOrEqual">
      <formula>0</formula>
    </cfRule>
  </conditionalFormatting>
  <conditionalFormatting sqref="H55:I55">
    <cfRule type="cellIs" dxfId="1292" priority="48" stopIfTrue="1" operator="greaterThan">
      <formula>$F$65</formula>
    </cfRule>
    <cfRule type="cellIs" dxfId="1291" priority="51" stopIfTrue="1" operator="lessThanOrEqual">
      <formula>0</formula>
    </cfRule>
  </conditionalFormatting>
  <conditionalFormatting sqref="H56:I57">
    <cfRule type="cellIs" dxfId="1290" priority="71" stopIfTrue="1" operator="lessThanOrEqual">
      <formula>0</formula>
    </cfRule>
    <cfRule type="cellIs" dxfId="1289" priority="68" stopIfTrue="1" operator="greaterThan">
      <formula>#REF!</formula>
    </cfRule>
  </conditionalFormatting>
  <conditionalFormatting sqref="H58:I58">
    <cfRule type="cellIs" dxfId="1288" priority="102" stopIfTrue="1" operator="lessThanOrEqual">
      <formula>0</formula>
    </cfRule>
    <cfRule type="cellIs" dxfId="1287" priority="99" stopIfTrue="1" operator="greaterThan">
      <formula>$F$36</formula>
    </cfRule>
  </conditionalFormatting>
  <conditionalFormatting sqref="H71:I71">
    <cfRule type="cellIs" dxfId="1286" priority="124" stopIfTrue="1" operator="greaterThan">
      <formula>$J71</formula>
    </cfRule>
    <cfRule type="cellIs" dxfId="1285" priority="125" stopIfTrue="1" operator="lessThanOrEqual">
      <formula>0</formula>
    </cfRule>
  </conditionalFormatting>
  <conditionalFormatting sqref="I53">
    <cfRule type="cellIs" dxfId="1284" priority="10" stopIfTrue="1" operator="lessThanOrEqual">
      <formula>0</formula>
    </cfRule>
    <cfRule type="cellIs" dxfId="1283" priority="9" stopIfTrue="1" operator="greaterThan">
      <formula>$F$69</formula>
    </cfRule>
    <cfRule type="cellIs" dxfId="1282" priority="8" stopIfTrue="1" operator="lessThanOrEqual">
      <formula>0</formula>
    </cfRule>
    <cfRule type="cellIs" dxfId="1281" priority="7" stopIfTrue="1" operator="greaterThan">
      <formula>$F$71</formula>
    </cfRule>
    <cfRule type="cellIs" dxfId="1280" priority="6" stopIfTrue="1" operator="lessThanOrEqual">
      <formula>0</formula>
    </cfRule>
    <cfRule type="cellIs" dxfId="1279" priority="5" stopIfTrue="1" operator="greaterThan">
      <formula>$F$69</formula>
    </cfRule>
  </conditionalFormatting>
  <conditionalFormatting sqref="I54">
    <cfRule type="cellIs" dxfId="1278" priority="86" stopIfTrue="1" operator="greaterThan">
      <formula>#REF!</formula>
    </cfRule>
    <cfRule type="cellIs" dxfId="1277" priority="87" stopIfTrue="1" operator="lessThanOrEqual">
      <formula>0</formula>
    </cfRule>
    <cfRule type="cellIs" dxfId="1276" priority="88" stopIfTrue="1" operator="greaterThan">
      <formula>$F$21</formula>
    </cfRule>
    <cfRule type="cellIs" dxfId="1275" priority="89" stopIfTrue="1" operator="lessThanOrEqual">
      <formula>0</formula>
    </cfRule>
    <cfRule type="cellIs" dxfId="1274" priority="90" stopIfTrue="1" operator="greaterThan">
      <formula>#REF!</formula>
    </cfRule>
    <cfRule type="cellIs" dxfId="1273" priority="91" stopIfTrue="1" operator="lessThanOrEqual">
      <formula>0</formula>
    </cfRule>
  </conditionalFormatting>
  <conditionalFormatting sqref="I55">
    <cfRule type="cellIs" dxfId="1272" priority="55" stopIfTrue="1" operator="lessThanOrEqual">
      <formula>0</formula>
    </cfRule>
    <cfRule type="cellIs" dxfId="1271" priority="56" stopIfTrue="1" operator="greaterThan">
      <formula>$F$63</formula>
    </cfRule>
    <cfRule type="cellIs" dxfId="1270" priority="57" stopIfTrue="1" operator="lessThanOrEqual">
      <formula>0</formula>
    </cfRule>
    <cfRule type="cellIs" dxfId="1269" priority="52" stopIfTrue="1" operator="greaterThan">
      <formula>$F$63</formula>
    </cfRule>
    <cfRule type="cellIs" dxfId="1268" priority="53" stopIfTrue="1" operator="lessThanOrEqual">
      <formula>0</formula>
    </cfRule>
    <cfRule type="cellIs" dxfId="1267" priority="54" stopIfTrue="1" operator="greaterThan">
      <formula>$F$65</formula>
    </cfRule>
  </conditionalFormatting>
  <conditionalFormatting sqref="I56:I57">
    <cfRule type="cellIs" dxfId="1266" priority="77" stopIfTrue="1" operator="lessThanOrEqual">
      <formula>0</formula>
    </cfRule>
    <cfRule type="cellIs" dxfId="1265" priority="76" stopIfTrue="1" operator="greaterThan">
      <formula>#REF!</formula>
    </cfRule>
    <cfRule type="cellIs" dxfId="1264" priority="75" stopIfTrue="1" operator="lessThanOrEqual">
      <formula>0</formula>
    </cfRule>
    <cfRule type="cellIs" dxfId="1263" priority="74" stopIfTrue="1" operator="greaterThan">
      <formula>#REF!</formula>
    </cfRule>
    <cfRule type="cellIs" dxfId="1262" priority="73" stopIfTrue="1" operator="lessThanOrEqual">
      <formula>0</formula>
    </cfRule>
    <cfRule type="cellIs" dxfId="1261" priority="72" stopIfTrue="1" operator="greaterThan">
      <formula>#REF!</formula>
    </cfRule>
  </conditionalFormatting>
  <conditionalFormatting sqref="I58">
    <cfRule type="cellIs" dxfId="1260" priority="103" stopIfTrue="1" operator="greaterThan">
      <formula>$F$34</formula>
    </cfRule>
    <cfRule type="cellIs" dxfId="1259" priority="104" stopIfTrue="1" operator="lessThanOrEqual">
      <formula>0</formula>
    </cfRule>
    <cfRule type="cellIs" dxfId="1258" priority="105" stopIfTrue="1" operator="greaterThan">
      <formula>$F$36</formula>
    </cfRule>
    <cfRule type="cellIs" dxfId="1257" priority="106" stopIfTrue="1" operator="lessThanOrEqual">
      <formula>0</formula>
    </cfRule>
    <cfRule type="cellIs" dxfId="1256" priority="107" stopIfTrue="1" operator="greaterThan">
      <formula>$F$34</formula>
    </cfRule>
    <cfRule type="cellIs" dxfId="1255" priority="108" stopIfTrue="1" operator="lessThanOrEqual">
      <formula>0</formula>
    </cfRule>
  </conditionalFormatting>
  <conditionalFormatting sqref="I62:I70">
    <cfRule type="cellIs" dxfId="1254" priority="135" stopIfTrue="1" operator="greaterThan">
      <formula>$J62</formula>
    </cfRule>
    <cfRule type="cellIs" dxfId="1253" priority="136" stopIfTrue="1" operator="lessThanOrEqual">
      <formula>0</formula>
    </cfRule>
  </conditionalFormatting>
  <conditionalFormatting sqref="I73:I81">
    <cfRule type="cellIs" dxfId="1252" priority="164" stopIfTrue="1" operator="lessThanOrEqual">
      <formula>0</formula>
    </cfRule>
    <cfRule type="cellIs" dxfId="1251" priority="163" stopIfTrue="1" operator="greaterThan">
      <formula>4.5</formula>
    </cfRule>
  </conditionalFormatting>
  <conditionalFormatting sqref="I10:J21">
    <cfRule type="cellIs" dxfId="1250" priority="20" operator="lessThan">
      <formula>97.9</formula>
    </cfRule>
  </conditionalFormatting>
  <conditionalFormatting sqref="J24:J26">
    <cfRule type="cellIs" dxfId="1249" priority="114" stopIfTrue="1" operator="lessThan">
      <formula>96.8</formula>
    </cfRule>
    <cfRule type="cellIs" dxfId="1248" priority="116" operator="lessThan">
      <formula>98</formula>
    </cfRule>
    <cfRule type="cellIs" dxfId="1247" priority="115" stopIfTrue="1" operator="greaterThan">
      <formula>100</formula>
    </cfRule>
  </conditionalFormatting>
  <conditionalFormatting sqref="J24:J28">
    <cfRule type="cellIs" dxfId="1246" priority="113" operator="lessThan">
      <formula>97.4</formula>
    </cfRule>
  </conditionalFormatting>
  <conditionalFormatting sqref="J29">
    <cfRule type="cellIs" dxfId="1245" priority="117" operator="lessThan">
      <formula>98</formula>
    </cfRule>
  </conditionalFormatting>
  <conditionalFormatting sqref="J31:J32">
    <cfRule type="cellIs" dxfId="1244" priority="118" stopIfTrue="1" operator="lessThan">
      <formula>96.8</formula>
    </cfRule>
    <cfRule type="cellIs" dxfId="1243" priority="119" stopIfTrue="1" operator="greaterThan">
      <formula>100</formula>
    </cfRule>
  </conditionalFormatting>
  <conditionalFormatting sqref="J31:J33">
    <cfRule type="cellIs" dxfId="1242" priority="120" operator="lessThan">
      <formula>98</formula>
    </cfRule>
  </conditionalFormatting>
  <conditionalFormatting sqref="J71">
    <cfRule type="cellIs" dxfId="1241" priority="121" stopIfTrue="1" operator="greaterThan">
      <formula>$F71</formula>
    </cfRule>
    <cfRule type="cellIs" dxfId="1240" priority="122" stopIfTrue="1" operator="lessThanOrEqual">
      <formula>0</formula>
    </cfRule>
  </conditionalFormatting>
  <conditionalFormatting sqref="K10:K21">
    <cfRule type="cellIs" dxfId="1239" priority="23" operator="greaterThan">
      <formula>6.4</formula>
    </cfRule>
    <cfRule type="cellIs" dxfId="1238" priority="21" operator="greaterThan">
      <formula>6</formula>
    </cfRule>
    <cfRule type="cellIs" dxfId="1237" priority="22" operator="lessThan">
      <formula>4</formula>
    </cfRule>
  </conditionalFormatting>
  <conditionalFormatting sqref="K53:K58 K62:N68 K69 M69:N69 K70:N70">
    <cfRule type="cellIs" dxfId="1236" priority="98" stopIfTrue="1" operator="lessThan">
      <formula>100%</formula>
    </cfRule>
  </conditionalFormatting>
  <conditionalFormatting sqref="K73:K78">
    <cfRule type="cellIs" dxfId="1235" priority="169" stopIfTrue="1" operator="lessThan">
      <formula>100%</formula>
    </cfRule>
  </conditionalFormatting>
  <conditionalFormatting sqref="K80:K81">
    <cfRule type="cellIs" dxfId="1234" priority="176" stopIfTrue="1" operator="lessThan">
      <formula>100%</formula>
    </cfRule>
  </conditionalFormatting>
  <conditionalFormatting sqref="L10:L17">
    <cfRule type="cellIs" dxfId="1233" priority="15" operator="between">
      <formula>61</formula>
      <formula>65</formula>
    </cfRule>
    <cfRule type="cellIs" dxfId="1232" priority="16" operator="greaterThan">
      <formula>65</formula>
    </cfRule>
  </conditionalFormatting>
  <conditionalFormatting sqref="L19">
    <cfRule type="cellIs" dxfId="1231" priority="46" operator="greaterThan">
      <formula>65</formula>
    </cfRule>
    <cfRule type="cellIs" dxfId="1230" priority="45" operator="between">
      <formula>61</formula>
      <formula>65</formula>
    </cfRule>
  </conditionalFormatting>
  <conditionalFormatting sqref="L18:M18">
    <cfRule type="cellIs" dxfId="1229" priority="27" operator="between">
      <formula>61</formula>
      <formula>65</formula>
    </cfRule>
    <cfRule type="cellIs" dxfId="1228" priority="28" operator="greaterThan">
      <formula>65</formula>
    </cfRule>
  </conditionalFormatting>
  <conditionalFormatting sqref="L20:M20 L21">
    <cfRule type="cellIs" dxfId="1227" priority="62" operator="between">
      <formula>61</formula>
      <formula>65</formula>
    </cfRule>
    <cfRule type="cellIs" dxfId="1226" priority="63" operator="greaterThan">
      <formula>65</formula>
    </cfRule>
  </conditionalFormatting>
  <conditionalFormatting sqref="L24:M35">
    <cfRule type="cellIs" dxfId="1225" priority="64" operator="lessThan">
      <formula>97.95</formula>
    </cfRule>
  </conditionalFormatting>
  <conditionalFormatting sqref="L39:N39">
    <cfRule type="cellIs" dxfId="1224" priority="65" operator="notEqual">
      <formula>#REF!</formula>
    </cfRule>
  </conditionalFormatting>
  <conditionalFormatting sqref="L71:N71">
    <cfRule type="cellIs" dxfId="1223" priority="123" stopIfTrue="1" operator="lessThan">
      <formula>100%</formula>
    </cfRule>
  </conditionalFormatting>
  <conditionalFormatting sqref="L73:N81">
    <cfRule type="cellIs" dxfId="1222" priority="154" stopIfTrue="1" operator="lessThan">
      <formula>100%</formula>
    </cfRule>
  </conditionalFormatting>
  <conditionalFormatting sqref="M10:M17">
    <cfRule type="expression" dxfId="1221" priority="17">
      <formula>IF(+(IF(M10&lt;U10,0,IF(M10&gt;V10,0,1)))=0,1)</formula>
    </cfRule>
  </conditionalFormatting>
  <conditionalFormatting sqref="M18 G18:H18 H19 M20 G20:H21">
    <cfRule type="expression" dxfId="1220" priority="47">
      <formula>IF(+(IF(G18&lt;#REF!,0,IF(G18&gt;#REF!,0,1)))=0,1)</formula>
    </cfRule>
  </conditionalFormatting>
  <conditionalFormatting sqref="M19">
    <cfRule type="expression" dxfId="1219" priority="43">
      <formula>IF(+(IF(M19&lt;U19,0,IF(M19&gt;V19,0,1)))=0,1)</formula>
    </cfRule>
  </conditionalFormatting>
  <conditionalFormatting sqref="M21:N21">
    <cfRule type="expression" dxfId="1218" priority="184">
      <formula>IF(+(IF(M21&lt;#REF!,0,IF(M21&gt;#REF!,0,1)))=0,1)</formula>
    </cfRule>
  </conditionalFormatting>
  <conditionalFormatting sqref="N10:N20">
    <cfRule type="expression" dxfId="1217" priority="19">
      <formula>IF(+(IF(N10&lt;W10,0,IF(N10&gt;X10,0,1)))=0,1)</formula>
    </cfRule>
  </conditionalFormatting>
  <conditionalFormatting sqref="P6">
    <cfRule type="cellIs" dxfId="1216" priority="150" operator="greaterThanOrEqual">
      <formula>19</formula>
    </cfRule>
  </conditionalFormatting>
  <dataValidations count="1">
    <dataValidation type="list" allowBlank="1" showInputMessage="1" showErrorMessage="1" sqref="R8" xr:uid="{9F5D6A68-D55D-4B66-8449-2CAF036425C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6D7F-969E-43B7-9BF0-3C40EE99CE06}">
  <sheetPr>
    <pageSetUpPr fitToPage="1"/>
  </sheetPr>
  <dimension ref="A1:BE74"/>
  <sheetViews>
    <sheetView zoomScale="80" zoomScaleNormal="8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45954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2" t="s">
        <v>33</v>
      </c>
      <c r="C10" s="366" t="str">
        <f>[25]Brewhouse!A88</f>
        <v>VM075</v>
      </c>
      <c r="D10" s="279">
        <f>[25]Brewhouse!AE88</f>
        <v>50.1</v>
      </c>
      <c r="E10" s="279">
        <f>[25]Brewhouse!AJ88</f>
        <v>48.8</v>
      </c>
      <c r="F10" s="278">
        <f>[25]Brewhouse!X88</f>
        <v>69</v>
      </c>
      <c r="G10" s="279">
        <f>[25]Brewhouse!AH88</f>
        <v>14.1</v>
      </c>
      <c r="H10" s="396">
        <v>14.2</v>
      </c>
      <c r="I10" s="368">
        <f>[25]Brewhouse!AV88</f>
        <v>97.703642027366726</v>
      </c>
      <c r="J10" s="368">
        <f>[25]Brewhouse!AW88</f>
        <v>97.677802470265462</v>
      </c>
      <c r="K10" s="281">
        <f>[25]Brewhouse!S88</f>
        <v>8.1037924151696519</v>
      </c>
      <c r="L10" s="276">
        <f>[25]Brewhouse!R88</f>
        <v>62</v>
      </c>
      <c r="M10" s="374">
        <f>[25]Brewhouse!$W88-[25]Brewhouse!$V88</f>
        <v>0.1388888888888889</v>
      </c>
      <c r="N10" s="370">
        <f>[25]Brewhouse!AB88</f>
        <v>0.28749999999999998</v>
      </c>
      <c r="O10" s="371" t="str">
        <f>[25]Brewhouse!$AZ88</f>
        <v>R.Sookram</v>
      </c>
      <c r="P10" s="418"/>
      <c r="R10" s="277" t="str">
        <f t="shared" ref="R10:R33" si="0">B10</f>
        <v>VITAMALT</v>
      </c>
      <c r="S10" s="296">
        <f t="shared" ref="S10:S33" si="1">VLOOKUP($B10,$R$3:$X$9,2,FALSE)</f>
        <v>14.2</v>
      </c>
      <c r="T10" s="296">
        <f t="shared" ref="T10:T33" si="2">VLOOKUP($B10,$R$3:$X$9,3,FALSE)</f>
        <v>14.6</v>
      </c>
      <c r="U10" s="297">
        <f t="shared" ref="U10:U33" si="3">VLOOKUP($B10,$R$3:$X$9,4,FALSE)</f>
        <v>0</v>
      </c>
      <c r="V10" s="297">
        <f t="shared" ref="V10:V33" si="4">VLOOKUP($B10,$R$3:$X$9,5,FALSE)</f>
        <v>0.13905092592592591</v>
      </c>
      <c r="W10" s="297">
        <f t="shared" ref="W10:W33" si="5">VLOOKUP($B10,$R$3:$X$9,6,FALSE)</f>
        <v>0.26041666666666669</v>
      </c>
      <c r="X10" s="297">
        <f t="shared" ref="X10:X33" si="6">VLOOKUP($B10,$R$3:$X$9,7,FALSE)</f>
        <v>0.2951388888888889</v>
      </c>
      <c r="Y10" s="297">
        <f t="shared" ref="Y10:Y33" si="7">VLOOKUP($B10,$R$3:$Z$9,8,FALSE)</f>
        <v>0</v>
      </c>
      <c r="Z10" s="296">
        <f t="shared" ref="Z10:Z33" si="8">VLOOKUP($B10,$R$3:$Z$9,9,FALSE)</f>
        <v>75</v>
      </c>
    </row>
    <row r="11" spans="2:29" ht="15" customHeight="1">
      <c r="B11" s="22" t="s">
        <v>33</v>
      </c>
      <c r="C11" s="366" t="str">
        <f>[25]Brewhouse!A89</f>
        <v>VM076</v>
      </c>
      <c r="D11" s="279">
        <f>[25]Brewhouse!AE89</f>
        <v>50</v>
      </c>
      <c r="E11" s="279">
        <f>[25]Brewhouse!AJ89</f>
        <v>49.7</v>
      </c>
      <c r="F11" s="278">
        <f>[25]Brewhouse!X89</f>
        <v>72</v>
      </c>
      <c r="G11" s="279">
        <f>[25]Brewhouse!AH89</f>
        <v>14</v>
      </c>
      <c r="H11" s="396">
        <v>13.97</v>
      </c>
      <c r="I11" s="368">
        <f>[25]Brewhouse!AV89</f>
        <v>98.976107779261667</v>
      </c>
      <c r="J11" s="368">
        <f>[25]Brewhouse!AW89</f>
        <v>98.95015024100563</v>
      </c>
      <c r="K11" s="281">
        <f>[25]Brewhouse!S89</f>
        <v>4.3199999999999932</v>
      </c>
      <c r="L11" s="276">
        <f>[25]Brewhouse!R89</f>
        <v>60</v>
      </c>
      <c r="M11" s="374">
        <f>[25]Brewhouse!$W89-[25]Brewhouse!$V89</f>
        <v>0.12986111111111115</v>
      </c>
      <c r="N11" s="370">
        <f>[25]Brewhouse!AB89</f>
        <v>0.27569444444444446</v>
      </c>
      <c r="O11" s="371" t="str">
        <f>[25]Brewhouse!$AZ89</f>
        <v>K. Benjamin</v>
      </c>
      <c r="P11" s="418"/>
      <c r="R11" s="277" t="str">
        <f t="shared" si="0"/>
        <v>VITAMALT</v>
      </c>
      <c r="S11" s="296">
        <f t="shared" si="1"/>
        <v>14.2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" customHeight="1">
      <c r="B12" s="22" t="s">
        <v>33</v>
      </c>
      <c r="C12" s="366" t="str">
        <f>[25]Brewhouse!A90</f>
        <v>VM077</v>
      </c>
      <c r="D12" s="279">
        <f>[25]Brewhouse!AE90</f>
        <v>50</v>
      </c>
      <c r="E12" s="279">
        <f>[25]Brewhouse!AJ90</f>
        <v>49</v>
      </c>
      <c r="F12" s="278">
        <f>[25]Brewhouse!X90</f>
        <v>74</v>
      </c>
      <c r="G12" s="279">
        <f>[25]Brewhouse!AH90</f>
        <v>14.3</v>
      </c>
      <c r="H12" s="396">
        <v>14.26</v>
      </c>
      <c r="I12" s="368">
        <f>[25]Brewhouse!AV90</f>
        <v>99.450962406546921</v>
      </c>
      <c r="J12" s="368">
        <f>[25]Brewhouse!AW90</f>
        <v>99.424551283522177</v>
      </c>
      <c r="K12" s="281">
        <f>[25]Brewhouse!S90</f>
        <v>3.5200000000000098</v>
      </c>
      <c r="L12" s="276">
        <f>[25]Brewhouse!R90</f>
        <v>60</v>
      </c>
      <c r="M12" s="374">
        <f>[25]Brewhouse!$W90-[25]Brewhouse!$V90</f>
        <v>0.13472222222222224</v>
      </c>
      <c r="N12" s="370">
        <f>[25]Brewhouse!AB90</f>
        <v>0.27222222222222225</v>
      </c>
      <c r="O12" s="371" t="str">
        <f>[25]Brewhouse!$AZ90</f>
        <v>K. Benjamin</v>
      </c>
      <c r="P12" s="418"/>
      <c r="R12" s="277" t="str">
        <f t="shared" si="0"/>
        <v>VITAMALT</v>
      </c>
      <c r="S12" s="296">
        <f t="shared" si="1"/>
        <v>14.2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" customHeight="1">
      <c r="B13" s="22" t="s">
        <v>33</v>
      </c>
      <c r="C13" s="366" t="str">
        <f>[25]Brewhouse!A91</f>
        <v>VM078</v>
      </c>
      <c r="D13" s="279">
        <f>[25]Brewhouse!AE91</f>
        <v>50</v>
      </c>
      <c r="E13" s="279">
        <f>[25]Brewhouse!AJ91</f>
        <v>48.8</v>
      </c>
      <c r="F13" s="278">
        <f>[25]Brewhouse!X91</f>
        <v>86</v>
      </c>
      <c r="G13" s="279">
        <f>[25]Brewhouse!AH91</f>
        <v>14.4</v>
      </c>
      <c r="H13" s="396">
        <v>14.2</v>
      </c>
      <c r="I13" s="368">
        <f>[25]Brewhouse!AV91</f>
        <v>100.04029918753868</v>
      </c>
      <c r="J13" s="368">
        <f>[25]Brewhouse!AW91</f>
        <v>100.01395199046988</v>
      </c>
      <c r="K13" s="281">
        <f>[25]Brewhouse!S91</f>
        <v>4.5200000000000102</v>
      </c>
      <c r="L13" s="276">
        <f>[25]Brewhouse!R91</f>
        <v>59</v>
      </c>
      <c r="M13" s="374">
        <f>[25]Brewhouse!$W91-[25]Brewhouse!$V91</f>
        <v>0.14097222222222217</v>
      </c>
      <c r="N13" s="370">
        <f>[25]Brewhouse!AB91</f>
        <v>0.27638888888888885</v>
      </c>
      <c r="O13" s="371" t="str">
        <f>[25]Brewhouse!$AZ91</f>
        <v>K. Benjamin</v>
      </c>
      <c r="P13" s="418"/>
      <c r="R13" s="277" t="str">
        <f t="shared" si="0"/>
        <v>VITAMALT</v>
      </c>
      <c r="S13" s="296">
        <f t="shared" si="1"/>
        <v>14.2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" customHeight="1">
      <c r="B14" s="22" t="s">
        <v>33</v>
      </c>
      <c r="C14" s="366" t="str">
        <f>[25]Brewhouse!A92</f>
        <v>VM079</v>
      </c>
      <c r="D14" s="279">
        <f>[25]Brewhouse!AE92</f>
        <v>50.1</v>
      </c>
      <c r="E14" s="279">
        <f>[25]Brewhouse!AJ92</f>
        <v>48.1</v>
      </c>
      <c r="F14" s="278">
        <f>[25]Brewhouse!X92</f>
        <v>87</v>
      </c>
      <c r="G14" s="279">
        <f>[25]Brewhouse!AH92</f>
        <v>14.4</v>
      </c>
      <c r="H14" s="396">
        <v>14.6</v>
      </c>
      <c r="I14" s="368">
        <f>[25]Brewhouse!AV92</f>
        <v>98.708196280264445</v>
      </c>
      <c r="J14" s="368">
        <f>[25]Brewhouse!AW92</f>
        <v>98.682309004651998</v>
      </c>
      <c r="K14" s="281">
        <f>[25]Brewhouse!S92</f>
        <v>6.9061876247505012</v>
      </c>
      <c r="L14" s="276">
        <f>[25]Brewhouse!R92</f>
        <v>64</v>
      </c>
      <c r="M14" s="374">
        <f>[25]Brewhouse!$W92-[25]Brewhouse!$V92</f>
        <v>0.14444444444444449</v>
      </c>
      <c r="N14" s="370">
        <f>[25]Brewhouse!AB92</f>
        <v>0.28472222222222232</v>
      </c>
      <c r="O14" s="371" t="str">
        <f>[25]Brewhouse!$AZ92</f>
        <v>R. Regis</v>
      </c>
      <c r="P14" s="418"/>
      <c r="R14" s="277" t="str">
        <f t="shared" si="0"/>
        <v>VITAMALT</v>
      </c>
      <c r="S14" s="296">
        <f t="shared" si="1"/>
        <v>14.2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" customHeight="1">
      <c r="B15" s="22" t="s">
        <v>33</v>
      </c>
      <c r="C15" s="366" t="str">
        <f>[25]Brewhouse!A93</f>
        <v>VM080</v>
      </c>
      <c r="D15" s="279">
        <f>[25]Brewhouse!AE93</f>
        <v>50.1</v>
      </c>
      <c r="E15" s="279">
        <f>[25]Brewhouse!AJ93</f>
        <v>49.2</v>
      </c>
      <c r="F15" s="278">
        <f>[25]Brewhouse!X93</f>
        <v>87</v>
      </c>
      <c r="G15" s="279">
        <f>[25]Brewhouse!AH93</f>
        <v>14</v>
      </c>
      <c r="H15" s="396">
        <v>14.5</v>
      </c>
      <c r="I15" s="368">
        <f>[25]Brewhouse!AV93</f>
        <v>97.776299746351896</v>
      </c>
      <c r="J15" s="368">
        <f>[25]Brewhouse!AW93</f>
        <v>97.750440973556735</v>
      </c>
      <c r="K15" s="281">
        <f>[25]Brewhouse!S93</f>
        <v>7.3053892215568936</v>
      </c>
      <c r="L15" s="276">
        <f>[25]Brewhouse!R93</f>
        <v>60</v>
      </c>
      <c r="M15" s="374">
        <f>[25]Brewhouse!$W93-[25]Brewhouse!$V93</f>
        <v>0.14583333333333337</v>
      </c>
      <c r="N15" s="370">
        <f>[25]Brewhouse!AB93</f>
        <v>0.28263888888888888</v>
      </c>
      <c r="O15" s="371" t="str">
        <f>[25]Brewhouse!$AZ93</f>
        <v>R. Regis</v>
      </c>
      <c r="P15" s="418"/>
      <c r="R15" s="277" t="str">
        <f t="shared" si="0"/>
        <v>VITAMALT</v>
      </c>
      <c r="S15" s="296">
        <f t="shared" si="1"/>
        <v>14.2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" customHeight="1">
      <c r="B16" s="22" t="s">
        <v>33</v>
      </c>
      <c r="C16" s="366" t="str">
        <f>[25]Brewhouse!A94</f>
        <v>VM081</v>
      </c>
      <c r="D16" s="279">
        <f>[25]Brewhouse!AE94</f>
        <v>50.1</v>
      </c>
      <c r="E16" s="279">
        <f>[25]Brewhouse!AJ94</f>
        <v>46.7</v>
      </c>
      <c r="F16" s="278">
        <f>[25]Brewhouse!X94</f>
        <v>85</v>
      </c>
      <c r="G16" s="279">
        <f>[25]Brewhouse!AH94</f>
        <v>14</v>
      </c>
      <c r="H16" s="396">
        <v>14.1</v>
      </c>
      <c r="I16" s="368">
        <f>[25]Brewhouse!AV94</f>
        <v>92.807991832411261</v>
      </c>
      <c r="J16" s="368">
        <f>[25]Brewhouse!AW94</f>
        <v>92.783447021648371</v>
      </c>
      <c r="K16" s="281">
        <f>[25]Brewhouse!S94</f>
        <v>8.1037924151696519</v>
      </c>
      <c r="L16" s="276">
        <f>[25]Brewhouse!R94</f>
        <v>61</v>
      </c>
      <c r="M16" s="374">
        <f>[25]Brewhouse!$W94-[25]Brewhouse!$V94</f>
        <v>0.13749999999999984</v>
      </c>
      <c r="N16" s="370">
        <f>[25]Brewhouse!AB94</f>
        <v>0.27222222222222214</v>
      </c>
      <c r="O16" s="371" t="str">
        <f>[25]Brewhouse!$AZ94</f>
        <v>R. Regis</v>
      </c>
      <c r="P16" s="418"/>
      <c r="R16" s="277" t="str">
        <f t="shared" si="0"/>
        <v>VITAMALT</v>
      </c>
      <c r="S16" s="296">
        <f t="shared" si="1"/>
        <v>14.2</v>
      </c>
      <c r="T16" s="296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296">
        <f t="shared" si="8"/>
        <v>75</v>
      </c>
    </row>
    <row r="17" spans="1:27" ht="15" customHeight="1">
      <c r="B17" s="22" t="s">
        <v>33</v>
      </c>
      <c r="C17" s="366" t="str">
        <f>[25]Brewhouse!A95</f>
        <v>VM082</v>
      </c>
      <c r="D17" s="279">
        <f>[25]Brewhouse!AE95</f>
        <v>50.1</v>
      </c>
      <c r="E17" s="279">
        <f>[25]Brewhouse!AJ95</f>
        <v>48.8</v>
      </c>
      <c r="F17" s="278">
        <f>[25]Brewhouse!X95</f>
        <v>85</v>
      </c>
      <c r="G17" s="279">
        <f>[25]Brewhouse!AH95</f>
        <v>14.1</v>
      </c>
      <c r="H17" s="396">
        <v>14.3</v>
      </c>
      <c r="I17" s="368">
        <f>[25]Brewhouse!AV95</f>
        <v>97.805496183349234</v>
      </c>
      <c r="J17" s="368">
        <f>[25]Brewhouse!AW95</f>
        <v>97.779737557042822</v>
      </c>
      <c r="K17" s="281">
        <f>[25]Brewhouse!S95</f>
        <v>6.307385229540925</v>
      </c>
      <c r="L17" s="276">
        <f>[25]Brewhouse!R95</f>
        <v>59</v>
      </c>
      <c r="M17" s="374">
        <f>[25]Brewhouse!$W95-[25]Brewhouse!$V95</f>
        <v>0.13680555555555562</v>
      </c>
      <c r="N17" s="370">
        <f>[25]Brewhouse!AB95</f>
        <v>0.28263888888888899</v>
      </c>
      <c r="O17" s="371" t="str">
        <f>[25]Brewhouse!$AZ95</f>
        <v>R.Sookram</v>
      </c>
      <c r="P17" s="418"/>
      <c r="R17" s="277" t="str">
        <f t="shared" si="0"/>
        <v>VITAMALT</v>
      </c>
      <c r="S17" s="296">
        <f t="shared" si="1"/>
        <v>14.2</v>
      </c>
      <c r="T17" s="296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296">
        <f t="shared" si="8"/>
        <v>75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1"/>
      <c r="J20" s="511"/>
      <c r="K20" s="511"/>
      <c r="L20" s="511"/>
      <c r="M20" s="511"/>
      <c r="N20" s="511"/>
      <c r="O20" s="1"/>
      <c r="P20" s="12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thickBot="1">
      <c r="B21" s="388" t="s">
        <v>162</v>
      </c>
      <c r="C21" s="388"/>
      <c r="D21" s="489" t="s">
        <v>35</v>
      </c>
      <c r="E21" s="490"/>
      <c r="F21" s="294"/>
      <c r="G21" s="294"/>
      <c r="H21" s="348"/>
      <c r="I21" s="24" t="s">
        <v>17</v>
      </c>
      <c r="J21" s="25" t="s">
        <v>36</v>
      </c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A22" s="28"/>
      <c r="B22" s="577" t="str">
        <f>I22</f>
        <v>CARIB</v>
      </c>
      <c r="C22" s="362" cm="1">
        <f t="array" ref="C22:C37">[22]Process!$D$806:$D$821</f>
        <v>11.7</v>
      </c>
      <c r="D22" s="515">
        <v>11.85</v>
      </c>
      <c r="E22" s="516"/>
      <c r="F22" s="294"/>
      <c r="G22" s="294"/>
      <c r="H22" s="348"/>
      <c r="I22" s="29" t="s">
        <v>6</v>
      </c>
      <c r="J22" s="280"/>
      <c r="K22" s="284">
        <f>COUNTA([22]Brewhouse!$A$823:$A$862,[23]Brewhouse!$A$420:$A$423,[22]Brewhouse!$A$867:$A$879)</f>
        <v>57</v>
      </c>
      <c r="L22" s="305">
        <f>AVERAGE([22]Brewhouse!$AU$823:$AU$862,[23]Brewhouse!$AS$420:$AS$423,[22]Brewhouse!$AU$867:$AU$879)</f>
        <v>97.571709176855592</v>
      </c>
      <c r="M22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$879)</f>
        <v>97.695982540774935</v>
      </c>
      <c r="N22" s="30">
        <v>98</v>
      </c>
      <c r="O22" s="11"/>
      <c r="P22" s="31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1:27" ht="15" customHeight="1">
      <c r="A23" s="28"/>
      <c r="B23" s="578"/>
      <c r="C23" s="362">
        <v>11.9</v>
      </c>
      <c r="D23" s="517"/>
      <c r="E23" s="518"/>
      <c r="F23" s="294"/>
      <c r="G23" s="294"/>
      <c r="H23" s="348"/>
      <c r="I23" s="33" t="s">
        <v>9</v>
      </c>
      <c r="J23" s="280"/>
      <c r="K23" s="284">
        <f>COUNTA([23]Brewhouse!$A$399:$A$435)</f>
        <v>37</v>
      </c>
      <c r="L23" s="302">
        <f>AVERAGE([23]Brewhouse!$AS$399:$AS$435)</f>
        <v>97.535175966305019</v>
      </c>
      <c r="M23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$435)</f>
        <v>97.954933994428416</v>
      </c>
      <c r="N23" s="30">
        <v>98</v>
      </c>
      <c r="O23" s="11"/>
      <c r="P23" s="31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4.65" customHeight="1">
      <c r="A24" s="28"/>
      <c r="B24" s="578"/>
      <c r="C24" s="362">
        <v>11.6</v>
      </c>
      <c r="D24" s="564">
        <v>11.88</v>
      </c>
      <c r="E24" s="565"/>
      <c r="F24" s="294"/>
      <c r="G24" s="294"/>
      <c r="H24" s="348"/>
      <c r="I24" s="34" t="s">
        <v>12</v>
      </c>
      <c r="J24" s="280"/>
      <c r="K24" s="284">
        <f>COUNTA([24]Brewhouse!$A$99:$A$106)</f>
        <v>8</v>
      </c>
      <c r="L24" s="302">
        <f>AVERAGE([24]Brewhouse!$AU$99:$AU$106)</f>
        <v>94.823749681896615</v>
      </c>
      <c r="M24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78"/>
      <c r="C25" s="362">
        <v>11.8</v>
      </c>
      <c r="D25" s="530"/>
      <c r="E25" s="518"/>
      <c r="F25" s="294"/>
      <c r="G25" s="294"/>
      <c r="H25" s="348"/>
      <c r="I25" s="22" t="s">
        <v>33</v>
      </c>
      <c r="J25" s="280">
        <f>AVERAGE(I10:I17)</f>
        <v>97.908624430386354</v>
      </c>
      <c r="K25" s="284">
        <f>COUNTA([25]Brewhouse!$A$88:$A$95)</f>
        <v>8</v>
      </c>
      <c r="L25" s="302">
        <f>AVERAGE([25]Brewhouse!$AV$88:$AV$95)</f>
        <v>97.908624430386354</v>
      </c>
      <c r="M25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78"/>
      <c r="C26" s="362">
        <v>11.6</v>
      </c>
      <c r="D26" s="564">
        <v>11.84</v>
      </c>
      <c r="E26" s="565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78"/>
      <c r="C27" s="362">
        <v>11.5</v>
      </c>
      <c r="D27" s="530"/>
      <c r="E27" s="518"/>
      <c r="F27" s="417"/>
      <c r="G27" s="294"/>
      <c r="H27" s="348"/>
      <c r="I27" s="36" t="s">
        <v>15</v>
      </c>
      <c r="J27" s="323"/>
      <c r="K27" s="284"/>
      <c r="L27" s="302"/>
      <c r="M27" s="302">
        <f>AVERAGE([26]Brewhouse!$AT$4:$AT$11,[26]Brewhouse!$AT$13:$AT$16,[26]Brewhouse!$AT$18:$AT$21,[26]Brewhouse!$AT$26,[26]Brewhouse!$AT$28:$AT$35)</f>
        <v>94.794664331624134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  <c r="AA27" s="296"/>
    </row>
    <row r="28" spans="1:27" ht="14.65" customHeight="1">
      <c r="A28" s="28"/>
      <c r="B28" s="578"/>
      <c r="C28" s="362">
        <v>11.8</v>
      </c>
      <c r="D28" s="564">
        <v>11.66</v>
      </c>
      <c r="E28" s="565"/>
      <c r="F28" s="417"/>
      <c r="G28" s="294"/>
      <c r="H28" s="348"/>
      <c r="I28" s="37" t="s">
        <v>16</v>
      </c>
      <c r="J28" s="323"/>
      <c r="K28" s="284"/>
      <c r="L28" s="302"/>
      <c r="M28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28" s="30">
        <v>98</v>
      </c>
      <c r="O28" s="11"/>
      <c r="P28" s="31" t="s">
        <v>41</v>
      </c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78"/>
      <c r="C29" s="362">
        <v>11.8</v>
      </c>
      <c r="D29" s="530"/>
      <c r="E29" s="518"/>
      <c r="F29" s="294"/>
      <c r="G29" s="294"/>
      <c r="H29" s="348"/>
      <c r="I29" s="411" t="s">
        <v>158</v>
      </c>
      <c r="J29" s="326"/>
      <c r="K29" s="284"/>
      <c r="L29" s="305"/>
      <c r="M29" s="305">
        <f>AVERAGE([28]Brewhouse!$AU$5:$AU$8,[28]Brewhouse!$AU$10:$AU$13,[27]Brewhouse!$AY$75:$AY$77)</f>
        <v>94.749192473706671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78"/>
      <c r="C30" s="349">
        <v>11.7</v>
      </c>
      <c r="D30" s="564">
        <v>11.84</v>
      </c>
      <c r="E30" s="565"/>
      <c r="F30" s="294"/>
      <c r="G30" s="294"/>
      <c r="H30" s="348"/>
      <c r="I30" s="410" t="s">
        <v>157</v>
      </c>
      <c r="J30" s="326"/>
      <c r="K30" s="284"/>
      <c r="L30" s="305"/>
      <c r="M30" s="305">
        <f>AVERAGE([29]Brewhouse!$AW$26:$AW$27)</f>
        <v>95.310680905194914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5" customHeight="1" thickBot="1">
      <c r="A31" s="28"/>
      <c r="B31" s="578"/>
      <c r="C31" s="349">
        <v>11.7</v>
      </c>
      <c r="D31" s="530"/>
      <c r="E31" s="518"/>
      <c r="F31" s="294"/>
      <c r="G31" s="294"/>
      <c r="H31" s="348"/>
      <c r="I31" s="406" t="s">
        <v>156</v>
      </c>
      <c r="J31" s="327"/>
      <c r="K31" s="407"/>
      <c r="L31" s="408"/>
      <c r="M31" s="408">
        <f>AVERAGE([30]Brewhouse!$AU$13:$AU$14)</f>
        <v>97.110575243268045</v>
      </c>
      <c r="N31" s="409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78"/>
      <c r="C32" s="349">
        <v>11.6</v>
      </c>
      <c r="D32" s="515">
        <v>11.82</v>
      </c>
      <c r="E32" s="516"/>
      <c r="F32" s="294"/>
      <c r="G32" s="294"/>
      <c r="H32" s="348"/>
      <c r="I32" s="1"/>
      <c r="J32" s="39"/>
      <c r="K32" s="404">
        <f>SUM(K22:K31)</f>
        <v>110</v>
      </c>
      <c r="L32" s="405">
        <f>((L22*K22)+(L23*K23)+(L24*K24)+(L25*K25)+(L26*K26)+(K29*L29)+(L27*K27)+(L28*K28)+(L31*K31))/(K32)</f>
        <v>97.384072061202886</v>
      </c>
      <c r="M32" s="405">
        <f>AVERAGE('[31]Jan 31st'!$L$65,'[32]Feb 28th'!$L$35,'[33]Mar. 31st'!$L$35,'[34]Apr. 30th'!$L$45,'[35]May 30th'!$L$37,'[36]June 30th'!$L$57,'[37]July 29th '!$L$44,'[38]Aug 29th'!$L$29,'[39]Sept 30th'!$L$35,L32)</f>
        <v>97.556357445802092</v>
      </c>
      <c r="N32" s="4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2:56" ht="15.75" thickBot="1">
      <c r="B33" s="579"/>
      <c r="C33" s="350">
        <v>11.6</v>
      </c>
      <c r="D33" s="517"/>
      <c r="E33" s="518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2:56" ht="15.75" thickBot="1">
      <c r="B34" s="562"/>
      <c r="C34" s="362">
        <v>11.6</v>
      </c>
      <c r="D34" s="528">
        <v>11.82</v>
      </c>
      <c r="E34" s="529"/>
      <c r="F34" s="294"/>
      <c r="G34" s="42"/>
      <c r="H34" s="41"/>
      <c r="I34" s="42"/>
      <c r="J34" s="563" t="s">
        <v>129</v>
      </c>
      <c r="K34" s="563"/>
      <c r="L34" s="294"/>
      <c r="M34" s="294"/>
      <c r="N34" s="294"/>
      <c r="O34" s="294"/>
      <c r="P34" s="12"/>
    </row>
    <row r="35" spans="2:56" ht="15.75" thickBot="1">
      <c r="B35" s="526"/>
      <c r="C35" s="362">
        <v>11.7</v>
      </c>
      <c r="D35" s="530"/>
      <c r="E35" s="518"/>
      <c r="F35" s="294"/>
      <c r="G35" s="42"/>
      <c r="H35" s="41"/>
      <c r="I35" s="42"/>
      <c r="J35" s="292" t="s">
        <v>17</v>
      </c>
      <c r="K35" s="293" t="s">
        <v>147</v>
      </c>
      <c r="L35" s="532" t="s">
        <v>136</v>
      </c>
      <c r="M35" s="532"/>
      <c r="N35" s="533"/>
      <c r="O35" s="294"/>
      <c r="P35" s="12"/>
    </row>
    <row r="36" spans="2:56" ht="15" customHeight="1" thickBot="1">
      <c r="B36" s="526"/>
      <c r="C36" s="349">
        <v>11.8</v>
      </c>
      <c r="D36" s="564">
        <v>11.87</v>
      </c>
      <c r="E36" s="565"/>
      <c r="F36" s="294"/>
      <c r="G36" s="42"/>
      <c r="H36" s="41"/>
      <c r="I36" s="42"/>
      <c r="J36" s="287" t="s">
        <v>6</v>
      </c>
      <c r="K36" s="324"/>
      <c r="L36" s="343" t="s">
        <v>37</v>
      </c>
      <c r="M36" s="307" t="s">
        <v>38</v>
      </c>
      <c r="N36" s="307" t="s">
        <v>84</v>
      </c>
      <c r="O36" s="294"/>
      <c r="P36" s="12"/>
    </row>
    <row r="37" spans="2:56" ht="15.75" customHeight="1" thickBot="1">
      <c r="B37" s="526"/>
      <c r="C37" s="349">
        <v>11.8</v>
      </c>
      <c r="D37" s="530"/>
      <c r="E37" s="518"/>
      <c r="F37" s="294"/>
      <c r="G37" s="42"/>
      <c r="H37" s="41"/>
      <c r="I37" s="42"/>
      <c r="J37" s="345" t="s">
        <v>9</v>
      </c>
      <c r="K37" s="324"/>
      <c r="L37" s="344">
        <f>AVERAGE('Oct. 1st'!K49,,'Oct. 2nd'!K51,'Oct. 3rd'!K46,'Oct. 6th'!K54,Oct.7th!K50,Oct.8th!K48,Oct.9th!K49,Oct.13th!K47,Oct.15th!K50,Oct.16th!K50,Oct.17th!K46,Oct.21st!K50,Oct.22nd!K48,Oct.23rd!K46)</f>
        <v>7.0666666666666664</v>
      </c>
      <c r="M37" s="325">
        <f>AVERAGE('[31]Jan 29th '!$M$70,'[32]Feb 28th'!$L$40,'[33]Mar. 31st'!$L$40,'[34]Apr. 30th'!$L$50,'[35]May 30th'!$L$42,'[36]June 30th'!$L$62,'[37]July 29th '!$L$49,'[38]Aug 29th'!$L$34,'[39]Sept 30th'!$L$40,L37)</f>
        <v>7.012794444304741</v>
      </c>
      <c r="N37" s="416">
        <v>9.1999999999999993</v>
      </c>
      <c r="O37" s="294"/>
      <c r="P37" s="12"/>
    </row>
    <row r="38" spans="2:56" ht="15" customHeight="1">
      <c r="B38" s="526"/>
      <c r="C38" s="349"/>
      <c r="D38" s="564"/>
      <c r="E38" s="565"/>
      <c r="F38" s="294"/>
      <c r="G38" s="42"/>
      <c r="H38" s="41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6"/>
      <c r="C39" s="349"/>
      <c r="D39" s="530"/>
      <c r="E39" s="518"/>
      <c r="F39" s="294"/>
      <c r="G39" s="42"/>
      <c r="H39" s="41"/>
      <c r="I39" s="42"/>
      <c r="J39" s="289" t="s">
        <v>33</v>
      </c>
      <c r="K39" s="324">
        <v>8</v>
      </c>
      <c r="L39" s="294"/>
      <c r="M39" s="294"/>
      <c r="N39" s="294"/>
      <c r="O39" s="294"/>
      <c r="P39" s="12"/>
    </row>
    <row r="40" spans="2:56" ht="15">
      <c r="B40" s="526"/>
      <c r="C40" s="349"/>
      <c r="D40" s="564"/>
      <c r="E40" s="565"/>
      <c r="F40" s="294"/>
      <c r="G40" s="42"/>
      <c r="H40" s="41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6"/>
      <c r="C41" s="349"/>
      <c r="D41" s="530"/>
      <c r="E41" s="518"/>
      <c r="F41" s="294"/>
      <c r="G41" s="42"/>
      <c r="H41" s="41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6"/>
      <c r="C42" s="349"/>
      <c r="D42" s="564"/>
      <c r="E42" s="565"/>
      <c r="F42" s="294"/>
      <c r="G42" s="42"/>
      <c r="H42" s="41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6"/>
      <c r="C43" s="350"/>
      <c r="D43" s="566"/>
      <c r="E43" s="567"/>
      <c r="F43" s="294" t="s">
        <v>178</v>
      </c>
      <c r="G43" s="42"/>
      <c r="H43" s="41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60">
        <f>AVERAGE(D22:E43)</f>
        <v>11.822500000000002</v>
      </c>
      <c r="E44" s="561"/>
      <c r="F44" s="294"/>
      <c r="H44" s="41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2"/>
      <c r="J46" s="346" t="s">
        <v>130</v>
      </c>
      <c r="K46" s="324">
        <f>SUM(K36:K45)</f>
        <v>8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40" t="s">
        <v>17</v>
      </c>
      <c r="C49" s="540" t="s">
        <v>44</v>
      </c>
      <c r="D49" s="542" t="s">
        <v>45</v>
      </c>
      <c r="E49" s="497" t="s">
        <v>46</v>
      </c>
      <c r="F49" s="557" t="s">
        <v>47</v>
      </c>
      <c r="G49" s="551" t="s">
        <v>48</v>
      </c>
      <c r="H49" s="540" t="s">
        <v>49</v>
      </c>
      <c r="I49" s="540" t="s">
        <v>50</v>
      </c>
      <c r="J49" s="545" t="s">
        <v>28</v>
      </c>
      <c r="K49" s="495" t="s">
        <v>51</v>
      </c>
      <c r="L49" s="507" t="s">
        <v>52</v>
      </c>
      <c r="M49" s="545" t="s">
        <v>53</v>
      </c>
      <c r="N49" s="13"/>
      <c r="O49" s="13"/>
      <c r="P49" s="50"/>
    </row>
    <row r="50" spans="2:57" ht="28.5" customHeight="1" thickTop="1" thickBot="1">
      <c r="B50" s="541"/>
      <c r="C50" s="541"/>
      <c r="D50" s="543"/>
      <c r="E50" s="544"/>
      <c r="F50" s="558"/>
      <c r="G50" s="552"/>
      <c r="H50" s="559"/>
      <c r="I50" s="559"/>
      <c r="J50" s="546"/>
      <c r="K50" s="555"/>
      <c r="L50" s="556"/>
      <c r="M50" s="546"/>
      <c r="N50" s="13"/>
      <c r="O50" s="13"/>
      <c r="P50" s="50"/>
      <c r="Q50" s="355"/>
      <c r="AB50" s="51">
        <v>43474</v>
      </c>
      <c r="AC50" s="51">
        <v>43475</v>
      </c>
      <c r="AD50" s="51">
        <v>43476</v>
      </c>
      <c r="AE50" s="51">
        <v>43477</v>
      </c>
      <c r="AF50" s="51">
        <v>43478</v>
      </c>
      <c r="AG50" s="51">
        <v>43479</v>
      </c>
      <c r="AH50" s="51">
        <v>43480</v>
      </c>
      <c r="AI50" s="51">
        <v>43481</v>
      </c>
      <c r="AJ50" s="51">
        <v>43482</v>
      </c>
      <c r="AK50" s="51">
        <v>43483</v>
      </c>
      <c r="AL50" s="51">
        <v>43484</v>
      </c>
      <c r="AM50" s="51">
        <v>43485</v>
      </c>
      <c r="AN50" s="51">
        <v>43486</v>
      </c>
      <c r="AO50" s="51">
        <v>43487</v>
      </c>
      <c r="AP50" s="51">
        <v>43488</v>
      </c>
      <c r="AQ50" s="51">
        <v>43489</v>
      </c>
      <c r="AR50" s="51">
        <v>43490</v>
      </c>
      <c r="AS50" s="51">
        <v>43491</v>
      </c>
      <c r="AT50" s="51">
        <v>43492</v>
      </c>
      <c r="AU50" s="51">
        <v>43493</v>
      </c>
      <c r="AV50" s="51">
        <v>43494</v>
      </c>
      <c r="AW50" s="51">
        <v>43495</v>
      </c>
      <c r="AX50" s="51">
        <v>43496</v>
      </c>
    </row>
    <row r="51" spans="2:57" s="54" customFormat="1" ht="59.45" customHeight="1" thickBot="1">
      <c r="B51" s="460" t="str">
        <f>J36</f>
        <v>CARIB</v>
      </c>
      <c r="C51" s="442">
        <v>45953</v>
      </c>
      <c r="D51" s="443">
        <f>[40]October_2025!$Z$3</f>
        <v>817.69999999999993</v>
      </c>
      <c r="E51" s="444"/>
      <c r="F51" s="445"/>
      <c r="G51" s="445">
        <f>[40]October_2025!$Z$7</f>
        <v>773.2</v>
      </c>
      <c r="H51" s="462"/>
      <c r="I51" s="462"/>
      <c r="J51" s="449" t="s">
        <v>167</v>
      </c>
      <c r="K51" s="450">
        <f>[41]October_2025!$Z$18</f>
        <v>1.3564912280701755</v>
      </c>
      <c r="L51" s="461">
        <f>(((D51+E51)-G51)/(D51+E51))*100</f>
        <v>5.4420936773877822</v>
      </c>
      <c r="M51" s="457" t="s">
        <v>193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[20]January_2019!L7</f>
        <v>285.8</v>
      </c>
      <c r="AC51" s="57">
        <f>[20]January_2019!M7</f>
        <v>508.1</v>
      </c>
      <c r="AD51" s="57">
        <f>[20]January_2019!N7</f>
        <v>0</v>
      </c>
      <c r="AE51" s="57">
        <f>[20]January_2019!O7</f>
        <v>0</v>
      </c>
      <c r="AF51" s="57">
        <f>[20]January_2019!P7</f>
        <v>109.56666666666666</v>
      </c>
      <c r="AG51" s="57">
        <f>[20]January_2019!Q7</f>
        <v>297.64999999999998</v>
      </c>
      <c r="AH51" s="57">
        <f>[20]January_2019!R7</f>
        <v>122.3</v>
      </c>
      <c r="AI51" s="57">
        <f>[20]January_2019!S7</f>
        <v>0</v>
      </c>
      <c r="AJ51" s="57">
        <f>[20]January_2019!T7</f>
        <v>294.7</v>
      </c>
      <c r="AK51" s="57">
        <f>[20]January_2019!U7</f>
        <v>280.5</v>
      </c>
      <c r="AL51" s="57">
        <f>[20]January_2019!V7</f>
        <v>0</v>
      </c>
      <c r="AM51" s="57">
        <f>[20]January_2019!W7</f>
        <v>0</v>
      </c>
      <c r="AN51" s="57">
        <f>[20]January_2019!X7</f>
        <v>188.25</v>
      </c>
      <c r="AO51" s="57">
        <f>[20]January_2019!Y7</f>
        <v>295.7</v>
      </c>
      <c r="AP51" s="57">
        <f>[20]January_2019!Z7</f>
        <v>257.8</v>
      </c>
      <c r="AQ51" s="57">
        <f>[20]January_2019!AA7</f>
        <v>291.2</v>
      </c>
      <c r="AR51" s="57">
        <f>[20]January_2019!AB7</f>
        <v>187</v>
      </c>
      <c r="AS51" s="57">
        <f>[20]January_2019!AC7</f>
        <v>0</v>
      </c>
      <c r="AT51" s="57">
        <f>[20]January_2019!AD7</f>
        <v>0</v>
      </c>
      <c r="AU51" s="57">
        <f>[20]January_2019!AE7</f>
        <v>485.1</v>
      </c>
      <c r="AV51" s="57">
        <f>[20]January_2019!AF7</f>
        <v>171.55</v>
      </c>
      <c r="AW51" s="57">
        <f>[20]January_2019!AG7</f>
        <v>423.8</v>
      </c>
      <c r="AX51" s="277">
        <f>[20]January_2019!AH7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20.45" hidden="1" customHeight="1" thickBot="1">
      <c r="B52" s="458"/>
      <c r="C52" s="431"/>
      <c r="D52" s="432"/>
      <c r="E52" s="433"/>
      <c r="F52" s="434"/>
      <c r="G52" s="435"/>
      <c r="H52" s="429"/>
      <c r="I52" s="429"/>
      <c r="J52" s="452"/>
      <c r="K52" s="437"/>
      <c r="L52" s="453"/>
      <c r="M52" s="422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59.45" hidden="1" customHeight="1" thickBot="1">
      <c r="B53" s="460" t="str">
        <f>J36</f>
        <v>CARIB</v>
      </c>
      <c r="C53" s="442">
        <v>45945</v>
      </c>
      <c r="D53" s="443"/>
      <c r="E53" s="444"/>
      <c r="F53" s="445"/>
      <c r="G53" s="446"/>
      <c r="H53" s="462"/>
      <c r="I53" s="462"/>
      <c r="J53" s="449"/>
      <c r="K53" s="466"/>
      <c r="L53" s="461"/>
      <c r="M53" s="457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4"/>
      <c r="C54" s="431"/>
      <c r="D54" s="432"/>
      <c r="E54" s="433"/>
      <c r="F54" s="434"/>
      <c r="G54" s="435"/>
      <c r="H54" s="436"/>
      <c r="I54" s="451"/>
      <c r="J54" s="452"/>
      <c r="K54" s="437" t="s">
        <v>41</v>
      </c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6.6" hidden="1" customHeight="1" thickBot="1">
      <c r="B55" s="387"/>
      <c r="C55" s="442"/>
      <c r="D55" s="443"/>
      <c r="E55" s="444"/>
      <c r="F55" s="445"/>
      <c r="G55" s="446"/>
      <c r="H55" s="447"/>
      <c r="I55" s="448"/>
      <c r="J55" s="449"/>
      <c r="K55" s="450"/>
      <c r="L55" s="455" t="e">
        <f>(((D55+E55)-G55)/(D55+E55))*100</f>
        <v>#DIV/0!</v>
      </c>
      <c r="M55" s="45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8"/>
      <c r="C56" s="424"/>
      <c r="D56" s="425"/>
      <c r="E56" s="426"/>
      <c r="F56" s="427"/>
      <c r="G56" s="428"/>
      <c r="H56" s="429"/>
      <c r="I56" s="439"/>
      <c r="J56" s="440"/>
      <c r="K56" s="430"/>
      <c r="L56" s="441"/>
      <c r="M56" s="423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47" t="s">
        <v>55</v>
      </c>
      <c r="C58" s="548"/>
      <c r="D58" s="548"/>
      <c r="E58" s="548"/>
      <c r="F58" s="549"/>
      <c r="G58" s="547" t="s">
        <v>56</v>
      </c>
      <c r="H58" s="548"/>
      <c r="I58" s="548"/>
      <c r="J58" s="549"/>
      <c r="K58" s="547" t="s">
        <v>51</v>
      </c>
      <c r="L58" s="548"/>
      <c r="M58" s="548"/>
      <c r="N58" s="550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>
        <f>L51</f>
        <v>5.4420936773877822</v>
      </c>
      <c r="D60" s="76">
        <v>5.4678058962573388</v>
      </c>
      <c r="E60" s="76">
        <v>6.266888057846332</v>
      </c>
      <c r="F60" s="66">
        <v>4.8</v>
      </c>
      <c r="G60" s="65">
        <f>[40]October_2025!$Z$11</f>
        <v>4.3596646597945155</v>
      </c>
      <c r="H60" s="76">
        <v>3.868035024776316</v>
      </c>
      <c r="I60" s="76">
        <v>6.0450946999575628</v>
      </c>
      <c r="J60" s="66">
        <v>4.8</v>
      </c>
      <c r="K60" s="67">
        <f>K51</f>
        <v>1.3564912280701755</v>
      </c>
      <c r="L60" s="194">
        <v>0.80994465536602323</v>
      </c>
      <c r="M60" s="194">
        <v>0.77150198301442752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3.5989501429842425</v>
      </c>
      <c r="E61" s="76">
        <v>5.6877482788228022</v>
      </c>
      <c r="F61" s="66">
        <v>4.8</v>
      </c>
      <c r="G61" s="65"/>
      <c r="H61" s="76">
        <v>3.3049198771516219</v>
      </c>
      <c r="I61" s="76">
        <v>5.4826084373839814</v>
      </c>
      <c r="J61" s="66">
        <v>4.8</v>
      </c>
      <c r="K61" s="67"/>
      <c r="L61" s="194">
        <v>0.92648177510936203</v>
      </c>
      <c r="M61" s="194">
        <v>0.73378312777097876</v>
      </c>
      <c r="N61" s="68">
        <v>1</v>
      </c>
      <c r="P61" s="69"/>
    </row>
    <row r="62" spans="2:57" ht="15">
      <c r="B62" s="34" t="s">
        <v>40</v>
      </c>
      <c r="C62" s="65"/>
      <c r="D62" s="76">
        <v>9.535333978702802</v>
      </c>
      <c r="E62" s="76">
        <v>11.690789306336304</v>
      </c>
      <c r="F62" s="66">
        <v>5.5</v>
      </c>
      <c r="G62" s="65"/>
      <c r="H62" s="76">
        <v>9.7076284177373999</v>
      </c>
      <c r="I62" s="76">
        <v>12.617010368159198</v>
      </c>
      <c r="J62" s="66">
        <v>5.5</v>
      </c>
      <c r="K62" s="67"/>
      <c r="L62" s="194">
        <v>0.9345</v>
      </c>
      <c r="M62" s="194">
        <v>0.54931804556354924</v>
      </c>
      <c r="N62" s="68">
        <v>1</v>
      </c>
      <c r="P62" s="69"/>
    </row>
    <row r="63" spans="2:57" ht="15">
      <c r="B63" s="22" t="s">
        <v>33</v>
      </c>
      <c r="C63" s="65"/>
      <c r="D63" s="76"/>
      <c r="E63" s="76">
        <v>5.119233255999676</v>
      </c>
      <c r="F63" s="66">
        <v>3.3</v>
      </c>
      <c r="G63" s="65"/>
      <c r="H63" s="76"/>
      <c r="I63" s="76">
        <v>4.4772094679692334</v>
      </c>
      <c r="J63" s="66">
        <v>3.3</v>
      </c>
      <c r="K63" s="67"/>
      <c r="L63" s="194"/>
      <c r="M63" s="194">
        <v>0.80025950292397652</v>
      </c>
      <c r="N63" s="68">
        <v>1</v>
      </c>
      <c r="P63" s="69"/>
    </row>
    <row r="64" spans="2:57" ht="15">
      <c r="B64" s="35" t="s">
        <v>165</v>
      </c>
      <c r="C64" s="65"/>
      <c r="D64" s="76"/>
      <c r="E64" s="76">
        <v>7.837301587301579</v>
      </c>
      <c r="F64" s="66">
        <v>3.3</v>
      </c>
      <c r="G64" s="282"/>
      <c r="H64" s="76"/>
      <c r="I64" s="76">
        <v>5.3377569154690221</v>
      </c>
      <c r="J64" s="66">
        <v>3</v>
      </c>
      <c r="K64" s="67"/>
      <c r="L64" s="194"/>
      <c r="M64" s="194">
        <v>0.32596491228070179</v>
      </c>
      <c r="N64" s="68">
        <v>1</v>
      </c>
      <c r="P64" s="69"/>
    </row>
    <row r="65" spans="2:16" ht="15">
      <c r="B65" s="36" t="s">
        <v>15</v>
      </c>
      <c r="C65" s="65"/>
      <c r="D65" s="76"/>
      <c r="E65" s="76">
        <v>7.3129862357869699</v>
      </c>
      <c r="F65" s="70">
        <f>[21]May_2022!$M$43</f>
        <v>3.4878406700073312</v>
      </c>
      <c r="G65" s="282"/>
      <c r="H65" s="76"/>
      <c r="I65" s="76">
        <v>8.6614709463340702</v>
      </c>
      <c r="J65" s="66">
        <v>5.5</v>
      </c>
      <c r="K65" s="67"/>
      <c r="L65" s="194"/>
      <c r="M65" s="194">
        <v>0.73160818713450293</v>
      </c>
      <c r="N65" s="68">
        <v>1</v>
      </c>
      <c r="P65" s="69"/>
    </row>
    <row r="66" spans="2:16" ht="15">
      <c r="B66" s="37" t="s">
        <v>16</v>
      </c>
      <c r="C66" s="65"/>
      <c r="D66" s="76">
        <v>2.0782986950217497</v>
      </c>
      <c r="E66" s="76">
        <v>2.8629317642487306</v>
      </c>
      <c r="F66" s="66">
        <v>3.3</v>
      </c>
      <c r="G66" s="282"/>
      <c r="H66" s="76">
        <v>3.4559849687930924</v>
      </c>
      <c r="I66" s="76">
        <v>4.3478819741669881</v>
      </c>
      <c r="J66" s="66">
        <v>3.3</v>
      </c>
      <c r="K66" s="67"/>
      <c r="L66" s="194">
        <v>0.88859649122807016</v>
      </c>
      <c r="M66" s="194">
        <v>0.85935680751173715</v>
      </c>
      <c r="N66" s="71">
        <v>1</v>
      </c>
      <c r="P66" s="69"/>
    </row>
    <row r="67" spans="2:16" ht="15.75" thickBot="1">
      <c r="B67" s="38" t="s">
        <v>164</v>
      </c>
      <c r="C67" s="65"/>
      <c r="D67" s="76"/>
      <c r="E67" s="76">
        <v>11.483253588516746</v>
      </c>
      <c r="F67" s="66">
        <v>7.5</v>
      </c>
      <c r="G67" s="282"/>
      <c r="H67" s="76"/>
      <c r="I67" s="76">
        <v>9.7934336121043764</v>
      </c>
      <c r="J67" s="66">
        <v>7.5</v>
      </c>
      <c r="K67" s="67"/>
      <c r="M67" s="194">
        <v>0.32456140350877194</v>
      </c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>
        <v>7.2653644592663174</v>
      </c>
      <c r="F68" s="66">
        <v>4.8</v>
      </c>
      <c r="G68" s="282"/>
      <c r="H68" s="76"/>
      <c r="I68" s="76">
        <v>8.1715311054411259</v>
      </c>
      <c r="J68" s="66">
        <v>4.8</v>
      </c>
      <c r="K68" s="67"/>
      <c r="L68" s="194"/>
      <c r="M68" s="194">
        <v>0.51368421052631585</v>
      </c>
      <c r="N68" s="71">
        <v>1</v>
      </c>
      <c r="O68" s="74"/>
      <c r="P68" s="75"/>
    </row>
    <row r="69" spans="2:16" ht="15">
      <c r="D69" s="76">
        <v>4.6703734611021188</v>
      </c>
      <c r="E69" s="76">
        <v>6.2408956788866483</v>
      </c>
      <c r="F69" s="341">
        <v>5.5</v>
      </c>
      <c r="H69" s="76">
        <v>3.9987414004089228</v>
      </c>
      <c r="I69" s="76">
        <v>6.3836476478682176</v>
      </c>
      <c r="J69" s="341">
        <v>5.5</v>
      </c>
      <c r="L69" s="194">
        <v>0.86279785809906295</v>
      </c>
      <c r="M69" s="194">
        <v>0.73968914774485817</v>
      </c>
      <c r="N69" s="386">
        <v>1</v>
      </c>
    </row>
    <row r="73" spans="2:16">
      <c r="F73" s="315"/>
    </row>
    <row r="74" spans="2:16" ht="15">
      <c r="F74" s="341"/>
    </row>
  </sheetData>
  <mergeCells count="51">
    <mergeCell ref="M49:M50"/>
    <mergeCell ref="B58:F58"/>
    <mergeCell ref="G58:J58"/>
    <mergeCell ref="K58:N58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1215" priority="145" operator="notBetween">
      <formula>#REF!</formula>
      <formula>#REF!</formula>
    </cfRule>
  </conditionalFormatting>
  <conditionalFormatting sqref="C48">
    <cfRule type="cellIs" dxfId="1214" priority="177" stopIfTrue="1" operator="greaterThan">
      <formula>100</formula>
    </cfRule>
    <cfRule type="cellIs" dxfId="1213" priority="176" stopIfTrue="1" operator="lessThan">
      <formula>96</formula>
    </cfRule>
  </conditionalFormatting>
  <conditionalFormatting sqref="C60:C64">
    <cfRule type="cellIs" dxfId="1212" priority="126" stopIfTrue="1" operator="lessThanOrEqual">
      <formula>0</formula>
    </cfRule>
  </conditionalFormatting>
  <conditionalFormatting sqref="C60:C68">
    <cfRule type="cellIs" dxfId="1211" priority="125" stopIfTrue="1" operator="greaterThan">
      <formula>$F60</formula>
    </cfRule>
  </conditionalFormatting>
  <conditionalFormatting sqref="C61">
    <cfRule type="cellIs" dxfId="1210" priority="180" stopIfTrue="1" operator="greaterThan">
      <formula>$F60</formula>
    </cfRule>
  </conditionalFormatting>
  <conditionalFormatting sqref="C65">
    <cfRule type="cellIs" dxfId="1209" priority="64" stopIfTrue="1" operator="greaterThan">
      <formula>$F64</formula>
    </cfRule>
    <cfRule type="cellIs" dxfId="1208" priority="63" stopIfTrue="1" operator="lessThanOrEqual">
      <formula>0</formula>
    </cfRule>
  </conditionalFormatting>
  <conditionalFormatting sqref="C71:C75">
    <cfRule type="cellIs" dxfId="1207" priority="168" stopIfTrue="1" operator="lessThanOrEqual">
      <formula>0</formula>
    </cfRule>
  </conditionalFormatting>
  <conditionalFormatting sqref="C72:C75">
    <cfRule type="cellIs" dxfId="1206" priority="167" stopIfTrue="1" operator="greaterThan">
      <formula>$F$71</formula>
    </cfRule>
  </conditionalFormatting>
  <conditionalFormatting sqref="C77">
    <cfRule type="cellIs" dxfId="1205" priority="170" stopIfTrue="1" operator="lessThanOrEqual">
      <formula>0</formula>
    </cfRule>
    <cfRule type="cellIs" dxfId="1204" priority="169" stopIfTrue="1" operator="greaterThan">
      <formula>$F$71</formula>
    </cfRule>
  </conditionalFormatting>
  <conditionalFormatting sqref="C71:D71 D73:D79">
    <cfRule type="cellIs" dxfId="1203" priority="162" stopIfTrue="1" operator="greaterThan">
      <formula>4.5</formula>
    </cfRule>
  </conditionalFormatting>
  <conditionalFormatting sqref="D44:D45">
    <cfRule type="cellIs" dxfId="1202" priority="146" operator="notBetween">
      <formula>#REF!</formula>
      <formula>#REF!</formula>
    </cfRule>
  </conditionalFormatting>
  <conditionalFormatting sqref="D60:D67">
    <cfRule type="cellIs" dxfId="1201" priority="140" stopIfTrue="1" operator="lessThanOrEqual">
      <formula>0</formula>
    </cfRule>
  </conditionalFormatting>
  <conditionalFormatting sqref="D68">
    <cfRule type="cellIs" dxfId="1200" priority="139" stopIfTrue="1" operator="lessThanOrEqual">
      <formula>0</formula>
    </cfRule>
  </conditionalFormatting>
  <conditionalFormatting sqref="D71 D73:D79">
    <cfRule type="cellIs" dxfId="1199" priority="163" stopIfTrue="1" operator="lessThanOrEqual">
      <formula>0</formula>
    </cfRule>
  </conditionalFormatting>
  <conditionalFormatting sqref="D72">
    <cfRule type="cellIs" dxfId="1198" priority="155" stopIfTrue="1" operator="lessThanOrEqual">
      <formula>0</formula>
    </cfRule>
    <cfRule type="cellIs" dxfId="1197" priority="154" stopIfTrue="1" operator="greaterThan">
      <formula>$F$71</formula>
    </cfRule>
  </conditionalFormatting>
  <conditionalFormatting sqref="D60:E69">
    <cfRule type="cellIs" dxfId="1196" priority="123" stopIfTrue="1" operator="greaterThan">
      <formula>$F60</formula>
    </cfRule>
  </conditionalFormatting>
  <conditionalFormatting sqref="D69:E69">
    <cfRule type="cellIs" dxfId="1195" priority="124" stopIfTrue="1" operator="lessThanOrEqual">
      <formula>0</formula>
    </cfRule>
  </conditionalFormatting>
  <conditionalFormatting sqref="E10:E19">
    <cfRule type="cellIs" dxfId="1194" priority="35" operator="lessThan">
      <formula>48</formula>
    </cfRule>
  </conditionalFormatting>
  <conditionalFormatting sqref="E47 E48:F48">
    <cfRule type="cellIs" dxfId="1193" priority="159" stopIfTrue="1" operator="greaterThan">
      <formula>100</formula>
    </cfRule>
  </conditionalFormatting>
  <conditionalFormatting sqref="E48">
    <cfRule type="cellIs" dxfId="1192" priority="157" stopIfTrue="1" operator="greaterThan">
      <formula>100</formula>
    </cfRule>
    <cfRule type="cellIs" dxfId="1191" priority="156" stopIfTrue="1" operator="lessThan">
      <formula>96.8</formula>
    </cfRule>
  </conditionalFormatting>
  <conditionalFormatting sqref="E60:E68">
    <cfRule type="cellIs" dxfId="1190" priority="134" stopIfTrue="1" operator="lessThanOrEqual">
      <formula>0</formula>
    </cfRule>
  </conditionalFormatting>
  <conditionalFormatting sqref="E71:E79">
    <cfRule type="cellIs" dxfId="1189" priority="148" stopIfTrue="1" operator="greaterThan">
      <formula>4.5</formula>
    </cfRule>
    <cfRule type="cellIs" dxfId="1188" priority="149" stopIfTrue="1" operator="lessThanOrEqual">
      <formula>0</formula>
    </cfRule>
  </conditionalFormatting>
  <conditionalFormatting sqref="E48:F48 E47">
    <cfRule type="cellIs" dxfId="1187" priority="158" stopIfTrue="1" operator="lessThan">
      <formula>96.5</formula>
    </cfRule>
  </conditionalFormatting>
  <conditionalFormatting sqref="F10:F19">
    <cfRule type="cellIs" dxfId="1186" priority="36" operator="greaterThan">
      <formula>60</formula>
    </cfRule>
  </conditionalFormatting>
  <conditionalFormatting sqref="F48">
    <cfRule type="cellIs" dxfId="1185" priority="175" stopIfTrue="1" operator="greaterThan">
      <formula>100</formula>
    </cfRule>
    <cfRule type="cellIs" dxfId="1184" priority="174" stopIfTrue="1" operator="lessThan">
      <formula>96.8</formula>
    </cfRule>
  </conditionalFormatting>
  <conditionalFormatting sqref="F69">
    <cfRule type="cellIs" dxfId="1183" priority="135" stopIfTrue="1" operator="greaterThan">
      <formula>$F69</formula>
    </cfRule>
    <cfRule type="cellIs" dxfId="1182" priority="136" stopIfTrue="1" operator="lessThanOrEqual">
      <formula>0</formula>
    </cfRule>
  </conditionalFormatting>
  <conditionalFormatting sqref="F74">
    <cfRule type="cellIs" dxfId="1181" priority="94" stopIfTrue="1" operator="lessThanOrEqual">
      <formula>0</formula>
    </cfRule>
    <cfRule type="cellIs" dxfId="1180" priority="93" stopIfTrue="1" operator="greaterThan">
      <formula>$F74</formula>
    </cfRule>
  </conditionalFormatting>
  <conditionalFormatting sqref="G60:G61 C66:C68">
    <cfRule type="cellIs" dxfId="1179" priority="142" stopIfTrue="1" operator="lessThanOrEqual">
      <formula>0</formula>
    </cfRule>
  </conditionalFormatting>
  <conditionalFormatting sqref="G60:G61">
    <cfRule type="cellIs" dxfId="1178" priority="127" stopIfTrue="1" operator="greaterThan">
      <formula>$F60</formula>
    </cfRule>
    <cfRule type="cellIs" dxfId="1177" priority="128" stopIfTrue="1" operator="lessThanOrEqual">
      <formula>0</formula>
    </cfRule>
    <cfRule type="cellIs" dxfId="1176" priority="141" stopIfTrue="1" operator="greaterThan">
      <formula>$F60</formula>
    </cfRule>
  </conditionalFormatting>
  <conditionalFormatting sqref="G62">
    <cfRule type="cellIs" dxfId="1175" priority="179" stopIfTrue="1" operator="lessThanOrEqual">
      <formula>0</formula>
    </cfRule>
    <cfRule type="cellIs" dxfId="1174" priority="178" stopIfTrue="1" operator="greaterThan">
      <formula>$F61</formula>
    </cfRule>
  </conditionalFormatting>
  <conditionalFormatting sqref="G63">
    <cfRule type="cellIs" dxfId="1173" priority="137" stopIfTrue="1" operator="greaterThan">
      <formula>$F63</formula>
    </cfRule>
    <cfRule type="cellIs" dxfId="1172" priority="138" stopIfTrue="1" operator="lessThanOrEqual">
      <formula>0</formula>
    </cfRule>
  </conditionalFormatting>
  <conditionalFormatting sqref="G64:G68">
    <cfRule type="cellIs" dxfId="1171" priority="144" stopIfTrue="1" operator="lessThanOrEqual">
      <formula>0</formula>
    </cfRule>
    <cfRule type="cellIs" dxfId="1170" priority="143" stopIfTrue="1" operator="greaterThan">
      <formula>$J64</formula>
    </cfRule>
  </conditionalFormatting>
  <conditionalFormatting sqref="G73:G78 C76 C78">
    <cfRule type="cellIs" dxfId="1169" priority="171" stopIfTrue="1" operator="greaterThan">
      <formula>4.5</formula>
    </cfRule>
    <cfRule type="cellIs" dxfId="1168" priority="172" stopIfTrue="1" operator="lessThanOrEqual">
      <formula>0</formula>
    </cfRule>
  </conditionalFormatting>
  <conditionalFormatting sqref="G10:H19 M18">
    <cfRule type="expression" dxfId="1167" priority="44">
      <formula>IF(+(IF(G10&lt;#REF!,0,IF(G10&gt;#REF!,0,1)))=0,1)</formula>
    </cfRule>
  </conditionalFormatting>
  <conditionalFormatting sqref="G72:H72">
    <cfRule type="cellIs" dxfId="1166" priority="153" stopIfTrue="1" operator="lessThanOrEqual">
      <formula>0</formula>
    </cfRule>
    <cfRule type="cellIs" dxfId="1165" priority="152" stopIfTrue="1" operator="greaterThan">
      <formula>$F$71</formula>
    </cfRule>
  </conditionalFormatting>
  <conditionalFormatting sqref="H33:H47">
    <cfRule type="cellIs" dxfId="1164" priority="150" stopIfTrue="1" operator="greaterThan">
      <formula>0</formula>
    </cfRule>
  </conditionalFormatting>
  <conditionalFormatting sqref="H51">
    <cfRule type="cellIs" dxfId="1163" priority="24" stopIfTrue="1" operator="greaterThan">
      <formula>$F$68</formula>
    </cfRule>
    <cfRule type="cellIs" dxfId="1162" priority="13" stopIfTrue="1" operator="lessThanOrEqual">
      <formula>0</formula>
    </cfRule>
    <cfRule type="cellIs" dxfId="1161" priority="14" stopIfTrue="1" operator="greaterThan">
      <formula>$F$67</formula>
    </cfRule>
    <cfRule type="cellIs" dxfId="1160" priority="22" stopIfTrue="1" operator="greaterThan">
      <formula>$F$70</formula>
    </cfRule>
    <cfRule type="cellIs" dxfId="1159" priority="23" stopIfTrue="1" operator="lessThanOrEqual">
      <formula>0</formula>
    </cfRule>
    <cfRule type="cellIs" dxfId="1158" priority="25" stopIfTrue="1" operator="lessThanOrEqual">
      <formula>0</formula>
    </cfRule>
  </conditionalFormatting>
  <conditionalFormatting sqref="H52">
    <cfRule type="cellIs" dxfId="1157" priority="80" stopIfTrue="1" operator="lessThanOrEqual">
      <formula>0</formula>
    </cfRule>
    <cfRule type="cellIs" dxfId="1156" priority="81" stopIfTrue="1" operator="greaterThan">
      <formula>#REF!</formula>
    </cfRule>
    <cfRule type="cellIs" dxfId="1155" priority="90" stopIfTrue="1" operator="lessThanOrEqual">
      <formula>0</formula>
    </cfRule>
    <cfRule type="cellIs" dxfId="1154" priority="89" stopIfTrue="1" operator="greaterThan">
      <formula>$F$20</formula>
    </cfRule>
    <cfRule type="cellIs" dxfId="1153" priority="91" stopIfTrue="1" operator="greaterThan">
      <formula>#REF!</formula>
    </cfRule>
    <cfRule type="cellIs" dxfId="1152" priority="92" stopIfTrue="1" operator="lessThanOrEqual">
      <formula>0</formula>
    </cfRule>
  </conditionalFormatting>
  <conditionalFormatting sqref="H53">
    <cfRule type="cellIs" dxfId="1151" priority="47" stopIfTrue="1" operator="greaterThan">
      <formula>$F$61</formula>
    </cfRule>
    <cfRule type="cellIs" dxfId="1150" priority="46" stopIfTrue="1" operator="lessThanOrEqual">
      <formula>0</formula>
    </cfRule>
    <cfRule type="cellIs" dxfId="1149" priority="58" stopIfTrue="1" operator="lessThanOrEqual">
      <formula>0</formula>
    </cfRule>
    <cfRule type="cellIs" dxfId="1148" priority="57" stopIfTrue="1" operator="greaterThan">
      <formula>$F$62</formula>
    </cfRule>
    <cfRule type="cellIs" dxfId="1147" priority="56" stopIfTrue="1" operator="lessThanOrEqual">
      <formula>0</formula>
    </cfRule>
    <cfRule type="cellIs" dxfId="1146" priority="55" stopIfTrue="1" operator="greaterThan">
      <formula>$F$64</formula>
    </cfRule>
  </conditionalFormatting>
  <conditionalFormatting sqref="H54:H55">
    <cfRule type="cellIs" dxfId="1145" priority="76" stopIfTrue="1" operator="lessThanOrEqual">
      <formula>0</formula>
    </cfRule>
    <cfRule type="cellIs" dxfId="1144" priority="75" stopIfTrue="1" operator="greaterThan">
      <formula>$F$19</formula>
    </cfRule>
    <cfRule type="cellIs" dxfId="1143" priority="67" stopIfTrue="1" operator="greaterThan">
      <formula>#REF!</formula>
    </cfRule>
    <cfRule type="cellIs" dxfId="1142" priority="66" stopIfTrue="1" operator="lessThanOrEqual">
      <formula>0</formula>
    </cfRule>
    <cfRule type="cellIs" dxfId="1141" priority="77" stopIfTrue="1" operator="greaterThan">
      <formula>#REF!</formula>
    </cfRule>
    <cfRule type="cellIs" dxfId="1140" priority="78" stopIfTrue="1" operator="lessThanOrEqual">
      <formula>0</formula>
    </cfRule>
  </conditionalFormatting>
  <conditionalFormatting sqref="H56">
    <cfRule type="cellIs" dxfId="1139" priority="108" stopIfTrue="1" operator="greaterThan">
      <formula>$F$33</formula>
    </cfRule>
    <cfRule type="cellIs" dxfId="1138" priority="109" stopIfTrue="1" operator="lessThanOrEqual">
      <formula>0</formula>
    </cfRule>
    <cfRule type="cellIs" dxfId="1137" priority="106" stopIfTrue="1" operator="greaterThan">
      <formula>$F$35</formula>
    </cfRule>
    <cfRule type="cellIs" dxfId="1136" priority="107" stopIfTrue="1" operator="lessThanOrEqual">
      <formula>0</formula>
    </cfRule>
    <cfRule type="cellIs" dxfId="1135" priority="97" stopIfTrue="1" operator="lessThanOrEqual">
      <formula>0</formula>
    </cfRule>
    <cfRule type="cellIs" dxfId="1134" priority="98" stopIfTrue="1" operator="greaterThan">
      <formula>$F$32</formula>
    </cfRule>
  </conditionalFormatting>
  <conditionalFormatting sqref="H60:H67">
    <cfRule type="cellIs" dxfId="1133" priority="129" stopIfTrue="1" operator="greaterThan">
      <formula>$J60</formula>
    </cfRule>
    <cfRule type="cellIs" dxfId="1132" priority="130" stopIfTrue="1" operator="lessThanOrEqual">
      <formula>0</formula>
    </cfRule>
  </conditionalFormatting>
  <conditionalFormatting sqref="H68">
    <cfRule type="cellIs" dxfId="1131" priority="131" operator="greaterThan">
      <formula>5.3</formula>
    </cfRule>
  </conditionalFormatting>
  <conditionalFormatting sqref="H71 H73:H79">
    <cfRule type="cellIs" dxfId="1130" priority="164" stopIfTrue="1" operator="greaterThan">
      <formula>4.5</formula>
    </cfRule>
    <cfRule type="cellIs" dxfId="1129" priority="165" stopIfTrue="1" operator="lessThanOrEqual">
      <formula>0</formula>
    </cfRule>
  </conditionalFormatting>
  <conditionalFormatting sqref="H51:I51">
    <cfRule type="cellIs" dxfId="1128" priority="15" stopIfTrue="1" operator="lessThanOrEqual">
      <formula>0</formula>
    </cfRule>
    <cfRule type="cellIs" dxfId="1127" priority="12" stopIfTrue="1" operator="greaterThan">
      <formula>$F$69</formula>
    </cfRule>
  </conditionalFormatting>
  <conditionalFormatting sqref="H52:I52">
    <cfRule type="cellIs" dxfId="1126" priority="82" stopIfTrue="1" operator="lessThanOrEqual">
      <formula>0</formula>
    </cfRule>
    <cfRule type="cellIs" dxfId="1125" priority="79" stopIfTrue="1" operator="greaterThan">
      <formula>$F$19</formula>
    </cfRule>
  </conditionalFormatting>
  <conditionalFormatting sqref="H53:I53">
    <cfRule type="cellIs" dxfId="1124" priority="45" stopIfTrue="1" operator="greaterThan">
      <formula>$F$63</formula>
    </cfRule>
    <cfRule type="cellIs" dxfId="1123" priority="48" stopIfTrue="1" operator="lessThanOrEqual">
      <formula>0</formula>
    </cfRule>
  </conditionalFormatting>
  <conditionalFormatting sqref="H54:I55">
    <cfRule type="cellIs" dxfId="1122" priority="68" stopIfTrue="1" operator="lessThanOrEqual">
      <formula>0</formula>
    </cfRule>
    <cfRule type="cellIs" dxfId="1121" priority="65" stopIfTrue="1" operator="greaterThan">
      <formula>#REF!</formula>
    </cfRule>
  </conditionalFormatting>
  <conditionalFormatting sqref="H56:I56">
    <cfRule type="cellIs" dxfId="1120" priority="96" stopIfTrue="1" operator="greaterThan">
      <formula>$F$34</formula>
    </cfRule>
    <cfRule type="cellIs" dxfId="1119" priority="99" stopIfTrue="1" operator="lessThanOrEqual">
      <formula>0</formula>
    </cfRule>
  </conditionalFormatting>
  <conditionalFormatting sqref="H69:I69">
    <cfRule type="cellIs" dxfId="1118" priority="122" stopIfTrue="1" operator="lessThanOrEqual">
      <formula>0</formula>
    </cfRule>
    <cfRule type="cellIs" dxfId="1117" priority="121" stopIfTrue="1" operator="greaterThan">
      <formula>$J69</formula>
    </cfRule>
  </conditionalFormatting>
  <conditionalFormatting sqref="I51">
    <cfRule type="cellIs" dxfId="1116" priority="21" stopIfTrue="1" operator="lessThanOrEqual">
      <formula>0</formula>
    </cfRule>
    <cfRule type="cellIs" dxfId="1115" priority="20" stopIfTrue="1" operator="greaterThan">
      <formula>$F$67</formula>
    </cfRule>
    <cfRule type="cellIs" dxfId="1114" priority="19" stopIfTrue="1" operator="lessThanOrEqual">
      <formula>0</formula>
    </cfRule>
    <cfRule type="cellIs" dxfId="1113" priority="17" stopIfTrue="1" operator="lessThanOrEqual">
      <formula>0</formula>
    </cfRule>
    <cfRule type="cellIs" dxfId="1112" priority="16" stopIfTrue="1" operator="greaterThan">
      <formula>$F$67</formula>
    </cfRule>
    <cfRule type="cellIs" dxfId="1111" priority="18" stopIfTrue="1" operator="greaterThan">
      <formula>$F$69</formula>
    </cfRule>
  </conditionalFormatting>
  <conditionalFormatting sqref="I52">
    <cfRule type="cellIs" dxfId="1110" priority="85" stopIfTrue="1" operator="greaterThan">
      <formula>$F$19</formula>
    </cfRule>
    <cfRule type="cellIs" dxfId="1109" priority="86" stopIfTrue="1" operator="lessThanOrEqual">
      <formula>0</formula>
    </cfRule>
    <cfRule type="cellIs" dxfId="1108" priority="87" stopIfTrue="1" operator="greaterThan">
      <formula>#REF!</formula>
    </cfRule>
    <cfRule type="cellIs" dxfId="1107" priority="88" stopIfTrue="1" operator="lessThanOrEqual">
      <formula>0</formula>
    </cfRule>
    <cfRule type="cellIs" dxfId="1106" priority="83" stopIfTrue="1" operator="greaterThan">
      <formula>#REF!</formula>
    </cfRule>
    <cfRule type="cellIs" dxfId="1105" priority="84" stopIfTrue="1" operator="lessThanOrEqual">
      <formula>0</formula>
    </cfRule>
  </conditionalFormatting>
  <conditionalFormatting sqref="I53">
    <cfRule type="cellIs" dxfId="1104" priority="54" stopIfTrue="1" operator="lessThanOrEqual">
      <formula>0</formula>
    </cfRule>
    <cfRule type="cellIs" dxfId="1103" priority="53" stopIfTrue="1" operator="greaterThan">
      <formula>$F$61</formula>
    </cfRule>
    <cfRule type="cellIs" dxfId="1102" priority="52" stopIfTrue="1" operator="lessThanOrEqual">
      <formula>0</formula>
    </cfRule>
    <cfRule type="cellIs" dxfId="1101" priority="51" stopIfTrue="1" operator="greaterThan">
      <formula>$F$63</formula>
    </cfRule>
    <cfRule type="cellIs" dxfId="1100" priority="50" stopIfTrue="1" operator="lessThanOrEqual">
      <formula>0</formula>
    </cfRule>
    <cfRule type="cellIs" dxfId="1099" priority="49" stopIfTrue="1" operator="greaterThan">
      <formula>$F$61</formula>
    </cfRule>
  </conditionalFormatting>
  <conditionalFormatting sqref="I54:I55">
    <cfRule type="cellIs" dxfId="1098" priority="71" stopIfTrue="1" operator="greaterThan">
      <formula>#REF!</formula>
    </cfRule>
    <cfRule type="cellIs" dxfId="1097" priority="74" stopIfTrue="1" operator="lessThanOrEqual">
      <formula>0</formula>
    </cfRule>
    <cfRule type="cellIs" dxfId="1096" priority="73" stopIfTrue="1" operator="greaterThan">
      <formula>#REF!</formula>
    </cfRule>
    <cfRule type="cellIs" dxfId="1095" priority="72" stopIfTrue="1" operator="lessThanOrEqual">
      <formula>0</formula>
    </cfRule>
    <cfRule type="cellIs" dxfId="1094" priority="70" stopIfTrue="1" operator="lessThanOrEqual">
      <formula>0</formula>
    </cfRule>
    <cfRule type="cellIs" dxfId="1093" priority="69" stopIfTrue="1" operator="greaterThan">
      <formula>#REF!</formula>
    </cfRule>
  </conditionalFormatting>
  <conditionalFormatting sqref="I56">
    <cfRule type="cellIs" dxfId="1092" priority="103" stopIfTrue="1" operator="lessThanOrEqual">
      <formula>0</formula>
    </cfRule>
    <cfRule type="cellIs" dxfId="1091" priority="105" stopIfTrue="1" operator="lessThanOrEqual">
      <formula>0</formula>
    </cfRule>
    <cfRule type="cellIs" dxfId="1090" priority="102" stopIfTrue="1" operator="greaterThan">
      <formula>$F$34</formula>
    </cfRule>
    <cfRule type="cellIs" dxfId="1089" priority="100" stopIfTrue="1" operator="greaterThan">
      <formula>$F$32</formula>
    </cfRule>
    <cfRule type="cellIs" dxfId="1088" priority="101" stopIfTrue="1" operator="lessThanOrEqual">
      <formula>0</formula>
    </cfRule>
    <cfRule type="cellIs" dxfId="1087" priority="104" stopIfTrue="1" operator="greaterThan">
      <formula>$F$32</formula>
    </cfRule>
  </conditionalFormatting>
  <conditionalFormatting sqref="I60:I68">
    <cfRule type="cellIs" dxfId="1086" priority="132" stopIfTrue="1" operator="greaterThan">
      <formula>$J60</formula>
    </cfRule>
    <cfRule type="cellIs" dxfId="1085" priority="133" stopIfTrue="1" operator="lessThanOrEqual">
      <formula>0</formula>
    </cfRule>
  </conditionalFormatting>
  <conditionalFormatting sqref="I71:I79">
    <cfRule type="cellIs" dxfId="1084" priority="160" stopIfTrue="1" operator="greaterThan">
      <formula>4.5</formula>
    </cfRule>
    <cfRule type="cellIs" dxfId="1083" priority="161" stopIfTrue="1" operator="lessThanOrEqual">
      <formula>0</formula>
    </cfRule>
  </conditionalFormatting>
  <conditionalFormatting sqref="I10:J19">
    <cfRule type="cellIs" dxfId="1082" priority="31" operator="lessThan">
      <formula>97.9</formula>
    </cfRule>
  </conditionalFormatting>
  <conditionalFormatting sqref="J22:J24">
    <cfRule type="cellIs" dxfId="1081" priority="111" stopIfTrue="1" operator="lessThan">
      <formula>96.8</formula>
    </cfRule>
    <cfRule type="cellIs" dxfId="1080" priority="112" stopIfTrue="1" operator="greaterThan">
      <formula>100</formula>
    </cfRule>
    <cfRule type="cellIs" dxfId="1079" priority="113" operator="lessThan">
      <formula>98</formula>
    </cfRule>
  </conditionalFormatting>
  <conditionalFormatting sqref="J22:J26">
    <cfRule type="cellIs" dxfId="1078" priority="110" operator="lessThan">
      <formula>97.4</formula>
    </cfRule>
  </conditionalFormatting>
  <conditionalFormatting sqref="J27">
    <cfRule type="cellIs" dxfId="1077" priority="114" operator="lessThan">
      <formula>98</formula>
    </cfRule>
  </conditionalFormatting>
  <conditionalFormatting sqref="J29:J30">
    <cfRule type="cellIs" dxfId="1076" priority="115" stopIfTrue="1" operator="lessThan">
      <formula>96.8</formula>
    </cfRule>
    <cfRule type="cellIs" dxfId="1075" priority="116" stopIfTrue="1" operator="greaterThan">
      <formula>100</formula>
    </cfRule>
  </conditionalFormatting>
  <conditionalFormatting sqref="J29:J31">
    <cfRule type="cellIs" dxfId="1074" priority="117" operator="lessThan">
      <formula>98</formula>
    </cfRule>
  </conditionalFormatting>
  <conditionalFormatting sqref="J69">
    <cfRule type="cellIs" dxfId="1073" priority="118" stopIfTrue="1" operator="greaterThan">
      <formula>$F69</formula>
    </cfRule>
    <cfRule type="cellIs" dxfId="1072" priority="119" stopIfTrue="1" operator="lessThanOrEqual">
      <formula>0</formula>
    </cfRule>
  </conditionalFormatting>
  <conditionalFormatting sqref="K10:K19">
    <cfRule type="cellIs" dxfId="1071" priority="32" operator="greaterThan">
      <formula>6</formula>
    </cfRule>
    <cfRule type="cellIs" dxfId="1070" priority="34" operator="greaterThan">
      <formula>6.4</formula>
    </cfRule>
    <cfRule type="cellIs" dxfId="1069" priority="33" operator="lessThan">
      <formula>4</formula>
    </cfRule>
  </conditionalFormatting>
  <conditionalFormatting sqref="K51:K56 K60:N66 K67 M67:N67 K68:N68">
    <cfRule type="cellIs" dxfId="1068" priority="95" stopIfTrue="1" operator="lessThan">
      <formula>100%</formula>
    </cfRule>
  </conditionalFormatting>
  <conditionalFormatting sqref="K71:K76">
    <cfRule type="cellIs" dxfId="1067" priority="166" stopIfTrue="1" operator="lessThan">
      <formula>100%</formula>
    </cfRule>
  </conditionalFormatting>
  <conditionalFormatting sqref="K78:K79">
    <cfRule type="cellIs" dxfId="1066" priority="173" stopIfTrue="1" operator="lessThan">
      <formula>100%</formula>
    </cfRule>
  </conditionalFormatting>
  <conditionalFormatting sqref="L10:L17 L18:M18 L19">
    <cfRule type="cellIs" dxfId="1065" priority="60" operator="greaterThan">
      <formula>65</formula>
    </cfRule>
  </conditionalFormatting>
  <conditionalFormatting sqref="L18:M18 L10:L17 L19">
    <cfRule type="cellIs" dxfId="1064" priority="59" operator="between">
      <formula>61</formula>
      <formula>65</formula>
    </cfRule>
  </conditionalFormatting>
  <conditionalFormatting sqref="L22:M33">
    <cfRule type="cellIs" dxfId="1063" priority="61" operator="lessThan">
      <formula>97.95</formula>
    </cfRule>
  </conditionalFormatting>
  <conditionalFormatting sqref="L37:N37">
    <cfRule type="cellIs" dxfId="1062" priority="62" operator="notEqual">
      <formula>#REF!</formula>
    </cfRule>
  </conditionalFormatting>
  <conditionalFormatting sqref="L69:N69">
    <cfRule type="cellIs" dxfId="1061" priority="120" stopIfTrue="1" operator="lessThan">
      <formula>100%</formula>
    </cfRule>
  </conditionalFormatting>
  <conditionalFormatting sqref="L71:N79">
    <cfRule type="cellIs" dxfId="1060" priority="151" stopIfTrue="1" operator="lessThan">
      <formula>100%</formula>
    </cfRule>
  </conditionalFormatting>
  <conditionalFormatting sqref="M10:M17">
    <cfRule type="expression" dxfId="1059" priority="9">
      <formula>IF(+(IF(M10&lt;U10,0,IF(M10&gt;V10,0,1)))=0,1)</formula>
    </cfRule>
  </conditionalFormatting>
  <conditionalFormatting sqref="M19:N19">
    <cfRule type="expression" dxfId="1058" priority="181">
      <formula>IF(+(IF(M19&lt;#REF!,0,IF(M19&gt;#REF!,0,1)))=0,1)</formula>
    </cfRule>
  </conditionalFormatting>
  <conditionalFormatting sqref="N10:N18">
    <cfRule type="expression" dxfId="1057" priority="30">
      <formula>IF(+(IF(N10&lt;W10,0,IF(N10&gt;X10,0,1)))=0,1)</formula>
    </cfRule>
  </conditionalFormatting>
  <conditionalFormatting sqref="P6">
    <cfRule type="cellIs" dxfId="1056" priority="147" operator="greaterThanOrEqual">
      <formula>19</formula>
    </cfRule>
  </conditionalFormatting>
  <dataValidations count="1">
    <dataValidation type="list" allowBlank="1" showInputMessage="1" showErrorMessage="1" sqref="R8" xr:uid="{944C9D87-398F-411F-BA48-6C822BAC09E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F968-8BA2-4F6C-88AF-0956F86155D3}">
  <sheetPr>
    <pageSetUpPr fitToPage="1"/>
  </sheetPr>
  <dimension ref="A1:BE81"/>
  <sheetViews>
    <sheetView zoomScale="80" zoomScaleNormal="80" workbookViewId="0">
      <selection activeCell="G70" sqref="G7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45957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[22]Brewhouse!$A880</f>
        <v>CA766</v>
      </c>
      <c r="D10" s="279">
        <f>[22]Brewhouse!$AF880</f>
        <v>50.7</v>
      </c>
      <c r="E10" s="279">
        <f>[22]Brewhouse!$AI880</f>
        <v>49.6</v>
      </c>
      <c r="F10" s="278">
        <f>[22]Brewhouse!$V880</f>
        <v>51</v>
      </c>
      <c r="G10" s="279">
        <f>[22]Brewhouse!AG880</f>
        <v>11.8</v>
      </c>
      <c r="H10" s="396">
        <v>11.8</v>
      </c>
      <c r="I10" s="368">
        <f>[22]Brewhouse!$AU880</f>
        <v>97.181669348325045</v>
      </c>
      <c r="J10" s="368">
        <f>[22]Brewhouse!$AV880</f>
        <v>97.06110301415778</v>
      </c>
      <c r="K10" s="281">
        <f>[22]Brewhouse!$Q880</f>
        <v>5.8757062146892611</v>
      </c>
      <c r="L10" s="276">
        <f>[22]Brewhouse!$P880</f>
        <v>59</v>
      </c>
      <c r="M10" s="397">
        <f>[22]Brewhouse!$U880-[22]Brewhouse!$T880</f>
        <v>0.10069444444444442</v>
      </c>
      <c r="N10" s="370">
        <f>[22]Brewhouse!$Z880</f>
        <v>0.24374999999999999</v>
      </c>
      <c r="O10" s="421" t="str">
        <f>[22]Brewhouse!$AX880</f>
        <v>R.Sookram</v>
      </c>
      <c r="P10" s="418"/>
      <c r="R10" s="277" t="str">
        <f t="shared" ref="R10:R23" si="0">B10</f>
        <v>CARIB</v>
      </c>
      <c r="S10" s="296">
        <f t="shared" ref="S10:S23" si="1">VLOOKUP($B10,$R$3:$X$9,2,FALSE)</f>
        <v>11.6</v>
      </c>
      <c r="T10" s="296">
        <f t="shared" ref="T10:T23" si="2">VLOOKUP($B10,$R$3:$X$9,3,FALSE)</f>
        <v>12</v>
      </c>
      <c r="U10" s="297">
        <f t="shared" ref="U10:U23" si="3">VLOOKUP($B10,$R$3:$X$9,4,FALSE)</f>
        <v>0</v>
      </c>
      <c r="V10" s="297">
        <f t="shared" ref="V10:V23" si="4">VLOOKUP($B10,$R$3:$X$9,5,FALSE)</f>
        <v>0.118055555555556</v>
      </c>
      <c r="W10" s="297">
        <f t="shared" ref="W10:W23" si="5">VLOOKUP($B10,$R$3:$X$9,6,FALSE)</f>
        <v>0.22569444444444445</v>
      </c>
      <c r="X10" s="297">
        <f t="shared" ref="X10:X23" si="6">VLOOKUP($B10,$R$3:$X$9,7,FALSE)</f>
        <v>0.2638888888888889</v>
      </c>
      <c r="Y10" s="297">
        <f t="shared" ref="Y10:Y23" si="7">VLOOKUP($B10,$R$3:$Z$9,8,FALSE)</f>
        <v>0</v>
      </c>
      <c r="Z10" s="296">
        <f t="shared" ref="Z10:Z23" si="8">VLOOKUP($B10,$R$3:$Z$9,9,FALSE)</f>
        <v>60</v>
      </c>
    </row>
    <row r="11" spans="2:29" ht="15" customHeight="1">
      <c r="B11" s="29" t="s">
        <v>6</v>
      </c>
      <c r="C11" s="366" t="str">
        <f>[22]Brewhouse!$A881</f>
        <v>CA767</v>
      </c>
      <c r="D11" s="279">
        <f>[22]Brewhouse!$AF881</f>
        <v>52.2</v>
      </c>
      <c r="E11" s="279">
        <f>[22]Brewhouse!$AI881</f>
        <v>51.8</v>
      </c>
      <c r="F11" s="278">
        <f>[22]Brewhouse!$V881</f>
        <v>63</v>
      </c>
      <c r="G11" s="279">
        <f>[22]Brewhouse!AG881</f>
        <v>11.5</v>
      </c>
      <c r="H11" s="396">
        <v>11.8</v>
      </c>
      <c r="I11" s="368">
        <f>[22]Brewhouse!$AU881</f>
        <v>98.778013037266177</v>
      </c>
      <c r="J11" s="368">
        <f>[22]Brewhouse!$AV881</f>
        <v>98.655466233860849</v>
      </c>
      <c r="K11" s="281">
        <f>[22]Brewhouse!$Q881</f>
        <v>5.4990583804143158</v>
      </c>
      <c r="L11" s="276">
        <f>[22]Brewhouse!$P881</f>
        <v>59</v>
      </c>
      <c r="M11" s="397">
        <f>[22]Brewhouse!$U881-[22]Brewhouse!$T881</f>
        <v>0.11875000000000002</v>
      </c>
      <c r="N11" s="370">
        <f>[22]Brewhouse!$Z881</f>
        <v>0.27361111111111114</v>
      </c>
      <c r="O11" s="421" t="str">
        <f>[22]Brewhouse!$AX881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>
      <c r="B12" s="29" t="s">
        <v>6</v>
      </c>
      <c r="C12" s="366" t="str">
        <f>[22]Brewhouse!$A882</f>
        <v>CA768</v>
      </c>
      <c r="D12" s="279">
        <f>[22]Brewhouse!$AF882</f>
        <v>9.5</v>
      </c>
      <c r="E12" s="279">
        <f>[22]Brewhouse!$AI882</f>
        <v>50.1</v>
      </c>
      <c r="F12" s="278">
        <f>[22]Brewhouse!$V882</f>
        <v>70</v>
      </c>
      <c r="G12" s="279">
        <f>[22]Brewhouse!AG882</f>
        <v>11.8</v>
      </c>
      <c r="H12" s="396">
        <v>11.8</v>
      </c>
      <c r="I12" s="368">
        <f>[22]Brewhouse!$AU882</f>
        <v>98.040841308194189</v>
      </c>
      <c r="J12" s="368">
        <f>[22]Brewhouse!$AV882</f>
        <v>97.919199353767567</v>
      </c>
      <c r="K12" s="281">
        <f>[22]Brewhouse!$Q882</f>
        <v>7.9622641509433949</v>
      </c>
      <c r="L12" s="276">
        <f>[22]Brewhouse!$P882</f>
        <v>60</v>
      </c>
      <c r="M12" s="397">
        <f>[22]Brewhouse!$U882-[22]Brewhouse!$T882</f>
        <v>0.11874999999999997</v>
      </c>
      <c r="N12" s="370">
        <f>[22]Brewhouse!$Z882</f>
        <v>0.28749999999999998</v>
      </c>
      <c r="O12" s="421" t="str">
        <f>[22]Brewhouse!$AX882</f>
        <v>K.Benjamin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[22]Brewhouse!$A883</f>
        <v>CA769</v>
      </c>
      <c r="D13" s="279">
        <f>[22]Brewhouse!$AF883</f>
        <v>51.1</v>
      </c>
      <c r="E13" s="279">
        <f>[22]Brewhouse!$AI883</f>
        <v>51.6</v>
      </c>
      <c r="F13" s="278">
        <f>[22]Brewhouse!$V883</f>
        <v>57</v>
      </c>
      <c r="G13" s="279">
        <f>[22]Brewhouse!AG883</f>
        <v>11.6</v>
      </c>
      <c r="H13" s="396">
        <v>11.8</v>
      </c>
      <c r="I13" s="368">
        <f>[22]Brewhouse!$AU883</f>
        <v>99.175971925539798</v>
      </c>
      <c r="J13" s="368">
        <f>[22]Brewhouse!$AV883</f>
        <v>99.052921583496527</v>
      </c>
      <c r="K13" s="281">
        <f>[22]Brewhouse!$Q883</f>
        <v>4.9433962264150892</v>
      </c>
      <c r="L13" s="276">
        <f>[22]Brewhouse!$P883</f>
        <v>60</v>
      </c>
      <c r="M13" s="397">
        <f>[22]Brewhouse!$U883-[22]Brewhouse!$T883</f>
        <v>0.12083333333333335</v>
      </c>
      <c r="N13" s="370">
        <f>[22]Brewhouse!$Z883</f>
        <v>0.25694444444444448</v>
      </c>
      <c r="O13" s="421" t="str">
        <f>[22]Brewhouse!$AX883</f>
        <v>K.Benjamin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[22]Brewhouse!$A884</f>
        <v>CA770</v>
      </c>
      <c r="D14" s="279">
        <f>[22]Brewhouse!$AF884</f>
        <v>53.5</v>
      </c>
      <c r="E14" s="279">
        <f>[22]Brewhouse!$AI884</f>
        <v>52</v>
      </c>
      <c r="F14" s="278">
        <f>[22]Brewhouse!$V884</f>
        <v>62</v>
      </c>
      <c r="G14" s="279">
        <f>[22]Brewhouse!AG884</f>
        <v>11.6</v>
      </c>
      <c r="H14" s="396">
        <v>11.7</v>
      </c>
      <c r="I14" s="368">
        <f>[22]Brewhouse!$AU884</f>
        <v>99.944777909458722</v>
      </c>
      <c r="J14" s="368">
        <f>[22]Brewhouse!$AV884</f>
        <v>99.820773688794972</v>
      </c>
      <c r="K14" s="281">
        <f>[22]Brewhouse!$Q884</f>
        <v>0.41509433962263936</v>
      </c>
      <c r="L14" s="276">
        <f>[22]Brewhouse!$P884</f>
        <v>61</v>
      </c>
      <c r="M14" s="397">
        <f>[22]Brewhouse!$U884-[22]Brewhouse!$T884</f>
        <v>0.11319444444444438</v>
      </c>
      <c r="N14" s="370">
        <f>[22]Brewhouse!$Z884</f>
        <v>0.24930555555555556</v>
      </c>
      <c r="O14" s="421" t="str">
        <f>[22]Brewhouse!$AX884</f>
        <v>K.Benjamin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[22]Brewhouse!$A885</f>
        <v>CA771</v>
      </c>
      <c r="D15" s="279">
        <f>[22]Brewhouse!$AF885</f>
        <v>52.1</v>
      </c>
      <c r="E15" s="279">
        <f>[22]Brewhouse!$AI885</f>
        <v>50.9</v>
      </c>
      <c r="F15" s="278">
        <f>[22]Brewhouse!$V885</f>
        <v>71</v>
      </c>
      <c r="G15" s="279">
        <f>[22]Brewhouse!AG885</f>
        <v>11.7</v>
      </c>
      <c r="H15" s="396">
        <v>11.7</v>
      </c>
      <c r="I15" s="368">
        <f>[22]Brewhouse!$AU885</f>
        <v>97.285577559209841</v>
      </c>
      <c r="J15" s="368">
        <f>[22]Brewhouse!$AV885</f>
        <v>97.164758910237524</v>
      </c>
      <c r="K15" s="281">
        <f>[22]Brewhouse!$Q885</f>
        <v>3.2391713747645925</v>
      </c>
      <c r="L15" s="276">
        <f>[22]Brewhouse!$P885</f>
        <v>60</v>
      </c>
      <c r="M15" s="397">
        <f>[22]Brewhouse!$U885-[22]Brewhouse!$T885</f>
        <v>0.11249999999999993</v>
      </c>
      <c r="N15" s="370">
        <f>[22]Brewhouse!$Z885</f>
        <v>0.26111111111111107</v>
      </c>
      <c r="O15" s="421" t="str">
        <f>[22]Brewhouse!$AX885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[22]Brewhouse!$A886</f>
        <v>CA772</v>
      </c>
      <c r="D16" s="279">
        <f>[22]Brewhouse!$AF886</f>
        <v>52.6</v>
      </c>
      <c r="E16" s="279">
        <f>[22]Brewhouse!$AI886</f>
        <v>51.2</v>
      </c>
      <c r="F16" s="278">
        <f>[22]Brewhouse!$V886</f>
        <v>72</v>
      </c>
      <c r="G16" s="279">
        <f>[22]Brewhouse!AG886</f>
        <v>11.8</v>
      </c>
      <c r="H16" s="396">
        <v>11.8</v>
      </c>
      <c r="I16" s="368">
        <f>[22]Brewhouse!$AU886</f>
        <v>100.07060923191156</v>
      </c>
      <c r="J16" s="368">
        <f>[22]Brewhouse!$AV886</f>
        <v>99.94643900503938</v>
      </c>
      <c r="K16" s="281">
        <f>[22]Brewhouse!$Q886</f>
        <v>2.2975517890772106</v>
      </c>
      <c r="L16" s="276">
        <f>[22]Brewhouse!$P886</f>
        <v>60</v>
      </c>
      <c r="M16" s="397">
        <f>[22]Brewhouse!$U886-[22]Brewhouse!$T886</f>
        <v>0.11458333333333326</v>
      </c>
      <c r="N16" s="370">
        <f>[22]Brewhouse!$Z886</f>
        <v>0.27083333333333326</v>
      </c>
      <c r="O16" s="421" t="str">
        <f>[22]Brewhouse!$AX886</f>
        <v>R. Regis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29" t="s">
        <v>6</v>
      </c>
      <c r="C17" s="366" t="str">
        <f>[22]Brewhouse!$A887</f>
        <v>CA773</v>
      </c>
      <c r="D17" s="279">
        <f>[22]Brewhouse!$AF887</f>
        <v>52.5</v>
      </c>
      <c r="E17" s="279">
        <f>[22]Brewhouse!$AI887</f>
        <v>51</v>
      </c>
      <c r="F17" s="278">
        <f>[22]Brewhouse!$V887</f>
        <v>91</v>
      </c>
      <c r="G17" s="279">
        <f>[22]Brewhouse!AG887</f>
        <v>11.7</v>
      </c>
      <c r="H17" s="396">
        <v>11.7</v>
      </c>
      <c r="I17" s="368">
        <f>[22]Brewhouse!$AU887</f>
        <v>98.912408487983441</v>
      </c>
      <c r="J17" s="368">
        <f>[22]Brewhouse!$AV887</f>
        <v>98.789685156308849</v>
      </c>
      <c r="K17" s="281">
        <f>[22]Brewhouse!$Q887</f>
        <v>2.4858757062146899</v>
      </c>
      <c r="L17" s="276">
        <f>[22]Brewhouse!$P887</f>
        <v>61</v>
      </c>
      <c r="M17" s="397">
        <f>[22]Brewhouse!$U887-[22]Brewhouse!$T887</f>
        <v>0.12847222222222221</v>
      </c>
      <c r="N17" s="370">
        <f>[22]Brewhouse!$Z887</f>
        <v>0.26666666666666672</v>
      </c>
      <c r="O17" s="421" t="str">
        <f>[22]Brewhouse!$AX887</f>
        <v>R. Regis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29" t="s">
        <v>6</v>
      </c>
      <c r="C18" s="366" t="str">
        <f>[22]Brewhouse!$A888</f>
        <v>CA774</v>
      </c>
      <c r="D18" s="279">
        <f>[22]Brewhouse!$AF888</f>
        <v>52.5</v>
      </c>
      <c r="E18" s="279">
        <f>[22]Brewhouse!$AI888</f>
        <v>51.5</v>
      </c>
      <c r="F18" s="278">
        <f>[22]Brewhouse!$V888</f>
        <v>80</v>
      </c>
      <c r="G18" s="279">
        <f>[22]Brewhouse!AG888</f>
        <v>11.7</v>
      </c>
      <c r="H18" s="396">
        <v>11.7</v>
      </c>
      <c r="I18" s="368">
        <f>[22]Brewhouse!$AU888</f>
        <v>110.7377850756895</v>
      </c>
      <c r="J18" s="368">
        <f>[22]Brewhouse!$AV888</f>
        <v>111.22666540159642</v>
      </c>
      <c r="K18" s="281">
        <f>[22]Brewhouse!$Q888</f>
        <v>-3.0142566191445961</v>
      </c>
      <c r="L18" s="276">
        <f>[22]Brewhouse!$P888</f>
        <v>57</v>
      </c>
      <c r="M18" s="397">
        <f>[22]Brewhouse!$U888-[22]Brewhouse!$T888</f>
        <v>0.13402777777777786</v>
      </c>
      <c r="N18" s="370">
        <f>[22]Brewhouse!$Z888</f>
        <v>0.27430555555555569</v>
      </c>
      <c r="O18" s="421" t="str">
        <f>[22]Brewhouse!$AX888</f>
        <v>R.Sookram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ref="R24:R40" si="9">B24</f>
        <v>0</v>
      </c>
      <c r="S24" s="296" t="e">
        <f t="shared" ref="S24:S40" si="10">VLOOKUP($B24,$R$3:$X$9,2,FALSE)</f>
        <v>#N/A</v>
      </c>
      <c r="T24" s="296" t="e">
        <f t="shared" ref="T24:T40" si="11">VLOOKUP($B24,$R$3:$X$9,3,FALSE)</f>
        <v>#N/A</v>
      </c>
      <c r="U24" s="297" t="e">
        <f t="shared" ref="U24:U40" si="12">VLOOKUP($B24,$R$3:$X$9,4,FALSE)</f>
        <v>#N/A</v>
      </c>
      <c r="V24" s="297" t="e">
        <f t="shared" ref="V24:V40" si="13">VLOOKUP($B24,$R$3:$X$9,5,FALSE)</f>
        <v>#N/A</v>
      </c>
      <c r="W24" s="297" t="e">
        <f t="shared" ref="W24:W40" si="14">VLOOKUP($B24,$R$3:$X$9,6,FALSE)</f>
        <v>#N/A</v>
      </c>
      <c r="X24" s="297" t="e">
        <f t="shared" ref="X24:X40" si="15">VLOOKUP($B24,$R$3:$X$9,7,FALSE)</f>
        <v>#N/A</v>
      </c>
      <c r="Y24" s="297" t="e">
        <f t="shared" ref="Y24:Y40" si="16">VLOOKUP($B24,$R$3:$Z$9,8,FALSE)</f>
        <v>#N/A</v>
      </c>
      <c r="Z24" s="296" t="e">
        <f t="shared" ref="Z24:Z40" si="17">VLOOKUP($B24,$R$3:$Z$9,9,FALSE)</f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1"/>
      <c r="P25" s="418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1"/>
      <c r="J27" s="511"/>
      <c r="K27" s="511"/>
      <c r="L27" s="511"/>
      <c r="M27" s="511"/>
      <c r="N27" s="511"/>
      <c r="O27" s="1"/>
      <c r="P27" s="12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5.75" thickBot="1">
      <c r="B28" s="388" t="s">
        <v>162</v>
      </c>
      <c r="C28" s="388"/>
      <c r="D28" s="489" t="s">
        <v>35</v>
      </c>
      <c r="E28" s="490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5" customHeight="1">
      <c r="A29" s="28"/>
      <c r="B29" s="580" t="str">
        <f>I31</f>
        <v>GUINNESS</v>
      </c>
      <c r="C29" s="362" cm="1">
        <f t="array" ref="C29:C36">[24]Process!$D$111:$D$118</f>
        <v>17.5</v>
      </c>
      <c r="D29" s="515">
        <v>17.329999999999998</v>
      </c>
      <c r="E29" s="516"/>
      <c r="F29" s="294"/>
      <c r="G29" s="294"/>
      <c r="H29" s="348"/>
      <c r="I29" s="29" t="s">
        <v>6</v>
      </c>
      <c r="J29" s="280"/>
      <c r="K29" s="284">
        <f>COUNTA([22]Brewhouse!$A$823:$A$862,[23]Brewhouse!$A$420:$A$423,[22]Brewhouse!$A$867:$A$879)</f>
        <v>57</v>
      </c>
      <c r="L29" s="305">
        <f>AVERAGE([22]Brewhouse!$AU$823:$AU$862,[23]Brewhouse!$AS$420:$AS$423,[22]Brewhouse!$AU$867:$AU$879)</f>
        <v>97.571709176855592</v>
      </c>
      <c r="M2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$879)</f>
        <v>97.695982540774935</v>
      </c>
      <c r="N29" s="30">
        <v>98</v>
      </c>
      <c r="O29" s="11"/>
      <c r="P29" s="31"/>
      <c r="R29" s="277" t="str">
        <f t="shared" si="9"/>
        <v>GUINNESS</v>
      </c>
      <c r="S29" s="296">
        <f t="shared" si="10"/>
        <v>17</v>
      </c>
      <c r="T29" s="296">
        <f t="shared" si="11"/>
        <v>17.5</v>
      </c>
      <c r="U29" s="297">
        <f t="shared" si="12"/>
        <v>0</v>
      </c>
      <c r="V29" s="297">
        <f t="shared" si="13"/>
        <v>0.1076388888888889</v>
      </c>
      <c r="W29" s="297">
        <f t="shared" si="14"/>
        <v>0.24652777777777779</v>
      </c>
      <c r="X29" s="297">
        <f t="shared" si="15"/>
        <v>0.28472222222222221</v>
      </c>
      <c r="Y29" s="297">
        <f t="shared" si="16"/>
        <v>0</v>
      </c>
      <c r="Z29" s="296">
        <f t="shared" si="17"/>
        <v>60</v>
      </c>
    </row>
    <row r="30" spans="1:26" ht="15" customHeight="1">
      <c r="A30" s="28"/>
      <c r="B30" s="581"/>
      <c r="C30" s="362">
        <v>17.100000000000001</v>
      </c>
      <c r="D30" s="517"/>
      <c r="E30" s="518"/>
      <c r="F30" s="294"/>
      <c r="G30" s="294"/>
      <c r="H30" s="348"/>
      <c r="I30" s="33" t="s">
        <v>9</v>
      </c>
      <c r="J30" s="280"/>
      <c r="K30" s="284">
        <f>COUNTA([23]Brewhouse!$A$399:$A$435)</f>
        <v>37</v>
      </c>
      <c r="L30" s="302">
        <f>AVERAGE([23]Brewhouse!$AS$399:$AS$435)</f>
        <v>97.535175966305019</v>
      </c>
      <c r="M30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$435)</f>
        <v>97.954933994428416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6" ht="14.65" customHeight="1">
      <c r="A31" s="28"/>
      <c r="B31" s="581"/>
      <c r="C31" s="362">
        <v>17.2</v>
      </c>
      <c r="D31" s="564">
        <v>17.440000000000001</v>
      </c>
      <c r="E31" s="565"/>
      <c r="F31" s="294"/>
      <c r="G31" s="294"/>
      <c r="H31" s="348"/>
      <c r="I31" s="34" t="s">
        <v>12</v>
      </c>
      <c r="J31" s="280">
        <f>AVERAGE(I10:I18)</f>
        <v>100.01418376484204</v>
      </c>
      <c r="K31" s="284">
        <f>COUNTA([24]Brewhouse!$A$99:$A$106)</f>
        <v>8</v>
      </c>
      <c r="L31" s="302">
        <f>AVERAGE([24]Brewhouse!$AU$99:$AU$106)</f>
        <v>94.823749681896615</v>
      </c>
      <c r="M31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4.65" customHeight="1">
      <c r="A32" s="28"/>
      <c r="B32" s="581"/>
      <c r="C32" s="362">
        <v>17.100000000000001</v>
      </c>
      <c r="D32" s="530"/>
      <c r="E32" s="518"/>
      <c r="F32" s="294"/>
      <c r="G32" s="294"/>
      <c r="H32" s="348"/>
      <c r="I32" s="22" t="s">
        <v>33</v>
      </c>
      <c r="J32" s="280"/>
      <c r="K32" s="284">
        <f>COUNTA([25]Brewhouse!$A$88:$A$95)</f>
        <v>8</v>
      </c>
      <c r="L32" s="302">
        <f>AVERAGE([25]Brewhouse!$AV$88:$AV$95)</f>
        <v>97.908624430386354</v>
      </c>
      <c r="M32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56" ht="14.65" customHeight="1">
      <c r="A33" s="28"/>
      <c r="B33" s="581"/>
      <c r="C33" s="362">
        <v>17.2</v>
      </c>
      <c r="D33" s="564">
        <v>17.29</v>
      </c>
      <c r="E33" s="565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56" ht="14.65" customHeight="1">
      <c r="A34" s="28"/>
      <c r="B34" s="581"/>
      <c r="C34" s="362">
        <v>17.100000000000001</v>
      </c>
      <c r="D34" s="530"/>
      <c r="E34" s="518"/>
      <c r="F34" s="417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AVERAGE([26]Brewhouse!$AT$4:$AT$11,[26]Brewhouse!$AT$13:$AT$16,[26]Brewhouse!$AT$18:$AT$21,[26]Brewhouse!$AT$26,[26]Brewhouse!$AT$28:$AT$35)</f>
        <v>94.794664331624134</v>
      </c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  <c r="AA34" s="296"/>
    </row>
    <row r="35" spans="1:56" ht="14.65" customHeight="1">
      <c r="A35" s="28"/>
      <c r="B35" s="581"/>
      <c r="C35" s="362">
        <v>17.3</v>
      </c>
      <c r="D35" s="564">
        <v>17.52</v>
      </c>
      <c r="E35" s="565"/>
      <c r="F35" s="417"/>
      <c r="G35" s="294"/>
      <c r="H35" s="348"/>
      <c r="I35" s="37" t="s">
        <v>16</v>
      </c>
      <c r="J35" s="323"/>
      <c r="K35" s="284"/>
      <c r="L35" s="302"/>
      <c r="M35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5" s="30">
        <v>98</v>
      </c>
      <c r="O35" s="11"/>
      <c r="P35" s="31" t="s">
        <v>41</v>
      </c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4.65" customHeight="1">
      <c r="A36" s="28"/>
      <c r="B36" s="581"/>
      <c r="C36" s="362">
        <v>17.2</v>
      </c>
      <c r="D36" s="530"/>
      <c r="E36" s="518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AVERAGE([28]Brewhouse!$AU$5:$AU$8,[28]Brewhouse!$AU$10:$AU$13,[27]Brewhouse!$AY$75:$AY$77)</f>
        <v>94.749192473706671</v>
      </c>
      <c r="N36" s="30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4.65" customHeight="1">
      <c r="A37" s="28"/>
      <c r="B37" s="581"/>
      <c r="C37" s="349"/>
      <c r="D37" s="564"/>
      <c r="E37" s="565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  <c r="AA37" s="296"/>
    </row>
    <row r="38" spans="1:56" ht="15" customHeight="1" thickBot="1">
      <c r="A38" s="28"/>
      <c r="B38" s="581"/>
      <c r="C38" s="349"/>
      <c r="D38" s="530"/>
      <c r="E38" s="518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AA38" s="296"/>
    </row>
    <row r="39" spans="1:56" ht="15" customHeight="1" thickBot="1">
      <c r="A39" s="28"/>
      <c r="B39" s="581"/>
      <c r="C39" s="349"/>
      <c r="D39" s="515"/>
      <c r="E39" s="516"/>
      <c r="F39" s="294"/>
      <c r="G39" s="294"/>
      <c r="H39" s="348"/>
      <c r="I39" s="1"/>
      <c r="J39" s="39"/>
      <c r="K39" s="404">
        <f>SUM(K29:K38)</f>
        <v>110</v>
      </c>
      <c r="L39" s="405">
        <f>((L29*K29)+(L30*K30)+(L31*K31)+(L32*K32)+(L33*K33)+(K36*L36)+(L34*K34)+(L35*K35)+(L38*K38))/(K39)</f>
        <v>97.384072061202886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97.556357445802092</v>
      </c>
      <c r="N39" s="40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AA39" s="296"/>
    </row>
    <row r="40" spans="1:56" ht="15.75" thickBot="1">
      <c r="B40" s="582"/>
      <c r="C40" s="350"/>
      <c r="D40" s="517"/>
      <c r="E40" s="518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AA40" s="296"/>
    </row>
    <row r="41" spans="1:56" ht="15.75" thickBot="1">
      <c r="B41" s="512"/>
      <c r="C41" s="362"/>
      <c r="D41" s="528"/>
      <c r="E41" s="529"/>
      <c r="F41" s="294"/>
      <c r="G41" s="42"/>
      <c r="H41" s="41"/>
      <c r="I41" s="42"/>
      <c r="J41" s="563" t="s">
        <v>129</v>
      </c>
      <c r="K41" s="563"/>
      <c r="L41" s="294"/>
      <c r="M41" s="294"/>
      <c r="N41" s="294"/>
      <c r="O41" s="294"/>
      <c r="P41" s="12"/>
    </row>
    <row r="42" spans="1:56" ht="15.75" thickBot="1">
      <c r="B42" s="513"/>
      <c r="C42" s="362"/>
      <c r="D42" s="530"/>
      <c r="E42" s="518"/>
      <c r="F42" s="294"/>
      <c r="G42" s="42"/>
      <c r="H42" s="41"/>
      <c r="I42" s="42"/>
      <c r="J42" s="292" t="s">
        <v>17</v>
      </c>
      <c r="K42" s="293" t="s">
        <v>147</v>
      </c>
      <c r="L42" s="532" t="s">
        <v>136</v>
      </c>
      <c r="M42" s="532"/>
      <c r="N42" s="533"/>
      <c r="O42" s="294"/>
      <c r="P42" s="12"/>
    </row>
    <row r="43" spans="1:56" ht="15" customHeight="1" thickBot="1">
      <c r="B43" s="513"/>
      <c r="C43" s="349"/>
      <c r="D43" s="564"/>
      <c r="E43" s="565"/>
      <c r="F43" s="294"/>
      <c r="G43" s="42"/>
      <c r="H43" s="41"/>
      <c r="I43" s="42"/>
      <c r="J43" s="287" t="s">
        <v>6</v>
      </c>
      <c r="K43" s="324">
        <v>9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13"/>
      <c r="C44" s="349"/>
      <c r="D44" s="530"/>
      <c r="E44" s="518"/>
      <c r="F44" s="294"/>
      <c r="G44" s="42"/>
      <c r="H44" s="41"/>
      <c r="I44" s="42"/>
      <c r="J44" s="345" t="s">
        <v>9</v>
      </c>
      <c r="L44" s="344">
        <f>AVERAGE('Oct. 1st'!K49,,'Oct. 2nd'!K51,'Oct. 3rd'!K46,'Oct. 6th'!K54,Oct.7th!K50,Oct.8th!K48,Oct.9th!K49,Oct.13th!K47,Oct.15th!K50,Oct.16th!K50,Oct.17th!K46,Oct.21st!K50,Oct.22nd!K48,Oct.23rd!K46,Oct.24th!K53)</f>
        <v>7.1875</v>
      </c>
      <c r="M44" s="325">
        <f>AVERAGE('[31]Jan 29th '!$M$70,'[32]Feb 28th'!$L$40,'[33]Mar. 31st'!$L$40,'[34]Apr. 30th'!$L$50,'[35]May 30th'!$L$42,'[36]June 30th'!$L$62,'[37]July 29th '!$L$49,'[38]Aug 29th'!$L$34,'[39]Sept 30th'!$L$40,L44)</f>
        <v>7.0248777776380749</v>
      </c>
      <c r="N44" s="416">
        <v>9.1999999999999993</v>
      </c>
      <c r="O44" s="294"/>
      <c r="P44" s="12"/>
    </row>
    <row r="45" spans="1:56" ht="15" customHeight="1">
      <c r="B45" s="513"/>
      <c r="C45" s="349"/>
      <c r="D45" s="564"/>
      <c r="E45" s="565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13"/>
      <c r="C46" s="349"/>
      <c r="D46" s="530"/>
      <c r="E46" s="518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13"/>
      <c r="C47" s="349"/>
      <c r="D47" s="564"/>
      <c r="E47" s="565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3"/>
      <c r="C48" s="349"/>
      <c r="D48" s="530"/>
      <c r="E48" s="518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3"/>
      <c r="C49" s="349"/>
      <c r="D49" s="564"/>
      <c r="E49" s="565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13"/>
      <c r="C50" s="350"/>
      <c r="D50" s="566"/>
      <c r="E50" s="567"/>
      <c r="F50" s="294" t="s">
        <v>178</v>
      </c>
      <c r="G50" s="42"/>
      <c r="H50" s="41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60">
        <f>AVERAGE(D29:E50)</f>
        <v>17.395</v>
      </c>
      <c r="E51" s="561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0" t="s">
        <v>17</v>
      </c>
      <c r="C56" s="540" t="s">
        <v>44</v>
      </c>
      <c r="D56" s="542" t="s">
        <v>45</v>
      </c>
      <c r="E56" s="497" t="s">
        <v>46</v>
      </c>
      <c r="F56" s="557" t="s">
        <v>47</v>
      </c>
      <c r="G56" s="551" t="s">
        <v>48</v>
      </c>
      <c r="H56" s="540" t="s">
        <v>49</v>
      </c>
      <c r="I56" s="540" t="s">
        <v>50</v>
      </c>
      <c r="J56" s="545" t="s">
        <v>28</v>
      </c>
      <c r="K56" s="495" t="s">
        <v>51</v>
      </c>
      <c r="L56" s="507" t="s">
        <v>52</v>
      </c>
      <c r="M56" s="545" t="s">
        <v>53</v>
      </c>
      <c r="N56" s="13"/>
      <c r="O56" s="13"/>
      <c r="P56" s="50"/>
    </row>
    <row r="57" spans="2:57" ht="28.5" customHeight="1" thickTop="1" thickBot="1">
      <c r="B57" s="541"/>
      <c r="C57" s="541"/>
      <c r="D57" s="543"/>
      <c r="E57" s="544"/>
      <c r="F57" s="558"/>
      <c r="G57" s="552"/>
      <c r="H57" s="559"/>
      <c r="I57" s="559"/>
      <c r="J57" s="546"/>
      <c r="K57" s="555"/>
      <c r="L57" s="556"/>
      <c r="M57" s="546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68" t="str">
        <f>I31</f>
        <v>GUINNESS</v>
      </c>
      <c r="C58" s="442">
        <v>45954</v>
      </c>
      <c r="D58" s="443">
        <f>[40]October_2025!$AA$23</f>
        <v>407.7</v>
      </c>
      <c r="E58" s="444">
        <f>[24]Process!$AB$111</f>
        <v>9</v>
      </c>
      <c r="F58" s="445">
        <f>SUM([42]GUINNESS!$L$11:$L$18)</f>
        <v>390.5</v>
      </c>
      <c r="G58" s="445">
        <f>[40]October_2025!$AA$28</f>
        <v>374.2</v>
      </c>
      <c r="H58" s="462">
        <f>(D58-F58)/D58*100</f>
        <v>4.2187883247485871</v>
      </c>
      <c r="I58" s="462">
        <f>((F58+E58)-G58)/(F58+E58)*100</f>
        <v>6.3329161451814802</v>
      </c>
      <c r="J58" s="449" t="s">
        <v>194</v>
      </c>
      <c r="K58" s="450">
        <f>[41]October_2025!$AA$32</f>
        <v>0.21883040935672515</v>
      </c>
      <c r="L58" s="461">
        <f>(((D58+E58)-G58)/(D58+E58))*100</f>
        <v>10.199184065274778</v>
      </c>
      <c r="M58" s="457" t="s">
        <v>193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58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59"/>
      <c r="C60" s="442"/>
      <c r="D60" s="443"/>
      <c r="E60" s="444"/>
      <c r="F60" s="445"/>
      <c r="G60" s="446"/>
      <c r="H60" s="462"/>
      <c r="I60" s="462"/>
      <c r="J60" s="449"/>
      <c r="K60" s="466"/>
      <c r="L60" s="461"/>
      <c r="M60" s="457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hidden="1" thickBot="1">
      <c r="B61" s="454"/>
      <c r="C61" s="431"/>
      <c r="D61" s="432"/>
      <c r="E61" s="433"/>
      <c r="F61" s="434"/>
      <c r="G61" s="435"/>
      <c r="H61" s="436"/>
      <c r="I61" s="451"/>
      <c r="J61" s="452"/>
      <c r="K61" s="437" t="s">
        <v>41</v>
      </c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2"/>
      <c r="D62" s="443"/>
      <c r="E62" s="444"/>
      <c r="F62" s="445"/>
      <c r="G62" s="446"/>
      <c r="H62" s="447"/>
      <c r="I62" s="448"/>
      <c r="J62" s="449"/>
      <c r="K62" s="450"/>
      <c r="L62" s="455" t="e">
        <f>(((D62+E62)-G62)/(D62+E62))*100</f>
        <v>#DIV/0!</v>
      </c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7" t="s">
        <v>55</v>
      </c>
      <c r="C65" s="548"/>
      <c r="D65" s="548"/>
      <c r="E65" s="548"/>
      <c r="F65" s="549"/>
      <c r="G65" s="547" t="s">
        <v>56</v>
      </c>
      <c r="H65" s="548"/>
      <c r="I65" s="548"/>
      <c r="J65" s="549"/>
      <c r="K65" s="547" t="s">
        <v>51</v>
      </c>
      <c r="L65" s="548"/>
      <c r="M65" s="548"/>
      <c r="N65" s="550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5.4678058962573388</v>
      </c>
      <c r="E67" s="76">
        <v>6.266888057846332</v>
      </c>
      <c r="F67" s="66">
        <v>4.8</v>
      </c>
      <c r="G67" s="65"/>
      <c r="H67" s="76">
        <v>3.868035024776316</v>
      </c>
      <c r="I67" s="76">
        <v>6.0450946999575628</v>
      </c>
      <c r="J67" s="66">
        <v>4.8</v>
      </c>
      <c r="K67" s="67"/>
      <c r="L67" s="194">
        <v>0.80994465536602323</v>
      </c>
      <c r="M67" s="194">
        <v>0.77150198301442752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3.5989501429842425</v>
      </c>
      <c r="E68" s="76">
        <v>5.6877482788228022</v>
      </c>
      <c r="F68" s="66">
        <v>4.8</v>
      </c>
      <c r="G68" s="65"/>
      <c r="H68" s="76">
        <v>3.3049198771516219</v>
      </c>
      <c r="I68" s="76">
        <v>5.4826084373839814</v>
      </c>
      <c r="J68" s="66">
        <v>4.8</v>
      </c>
      <c r="K68" s="67"/>
      <c r="L68" s="194">
        <v>0.92648177510936203</v>
      </c>
      <c r="M68" s="194">
        <v>0.73378312777097876</v>
      </c>
      <c r="N68" s="68">
        <v>1</v>
      </c>
      <c r="P68" s="69"/>
    </row>
    <row r="69" spans="2:16" ht="15">
      <c r="B69" s="34" t="s">
        <v>40</v>
      </c>
      <c r="C69" s="65">
        <f>L58</f>
        <v>10.199184065274778</v>
      </c>
      <c r="D69" s="76">
        <v>10.139579656666138</v>
      </c>
      <c r="E69" s="76">
        <v>11.57083716651332</v>
      </c>
      <c r="F69" s="66">
        <v>5.5</v>
      </c>
      <c r="G69" s="65">
        <f>[40]October_2025!$AA$32</f>
        <v>11.410104863035698</v>
      </c>
      <c r="H69" s="76">
        <v>12.493185035674854</v>
      </c>
      <c r="I69" s="76">
        <v>12.71224444035783</v>
      </c>
      <c r="J69" s="66">
        <v>5.5</v>
      </c>
      <c r="K69" s="67">
        <f>K58</f>
        <v>0.21883040935672515</v>
      </c>
      <c r="L69" s="194">
        <v>0.51072164948453602</v>
      </c>
      <c r="M69" s="194">
        <v>0.53293555745651555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5.119233255999676</v>
      </c>
      <c r="F70" s="66">
        <v>3.3</v>
      </c>
      <c r="G70" s="65"/>
      <c r="H70" s="76"/>
      <c r="I70" s="76">
        <v>4.4772094679692334</v>
      </c>
      <c r="J70" s="66">
        <v>3.3</v>
      </c>
      <c r="K70" s="67"/>
      <c r="L70" s="194"/>
      <c r="M70" s="194">
        <v>0.80025950292397652</v>
      </c>
      <c r="N70" s="68">
        <v>1</v>
      </c>
      <c r="P70" s="69"/>
    </row>
    <row r="71" spans="2:16" ht="15">
      <c r="B71" s="35" t="s">
        <v>165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7.3129862357869699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2.0782986950217497</v>
      </c>
      <c r="E73" s="76">
        <v>2.8629317642487306</v>
      </c>
      <c r="F73" s="66">
        <v>3.3</v>
      </c>
      <c r="G73" s="282"/>
      <c r="H73" s="76">
        <v>3.4559849687930924</v>
      </c>
      <c r="I73" s="76">
        <v>4.3478819741669881</v>
      </c>
      <c r="J73" s="66">
        <v>3.3</v>
      </c>
      <c r="K73" s="67"/>
      <c r="L73" s="194">
        <v>0.88859649122807016</v>
      </c>
      <c r="M73" s="194">
        <v>0.85935680751173715</v>
      </c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5.0884898030177874</v>
      </c>
      <c r="E76" s="76">
        <v>6.2709978930052719</v>
      </c>
      <c r="F76" s="341">
        <v>5.5</v>
      </c>
      <c r="H76" s="76">
        <v>5.0264495419030348</v>
      </c>
      <c r="I76" s="76">
        <v>6.4441501902263738</v>
      </c>
      <c r="J76" s="341">
        <v>5.5</v>
      </c>
      <c r="L76" s="194">
        <v>0.81675373134328355</v>
      </c>
      <c r="M76" s="194">
        <v>0.73716879480286734</v>
      </c>
      <c r="N76" s="386">
        <v>1</v>
      </c>
    </row>
    <row r="80" spans="2:16">
      <c r="F80" s="315"/>
    </row>
    <row r="81" spans="6:6" ht="15">
      <c r="F8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1055" priority="150" operator="notBetween">
      <formula>#REF!</formula>
      <formula>#REF!</formula>
    </cfRule>
  </conditionalFormatting>
  <conditionalFormatting sqref="C55">
    <cfRule type="cellIs" dxfId="1054" priority="182" stopIfTrue="1" operator="greaterThan">
      <formula>100</formula>
    </cfRule>
    <cfRule type="cellIs" dxfId="1053" priority="181" stopIfTrue="1" operator="lessThan">
      <formula>96</formula>
    </cfRule>
  </conditionalFormatting>
  <conditionalFormatting sqref="C67:C71">
    <cfRule type="cellIs" dxfId="1052" priority="131" stopIfTrue="1" operator="lessThanOrEqual">
      <formula>0</formula>
    </cfRule>
  </conditionalFormatting>
  <conditionalFormatting sqref="C67:C75">
    <cfRule type="cellIs" dxfId="1051" priority="130" stopIfTrue="1" operator="greaterThan">
      <formula>$F67</formula>
    </cfRule>
  </conditionalFormatting>
  <conditionalFormatting sqref="C68">
    <cfRule type="cellIs" dxfId="1050" priority="185" stopIfTrue="1" operator="greaterThan">
      <formula>$F67</formula>
    </cfRule>
  </conditionalFormatting>
  <conditionalFormatting sqref="C72">
    <cfRule type="cellIs" dxfId="1049" priority="68" stopIfTrue="1" operator="lessThanOrEqual">
      <formula>0</formula>
    </cfRule>
    <cfRule type="cellIs" dxfId="1048" priority="69" stopIfTrue="1" operator="greaterThan">
      <formula>$F71</formula>
    </cfRule>
  </conditionalFormatting>
  <conditionalFormatting sqref="C78:C82">
    <cfRule type="cellIs" dxfId="1047" priority="173" stopIfTrue="1" operator="lessThanOrEqual">
      <formula>0</formula>
    </cfRule>
  </conditionalFormatting>
  <conditionalFormatting sqref="C79:C82">
    <cfRule type="cellIs" dxfId="1046" priority="172" stopIfTrue="1" operator="greaterThan">
      <formula>$F$78</formula>
    </cfRule>
  </conditionalFormatting>
  <conditionalFormatting sqref="C84">
    <cfRule type="cellIs" dxfId="1045" priority="175" stopIfTrue="1" operator="lessThanOrEqual">
      <formula>0</formula>
    </cfRule>
    <cfRule type="cellIs" dxfId="1044" priority="174" stopIfTrue="1" operator="greaterThan">
      <formula>$F$78</formula>
    </cfRule>
  </conditionalFormatting>
  <conditionalFormatting sqref="C78:D78 D80:D86">
    <cfRule type="cellIs" dxfId="1043" priority="167" stopIfTrue="1" operator="greaterThan">
      <formula>4.5</formula>
    </cfRule>
  </conditionalFormatting>
  <conditionalFormatting sqref="D51:D52">
    <cfRule type="cellIs" dxfId="1042" priority="151" operator="notBetween">
      <formula>#REF!</formula>
      <formula>#REF!</formula>
    </cfRule>
  </conditionalFormatting>
  <conditionalFormatting sqref="D67:D74">
    <cfRule type="cellIs" dxfId="1041" priority="145" stopIfTrue="1" operator="lessThanOrEqual">
      <formula>0</formula>
    </cfRule>
  </conditionalFormatting>
  <conditionalFormatting sqref="D75">
    <cfRule type="cellIs" dxfId="1040" priority="144" stopIfTrue="1" operator="lessThanOrEqual">
      <formula>0</formula>
    </cfRule>
  </conditionalFormatting>
  <conditionalFormatting sqref="D78 D80:D86">
    <cfRule type="cellIs" dxfId="1039" priority="168" stopIfTrue="1" operator="lessThanOrEqual">
      <formula>0</formula>
    </cfRule>
  </conditionalFormatting>
  <conditionalFormatting sqref="D79">
    <cfRule type="cellIs" dxfId="1038" priority="159" stopIfTrue="1" operator="greaterThan">
      <formula>$F$78</formula>
    </cfRule>
    <cfRule type="cellIs" dxfId="1037" priority="160" stopIfTrue="1" operator="lessThanOrEqual">
      <formula>0</formula>
    </cfRule>
  </conditionalFormatting>
  <conditionalFormatting sqref="D67:E76">
    <cfRule type="cellIs" dxfId="1036" priority="128" stopIfTrue="1" operator="greaterThan">
      <formula>$F67</formula>
    </cfRule>
  </conditionalFormatting>
  <conditionalFormatting sqref="D76:E76">
    <cfRule type="cellIs" dxfId="1035" priority="129" stopIfTrue="1" operator="lessThanOrEqual">
      <formula>0</formula>
    </cfRule>
  </conditionalFormatting>
  <conditionalFormatting sqref="E10:E26">
    <cfRule type="cellIs" dxfId="1034" priority="47" operator="lessThan">
      <formula>48</formula>
    </cfRule>
  </conditionalFormatting>
  <conditionalFormatting sqref="E54 E55:F55">
    <cfRule type="cellIs" dxfId="1033" priority="164" stopIfTrue="1" operator="greaterThan">
      <formula>100</formula>
    </cfRule>
  </conditionalFormatting>
  <conditionalFormatting sqref="E55">
    <cfRule type="cellIs" dxfId="1032" priority="162" stopIfTrue="1" operator="greaterThan">
      <formula>100</formula>
    </cfRule>
    <cfRule type="cellIs" dxfId="1031" priority="161" stopIfTrue="1" operator="lessThan">
      <formula>96.8</formula>
    </cfRule>
  </conditionalFormatting>
  <conditionalFormatting sqref="E67:E75">
    <cfRule type="cellIs" dxfId="1030" priority="139" stopIfTrue="1" operator="lessThanOrEqual">
      <formula>0</formula>
    </cfRule>
  </conditionalFormatting>
  <conditionalFormatting sqref="E78:E86">
    <cfRule type="cellIs" dxfId="1029" priority="153" stopIfTrue="1" operator="greaterThan">
      <formula>4.5</formula>
    </cfRule>
    <cfRule type="cellIs" dxfId="1028" priority="154" stopIfTrue="1" operator="lessThanOrEqual">
      <formula>0</formula>
    </cfRule>
  </conditionalFormatting>
  <conditionalFormatting sqref="E55:F55 E54">
    <cfRule type="cellIs" dxfId="1027" priority="163" stopIfTrue="1" operator="lessThan">
      <formula>96.5</formula>
    </cfRule>
  </conditionalFormatting>
  <conditionalFormatting sqref="F10:F26">
    <cfRule type="cellIs" dxfId="1026" priority="48" operator="greaterThan">
      <formula>60</formula>
    </cfRule>
  </conditionalFormatting>
  <conditionalFormatting sqref="F55">
    <cfRule type="cellIs" dxfId="1025" priority="179" stopIfTrue="1" operator="lessThan">
      <formula>96.8</formula>
    </cfRule>
    <cfRule type="cellIs" dxfId="1024" priority="180" stopIfTrue="1" operator="greaterThan">
      <formula>100</formula>
    </cfRule>
  </conditionalFormatting>
  <conditionalFormatting sqref="F76">
    <cfRule type="cellIs" dxfId="1023" priority="141" stopIfTrue="1" operator="lessThanOrEqual">
      <formula>0</formula>
    </cfRule>
    <cfRule type="cellIs" dxfId="1022" priority="140" stopIfTrue="1" operator="greaterThan">
      <formula>$F76</formula>
    </cfRule>
  </conditionalFormatting>
  <conditionalFormatting sqref="F81">
    <cfRule type="cellIs" dxfId="1021" priority="98" stopIfTrue="1" operator="greaterThan">
      <formula>$F81</formula>
    </cfRule>
    <cfRule type="cellIs" dxfId="1020" priority="99" stopIfTrue="1" operator="lessThanOrEqual">
      <formula>0</formula>
    </cfRule>
  </conditionalFormatting>
  <conditionalFormatting sqref="G10:G25">
    <cfRule type="expression" dxfId="1019" priority="18">
      <formula>IF(+(IF(G10&lt;S10,0,IF(G10&gt;T10,0,1)))=0,1)</formula>
    </cfRule>
  </conditionalFormatting>
  <conditionalFormatting sqref="G67:G68 C73:C75">
    <cfRule type="cellIs" dxfId="1018" priority="147" stopIfTrue="1" operator="lessThanOrEqual">
      <formula>0</formula>
    </cfRule>
  </conditionalFormatting>
  <conditionalFormatting sqref="G67:G68">
    <cfRule type="cellIs" dxfId="1017" priority="146" stopIfTrue="1" operator="greaterThan">
      <formula>$F67</formula>
    </cfRule>
    <cfRule type="cellIs" dxfId="1016" priority="132" stopIfTrue="1" operator="greaterThan">
      <formula>$F67</formula>
    </cfRule>
    <cfRule type="cellIs" dxfId="1015" priority="133" stopIfTrue="1" operator="lessThanOrEqual">
      <formula>0</formula>
    </cfRule>
  </conditionalFormatting>
  <conditionalFormatting sqref="G69">
    <cfRule type="cellIs" dxfId="1014" priority="184" stopIfTrue="1" operator="lessThanOrEqual">
      <formula>0</formula>
    </cfRule>
    <cfRule type="cellIs" dxfId="1013" priority="183" stopIfTrue="1" operator="greaterThan">
      <formula>$F68</formula>
    </cfRule>
  </conditionalFormatting>
  <conditionalFormatting sqref="G70">
    <cfRule type="cellIs" dxfId="1012" priority="142" stopIfTrue="1" operator="greaterThan">
      <formula>$F70</formula>
    </cfRule>
    <cfRule type="cellIs" dxfId="1011" priority="143" stopIfTrue="1" operator="lessThanOrEqual">
      <formula>0</formula>
    </cfRule>
  </conditionalFormatting>
  <conditionalFormatting sqref="G71:G75">
    <cfRule type="cellIs" dxfId="1010" priority="149" stopIfTrue="1" operator="lessThanOrEqual">
      <formula>0</formula>
    </cfRule>
    <cfRule type="cellIs" dxfId="1009" priority="148" stopIfTrue="1" operator="greaterThan">
      <formula>$J71</formula>
    </cfRule>
  </conditionalFormatting>
  <conditionalFormatting sqref="G80:G85 C83 C85">
    <cfRule type="cellIs" dxfId="1008" priority="177" stopIfTrue="1" operator="lessThanOrEqual">
      <formula>0</formula>
    </cfRule>
    <cfRule type="cellIs" dxfId="1007" priority="176" stopIfTrue="1" operator="greaterThan">
      <formula>4.5</formula>
    </cfRule>
  </conditionalFormatting>
  <conditionalFormatting sqref="G79:H79">
    <cfRule type="cellIs" dxfId="1006" priority="157" stopIfTrue="1" operator="greaterThan">
      <formula>$F$78</formula>
    </cfRule>
    <cfRule type="cellIs" dxfId="1005" priority="158" stopIfTrue="1" operator="lessThanOrEqual">
      <formula>0</formula>
    </cfRule>
  </conditionalFormatting>
  <conditionalFormatting sqref="H10:H25 G26:H26">
    <cfRule type="expression" dxfId="1004" priority="49">
      <formula>IF(+(IF(G10&lt;#REF!,0,IF(G10&gt;#REF!,0,1)))=0,1)</formula>
    </cfRule>
  </conditionalFormatting>
  <conditionalFormatting sqref="H40:H54">
    <cfRule type="cellIs" dxfId="1003" priority="155" stopIfTrue="1" operator="greaterThan">
      <formula>0</formula>
    </cfRule>
  </conditionalFormatting>
  <conditionalFormatting sqref="H58">
    <cfRule type="cellIs" dxfId="1002" priority="2" stopIfTrue="1" operator="lessThanOrEqual">
      <formula>0</formula>
    </cfRule>
    <cfRule type="cellIs" dxfId="1001" priority="3" stopIfTrue="1" operator="greaterThan">
      <formula>$F$69</formula>
    </cfRule>
    <cfRule type="cellIs" dxfId="1000" priority="14" stopIfTrue="1" operator="lessThanOrEqual">
      <formula>0</formula>
    </cfRule>
    <cfRule type="cellIs" dxfId="999" priority="11" stopIfTrue="1" operator="greaterThan">
      <formula>$F$72</formula>
    </cfRule>
    <cfRule type="cellIs" dxfId="998" priority="13" stopIfTrue="1" operator="greaterThan">
      <formula>$F$70</formula>
    </cfRule>
    <cfRule type="cellIs" dxfId="997" priority="12" stopIfTrue="1" operator="lessThanOrEqual">
      <formula>0</formula>
    </cfRule>
  </conditionalFormatting>
  <conditionalFormatting sqref="H59">
    <cfRule type="cellIs" dxfId="996" priority="94" stopIfTrue="1" operator="greaterThan">
      <formula>$F$27</formula>
    </cfRule>
    <cfRule type="cellIs" dxfId="995" priority="85" stopIfTrue="1" operator="lessThanOrEqual">
      <formula>0</formula>
    </cfRule>
    <cfRule type="cellIs" dxfId="994" priority="86" stopIfTrue="1" operator="greaterThan">
      <formula>#REF!</formula>
    </cfRule>
    <cfRule type="cellIs" dxfId="993" priority="97" stopIfTrue="1" operator="lessThanOrEqual">
      <formula>0</formula>
    </cfRule>
    <cfRule type="cellIs" dxfId="992" priority="96" stopIfTrue="1" operator="greaterThan">
      <formula>#REF!</formula>
    </cfRule>
    <cfRule type="cellIs" dxfId="991" priority="95" stopIfTrue="1" operator="lessThanOrEqual">
      <formula>0</formula>
    </cfRule>
  </conditionalFormatting>
  <conditionalFormatting sqref="H60">
    <cfRule type="cellIs" dxfId="990" priority="60" stopIfTrue="1" operator="greaterThan">
      <formula>$F$71</formula>
    </cfRule>
    <cfRule type="cellIs" dxfId="989" priority="61" stopIfTrue="1" operator="lessThanOrEqual">
      <formula>0</formula>
    </cfRule>
    <cfRule type="cellIs" dxfId="988" priority="52" stopIfTrue="1" operator="greaterThan">
      <formula>$F$68</formula>
    </cfRule>
    <cfRule type="cellIs" dxfId="987" priority="51" stopIfTrue="1" operator="lessThanOrEqual">
      <formula>0</formula>
    </cfRule>
    <cfRule type="cellIs" dxfId="986" priority="62" stopIfTrue="1" operator="greaterThan">
      <formula>$F$69</formula>
    </cfRule>
    <cfRule type="cellIs" dxfId="985" priority="63" stopIfTrue="1" operator="lessThanOrEqual">
      <formula>0</formula>
    </cfRule>
  </conditionalFormatting>
  <conditionalFormatting sqref="H61:H62">
    <cfRule type="cellIs" dxfId="984" priority="83" stopIfTrue="1" operator="lessThanOrEqual">
      <formula>0</formula>
    </cfRule>
    <cfRule type="cellIs" dxfId="983" priority="82" stopIfTrue="1" operator="greaterThan">
      <formula>#REF!</formula>
    </cfRule>
    <cfRule type="cellIs" dxfId="982" priority="81" stopIfTrue="1" operator="lessThanOrEqual">
      <formula>0</formula>
    </cfRule>
    <cfRule type="cellIs" dxfId="981" priority="80" stopIfTrue="1" operator="greaterThan">
      <formula>$F$26</formula>
    </cfRule>
    <cfRule type="cellIs" dxfId="980" priority="72" stopIfTrue="1" operator="greaterThan">
      <formula>#REF!</formula>
    </cfRule>
    <cfRule type="cellIs" dxfId="979" priority="71" stopIfTrue="1" operator="lessThanOrEqual">
      <formula>0</formula>
    </cfRule>
  </conditionalFormatting>
  <conditionalFormatting sqref="H63">
    <cfRule type="cellIs" dxfId="978" priority="114" stopIfTrue="1" operator="lessThanOrEqual">
      <formula>0</formula>
    </cfRule>
    <cfRule type="cellIs" dxfId="977" priority="111" stopIfTrue="1" operator="greaterThan">
      <formula>$F$42</formula>
    </cfRule>
    <cfRule type="cellIs" dxfId="976" priority="112" stopIfTrue="1" operator="lessThanOrEqual">
      <formula>0</formula>
    </cfRule>
    <cfRule type="cellIs" dxfId="975" priority="102" stopIfTrue="1" operator="lessThanOrEqual">
      <formula>0</formula>
    </cfRule>
    <cfRule type="cellIs" dxfId="974" priority="103" stopIfTrue="1" operator="greaterThan">
      <formula>$F$39</formula>
    </cfRule>
    <cfRule type="cellIs" dxfId="973" priority="113" stopIfTrue="1" operator="greaterThan">
      <formula>$F$40</formula>
    </cfRule>
  </conditionalFormatting>
  <conditionalFormatting sqref="H67:H74">
    <cfRule type="cellIs" dxfId="972" priority="135" stopIfTrue="1" operator="lessThanOrEqual">
      <formula>0</formula>
    </cfRule>
    <cfRule type="cellIs" dxfId="971" priority="134" stopIfTrue="1" operator="greaterThan">
      <formula>$J67</formula>
    </cfRule>
  </conditionalFormatting>
  <conditionalFormatting sqref="H75">
    <cfRule type="cellIs" dxfId="970" priority="136" operator="greaterThan">
      <formula>5.3</formula>
    </cfRule>
  </conditionalFormatting>
  <conditionalFormatting sqref="H78 H80:H86">
    <cfRule type="cellIs" dxfId="969" priority="169" stopIfTrue="1" operator="greaterThan">
      <formula>4.5</formula>
    </cfRule>
    <cfRule type="cellIs" dxfId="968" priority="170" stopIfTrue="1" operator="lessThanOrEqual">
      <formula>0</formula>
    </cfRule>
  </conditionalFormatting>
  <conditionalFormatting sqref="H58:I58">
    <cfRule type="cellIs" dxfId="967" priority="1" stopIfTrue="1" operator="greaterThan">
      <formula>$F$71</formula>
    </cfRule>
    <cfRule type="cellIs" dxfId="966" priority="4" stopIfTrue="1" operator="lessThanOrEqual">
      <formula>0</formula>
    </cfRule>
  </conditionalFormatting>
  <conditionalFormatting sqref="H59:I59">
    <cfRule type="cellIs" dxfId="965" priority="87" stopIfTrue="1" operator="lessThanOrEqual">
      <formula>0</formula>
    </cfRule>
    <cfRule type="cellIs" dxfId="964" priority="84" stopIfTrue="1" operator="greaterThan">
      <formula>$F$26</formula>
    </cfRule>
  </conditionalFormatting>
  <conditionalFormatting sqref="H60:I60">
    <cfRule type="cellIs" dxfId="963" priority="53" stopIfTrue="1" operator="lessThanOrEqual">
      <formula>0</formula>
    </cfRule>
    <cfRule type="cellIs" dxfId="962" priority="50" stopIfTrue="1" operator="greaterThan">
      <formula>$F$70</formula>
    </cfRule>
  </conditionalFormatting>
  <conditionalFormatting sqref="H61:I62">
    <cfRule type="cellIs" dxfId="961" priority="73" stopIfTrue="1" operator="lessThanOrEqual">
      <formula>0</formula>
    </cfRule>
    <cfRule type="cellIs" dxfId="960" priority="70" stopIfTrue="1" operator="greaterThan">
      <formula>#REF!</formula>
    </cfRule>
  </conditionalFormatting>
  <conditionalFormatting sqref="H63:I63">
    <cfRule type="cellIs" dxfId="959" priority="101" stopIfTrue="1" operator="greaterThan">
      <formula>$F$41</formula>
    </cfRule>
    <cfRule type="cellIs" dxfId="958" priority="104" stopIfTrue="1" operator="lessThanOrEqual">
      <formula>0</formula>
    </cfRule>
  </conditionalFormatting>
  <conditionalFormatting sqref="H76:I76">
    <cfRule type="cellIs" dxfId="957" priority="126" stopIfTrue="1" operator="greaterThan">
      <formula>$J76</formula>
    </cfRule>
    <cfRule type="cellIs" dxfId="956" priority="127" stopIfTrue="1" operator="lessThanOrEqual">
      <formula>0</formula>
    </cfRule>
  </conditionalFormatting>
  <conditionalFormatting sqref="I58">
    <cfRule type="cellIs" dxfId="955" priority="5" stopIfTrue="1" operator="greaterThan">
      <formula>$F$69</formula>
    </cfRule>
    <cfRule type="cellIs" dxfId="954" priority="9" stopIfTrue="1" operator="greaterThan">
      <formula>$F$69</formula>
    </cfRule>
    <cfRule type="cellIs" dxfId="953" priority="8" stopIfTrue="1" operator="lessThanOrEqual">
      <formula>0</formula>
    </cfRule>
    <cfRule type="cellIs" dxfId="952" priority="7" stopIfTrue="1" operator="greaterThan">
      <formula>$F$71</formula>
    </cfRule>
    <cfRule type="cellIs" dxfId="951" priority="6" stopIfTrue="1" operator="lessThanOrEqual">
      <formula>0</formula>
    </cfRule>
    <cfRule type="cellIs" dxfId="950" priority="10" stopIfTrue="1" operator="lessThanOrEqual">
      <formula>0</formula>
    </cfRule>
  </conditionalFormatting>
  <conditionalFormatting sqref="I59">
    <cfRule type="cellIs" dxfId="949" priority="89" stopIfTrue="1" operator="lessThanOrEqual">
      <formula>0</formula>
    </cfRule>
    <cfRule type="cellIs" dxfId="948" priority="90" stopIfTrue="1" operator="greaterThan">
      <formula>$F$26</formula>
    </cfRule>
    <cfRule type="cellIs" dxfId="947" priority="88" stopIfTrue="1" operator="greaterThan">
      <formula>#REF!</formula>
    </cfRule>
    <cfRule type="cellIs" dxfId="946" priority="93" stopIfTrue="1" operator="lessThanOrEqual">
      <formula>0</formula>
    </cfRule>
    <cfRule type="cellIs" dxfId="945" priority="91" stopIfTrue="1" operator="lessThanOrEqual">
      <formula>0</formula>
    </cfRule>
    <cfRule type="cellIs" dxfId="944" priority="92" stopIfTrue="1" operator="greaterThan">
      <formula>#REF!</formula>
    </cfRule>
  </conditionalFormatting>
  <conditionalFormatting sqref="I60">
    <cfRule type="cellIs" dxfId="943" priority="54" stopIfTrue="1" operator="greaterThan">
      <formula>$F$68</formula>
    </cfRule>
    <cfRule type="cellIs" dxfId="942" priority="58" stopIfTrue="1" operator="greaterThan">
      <formula>$F$68</formula>
    </cfRule>
    <cfRule type="cellIs" dxfId="941" priority="57" stopIfTrue="1" operator="lessThanOrEqual">
      <formula>0</formula>
    </cfRule>
    <cfRule type="cellIs" dxfId="940" priority="56" stopIfTrue="1" operator="greaterThan">
      <formula>$F$70</formula>
    </cfRule>
    <cfRule type="cellIs" dxfId="939" priority="55" stopIfTrue="1" operator="lessThanOrEqual">
      <formula>0</formula>
    </cfRule>
    <cfRule type="cellIs" dxfId="938" priority="59" stopIfTrue="1" operator="lessThanOrEqual">
      <formula>0</formula>
    </cfRule>
  </conditionalFormatting>
  <conditionalFormatting sqref="I61:I62">
    <cfRule type="cellIs" dxfId="937" priority="77" stopIfTrue="1" operator="lessThanOrEqual">
      <formula>0</formula>
    </cfRule>
    <cfRule type="cellIs" dxfId="936" priority="75" stopIfTrue="1" operator="lessThanOrEqual">
      <formula>0</formula>
    </cfRule>
    <cfRule type="cellIs" dxfId="935" priority="76" stopIfTrue="1" operator="greaterThan">
      <formula>#REF!</formula>
    </cfRule>
    <cfRule type="cellIs" dxfId="934" priority="74" stopIfTrue="1" operator="greaterThan">
      <formula>#REF!</formula>
    </cfRule>
    <cfRule type="cellIs" dxfId="933" priority="79" stopIfTrue="1" operator="lessThanOrEqual">
      <formula>0</formula>
    </cfRule>
    <cfRule type="cellIs" dxfId="932" priority="78" stopIfTrue="1" operator="greaterThan">
      <formula>#REF!</formula>
    </cfRule>
  </conditionalFormatting>
  <conditionalFormatting sqref="I63">
    <cfRule type="cellIs" dxfId="931" priority="107" stopIfTrue="1" operator="greaterThan">
      <formula>$F$41</formula>
    </cfRule>
    <cfRule type="cellIs" dxfId="930" priority="105" stopIfTrue="1" operator="greaterThan">
      <formula>$F$39</formula>
    </cfRule>
    <cfRule type="cellIs" dxfId="929" priority="106" stopIfTrue="1" operator="lessThanOrEqual">
      <formula>0</formula>
    </cfRule>
    <cfRule type="cellIs" dxfId="928" priority="108" stopIfTrue="1" operator="lessThanOrEqual">
      <formula>0</formula>
    </cfRule>
    <cfRule type="cellIs" dxfId="927" priority="109" stopIfTrue="1" operator="greaterThan">
      <formula>$F$39</formula>
    </cfRule>
    <cfRule type="cellIs" dxfId="926" priority="110" stopIfTrue="1" operator="lessThanOrEqual">
      <formula>0</formula>
    </cfRule>
  </conditionalFormatting>
  <conditionalFormatting sqref="I67:I75">
    <cfRule type="cellIs" dxfId="925" priority="138" stopIfTrue="1" operator="lessThanOrEqual">
      <formula>0</formula>
    </cfRule>
    <cfRule type="cellIs" dxfId="924" priority="137" stopIfTrue="1" operator="greaterThan">
      <formula>$J67</formula>
    </cfRule>
  </conditionalFormatting>
  <conditionalFormatting sqref="I78:I86">
    <cfRule type="cellIs" dxfId="923" priority="165" stopIfTrue="1" operator="greaterThan">
      <formula>4.5</formula>
    </cfRule>
    <cfRule type="cellIs" dxfId="922" priority="166" stopIfTrue="1" operator="lessThanOrEqual">
      <formula>0</formula>
    </cfRule>
  </conditionalFormatting>
  <conditionalFormatting sqref="I10:J26">
    <cfRule type="cellIs" dxfId="921" priority="43" operator="lessThan">
      <formula>97.9</formula>
    </cfRule>
  </conditionalFormatting>
  <conditionalFormatting sqref="J29:J31">
    <cfRule type="cellIs" dxfId="920" priority="116" stopIfTrue="1" operator="lessThan">
      <formula>96.8</formula>
    </cfRule>
    <cfRule type="cellIs" dxfId="919" priority="117" stopIfTrue="1" operator="greaterThan">
      <formula>100</formula>
    </cfRule>
    <cfRule type="cellIs" dxfId="918" priority="118" operator="lessThan">
      <formula>98</formula>
    </cfRule>
  </conditionalFormatting>
  <conditionalFormatting sqref="J29:J33">
    <cfRule type="cellIs" dxfId="917" priority="115" operator="lessThan">
      <formula>97.4</formula>
    </cfRule>
  </conditionalFormatting>
  <conditionalFormatting sqref="J34">
    <cfRule type="cellIs" dxfId="916" priority="119" operator="lessThan">
      <formula>98</formula>
    </cfRule>
  </conditionalFormatting>
  <conditionalFormatting sqref="J36:J37">
    <cfRule type="cellIs" dxfId="915" priority="120" stopIfTrue="1" operator="lessThan">
      <formula>96.8</formula>
    </cfRule>
    <cfRule type="cellIs" dxfId="914" priority="121" stopIfTrue="1" operator="greaterThan">
      <formula>100</formula>
    </cfRule>
  </conditionalFormatting>
  <conditionalFormatting sqref="J36:J38">
    <cfRule type="cellIs" dxfId="913" priority="122" operator="lessThan">
      <formula>98</formula>
    </cfRule>
  </conditionalFormatting>
  <conditionalFormatting sqref="J76">
    <cfRule type="cellIs" dxfId="912" priority="123" stopIfTrue="1" operator="greaterThan">
      <formula>$F76</formula>
    </cfRule>
    <cfRule type="cellIs" dxfId="911" priority="124" stopIfTrue="1" operator="lessThanOrEqual">
      <formula>0</formula>
    </cfRule>
  </conditionalFormatting>
  <conditionalFormatting sqref="K10:K26">
    <cfRule type="cellIs" dxfId="910" priority="44" operator="greaterThan">
      <formula>6</formula>
    </cfRule>
    <cfRule type="cellIs" dxfId="909" priority="46" operator="greaterThan">
      <formula>6.4</formula>
    </cfRule>
    <cfRule type="cellIs" dxfId="908" priority="45" operator="lessThan">
      <formula>4</formula>
    </cfRule>
  </conditionalFormatting>
  <conditionalFormatting sqref="K58:K63 K67:N73 K74 M74:N74 K75:N75">
    <cfRule type="cellIs" dxfId="907" priority="100" stopIfTrue="1" operator="lessThan">
      <formula>100%</formula>
    </cfRule>
  </conditionalFormatting>
  <conditionalFormatting sqref="K78:K83">
    <cfRule type="cellIs" dxfId="906" priority="171" stopIfTrue="1" operator="lessThan">
      <formula>100%</formula>
    </cfRule>
  </conditionalFormatting>
  <conditionalFormatting sqref="K85:K86">
    <cfRule type="cellIs" dxfId="905" priority="178" stopIfTrue="1" operator="lessThan">
      <formula>100%</formula>
    </cfRule>
  </conditionalFormatting>
  <conditionalFormatting sqref="L10:L26">
    <cfRule type="cellIs" dxfId="904" priority="16" operator="greaterThan">
      <formula>65</formula>
    </cfRule>
    <cfRule type="cellIs" dxfId="903" priority="15" operator="between">
      <formula>61</formula>
      <formula>65</formula>
    </cfRule>
  </conditionalFormatting>
  <conditionalFormatting sqref="L29:M40">
    <cfRule type="cellIs" dxfId="902" priority="66" operator="lessThan">
      <formula>97.95</formula>
    </cfRule>
  </conditionalFormatting>
  <conditionalFormatting sqref="L44:N44">
    <cfRule type="cellIs" dxfId="901" priority="67" operator="notEqual">
      <formula>#REF!</formula>
    </cfRule>
  </conditionalFormatting>
  <conditionalFormatting sqref="L76:N76">
    <cfRule type="cellIs" dxfId="900" priority="125" stopIfTrue="1" operator="lessThan">
      <formula>100%</formula>
    </cfRule>
  </conditionalFormatting>
  <conditionalFormatting sqref="L78:N86">
    <cfRule type="cellIs" dxfId="899" priority="156" stopIfTrue="1" operator="lessThan">
      <formula>100%</formula>
    </cfRule>
  </conditionalFormatting>
  <conditionalFormatting sqref="M10:M25">
    <cfRule type="expression" dxfId="898" priority="17">
      <formula>IF(+(IF(M10&lt;U10,0,IF(M10&gt;V10,0,1)))=0,1)</formula>
    </cfRule>
  </conditionalFormatting>
  <conditionalFormatting sqref="M26:N26">
    <cfRule type="expression" dxfId="897" priority="186">
      <formula>IF(+(IF(M26&lt;#REF!,0,IF(M26&gt;#REF!,0,1)))=0,1)</formula>
    </cfRule>
  </conditionalFormatting>
  <conditionalFormatting sqref="N10:N25">
    <cfRule type="expression" dxfId="896" priority="19">
      <formula>IF(+(IF(N10&lt;W10,0,IF(N10&gt;X10,0,1)))=0,1)</formula>
    </cfRule>
  </conditionalFormatting>
  <conditionalFormatting sqref="P6">
    <cfRule type="cellIs" dxfId="895" priority="152" operator="greaterThanOrEqual">
      <formula>19</formula>
    </cfRule>
  </conditionalFormatting>
  <dataValidations count="1">
    <dataValidation type="list" allowBlank="1" showInputMessage="1" showErrorMessage="1" sqref="R8" xr:uid="{A2BB3E47-4254-465E-A216-DC6E6DF65F6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275D-06EA-4138-932F-1823C0CAE563}">
  <sheetPr>
    <pageSetUpPr fitToPage="1"/>
  </sheetPr>
  <dimension ref="A1:BE77"/>
  <sheetViews>
    <sheetView topLeftCell="A31" zoomScale="80" zoomScaleNormal="80" workbookViewId="0">
      <selection activeCell="B24" sqref="B24:E4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45958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[22]Brewhouse!$A889</f>
        <v>CA775</v>
      </c>
      <c r="D10" s="279">
        <f>[22]Brewhouse!$AF889</f>
        <v>50.6</v>
      </c>
      <c r="E10" s="279">
        <f>[22]Brewhouse!$AI889</f>
        <v>48.7</v>
      </c>
      <c r="F10" s="278">
        <f>[22]Brewhouse!$V889</f>
        <v>67</v>
      </c>
      <c r="G10" s="279">
        <f>[22]Brewhouse!AG889</f>
        <v>11.7</v>
      </c>
      <c r="H10" s="396">
        <v>11.9</v>
      </c>
      <c r="I10" s="368">
        <f>[22]Brewhouse!$AU889</f>
        <v>93.502672815569611</v>
      </c>
      <c r="J10" s="368">
        <f>[22]Brewhouse!$AV889</f>
        <v>94.450400638389752</v>
      </c>
      <c r="K10" s="281">
        <f>[22]Brewhouse!$Q889</f>
        <v>6.8173258003766435</v>
      </c>
      <c r="L10" s="276">
        <f>[22]Brewhouse!$P889</f>
        <v>59</v>
      </c>
      <c r="M10" s="397">
        <f>[22]Brewhouse!$U889-[22]Brewhouse!$T889</f>
        <v>0.10833333333333334</v>
      </c>
      <c r="N10" s="370">
        <f>[22]Brewhouse!$Z889</f>
        <v>0.25486111111111109</v>
      </c>
      <c r="O10" s="421" t="str">
        <f>[22]Brewhouse!$AX889</f>
        <v>R. Regis</v>
      </c>
      <c r="P10" s="418"/>
      <c r="R10" s="277" t="str">
        <f t="shared" ref="R10:R14" si="0">B10</f>
        <v>CARIB</v>
      </c>
      <c r="S10" s="296">
        <f t="shared" ref="S10:S14" si="1">VLOOKUP($B10,$R$3:$X$9,2,FALSE)</f>
        <v>11.6</v>
      </c>
      <c r="T10" s="296">
        <f t="shared" ref="T10:T14" si="2">VLOOKUP($B10,$R$3:$X$9,3,FALSE)</f>
        <v>12</v>
      </c>
      <c r="U10" s="297">
        <f t="shared" ref="U10:U14" si="3">VLOOKUP($B10,$R$3:$X$9,4,FALSE)</f>
        <v>0</v>
      </c>
      <c r="V10" s="297">
        <f t="shared" ref="V10:V14" si="4">VLOOKUP($B10,$R$3:$X$9,5,FALSE)</f>
        <v>0.118055555555556</v>
      </c>
      <c r="W10" s="297">
        <f t="shared" ref="W10:W14" si="5">VLOOKUP($B10,$R$3:$X$9,6,FALSE)</f>
        <v>0.22569444444444445</v>
      </c>
      <c r="X10" s="297">
        <f t="shared" ref="X10:X14" si="6">VLOOKUP($B10,$R$3:$X$9,7,FALSE)</f>
        <v>0.2638888888888889</v>
      </c>
      <c r="Y10" s="297">
        <f t="shared" ref="Y10:Y14" si="7">VLOOKUP($B10,$R$3:$Z$9,8,FALSE)</f>
        <v>0</v>
      </c>
      <c r="Z10" s="296">
        <f t="shared" ref="Z10:Z14" si="8">VLOOKUP($B10,$R$3:$Z$9,9,FALSE)</f>
        <v>60</v>
      </c>
    </row>
    <row r="11" spans="2:29" ht="15" customHeight="1">
      <c r="B11" s="29" t="s">
        <v>6</v>
      </c>
      <c r="C11" s="366" t="str">
        <f>[22]Brewhouse!$A890</f>
        <v>CA776</v>
      </c>
      <c r="D11" s="279">
        <f>[22]Brewhouse!$AF890</f>
        <v>52.2</v>
      </c>
      <c r="E11" s="279">
        <f>[22]Brewhouse!$AI890</f>
        <v>51.3</v>
      </c>
      <c r="F11" s="278">
        <f>[22]Brewhouse!$V890</f>
        <v>74</v>
      </c>
      <c r="G11" s="279">
        <f>[22]Brewhouse!AG890</f>
        <v>11.8</v>
      </c>
      <c r="H11" s="396">
        <v>11.5</v>
      </c>
      <c r="I11" s="368">
        <f>[22]Brewhouse!$AU890</f>
        <v>99.015183989304077</v>
      </c>
      <c r="J11" s="368">
        <f>[22]Brewhouse!$AV890</f>
        <v>100.01902542163894</v>
      </c>
      <c r="K11" s="281">
        <f>[22]Brewhouse!$Q890</f>
        <v>4.7457627118644128</v>
      </c>
      <c r="L11" s="276">
        <f>[22]Brewhouse!$P890</f>
        <v>57</v>
      </c>
      <c r="M11" s="397">
        <f>[22]Brewhouse!$U890-[22]Brewhouse!$T890</f>
        <v>0.11527777777777781</v>
      </c>
      <c r="N11" s="370">
        <f>[22]Brewhouse!$Z890</f>
        <v>0.25833333333333336</v>
      </c>
      <c r="O11" s="421" t="str">
        <f>[22]Brewhouse!$AX890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[22]Brewhouse!$A891</f>
        <v>CA777</v>
      </c>
      <c r="D12" s="279">
        <f>[22]Brewhouse!$AF891</f>
        <v>51.9</v>
      </c>
      <c r="E12" s="279">
        <f>[22]Brewhouse!$AI891</f>
        <v>50.4</v>
      </c>
      <c r="F12" s="278">
        <f>[22]Brewhouse!$V891</f>
        <v>62</v>
      </c>
      <c r="G12" s="279">
        <f>[22]Brewhouse!AG891</f>
        <v>11.5</v>
      </c>
      <c r="H12" s="396">
        <v>11.8</v>
      </c>
      <c r="I12" s="368">
        <f>[22]Brewhouse!$AU891</f>
        <v>94.7927832176821</v>
      </c>
      <c r="J12" s="368">
        <f>[22]Brewhouse!$AV891</f>
        <v>95.753740559642097</v>
      </c>
      <c r="K12" s="281">
        <f>[22]Brewhouse!$Q891</f>
        <v>3.6158192090395511</v>
      </c>
      <c r="L12" s="276">
        <f>[22]Brewhouse!$P891</f>
        <v>57</v>
      </c>
      <c r="M12" s="397">
        <f>[22]Brewhouse!$U891-[22]Brewhouse!$T891</f>
        <v>0.10833333333333334</v>
      </c>
      <c r="N12" s="370">
        <f>[22]Brewhouse!$Z891</f>
        <v>0.25555555555555554</v>
      </c>
      <c r="O12" s="421" t="str">
        <f>[22]Brewhouse!$AX891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[22]Brewhouse!$A892</f>
        <v>CA778</v>
      </c>
      <c r="D13" s="279">
        <f>[22]Brewhouse!$AF892</f>
        <v>52.5</v>
      </c>
      <c r="E13" s="279">
        <f>[22]Brewhouse!$AI892</f>
        <v>50.9</v>
      </c>
      <c r="F13" s="278">
        <f>[22]Brewhouse!$V892</f>
        <v>60</v>
      </c>
      <c r="G13" s="279">
        <f>[22]Brewhouse!AG892</f>
        <v>11.8</v>
      </c>
      <c r="H13" s="367"/>
      <c r="I13" s="368">
        <f>[22]Brewhouse!$AU892</f>
        <v>98.848720687558256</v>
      </c>
      <c r="J13" s="368">
        <f>[22]Brewhouse!$AV892</f>
        <v>99.850474666912731</v>
      </c>
      <c r="K13" s="281">
        <f>[22]Brewhouse!$Q892</f>
        <v>2.4858757062146899</v>
      </c>
      <c r="L13" s="276">
        <f>[22]Brewhouse!$P892</f>
        <v>58</v>
      </c>
      <c r="M13" s="397">
        <f>[22]Brewhouse!$U892-[22]Brewhouse!$T892</f>
        <v>0.10624999999999996</v>
      </c>
      <c r="N13" s="370">
        <f>[22]Brewhouse!$Z892</f>
        <v>0.26180555555555557</v>
      </c>
      <c r="O13" s="421" t="str">
        <f>[22]Brewhouse!$AX892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[22]Brewhouse!$A893</f>
        <v>CA779</v>
      </c>
      <c r="D14" s="279">
        <f>[22]Brewhouse!$AF893</f>
        <v>52.8</v>
      </c>
      <c r="E14" s="279">
        <f>[22]Brewhouse!$AI893</f>
        <v>50.9</v>
      </c>
      <c r="F14" s="278">
        <f>[22]Brewhouse!$V893</f>
        <v>65</v>
      </c>
      <c r="G14" s="279">
        <f>[22]Brewhouse!AG893</f>
        <v>11.6</v>
      </c>
      <c r="H14" s="367"/>
      <c r="I14" s="368">
        <f>[22]Brewhouse!$AU893</f>
        <v>97.086425829271136</v>
      </c>
      <c r="J14" s="368">
        <f>[22]Brewhouse!$AV893</f>
        <v>98.070320337356748</v>
      </c>
      <c r="K14" s="281">
        <f>[22]Brewhouse!$Q893</f>
        <v>2.6741996233521688</v>
      </c>
      <c r="L14" s="276">
        <f>[22]Brewhouse!$P893</f>
        <v>61</v>
      </c>
      <c r="M14" s="397">
        <f>[22]Brewhouse!$U893-[22]Brewhouse!$T893</f>
        <v>0.12430555555555556</v>
      </c>
      <c r="N14" s="370">
        <f>[22]Brewhouse!$Z893</f>
        <v>0.28472222222222227</v>
      </c>
      <c r="O14" s="421" t="str">
        <f>[22]Brewhouse!$AX893</f>
        <v>R.Sookram</v>
      </c>
      <c r="P14" s="418" t="s">
        <v>176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[22]Brewhouse!$A894</f>
        <v>CA780</v>
      </c>
      <c r="D15" s="279">
        <f>[22]Brewhouse!$AF894</f>
        <v>53.5</v>
      </c>
      <c r="E15" s="279">
        <f>[22]Brewhouse!$AI894</f>
        <v>51.8</v>
      </c>
      <c r="F15" s="278">
        <f>[22]Brewhouse!$V894</f>
        <v>60</v>
      </c>
      <c r="G15" s="279">
        <f>[22]Brewhouse!AG894</f>
        <v>11.9</v>
      </c>
      <c r="H15" s="367"/>
      <c r="I15" s="368">
        <f>[22]Brewhouse!$AU894</f>
        <v>101.24363244099487</v>
      </c>
      <c r="J15" s="368">
        <f>[22]Brewhouse!$AV894</f>
        <v>102.2698213664919</v>
      </c>
      <c r="K15" s="281">
        <f>[22]Brewhouse!$Q894</f>
        <v>1.1698113207547121</v>
      </c>
      <c r="L15" s="276">
        <f>[22]Brewhouse!$P894</f>
        <v>60</v>
      </c>
      <c r="M15" s="397">
        <f>[22]Brewhouse!$U894-[22]Brewhouse!$T894</f>
        <v>0.12152777777777779</v>
      </c>
      <c r="N15" s="370">
        <f>[22]Brewhouse!$Z894</f>
        <v>0.27430555555555558</v>
      </c>
      <c r="O15" s="421" t="str">
        <f>[22]Brewhouse!$AX894</f>
        <v>K.Benjamin</v>
      </c>
      <c r="P15" s="418"/>
      <c r="R15" s="277" t="str">
        <f t="shared" ref="R15:R36" si="9">B15</f>
        <v>CARIB</v>
      </c>
      <c r="S15" s="296">
        <f t="shared" ref="S15:S36" si="10">VLOOKUP($B15,$R$3:$X$9,2,FALSE)</f>
        <v>11.6</v>
      </c>
      <c r="T15" s="296">
        <f t="shared" ref="T15:T36" si="11">VLOOKUP($B15,$R$3:$X$9,3,FALSE)</f>
        <v>12</v>
      </c>
      <c r="U15" s="297">
        <f t="shared" ref="U15:U36" si="12">VLOOKUP($B15,$R$3:$X$9,4,FALSE)</f>
        <v>0</v>
      </c>
      <c r="V15" s="297">
        <f t="shared" ref="V15:V36" si="13">VLOOKUP($B15,$R$3:$X$9,5,FALSE)</f>
        <v>0.118055555555556</v>
      </c>
      <c r="W15" s="297">
        <f t="shared" ref="W15:W36" si="14">VLOOKUP($B15,$R$3:$X$9,6,FALSE)</f>
        <v>0.22569444444444445</v>
      </c>
      <c r="X15" s="297">
        <f t="shared" ref="X15:X36" si="15">VLOOKUP($B15,$R$3:$X$9,7,FALSE)</f>
        <v>0.2638888888888889</v>
      </c>
      <c r="Y15" s="297">
        <f t="shared" ref="Y15:Y36" si="16">VLOOKUP($B15,$R$3:$Z$9,8,FALSE)</f>
        <v>0</v>
      </c>
      <c r="Z15" s="296">
        <f t="shared" ref="Z15:Z36" si="17">VLOOKUP($B15,$R$3:$Z$9,9,FALSE)</f>
        <v>60</v>
      </c>
    </row>
    <row r="16" spans="2:29" ht="15" customHeight="1">
      <c r="B16" s="29" t="s">
        <v>6</v>
      </c>
      <c r="C16" s="366" t="str">
        <f>[22]Brewhouse!$A895</f>
        <v>CA781</v>
      </c>
      <c r="D16" s="279">
        <f>[22]Brewhouse!$AF895</f>
        <v>52.8</v>
      </c>
      <c r="E16" s="279">
        <f>[22]Brewhouse!$AI895</f>
        <v>52.6</v>
      </c>
      <c r="F16" s="278">
        <f>[22]Brewhouse!$V895</f>
        <v>67</v>
      </c>
      <c r="G16" s="279">
        <f>[22]Brewhouse!AG895</f>
        <v>11.7</v>
      </c>
      <c r="H16" s="367"/>
      <c r="I16" s="368">
        <f>[22]Brewhouse!$AU895</f>
        <v>100.99056653180621</v>
      </c>
      <c r="J16" s="368">
        <f>[22]Brewhouse!$AV895</f>
        <v>102.01419042257291</v>
      </c>
      <c r="K16" s="281">
        <f>[22]Brewhouse!$Q895</f>
        <v>1.735849056603777</v>
      </c>
      <c r="L16" s="276">
        <f>[22]Brewhouse!$P895</f>
        <v>59</v>
      </c>
      <c r="M16" s="397">
        <f>[22]Brewhouse!$U895-[22]Brewhouse!$T895</f>
        <v>0.10833333333333339</v>
      </c>
      <c r="N16" s="370">
        <f>[22]Brewhouse!$Z895</f>
        <v>0.25069444444444444</v>
      </c>
      <c r="O16" s="421" t="str">
        <f>[22]Brewhouse!$AX895</f>
        <v>K.Benjamin</v>
      </c>
      <c r="P16" s="418"/>
      <c r="R16" s="277" t="str">
        <f t="shared" si="9"/>
        <v>CARIB</v>
      </c>
      <c r="S16" s="296">
        <f t="shared" si="10"/>
        <v>11.6</v>
      </c>
      <c r="T16" s="296">
        <f t="shared" si="11"/>
        <v>12</v>
      </c>
      <c r="U16" s="297">
        <f t="shared" si="12"/>
        <v>0</v>
      </c>
      <c r="V16" s="297">
        <f t="shared" si="13"/>
        <v>0.118055555555556</v>
      </c>
      <c r="W16" s="297">
        <f t="shared" si="14"/>
        <v>0.22569444444444445</v>
      </c>
      <c r="X16" s="297">
        <f t="shared" si="15"/>
        <v>0.2638888888888889</v>
      </c>
      <c r="Y16" s="297">
        <f t="shared" si="16"/>
        <v>0</v>
      </c>
      <c r="Z16" s="296">
        <f t="shared" si="17"/>
        <v>60</v>
      </c>
    </row>
    <row r="17" spans="1:27" ht="15" customHeight="1">
      <c r="B17" s="29" t="s">
        <v>6</v>
      </c>
      <c r="C17" s="366" t="str">
        <f>[22]Brewhouse!$A896</f>
        <v>CA782</v>
      </c>
      <c r="D17" s="279">
        <f>[22]Brewhouse!$AF896</f>
        <v>53.6</v>
      </c>
      <c r="E17" s="279">
        <f>[22]Brewhouse!$AI896</f>
        <v>51.8</v>
      </c>
      <c r="F17" s="278">
        <f>[22]Brewhouse!$V896</f>
        <v>72</v>
      </c>
      <c r="G17" s="279">
        <f>[22]Brewhouse!AG896</f>
        <v>11.7</v>
      </c>
      <c r="H17" s="367"/>
      <c r="I17" s="368">
        <f>[22]Brewhouse!$AU896</f>
        <v>99.699809327816936</v>
      </c>
      <c r="J17" s="368">
        <f>[22]Brewhouse!$AV896</f>
        <v>100.71018842064008</v>
      </c>
      <c r="K17" s="281">
        <f>[22]Brewhouse!$Q896</f>
        <v>5.1320754716981112</v>
      </c>
      <c r="L17" s="276">
        <f>[22]Brewhouse!$P896</f>
        <v>60</v>
      </c>
      <c r="M17" s="397">
        <f>[22]Brewhouse!$U896-[22]Brewhouse!$T896</f>
        <v>0.12430555555555545</v>
      </c>
      <c r="N17" s="370">
        <f>[22]Brewhouse!$Z896</f>
        <v>0.25763888888888886</v>
      </c>
      <c r="O17" s="421" t="str">
        <f>[22]Brewhouse!$AX896</f>
        <v>K.Benjamin</v>
      </c>
      <c r="P17" s="418"/>
      <c r="R17" s="277" t="str">
        <f t="shared" si="9"/>
        <v>CARIB</v>
      </c>
      <c r="S17" s="296">
        <f t="shared" si="10"/>
        <v>11.6</v>
      </c>
      <c r="T17" s="296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296">
        <f t="shared" si="17"/>
        <v>60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0"/>
        <v>#N/A</v>
      </c>
      <c r="T18" s="296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296" t="e">
        <f t="shared" si="17"/>
        <v>#N/A</v>
      </c>
    </row>
    <row r="19" spans="1:27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9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7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7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7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7" ht="15.75" thickBot="1">
      <c r="B24" s="388" t="s">
        <v>162</v>
      </c>
      <c r="C24" s="388"/>
      <c r="D24" s="489" t="s">
        <v>35</v>
      </c>
      <c r="E24" s="49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7" ht="15" customHeight="1">
      <c r="A25" s="28"/>
      <c r="B25" s="577"/>
      <c r="C25" s="362"/>
      <c r="D25" s="515"/>
      <c r="E25" s="516"/>
      <c r="F25" s="294"/>
      <c r="G25" s="294"/>
      <c r="H25" s="348"/>
      <c r="I25" s="29" t="s">
        <v>6</v>
      </c>
      <c r="J25" s="280">
        <f>AVERAGE(I10:I17)</f>
        <v>98.147474355000398</v>
      </c>
      <c r="K25" s="284">
        <f>COUNTA([22]Brewhouse!$A$823:$A$862,[23]Brewhouse!$A$420:$A$423,[22]Brewhouse!$A$867:$A$896)</f>
        <v>74</v>
      </c>
      <c r="L25" s="305">
        <f>AVERAGE([22]Brewhouse!$AU$823:$AU$862,[23]Brewhouse!$AS$420:$AS$423,[22]Brewhouse!$AU$867:$AU$896)</f>
        <v>97.931011781139858</v>
      </c>
      <c r="M25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$896)</f>
        <v>97.730848275148745</v>
      </c>
      <c r="N25" s="30">
        <v>98</v>
      </c>
      <c r="O25" s="11"/>
      <c r="P25" s="31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7" ht="15" customHeight="1">
      <c r="A26" s="28"/>
      <c r="B26" s="578"/>
      <c r="C26" s="362"/>
      <c r="D26" s="517"/>
      <c r="E26" s="518"/>
      <c r="F26" s="294"/>
      <c r="G26" s="294"/>
      <c r="H26" s="348"/>
      <c r="I26" s="33" t="s">
        <v>9</v>
      </c>
      <c r="J26" s="280"/>
      <c r="K26" s="284">
        <f>COUNTA([23]Brewhouse!$A$399:$A$435)</f>
        <v>37</v>
      </c>
      <c r="L26" s="302">
        <f>AVERAGE([23]Brewhouse!$AS$399:$AS$435)</f>
        <v>97.535175966305019</v>
      </c>
      <c r="M26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$435)</f>
        <v>97.954933994428416</v>
      </c>
      <c r="N26" s="30">
        <v>98</v>
      </c>
      <c r="O26" s="11"/>
      <c r="P26" s="31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4.65" customHeight="1">
      <c r="A27" s="28"/>
      <c r="B27" s="578"/>
      <c r="C27" s="362"/>
      <c r="D27" s="564"/>
      <c r="E27" s="565"/>
      <c r="F27" s="294"/>
      <c r="G27" s="294"/>
      <c r="H27" s="348"/>
      <c r="I27" s="34" t="s">
        <v>12</v>
      </c>
      <c r="J27" s="280"/>
      <c r="K27" s="284">
        <f>COUNTA([24]Brewhouse!$A$99:$A$106)</f>
        <v>8</v>
      </c>
      <c r="L27" s="302">
        <f>AVERAGE([24]Brewhouse!$AU$99:$AU$106)</f>
        <v>94.823749681896615</v>
      </c>
      <c r="M27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7" s="30">
        <v>98</v>
      </c>
      <c r="O27" s="11"/>
      <c r="P27" s="31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7" ht="14.65" customHeight="1">
      <c r="A28" s="28"/>
      <c r="B28" s="578"/>
      <c r="C28" s="362"/>
      <c r="D28" s="530"/>
      <c r="E28" s="518"/>
      <c r="F28" s="294"/>
      <c r="G28" s="294"/>
      <c r="H28" s="348"/>
      <c r="I28" s="22" t="s">
        <v>33</v>
      </c>
      <c r="J28" s="280"/>
      <c r="K28" s="284">
        <f>COUNTA([25]Brewhouse!$A$88:$A$95)</f>
        <v>8</v>
      </c>
      <c r="L28" s="302">
        <f>AVERAGE([25]Brewhouse!$AV$88:$AV$95)</f>
        <v>97.908624430386354</v>
      </c>
      <c r="M28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28" s="30">
        <v>98</v>
      </c>
      <c r="O28" s="11"/>
      <c r="P28" s="31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7" ht="14.65" customHeight="1">
      <c r="A29" s="28"/>
      <c r="B29" s="578"/>
      <c r="C29" s="362"/>
      <c r="D29" s="564"/>
      <c r="E29" s="565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7" ht="14.65" customHeight="1">
      <c r="A30" s="28"/>
      <c r="B30" s="578"/>
      <c r="C30" s="362"/>
      <c r="D30" s="530"/>
      <c r="E30" s="518"/>
      <c r="F30" s="417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AVERAGE([26]Brewhouse!$AT$4:$AT$11,[26]Brewhouse!$AT$13:$AT$16,[26]Brewhouse!$AT$18:$AT$21,[26]Brewhouse!$AT$26,[26]Brewhouse!$AT$28:$AT$35)</f>
        <v>94.794664331624134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  <c r="AA30" s="296"/>
    </row>
    <row r="31" spans="1:27" ht="14.65" customHeight="1">
      <c r="A31" s="28"/>
      <c r="B31" s="578"/>
      <c r="C31" s="362"/>
      <c r="D31" s="564"/>
      <c r="E31" s="565"/>
      <c r="F31" s="417"/>
      <c r="G31" s="294"/>
      <c r="H31" s="348"/>
      <c r="I31" s="37" t="s">
        <v>16</v>
      </c>
      <c r="J31" s="323"/>
      <c r="K31" s="284"/>
      <c r="L31" s="302"/>
      <c r="M31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1" s="30">
        <v>98</v>
      </c>
      <c r="O31" s="11"/>
      <c r="P31" s="31" t="s">
        <v>41</v>
      </c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  <c r="AA31" s="296"/>
    </row>
    <row r="32" spans="1:27" ht="14.65" customHeight="1">
      <c r="A32" s="28"/>
      <c r="B32" s="578"/>
      <c r="C32" s="362"/>
      <c r="D32" s="530"/>
      <c r="E32" s="518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AVERAGE([28]Brewhouse!$AU$5:$AU$8,[28]Brewhouse!$AU$10:$AU$13,[27]Brewhouse!$AY$75:$AY$77)</f>
        <v>94.749192473706671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  <c r="AA32" s="296"/>
    </row>
    <row r="33" spans="1:56" ht="14.65" customHeight="1">
      <c r="A33" s="28"/>
      <c r="B33" s="578"/>
      <c r="C33" s="349"/>
      <c r="D33" s="564"/>
      <c r="E33" s="565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  <c r="AA33" s="296"/>
    </row>
    <row r="34" spans="1:56" ht="15" customHeight="1" thickBot="1">
      <c r="A34" s="28"/>
      <c r="B34" s="578"/>
      <c r="C34" s="349"/>
      <c r="D34" s="530"/>
      <c r="E34" s="518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  <c r="AA34" s="296"/>
    </row>
    <row r="35" spans="1:56" ht="15" customHeight="1" thickBot="1">
      <c r="A35" s="28"/>
      <c r="B35" s="578"/>
      <c r="C35" s="349"/>
      <c r="D35" s="515"/>
      <c r="E35" s="516"/>
      <c r="F35" s="294"/>
      <c r="G35" s="294"/>
      <c r="H35" s="348"/>
      <c r="I35" s="1"/>
      <c r="J35" s="39"/>
      <c r="K35" s="404">
        <f>SUM(K25:K34)</f>
        <v>127</v>
      </c>
      <c r="L35" s="405">
        <f>((L25*K25)+(L26*K26)+(L27*K27)+(L28*K28)+(L29*K29)+(K32*L32)+(L30*K30)+(L31*K31)+(L34*K34))/(K35)</f>
        <v>97.618546263432279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97.579804866025029</v>
      </c>
      <c r="N35" s="4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5.75" thickBot="1">
      <c r="B36" s="579"/>
      <c r="C36" s="350"/>
      <c r="D36" s="517"/>
      <c r="E36" s="51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5.75" thickBot="1">
      <c r="B37" s="512"/>
      <c r="C37" s="362"/>
      <c r="D37" s="528"/>
      <c r="E37" s="529"/>
      <c r="F37" s="294"/>
      <c r="G37" s="42"/>
      <c r="H37" s="41"/>
      <c r="I37" s="42"/>
      <c r="J37" s="563" t="s">
        <v>129</v>
      </c>
      <c r="K37" s="563"/>
      <c r="L37" s="294"/>
      <c r="M37" s="294"/>
      <c r="N37" s="294"/>
      <c r="O37" s="294"/>
      <c r="P37" s="12"/>
    </row>
    <row r="38" spans="1:56" ht="15.75" thickBot="1">
      <c r="B38" s="513"/>
      <c r="C38" s="362"/>
      <c r="D38" s="530"/>
      <c r="E38" s="518"/>
      <c r="F38" s="294"/>
      <c r="G38" s="42"/>
      <c r="H38" s="41"/>
      <c r="I38" s="42"/>
      <c r="J38" s="292" t="s">
        <v>17</v>
      </c>
      <c r="K38" s="293" t="s">
        <v>147</v>
      </c>
      <c r="L38" s="532" t="s">
        <v>136</v>
      </c>
      <c r="M38" s="532"/>
      <c r="N38" s="533"/>
      <c r="O38" s="294"/>
      <c r="P38" s="12"/>
    </row>
    <row r="39" spans="1:56" ht="15" customHeight="1" thickBot="1">
      <c r="B39" s="513"/>
      <c r="C39" s="349"/>
      <c r="D39" s="564"/>
      <c r="E39" s="565"/>
      <c r="F39" s="294"/>
      <c r="G39" s="42"/>
      <c r="H39" s="41"/>
      <c r="I39" s="42"/>
      <c r="J39" s="287" t="s">
        <v>6</v>
      </c>
      <c r="K39" s="324">
        <v>8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13"/>
      <c r="C40" s="349"/>
      <c r="D40" s="530"/>
      <c r="E40" s="518"/>
      <c r="F40" s="294"/>
      <c r="G40" s="42"/>
      <c r="H40" s="41"/>
      <c r="I40" s="42"/>
      <c r="J40" s="345" t="s">
        <v>9</v>
      </c>
      <c r="K40" s="324"/>
      <c r="L40" s="344">
        <f>AVERAGE('Oct. 1st'!K49,,'Oct. 2nd'!K51,'Oct. 3rd'!K46,'Oct. 6th'!K54,Oct.7th!K50,Oct.8th!K48,Oct.9th!K49,Oct.13th!K47,Oct.15th!K50,Oct.16th!K50,Oct.17th!K46,Oct.21st!K50,Oct.22nd!K48,Oct.23rd!K46,Oct.24th!K53,Oct.27th!K49)</f>
        <v>7.2352941176470589</v>
      </c>
      <c r="M40" s="325">
        <f>AVERAGE('[31]Jan 29th '!$M$70,'[32]Feb 28th'!$L$40,'[33]Mar. 31st'!$L$40,'[34]Apr. 30th'!$L$50,'[35]May 30th'!$L$42,'[36]June 30th'!$L$62,'[37]July 29th '!$L$49,'[38]Aug 29th'!$L$34,'[39]Sept 30th'!$L$40,L40)</f>
        <v>7.0296571894027808</v>
      </c>
      <c r="N40" s="416">
        <v>9.1999999999999993</v>
      </c>
      <c r="O40" s="294"/>
      <c r="P40" s="12"/>
    </row>
    <row r="41" spans="1:56" ht="15" customHeight="1">
      <c r="B41" s="513"/>
      <c r="C41" s="349"/>
      <c r="D41" s="564"/>
      <c r="E41" s="565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13"/>
      <c r="C42" s="349"/>
      <c r="D42" s="530"/>
      <c r="E42" s="518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13"/>
      <c r="C43" s="349"/>
      <c r="D43" s="564"/>
      <c r="E43" s="565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3"/>
      <c r="C44" s="349"/>
      <c r="D44" s="530"/>
      <c r="E44" s="518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3"/>
      <c r="C45" s="349"/>
      <c r="D45" s="564"/>
      <c r="E45" s="565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13"/>
      <c r="C46" s="350"/>
      <c r="D46" s="566"/>
      <c r="E46" s="567"/>
      <c r="F46" s="294" t="s">
        <v>178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60" t="e">
        <f>AVERAGE(D25:E46)</f>
        <v>#DIV/0!</v>
      </c>
      <c r="E47" s="561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0" t="s">
        <v>17</v>
      </c>
      <c r="C52" s="540" t="s">
        <v>44</v>
      </c>
      <c r="D52" s="542" t="s">
        <v>45</v>
      </c>
      <c r="E52" s="497" t="s">
        <v>46</v>
      </c>
      <c r="F52" s="557" t="s">
        <v>47</v>
      </c>
      <c r="G52" s="551" t="s">
        <v>48</v>
      </c>
      <c r="H52" s="540" t="s">
        <v>49</v>
      </c>
      <c r="I52" s="540" t="s">
        <v>50</v>
      </c>
      <c r="J52" s="545" t="s">
        <v>28</v>
      </c>
      <c r="K52" s="495" t="s">
        <v>51</v>
      </c>
      <c r="L52" s="507" t="s">
        <v>52</v>
      </c>
      <c r="M52" s="545" t="s">
        <v>53</v>
      </c>
      <c r="N52" s="13"/>
      <c r="O52" s="13"/>
      <c r="P52" s="50"/>
    </row>
    <row r="53" spans="2:57" ht="28.5" customHeight="1" thickTop="1" thickBot="1">
      <c r="B53" s="541"/>
      <c r="C53" s="541"/>
      <c r="D53" s="543"/>
      <c r="E53" s="544"/>
      <c r="F53" s="558"/>
      <c r="G53" s="552"/>
      <c r="H53" s="559"/>
      <c r="I53" s="559"/>
      <c r="J53" s="546"/>
      <c r="K53" s="555"/>
      <c r="L53" s="556"/>
      <c r="M53" s="546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60"/>
      <c r="C54" s="442"/>
      <c r="D54" s="443"/>
      <c r="E54" s="444"/>
      <c r="F54" s="445"/>
      <c r="G54" s="445"/>
      <c r="H54" s="462"/>
      <c r="I54" s="462"/>
      <c r="J54" s="449"/>
      <c r="K54" s="450"/>
      <c r="L54" s="461"/>
      <c r="M54" s="457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58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59"/>
      <c r="C56" s="442"/>
      <c r="D56" s="443"/>
      <c r="E56" s="444"/>
      <c r="F56" s="445"/>
      <c r="G56" s="446"/>
      <c r="H56" s="462"/>
      <c r="I56" s="462"/>
      <c r="J56" s="449"/>
      <c r="K56" s="466"/>
      <c r="L56" s="461"/>
      <c r="M56" s="457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.75" hidden="1" thickBot="1">
      <c r="B57" s="454"/>
      <c r="C57" s="431"/>
      <c r="D57" s="432"/>
      <c r="E57" s="433"/>
      <c r="F57" s="434"/>
      <c r="G57" s="435"/>
      <c r="H57" s="436"/>
      <c r="I57" s="451"/>
      <c r="J57" s="452"/>
      <c r="K57" s="437" t="s">
        <v>41</v>
      </c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2"/>
      <c r="D58" s="443"/>
      <c r="E58" s="444"/>
      <c r="F58" s="445"/>
      <c r="G58" s="446"/>
      <c r="H58" s="447"/>
      <c r="I58" s="448"/>
      <c r="J58" s="449"/>
      <c r="K58" s="450"/>
      <c r="L58" s="455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7" t="s">
        <v>55</v>
      </c>
      <c r="C61" s="548"/>
      <c r="D61" s="548"/>
      <c r="E61" s="548"/>
      <c r="F61" s="549"/>
      <c r="G61" s="547" t="s">
        <v>56</v>
      </c>
      <c r="H61" s="548"/>
      <c r="I61" s="548"/>
      <c r="J61" s="549"/>
      <c r="K61" s="547" t="s">
        <v>51</v>
      </c>
      <c r="L61" s="548"/>
      <c r="M61" s="548"/>
      <c r="N61" s="550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5.4678058962573388</v>
      </c>
      <c r="E63" s="76">
        <v>6.266888057846332</v>
      </c>
      <c r="F63" s="66">
        <v>4.8</v>
      </c>
      <c r="G63" s="65"/>
      <c r="H63" s="76">
        <v>3.868035024776316</v>
      </c>
      <c r="I63" s="76">
        <v>6.0450946999575628</v>
      </c>
      <c r="J63" s="66">
        <v>4.8</v>
      </c>
      <c r="K63" s="67"/>
      <c r="L63" s="194">
        <v>0.80994465536602323</v>
      </c>
      <c r="M63" s="194">
        <v>0.77150198301442752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3.5989501429842425</v>
      </c>
      <c r="E64" s="76">
        <v>5.6877482788228022</v>
      </c>
      <c r="F64" s="66">
        <v>4.8</v>
      </c>
      <c r="G64" s="65"/>
      <c r="H64" s="76">
        <v>3.3049198771516219</v>
      </c>
      <c r="I64" s="76">
        <v>5.4826084373839814</v>
      </c>
      <c r="J64" s="66">
        <v>4.8</v>
      </c>
      <c r="K64" s="67"/>
      <c r="L64" s="194">
        <v>0.92648177510936203</v>
      </c>
      <c r="M64" s="194">
        <v>0.73378312777097876</v>
      </c>
      <c r="N64" s="68">
        <v>1</v>
      </c>
      <c r="P64" s="69"/>
    </row>
    <row r="65" spans="2:16" ht="15">
      <c r="B65" s="34" t="s">
        <v>40</v>
      </c>
      <c r="C65" s="65"/>
      <c r="D65" s="76">
        <v>10.139579656666138</v>
      </c>
      <c r="E65" s="76">
        <v>11.57083716651332</v>
      </c>
      <c r="F65" s="66">
        <v>5.5</v>
      </c>
      <c r="G65" s="65"/>
      <c r="H65" s="76">
        <v>12.493185035674854</v>
      </c>
      <c r="I65" s="76">
        <v>12.71224444035783</v>
      </c>
      <c r="J65" s="66">
        <v>5.5</v>
      </c>
      <c r="K65" s="67"/>
      <c r="L65" s="194">
        <v>0.51072164948453602</v>
      </c>
      <c r="M65" s="194">
        <v>0.53293555745651555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5.119233255999676</v>
      </c>
      <c r="F66" s="66">
        <v>3.3</v>
      </c>
      <c r="G66" s="65"/>
      <c r="H66" s="76"/>
      <c r="I66" s="76">
        <v>4.4772094679692334</v>
      </c>
      <c r="J66" s="66">
        <v>3.3</v>
      </c>
      <c r="K66" s="67"/>
      <c r="L66" s="194"/>
      <c r="M66" s="194">
        <v>0.80025950292397652</v>
      </c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7.3129862357869699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2.0782986950217497</v>
      </c>
      <c r="E69" s="76">
        <v>2.8629317642487306</v>
      </c>
      <c r="F69" s="66">
        <v>3.3</v>
      </c>
      <c r="G69" s="282"/>
      <c r="H69" s="76">
        <v>3.4559849687930924</v>
      </c>
      <c r="I69" s="76">
        <v>4.3478819741669881</v>
      </c>
      <c r="J69" s="66">
        <v>3.3</v>
      </c>
      <c r="K69" s="67"/>
      <c r="L69" s="194">
        <v>0.88859649122807016</v>
      </c>
      <c r="M69" s="194">
        <v>0.85935680751173715</v>
      </c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5.0884898030177874</v>
      </c>
      <c r="E72" s="76">
        <v>6.2709978930052719</v>
      </c>
      <c r="F72" s="341">
        <v>5.5</v>
      </c>
      <c r="H72" s="76">
        <v>5.0264495419030348</v>
      </c>
      <c r="I72" s="76">
        <v>6.4441501902263738</v>
      </c>
      <c r="J72" s="341">
        <v>5.5</v>
      </c>
      <c r="L72" s="194">
        <v>0.81675373134328355</v>
      </c>
      <c r="M72" s="194">
        <v>0.73716879480286734</v>
      </c>
      <c r="N72" s="386">
        <v>1</v>
      </c>
    </row>
    <row r="76" spans="2:16">
      <c r="F76" s="315"/>
    </row>
    <row r="77" spans="2:16" ht="15">
      <c r="F7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894" priority="125" operator="notBetween">
      <formula>#REF!</formula>
      <formula>#REF!</formula>
    </cfRule>
  </conditionalFormatting>
  <conditionalFormatting sqref="C51">
    <cfRule type="cellIs" dxfId="893" priority="157" stopIfTrue="1" operator="greaterThan">
      <formula>100</formula>
    </cfRule>
    <cfRule type="cellIs" dxfId="892" priority="156" stopIfTrue="1" operator="lessThan">
      <formula>96</formula>
    </cfRule>
  </conditionalFormatting>
  <conditionalFormatting sqref="C63:C67">
    <cfRule type="cellIs" dxfId="891" priority="106" stopIfTrue="1" operator="lessThanOrEqual">
      <formula>0</formula>
    </cfRule>
  </conditionalFormatting>
  <conditionalFormatting sqref="C63:C71">
    <cfRule type="cellIs" dxfId="890" priority="105" stopIfTrue="1" operator="greaterThan">
      <formula>$F63</formula>
    </cfRule>
  </conditionalFormatting>
  <conditionalFormatting sqref="C64">
    <cfRule type="cellIs" dxfId="889" priority="160" stopIfTrue="1" operator="greaterThan">
      <formula>$F63</formula>
    </cfRule>
  </conditionalFormatting>
  <conditionalFormatting sqref="C68">
    <cfRule type="cellIs" dxfId="888" priority="43" stopIfTrue="1" operator="lessThanOrEqual">
      <formula>0</formula>
    </cfRule>
    <cfRule type="cellIs" dxfId="887" priority="44" stopIfTrue="1" operator="greaterThan">
      <formula>$F67</formula>
    </cfRule>
  </conditionalFormatting>
  <conditionalFormatting sqref="C74:C78">
    <cfRule type="cellIs" dxfId="886" priority="148" stopIfTrue="1" operator="lessThanOrEqual">
      <formula>0</formula>
    </cfRule>
  </conditionalFormatting>
  <conditionalFormatting sqref="C75:C78">
    <cfRule type="cellIs" dxfId="885" priority="147" stopIfTrue="1" operator="greaterThan">
      <formula>$F$74</formula>
    </cfRule>
  </conditionalFormatting>
  <conditionalFormatting sqref="C80">
    <cfRule type="cellIs" dxfId="884" priority="150" stopIfTrue="1" operator="lessThanOrEqual">
      <formula>0</formula>
    </cfRule>
    <cfRule type="cellIs" dxfId="883" priority="149" stopIfTrue="1" operator="greaterThan">
      <formula>$F$74</formula>
    </cfRule>
  </conditionalFormatting>
  <conditionalFormatting sqref="C74:D74 D76:D82">
    <cfRule type="cellIs" dxfId="882" priority="142" stopIfTrue="1" operator="greaterThan">
      <formula>4.5</formula>
    </cfRule>
  </conditionalFormatting>
  <conditionalFormatting sqref="D47:D48">
    <cfRule type="cellIs" dxfId="881" priority="126" operator="notBetween">
      <formula>#REF!</formula>
      <formula>#REF!</formula>
    </cfRule>
  </conditionalFormatting>
  <conditionalFormatting sqref="D63:D70">
    <cfRule type="cellIs" dxfId="880" priority="120" stopIfTrue="1" operator="lessThanOrEqual">
      <formula>0</formula>
    </cfRule>
  </conditionalFormatting>
  <conditionalFormatting sqref="D71">
    <cfRule type="cellIs" dxfId="879" priority="119" stopIfTrue="1" operator="lessThanOrEqual">
      <formula>0</formula>
    </cfRule>
  </conditionalFormatting>
  <conditionalFormatting sqref="D74 D76:D82">
    <cfRule type="cellIs" dxfId="878" priority="143" stopIfTrue="1" operator="lessThanOrEqual">
      <formula>0</formula>
    </cfRule>
  </conditionalFormatting>
  <conditionalFormatting sqref="D75">
    <cfRule type="cellIs" dxfId="877" priority="134" stopIfTrue="1" operator="greaterThan">
      <formula>$F$74</formula>
    </cfRule>
    <cfRule type="cellIs" dxfId="876" priority="135" stopIfTrue="1" operator="lessThanOrEqual">
      <formula>0</formula>
    </cfRule>
  </conditionalFormatting>
  <conditionalFormatting sqref="D63:E72">
    <cfRule type="cellIs" dxfId="875" priority="103" stopIfTrue="1" operator="greaterThan">
      <formula>$F63</formula>
    </cfRule>
  </conditionalFormatting>
  <conditionalFormatting sqref="D72:E72">
    <cfRule type="cellIs" dxfId="874" priority="104" stopIfTrue="1" operator="lessThanOrEqual">
      <formula>0</formula>
    </cfRule>
  </conditionalFormatting>
  <conditionalFormatting sqref="E10:E22">
    <cfRule type="cellIs" dxfId="873" priority="24" operator="lessThan">
      <formula>48</formula>
    </cfRule>
  </conditionalFormatting>
  <conditionalFormatting sqref="E50 E51:F51">
    <cfRule type="cellIs" dxfId="872" priority="139" stopIfTrue="1" operator="greaterThan">
      <formula>100</formula>
    </cfRule>
  </conditionalFormatting>
  <conditionalFormatting sqref="E51">
    <cfRule type="cellIs" dxfId="871" priority="137" stopIfTrue="1" operator="greaterThan">
      <formula>100</formula>
    </cfRule>
    <cfRule type="cellIs" dxfId="870" priority="136" stopIfTrue="1" operator="lessThan">
      <formula>96.8</formula>
    </cfRule>
  </conditionalFormatting>
  <conditionalFormatting sqref="E63:E71">
    <cfRule type="cellIs" dxfId="869" priority="114" stopIfTrue="1" operator="lessThanOrEqual">
      <formula>0</formula>
    </cfRule>
  </conditionalFormatting>
  <conditionalFormatting sqref="E74:E82">
    <cfRule type="cellIs" dxfId="868" priority="128" stopIfTrue="1" operator="greaterThan">
      <formula>4.5</formula>
    </cfRule>
    <cfRule type="cellIs" dxfId="867" priority="129" stopIfTrue="1" operator="lessThanOrEqual">
      <formula>0</formula>
    </cfRule>
  </conditionalFormatting>
  <conditionalFormatting sqref="E51:F51 E50">
    <cfRule type="cellIs" dxfId="866" priority="138" stopIfTrue="1" operator="lessThan">
      <formula>96.5</formula>
    </cfRule>
  </conditionalFormatting>
  <conditionalFormatting sqref="F10:F22">
    <cfRule type="cellIs" dxfId="865" priority="25" operator="greaterThan">
      <formula>60</formula>
    </cfRule>
  </conditionalFormatting>
  <conditionalFormatting sqref="F51">
    <cfRule type="cellIs" dxfId="864" priority="154" stopIfTrue="1" operator="lessThan">
      <formula>96.8</formula>
    </cfRule>
    <cfRule type="cellIs" dxfId="863" priority="155" stopIfTrue="1" operator="greaterThan">
      <formula>100</formula>
    </cfRule>
  </conditionalFormatting>
  <conditionalFormatting sqref="F72">
    <cfRule type="cellIs" dxfId="862" priority="116" stopIfTrue="1" operator="lessThanOrEqual">
      <formula>0</formula>
    </cfRule>
    <cfRule type="cellIs" dxfId="861" priority="115" stopIfTrue="1" operator="greaterThan">
      <formula>$F72</formula>
    </cfRule>
  </conditionalFormatting>
  <conditionalFormatting sqref="F77">
    <cfRule type="cellIs" dxfId="860" priority="73" stopIfTrue="1" operator="greaterThan">
      <formula>$F77</formula>
    </cfRule>
    <cfRule type="cellIs" dxfId="859" priority="74" stopIfTrue="1" operator="lessThanOrEqual">
      <formula>0</formula>
    </cfRule>
  </conditionalFormatting>
  <conditionalFormatting sqref="G10:G21">
    <cfRule type="expression" dxfId="858" priority="18">
      <formula>IF(+(IF(G10&lt;S10,0,IF(G10&gt;T10,0,1)))=0,1)</formula>
    </cfRule>
  </conditionalFormatting>
  <conditionalFormatting sqref="G63:G64 C69:C71">
    <cfRule type="cellIs" dxfId="857" priority="122" stopIfTrue="1" operator="lessThanOrEqual">
      <formula>0</formula>
    </cfRule>
  </conditionalFormatting>
  <conditionalFormatting sqref="G63:G64">
    <cfRule type="cellIs" dxfId="856" priority="121" stopIfTrue="1" operator="greaterThan">
      <formula>$F63</formula>
    </cfRule>
    <cfRule type="cellIs" dxfId="855" priority="107" stopIfTrue="1" operator="greaterThan">
      <formula>$F63</formula>
    </cfRule>
    <cfRule type="cellIs" dxfId="854" priority="108" stopIfTrue="1" operator="lessThanOrEqual">
      <formula>0</formula>
    </cfRule>
  </conditionalFormatting>
  <conditionalFormatting sqref="G65">
    <cfRule type="cellIs" dxfId="853" priority="159" stopIfTrue="1" operator="lessThanOrEqual">
      <formula>0</formula>
    </cfRule>
    <cfRule type="cellIs" dxfId="852" priority="158" stopIfTrue="1" operator="greaterThan">
      <formula>$F64</formula>
    </cfRule>
  </conditionalFormatting>
  <conditionalFormatting sqref="G66">
    <cfRule type="cellIs" dxfId="851" priority="117" stopIfTrue="1" operator="greaterThan">
      <formula>$F66</formula>
    </cfRule>
    <cfRule type="cellIs" dxfId="850" priority="118" stopIfTrue="1" operator="lessThanOrEqual">
      <formula>0</formula>
    </cfRule>
  </conditionalFormatting>
  <conditionalFormatting sqref="G67:G71">
    <cfRule type="cellIs" dxfId="849" priority="124" stopIfTrue="1" operator="lessThanOrEqual">
      <formula>0</formula>
    </cfRule>
    <cfRule type="cellIs" dxfId="848" priority="123" stopIfTrue="1" operator="greaterThan">
      <formula>$J67</formula>
    </cfRule>
  </conditionalFormatting>
  <conditionalFormatting sqref="G76:G81 C79 C81">
    <cfRule type="cellIs" dxfId="847" priority="152" stopIfTrue="1" operator="lessThanOrEqual">
      <formula>0</formula>
    </cfRule>
    <cfRule type="cellIs" dxfId="846" priority="151" stopIfTrue="1" operator="greaterThan">
      <formula>4.5</formula>
    </cfRule>
  </conditionalFormatting>
  <conditionalFormatting sqref="G75:H75">
    <cfRule type="cellIs" dxfId="845" priority="132" stopIfTrue="1" operator="greaterThan">
      <formula>$F$74</formula>
    </cfRule>
    <cfRule type="cellIs" dxfId="844" priority="133" stopIfTrue="1" operator="lessThanOrEqual">
      <formula>0</formula>
    </cfRule>
  </conditionalFormatting>
  <conditionalFormatting sqref="H10:H21 G22:H22">
    <cfRule type="expression" dxfId="843" priority="26">
      <formula>IF(+(IF(G10&lt;#REF!,0,IF(G10&gt;#REF!,0,1)))=0,1)</formula>
    </cfRule>
  </conditionalFormatting>
  <conditionalFormatting sqref="H36:H50">
    <cfRule type="cellIs" dxfId="842" priority="130" stopIfTrue="1" operator="greaterThan">
      <formula>0</formula>
    </cfRule>
  </conditionalFormatting>
  <conditionalFormatting sqref="H54">
    <cfRule type="cellIs" dxfId="841" priority="2" stopIfTrue="1" operator="lessThanOrEqual">
      <formula>0</formula>
    </cfRule>
    <cfRule type="cellIs" dxfId="840" priority="3" stopIfTrue="1" operator="greaterThan">
      <formula>$F$65</formula>
    </cfRule>
    <cfRule type="cellIs" dxfId="839" priority="14" stopIfTrue="1" operator="lessThanOrEqual">
      <formula>0</formula>
    </cfRule>
    <cfRule type="cellIs" dxfId="838" priority="11" stopIfTrue="1" operator="greaterThan">
      <formula>$F$68</formula>
    </cfRule>
    <cfRule type="cellIs" dxfId="837" priority="13" stopIfTrue="1" operator="greaterThan">
      <formula>$F$66</formula>
    </cfRule>
    <cfRule type="cellIs" dxfId="836" priority="12" stopIfTrue="1" operator="lessThanOrEqual">
      <formula>0</formula>
    </cfRule>
  </conditionalFormatting>
  <conditionalFormatting sqref="H55">
    <cfRule type="cellIs" dxfId="835" priority="69" stopIfTrue="1" operator="greaterThan">
      <formula>$F$23</formula>
    </cfRule>
    <cfRule type="cellIs" dxfId="834" priority="60" stopIfTrue="1" operator="lessThanOrEqual">
      <formula>0</formula>
    </cfRule>
    <cfRule type="cellIs" dxfId="833" priority="61" stopIfTrue="1" operator="greaterThan">
      <formula>#REF!</formula>
    </cfRule>
    <cfRule type="cellIs" dxfId="832" priority="72" stopIfTrue="1" operator="lessThanOrEqual">
      <formula>0</formula>
    </cfRule>
    <cfRule type="cellIs" dxfId="831" priority="71" stopIfTrue="1" operator="greaterThan">
      <formula>#REF!</formula>
    </cfRule>
    <cfRule type="cellIs" dxfId="830" priority="70" stopIfTrue="1" operator="lessThanOrEqual">
      <formula>0</formula>
    </cfRule>
  </conditionalFormatting>
  <conditionalFormatting sqref="H56">
    <cfRule type="cellIs" dxfId="829" priority="37" stopIfTrue="1" operator="greaterThan">
      <formula>$F$67</formula>
    </cfRule>
    <cfRule type="cellIs" dxfId="828" priority="38" stopIfTrue="1" operator="lessThanOrEqual">
      <formula>0</formula>
    </cfRule>
    <cfRule type="cellIs" dxfId="827" priority="29" stopIfTrue="1" operator="greaterThan">
      <formula>$F$64</formula>
    </cfRule>
    <cfRule type="cellIs" dxfId="826" priority="28" stopIfTrue="1" operator="lessThanOrEqual">
      <formula>0</formula>
    </cfRule>
    <cfRule type="cellIs" dxfId="825" priority="39" stopIfTrue="1" operator="greaterThan">
      <formula>$F$65</formula>
    </cfRule>
    <cfRule type="cellIs" dxfId="824" priority="40" stopIfTrue="1" operator="lessThanOrEqual">
      <formula>0</formula>
    </cfRule>
  </conditionalFormatting>
  <conditionalFormatting sqref="H57:H58">
    <cfRule type="cellIs" dxfId="823" priority="58" stopIfTrue="1" operator="lessThanOrEqual">
      <formula>0</formula>
    </cfRule>
    <cfRule type="cellIs" dxfId="822" priority="57" stopIfTrue="1" operator="greaterThan">
      <formula>#REF!</formula>
    </cfRule>
    <cfRule type="cellIs" dxfId="821" priority="56" stopIfTrue="1" operator="lessThanOrEqual">
      <formula>0</formula>
    </cfRule>
    <cfRule type="cellIs" dxfId="820" priority="55" stopIfTrue="1" operator="greaterThan">
      <formula>$F$22</formula>
    </cfRule>
    <cfRule type="cellIs" dxfId="819" priority="47" stopIfTrue="1" operator="greaterThan">
      <formula>#REF!</formula>
    </cfRule>
    <cfRule type="cellIs" dxfId="818" priority="46" stopIfTrue="1" operator="lessThanOrEqual">
      <formula>0</formula>
    </cfRule>
  </conditionalFormatting>
  <conditionalFormatting sqref="H59">
    <cfRule type="cellIs" dxfId="817" priority="89" stopIfTrue="1" operator="lessThanOrEqual">
      <formula>0</formula>
    </cfRule>
    <cfRule type="cellIs" dxfId="816" priority="86" stopIfTrue="1" operator="greaterThan">
      <formula>$F$38</formula>
    </cfRule>
    <cfRule type="cellIs" dxfId="815" priority="87" stopIfTrue="1" operator="lessThanOrEqual">
      <formula>0</formula>
    </cfRule>
    <cfRule type="cellIs" dxfId="814" priority="77" stopIfTrue="1" operator="lessThanOrEqual">
      <formula>0</formula>
    </cfRule>
    <cfRule type="cellIs" dxfId="813" priority="78" stopIfTrue="1" operator="greaterThan">
      <formula>$F$35</formula>
    </cfRule>
    <cfRule type="cellIs" dxfId="812" priority="88" stopIfTrue="1" operator="greaterThan">
      <formula>$F$36</formula>
    </cfRule>
  </conditionalFormatting>
  <conditionalFormatting sqref="H63:H70">
    <cfRule type="cellIs" dxfId="811" priority="110" stopIfTrue="1" operator="lessThanOrEqual">
      <formula>0</formula>
    </cfRule>
    <cfRule type="cellIs" dxfId="810" priority="109" stopIfTrue="1" operator="greaterThan">
      <formula>$J63</formula>
    </cfRule>
  </conditionalFormatting>
  <conditionalFormatting sqref="H71">
    <cfRule type="cellIs" dxfId="809" priority="111" operator="greaterThan">
      <formula>5.3</formula>
    </cfRule>
  </conditionalFormatting>
  <conditionalFormatting sqref="H74 H76:H82">
    <cfRule type="cellIs" dxfId="808" priority="144" stopIfTrue="1" operator="greaterThan">
      <formula>4.5</formula>
    </cfRule>
    <cfRule type="cellIs" dxfId="807" priority="145" stopIfTrue="1" operator="lessThanOrEqual">
      <formula>0</formula>
    </cfRule>
  </conditionalFormatting>
  <conditionalFormatting sqref="H54:I54">
    <cfRule type="cellIs" dxfId="806" priority="1" stopIfTrue="1" operator="greaterThan">
      <formula>$F$67</formula>
    </cfRule>
    <cfRule type="cellIs" dxfId="805" priority="4" stopIfTrue="1" operator="lessThanOrEqual">
      <formula>0</formula>
    </cfRule>
  </conditionalFormatting>
  <conditionalFormatting sqref="H55:I55">
    <cfRule type="cellIs" dxfId="804" priority="62" stopIfTrue="1" operator="lessThanOrEqual">
      <formula>0</formula>
    </cfRule>
    <cfRule type="cellIs" dxfId="803" priority="59" stopIfTrue="1" operator="greaterThan">
      <formula>$F$22</formula>
    </cfRule>
  </conditionalFormatting>
  <conditionalFormatting sqref="H56:I56">
    <cfRule type="cellIs" dxfId="802" priority="30" stopIfTrue="1" operator="lessThanOrEqual">
      <formula>0</formula>
    </cfRule>
    <cfRule type="cellIs" dxfId="801" priority="27" stopIfTrue="1" operator="greaterThan">
      <formula>$F$66</formula>
    </cfRule>
  </conditionalFormatting>
  <conditionalFormatting sqref="H57:I58">
    <cfRule type="cellIs" dxfId="800" priority="48" stopIfTrue="1" operator="lessThanOrEqual">
      <formula>0</formula>
    </cfRule>
    <cfRule type="cellIs" dxfId="799" priority="45" stopIfTrue="1" operator="greaterThan">
      <formula>#REF!</formula>
    </cfRule>
  </conditionalFormatting>
  <conditionalFormatting sqref="H59:I59">
    <cfRule type="cellIs" dxfId="798" priority="76" stopIfTrue="1" operator="greaterThan">
      <formula>$F$37</formula>
    </cfRule>
    <cfRule type="cellIs" dxfId="797" priority="79" stopIfTrue="1" operator="lessThanOrEqual">
      <formula>0</formula>
    </cfRule>
  </conditionalFormatting>
  <conditionalFormatting sqref="H72:I72">
    <cfRule type="cellIs" dxfId="796" priority="101" stopIfTrue="1" operator="greaterThan">
      <formula>$J72</formula>
    </cfRule>
    <cfRule type="cellIs" dxfId="795" priority="102" stopIfTrue="1" operator="lessThanOrEqual">
      <formula>0</formula>
    </cfRule>
  </conditionalFormatting>
  <conditionalFormatting sqref="I54">
    <cfRule type="cellIs" dxfId="794" priority="5" stopIfTrue="1" operator="greaterThan">
      <formula>$F$65</formula>
    </cfRule>
    <cfRule type="cellIs" dxfId="793" priority="9" stopIfTrue="1" operator="greaterThan">
      <formula>$F$65</formula>
    </cfRule>
    <cfRule type="cellIs" dxfId="792" priority="8" stopIfTrue="1" operator="lessThanOrEqual">
      <formula>0</formula>
    </cfRule>
    <cfRule type="cellIs" dxfId="791" priority="7" stopIfTrue="1" operator="greaterThan">
      <formula>$F$67</formula>
    </cfRule>
    <cfRule type="cellIs" dxfId="790" priority="6" stopIfTrue="1" operator="lessThanOrEqual">
      <formula>0</formula>
    </cfRule>
    <cfRule type="cellIs" dxfId="789" priority="10" stopIfTrue="1" operator="lessThanOrEqual">
      <formula>0</formula>
    </cfRule>
  </conditionalFormatting>
  <conditionalFormatting sqref="I55">
    <cfRule type="cellIs" dxfId="788" priority="64" stopIfTrue="1" operator="lessThanOrEqual">
      <formula>0</formula>
    </cfRule>
    <cfRule type="cellIs" dxfId="787" priority="65" stopIfTrue="1" operator="greaterThan">
      <formula>$F$22</formula>
    </cfRule>
    <cfRule type="cellIs" dxfId="786" priority="63" stopIfTrue="1" operator="greaterThan">
      <formula>#REF!</formula>
    </cfRule>
    <cfRule type="cellIs" dxfId="785" priority="68" stopIfTrue="1" operator="lessThanOrEqual">
      <formula>0</formula>
    </cfRule>
    <cfRule type="cellIs" dxfId="784" priority="66" stopIfTrue="1" operator="lessThanOrEqual">
      <formula>0</formula>
    </cfRule>
    <cfRule type="cellIs" dxfId="783" priority="67" stopIfTrue="1" operator="greaterThan">
      <formula>#REF!</formula>
    </cfRule>
  </conditionalFormatting>
  <conditionalFormatting sqref="I56">
    <cfRule type="cellIs" dxfId="782" priority="31" stopIfTrue="1" operator="greaterThan">
      <formula>$F$64</formula>
    </cfRule>
    <cfRule type="cellIs" dxfId="781" priority="35" stopIfTrue="1" operator="greaterThan">
      <formula>$F$64</formula>
    </cfRule>
    <cfRule type="cellIs" dxfId="780" priority="34" stopIfTrue="1" operator="lessThanOrEqual">
      <formula>0</formula>
    </cfRule>
    <cfRule type="cellIs" dxfId="779" priority="33" stopIfTrue="1" operator="greaterThan">
      <formula>$F$66</formula>
    </cfRule>
    <cfRule type="cellIs" dxfId="778" priority="32" stopIfTrue="1" operator="lessThanOrEqual">
      <formula>0</formula>
    </cfRule>
    <cfRule type="cellIs" dxfId="777" priority="36" stopIfTrue="1" operator="lessThanOrEqual">
      <formula>0</formula>
    </cfRule>
  </conditionalFormatting>
  <conditionalFormatting sqref="I57:I58">
    <cfRule type="cellIs" dxfId="776" priority="52" stopIfTrue="1" operator="lessThanOrEqual">
      <formula>0</formula>
    </cfRule>
    <cfRule type="cellIs" dxfId="775" priority="50" stopIfTrue="1" operator="lessThanOrEqual">
      <formula>0</formula>
    </cfRule>
    <cfRule type="cellIs" dxfId="774" priority="51" stopIfTrue="1" operator="greaterThan">
      <formula>#REF!</formula>
    </cfRule>
    <cfRule type="cellIs" dxfId="773" priority="49" stopIfTrue="1" operator="greaterThan">
      <formula>#REF!</formula>
    </cfRule>
    <cfRule type="cellIs" dxfId="772" priority="54" stopIfTrue="1" operator="lessThanOrEqual">
      <formula>0</formula>
    </cfRule>
    <cfRule type="cellIs" dxfId="771" priority="53" stopIfTrue="1" operator="greaterThan">
      <formula>#REF!</formula>
    </cfRule>
  </conditionalFormatting>
  <conditionalFormatting sqref="I59">
    <cfRule type="cellIs" dxfId="770" priority="82" stopIfTrue="1" operator="greaterThan">
      <formula>$F$37</formula>
    </cfRule>
    <cfRule type="cellIs" dxfId="769" priority="80" stopIfTrue="1" operator="greaterThan">
      <formula>$F$35</formula>
    </cfRule>
    <cfRule type="cellIs" dxfId="768" priority="81" stopIfTrue="1" operator="lessThanOrEqual">
      <formula>0</formula>
    </cfRule>
    <cfRule type="cellIs" dxfId="767" priority="83" stopIfTrue="1" operator="lessThanOrEqual">
      <formula>0</formula>
    </cfRule>
    <cfRule type="cellIs" dxfId="766" priority="84" stopIfTrue="1" operator="greaterThan">
      <formula>$F$35</formula>
    </cfRule>
    <cfRule type="cellIs" dxfId="765" priority="85" stopIfTrue="1" operator="lessThanOrEqual">
      <formula>0</formula>
    </cfRule>
  </conditionalFormatting>
  <conditionalFormatting sqref="I63:I71">
    <cfRule type="cellIs" dxfId="764" priority="113" stopIfTrue="1" operator="lessThanOrEqual">
      <formula>0</formula>
    </cfRule>
    <cfRule type="cellIs" dxfId="763" priority="112" stopIfTrue="1" operator="greaterThan">
      <formula>$J63</formula>
    </cfRule>
  </conditionalFormatting>
  <conditionalFormatting sqref="I74:I82">
    <cfRule type="cellIs" dxfId="762" priority="140" stopIfTrue="1" operator="greaterThan">
      <formula>4.5</formula>
    </cfRule>
    <cfRule type="cellIs" dxfId="761" priority="141" stopIfTrue="1" operator="lessThanOrEqual">
      <formula>0</formula>
    </cfRule>
  </conditionalFormatting>
  <conditionalFormatting sqref="I10:J22">
    <cfRule type="cellIs" dxfId="760" priority="20" operator="lessThan">
      <formula>97.9</formula>
    </cfRule>
  </conditionalFormatting>
  <conditionalFormatting sqref="J25:J27">
    <cfRule type="cellIs" dxfId="759" priority="91" stopIfTrue="1" operator="lessThan">
      <formula>96.8</formula>
    </cfRule>
    <cfRule type="cellIs" dxfId="758" priority="92" stopIfTrue="1" operator="greaterThan">
      <formula>100</formula>
    </cfRule>
    <cfRule type="cellIs" dxfId="757" priority="93" operator="lessThan">
      <formula>98</formula>
    </cfRule>
  </conditionalFormatting>
  <conditionalFormatting sqref="J25:J29">
    <cfRule type="cellIs" dxfId="756" priority="90" operator="lessThan">
      <formula>97.4</formula>
    </cfRule>
  </conditionalFormatting>
  <conditionalFormatting sqref="J30">
    <cfRule type="cellIs" dxfId="755" priority="94" operator="lessThan">
      <formula>98</formula>
    </cfRule>
  </conditionalFormatting>
  <conditionalFormatting sqref="J32:J33">
    <cfRule type="cellIs" dxfId="754" priority="95" stopIfTrue="1" operator="lessThan">
      <formula>96.8</formula>
    </cfRule>
    <cfRule type="cellIs" dxfId="753" priority="96" stopIfTrue="1" operator="greaterThan">
      <formula>100</formula>
    </cfRule>
  </conditionalFormatting>
  <conditionalFormatting sqref="J32:J34">
    <cfRule type="cellIs" dxfId="752" priority="97" operator="lessThan">
      <formula>98</formula>
    </cfRule>
  </conditionalFormatting>
  <conditionalFormatting sqref="J72">
    <cfRule type="cellIs" dxfId="751" priority="98" stopIfTrue="1" operator="greaterThan">
      <formula>$F72</formula>
    </cfRule>
    <cfRule type="cellIs" dxfId="750" priority="99" stopIfTrue="1" operator="lessThanOrEqual">
      <formula>0</formula>
    </cfRule>
  </conditionalFormatting>
  <conditionalFormatting sqref="K10:K22">
    <cfRule type="cellIs" dxfId="749" priority="21" operator="greaterThan">
      <formula>6</formula>
    </cfRule>
    <cfRule type="cellIs" dxfId="748" priority="23" operator="greaterThan">
      <formula>6.4</formula>
    </cfRule>
    <cfRule type="cellIs" dxfId="747" priority="22" operator="lessThan">
      <formula>4</formula>
    </cfRule>
  </conditionalFormatting>
  <conditionalFormatting sqref="K54:K59 K63:N69 K70 M70:N70 K71:N71">
    <cfRule type="cellIs" dxfId="746" priority="75" stopIfTrue="1" operator="lessThan">
      <formula>100%</formula>
    </cfRule>
  </conditionalFormatting>
  <conditionalFormatting sqref="K74:K79">
    <cfRule type="cellIs" dxfId="745" priority="146" stopIfTrue="1" operator="lessThan">
      <formula>100%</formula>
    </cfRule>
  </conditionalFormatting>
  <conditionalFormatting sqref="K81:K82">
    <cfRule type="cellIs" dxfId="744" priority="153" stopIfTrue="1" operator="lessThan">
      <formula>100%</formula>
    </cfRule>
  </conditionalFormatting>
  <conditionalFormatting sqref="L10:L22">
    <cfRule type="cellIs" dxfId="743" priority="16" operator="greaterThan">
      <formula>65</formula>
    </cfRule>
    <cfRule type="cellIs" dxfId="742" priority="15" operator="between">
      <formula>61</formula>
      <formula>65</formula>
    </cfRule>
  </conditionalFormatting>
  <conditionalFormatting sqref="L25:M36">
    <cfRule type="cellIs" dxfId="741" priority="41" operator="lessThan">
      <formula>97.95</formula>
    </cfRule>
  </conditionalFormatting>
  <conditionalFormatting sqref="L40:N40">
    <cfRule type="cellIs" dxfId="740" priority="42" operator="notEqual">
      <formula>#REF!</formula>
    </cfRule>
  </conditionalFormatting>
  <conditionalFormatting sqref="L72:N72">
    <cfRule type="cellIs" dxfId="739" priority="100" stopIfTrue="1" operator="lessThan">
      <formula>100%</formula>
    </cfRule>
  </conditionalFormatting>
  <conditionalFormatting sqref="L74:N82">
    <cfRule type="cellIs" dxfId="738" priority="131" stopIfTrue="1" operator="lessThan">
      <formula>100%</formula>
    </cfRule>
  </conditionalFormatting>
  <conditionalFormatting sqref="M10:M21">
    <cfRule type="expression" dxfId="737" priority="17">
      <formula>IF(+(IF(M10&lt;U10,0,IF(M10&gt;V10,0,1)))=0,1)</formula>
    </cfRule>
  </conditionalFormatting>
  <conditionalFormatting sqref="M22:N22">
    <cfRule type="expression" dxfId="736" priority="161">
      <formula>IF(+(IF(M22&lt;#REF!,0,IF(M22&gt;#REF!,0,1)))=0,1)</formula>
    </cfRule>
  </conditionalFormatting>
  <conditionalFormatting sqref="N10:N21">
    <cfRule type="expression" dxfId="735" priority="19">
      <formula>IF(+(IF(N10&lt;W10,0,IF(N10&gt;X10,0,1)))=0,1)</formula>
    </cfRule>
  </conditionalFormatting>
  <conditionalFormatting sqref="P6">
    <cfRule type="cellIs" dxfId="734" priority="127" operator="greaterThanOrEqual">
      <formula>19</formula>
    </cfRule>
  </conditionalFormatting>
  <dataValidations count="1">
    <dataValidation type="list" allowBlank="1" showInputMessage="1" showErrorMessage="1" sqref="R8" xr:uid="{F2EB6D44-9B75-4A0D-AD19-7AB7F3F41B6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689B-FCDA-4A27-9F15-1CE972CF5BFA}">
  <sheetPr>
    <pageSetUpPr fitToPage="1"/>
  </sheetPr>
  <dimension ref="A1:BE75"/>
  <sheetViews>
    <sheetView topLeftCell="A50" zoomScale="80" zoomScaleNormal="80" workbookViewId="0">
      <selection activeCell="O61" sqref="O6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45959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>
      <c r="B10" s="29" t="s">
        <v>6</v>
      </c>
      <c r="C10" s="366" t="str">
        <f>[22]Brewhouse!$A897</f>
        <v>CA783</v>
      </c>
      <c r="D10" s="279">
        <f>[22]Brewhouse!$AF897</f>
        <v>51.5</v>
      </c>
      <c r="E10" s="279">
        <f>[22]Brewhouse!$AI897</f>
        <v>51.6</v>
      </c>
      <c r="F10" s="278">
        <f>[22]Brewhouse!$V897</f>
        <v>64</v>
      </c>
      <c r="G10" s="279">
        <f>[22]Brewhouse!AG897</f>
        <v>11.6</v>
      </c>
      <c r="H10" s="396">
        <v>11.7</v>
      </c>
      <c r="I10" s="368">
        <f>[22]Brewhouse!$AU897</f>
        <v>98.17952548346075</v>
      </c>
      <c r="J10" s="368">
        <f>[22]Brewhouse!$AV897</f>
        <v>99.174657121199999</v>
      </c>
      <c r="K10" s="281">
        <f>[22]Brewhouse!$Q897</f>
        <v>8.1355932203389845</v>
      </c>
      <c r="L10" s="276">
        <f>[22]Brewhouse!$P897</f>
        <v>60</v>
      </c>
      <c r="M10" s="397">
        <f>[22]Brewhouse!$U897-[22]Brewhouse!$T897</f>
        <v>0.11527777777777781</v>
      </c>
      <c r="N10" s="370">
        <f>[22]Brewhouse!$Z897</f>
        <v>0.24791666666666667</v>
      </c>
      <c r="O10" s="421" t="str">
        <f>[22]Brewhouse!$AX897</f>
        <v>R. Regis</v>
      </c>
      <c r="P10" s="357"/>
      <c r="R10" s="277" t="str">
        <f t="shared" ref="R10" si="0">B10</f>
        <v>CARIB</v>
      </c>
      <c r="S10" s="296">
        <f t="shared" ref="S10:S18" si="1">VLOOKUP($B10,$R$3:$X$9,2,FALSE)</f>
        <v>11.6</v>
      </c>
      <c r="T10" s="296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296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[22]Brewhouse!$A898</f>
        <v>CA784</v>
      </c>
      <c r="D11" s="279">
        <f>[22]Brewhouse!$AF898</f>
        <v>50.8</v>
      </c>
      <c r="E11" s="279">
        <f>[22]Brewhouse!$AI898</f>
        <v>49.1</v>
      </c>
      <c r="F11" s="278">
        <f>[22]Brewhouse!$V898</f>
        <v>62</v>
      </c>
      <c r="G11" s="279">
        <f>[22]Brewhouse!AG898</f>
        <v>11.9</v>
      </c>
      <c r="H11" s="367"/>
      <c r="I11" s="368">
        <f>[22]Brewhouse!$AU898</f>
        <v>95.848580419797756</v>
      </c>
      <c r="J11" s="368">
        <f>[22]Brewhouse!$AV898</f>
        <v>96.820163512458606</v>
      </c>
      <c r="K11" s="281">
        <f>[22]Brewhouse!$Q898</f>
        <v>5.6873822975517951</v>
      </c>
      <c r="L11" s="276">
        <f>[22]Brewhouse!$P898</f>
        <v>60</v>
      </c>
      <c r="M11" s="397">
        <f>[22]Brewhouse!$U898-[22]Brewhouse!$T898</f>
        <v>0.10972222222222225</v>
      </c>
      <c r="N11" s="370">
        <f>[22]Brewhouse!$Z898</f>
        <v>0.25</v>
      </c>
      <c r="O11" s="421" t="str">
        <f>[22]Brewhouse!$AX898</f>
        <v>R. Regis</v>
      </c>
      <c r="P11" s="418"/>
      <c r="R11" s="277" t="str">
        <f t="shared" ref="R11:R18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[22]Brewhouse!$A899</f>
        <v>CA785</v>
      </c>
      <c r="D12" s="279">
        <f>[22]Brewhouse!$AF899</f>
        <v>51.4</v>
      </c>
      <c r="E12" s="279">
        <f>[22]Brewhouse!$AI899</f>
        <v>49.1</v>
      </c>
      <c r="F12" s="278">
        <f>[22]Brewhouse!$V899</f>
        <v>61</v>
      </c>
      <c r="G12" s="279">
        <f>[22]Brewhouse!AG899</f>
        <v>11.7</v>
      </c>
      <c r="H12" s="396">
        <v>11.8</v>
      </c>
      <c r="I12" s="368">
        <f>[22]Brewhouse!$AU899</f>
        <v>93.809196949045031</v>
      </c>
      <c r="J12" s="368">
        <f>[22]Brewhouse!$AV899</f>
        <v>94.760334071802419</v>
      </c>
      <c r="K12" s="281">
        <f>[22]Brewhouse!$Q899</f>
        <v>4.5574387947269335</v>
      </c>
      <c r="L12" s="276">
        <f>[22]Brewhouse!$P899</f>
        <v>59</v>
      </c>
      <c r="M12" s="397">
        <f>[22]Brewhouse!$U899-[22]Brewhouse!$T899</f>
        <v>0.10833333333333334</v>
      </c>
      <c r="N12" s="370">
        <f>[22]Brewhouse!$Z899</f>
        <v>0.24652777777777779</v>
      </c>
      <c r="O12" s="421" t="str">
        <f>[22]Brewhouse!$AX899</f>
        <v>R.Sookram</v>
      </c>
      <c r="P12" s="418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[22]Brewhouse!$A900</f>
        <v>CA786</v>
      </c>
      <c r="D13" s="279">
        <f>[22]Brewhouse!$AF900</f>
        <v>51.7</v>
      </c>
      <c r="E13" s="279">
        <f>[22]Brewhouse!$AI900</f>
        <v>50.2</v>
      </c>
      <c r="F13" s="278">
        <f>[22]Brewhouse!$V900</f>
        <v>63</v>
      </c>
      <c r="G13" s="279">
        <f>[22]Brewhouse!AG900</f>
        <v>11.5</v>
      </c>
      <c r="H13" s="396">
        <v>11.7</v>
      </c>
      <c r="I13" s="368">
        <f>[22]Brewhouse!$AU900</f>
        <v>94.185531653113614</v>
      </c>
      <c r="J13" s="368">
        <f>[22]Brewhouse!$AV900</f>
        <v>95.14048445620152</v>
      </c>
      <c r="K13" s="281">
        <f>[22]Brewhouse!$Q900</f>
        <v>3.992467043314496</v>
      </c>
      <c r="L13" s="276">
        <f>[22]Brewhouse!$P900</f>
        <v>58</v>
      </c>
      <c r="M13" s="397">
        <f>[22]Brewhouse!$U900-[22]Brewhouse!$T900</f>
        <v>0.10833333333333334</v>
      </c>
      <c r="N13" s="370">
        <f>[22]Brewhouse!$Z900</f>
        <v>0.27638888888888891</v>
      </c>
      <c r="O13" s="421" t="str">
        <f>[22]Brewhouse!$AX900</f>
        <v>R.Sookram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[22]Brewhouse!$A901</f>
        <v>CA787</v>
      </c>
      <c r="D14" s="279">
        <f>[22]Brewhouse!$AF901</f>
        <v>51.2</v>
      </c>
      <c r="E14" s="279">
        <f>[22]Brewhouse!$AI901</f>
        <v>50.2</v>
      </c>
      <c r="F14" s="278">
        <f>[22]Brewhouse!$V901</f>
        <v>63</v>
      </c>
      <c r="G14" s="279">
        <f>[22]Brewhouse!AG901</f>
        <v>12</v>
      </c>
      <c r="H14" s="396">
        <v>11.6</v>
      </c>
      <c r="I14" s="368">
        <f>[22]Brewhouse!$AU901</f>
        <v>98.983308023811972</v>
      </c>
      <c r="J14" s="368">
        <f>[22]Brewhouse!$AV901</f>
        <v>99.986586670123799</v>
      </c>
      <c r="K14" s="281">
        <f>[22]Brewhouse!$Q901</f>
        <v>4.9340866290018788</v>
      </c>
      <c r="L14" s="276">
        <f>[22]Brewhouse!$P901</f>
        <v>58</v>
      </c>
      <c r="M14" s="397">
        <f>[22]Brewhouse!$U901-[22]Brewhouse!$T901</f>
        <v>0.11805555555555547</v>
      </c>
      <c r="N14" s="370">
        <f>[22]Brewhouse!$Z901</f>
        <v>0.27013888888888882</v>
      </c>
      <c r="O14" s="421" t="str">
        <f>[22]Brewhouse!$AX901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[22]Brewhouse!$A902</f>
        <v>CA788</v>
      </c>
      <c r="D15" s="279">
        <f>[22]Brewhouse!$AF902</f>
        <v>49.6</v>
      </c>
      <c r="E15" s="279">
        <f>[22]Brewhouse!$AI902</f>
        <v>49.8</v>
      </c>
      <c r="F15" s="278">
        <f>[22]Brewhouse!$V902</f>
        <v>81</v>
      </c>
      <c r="G15" s="279">
        <f>[22]Brewhouse!AG902</f>
        <v>11.7</v>
      </c>
      <c r="H15" s="396">
        <v>12</v>
      </c>
      <c r="I15" s="368">
        <f>[22]Brewhouse!$AU902</f>
        <v>95.732374196548477</v>
      </c>
      <c r="J15" s="368">
        <f>[22]Brewhouse!$AV902</f>
        <v>96.702624278433731</v>
      </c>
      <c r="K15" s="281">
        <f>[22]Brewhouse!$Q902</f>
        <v>7.9472693032015043</v>
      </c>
      <c r="L15" s="276">
        <f>[22]Brewhouse!$P902</f>
        <v>60</v>
      </c>
      <c r="M15" s="397">
        <f>[22]Brewhouse!$U902-[22]Brewhouse!$T902</f>
        <v>0.14166666666666661</v>
      </c>
      <c r="N15" s="370">
        <f>[22]Brewhouse!$Z902</f>
        <v>0.28680555555555554</v>
      </c>
      <c r="O15" s="421" t="str">
        <f>[22]Brewhouse!$AX902</f>
        <v>K.Benjamin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[22]Brewhouse!$A903</f>
        <v>CA789</v>
      </c>
      <c r="D16" s="279">
        <f>[22]Brewhouse!$AF903</f>
        <v>53.2</v>
      </c>
      <c r="E16" s="279">
        <f>[22]Brewhouse!$AI903</f>
        <v>51.6</v>
      </c>
      <c r="F16" s="278">
        <f>[22]Brewhouse!$V903</f>
        <v>65</v>
      </c>
      <c r="G16" s="279">
        <f>[22]Brewhouse!AG903</f>
        <v>11.8</v>
      </c>
      <c r="H16" s="396">
        <v>11.7</v>
      </c>
      <c r="I16" s="368">
        <f>[22]Brewhouse!$AU903</f>
        <v>100.08474597557371</v>
      </c>
      <c r="J16" s="368">
        <f>[22]Brewhouse!$AV903</f>
        <v>101.0991074577082</v>
      </c>
      <c r="K16" s="281">
        <f>[22]Brewhouse!$Q903</f>
        <v>0.98113207547169057</v>
      </c>
      <c r="L16" s="276">
        <f>[22]Brewhouse!$P903</f>
        <v>60</v>
      </c>
      <c r="M16" s="397">
        <f>[22]Brewhouse!$U903-[22]Brewhouse!$T903</f>
        <v>0.11388888888888882</v>
      </c>
      <c r="N16" s="370">
        <f>[22]Brewhouse!$Z903</f>
        <v>0.26666666666666661</v>
      </c>
      <c r="O16" s="421" t="str">
        <f>[22]Brewhouse!$AX903</f>
        <v>K.Benjamin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" customHeight="1">
      <c r="B17" s="29" t="s">
        <v>6</v>
      </c>
      <c r="C17" s="366" t="str">
        <f>[22]Brewhouse!$A904</f>
        <v>CA790</v>
      </c>
      <c r="D17" s="279">
        <f>[22]Brewhouse!$AF904</f>
        <v>50.1</v>
      </c>
      <c r="E17" s="279">
        <f>[22]Brewhouse!$AI904</f>
        <v>51.1</v>
      </c>
      <c r="F17" s="278">
        <f>[22]Brewhouse!$V904</f>
        <v>63</v>
      </c>
      <c r="G17" s="279">
        <f>[22]Brewhouse!AG904</f>
        <v>11.7</v>
      </c>
      <c r="H17" s="396">
        <v>11.7</v>
      </c>
      <c r="I17" s="368">
        <f>[22]Brewhouse!$AU904</f>
        <v>97.749969638140229</v>
      </c>
      <c r="J17" s="368">
        <f>[22]Brewhouse!$AV904</f>
        <v>98.740984001582106</v>
      </c>
      <c r="K17" s="281">
        <f>[22]Brewhouse!$Q904</f>
        <v>6.8301886792452775</v>
      </c>
      <c r="L17" s="276">
        <f>[22]Brewhouse!$P904</f>
        <v>60</v>
      </c>
      <c r="M17" s="397">
        <f>[22]Brewhouse!$U904-[22]Brewhouse!$T904</f>
        <v>0.13055555555555565</v>
      </c>
      <c r="N17" s="370">
        <f>[22]Brewhouse!$Z904</f>
        <v>0.2729166666666667</v>
      </c>
      <c r="O17" s="421" t="str">
        <f>[22]Brewhouse!$AX904</f>
        <v>K.Benjamin</v>
      </c>
      <c r="P17" s="418"/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7" ht="15" customHeight="1">
      <c r="B20" s="33" t="s">
        <v>9</v>
      </c>
      <c r="C20" s="366" t="str">
        <f>[23]Brewhouse!$A436</f>
        <v>ST413</v>
      </c>
      <c r="D20" s="279">
        <f>[23]Brewhouse!$AD436</f>
        <v>46.3</v>
      </c>
      <c r="E20" s="279">
        <f>[23]Brewhouse!$AG436</f>
        <v>46.1</v>
      </c>
      <c r="F20" s="278">
        <f>[23]Brewhouse!$V436</f>
        <v>58</v>
      </c>
      <c r="G20" s="279">
        <f>[23]Brewhouse!$AE436</f>
        <v>12</v>
      </c>
      <c r="H20" s="396">
        <v>12</v>
      </c>
      <c r="I20" s="420">
        <f>[23]Brewhouse!$AS436</f>
        <v>92.357399362533982</v>
      </c>
      <c r="J20" s="420">
        <f>[23]Brewhouse!$AT436</f>
        <v>93.147949476146536</v>
      </c>
      <c r="K20" s="281">
        <f>[23]Brewhouse!$Q436</f>
        <v>13.221153846153847</v>
      </c>
      <c r="L20" s="276">
        <f>[23]Brewhouse!$P436</f>
        <v>60</v>
      </c>
      <c r="M20" s="374">
        <f>[23]Brewhouse!$U436-[23]Brewhouse!$T436</f>
        <v>0.10833333333333328</v>
      </c>
      <c r="N20" s="370">
        <f>[23]Brewhouse!$AW436</f>
        <v>0.23680555555555549</v>
      </c>
      <c r="O20" s="421" t="str">
        <f>[23]Brewhouse!$AV436</f>
        <v>K. Benjamin</v>
      </c>
      <c r="P20" s="418"/>
      <c r="R20" s="277" t="str">
        <f t="shared" ref="R20:R37" si="10">B20</f>
        <v>STAG</v>
      </c>
      <c r="S20" s="296">
        <f t="shared" ref="S20:S37" si="11">VLOOKUP($B20,$R$3:$X$9,2,FALSE)</f>
        <v>11.6</v>
      </c>
      <c r="T20" s="296">
        <f t="shared" ref="T20:T37" si="12">VLOOKUP($B20,$R$3:$X$9,3,FALSE)</f>
        <v>12</v>
      </c>
      <c r="U20" s="297">
        <f t="shared" ref="U20:U37" si="13">VLOOKUP($B20,$R$3:$X$9,4,FALSE)</f>
        <v>0</v>
      </c>
      <c r="V20" s="297">
        <f t="shared" ref="V20:V37" si="14">VLOOKUP($B20,$R$3:$X$9,5,FALSE)</f>
        <v>0.118055555555556</v>
      </c>
      <c r="W20" s="297">
        <f t="shared" ref="W20:W37" si="15">VLOOKUP($B20,$R$3:$X$9,6,FALSE)</f>
        <v>0.22569444444444445</v>
      </c>
      <c r="X20" s="297">
        <f t="shared" ref="X20:X37" si="16">VLOOKUP($B20,$R$3:$X$9,7,FALSE)</f>
        <v>0.2638888888888889</v>
      </c>
      <c r="Y20" s="297">
        <f t="shared" ref="Y20:Y37" si="17">VLOOKUP($B20,$R$3:$Z$9,8,FALSE)</f>
        <v>0</v>
      </c>
      <c r="Z20" s="296">
        <f t="shared" ref="Z20:Z37" si="18">VLOOKUP($B20,$R$3:$Z$9,9,FALSE)</f>
        <v>60</v>
      </c>
    </row>
    <row r="21" spans="1:27" ht="15" customHeight="1">
      <c r="B21" s="33" t="s">
        <v>9</v>
      </c>
      <c r="C21" s="366" t="str">
        <f>[23]Brewhouse!$A437</f>
        <v>ST414</v>
      </c>
      <c r="D21" s="279">
        <f>[23]Brewhouse!$AD437</f>
        <v>50</v>
      </c>
      <c r="E21" s="279">
        <f>[23]Brewhouse!$AG437</f>
        <v>50.2</v>
      </c>
      <c r="F21" s="278">
        <f>[23]Brewhouse!$V437</f>
        <v>62</v>
      </c>
      <c r="G21" s="279">
        <f>[23]Brewhouse!$AE437</f>
        <v>11.7</v>
      </c>
      <c r="H21" s="396">
        <v>12</v>
      </c>
      <c r="I21" s="420">
        <f>[23]Brewhouse!$AS437</f>
        <v>98.174339715177652</v>
      </c>
      <c r="J21" s="420">
        <f>[23]Brewhouse!$AT437</f>
        <v>99.014132462500015</v>
      </c>
      <c r="K21" s="281">
        <f>[23]Brewhouse!$Q437</f>
        <v>12.236084452975048</v>
      </c>
      <c r="L21" s="276">
        <f>[23]Brewhouse!$P437</f>
        <v>60</v>
      </c>
      <c r="M21" s="374">
        <f>[23]Brewhouse!$U437-[23]Brewhouse!$T437</f>
        <v>0.11388888888888893</v>
      </c>
      <c r="N21" s="370">
        <f>[23]Brewhouse!$AW437</f>
        <v>0.25</v>
      </c>
      <c r="O21" s="421" t="str">
        <f>[23]Brewhouse!$AV437</f>
        <v>R. Regis</v>
      </c>
      <c r="P21" s="418"/>
      <c r="R21" s="277" t="str">
        <f t="shared" si="10"/>
        <v>STAG</v>
      </c>
      <c r="S21" s="296">
        <f t="shared" si="11"/>
        <v>11.6</v>
      </c>
      <c r="T21" s="296">
        <f t="shared" si="12"/>
        <v>12</v>
      </c>
      <c r="U21" s="297">
        <f t="shared" si="13"/>
        <v>0</v>
      </c>
      <c r="V21" s="297">
        <f t="shared" si="14"/>
        <v>0.118055555555556</v>
      </c>
      <c r="W21" s="297">
        <f t="shared" si="15"/>
        <v>0.22569444444444445</v>
      </c>
      <c r="X21" s="297">
        <f t="shared" si="16"/>
        <v>0.2638888888888889</v>
      </c>
      <c r="Y21" s="297">
        <f t="shared" si="17"/>
        <v>0</v>
      </c>
      <c r="Z21" s="296">
        <f t="shared" si="18"/>
        <v>60</v>
      </c>
    </row>
    <row r="22" spans="1:27" ht="15" customHeight="1">
      <c r="B22" s="33" t="s">
        <v>9</v>
      </c>
      <c r="C22" s="366" t="str">
        <f>[23]Brewhouse!$A438</f>
        <v>ST415</v>
      </c>
      <c r="D22" s="279">
        <f>[23]Brewhouse!$AD438</f>
        <v>48.1</v>
      </c>
      <c r="E22" s="279">
        <f>[23]Brewhouse!$AG438</f>
        <v>48.5</v>
      </c>
      <c r="F22" s="278">
        <f>[23]Brewhouse!$V438</f>
        <v>64</v>
      </c>
      <c r="G22" s="279">
        <f>[23]Brewhouse!$AE438</f>
        <v>11.7</v>
      </c>
      <c r="H22" s="396">
        <v>12.1</v>
      </c>
      <c r="I22" s="420">
        <f>[23]Brewhouse!$AS438</f>
        <v>94.612676020841974</v>
      </c>
      <c r="J22" s="420">
        <f>[23]Brewhouse!$AT438</f>
        <v>95.422530589005632</v>
      </c>
      <c r="K22" s="281">
        <f>[23]Brewhouse!$Q438</f>
        <v>12.811900191938575</v>
      </c>
      <c r="L22" s="276">
        <f>[23]Brewhouse!$P438</f>
        <v>60</v>
      </c>
      <c r="M22" s="374">
        <f>[23]Brewhouse!$U438-[23]Brewhouse!$T438</f>
        <v>0.1131944444444446</v>
      </c>
      <c r="N22" s="370">
        <f>[23]Brewhouse!$AW438</f>
        <v>0.2465277777777779</v>
      </c>
      <c r="O22" s="421" t="str">
        <f>[23]Brewhouse!$AV438</f>
        <v>R. Regis</v>
      </c>
      <c r="P22" s="418"/>
      <c r="R22" s="277" t="str">
        <f t="shared" si="10"/>
        <v>STAG</v>
      </c>
      <c r="S22" s="296">
        <f t="shared" si="11"/>
        <v>11.6</v>
      </c>
      <c r="T22" s="296">
        <f t="shared" si="12"/>
        <v>12</v>
      </c>
      <c r="U22" s="297">
        <f t="shared" si="13"/>
        <v>0</v>
      </c>
      <c r="V22" s="297">
        <f t="shared" si="14"/>
        <v>0.118055555555556</v>
      </c>
      <c r="W22" s="297">
        <f t="shared" si="15"/>
        <v>0.22569444444444445</v>
      </c>
      <c r="X22" s="297">
        <f t="shared" si="16"/>
        <v>0.2638888888888889</v>
      </c>
      <c r="Y22" s="297">
        <f t="shared" si="17"/>
        <v>0</v>
      </c>
      <c r="Z22" s="296">
        <f t="shared" si="18"/>
        <v>60</v>
      </c>
    </row>
    <row r="23" spans="1:27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10"/>
        <v>0</v>
      </c>
      <c r="S23" s="296" t="e">
        <f t="shared" si="11"/>
        <v>#N/A</v>
      </c>
      <c r="T23" s="296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296" t="e">
        <f t="shared" si="1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10"/>
        <v>0</v>
      </c>
      <c r="S24" s="296" t="e">
        <f t="shared" si="11"/>
        <v>#N/A</v>
      </c>
      <c r="T24" s="296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296" t="e">
        <f t="shared" si="18"/>
        <v>#N/A</v>
      </c>
    </row>
    <row r="25" spans="1:27" ht="15.75" thickBot="1">
      <c r="B25" s="388" t="s">
        <v>162</v>
      </c>
      <c r="C25" s="388"/>
      <c r="D25" s="489" t="s">
        <v>35</v>
      </c>
      <c r="E25" s="490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10"/>
        <v xml:space="preserve">BRAND </v>
      </c>
      <c r="S25" s="296" t="e">
        <f t="shared" si="11"/>
        <v>#N/A</v>
      </c>
      <c r="T25" s="296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296" t="e">
        <f t="shared" si="18"/>
        <v>#N/A</v>
      </c>
    </row>
    <row r="26" spans="1:27" ht="15" customHeight="1" thickBot="1">
      <c r="A26" s="28"/>
      <c r="B26" s="577" t="str">
        <f>I26</f>
        <v>CARIB</v>
      </c>
      <c r="C26" s="362">
        <f>[22]Process!D823</f>
        <v>11.9</v>
      </c>
      <c r="D26" s="528">
        <v>11.85</v>
      </c>
      <c r="E26" s="529"/>
      <c r="F26" s="294"/>
      <c r="G26" s="294"/>
      <c r="H26" s="348"/>
      <c r="I26" s="29" t="s">
        <v>6</v>
      </c>
      <c r="J26" s="280">
        <f>AVERAGE(I10:I17)</f>
        <v>96.821654042436435</v>
      </c>
      <c r="K26" s="284">
        <f>COUNTA([22]Brewhouse!$A$823:$A$862,[23]Brewhouse!$A$420:$A$423,[22]Brewhouse!$A$867:$A$904)</f>
        <v>82</v>
      </c>
      <c r="L26" s="305">
        <f>AVERAGE([22]Brewhouse!$AU$823:$AU$862,[23]Brewhouse!$AS$420:$AS$423,[22]Brewhouse!$AU$867:$AU$904)</f>
        <v>97.822781757851729</v>
      </c>
      <c r="M26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$904)</f>
        <v>97.720603833090024</v>
      </c>
      <c r="N26" s="30">
        <v>98</v>
      </c>
      <c r="O26" s="11"/>
      <c r="P26" s="31"/>
      <c r="R26" s="277" t="str">
        <f t="shared" si="10"/>
        <v>CARIB</v>
      </c>
      <c r="S26" s="296">
        <f t="shared" si="11"/>
        <v>11.6</v>
      </c>
      <c r="T26" s="296">
        <f t="shared" si="12"/>
        <v>12</v>
      </c>
      <c r="U26" s="297">
        <f t="shared" si="13"/>
        <v>0</v>
      </c>
      <c r="V26" s="297">
        <f t="shared" si="14"/>
        <v>0.118055555555556</v>
      </c>
      <c r="W26" s="297">
        <f t="shared" si="15"/>
        <v>0.22569444444444445</v>
      </c>
      <c r="X26" s="297">
        <f t="shared" si="16"/>
        <v>0.2638888888888889</v>
      </c>
      <c r="Y26" s="297">
        <f t="shared" si="17"/>
        <v>0</v>
      </c>
      <c r="Z26" s="296">
        <f t="shared" si="18"/>
        <v>60</v>
      </c>
    </row>
    <row r="27" spans="1:27" ht="15" customHeight="1" thickBot="1">
      <c r="A27" s="28"/>
      <c r="B27" s="578"/>
      <c r="C27" s="362">
        <f>[22]Process!D824</f>
        <v>11.7</v>
      </c>
      <c r="D27" s="528">
        <v>11.7</v>
      </c>
      <c r="E27" s="529"/>
      <c r="F27" s="294"/>
      <c r="G27" s="294"/>
      <c r="H27" s="348"/>
      <c r="I27" s="33" t="s">
        <v>9</v>
      </c>
      <c r="J27" s="280">
        <f>AVERAGE(I20:I22)</f>
        <v>95.048138366184546</v>
      </c>
      <c r="K27" s="284">
        <f>COUNTA([23]Brewhouse!$A$399:$A$438)</f>
        <v>40</v>
      </c>
      <c r="L27" s="302">
        <f>AVERAGE([23]Brewhouse!$AS$399:$AS$438)</f>
        <v>97.348648146295986</v>
      </c>
      <c r="M27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$438)</f>
        <v>97.93392101398328</v>
      </c>
      <c r="N27" s="30">
        <v>98</v>
      </c>
      <c r="O27" s="11"/>
      <c r="P27" s="31"/>
      <c r="R27" s="277">
        <f t="shared" si="10"/>
        <v>0</v>
      </c>
      <c r="S27" s="296" t="e">
        <f t="shared" si="11"/>
        <v>#N/A</v>
      </c>
      <c r="T27" s="296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296" t="e">
        <f t="shared" si="18"/>
        <v>#N/A</v>
      </c>
    </row>
    <row r="28" spans="1:27" ht="14.65" customHeight="1" thickBot="1">
      <c r="A28" s="28"/>
      <c r="B28" s="578"/>
      <c r="C28" s="362">
        <f>[22]Process!D825</f>
        <v>11.7</v>
      </c>
      <c r="D28" s="528">
        <v>11.61</v>
      </c>
      <c r="E28" s="529"/>
      <c r="F28" s="294"/>
      <c r="G28" s="294"/>
      <c r="H28" s="348"/>
      <c r="I28" s="34" t="s">
        <v>12</v>
      </c>
      <c r="J28" s="280"/>
      <c r="K28" s="284">
        <f>COUNTA([24]Brewhouse!$A$99:$A$106)</f>
        <v>8</v>
      </c>
      <c r="L28" s="302">
        <f>AVERAGE([24]Brewhouse!$AU$99:$AU$106)</f>
        <v>94.823749681896615</v>
      </c>
      <c r="M28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28" s="30">
        <v>98</v>
      </c>
      <c r="O28" s="11"/>
      <c r="P28" s="31"/>
      <c r="R28" s="277">
        <f t="shared" si="10"/>
        <v>0</v>
      </c>
      <c r="S28" s="296" t="e">
        <f t="shared" si="11"/>
        <v>#N/A</v>
      </c>
      <c r="T28" s="296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296" t="e">
        <f t="shared" si="18"/>
        <v>#N/A</v>
      </c>
    </row>
    <row r="29" spans="1:27" ht="14.65" customHeight="1" thickBot="1">
      <c r="A29" s="28"/>
      <c r="B29" s="578"/>
      <c r="C29" s="362">
        <f>[22]Process!D826</f>
        <v>11.9</v>
      </c>
      <c r="D29" s="528">
        <v>11.81</v>
      </c>
      <c r="E29" s="529"/>
      <c r="F29" s="294"/>
      <c r="G29" s="294"/>
      <c r="H29" s="348"/>
      <c r="I29" s="22" t="s">
        <v>33</v>
      </c>
      <c r="J29" s="280"/>
      <c r="K29" s="284">
        <f>COUNTA([25]Brewhouse!$A$88:$A$95)</f>
        <v>8</v>
      </c>
      <c r="L29" s="302">
        <f>AVERAGE([25]Brewhouse!$AV$88:$AV$95)</f>
        <v>97.908624430386354</v>
      </c>
      <c r="M29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29" s="30">
        <v>98</v>
      </c>
      <c r="O29" s="11"/>
      <c r="P29" s="31"/>
      <c r="R29" s="277">
        <f t="shared" si="10"/>
        <v>0</v>
      </c>
      <c r="S29" s="296" t="e">
        <f t="shared" si="11"/>
        <v>#N/A</v>
      </c>
      <c r="T29" s="296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296" t="e">
        <f t="shared" si="18"/>
        <v>#N/A</v>
      </c>
    </row>
    <row r="30" spans="1:27" ht="14.65" customHeight="1" thickBot="1">
      <c r="A30" s="28"/>
      <c r="B30" s="578"/>
      <c r="C30" s="362">
        <f>[22]Process!D827</f>
        <v>11.4</v>
      </c>
      <c r="D30" s="528">
        <v>11.68</v>
      </c>
      <c r="E30" s="529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10"/>
        <v>0</v>
      </c>
      <c r="S30" s="296" t="e">
        <f t="shared" si="11"/>
        <v>#N/A</v>
      </c>
      <c r="T30" s="296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296" t="e">
        <f t="shared" si="18"/>
        <v>#N/A</v>
      </c>
    </row>
    <row r="31" spans="1:27" ht="14.65" customHeight="1">
      <c r="A31" s="28"/>
      <c r="B31" s="578"/>
      <c r="C31" s="362">
        <f>[22]Process!D828</f>
        <v>11.7</v>
      </c>
      <c r="D31" s="528">
        <v>11.61</v>
      </c>
      <c r="E31" s="529"/>
      <c r="F31" s="417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AVERAGE([26]Brewhouse!$AT$4:$AT$11,[26]Brewhouse!$AT$13:$AT$16,[26]Brewhouse!$AT$18:$AT$21,[26]Brewhouse!$AT$26,[26]Brewhouse!$AT$28:$AT$35)</f>
        <v>94.794664331624134</v>
      </c>
      <c r="N31" s="30">
        <v>98</v>
      </c>
      <c r="O31" s="11"/>
      <c r="P31" s="31"/>
      <c r="R31" s="277">
        <f t="shared" si="10"/>
        <v>0</v>
      </c>
      <c r="S31" s="296" t="e">
        <f t="shared" si="11"/>
        <v>#N/A</v>
      </c>
      <c r="T31" s="296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296" t="e">
        <f t="shared" si="18"/>
        <v>#N/A</v>
      </c>
      <c r="AA31" s="296"/>
    </row>
    <row r="32" spans="1:27" ht="14.65" customHeight="1">
      <c r="A32" s="28"/>
      <c r="B32" s="578"/>
      <c r="C32" s="362">
        <f>[22]Process!D829</f>
        <v>11.7</v>
      </c>
      <c r="D32" s="564">
        <v>11.82</v>
      </c>
      <c r="E32" s="565"/>
      <c r="F32" s="417"/>
      <c r="G32" s="294"/>
      <c r="H32" s="348"/>
      <c r="I32" s="37" t="s">
        <v>16</v>
      </c>
      <c r="J32" s="323"/>
      <c r="K32" s="284"/>
      <c r="L32" s="302"/>
      <c r="M32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2" s="30">
        <v>98</v>
      </c>
      <c r="O32" s="11"/>
      <c r="P32" s="31" t="s">
        <v>41</v>
      </c>
      <c r="R32" s="277">
        <f t="shared" si="10"/>
        <v>0</v>
      </c>
      <c r="S32" s="296" t="e">
        <f t="shared" si="11"/>
        <v>#N/A</v>
      </c>
      <c r="T32" s="296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296" t="e">
        <f t="shared" si="18"/>
        <v>#N/A</v>
      </c>
      <c r="AA32" s="296"/>
    </row>
    <row r="33" spans="1:56" ht="14.65" customHeight="1" thickBot="1">
      <c r="A33" s="28"/>
      <c r="B33" s="578"/>
      <c r="C33" s="362">
        <f>[22]Process!D830</f>
        <v>11.6</v>
      </c>
      <c r="D33" s="530"/>
      <c r="E33" s="518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AVERAGE([28]Brewhouse!$AU$5:$AU$8,[28]Brewhouse!$AU$10:$AU$13,[27]Brewhouse!$AY$75:$AY$77)</f>
        <v>94.749192473706671</v>
      </c>
      <c r="N33" s="30">
        <v>98</v>
      </c>
      <c r="O33" s="11"/>
      <c r="P33" s="31"/>
      <c r="R33" s="277">
        <f t="shared" si="10"/>
        <v>0</v>
      </c>
      <c r="S33" s="296" t="e">
        <f t="shared" si="11"/>
        <v>#N/A</v>
      </c>
      <c r="T33" s="296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296" t="e">
        <f t="shared" si="18"/>
        <v>#N/A</v>
      </c>
      <c r="AA33" s="296"/>
    </row>
    <row r="34" spans="1:56" ht="14.65" customHeight="1" thickBot="1">
      <c r="A34" s="28"/>
      <c r="B34" s="578"/>
      <c r="C34" s="349">
        <f>[22]Process!D831</f>
        <v>12</v>
      </c>
      <c r="D34" s="528">
        <v>11.64</v>
      </c>
      <c r="E34" s="529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>
        <f t="shared" si="10"/>
        <v>0</v>
      </c>
      <c r="S34" s="296" t="e">
        <f t="shared" si="11"/>
        <v>#N/A</v>
      </c>
      <c r="T34" s="296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296" t="e">
        <f t="shared" si="18"/>
        <v>#N/A</v>
      </c>
      <c r="AA34" s="296"/>
    </row>
    <row r="35" spans="1:56" ht="15" customHeight="1" thickBot="1">
      <c r="A35" s="28"/>
      <c r="B35" s="578"/>
      <c r="C35" s="349">
        <f>[22]Process!D832</f>
        <v>11.8</v>
      </c>
      <c r="D35" s="528">
        <v>11.33</v>
      </c>
      <c r="E35" s="529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>
        <f t="shared" si="10"/>
        <v>0</v>
      </c>
      <c r="S35" s="296" t="e">
        <f t="shared" si="11"/>
        <v>#N/A</v>
      </c>
      <c r="T35" s="296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296" t="e">
        <f t="shared" si="18"/>
        <v>#N/A</v>
      </c>
      <c r="AA35" s="296"/>
    </row>
    <row r="36" spans="1:56" ht="15" customHeight="1" thickBot="1">
      <c r="A36" s="28"/>
      <c r="B36" s="578"/>
      <c r="C36" s="349">
        <f>[22]Process!D833</f>
        <v>11.8</v>
      </c>
      <c r="D36" s="515">
        <v>11.53</v>
      </c>
      <c r="E36" s="516"/>
      <c r="F36" s="294"/>
      <c r="G36" s="294"/>
      <c r="H36" s="348"/>
      <c r="I36" s="1"/>
      <c r="J36" s="39"/>
      <c r="K36" s="404">
        <f>SUM(K26:K35)</f>
        <v>138</v>
      </c>
      <c r="L36" s="405">
        <f>((L26*K26)+(L27*K27)+(L28*K28)+(L29*K29)+(L30*K30)+(K33*L33)+(L31*K31)+(L32*K32)+(L35*K35))/(K36)</f>
        <v>97.516471180390909</v>
      </c>
      <c r="M36" s="405">
        <f>AVERAGE('[31]Jan 31st'!$L$65,'[32]Feb 28th'!$L$35,'[33]Mar. 31st'!$L$35,'[34]Apr. 30th'!$L$45,'[35]May 30th'!$L$37,'[36]June 30th'!$L$57,'[37]July 29th '!$L$44,'[38]Aug 29th'!$L$29,'[39]Sept 30th'!$L$35,L36)</f>
        <v>97.56959735772088</v>
      </c>
      <c r="N36" s="40">
        <v>98</v>
      </c>
      <c r="O36" s="11"/>
      <c r="P36" s="31"/>
      <c r="R36" s="277">
        <f t="shared" si="10"/>
        <v>0</v>
      </c>
      <c r="S36" s="296" t="e">
        <f t="shared" si="11"/>
        <v>#N/A</v>
      </c>
      <c r="T36" s="296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296" t="e">
        <f t="shared" si="18"/>
        <v>#N/A</v>
      </c>
      <c r="AA36" s="296"/>
    </row>
    <row r="37" spans="1:56" ht="15.75" thickBot="1">
      <c r="B37" s="579"/>
      <c r="C37" s="350">
        <f>[22]Process!D834</f>
        <v>11.6</v>
      </c>
      <c r="D37" s="517"/>
      <c r="E37" s="51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0"/>
        <v>0</v>
      </c>
      <c r="S37" s="296" t="e">
        <f t="shared" si="11"/>
        <v>#N/A</v>
      </c>
      <c r="T37" s="296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296" t="e">
        <f t="shared" si="18"/>
        <v>#N/A</v>
      </c>
      <c r="AA37" s="296"/>
    </row>
    <row r="38" spans="1:56" ht="15.75" thickBot="1">
      <c r="B38" s="512" t="str">
        <f>I27</f>
        <v>STAG</v>
      </c>
      <c r="C38" s="362">
        <f>[23]Process!D408</f>
        <v>12</v>
      </c>
      <c r="D38" s="528">
        <v>11.71</v>
      </c>
      <c r="E38" s="529"/>
      <c r="F38" s="294"/>
      <c r="G38" s="42"/>
      <c r="H38" s="41"/>
      <c r="I38" s="42"/>
      <c r="J38" s="563" t="s">
        <v>129</v>
      </c>
      <c r="K38" s="563"/>
      <c r="L38" s="294"/>
      <c r="M38" s="294"/>
      <c r="N38" s="294"/>
      <c r="O38" s="294"/>
      <c r="P38" s="12"/>
    </row>
    <row r="39" spans="1:56" ht="15.75" thickBot="1">
      <c r="B39" s="513"/>
      <c r="C39" s="362">
        <f>[23]Process!D409</f>
        <v>11.9</v>
      </c>
      <c r="D39" s="528">
        <v>12.01</v>
      </c>
      <c r="E39" s="529"/>
      <c r="F39" s="294"/>
      <c r="G39" s="42"/>
      <c r="H39" s="41"/>
      <c r="I39" s="42"/>
      <c r="J39" s="292" t="s">
        <v>17</v>
      </c>
      <c r="K39" s="293" t="s">
        <v>147</v>
      </c>
      <c r="L39" s="532" t="s">
        <v>136</v>
      </c>
      <c r="M39" s="532"/>
      <c r="N39" s="533"/>
      <c r="O39" s="294"/>
      <c r="P39" s="12"/>
    </row>
    <row r="40" spans="1:56" ht="15" customHeight="1" thickBot="1">
      <c r="B40" s="513"/>
      <c r="C40" s="349">
        <f>[23]Process!D410</f>
        <v>11.9</v>
      </c>
      <c r="D40" s="528">
        <v>11.91</v>
      </c>
      <c r="E40" s="529"/>
      <c r="F40" s="294"/>
      <c r="G40" s="42"/>
      <c r="H40" s="41"/>
      <c r="I40" s="42"/>
      <c r="J40" s="287" t="s">
        <v>6</v>
      </c>
      <c r="K40" s="324">
        <v>8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13"/>
      <c r="C41" s="349">
        <f>[23]Process!D411</f>
        <v>12.1</v>
      </c>
      <c r="D41" s="528">
        <v>11.95</v>
      </c>
      <c r="E41" s="529"/>
      <c r="F41" s="294"/>
      <c r="G41" s="42"/>
      <c r="H41" s="41"/>
      <c r="I41" s="42"/>
      <c r="J41" s="345" t="s">
        <v>9</v>
      </c>
      <c r="K41" s="324">
        <v>3</v>
      </c>
      <c r="L41" s="344">
        <f>AVERAGE('Oct. 1st'!K49,,'Oct. 2nd'!K51,'Oct. 3rd'!K46,'Oct. 6th'!K54,Oct.7th!K50,Oct.8th!K48,Oct.9th!K49,Oct.13th!K47,Oct.15th!K50,Oct.16th!K50,Oct.17th!K46,Oct.21st!K50,Oct.22nd!K48,Oct.23rd!K46,Oct.24th!K53,Oct.27th!K49,Oct.28th!K50)</f>
        <v>7.4444444444444446</v>
      </c>
      <c r="M41" s="325">
        <f>AVERAGE('[31]Jan 29th '!$M$70,'[32]Feb 28th'!$L$40,'[33]Mar. 31st'!$L$40,'[34]Apr. 30th'!$L$50,'[35]May 30th'!$L$42,'[36]June 30th'!$L$62,'[37]July 29th '!$L$49,'[38]Aug 29th'!$L$34,'[39]Sept 30th'!$L$40,L41)</f>
        <v>7.0505722220825193</v>
      </c>
      <c r="N41" s="416">
        <v>9.1999999999999993</v>
      </c>
      <c r="O41" s="294"/>
      <c r="P41" s="12"/>
    </row>
    <row r="42" spans="1:56" ht="15" customHeight="1" thickBot="1">
      <c r="B42" s="513"/>
      <c r="C42" s="349">
        <f>[23]Process!D412</f>
        <v>11.9</v>
      </c>
      <c r="D42" s="528">
        <v>11.95</v>
      </c>
      <c r="E42" s="529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13"/>
      <c r="C43" s="349">
        <f>[23]Process!D413</f>
        <v>11.8</v>
      </c>
      <c r="D43" s="528">
        <v>12</v>
      </c>
      <c r="E43" s="529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13"/>
      <c r="C44" s="349">
        <f>[23]Process!D414</f>
        <v>11.7</v>
      </c>
      <c r="D44" s="564"/>
      <c r="E44" s="565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3"/>
      <c r="C45" s="349">
        <f>[23]Process!D415</f>
        <v>11.7</v>
      </c>
      <c r="D45" s="530"/>
      <c r="E45" s="518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3"/>
      <c r="C46" s="349">
        <f>[23]Process!D416</f>
        <v>12</v>
      </c>
      <c r="D46" s="564"/>
      <c r="E46" s="565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13"/>
      <c r="C47" s="350">
        <f>[23]Process!D417</f>
        <v>11.8</v>
      </c>
      <c r="D47" s="566"/>
      <c r="E47" s="567"/>
      <c r="F47" s="294" t="s">
        <v>178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>
        <f>[23]Process!D418</f>
        <v>11.9</v>
      </c>
      <c r="D48" s="560">
        <f>AVERAGE(D26:E47)</f>
        <v>11.756874999999997</v>
      </c>
      <c r="E48" s="561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>
        <f>[23]Process!D419</f>
        <v>11.9</v>
      </c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11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40" t="s">
        <v>17</v>
      </c>
      <c r="C53" s="540" t="s">
        <v>44</v>
      </c>
      <c r="D53" s="542" t="s">
        <v>45</v>
      </c>
      <c r="E53" s="497" t="s">
        <v>46</v>
      </c>
      <c r="F53" s="557" t="s">
        <v>47</v>
      </c>
      <c r="G53" s="551" t="s">
        <v>48</v>
      </c>
      <c r="H53" s="540" t="s">
        <v>49</v>
      </c>
      <c r="I53" s="540" t="s">
        <v>50</v>
      </c>
      <c r="J53" s="545" t="s">
        <v>28</v>
      </c>
      <c r="K53" s="495" t="s">
        <v>51</v>
      </c>
      <c r="L53" s="507" t="s">
        <v>52</v>
      </c>
      <c r="M53" s="545" t="s">
        <v>53</v>
      </c>
      <c r="N53" s="13"/>
      <c r="O53" s="13"/>
      <c r="P53" s="50"/>
    </row>
    <row r="54" spans="2:57" ht="28.5" customHeight="1" thickTop="1" thickBot="1">
      <c r="B54" s="541"/>
      <c r="C54" s="541"/>
      <c r="D54" s="543"/>
      <c r="E54" s="544"/>
      <c r="F54" s="558"/>
      <c r="G54" s="552"/>
      <c r="H54" s="559"/>
      <c r="I54" s="559"/>
      <c r="J54" s="546"/>
      <c r="K54" s="555"/>
      <c r="L54" s="556"/>
      <c r="M54" s="546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43.15" customHeight="1" thickBot="1">
      <c r="B55" s="465" t="str">
        <f>B67</f>
        <v>STAG</v>
      </c>
      <c r="C55" s="442">
        <v>45957</v>
      </c>
      <c r="D55" s="443">
        <f>[40]October_2025!$AD$13</f>
        <v>44.7</v>
      </c>
      <c r="E55" s="444"/>
      <c r="F55" s="445"/>
      <c r="G55" s="445">
        <f>[40]October_2025!$AD$17</f>
        <v>42.1</v>
      </c>
      <c r="H55" s="462"/>
      <c r="I55" s="462"/>
      <c r="J55" s="449" t="s">
        <v>163</v>
      </c>
      <c r="K55" s="450">
        <f>[41]October_2025!$AD$25</f>
        <v>2.8077192982456141</v>
      </c>
      <c r="L55" s="461">
        <f>(((D55+E55)-G55)/(D55+E55))*100</f>
        <v>5.816554809843403</v>
      </c>
      <c r="M55" s="457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customHeight="1" thickBot="1">
      <c r="B56" s="458"/>
      <c r="C56" s="431"/>
      <c r="D56" s="432"/>
      <c r="E56" s="433"/>
      <c r="F56" s="434"/>
      <c r="G56" s="435"/>
      <c r="H56" s="429"/>
      <c r="I56" s="429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customHeight="1" thickBot="1">
      <c r="B57" s="387" t="str">
        <f>B66</f>
        <v>CARIB</v>
      </c>
      <c r="C57" s="442">
        <v>45958</v>
      </c>
      <c r="D57" s="443">
        <f>[40]October_2025!$AD$3</f>
        <v>809.9</v>
      </c>
      <c r="E57" s="444"/>
      <c r="F57" s="445"/>
      <c r="G57" s="446">
        <f>[40]October_2025!$AD$7</f>
        <v>758.1</v>
      </c>
      <c r="H57" s="462"/>
      <c r="I57" s="462"/>
      <c r="J57" s="449" t="s">
        <v>195</v>
      </c>
      <c r="K57" s="466">
        <f>[41]October_2025!$AD$18</f>
        <v>0.5615438596491229</v>
      </c>
      <c r="L57" s="461">
        <f>(((D57+E57)-G57)/(D57+E57))*100</f>
        <v>6.3958513396715588</v>
      </c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thickBot="1">
      <c r="B58" s="454"/>
      <c r="C58" s="431"/>
      <c r="D58" s="432"/>
      <c r="E58" s="433"/>
      <c r="F58" s="434"/>
      <c r="G58" s="435"/>
      <c r="H58" s="436"/>
      <c r="I58" s="451"/>
      <c r="J58" s="452"/>
      <c r="K58" s="437" t="s">
        <v>41</v>
      </c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 thickBot="1">
      <c r="B59" s="465" t="str">
        <f>B67</f>
        <v>STAG</v>
      </c>
      <c r="C59" s="442">
        <v>45958</v>
      </c>
      <c r="D59" s="443">
        <f>[40]October_2025!$AE$13</f>
        <v>463.3</v>
      </c>
      <c r="E59" s="444"/>
      <c r="F59" s="445"/>
      <c r="G59" s="446">
        <f>[40]October_2025!$AE$17</f>
        <v>428.2</v>
      </c>
      <c r="H59" s="447"/>
      <c r="I59" s="448"/>
      <c r="J59" s="449" t="s">
        <v>196</v>
      </c>
      <c r="K59" s="450">
        <f>[41]October_2025!$AE$25</f>
        <v>0.30049122807017542</v>
      </c>
      <c r="L59" s="461">
        <f>(((D59+E59)-G59)/(D59+E59))*100</f>
        <v>7.5760846104036315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customHeight="1" thickBot="1">
      <c r="B60" s="438"/>
      <c r="C60" s="424"/>
      <c r="D60" s="425"/>
      <c r="E60" s="426"/>
      <c r="F60" s="427"/>
      <c r="G60" s="428"/>
      <c r="H60" s="429"/>
      <c r="I60" s="439"/>
      <c r="J60" s="440"/>
      <c r="K60" s="430"/>
      <c r="L60" s="441"/>
      <c r="M60" s="42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customHeight="1" thickBot="1">
      <c r="B61" s="465" t="str">
        <f>B67</f>
        <v>STAG</v>
      </c>
      <c r="C61" s="442">
        <v>45958</v>
      </c>
      <c r="D61" s="443">
        <f>[40]October_2025!$AF$13</f>
        <v>90.8</v>
      </c>
      <c r="E61" s="444"/>
      <c r="F61" s="445"/>
      <c r="G61" s="446">
        <f>[40]October_2025!$AF$17</f>
        <v>82.3</v>
      </c>
      <c r="H61" s="447"/>
      <c r="I61" s="448"/>
      <c r="J61" s="449" t="s">
        <v>198</v>
      </c>
      <c r="K61" s="450">
        <f>[41]October_2025!$AF$25</f>
        <v>0.2887719298245614</v>
      </c>
      <c r="L61" s="461">
        <f>(((D61+E61)-G61)/(D61+E61))*100</f>
        <v>9.361233480176212</v>
      </c>
      <c r="M61" s="45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79"/>
      <c r="C62" s="431"/>
      <c r="D62" s="473"/>
      <c r="E62" s="474"/>
      <c r="F62" s="475"/>
      <c r="G62" s="473"/>
      <c r="H62" s="476"/>
      <c r="I62" s="476"/>
      <c r="J62" s="476"/>
      <c r="K62" s="477"/>
      <c r="L62" s="478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47" t="s">
        <v>55</v>
      </c>
      <c r="C64" s="548"/>
      <c r="D64" s="548"/>
      <c r="E64" s="548"/>
      <c r="F64" s="549"/>
      <c r="G64" s="547" t="s">
        <v>56</v>
      </c>
      <c r="H64" s="548"/>
      <c r="I64" s="548"/>
      <c r="J64" s="549"/>
      <c r="K64" s="547" t="s">
        <v>51</v>
      </c>
      <c r="L64" s="548"/>
      <c r="M64" s="548"/>
      <c r="N64" s="550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L57</f>
        <v>6.3958513396715588</v>
      </c>
      <c r="D66" s="76">
        <v>5.4269499874713887</v>
      </c>
      <c r="E66" s="76">
        <v>6.2407328624942462</v>
      </c>
      <c r="F66" s="66">
        <v>4.8</v>
      </c>
      <c r="G66" s="65">
        <f>[40]October_2025!$AD$11</f>
        <v>6.8543206392323572</v>
      </c>
      <c r="H66" s="76">
        <v>4.2563313736427109</v>
      </c>
      <c r="I66" s="76">
        <v>6.0390139382813581</v>
      </c>
      <c r="J66" s="66">
        <v>4.8</v>
      </c>
      <c r="K66" s="67">
        <f>K57</f>
        <v>0.5615438596491229</v>
      </c>
      <c r="L66" s="194">
        <v>0.78064598991688394</v>
      </c>
      <c r="M66" s="194">
        <v>0.76957073251495711</v>
      </c>
      <c r="N66" s="68">
        <v>1</v>
      </c>
      <c r="O66" s="56"/>
      <c r="P66" s="69"/>
    </row>
    <row r="67" spans="2:16" ht="15">
      <c r="B67" s="33" t="s">
        <v>9</v>
      </c>
      <c r="C67" s="65">
        <f>AVERAGE(L55,L59,L61)</f>
        <v>7.5846243001410825</v>
      </c>
      <c r="D67" s="76">
        <v>4.6321640098754937</v>
      </c>
      <c r="E67" s="76">
        <v>5.7588892834082586</v>
      </c>
      <c r="F67" s="66">
        <v>4.8</v>
      </c>
      <c r="G67" s="65">
        <f>AVERAGE([40]October_2025!$AD$21,[40]October_2025!$AE$21,[40]October_2025!$AF$21)</f>
        <v>7.8206058427722285</v>
      </c>
      <c r="H67" s="76">
        <v>4.0639296511587704</v>
      </c>
      <c r="I67" s="76">
        <v>5.492770546029484</v>
      </c>
      <c r="J67" s="66">
        <v>4.8</v>
      </c>
      <c r="K67" s="67">
        <f>AVERAGE(K55,K59,K61)</f>
        <v>1.1323274853801168</v>
      </c>
      <c r="L67" s="194">
        <v>0.74930453004267783</v>
      </c>
      <c r="M67" s="194">
        <v>0.72027652373862694</v>
      </c>
      <c r="N67" s="68">
        <v>1</v>
      </c>
      <c r="P67" s="69"/>
    </row>
    <row r="68" spans="2:16" ht="15">
      <c r="B68" s="34" t="s">
        <v>40</v>
      </c>
      <c r="C68" s="65"/>
      <c r="D68" s="76">
        <v>10.139579656666138</v>
      </c>
      <c r="E68" s="76">
        <v>11.57083716651332</v>
      </c>
      <c r="F68" s="66">
        <v>5.5</v>
      </c>
      <c r="G68" s="65"/>
      <c r="H68" s="76">
        <v>12.493185035674854</v>
      </c>
      <c r="I68" s="76">
        <v>12.71224444035783</v>
      </c>
      <c r="J68" s="66">
        <v>5.5</v>
      </c>
      <c r="K68" s="67"/>
      <c r="L68" s="194">
        <v>0.51072164948453602</v>
      </c>
      <c r="M68" s="194">
        <v>0.53293555745651555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5.119233255999676</v>
      </c>
      <c r="F69" s="66">
        <v>3.3</v>
      </c>
      <c r="G69" s="65"/>
      <c r="H69" s="76"/>
      <c r="I69" s="76">
        <v>4.4772094679692334</v>
      </c>
      <c r="J69" s="66">
        <v>3.3</v>
      </c>
      <c r="K69" s="67"/>
      <c r="L69" s="194"/>
      <c r="M69" s="194">
        <v>0.80025950292397652</v>
      </c>
      <c r="N69" s="68">
        <v>1</v>
      </c>
      <c r="P69" s="69"/>
    </row>
    <row r="70" spans="2:16" ht="15">
      <c r="B70" s="35" t="s">
        <v>165</v>
      </c>
      <c r="C70" s="65"/>
      <c r="D70" s="76"/>
      <c r="E70" s="76">
        <v>7.837301587301579</v>
      </c>
      <c r="F70" s="66">
        <v>3.3</v>
      </c>
      <c r="G70" s="282"/>
      <c r="H70" s="76"/>
      <c r="I70" s="76">
        <v>5.3377569154690221</v>
      </c>
      <c r="J70" s="66">
        <v>3</v>
      </c>
      <c r="K70" s="67"/>
      <c r="L70" s="194"/>
      <c r="M70" s="194">
        <v>0.32596491228070179</v>
      </c>
      <c r="N70" s="68">
        <v>1</v>
      </c>
      <c r="P70" s="69"/>
    </row>
    <row r="71" spans="2:16" ht="15">
      <c r="B71" s="36" t="s">
        <v>15</v>
      </c>
      <c r="C71" s="65"/>
      <c r="D71" s="76"/>
      <c r="E71" s="76">
        <v>7.3129862357869699</v>
      </c>
      <c r="F71" s="70">
        <f>[21]May_2022!$M$43</f>
        <v>3.4878406700073312</v>
      </c>
      <c r="G71" s="282"/>
      <c r="H71" s="76"/>
      <c r="I71" s="76">
        <v>8.6614709463340702</v>
      </c>
      <c r="J71" s="66">
        <v>5.5</v>
      </c>
      <c r="K71" s="67"/>
      <c r="L71" s="194"/>
      <c r="M71" s="194">
        <v>0.73160818713450293</v>
      </c>
      <c r="N71" s="68">
        <v>1</v>
      </c>
      <c r="P71" s="69"/>
    </row>
    <row r="72" spans="2:16" ht="15">
      <c r="B72" s="37" t="s">
        <v>16</v>
      </c>
      <c r="C72" s="65"/>
      <c r="D72" s="76">
        <v>2.0782986950217497</v>
      </c>
      <c r="E72" s="76">
        <v>2.8629317642487306</v>
      </c>
      <c r="F72" s="66">
        <v>3.3</v>
      </c>
      <c r="G72" s="282"/>
      <c r="H72" s="76">
        <v>3.4559849687930924</v>
      </c>
      <c r="I72" s="76">
        <v>4.3478819741669881</v>
      </c>
      <c r="J72" s="66">
        <v>3.3</v>
      </c>
      <c r="K72" s="67"/>
      <c r="L72" s="194">
        <v>0.88859649122807016</v>
      </c>
      <c r="M72" s="194">
        <v>0.85935680751173715</v>
      </c>
      <c r="N72" s="71">
        <v>1</v>
      </c>
      <c r="P72" s="69"/>
    </row>
    <row r="73" spans="2:16" ht="15.75" thickBot="1">
      <c r="B73" s="38" t="s">
        <v>164</v>
      </c>
      <c r="C73" s="65"/>
      <c r="D73" s="76"/>
      <c r="E73" s="76">
        <v>11.483253588516746</v>
      </c>
      <c r="F73" s="66">
        <v>7.5</v>
      </c>
      <c r="G73" s="282"/>
      <c r="H73" s="76"/>
      <c r="I73" s="76">
        <v>9.7934336121043764</v>
      </c>
      <c r="J73" s="66">
        <v>7.5</v>
      </c>
      <c r="K73" s="67"/>
      <c r="M73" s="194">
        <v>0.32456140350877194</v>
      </c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>
        <v>7.2653644592663174</v>
      </c>
      <c r="F74" s="66">
        <v>4.8</v>
      </c>
      <c r="G74" s="282"/>
      <c r="H74" s="76"/>
      <c r="I74" s="76">
        <v>8.1715311054411259</v>
      </c>
      <c r="J74" s="66">
        <v>4.8</v>
      </c>
      <c r="K74" s="67"/>
      <c r="L74" s="194"/>
      <c r="M74" s="194">
        <v>0.51368421052631585</v>
      </c>
      <c r="N74" s="71">
        <v>1</v>
      </c>
      <c r="O74" s="74"/>
      <c r="P74" s="75"/>
    </row>
    <row r="75" spans="2:16" ht="15">
      <c r="D75" s="76">
        <v>5.3304367870689244</v>
      </c>
      <c r="E75" s="76">
        <v>6.2721074378429842</v>
      </c>
      <c r="F75" s="341">
        <v>5.5</v>
      </c>
      <c r="H75" s="76">
        <v>5.1652335486354204</v>
      </c>
      <c r="I75" s="76">
        <v>6.4326647594895245</v>
      </c>
      <c r="J75" s="341">
        <v>5.5</v>
      </c>
      <c r="L75" s="194">
        <v>0.74806358974358977</v>
      </c>
      <c r="M75" s="194">
        <v>0.73274942719116642</v>
      </c>
      <c r="N75" s="386">
        <v>1</v>
      </c>
    </row>
  </sheetData>
  <mergeCells count="58">
    <mergeCell ref="M53:M54"/>
    <mergeCell ref="B64:F64"/>
    <mergeCell ref="G64:J64"/>
    <mergeCell ref="K64:N64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J38:K38"/>
    <mergeCell ref="L39:N39"/>
    <mergeCell ref="D44:E45"/>
    <mergeCell ref="D46:E47"/>
    <mergeCell ref="D38:E38"/>
    <mergeCell ref="D39:E39"/>
    <mergeCell ref="D40:E40"/>
    <mergeCell ref="D41:E41"/>
    <mergeCell ref="D42:E42"/>
    <mergeCell ref="D43:E43"/>
    <mergeCell ref="B26:B37"/>
    <mergeCell ref="D32:E33"/>
    <mergeCell ref="D36:E37"/>
    <mergeCell ref="D30:E30"/>
    <mergeCell ref="D31:E31"/>
    <mergeCell ref="D34:E34"/>
    <mergeCell ref="D35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S1:T1"/>
    <mergeCell ref="U1:V1"/>
    <mergeCell ref="W1:X1"/>
    <mergeCell ref="Y1:Z1"/>
    <mergeCell ref="B2:O2"/>
    <mergeCell ref="M4:N4"/>
    <mergeCell ref="D26:E26"/>
    <mergeCell ref="D27:E27"/>
    <mergeCell ref="D28:E28"/>
    <mergeCell ref="D29:E29"/>
    <mergeCell ref="I24:N24"/>
    <mergeCell ref="D25:E25"/>
  </mergeCells>
  <conditionalFormatting sqref="B48:B49">
    <cfRule type="cellIs" dxfId="733" priority="157" operator="notBetween">
      <formula>#REF!</formula>
      <formula>#REF!</formula>
    </cfRule>
  </conditionalFormatting>
  <conditionalFormatting sqref="C52">
    <cfRule type="cellIs" dxfId="732" priority="189" stopIfTrue="1" operator="greaterThan">
      <formula>100</formula>
    </cfRule>
    <cfRule type="cellIs" dxfId="731" priority="188" stopIfTrue="1" operator="lessThan">
      <formula>96</formula>
    </cfRule>
  </conditionalFormatting>
  <conditionalFormatting sqref="C66:C70">
    <cfRule type="cellIs" dxfId="730" priority="138" stopIfTrue="1" operator="lessThanOrEqual">
      <formula>0</formula>
    </cfRule>
  </conditionalFormatting>
  <conditionalFormatting sqref="C66:C74">
    <cfRule type="cellIs" dxfId="729" priority="137" stopIfTrue="1" operator="greaterThan">
      <formula>$F66</formula>
    </cfRule>
  </conditionalFormatting>
  <conditionalFormatting sqref="C67">
    <cfRule type="cellIs" dxfId="728" priority="192" stopIfTrue="1" operator="greaterThan">
      <formula>$F66</formula>
    </cfRule>
  </conditionalFormatting>
  <conditionalFormatting sqref="C71">
    <cfRule type="cellIs" dxfId="727" priority="76" stopIfTrue="1" operator="greaterThan">
      <formula>$F70</formula>
    </cfRule>
    <cfRule type="cellIs" dxfId="726" priority="75" stopIfTrue="1" operator="lessThanOrEqual">
      <formula>0</formula>
    </cfRule>
  </conditionalFormatting>
  <conditionalFormatting sqref="C77:C81">
    <cfRule type="cellIs" dxfId="725" priority="180" stopIfTrue="1" operator="lessThanOrEqual">
      <formula>0</formula>
    </cfRule>
  </conditionalFormatting>
  <conditionalFormatting sqref="C78:C81">
    <cfRule type="cellIs" dxfId="724" priority="179" stopIfTrue="1" operator="greaterThan">
      <formula>$F$77</formula>
    </cfRule>
  </conditionalFormatting>
  <conditionalFormatting sqref="C83">
    <cfRule type="cellIs" dxfId="723" priority="181" stopIfTrue="1" operator="greaterThan">
      <formula>$F$77</formula>
    </cfRule>
    <cfRule type="cellIs" dxfId="722" priority="182" stopIfTrue="1" operator="lessThanOrEqual">
      <formula>0</formula>
    </cfRule>
  </conditionalFormatting>
  <conditionalFormatting sqref="C77:D77 D79:D85">
    <cfRule type="cellIs" dxfId="721" priority="174" stopIfTrue="1" operator="greaterThan">
      <formula>4.5</formula>
    </cfRule>
  </conditionalFormatting>
  <conditionalFormatting sqref="D48:D49">
    <cfRule type="cellIs" dxfId="720" priority="158" operator="notBetween">
      <formula>#REF!</formula>
      <formula>#REF!</formula>
    </cfRule>
  </conditionalFormatting>
  <conditionalFormatting sqref="D66:D73">
    <cfRule type="cellIs" dxfId="719" priority="152" stopIfTrue="1" operator="lessThanOrEqual">
      <formula>0</formula>
    </cfRule>
  </conditionalFormatting>
  <conditionalFormatting sqref="D74">
    <cfRule type="cellIs" dxfId="718" priority="151" stopIfTrue="1" operator="lessThanOrEqual">
      <formula>0</formula>
    </cfRule>
  </conditionalFormatting>
  <conditionalFormatting sqref="D77 D79:D85">
    <cfRule type="cellIs" dxfId="717" priority="175" stopIfTrue="1" operator="lessThanOrEqual">
      <formula>0</formula>
    </cfRule>
  </conditionalFormatting>
  <conditionalFormatting sqref="D78">
    <cfRule type="cellIs" dxfId="716" priority="167" stopIfTrue="1" operator="lessThanOrEqual">
      <formula>0</formula>
    </cfRule>
    <cfRule type="cellIs" dxfId="715" priority="166" stopIfTrue="1" operator="greaterThan">
      <formula>$F$77</formula>
    </cfRule>
  </conditionalFormatting>
  <conditionalFormatting sqref="D66:E75">
    <cfRule type="cellIs" dxfId="714" priority="135" stopIfTrue="1" operator="greaterThan">
      <formula>$F66</formula>
    </cfRule>
  </conditionalFormatting>
  <conditionalFormatting sqref="D75:E75">
    <cfRule type="cellIs" dxfId="713" priority="136" stopIfTrue="1" operator="lessThanOrEqual">
      <formula>0</formula>
    </cfRule>
  </conditionalFormatting>
  <conditionalFormatting sqref="E10:E23">
    <cfRule type="cellIs" dxfId="712" priority="28" operator="lessThan">
      <formula>48</formula>
    </cfRule>
  </conditionalFormatting>
  <conditionalFormatting sqref="E51 E52:F52">
    <cfRule type="cellIs" dxfId="711" priority="171" stopIfTrue="1" operator="greaterThan">
      <formula>100</formula>
    </cfRule>
  </conditionalFormatting>
  <conditionalFormatting sqref="E52">
    <cfRule type="cellIs" dxfId="710" priority="169" stopIfTrue="1" operator="greaterThan">
      <formula>100</formula>
    </cfRule>
    <cfRule type="cellIs" dxfId="709" priority="168" stopIfTrue="1" operator="lessThan">
      <formula>96.8</formula>
    </cfRule>
  </conditionalFormatting>
  <conditionalFormatting sqref="E66:E74">
    <cfRule type="cellIs" dxfId="708" priority="146" stopIfTrue="1" operator="lessThanOrEqual">
      <formula>0</formula>
    </cfRule>
  </conditionalFormatting>
  <conditionalFormatting sqref="E77:E85">
    <cfRule type="cellIs" dxfId="707" priority="160" stopIfTrue="1" operator="greaterThan">
      <formula>4.5</formula>
    </cfRule>
    <cfRule type="cellIs" dxfId="706" priority="161" stopIfTrue="1" operator="lessThanOrEqual">
      <formula>0</formula>
    </cfRule>
  </conditionalFormatting>
  <conditionalFormatting sqref="E52:F52 E51">
    <cfRule type="cellIs" dxfId="705" priority="170" stopIfTrue="1" operator="lessThan">
      <formula>96.5</formula>
    </cfRule>
  </conditionalFormatting>
  <conditionalFormatting sqref="F10:F23">
    <cfRule type="cellIs" dxfId="704" priority="29" operator="greaterThan">
      <formula>60</formula>
    </cfRule>
  </conditionalFormatting>
  <conditionalFormatting sqref="F52">
    <cfRule type="cellIs" dxfId="703" priority="186" stopIfTrue="1" operator="lessThan">
      <formula>96.8</formula>
    </cfRule>
    <cfRule type="cellIs" dxfId="702" priority="187" stopIfTrue="1" operator="greaterThan">
      <formula>100</formula>
    </cfRule>
  </conditionalFormatting>
  <conditionalFormatting sqref="F75">
    <cfRule type="cellIs" dxfId="701" priority="147" stopIfTrue="1" operator="greaterThan">
      <formula>$F75</formula>
    </cfRule>
    <cfRule type="cellIs" dxfId="700" priority="148" stopIfTrue="1" operator="lessThanOrEqual">
      <formula>0</formula>
    </cfRule>
  </conditionalFormatting>
  <conditionalFormatting sqref="G10:G19">
    <cfRule type="expression" dxfId="699" priority="50">
      <formula>IF(+(IF(G10&lt;S10,0,IF(G10&gt;T10,0,1)))=0,1)</formula>
    </cfRule>
  </conditionalFormatting>
  <conditionalFormatting sqref="G66:G67 C72:C74">
    <cfRule type="cellIs" dxfId="698" priority="154" stopIfTrue="1" operator="lessThanOrEqual">
      <formula>0</formula>
    </cfRule>
  </conditionalFormatting>
  <conditionalFormatting sqref="G66:G67">
    <cfRule type="cellIs" dxfId="697" priority="153" stopIfTrue="1" operator="greaterThan">
      <formula>$F66</formula>
    </cfRule>
    <cfRule type="cellIs" dxfId="696" priority="140" stopIfTrue="1" operator="lessThanOrEqual">
      <formula>0</formula>
    </cfRule>
    <cfRule type="cellIs" dxfId="695" priority="139" stopIfTrue="1" operator="greaterThan">
      <formula>$F66</formula>
    </cfRule>
  </conditionalFormatting>
  <conditionalFormatting sqref="G68">
    <cfRule type="cellIs" dxfId="694" priority="191" stopIfTrue="1" operator="lessThanOrEqual">
      <formula>0</formula>
    </cfRule>
    <cfRule type="cellIs" dxfId="693" priority="190" stopIfTrue="1" operator="greaterThan">
      <formula>$F67</formula>
    </cfRule>
  </conditionalFormatting>
  <conditionalFormatting sqref="G69">
    <cfRule type="cellIs" dxfId="692" priority="149" stopIfTrue="1" operator="greaterThan">
      <formula>$F69</formula>
    </cfRule>
    <cfRule type="cellIs" dxfId="691" priority="150" stopIfTrue="1" operator="lessThanOrEqual">
      <formula>0</formula>
    </cfRule>
  </conditionalFormatting>
  <conditionalFormatting sqref="G70:G74">
    <cfRule type="cellIs" dxfId="690" priority="155" stopIfTrue="1" operator="greaterThan">
      <formula>$J70</formula>
    </cfRule>
    <cfRule type="cellIs" dxfId="689" priority="156" stopIfTrue="1" operator="lessThanOrEqual">
      <formula>0</formula>
    </cfRule>
  </conditionalFormatting>
  <conditionalFormatting sqref="G79:G84 C82 C84">
    <cfRule type="cellIs" dxfId="688" priority="183" stopIfTrue="1" operator="greaterThan">
      <formula>4.5</formula>
    </cfRule>
    <cfRule type="cellIs" dxfId="687" priority="184" stopIfTrue="1" operator="lessThanOrEqual">
      <formula>0</formula>
    </cfRule>
  </conditionalFormatting>
  <conditionalFormatting sqref="G78:H78">
    <cfRule type="cellIs" dxfId="686" priority="164" stopIfTrue="1" operator="greaterThan">
      <formula>$F$77</formula>
    </cfRule>
    <cfRule type="cellIs" dxfId="685" priority="165" stopIfTrue="1" operator="lessThanOrEqual">
      <formula>0</formula>
    </cfRule>
  </conditionalFormatting>
  <conditionalFormatting sqref="H10:H19">
    <cfRule type="expression" dxfId="684" priority="58">
      <formula>IF(+(IF(H10&lt;#REF!,0,IF(H10&gt;#REF!,0,1)))=0,1)</formula>
    </cfRule>
  </conditionalFormatting>
  <conditionalFormatting sqref="H37:H51">
    <cfRule type="cellIs" dxfId="683" priority="162" stopIfTrue="1" operator="greaterThan">
      <formula>0</formula>
    </cfRule>
  </conditionalFormatting>
  <conditionalFormatting sqref="H55">
    <cfRule type="cellIs" dxfId="682" priority="44" stopIfTrue="1" operator="lessThanOrEqual">
      <formula>0</formula>
    </cfRule>
    <cfRule type="cellIs" dxfId="681" priority="45" stopIfTrue="1" operator="greaterThan">
      <formula>$F$69</formula>
    </cfRule>
    <cfRule type="cellIs" dxfId="680" priority="46" stopIfTrue="1" operator="lessThanOrEqual">
      <formula>0</formula>
    </cfRule>
    <cfRule type="cellIs" dxfId="679" priority="35" stopIfTrue="1" operator="greaterThan">
      <formula>$F$68</formula>
    </cfRule>
    <cfRule type="cellIs" dxfId="678" priority="43" stopIfTrue="1" operator="greaterThan">
      <formula>$F$71</formula>
    </cfRule>
    <cfRule type="cellIs" dxfId="677" priority="34" stopIfTrue="1" operator="lessThanOrEqual">
      <formula>0</formula>
    </cfRule>
  </conditionalFormatting>
  <conditionalFormatting sqref="H56">
    <cfRule type="cellIs" dxfId="676" priority="92" stopIfTrue="1" operator="lessThanOrEqual">
      <formula>0</formula>
    </cfRule>
    <cfRule type="cellIs" dxfId="675" priority="93" stopIfTrue="1" operator="greaterThan">
      <formula>#REF!</formula>
    </cfRule>
    <cfRule type="cellIs" dxfId="674" priority="101" stopIfTrue="1" operator="greaterThan">
      <formula>$F$24</formula>
    </cfRule>
    <cfRule type="cellIs" dxfId="673" priority="102" stopIfTrue="1" operator="lessThanOrEqual">
      <formula>0</formula>
    </cfRule>
    <cfRule type="cellIs" dxfId="672" priority="103" stopIfTrue="1" operator="greaterThan">
      <formula>#REF!</formula>
    </cfRule>
    <cfRule type="cellIs" dxfId="671" priority="104" stopIfTrue="1" operator="lessThanOrEqual">
      <formula>0</formula>
    </cfRule>
  </conditionalFormatting>
  <conditionalFormatting sqref="H57">
    <cfRule type="cellIs" dxfId="670" priority="72" stopIfTrue="1" operator="lessThanOrEqual">
      <formula>0</formula>
    </cfRule>
    <cfRule type="cellIs" dxfId="669" priority="71" stopIfTrue="1" operator="greaterThan">
      <formula>$F$68</formula>
    </cfRule>
    <cfRule type="cellIs" dxfId="668" priority="61" stopIfTrue="1" operator="greaterThan">
      <formula>$F$67</formula>
    </cfRule>
    <cfRule type="cellIs" dxfId="667" priority="70" stopIfTrue="1" operator="lessThanOrEqual">
      <formula>0</formula>
    </cfRule>
    <cfRule type="cellIs" dxfId="666" priority="69" stopIfTrue="1" operator="greaterThan">
      <formula>$F$70</formula>
    </cfRule>
    <cfRule type="cellIs" dxfId="665" priority="60" stopIfTrue="1" operator="lessThanOrEqual">
      <formula>0</formula>
    </cfRule>
  </conditionalFormatting>
  <conditionalFormatting sqref="H58:H59">
    <cfRule type="cellIs" dxfId="664" priority="79" stopIfTrue="1" operator="greaterThan">
      <formula>#REF!</formula>
    </cfRule>
    <cfRule type="cellIs" dxfId="663" priority="87" stopIfTrue="1" operator="greaterThan">
      <formula>$F$23</formula>
    </cfRule>
    <cfRule type="cellIs" dxfId="662" priority="88" stopIfTrue="1" operator="lessThanOrEqual">
      <formula>0</formula>
    </cfRule>
    <cfRule type="cellIs" dxfId="661" priority="89" stopIfTrue="1" operator="greaterThan">
      <formula>#REF!</formula>
    </cfRule>
    <cfRule type="cellIs" dxfId="660" priority="90" stopIfTrue="1" operator="lessThanOrEqual">
      <formula>0</formula>
    </cfRule>
    <cfRule type="cellIs" dxfId="659" priority="78" stopIfTrue="1" operator="lessThanOrEqual">
      <formula>0</formula>
    </cfRule>
  </conditionalFormatting>
  <conditionalFormatting sqref="H60">
    <cfRule type="cellIs" dxfId="658" priority="110" stopIfTrue="1" operator="greaterThan">
      <formula>$F$36</formula>
    </cfRule>
    <cfRule type="cellIs" dxfId="657" priority="120" stopIfTrue="1" operator="greaterThan">
      <formula>$F$37</formula>
    </cfRule>
    <cfRule type="cellIs" dxfId="656" priority="119" stopIfTrue="1" operator="lessThanOrEqual">
      <formula>0</formula>
    </cfRule>
    <cfRule type="cellIs" dxfId="655" priority="118" stopIfTrue="1" operator="greaterThan">
      <formula>$F$39</formula>
    </cfRule>
    <cfRule type="cellIs" dxfId="654" priority="121" stopIfTrue="1" operator="lessThanOrEqual">
      <formula>0</formula>
    </cfRule>
    <cfRule type="cellIs" dxfId="653" priority="109" stopIfTrue="1" operator="lessThanOrEqual">
      <formula>0</formula>
    </cfRule>
  </conditionalFormatting>
  <conditionalFormatting sqref="H61:H62">
    <cfRule type="cellIs" dxfId="652" priority="11" stopIfTrue="1" operator="greaterThan">
      <formula>#REF!</formula>
    </cfRule>
    <cfRule type="cellIs" dxfId="651" priority="10" stopIfTrue="1" operator="lessThanOrEqual">
      <formula>0</formula>
    </cfRule>
    <cfRule type="cellIs" dxfId="650" priority="22" stopIfTrue="1" operator="lessThanOrEqual">
      <formula>0</formula>
    </cfRule>
    <cfRule type="cellIs" dxfId="649" priority="21" stopIfTrue="1" operator="greaterThan">
      <formula>#REF!</formula>
    </cfRule>
    <cfRule type="cellIs" dxfId="648" priority="20" stopIfTrue="1" operator="lessThanOrEqual">
      <formula>0</formula>
    </cfRule>
    <cfRule type="cellIs" dxfId="647" priority="19" stopIfTrue="1" operator="greaterThan">
      <formula>$F$23</formula>
    </cfRule>
  </conditionalFormatting>
  <conditionalFormatting sqref="H66:H73">
    <cfRule type="cellIs" dxfId="646" priority="141" stopIfTrue="1" operator="greaterThan">
      <formula>$J66</formula>
    </cfRule>
    <cfRule type="cellIs" dxfId="645" priority="142" stopIfTrue="1" operator="lessThanOrEqual">
      <formula>0</formula>
    </cfRule>
  </conditionalFormatting>
  <conditionalFormatting sqref="H74">
    <cfRule type="cellIs" dxfId="644" priority="143" operator="greaterThan">
      <formula>5.3</formula>
    </cfRule>
  </conditionalFormatting>
  <conditionalFormatting sqref="H77 H79:H85">
    <cfRule type="cellIs" dxfId="643" priority="177" stopIfTrue="1" operator="lessThanOrEqual">
      <formula>0</formula>
    </cfRule>
    <cfRule type="cellIs" dxfId="642" priority="176" stopIfTrue="1" operator="greaterThan">
      <formula>4.5</formula>
    </cfRule>
  </conditionalFormatting>
  <conditionalFormatting sqref="H55:I55">
    <cfRule type="cellIs" dxfId="641" priority="36" stopIfTrue="1" operator="lessThanOrEqual">
      <formula>0</formula>
    </cfRule>
    <cfRule type="cellIs" dxfId="640" priority="33" stopIfTrue="1" operator="greaterThan">
      <formula>$F$70</formula>
    </cfRule>
  </conditionalFormatting>
  <conditionalFormatting sqref="H56:I56">
    <cfRule type="cellIs" dxfId="639" priority="94" stopIfTrue="1" operator="lessThanOrEqual">
      <formula>0</formula>
    </cfRule>
    <cfRule type="cellIs" dxfId="638" priority="91" stopIfTrue="1" operator="greaterThan">
      <formula>$F$23</formula>
    </cfRule>
  </conditionalFormatting>
  <conditionalFormatting sqref="H57:I57">
    <cfRule type="cellIs" dxfId="637" priority="62" stopIfTrue="1" operator="lessThanOrEqual">
      <formula>0</formula>
    </cfRule>
    <cfRule type="cellIs" dxfId="636" priority="59" stopIfTrue="1" operator="greaterThan">
      <formula>$F$69</formula>
    </cfRule>
  </conditionalFormatting>
  <conditionalFormatting sqref="H58:I59">
    <cfRule type="cellIs" dxfId="635" priority="77" stopIfTrue="1" operator="greaterThan">
      <formula>#REF!</formula>
    </cfRule>
    <cfRule type="cellIs" dxfId="634" priority="80" stopIfTrue="1" operator="lessThanOrEqual">
      <formula>0</formula>
    </cfRule>
  </conditionalFormatting>
  <conditionalFormatting sqref="H60:I60">
    <cfRule type="cellIs" dxfId="633" priority="111" stopIfTrue="1" operator="lessThanOrEqual">
      <formula>0</formula>
    </cfRule>
    <cfRule type="cellIs" dxfId="632" priority="108" stopIfTrue="1" operator="greaterThan">
      <formula>$F$38</formula>
    </cfRule>
  </conditionalFormatting>
  <conditionalFormatting sqref="H61:I62">
    <cfRule type="cellIs" dxfId="631" priority="12" stopIfTrue="1" operator="lessThanOrEqual">
      <formula>0</formula>
    </cfRule>
    <cfRule type="cellIs" dxfId="630" priority="9" stopIfTrue="1" operator="greaterThan">
      <formula>#REF!</formula>
    </cfRule>
  </conditionalFormatting>
  <conditionalFormatting sqref="H75:I75">
    <cfRule type="cellIs" dxfId="629" priority="134" stopIfTrue="1" operator="lessThanOrEqual">
      <formula>0</formula>
    </cfRule>
    <cfRule type="cellIs" dxfId="628" priority="133" stopIfTrue="1" operator="greaterThan">
      <formula>$J75</formula>
    </cfRule>
  </conditionalFormatting>
  <conditionalFormatting sqref="I55">
    <cfRule type="cellIs" dxfId="627" priority="37" stopIfTrue="1" operator="greaterThan">
      <formula>$F$68</formula>
    </cfRule>
    <cfRule type="cellIs" dxfId="626" priority="42" stopIfTrue="1" operator="lessThanOrEqual">
      <formula>0</formula>
    </cfRule>
    <cfRule type="cellIs" dxfId="625" priority="38" stopIfTrue="1" operator="lessThanOrEqual">
      <formula>0</formula>
    </cfRule>
    <cfRule type="cellIs" dxfId="624" priority="41" stopIfTrue="1" operator="greaterThan">
      <formula>$F$68</formula>
    </cfRule>
    <cfRule type="cellIs" dxfId="623" priority="40" stopIfTrue="1" operator="lessThanOrEqual">
      <formula>0</formula>
    </cfRule>
    <cfRule type="cellIs" dxfId="622" priority="39" stopIfTrue="1" operator="greaterThan">
      <formula>$F$70</formula>
    </cfRule>
  </conditionalFormatting>
  <conditionalFormatting sqref="I56">
    <cfRule type="cellIs" dxfId="621" priority="96" stopIfTrue="1" operator="lessThanOrEqual">
      <formula>0</formula>
    </cfRule>
    <cfRule type="cellIs" dxfId="620" priority="97" stopIfTrue="1" operator="greaterThan">
      <formula>$F$23</formula>
    </cfRule>
    <cfRule type="cellIs" dxfId="619" priority="98" stopIfTrue="1" operator="lessThanOrEqual">
      <formula>0</formula>
    </cfRule>
    <cfRule type="cellIs" dxfId="618" priority="99" stopIfTrue="1" operator="greaterThan">
      <formula>#REF!</formula>
    </cfRule>
    <cfRule type="cellIs" dxfId="617" priority="100" stopIfTrue="1" operator="lessThanOrEqual">
      <formula>0</formula>
    </cfRule>
    <cfRule type="cellIs" dxfId="616" priority="95" stopIfTrue="1" operator="greaterThan">
      <formula>#REF!</formula>
    </cfRule>
  </conditionalFormatting>
  <conditionalFormatting sqref="I57">
    <cfRule type="cellIs" dxfId="615" priority="64" stopIfTrue="1" operator="lessThanOrEqual">
      <formula>0</formula>
    </cfRule>
    <cfRule type="cellIs" dxfId="614" priority="63" stopIfTrue="1" operator="greaterThan">
      <formula>$F$67</formula>
    </cfRule>
    <cfRule type="cellIs" dxfId="613" priority="65" stopIfTrue="1" operator="greaterThan">
      <formula>$F$69</formula>
    </cfRule>
    <cfRule type="cellIs" dxfId="612" priority="66" stopIfTrue="1" operator="lessThanOrEqual">
      <formula>0</formula>
    </cfRule>
    <cfRule type="cellIs" dxfId="611" priority="67" stopIfTrue="1" operator="greaterThan">
      <formula>$F$67</formula>
    </cfRule>
    <cfRule type="cellIs" dxfId="610" priority="68" stopIfTrue="1" operator="lessThanOrEqual">
      <formula>0</formula>
    </cfRule>
  </conditionalFormatting>
  <conditionalFormatting sqref="I58:I59">
    <cfRule type="cellIs" dxfId="609" priority="81" stopIfTrue="1" operator="greaterThan">
      <formula>#REF!</formula>
    </cfRule>
    <cfRule type="cellIs" dxfId="608" priority="82" stopIfTrue="1" operator="lessThanOrEqual">
      <formula>0</formula>
    </cfRule>
    <cfRule type="cellIs" dxfId="607" priority="83" stopIfTrue="1" operator="greaterThan">
      <formula>#REF!</formula>
    </cfRule>
    <cfRule type="cellIs" dxfId="606" priority="84" stopIfTrue="1" operator="lessThanOrEqual">
      <formula>0</formula>
    </cfRule>
    <cfRule type="cellIs" dxfId="605" priority="85" stopIfTrue="1" operator="greaterThan">
      <formula>#REF!</formula>
    </cfRule>
    <cfRule type="cellIs" dxfId="604" priority="86" stopIfTrue="1" operator="lessThanOrEqual">
      <formula>0</formula>
    </cfRule>
  </conditionalFormatting>
  <conditionalFormatting sqref="I60">
    <cfRule type="cellIs" dxfId="603" priority="113" stopIfTrue="1" operator="lessThanOrEqual">
      <formula>0</formula>
    </cfRule>
    <cfRule type="cellIs" dxfId="602" priority="112" stopIfTrue="1" operator="greaterThan">
      <formula>$F$36</formula>
    </cfRule>
    <cfRule type="cellIs" dxfId="601" priority="117" stopIfTrue="1" operator="lessThanOrEqual">
      <formula>0</formula>
    </cfRule>
    <cfRule type="cellIs" dxfId="600" priority="116" stopIfTrue="1" operator="greaterThan">
      <formula>$F$36</formula>
    </cfRule>
    <cfRule type="cellIs" dxfId="599" priority="115" stopIfTrue="1" operator="lessThanOrEqual">
      <formula>0</formula>
    </cfRule>
    <cfRule type="cellIs" dxfId="598" priority="114" stopIfTrue="1" operator="greaterThan">
      <formula>$F$38</formula>
    </cfRule>
  </conditionalFormatting>
  <conditionalFormatting sqref="I61:I62">
    <cfRule type="cellIs" dxfId="597" priority="15" stopIfTrue="1" operator="greaterThan">
      <formula>#REF!</formula>
    </cfRule>
    <cfRule type="cellIs" dxfId="596" priority="16" stopIfTrue="1" operator="lessThanOrEqual">
      <formula>0</formula>
    </cfRule>
    <cfRule type="cellIs" dxfId="595" priority="17" stopIfTrue="1" operator="greaterThan">
      <formula>#REF!</formula>
    </cfRule>
    <cfRule type="cellIs" dxfId="594" priority="18" stopIfTrue="1" operator="lessThanOrEqual">
      <formula>0</formula>
    </cfRule>
    <cfRule type="cellIs" dxfId="593" priority="14" stopIfTrue="1" operator="lessThanOrEqual">
      <formula>0</formula>
    </cfRule>
    <cfRule type="cellIs" dxfId="592" priority="13" stopIfTrue="1" operator="greaterThan">
      <formula>#REF!</formula>
    </cfRule>
  </conditionalFormatting>
  <conditionalFormatting sqref="I66:I74">
    <cfRule type="cellIs" dxfId="591" priority="144" stopIfTrue="1" operator="greaterThan">
      <formula>$J66</formula>
    </cfRule>
    <cfRule type="cellIs" dxfId="590" priority="145" stopIfTrue="1" operator="lessThanOrEqual">
      <formula>0</formula>
    </cfRule>
  </conditionalFormatting>
  <conditionalFormatting sqref="I77:I85">
    <cfRule type="cellIs" dxfId="589" priority="173" stopIfTrue="1" operator="lessThanOrEqual">
      <formula>0</formula>
    </cfRule>
    <cfRule type="cellIs" dxfId="588" priority="172" stopIfTrue="1" operator="greaterThan">
      <formula>4.5</formula>
    </cfRule>
  </conditionalFormatting>
  <conditionalFormatting sqref="I10:J23">
    <cfRule type="cellIs" dxfId="587" priority="24" operator="lessThan">
      <formula>97.9</formula>
    </cfRule>
  </conditionalFormatting>
  <conditionalFormatting sqref="J26:J28">
    <cfRule type="cellIs" dxfId="586" priority="124" stopIfTrue="1" operator="greaterThan">
      <formula>100</formula>
    </cfRule>
    <cfRule type="cellIs" dxfId="585" priority="125" operator="lessThan">
      <formula>98</formula>
    </cfRule>
    <cfRule type="cellIs" dxfId="584" priority="123" stopIfTrue="1" operator="lessThan">
      <formula>96.8</formula>
    </cfRule>
  </conditionalFormatting>
  <conditionalFormatting sqref="J26:J30">
    <cfRule type="cellIs" dxfId="583" priority="122" operator="lessThan">
      <formula>97.4</formula>
    </cfRule>
  </conditionalFormatting>
  <conditionalFormatting sqref="J31">
    <cfRule type="cellIs" dxfId="582" priority="126" operator="lessThan">
      <formula>98</formula>
    </cfRule>
  </conditionalFormatting>
  <conditionalFormatting sqref="J33:J34">
    <cfRule type="cellIs" dxfId="581" priority="128" stopIfTrue="1" operator="greaterThan">
      <formula>100</formula>
    </cfRule>
    <cfRule type="cellIs" dxfId="580" priority="127" stopIfTrue="1" operator="lessThan">
      <formula>96.8</formula>
    </cfRule>
  </conditionalFormatting>
  <conditionalFormatting sqref="J33:J35">
    <cfRule type="cellIs" dxfId="579" priority="129" operator="lessThan">
      <formula>98</formula>
    </cfRule>
  </conditionalFormatting>
  <conditionalFormatting sqref="J62">
    <cfRule type="cellIs" dxfId="578" priority="3" stopIfTrue="1" operator="greaterThan">
      <formula>#REF!</formula>
    </cfRule>
    <cfRule type="cellIs" dxfId="577" priority="4" stopIfTrue="1" operator="lessThanOrEqual">
      <formula>0</formula>
    </cfRule>
    <cfRule type="cellIs" dxfId="576" priority="5" stopIfTrue="1" operator="greaterThan">
      <formula>#REF!</formula>
    </cfRule>
    <cfRule type="cellIs" dxfId="575" priority="8" stopIfTrue="1" operator="lessThanOrEqual">
      <formula>0</formula>
    </cfRule>
    <cfRule type="cellIs" dxfId="574" priority="1" stopIfTrue="1" operator="greaterThan">
      <formula>#REF!</formula>
    </cfRule>
    <cfRule type="cellIs" dxfId="573" priority="6" stopIfTrue="1" operator="lessThanOrEqual">
      <formula>0</formula>
    </cfRule>
    <cfRule type="cellIs" dxfId="572" priority="7" stopIfTrue="1" operator="greaterThan">
      <formula>#REF!</formula>
    </cfRule>
    <cfRule type="cellIs" dxfId="571" priority="2" stopIfTrue="1" operator="lessThanOrEqual">
      <formula>0</formula>
    </cfRule>
  </conditionalFormatting>
  <conditionalFormatting sqref="J75">
    <cfRule type="cellIs" dxfId="570" priority="131" stopIfTrue="1" operator="lessThanOrEqual">
      <formula>0</formula>
    </cfRule>
    <cfRule type="cellIs" dxfId="569" priority="130" stopIfTrue="1" operator="greaterThan">
      <formula>$F75</formula>
    </cfRule>
  </conditionalFormatting>
  <conditionalFormatting sqref="K10:K23">
    <cfRule type="cellIs" dxfId="568" priority="25" operator="greaterThan">
      <formula>6</formula>
    </cfRule>
    <cfRule type="cellIs" dxfId="567" priority="26" operator="lessThan">
      <formula>4</formula>
    </cfRule>
    <cfRule type="cellIs" dxfId="566" priority="27" operator="greaterThan">
      <formula>6.4</formula>
    </cfRule>
  </conditionalFormatting>
  <conditionalFormatting sqref="K55:K62 K66:N72 K73 M73:N73 K74:N74">
    <cfRule type="cellIs" dxfId="565" priority="107" stopIfTrue="1" operator="lessThan">
      <formula>100%</formula>
    </cfRule>
  </conditionalFormatting>
  <conditionalFormatting sqref="K77:K82">
    <cfRule type="cellIs" dxfId="564" priority="178" stopIfTrue="1" operator="lessThan">
      <formula>100%</formula>
    </cfRule>
  </conditionalFormatting>
  <conditionalFormatting sqref="K84:K85">
    <cfRule type="cellIs" dxfId="563" priority="185" stopIfTrue="1" operator="lessThan">
      <formula>100%</formula>
    </cfRule>
  </conditionalFormatting>
  <conditionalFormatting sqref="L10:L19 L23">
    <cfRule type="cellIs" dxfId="562" priority="48" operator="greaterThan">
      <formula>65</formula>
    </cfRule>
    <cfRule type="cellIs" dxfId="561" priority="47" operator="between">
      <formula>61</formula>
      <formula>65</formula>
    </cfRule>
  </conditionalFormatting>
  <conditionalFormatting sqref="L20:M22">
    <cfRule type="cellIs" dxfId="560" priority="30" operator="between">
      <formula>61</formula>
      <formula>65</formula>
    </cfRule>
    <cfRule type="cellIs" dxfId="559" priority="31" operator="greaterThan">
      <formula>65</formula>
    </cfRule>
  </conditionalFormatting>
  <conditionalFormatting sqref="L26:M37">
    <cfRule type="cellIs" dxfId="558" priority="73" operator="lessThan">
      <formula>97.95</formula>
    </cfRule>
  </conditionalFormatting>
  <conditionalFormatting sqref="L41:N41">
    <cfRule type="cellIs" dxfId="557" priority="74" operator="notEqual">
      <formula>#REF!</formula>
    </cfRule>
  </conditionalFormatting>
  <conditionalFormatting sqref="L75:N75">
    <cfRule type="cellIs" dxfId="556" priority="132" stopIfTrue="1" operator="lessThan">
      <formula>100%</formula>
    </cfRule>
  </conditionalFormatting>
  <conditionalFormatting sqref="L77:N85">
    <cfRule type="cellIs" dxfId="555" priority="163" stopIfTrue="1" operator="lessThan">
      <formula>100%</formula>
    </cfRule>
  </conditionalFormatting>
  <conditionalFormatting sqref="M10:M19">
    <cfRule type="expression" dxfId="554" priority="49">
      <formula>IF(+(IF(M10&lt;U10,0,IF(M10&gt;V10,0,1)))=0,1)</formula>
    </cfRule>
  </conditionalFormatting>
  <conditionalFormatting sqref="M20:M22 G20:H23">
    <cfRule type="expression" dxfId="553" priority="32">
      <formula>IF(+(IF(G20&lt;#REF!,0,IF(G20&gt;#REF!,0,1)))=0,1)</formula>
    </cfRule>
  </conditionalFormatting>
  <conditionalFormatting sqref="M23:N23">
    <cfRule type="expression" dxfId="552" priority="193">
      <formula>IF(+(IF(M23&lt;#REF!,0,IF(M23&gt;#REF!,0,1)))=0,1)</formula>
    </cfRule>
  </conditionalFormatting>
  <conditionalFormatting sqref="N10:N22">
    <cfRule type="expression" dxfId="551" priority="23">
      <formula>IF(+(IF(N10&lt;W10,0,IF(N10&gt;X10,0,1)))=0,1)</formula>
    </cfRule>
  </conditionalFormatting>
  <conditionalFormatting sqref="P6">
    <cfRule type="cellIs" dxfId="550" priority="159" operator="greaterThanOrEqual">
      <formula>19</formula>
    </cfRule>
  </conditionalFormatting>
  <dataValidations disablePrompts="1" count="1">
    <dataValidation type="list" allowBlank="1" showInputMessage="1" showErrorMessage="1" sqref="R8" xr:uid="{739DE8B1-87B7-450D-A5C6-ED4ADA59360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A35E-4C18-442D-90FB-A7C384045E81}">
  <sheetPr>
    <pageSetUpPr fitToPage="1"/>
  </sheetPr>
  <dimension ref="A1:BE78"/>
  <sheetViews>
    <sheetView topLeftCell="A3" zoomScale="80" zoomScaleNormal="80" workbookViewId="0">
      <selection activeCell="E63" sqref="E6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45960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 t="s">
        <v>9</v>
      </c>
      <c r="C10" s="366" t="str">
        <f>[23]Brewhouse!$A439</f>
        <v>ST416</v>
      </c>
      <c r="D10" s="279">
        <f>[23]Brewhouse!$AD439</f>
        <v>47.5</v>
      </c>
      <c r="E10" s="279">
        <f>[23]Brewhouse!$AG439</f>
        <v>48</v>
      </c>
      <c r="F10" s="278">
        <f>[23]Brewhouse!$V439</f>
        <v>63</v>
      </c>
      <c r="G10" s="469">
        <f>[23]Brewhouse!$AE439</f>
        <v>12.1</v>
      </c>
      <c r="H10" s="464">
        <v>12.1</v>
      </c>
      <c r="I10" s="420">
        <f>[23]Brewhouse!$AS439</f>
        <v>96.88502566894006</v>
      </c>
      <c r="J10" s="420">
        <f>[23]Brewhouse!$AT439</f>
        <v>97.714600485526645</v>
      </c>
      <c r="K10" s="281">
        <f>[23]Brewhouse!$Q439</f>
        <v>13.195777351247601</v>
      </c>
      <c r="L10" s="276">
        <f>[23]Brewhouse!$P439</f>
        <v>61</v>
      </c>
      <c r="M10" s="374">
        <f>[23]Brewhouse!$U439-[23]Brewhouse!$T439</f>
        <v>0.11180555555555555</v>
      </c>
      <c r="N10" s="370">
        <f>[23]Brewhouse!$AW439</f>
        <v>0.24583333333333335</v>
      </c>
      <c r="O10" s="421" t="str">
        <f>[23]Brewhouse!$AV439</f>
        <v>R. Regis</v>
      </c>
      <c r="P10" s="481"/>
      <c r="R10" s="277" t="str">
        <f t="shared" ref="R10:R25" si="0">B10</f>
        <v>STAG</v>
      </c>
      <c r="S10" s="296">
        <f t="shared" ref="S10:S25" si="1">VLOOKUP($B10,$R$3:$X$9,2,FALSE)</f>
        <v>11.6</v>
      </c>
      <c r="T10" s="296">
        <f t="shared" ref="T10:T25" si="2">VLOOKUP($B10,$R$3:$X$9,3,FALSE)</f>
        <v>12</v>
      </c>
      <c r="U10" s="297">
        <f t="shared" ref="U10:U25" si="3">VLOOKUP($B10,$R$3:$X$9,4,FALSE)</f>
        <v>0</v>
      </c>
      <c r="V10" s="297">
        <f t="shared" ref="V10:V25" si="4">VLOOKUP($B10,$R$3:$X$9,5,FALSE)</f>
        <v>0.118055555555556</v>
      </c>
      <c r="W10" s="297">
        <f t="shared" ref="W10:W25" si="5">VLOOKUP($B10,$R$3:$X$9,6,FALSE)</f>
        <v>0.22569444444444445</v>
      </c>
      <c r="X10" s="297">
        <f t="shared" ref="X10:X25" si="6">VLOOKUP($B10,$R$3:$X$9,7,FALSE)</f>
        <v>0.2638888888888889</v>
      </c>
      <c r="Y10" s="297">
        <f t="shared" ref="Y10:Y25" si="7">VLOOKUP($B10,$R$3:$Z$9,8,FALSE)</f>
        <v>0</v>
      </c>
      <c r="Z10" s="296">
        <f t="shared" ref="Z10:Z25" si="8">VLOOKUP($B10,$R$3:$Z$9,9,FALSE)</f>
        <v>60</v>
      </c>
    </row>
    <row r="11" spans="2:29" ht="15" customHeight="1">
      <c r="B11" s="33" t="s">
        <v>9</v>
      </c>
      <c r="C11" s="366" t="str">
        <f>[23]Brewhouse!$A440</f>
        <v>ST417</v>
      </c>
      <c r="D11" s="279">
        <f>[23]Brewhouse!$AD440</f>
        <v>47.7</v>
      </c>
      <c r="E11" s="279">
        <f>[23]Brewhouse!$AG440</f>
        <v>48.3</v>
      </c>
      <c r="F11" s="278">
        <f>[23]Brewhouse!$V440</f>
        <v>57</v>
      </c>
      <c r="G11" s="279">
        <f>[23]Brewhouse!$AE440</f>
        <v>11.9</v>
      </c>
      <c r="H11" s="396">
        <v>11.9</v>
      </c>
      <c r="I11" s="420">
        <f>[23]Brewhouse!$AS440</f>
        <v>96.278354818861374</v>
      </c>
      <c r="J11" s="420">
        <f>[23]Brewhouse!$AT440</f>
        <v>97.101659148413887</v>
      </c>
      <c r="K11" s="281">
        <f>[23]Brewhouse!$Q440</f>
        <v>14.155470249520153</v>
      </c>
      <c r="L11" s="276">
        <f>[23]Brewhouse!$P440</f>
        <v>57</v>
      </c>
      <c r="M11" s="374">
        <f>[23]Brewhouse!$U440-[23]Brewhouse!$T440</f>
        <v>0.1118055555555556</v>
      </c>
      <c r="N11" s="370">
        <f>[23]Brewhouse!$AW440</f>
        <v>0.24027777777777781</v>
      </c>
      <c r="O11" s="421" t="str">
        <f>[23]Brewhouse!$AV440</f>
        <v>R.Sookram</v>
      </c>
      <c r="P11" s="481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33" t="s">
        <v>9</v>
      </c>
      <c r="C12" s="366" t="str">
        <f>[23]Brewhouse!$A441</f>
        <v>ST418</v>
      </c>
      <c r="D12" s="279">
        <f>[23]Brewhouse!$AD441</f>
        <v>49.3</v>
      </c>
      <c r="E12" s="279">
        <f>[23]Brewhouse!$AG441</f>
        <v>48.9</v>
      </c>
      <c r="F12" s="278">
        <f>[23]Brewhouse!$V441</f>
        <v>61</v>
      </c>
      <c r="G12" s="279">
        <f>[23]Brewhouse!$AE441</f>
        <v>11.8</v>
      </c>
      <c r="H12" s="396">
        <v>11.9</v>
      </c>
      <c r="I12" s="420">
        <f>[23]Brewhouse!$AS441</f>
        <v>96.371396355775389</v>
      </c>
      <c r="J12" s="420">
        <f>[23]Brewhouse!$AT441</f>
        <v>97.196036118900437</v>
      </c>
      <c r="K12" s="281">
        <f>[23]Brewhouse!$Q441</f>
        <v>9.7408829174664167</v>
      </c>
      <c r="L12" s="276">
        <f>[23]Brewhouse!$P441</f>
        <v>58</v>
      </c>
      <c r="M12" s="374">
        <f>[23]Brewhouse!$U441-[23]Brewhouse!$T441</f>
        <v>0.11249999999999993</v>
      </c>
      <c r="N12" s="370">
        <f>[23]Brewhouse!$AW441</f>
        <v>0.24166666666666664</v>
      </c>
      <c r="O12" s="421" t="str">
        <f>[23]Brewhouse!$AV441</f>
        <v>R.Sookram</v>
      </c>
      <c r="P12" s="481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33" t="s">
        <v>9</v>
      </c>
      <c r="C13" s="366" t="str">
        <f>[23]Brewhouse!$A442</f>
        <v>ST419</v>
      </c>
      <c r="D13" s="279">
        <f>[23]Brewhouse!$AD442</f>
        <v>48.2</v>
      </c>
      <c r="E13" s="279">
        <f>[23]Brewhouse!$AG442</f>
        <v>49</v>
      </c>
      <c r="F13" s="278">
        <f>[23]Brewhouse!$V442</f>
        <v>61</v>
      </c>
      <c r="G13" s="279">
        <f>[23]Brewhouse!$AE442</f>
        <v>12</v>
      </c>
      <c r="H13" s="396">
        <v>11.8</v>
      </c>
      <c r="I13" s="420">
        <f>[23]Brewhouse!$AS442</f>
        <v>98.044791169581174</v>
      </c>
      <c r="J13" s="420">
        <f>[23]Brewhouse!$AT442</f>
        <v>98.884296439773294</v>
      </c>
      <c r="K13" s="281">
        <f>[23]Brewhouse!$Q442</f>
        <v>9.7408829174664167</v>
      </c>
      <c r="L13" s="276">
        <f>[23]Brewhouse!$P442</f>
        <v>58</v>
      </c>
      <c r="M13" s="374">
        <f>[23]Brewhouse!$U442-[23]Brewhouse!$T442</f>
        <v>0.11736111111111103</v>
      </c>
      <c r="N13" s="370">
        <f>[23]Brewhouse!$AW442</f>
        <v>0.25069444444444439</v>
      </c>
      <c r="O13" s="421" t="str">
        <f>[23]Brewhouse!$AV442</f>
        <v>R.Sookram</v>
      </c>
      <c r="P13" s="481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33" t="s">
        <v>9</v>
      </c>
      <c r="C14" s="366" t="str">
        <f>[23]Brewhouse!$A443</f>
        <v>ST420</v>
      </c>
      <c r="D14" s="279">
        <f>[23]Brewhouse!$AD443</f>
        <v>49.3</v>
      </c>
      <c r="E14" s="279">
        <f>[23]Brewhouse!$AG443</f>
        <v>50</v>
      </c>
      <c r="F14" s="278">
        <f>[23]Brewhouse!$V443</f>
        <v>66</v>
      </c>
      <c r="G14" s="279">
        <f>[23]Brewhouse!$AE443</f>
        <v>11.8</v>
      </c>
      <c r="H14" s="396">
        <v>11.7</v>
      </c>
      <c r="I14" s="420">
        <f>[23]Brewhouse!$AS443</f>
        <v>98.293312348289959</v>
      </c>
      <c r="J14" s="420">
        <f>[23]Brewhouse!$AT443</f>
        <v>99.13494557282614</v>
      </c>
      <c r="K14" s="281">
        <f>[23]Brewhouse!$Q443</f>
        <v>6.6826923076923102</v>
      </c>
      <c r="L14" s="276">
        <f>[23]Brewhouse!$P443</f>
        <v>62</v>
      </c>
      <c r="M14" s="374">
        <f>[23]Brewhouse!$U443-[23]Brewhouse!$T443</f>
        <v>0.11736111111111114</v>
      </c>
      <c r="N14" s="370">
        <f>[23]Brewhouse!$AW443</f>
        <v>0.2583333333333333</v>
      </c>
      <c r="O14" s="421" t="str">
        <f>[23]Brewhouse!$AV443</f>
        <v>K. Benjamin</v>
      </c>
      <c r="P14" s="481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81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customHeight="1">
      <c r="B16" s="29" t="s">
        <v>6</v>
      </c>
      <c r="C16" s="366" t="str">
        <f>[22]Brewhouse!$A905</f>
        <v>CA791</v>
      </c>
      <c r="D16" s="279">
        <f>[22]Brewhouse!$AF905</f>
        <v>50.6</v>
      </c>
      <c r="E16" s="279">
        <f>[22]Brewhouse!$AI905</f>
        <v>48</v>
      </c>
      <c r="F16" s="278">
        <f>[22]Brewhouse!$V905</f>
        <v>54</v>
      </c>
      <c r="G16" s="279">
        <f>[22]Brewhouse!AG905</f>
        <v>11.7</v>
      </c>
      <c r="H16" s="396">
        <v>11.8</v>
      </c>
      <c r="I16" s="368">
        <f>[22]Brewhouse!$AU905</f>
        <v>92.499960331723543</v>
      </c>
      <c r="J16" s="368">
        <f>[22]Brewhouse!$AV905</f>
        <v>93.437299242870097</v>
      </c>
      <c r="K16" s="281">
        <f>[22]Brewhouse!$Q905</f>
        <v>5.8867924528301838</v>
      </c>
      <c r="L16" s="276">
        <f>[22]Brewhouse!$P905</f>
        <v>61</v>
      </c>
      <c r="M16" s="397">
        <f>[22]Brewhouse!$U905-[22]Brewhouse!$T905</f>
        <v>0.10625000000000007</v>
      </c>
      <c r="N16" s="370">
        <f>[22]Brewhouse!$Z905</f>
        <v>0.23402777777777783</v>
      </c>
      <c r="O16" s="421" t="str">
        <f>[22]Brewhouse!$AX905</f>
        <v>K.Benjamin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29" t="s">
        <v>6</v>
      </c>
      <c r="C17" s="366" t="str">
        <f>[22]Brewhouse!$A906</f>
        <v>CA792</v>
      </c>
      <c r="D17" s="279">
        <f>[22]Brewhouse!$AF906</f>
        <v>52.3</v>
      </c>
      <c r="E17" s="279">
        <f>[22]Brewhouse!$AI906</f>
        <v>51.6</v>
      </c>
      <c r="F17" s="278">
        <f>[22]Brewhouse!$V906</f>
        <v>58</v>
      </c>
      <c r="G17" s="279">
        <f>[22]Brewhouse!AG906</f>
        <v>11.8</v>
      </c>
      <c r="H17" s="396">
        <v>11.7</v>
      </c>
      <c r="I17" s="368">
        <f>[22]Brewhouse!$AU906</f>
        <v>100.08474597557371</v>
      </c>
      <c r="J17" s="368">
        <f>[22]Brewhouse!$AV906</f>
        <v>101.0991074577082</v>
      </c>
      <c r="K17" s="281">
        <f>[22]Brewhouse!$Q906</f>
        <v>4.3773584905660385</v>
      </c>
      <c r="L17" s="276">
        <f>[22]Brewhouse!$P906</f>
        <v>63</v>
      </c>
      <c r="M17" s="397">
        <f>[22]Brewhouse!$U906-[22]Brewhouse!$T906</f>
        <v>0.12291666666666679</v>
      </c>
      <c r="N17" s="370">
        <f>[22]Brewhouse!$Z906</f>
        <v>0.25347222222222232</v>
      </c>
      <c r="O17" s="421" t="str">
        <f>[22]Brewhouse!$AX906</f>
        <v>K.Benjamin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29" t="s">
        <v>6</v>
      </c>
      <c r="C18" s="366" t="str">
        <f>[22]Brewhouse!$A907</f>
        <v>CA793</v>
      </c>
      <c r="D18" s="279">
        <f>[22]Brewhouse!$AF907</f>
        <v>51.6</v>
      </c>
      <c r="E18" s="279">
        <f>[22]Brewhouse!$AI907</f>
        <v>50</v>
      </c>
      <c r="F18" s="278">
        <f>[22]Brewhouse!$V907</f>
        <v>60</v>
      </c>
      <c r="G18" s="279">
        <f>[22]Brewhouse!AG907</f>
        <v>11.6</v>
      </c>
      <c r="H18" s="396">
        <v>11.8</v>
      </c>
      <c r="I18" s="368">
        <f>[22]Brewhouse!$AU907</f>
        <v>95.135199111880581</v>
      </c>
      <c r="J18" s="368">
        <f>[22]Brewhouse!$AV907</f>
        <v>96.099473954651174</v>
      </c>
      <c r="K18" s="281">
        <f>[22]Brewhouse!$Q907</f>
        <v>4.1807909604519748</v>
      </c>
      <c r="L18" s="276">
        <f>[22]Brewhouse!$P907</f>
        <v>61</v>
      </c>
      <c r="M18" s="397">
        <f>[22]Brewhouse!$U907-[22]Brewhouse!$T907</f>
        <v>0.10902777777777772</v>
      </c>
      <c r="N18" s="370">
        <f>[22]Brewhouse!$Z907</f>
        <v>0.26874999999999993</v>
      </c>
      <c r="O18" s="421" t="str">
        <f>[22]Brewhouse!$AX907</f>
        <v>R. Regis</v>
      </c>
      <c r="P18" s="418" t="s">
        <v>199</v>
      </c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29" t="s">
        <v>6</v>
      </c>
      <c r="C19" s="366" t="str">
        <f>[22]Brewhouse!$A908</f>
        <v>CA794</v>
      </c>
      <c r="D19" s="279">
        <f>[22]Brewhouse!$AF908</f>
        <v>51.9</v>
      </c>
      <c r="E19" s="279">
        <f>[22]Brewhouse!$AI908</f>
        <v>50.4</v>
      </c>
      <c r="F19" s="278">
        <f>[22]Brewhouse!$V908</f>
        <v>68</v>
      </c>
      <c r="G19" s="279">
        <f>[22]Brewhouse!AG908</f>
        <v>11.9</v>
      </c>
      <c r="H19" s="396">
        <v>11.8</v>
      </c>
      <c r="I19" s="368">
        <f>[22]Brewhouse!$AU908</f>
        <v>98.386322874904408</v>
      </c>
      <c r="J19" s="368">
        <f>[22]Brewhouse!$AV908</f>
        <v>99.383630163501294</v>
      </c>
      <c r="K19" s="281">
        <f>[22]Brewhouse!$Q908</f>
        <v>3.6158192090395511</v>
      </c>
      <c r="L19" s="276">
        <f>[22]Brewhouse!$P908</f>
        <v>60</v>
      </c>
      <c r="M19" s="397">
        <f>[22]Brewhouse!$U908-[22]Brewhouse!$T908</f>
        <v>0.11319444444444438</v>
      </c>
      <c r="N19" s="370">
        <f>[22]Brewhouse!$Z908</f>
        <v>0.26111111111111107</v>
      </c>
      <c r="O19" s="421" t="str">
        <f>[22]Brewhouse!$AX908</f>
        <v>R. Regis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ref="R26:R40" si="9">B26</f>
        <v>0</v>
      </c>
      <c r="S26" s="296" t="e">
        <f t="shared" ref="S26:S40" si="10">VLOOKUP($B26,$R$3:$X$9,2,FALSE)</f>
        <v>#N/A</v>
      </c>
      <c r="T26" s="296" t="e">
        <f t="shared" ref="T26:T40" si="11">VLOOKUP($B26,$R$3:$X$9,3,FALSE)</f>
        <v>#N/A</v>
      </c>
      <c r="U26" s="297" t="e">
        <f t="shared" ref="U26:U40" si="12">VLOOKUP($B26,$R$3:$X$9,4,FALSE)</f>
        <v>#N/A</v>
      </c>
      <c r="V26" s="297" t="e">
        <f t="shared" ref="V26:V40" si="13">VLOOKUP($B26,$R$3:$X$9,5,FALSE)</f>
        <v>#N/A</v>
      </c>
      <c r="W26" s="297" t="e">
        <f t="shared" ref="W26:W40" si="14">VLOOKUP($B26,$R$3:$X$9,6,FALSE)</f>
        <v>#N/A</v>
      </c>
      <c r="X26" s="297" t="e">
        <f t="shared" ref="X26:X40" si="15">VLOOKUP($B26,$R$3:$X$9,7,FALSE)</f>
        <v>#N/A</v>
      </c>
      <c r="Y26" s="297" t="e">
        <f t="shared" ref="Y26:Y40" si="16">VLOOKUP($B26,$R$3:$Z$9,8,FALSE)</f>
        <v>#N/A</v>
      </c>
      <c r="Z26" s="296" t="e">
        <f t="shared" ref="Z26:Z40" si="17">VLOOKUP($B26,$R$3:$Z$9,9,FALSE)</f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1"/>
      <c r="J27" s="511"/>
      <c r="K27" s="511"/>
      <c r="L27" s="511"/>
      <c r="M27" s="511"/>
      <c r="N27" s="511"/>
      <c r="O27" s="1"/>
      <c r="P27" s="12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5.75" customHeight="1" thickBot="1">
      <c r="B28" s="388" t="s">
        <v>162</v>
      </c>
      <c r="C28" s="388"/>
      <c r="D28" s="489" t="s">
        <v>35</v>
      </c>
      <c r="E28" s="490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5" customHeight="1">
      <c r="A29" s="28"/>
      <c r="B29" s="590" t="str">
        <f>I32</f>
        <v>VITAMALT</v>
      </c>
      <c r="C29" s="362" cm="1">
        <f t="array" ref="C29:C36">[25]Process!$D$88:$D$95</f>
        <v>14.1</v>
      </c>
      <c r="D29" s="515">
        <v>16.27</v>
      </c>
      <c r="E29" s="516"/>
      <c r="F29" s="294"/>
      <c r="G29" s="294"/>
      <c r="H29" s="348"/>
      <c r="I29" s="29" t="s">
        <v>6</v>
      </c>
      <c r="J29" s="280">
        <f>AVERAGE(I16:I19)</f>
        <v>96.526557073520564</v>
      </c>
      <c r="K29" s="284">
        <f>COUNTA([22]Brewhouse!$A$823:$A$862,[23]Brewhouse!$A$420:$A$423,[22]Brewhouse!$A$867:$A$908)</f>
        <v>86</v>
      </c>
      <c r="L29" s="305">
        <f>AVERAGE([22]Brewhouse!$AU$823:$AU$862,[23]Brewhouse!$AS$420:$AS$423,[22]Brewhouse!$AU$867:$AU$908)</f>
        <v>97.762492237650292</v>
      </c>
      <c r="M29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$908)</f>
        <v>97.713914495501427</v>
      </c>
      <c r="N29" s="30">
        <v>98</v>
      </c>
      <c r="O29" s="11"/>
      <c r="P29" s="31"/>
      <c r="R29" s="277" t="str">
        <f t="shared" si="9"/>
        <v>VITAMALT</v>
      </c>
      <c r="S29" s="296">
        <f t="shared" si="10"/>
        <v>14.2</v>
      </c>
      <c r="T29" s="296">
        <f t="shared" si="11"/>
        <v>14.6</v>
      </c>
      <c r="U29" s="297">
        <f t="shared" si="12"/>
        <v>0</v>
      </c>
      <c r="V29" s="297">
        <f t="shared" si="13"/>
        <v>0.13905092592592591</v>
      </c>
      <c r="W29" s="297">
        <f t="shared" si="14"/>
        <v>0.26041666666666669</v>
      </c>
      <c r="X29" s="297">
        <f t="shared" si="15"/>
        <v>0.2951388888888889</v>
      </c>
      <c r="Y29" s="297">
        <f t="shared" si="16"/>
        <v>0</v>
      </c>
      <c r="Z29" s="296">
        <f t="shared" si="17"/>
        <v>75</v>
      </c>
    </row>
    <row r="30" spans="1:26" ht="15" customHeight="1">
      <c r="A30" s="28"/>
      <c r="B30" s="591"/>
      <c r="C30" s="362">
        <v>14</v>
      </c>
      <c r="D30" s="517"/>
      <c r="E30" s="518"/>
      <c r="F30" s="294"/>
      <c r="G30" s="294"/>
      <c r="H30" s="348"/>
      <c r="I30" s="33" t="s">
        <v>9</v>
      </c>
      <c r="J30" s="280">
        <f>AVERAGE(I10:I14)</f>
        <v>97.174576072289597</v>
      </c>
      <c r="K30" s="284">
        <f>COUNTA([23]Brewhouse!$A$399:$A$443)</f>
        <v>45</v>
      </c>
      <c r="L30" s="302">
        <f>AVERAGE([23]Brewhouse!$AS$399:$AS$443)</f>
        <v>97.32930680473973</v>
      </c>
      <c r="M30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$443)</f>
        <v>97.924881193248822</v>
      </c>
      <c r="N30" s="30">
        <v>98</v>
      </c>
      <c r="O30" s="11"/>
      <c r="P30" s="31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1:26" ht="14.65" customHeight="1">
      <c r="A31" s="28"/>
      <c r="B31" s="591"/>
      <c r="C31" s="362">
        <v>14.3</v>
      </c>
      <c r="D31" s="564">
        <v>16.399999999999999</v>
      </c>
      <c r="E31" s="565"/>
      <c r="F31" s="294"/>
      <c r="G31" s="294"/>
      <c r="H31" s="348"/>
      <c r="I31" s="34" t="s">
        <v>12</v>
      </c>
      <c r="J31" s="280"/>
      <c r="K31" s="284">
        <f>COUNTA([24]Brewhouse!$A$99:$A$106)</f>
        <v>8</v>
      </c>
      <c r="L31" s="302">
        <f>AVERAGE([24]Brewhouse!$AU$99:$AU$106)</f>
        <v>94.823749681896615</v>
      </c>
      <c r="M31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4.65" customHeight="1">
      <c r="A32" s="28"/>
      <c r="B32" s="591"/>
      <c r="C32" s="362">
        <v>14.4</v>
      </c>
      <c r="D32" s="530"/>
      <c r="E32" s="518"/>
      <c r="F32" s="294"/>
      <c r="G32" s="294"/>
      <c r="H32" s="348"/>
      <c r="I32" s="22" t="s">
        <v>33</v>
      </c>
      <c r="J32" s="280"/>
      <c r="K32" s="284">
        <f>COUNTA([25]Brewhouse!$A$88:$A$95)</f>
        <v>8</v>
      </c>
      <c r="L32" s="302">
        <f>AVERAGE([25]Brewhouse!$AV$88:$AV$95)</f>
        <v>97.908624430386354</v>
      </c>
      <c r="M32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56" ht="14.65" customHeight="1">
      <c r="A33" s="28"/>
      <c r="B33" s="591"/>
      <c r="C33" s="362">
        <v>14.4</v>
      </c>
      <c r="D33" s="564">
        <v>16.329999999999998</v>
      </c>
      <c r="E33" s="565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56" ht="14.65" customHeight="1">
      <c r="A34" s="28"/>
      <c r="B34" s="591"/>
      <c r="C34" s="362">
        <v>14</v>
      </c>
      <c r="D34" s="530"/>
      <c r="E34" s="518"/>
      <c r="F34" s="417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AVERAGE([26]Brewhouse!$AT$4:$AT$11,[26]Brewhouse!$AT$13:$AT$16,[26]Brewhouse!$AT$18:$AT$21,[26]Brewhouse!$AT$26,[26]Brewhouse!$AT$28:$AT$35)</f>
        <v>94.794664331624134</v>
      </c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  <c r="AA34" s="296"/>
    </row>
    <row r="35" spans="1:56" ht="14.65" customHeight="1">
      <c r="A35" s="28"/>
      <c r="B35" s="591"/>
      <c r="C35" s="362">
        <v>14</v>
      </c>
      <c r="D35" s="564">
        <v>16.41</v>
      </c>
      <c r="E35" s="565"/>
      <c r="F35" s="417"/>
      <c r="G35" s="294"/>
      <c r="H35" s="348"/>
      <c r="I35" s="37" t="s">
        <v>16</v>
      </c>
      <c r="J35" s="323"/>
      <c r="K35" s="284"/>
      <c r="L35" s="302"/>
      <c r="M35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5" s="30">
        <v>98</v>
      </c>
      <c r="O35" s="11"/>
      <c r="P35" s="31" t="s">
        <v>41</v>
      </c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4.65" customHeight="1">
      <c r="A36" s="28"/>
      <c r="B36" s="591"/>
      <c r="C36" s="362">
        <v>14.1</v>
      </c>
      <c r="D36" s="530"/>
      <c r="E36" s="518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AVERAGE([28]Brewhouse!$AU$5:$AU$8,[28]Brewhouse!$AU$10:$AU$13,[27]Brewhouse!$AY$75:$AY$77)</f>
        <v>94.749192473706671</v>
      </c>
      <c r="N36" s="30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4.65" customHeight="1">
      <c r="A37" s="28"/>
      <c r="B37" s="591"/>
      <c r="C37" s="349"/>
      <c r="D37" s="564"/>
      <c r="E37" s="565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  <c r="AA37" s="296"/>
    </row>
    <row r="38" spans="1:56" ht="15" customHeight="1" thickBot="1">
      <c r="A38" s="28"/>
      <c r="B38" s="591"/>
      <c r="C38" s="349"/>
      <c r="D38" s="530"/>
      <c r="E38" s="518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AA38" s="296"/>
    </row>
    <row r="39" spans="1:56" ht="15" customHeight="1" thickBot="1">
      <c r="A39" s="28"/>
      <c r="B39" s="591"/>
      <c r="C39" s="349"/>
      <c r="D39" s="515"/>
      <c r="E39" s="516"/>
      <c r="F39" s="294"/>
      <c r="G39" s="294"/>
      <c r="H39" s="348"/>
      <c r="I39" s="1"/>
      <c r="J39" s="39"/>
      <c r="K39" s="404">
        <f>SUM(K29:K38)</f>
        <v>147</v>
      </c>
      <c r="L39" s="405">
        <f>((L29*K29)+(L30*K30)+(L31*K31)+(L32*K32)+(L33*K33)+(K36*L36)+(L34*K34)+(L35*K35)+(L38*K38))/(K39)</f>
        <v>97.477905656799152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97.565740805361713</v>
      </c>
      <c r="N39" s="40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AA39" s="296"/>
    </row>
    <row r="40" spans="1:56" ht="15.75" thickBot="1">
      <c r="B40" s="592"/>
      <c r="C40" s="350"/>
      <c r="D40" s="517"/>
      <c r="E40" s="518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AA40" s="296"/>
    </row>
    <row r="41" spans="1:56" ht="15.75" thickBot="1">
      <c r="B41" s="512"/>
      <c r="C41" s="362"/>
      <c r="D41" s="528"/>
      <c r="E41" s="529"/>
      <c r="F41" s="294"/>
      <c r="G41" s="42"/>
      <c r="H41" s="41"/>
      <c r="I41" s="42"/>
      <c r="J41" s="563" t="s">
        <v>129</v>
      </c>
      <c r="K41" s="563"/>
      <c r="L41" s="294"/>
      <c r="M41" s="294"/>
      <c r="N41" s="294"/>
      <c r="O41" s="294"/>
      <c r="P41" s="12"/>
    </row>
    <row r="42" spans="1:56" ht="15.75" thickBot="1">
      <c r="B42" s="513"/>
      <c r="C42" s="362"/>
      <c r="D42" s="530"/>
      <c r="E42" s="518"/>
      <c r="F42" s="294"/>
      <c r="G42" s="42"/>
      <c r="H42" s="41"/>
      <c r="I42" s="42"/>
      <c r="J42" s="292" t="s">
        <v>17</v>
      </c>
      <c r="K42" s="293" t="s">
        <v>147</v>
      </c>
      <c r="L42" s="532" t="s">
        <v>136</v>
      </c>
      <c r="M42" s="532"/>
      <c r="N42" s="533"/>
      <c r="O42" s="294"/>
      <c r="P42" s="12"/>
    </row>
    <row r="43" spans="1:56" ht="15" customHeight="1" thickBot="1">
      <c r="B43" s="513"/>
      <c r="C43" s="349"/>
      <c r="D43" s="564"/>
      <c r="E43" s="565"/>
      <c r="F43" s="294"/>
      <c r="G43" s="42"/>
      <c r="H43" s="41"/>
      <c r="I43" s="42"/>
      <c r="J43" s="287" t="s">
        <v>6</v>
      </c>
      <c r="K43" s="324">
        <v>4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13"/>
      <c r="C44" s="349"/>
      <c r="D44" s="530"/>
      <c r="E44" s="518"/>
      <c r="F44" s="294"/>
      <c r="G44" s="42"/>
      <c r="H44" s="41"/>
      <c r="I44" s="42"/>
      <c r="J44" s="345" t="s">
        <v>9</v>
      </c>
      <c r="K44" s="324">
        <v>5</v>
      </c>
      <c r="L44" s="344">
        <f>AVERAGE('Oct. 1st'!K49,,'Oct. 2nd'!K51,'Oct. 3rd'!K46,'Oct. 6th'!K54,Oct.7th!K50,Oct.8th!K48,Oct.9th!K49,Oct.13th!K47,Oct.15th!K50,Oct.16th!K50,Oct.17th!K46,Oct.21st!K50,Oct.22nd!K48,Oct.23rd!K46,Oct.24th!K53,Oct.27th!K49,Oct.28th!K50,Oct.29th!K53)</f>
        <v>7.5263157894736841</v>
      </c>
      <c r="M44" s="325">
        <f>AVERAGE('[31]Jan 29th '!$M$70,'[32]Feb 28th'!$L$40,'[33]Mar. 31st'!$L$40,'[34]Apr. 30th'!$L$50,'[35]May 30th'!$L$42,'[36]June 30th'!$L$62,'[37]July 29th '!$L$49,'[38]Aug 29th'!$L$34,'[39]Sept 30th'!$L$40,L44)</f>
        <v>7.0587593565854432</v>
      </c>
      <c r="N44" s="416">
        <v>9.1999999999999993</v>
      </c>
      <c r="O44" s="294"/>
      <c r="P44" s="12"/>
    </row>
    <row r="45" spans="1:56" ht="15" customHeight="1">
      <c r="B45" s="513"/>
      <c r="C45" s="349"/>
      <c r="D45" s="564"/>
      <c r="E45" s="565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13"/>
      <c r="C46" s="349"/>
      <c r="D46" s="530"/>
      <c r="E46" s="518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13"/>
      <c r="C47" s="349"/>
      <c r="D47" s="564"/>
      <c r="E47" s="565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3"/>
      <c r="C48" s="349"/>
      <c r="D48" s="530"/>
      <c r="E48" s="518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3"/>
      <c r="C49" s="349"/>
      <c r="D49" s="564"/>
      <c r="E49" s="565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13"/>
      <c r="C50" s="350"/>
      <c r="D50" s="566"/>
      <c r="E50" s="567"/>
      <c r="F50" s="294" t="s">
        <v>178</v>
      </c>
      <c r="G50" s="42"/>
      <c r="H50" s="41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60">
        <f>AVERAGE(D29:E50)</f>
        <v>16.352499999999999</v>
      </c>
      <c r="E51" s="561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>
        <f>[23]Process!D419</f>
        <v>11.9</v>
      </c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0" t="s">
        <v>17</v>
      </c>
      <c r="C56" s="540" t="s">
        <v>44</v>
      </c>
      <c r="D56" s="542" t="s">
        <v>45</v>
      </c>
      <c r="E56" s="497" t="s">
        <v>46</v>
      </c>
      <c r="F56" s="557" t="s">
        <v>47</v>
      </c>
      <c r="G56" s="551" t="s">
        <v>48</v>
      </c>
      <c r="H56" s="540" t="s">
        <v>49</v>
      </c>
      <c r="I56" s="540" t="s">
        <v>50</v>
      </c>
      <c r="J56" s="545" t="s">
        <v>28</v>
      </c>
      <c r="K56" s="495" t="s">
        <v>51</v>
      </c>
      <c r="L56" s="507" t="s">
        <v>52</v>
      </c>
      <c r="M56" s="545" t="s">
        <v>53</v>
      </c>
      <c r="N56" s="13"/>
      <c r="O56" s="13"/>
      <c r="P56" s="50"/>
    </row>
    <row r="57" spans="2:57" ht="28.5" customHeight="1" thickTop="1" thickBot="1">
      <c r="B57" s="541"/>
      <c r="C57" s="541"/>
      <c r="D57" s="543"/>
      <c r="E57" s="544"/>
      <c r="F57" s="558"/>
      <c r="G57" s="552"/>
      <c r="H57" s="559"/>
      <c r="I57" s="559"/>
      <c r="J57" s="546"/>
      <c r="K57" s="555"/>
      <c r="L57" s="556"/>
      <c r="M57" s="546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80" t="str">
        <f>J46</f>
        <v>VITAMALT</v>
      </c>
      <c r="C58" s="442">
        <v>45959</v>
      </c>
      <c r="D58" s="443">
        <f>[40]October_2025!$AF$65</f>
        <v>389.1</v>
      </c>
      <c r="E58" s="444">
        <f>SUM([42]VITAMALT!$J$6:$J$13)</f>
        <v>16.399999999999999</v>
      </c>
      <c r="F58" s="445"/>
      <c r="G58" s="445">
        <f>[40]October_2025!$AF$70</f>
        <v>384.70000000000005</v>
      </c>
      <c r="H58" s="462"/>
      <c r="I58" s="462"/>
      <c r="J58" s="449" t="s">
        <v>163</v>
      </c>
      <c r="K58" s="450">
        <f>[41]October_2025!$AF$60</f>
        <v>1.3498245614035089</v>
      </c>
      <c r="L58" s="455">
        <f>(((D58+E58)-G58)/(D58+E58))*100</f>
        <v>5.1294697903822328</v>
      </c>
      <c r="M58" s="457" t="s">
        <v>170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58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387"/>
      <c r="C60" s="442"/>
      <c r="D60" s="443"/>
      <c r="E60" s="444"/>
      <c r="F60" s="445"/>
      <c r="G60" s="446"/>
      <c r="H60" s="462"/>
      <c r="I60" s="462"/>
      <c r="J60" s="449"/>
      <c r="K60" s="466"/>
      <c r="L60" s="461"/>
      <c r="M60" s="457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hidden="1" thickBot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5"/>
      <c r="C62" s="442"/>
      <c r="D62" s="443"/>
      <c r="E62" s="444"/>
      <c r="F62" s="445"/>
      <c r="G62" s="446"/>
      <c r="H62" s="447"/>
      <c r="I62" s="448"/>
      <c r="J62" s="449"/>
      <c r="K62" s="450"/>
      <c r="L62" s="461"/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65"/>
      <c r="C64" s="442"/>
      <c r="D64" s="443"/>
      <c r="E64" s="444"/>
      <c r="F64" s="445"/>
      <c r="G64" s="446"/>
      <c r="H64" s="447"/>
      <c r="I64" s="448"/>
      <c r="J64" s="449"/>
      <c r="K64" s="450"/>
      <c r="L64" s="461"/>
      <c r="M64" s="456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9"/>
      <c r="C65" s="431"/>
      <c r="D65" s="473"/>
      <c r="E65" s="474"/>
      <c r="F65" s="475"/>
      <c r="G65" s="473"/>
      <c r="H65" s="476"/>
      <c r="I65" s="476"/>
      <c r="J65" s="476"/>
      <c r="K65" s="477"/>
      <c r="L65" s="478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7" t="s">
        <v>55</v>
      </c>
      <c r="C67" s="548"/>
      <c r="D67" s="548"/>
      <c r="E67" s="548"/>
      <c r="F67" s="549"/>
      <c r="G67" s="547" t="s">
        <v>56</v>
      </c>
      <c r="H67" s="548"/>
      <c r="I67" s="548"/>
      <c r="J67" s="549"/>
      <c r="K67" s="547" t="s">
        <v>51</v>
      </c>
      <c r="L67" s="548"/>
      <c r="M67" s="548"/>
      <c r="N67" s="550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5.4269499874713887</v>
      </c>
      <c r="E69" s="76">
        <v>6.2407328624942462</v>
      </c>
      <c r="F69" s="66">
        <v>4.8</v>
      </c>
      <c r="G69" s="65"/>
      <c r="H69" s="76">
        <v>4.2563313736427109</v>
      </c>
      <c r="I69" s="76">
        <v>6.0390139382813581</v>
      </c>
      <c r="J69" s="66">
        <v>4.8</v>
      </c>
      <c r="K69" s="67"/>
      <c r="L69" s="194">
        <v>0.78064598991688394</v>
      </c>
      <c r="M69" s="194">
        <v>0.76957073251495711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4.6321640098754937</v>
      </c>
      <c r="E70" s="76">
        <v>5.7588892834082586</v>
      </c>
      <c r="F70" s="66">
        <v>4.8</v>
      </c>
      <c r="G70" s="65"/>
      <c r="H70" s="76">
        <v>4.0639296511587704</v>
      </c>
      <c r="I70" s="76">
        <v>5.492770546029484</v>
      </c>
      <c r="J70" s="66">
        <v>4.8</v>
      </c>
      <c r="K70" s="67"/>
      <c r="L70" s="194">
        <v>0.74930453004267783</v>
      </c>
      <c r="M70" s="194">
        <v>0.72027652373862694</v>
      </c>
      <c r="N70" s="68">
        <v>1</v>
      </c>
      <c r="P70" s="69"/>
    </row>
    <row r="71" spans="2:57" ht="15">
      <c r="B71" s="34" t="s">
        <v>40</v>
      </c>
      <c r="C71" s="65"/>
      <c r="D71" s="76">
        <v>10.139579656666138</v>
      </c>
      <c r="E71" s="76">
        <v>11.57083716651332</v>
      </c>
      <c r="F71" s="66">
        <v>5.5</v>
      </c>
      <c r="G71" s="65"/>
      <c r="H71" s="76">
        <v>12.493185035674854</v>
      </c>
      <c r="I71" s="76">
        <v>12.71224444035783</v>
      </c>
      <c r="J71" s="66">
        <v>5.5</v>
      </c>
      <c r="K71" s="67"/>
      <c r="L71" s="194">
        <v>0.51072164948453602</v>
      </c>
      <c r="M71" s="194">
        <v>0.53293555745651555</v>
      </c>
      <c r="N71" s="68">
        <v>1</v>
      </c>
      <c r="P71" s="69"/>
    </row>
    <row r="72" spans="2:57" ht="15">
      <c r="B72" s="22" t="s">
        <v>33</v>
      </c>
      <c r="C72" s="65">
        <f>L58</f>
        <v>5.1294697903822328</v>
      </c>
      <c r="D72" s="76">
        <v>5.1294697903822328</v>
      </c>
      <c r="E72" s="76">
        <v>5.1206010280743115</v>
      </c>
      <c r="F72" s="66">
        <v>3.3</v>
      </c>
      <c r="G72" s="65">
        <f>[40]October_2025!$AF$74</f>
        <v>4.536248812516166</v>
      </c>
      <c r="H72" s="76">
        <v>4.536248812516166</v>
      </c>
      <c r="I72" s="76">
        <v>4.4829345306946999</v>
      </c>
      <c r="J72" s="66">
        <v>3.3</v>
      </c>
      <c r="K72" s="67">
        <f>K58</f>
        <v>1.3498245614035089</v>
      </c>
      <c r="L72" s="194">
        <v>1.3498245614035089</v>
      </c>
      <c r="M72" s="194">
        <v>0.8425337381916328</v>
      </c>
      <c r="N72" s="68">
        <v>1</v>
      </c>
      <c r="P72" s="69"/>
    </row>
    <row r="73" spans="2:57" ht="15">
      <c r="B73" s="35" t="s">
        <v>165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7.3129862357869699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2.0782986950217497</v>
      </c>
      <c r="E75" s="76">
        <v>2.8629317642487306</v>
      </c>
      <c r="F75" s="66">
        <v>3.3</v>
      </c>
      <c r="G75" s="282"/>
      <c r="H75" s="76">
        <v>3.4559849687930924</v>
      </c>
      <c r="I75" s="76">
        <v>4.3478819741669881</v>
      </c>
      <c r="J75" s="66">
        <v>3.3</v>
      </c>
      <c r="K75" s="67"/>
      <c r="L75" s="194">
        <v>0.88859649122807016</v>
      </c>
      <c r="M75" s="194">
        <v>0.85935680751173715</v>
      </c>
      <c r="N75" s="71">
        <v>1</v>
      </c>
      <c r="P75" s="69"/>
    </row>
    <row r="76" spans="2:57" ht="15.75" thickBot="1">
      <c r="B76" s="38" t="s">
        <v>164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5.3196623234106166</v>
      </c>
      <c r="E78" s="76">
        <v>6.2643761111894554</v>
      </c>
      <c r="F78" s="341">
        <v>5.5</v>
      </c>
      <c r="H78" s="76">
        <v>5.1216230874811615</v>
      </c>
      <c r="I78" s="76">
        <v>6.4195280644000707</v>
      </c>
      <c r="J78" s="341">
        <v>5.5</v>
      </c>
      <c r="L78" s="194">
        <v>0.78130038759689924</v>
      </c>
      <c r="M78" s="194">
        <v>0.73564864270799002</v>
      </c>
      <c r="N78" s="386">
        <v>1</v>
      </c>
    </row>
  </sheetData>
  <mergeCells count="51"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B56:B57"/>
    <mergeCell ref="C56:C57"/>
    <mergeCell ref="D56:D57"/>
    <mergeCell ref="E56:E57"/>
    <mergeCell ref="F56:F57"/>
    <mergeCell ref="M56:M57"/>
    <mergeCell ref="L42:N42"/>
    <mergeCell ref="D47:E48"/>
    <mergeCell ref="D39:E40"/>
    <mergeCell ref="D43:E44"/>
    <mergeCell ref="D45:E46"/>
    <mergeCell ref="D51:E51"/>
    <mergeCell ref="D41:E42"/>
    <mergeCell ref="B41:B50"/>
    <mergeCell ref="J41:K41"/>
    <mergeCell ref="D49:E50"/>
    <mergeCell ref="I27:N27"/>
    <mergeCell ref="D28:E28"/>
    <mergeCell ref="B29:B40"/>
    <mergeCell ref="D35:E36"/>
    <mergeCell ref="D29:E30"/>
    <mergeCell ref="D31:E32"/>
    <mergeCell ref="D33:E34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549" priority="5" operator="notBetween">
      <formula>#REF!</formula>
      <formula>#REF!</formula>
    </cfRule>
  </conditionalFormatting>
  <conditionalFormatting sqref="C55">
    <cfRule type="cellIs" dxfId="548" priority="188" stopIfTrue="1" operator="greaterThan">
      <formula>100</formula>
    </cfRule>
    <cfRule type="cellIs" dxfId="547" priority="187" stopIfTrue="1" operator="lessThan">
      <formula>96</formula>
    </cfRule>
  </conditionalFormatting>
  <conditionalFormatting sqref="C69:C73">
    <cfRule type="cellIs" dxfId="546" priority="137" stopIfTrue="1" operator="lessThanOrEqual">
      <formula>0</formula>
    </cfRule>
  </conditionalFormatting>
  <conditionalFormatting sqref="C69:C77">
    <cfRule type="cellIs" dxfId="545" priority="136" stopIfTrue="1" operator="greaterThan">
      <formula>$F69</formula>
    </cfRule>
  </conditionalFormatting>
  <conditionalFormatting sqref="C70">
    <cfRule type="cellIs" dxfId="544" priority="191" stopIfTrue="1" operator="greaterThan">
      <formula>$F69</formula>
    </cfRule>
  </conditionalFormatting>
  <conditionalFormatting sqref="C74">
    <cfRule type="cellIs" dxfId="543" priority="77" stopIfTrue="1" operator="greaterThan">
      <formula>$F73</formula>
    </cfRule>
    <cfRule type="cellIs" dxfId="542" priority="76" stopIfTrue="1" operator="lessThanOrEqual">
      <formula>0</formula>
    </cfRule>
  </conditionalFormatting>
  <conditionalFormatting sqref="C80:C84">
    <cfRule type="cellIs" dxfId="541" priority="179" stopIfTrue="1" operator="lessThanOrEqual">
      <formula>0</formula>
    </cfRule>
  </conditionalFormatting>
  <conditionalFormatting sqref="C81:C84">
    <cfRule type="cellIs" dxfId="540" priority="178" stopIfTrue="1" operator="greaterThan">
      <formula>$F$80</formula>
    </cfRule>
  </conditionalFormatting>
  <conditionalFormatting sqref="C86">
    <cfRule type="cellIs" dxfId="539" priority="181" stopIfTrue="1" operator="lessThanOrEqual">
      <formula>0</formula>
    </cfRule>
    <cfRule type="cellIs" dxfId="538" priority="180" stopIfTrue="1" operator="greaterThan">
      <formula>$F$80</formula>
    </cfRule>
  </conditionalFormatting>
  <conditionalFormatting sqref="C80:D80 D82:D88">
    <cfRule type="cellIs" dxfId="537" priority="173" stopIfTrue="1" operator="greaterThan">
      <formula>4.5</formula>
    </cfRule>
  </conditionalFormatting>
  <conditionalFormatting sqref="D51:D52">
    <cfRule type="cellIs" dxfId="536" priority="6" operator="notBetween">
      <formula>#REF!</formula>
      <formula>#REF!</formula>
    </cfRule>
  </conditionalFormatting>
  <conditionalFormatting sqref="D69:D76">
    <cfRule type="cellIs" dxfId="535" priority="151" stopIfTrue="1" operator="lessThanOrEqual">
      <formula>0</formula>
    </cfRule>
  </conditionalFormatting>
  <conditionalFormatting sqref="D77">
    <cfRule type="cellIs" dxfId="534" priority="150" stopIfTrue="1" operator="lessThanOrEqual">
      <formula>0</formula>
    </cfRule>
  </conditionalFormatting>
  <conditionalFormatting sqref="D80 D82:D88">
    <cfRule type="cellIs" dxfId="533" priority="174" stopIfTrue="1" operator="lessThanOrEqual">
      <formula>0</formula>
    </cfRule>
  </conditionalFormatting>
  <conditionalFormatting sqref="D81">
    <cfRule type="cellIs" dxfId="532" priority="166" stopIfTrue="1" operator="lessThanOrEqual">
      <formula>0</formula>
    </cfRule>
    <cfRule type="cellIs" dxfId="531" priority="165" stopIfTrue="1" operator="greaterThan">
      <formula>$F$80</formula>
    </cfRule>
  </conditionalFormatting>
  <conditionalFormatting sqref="D69:E78">
    <cfRule type="cellIs" dxfId="530" priority="134" stopIfTrue="1" operator="greaterThan">
      <formula>$F69</formula>
    </cfRule>
  </conditionalFormatting>
  <conditionalFormatting sqref="D78:E78">
    <cfRule type="cellIs" dxfId="529" priority="135" stopIfTrue="1" operator="lessThanOrEqual">
      <formula>0</formula>
    </cfRule>
  </conditionalFormatting>
  <conditionalFormatting sqref="E10:E26">
    <cfRule type="cellIs" dxfId="528" priority="36" operator="lessThan">
      <formula>48</formula>
    </cfRule>
  </conditionalFormatting>
  <conditionalFormatting sqref="E54 E55:F55">
    <cfRule type="cellIs" dxfId="527" priority="170" stopIfTrue="1" operator="greaterThan">
      <formula>100</formula>
    </cfRule>
  </conditionalFormatting>
  <conditionalFormatting sqref="E55">
    <cfRule type="cellIs" dxfId="526" priority="168" stopIfTrue="1" operator="greaterThan">
      <formula>100</formula>
    </cfRule>
    <cfRule type="cellIs" dxfId="525" priority="167" stopIfTrue="1" operator="lessThan">
      <formula>96.8</formula>
    </cfRule>
  </conditionalFormatting>
  <conditionalFormatting sqref="E69:E77">
    <cfRule type="cellIs" dxfId="524" priority="145" stopIfTrue="1" operator="lessThanOrEqual">
      <formula>0</formula>
    </cfRule>
  </conditionalFormatting>
  <conditionalFormatting sqref="E80:E88">
    <cfRule type="cellIs" dxfId="523" priority="159" stopIfTrue="1" operator="greaterThan">
      <formula>4.5</formula>
    </cfRule>
    <cfRule type="cellIs" dxfId="522" priority="160" stopIfTrue="1" operator="lessThanOrEqual">
      <formula>0</formula>
    </cfRule>
  </conditionalFormatting>
  <conditionalFormatting sqref="E55:F55 E54">
    <cfRule type="cellIs" dxfId="521" priority="169" stopIfTrue="1" operator="lessThan">
      <formula>96.5</formula>
    </cfRule>
  </conditionalFormatting>
  <conditionalFormatting sqref="F10:F26">
    <cfRule type="cellIs" dxfId="520" priority="37" operator="greaterThan">
      <formula>60</formula>
    </cfRule>
  </conditionalFormatting>
  <conditionalFormatting sqref="F55">
    <cfRule type="cellIs" dxfId="519" priority="185" stopIfTrue="1" operator="lessThan">
      <formula>96.8</formula>
    </cfRule>
    <cfRule type="cellIs" dxfId="518" priority="186" stopIfTrue="1" operator="greaterThan">
      <formula>100</formula>
    </cfRule>
  </conditionalFormatting>
  <conditionalFormatting sqref="F78">
    <cfRule type="cellIs" dxfId="517" priority="147" stopIfTrue="1" operator="lessThanOrEqual">
      <formula>0</formula>
    </cfRule>
    <cfRule type="cellIs" dxfId="516" priority="146" stopIfTrue="1" operator="greaterThan">
      <formula>$F78</formula>
    </cfRule>
  </conditionalFormatting>
  <conditionalFormatting sqref="G16:G22">
    <cfRule type="expression" dxfId="515" priority="58">
      <formula>IF(+(IF(G16&lt;S16,0,IF(G16&gt;T16,0,1)))=0,1)</formula>
    </cfRule>
  </conditionalFormatting>
  <conditionalFormatting sqref="G69:G70 C75:C77">
    <cfRule type="cellIs" dxfId="514" priority="153" stopIfTrue="1" operator="lessThanOrEqual">
      <formula>0</formula>
    </cfRule>
  </conditionalFormatting>
  <conditionalFormatting sqref="G69:G70">
    <cfRule type="cellIs" dxfId="513" priority="138" stopIfTrue="1" operator="greaterThan">
      <formula>$F69</formula>
    </cfRule>
    <cfRule type="cellIs" dxfId="512" priority="152" stopIfTrue="1" operator="greaterThan">
      <formula>$F69</formula>
    </cfRule>
    <cfRule type="cellIs" dxfId="511" priority="139" stopIfTrue="1" operator="lessThanOrEqual">
      <formula>0</formula>
    </cfRule>
  </conditionalFormatting>
  <conditionalFormatting sqref="G71">
    <cfRule type="cellIs" dxfId="510" priority="190" stopIfTrue="1" operator="lessThanOrEqual">
      <formula>0</formula>
    </cfRule>
    <cfRule type="cellIs" dxfId="509" priority="189" stopIfTrue="1" operator="greaterThan">
      <formula>$F70</formula>
    </cfRule>
  </conditionalFormatting>
  <conditionalFormatting sqref="G72">
    <cfRule type="cellIs" dxfId="508" priority="4" stopIfTrue="1" operator="lessThanOrEqual">
      <formula>0</formula>
    </cfRule>
    <cfRule type="cellIs" dxfId="507" priority="3" stopIfTrue="1" operator="greaterThan">
      <formula>$F72</formula>
    </cfRule>
    <cfRule type="cellIs" dxfId="506" priority="2" stopIfTrue="1" operator="lessThanOrEqual">
      <formula>0</formula>
    </cfRule>
    <cfRule type="cellIs" dxfId="505" priority="1" stopIfTrue="1" operator="greaterThan">
      <formula>$F72</formula>
    </cfRule>
  </conditionalFormatting>
  <conditionalFormatting sqref="G73:G77">
    <cfRule type="cellIs" dxfId="504" priority="154" stopIfTrue="1" operator="greaterThan">
      <formula>$J73</formula>
    </cfRule>
    <cfRule type="cellIs" dxfId="503" priority="155" stopIfTrue="1" operator="lessThanOrEqual">
      <formula>0</formula>
    </cfRule>
  </conditionalFormatting>
  <conditionalFormatting sqref="G82:G87 C85 C87">
    <cfRule type="cellIs" dxfId="502" priority="182" stopIfTrue="1" operator="greaterThan">
      <formula>4.5</formula>
    </cfRule>
    <cfRule type="cellIs" dxfId="501" priority="183" stopIfTrue="1" operator="lessThanOrEqual">
      <formula>0</formula>
    </cfRule>
  </conditionalFormatting>
  <conditionalFormatting sqref="G81:H81">
    <cfRule type="cellIs" dxfId="500" priority="163" stopIfTrue="1" operator="greaterThan">
      <formula>$F$80</formula>
    </cfRule>
    <cfRule type="cellIs" dxfId="499" priority="164" stopIfTrue="1" operator="lessThanOrEqual">
      <formula>0</formula>
    </cfRule>
  </conditionalFormatting>
  <conditionalFormatting sqref="H40:H54">
    <cfRule type="cellIs" dxfId="498" priority="161" stopIfTrue="1" operator="greaterThan">
      <formula>0</formula>
    </cfRule>
  </conditionalFormatting>
  <conditionalFormatting sqref="H58">
    <cfRule type="cellIs" dxfId="497" priority="51" stopIfTrue="1" operator="greaterThan">
      <formula>$F$74</formula>
    </cfRule>
    <cfRule type="cellIs" dxfId="496" priority="52" stopIfTrue="1" operator="lessThanOrEqual">
      <formula>0</formula>
    </cfRule>
    <cfRule type="cellIs" dxfId="495" priority="54" stopIfTrue="1" operator="lessThanOrEqual">
      <formula>0</formula>
    </cfRule>
    <cfRule type="cellIs" dxfId="494" priority="42" stopIfTrue="1" operator="lessThanOrEqual">
      <formula>0</formula>
    </cfRule>
    <cfRule type="cellIs" dxfId="493" priority="43" stopIfTrue="1" operator="greaterThan">
      <formula>$F$71</formula>
    </cfRule>
    <cfRule type="cellIs" dxfId="492" priority="53" stopIfTrue="1" operator="greaterThan">
      <formula>$F$72</formula>
    </cfRule>
  </conditionalFormatting>
  <conditionalFormatting sqref="H59">
    <cfRule type="cellIs" dxfId="491" priority="102" stopIfTrue="1" operator="greaterThan">
      <formula>$F$27</formula>
    </cfRule>
    <cfRule type="cellIs" dxfId="490" priority="103" stopIfTrue="1" operator="lessThanOrEqual">
      <formula>0</formula>
    </cfRule>
    <cfRule type="cellIs" dxfId="489" priority="104" stopIfTrue="1" operator="greaterThan">
      <formula>#REF!</formula>
    </cfRule>
    <cfRule type="cellIs" dxfId="488" priority="105" stopIfTrue="1" operator="lessThanOrEqual">
      <formula>0</formula>
    </cfRule>
    <cfRule type="cellIs" dxfId="487" priority="94" stopIfTrue="1" operator="greaterThan">
      <formula>#REF!</formula>
    </cfRule>
    <cfRule type="cellIs" dxfId="486" priority="93" stopIfTrue="1" operator="lessThanOrEqual">
      <formula>0</formula>
    </cfRule>
  </conditionalFormatting>
  <conditionalFormatting sqref="H60">
    <cfRule type="cellIs" dxfId="485" priority="71" stopIfTrue="1" operator="lessThanOrEqual">
      <formula>0</formula>
    </cfRule>
    <cfRule type="cellIs" dxfId="484" priority="72" stopIfTrue="1" operator="greaterThan">
      <formula>$F$71</formula>
    </cfRule>
    <cfRule type="cellIs" dxfId="483" priority="73" stopIfTrue="1" operator="lessThanOrEqual">
      <formula>0</formula>
    </cfRule>
    <cfRule type="cellIs" dxfId="482" priority="61" stopIfTrue="1" operator="lessThanOrEqual">
      <formula>0</formula>
    </cfRule>
    <cfRule type="cellIs" dxfId="481" priority="62" stopIfTrue="1" operator="greaterThan">
      <formula>$F$70</formula>
    </cfRule>
    <cfRule type="cellIs" dxfId="480" priority="70" stopIfTrue="1" operator="greaterThan">
      <formula>$F$73</formula>
    </cfRule>
  </conditionalFormatting>
  <conditionalFormatting sqref="H61:H62">
    <cfRule type="cellIs" dxfId="479" priority="79" stopIfTrue="1" operator="lessThanOrEqual">
      <formula>0</formula>
    </cfRule>
    <cfRule type="cellIs" dxfId="478" priority="80" stopIfTrue="1" operator="greaterThan">
      <formula>#REF!</formula>
    </cfRule>
    <cfRule type="cellIs" dxfId="477" priority="90" stopIfTrue="1" operator="greaterThan">
      <formula>#REF!</formula>
    </cfRule>
    <cfRule type="cellIs" dxfId="476" priority="88" stopIfTrue="1" operator="greaterThan">
      <formula>$F$26</formula>
    </cfRule>
    <cfRule type="cellIs" dxfId="475" priority="89" stopIfTrue="1" operator="lessThanOrEqual">
      <formula>0</formula>
    </cfRule>
    <cfRule type="cellIs" dxfId="474" priority="91" stopIfTrue="1" operator="lessThanOrEqual">
      <formula>0</formula>
    </cfRule>
  </conditionalFormatting>
  <conditionalFormatting sqref="H63">
    <cfRule type="cellIs" dxfId="473" priority="119" stopIfTrue="1" operator="greaterThan">
      <formula>$F$40</formula>
    </cfRule>
    <cfRule type="cellIs" dxfId="472" priority="109" stopIfTrue="1" operator="greaterThan">
      <formula>$F$39</formula>
    </cfRule>
    <cfRule type="cellIs" dxfId="471" priority="120" stopIfTrue="1" operator="lessThanOrEqual">
      <formula>0</formula>
    </cfRule>
    <cfRule type="cellIs" dxfId="470" priority="108" stopIfTrue="1" operator="lessThanOrEqual">
      <formula>0</formula>
    </cfRule>
    <cfRule type="cellIs" dxfId="469" priority="117" stopIfTrue="1" operator="greaterThan">
      <formula>$F$42</formula>
    </cfRule>
    <cfRule type="cellIs" dxfId="468" priority="118" stopIfTrue="1" operator="lessThanOrEqual">
      <formula>0</formula>
    </cfRule>
  </conditionalFormatting>
  <conditionalFormatting sqref="H64:H65">
    <cfRule type="cellIs" dxfId="467" priority="18" stopIfTrue="1" operator="lessThanOrEqual">
      <formula>0</formula>
    </cfRule>
    <cfRule type="cellIs" dxfId="466" priority="19" stopIfTrue="1" operator="greaterThan">
      <formula>#REF!</formula>
    </cfRule>
    <cfRule type="cellIs" dxfId="465" priority="28" stopIfTrue="1" operator="lessThanOrEqual">
      <formula>0</formula>
    </cfRule>
    <cfRule type="cellIs" dxfId="464" priority="27" stopIfTrue="1" operator="greaterThan">
      <formula>$F$26</formula>
    </cfRule>
    <cfRule type="cellIs" dxfId="463" priority="29" stopIfTrue="1" operator="greaterThan">
      <formula>#REF!</formula>
    </cfRule>
    <cfRule type="cellIs" dxfId="462" priority="30" stopIfTrue="1" operator="lessThanOrEqual">
      <formula>0</formula>
    </cfRule>
  </conditionalFormatting>
  <conditionalFormatting sqref="H69:H76">
    <cfRule type="cellIs" dxfId="461" priority="140" stopIfTrue="1" operator="greaterThan">
      <formula>$J69</formula>
    </cfRule>
    <cfRule type="cellIs" dxfId="460" priority="141" stopIfTrue="1" operator="lessThanOrEqual">
      <formula>0</formula>
    </cfRule>
  </conditionalFormatting>
  <conditionalFormatting sqref="H77">
    <cfRule type="cellIs" dxfId="459" priority="142" operator="greaterThan">
      <formula>5.3</formula>
    </cfRule>
  </conditionalFormatting>
  <conditionalFormatting sqref="H80 H82:H88">
    <cfRule type="cellIs" dxfId="458" priority="175" stopIfTrue="1" operator="greaterThan">
      <formula>4.5</formula>
    </cfRule>
    <cfRule type="cellIs" dxfId="457" priority="176" stopIfTrue="1" operator="lessThanOrEqual">
      <formula>0</formula>
    </cfRule>
  </conditionalFormatting>
  <conditionalFormatting sqref="H58:I58">
    <cfRule type="cellIs" dxfId="456" priority="41" stopIfTrue="1" operator="greaterThan">
      <formula>$F$73</formula>
    </cfRule>
    <cfRule type="cellIs" dxfId="455" priority="44" stopIfTrue="1" operator="lessThanOrEqual">
      <formula>0</formula>
    </cfRule>
  </conditionalFormatting>
  <conditionalFormatting sqref="H59:I59">
    <cfRule type="cellIs" dxfId="454" priority="95" stopIfTrue="1" operator="lessThanOrEqual">
      <formula>0</formula>
    </cfRule>
    <cfRule type="cellIs" dxfId="453" priority="92" stopIfTrue="1" operator="greaterThan">
      <formula>$F$26</formula>
    </cfRule>
  </conditionalFormatting>
  <conditionalFormatting sqref="H60:I60">
    <cfRule type="cellIs" dxfId="452" priority="63" stopIfTrue="1" operator="lessThanOrEqual">
      <formula>0</formula>
    </cfRule>
    <cfRule type="cellIs" dxfId="451" priority="60" stopIfTrue="1" operator="greaterThan">
      <formula>$F$72</formula>
    </cfRule>
  </conditionalFormatting>
  <conditionalFormatting sqref="H61:I62">
    <cfRule type="cellIs" dxfId="450" priority="78" stopIfTrue="1" operator="greaterThan">
      <formula>#REF!</formula>
    </cfRule>
    <cfRule type="cellIs" dxfId="449" priority="81" stopIfTrue="1" operator="lessThanOrEqual">
      <formula>0</formula>
    </cfRule>
  </conditionalFormatting>
  <conditionalFormatting sqref="H63:I63">
    <cfRule type="cellIs" dxfId="448" priority="107" stopIfTrue="1" operator="greaterThan">
      <formula>$F$41</formula>
    </cfRule>
    <cfRule type="cellIs" dxfId="447" priority="110" stopIfTrue="1" operator="lessThanOrEqual">
      <formula>0</formula>
    </cfRule>
  </conditionalFormatting>
  <conditionalFormatting sqref="H64:I65">
    <cfRule type="cellIs" dxfId="446" priority="17" stopIfTrue="1" operator="greaterThan">
      <formula>#REF!</formula>
    </cfRule>
    <cfRule type="cellIs" dxfId="445" priority="20" stopIfTrue="1" operator="lessThanOrEqual">
      <formula>0</formula>
    </cfRule>
  </conditionalFormatting>
  <conditionalFormatting sqref="H78:I78">
    <cfRule type="cellIs" dxfId="444" priority="132" stopIfTrue="1" operator="greaterThan">
      <formula>$J78</formula>
    </cfRule>
    <cfRule type="cellIs" dxfId="443" priority="133" stopIfTrue="1" operator="lessThanOrEqual">
      <formula>0</formula>
    </cfRule>
  </conditionalFormatting>
  <conditionalFormatting sqref="I58">
    <cfRule type="cellIs" dxfId="442" priority="50" stopIfTrue="1" operator="lessThanOrEqual">
      <formula>0</formula>
    </cfRule>
    <cfRule type="cellIs" dxfId="441" priority="45" stopIfTrue="1" operator="greaterThan">
      <formula>$F$71</formula>
    </cfRule>
    <cfRule type="cellIs" dxfId="440" priority="46" stopIfTrue="1" operator="lessThanOrEqual">
      <formula>0</formula>
    </cfRule>
    <cfRule type="cellIs" dxfId="439" priority="47" stopIfTrue="1" operator="greaterThan">
      <formula>$F$73</formula>
    </cfRule>
    <cfRule type="cellIs" dxfId="438" priority="49" stopIfTrue="1" operator="greaterThan">
      <formula>$F$71</formula>
    </cfRule>
    <cfRule type="cellIs" dxfId="437" priority="48" stopIfTrue="1" operator="lessThanOrEqual">
      <formula>0</formula>
    </cfRule>
  </conditionalFormatting>
  <conditionalFormatting sqref="I59">
    <cfRule type="cellIs" dxfId="436" priority="101" stopIfTrue="1" operator="lessThanOrEqual">
      <formula>0</formula>
    </cfRule>
    <cfRule type="cellIs" dxfId="435" priority="96" stopIfTrue="1" operator="greaterThan">
      <formula>#REF!</formula>
    </cfRule>
    <cfRule type="cellIs" dxfId="434" priority="97" stopIfTrue="1" operator="lessThanOrEqual">
      <formula>0</formula>
    </cfRule>
    <cfRule type="cellIs" dxfId="433" priority="98" stopIfTrue="1" operator="greaterThan">
      <formula>$F$26</formula>
    </cfRule>
    <cfRule type="cellIs" dxfId="432" priority="99" stopIfTrue="1" operator="lessThanOrEqual">
      <formula>0</formula>
    </cfRule>
    <cfRule type="cellIs" dxfId="431" priority="100" stopIfTrue="1" operator="greaterThan">
      <formula>#REF!</formula>
    </cfRule>
  </conditionalFormatting>
  <conditionalFormatting sqref="I60">
    <cfRule type="cellIs" dxfId="430" priority="64" stopIfTrue="1" operator="greaterThan">
      <formula>$F$70</formula>
    </cfRule>
    <cfRule type="cellIs" dxfId="429" priority="68" stopIfTrue="1" operator="greaterThan">
      <formula>$F$70</formula>
    </cfRule>
    <cfRule type="cellIs" dxfId="428" priority="65" stopIfTrue="1" operator="lessThanOrEqual">
      <formula>0</formula>
    </cfRule>
    <cfRule type="cellIs" dxfId="427" priority="69" stopIfTrue="1" operator="lessThanOrEqual">
      <formula>0</formula>
    </cfRule>
    <cfRule type="cellIs" dxfId="426" priority="66" stopIfTrue="1" operator="greaterThan">
      <formula>$F$72</formula>
    </cfRule>
    <cfRule type="cellIs" dxfId="425" priority="67" stopIfTrue="1" operator="lessThanOrEqual">
      <formula>0</formula>
    </cfRule>
  </conditionalFormatting>
  <conditionalFormatting sqref="I61:I62">
    <cfRule type="cellIs" dxfId="424" priority="82" stopIfTrue="1" operator="greaterThan">
      <formula>#REF!</formula>
    </cfRule>
    <cfRule type="cellIs" dxfId="423" priority="83" stopIfTrue="1" operator="lessThanOrEqual">
      <formula>0</formula>
    </cfRule>
    <cfRule type="cellIs" dxfId="422" priority="84" stopIfTrue="1" operator="greaterThan">
      <formula>#REF!</formula>
    </cfRule>
    <cfRule type="cellIs" dxfId="421" priority="85" stopIfTrue="1" operator="lessThanOrEqual">
      <formula>0</formula>
    </cfRule>
    <cfRule type="cellIs" dxfId="420" priority="86" stopIfTrue="1" operator="greaterThan">
      <formula>#REF!</formula>
    </cfRule>
    <cfRule type="cellIs" dxfId="419" priority="87" stopIfTrue="1" operator="lessThanOrEqual">
      <formula>0</formula>
    </cfRule>
  </conditionalFormatting>
  <conditionalFormatting sqref="I63">
    <cfRule type="cellIs" dxfId="418" priority="116" stopIfTrue="1" operator="lessThanOrEqual">
      <formula>0</formula>
    </cfRule>
    <cfRule type="cellIs" dxfId="417" priority="115" stopIfTrue="1" operator="greaterThan">
      <formula>$F$39</formula>
    </cfRule>
    <cfRule type="cellIs" dxfId="416" priority="114" stopIfTrue="1" operator="lessThanOrEqual">
      <formula>0</formula>
    </cfRule>
    <cfRule type="cellIs" dxfId="415" priority="113" stopIfTrue="1" operator="greaterThan">
      <formula>$F$41</formula>
    </cfRule>
    <cfRule type="cellIs" dxfId="414" priority="112" stopIfTrue="1" operator="lessThanOrEqual">
      <formula>0</formula>
    </cfRule>
    <cfRule type="cellIs" dxfId="413" priority="111" stopIfTrue="1" operator="greaterThan">
      <formula>$F$39</formula>
    </cfRule>
  </conditionalFormatting>
  <conditionalFormatting sqref="I64:I65">
    <cfRule type="cellIs" dxfId="412" priority="21" stopIfTrue="1" operator="greaterThan">
      <formula>#REF!</formula>
    </cfRule>
    <cfRule type="cellIs" dxfId="411" priority="25" stopIfTrue="1" operator="greaterThan">
      <formula>#REF!</formula>
    </cfRule>
    <cfRule type="cellIs" dxfId="410" priority="26" stopIfTrue="1" operator="lessThanOrEqual">
      <formula>0</formula>
    </cfRule>
    <cfRule type="cellIs" dxfId="409" priority="24" stopIfTrue="1" operator="lessThanOrEqual">
      <formula>0</formula>
    </cfRule>
    <cfRule type="cellIs" dxfId="408" priority="23" stopIfTrue="1" operator="greaterThan">
      <formula>#REF!</formula>
    </cfRule>
    <cfRule type="cellIs" dxfId="407" priority="22" stopIfTrue="1" operator="lessThanOrEqual">
      <formula>0</formula>
    </cfRule>
  </conditionalFormatting>
  <conditionalFormatting sqref="I69:I77">
    <cfRule type="cellIs" dxfId="406" priority="143" stopIfTrue="1" operator="greaterThan">
      <formula>$J69</formula>
    </cfRule>
    <cfRule type="cellIs" dxfId="405" priority="144" stopIfTrue="1" operator="lessThanOrEqual">
      <formula>0</formula>
    </cfRule>
  </conditionalFormatting>
  <conditionalFormatting sqref="I80:I88">
    <cfRule type="cellIs" dxfId="404" priority="172" stopIfTrue="1" operator="lessThanOrEqual">
      <formula>0</formula>
    </cfRule>
    <cfRule type="cellIs" dxfId="403" priority="171" stopIfTrue="1" operator="greaterThan">
      <formula>4.5</formula>
    </cfRule>
  </conditionalFormatting>
  <conditionalFormatting sqref="I10:J26">
    <cfRule type="cellIs" dxfId="402" priority="32" operator="lessThan">
      <formula>97.9</formula>
    </cfRule>
  </conditionalFormatting>
  <conditionalFormatting sqref="J29:J31">
    <cfRule type="cellIs" dxfId="401" priority="123" stopIfTrue="1" operator="greaterThan">
      <formula>100</formula>
    </cfRule>
    <cfRule type="cellIs" dxfId="400" priority="122" stopIfTrue="1" operator="lessThan">
      <formula>96.8</formula>
    </cfRule>
    <cfRule type="cellIs" dxfId="399" priority="124" operator="lessThan">
      <formula>98</formula>
    </cfRule>
  </conditionalFormatting>
  <conditionalFormatting sqref="J29:J33">
    <cfRule type="cellIs" dxfId="398" priority="121" operator="lessThan">
      <formula>97.4</formula>
    </cfRule>
  </conditionalFormatting>
  <conditionalFormatting sqref="J34">
    <cfRule type="cellIs" dxfId="397" priority="125" operator="lessThan">
      <formula>98</formula>
    </cfRule>
  </conditionalFormatting>
  <conditionalFormatting sqref="J36:J37">
    <cfRule type="cellIs" dxfId="396" priority="127" stopIfTrue="1" operator="greaterThan">
      <formula>100</formula>
    </cfRule>
    <cfRule type="cellIs" dxfId="395" priority="126" stopIfTrue="1" operator="lessThan">
      <formula>96.8</formula>
    </cfRule>
  </conditionalFormatting>
  <conditionalFormatting sqref="J36:J38">
    <cfRule type="cellIs" dxfId="394" priority="128" operator="lessThan">
      <formula>98</formula>
    </cfRule>
  </conditionalFormatting>
  <conditionalFormatting sqref="J65">
    <cfRule type="cellIs" dxfId="393" priority="9" stopIfTrue="1" operator="greaterThan">
      <formula>#REF!</formula>
    </cfRule>
    <cfRule type="cellIs" dxfId="392" priority="11" stopIfTrue="1" operator="greaterThan">
      <formula>#REF!</formula>
    </cfRule>
    <cfRule type="cellIs" dxfId="391" priority="12" stopIfTrue="1" operator="lessThanOrEqual">
      <formula>0</formula>
    </cfRule>
    <cfRule type="cellIs" dxfId="390" priority="13" stopIfTrue="1" operator="greaterThan">
      <formula>#REF!</formula>
    </cfRule>
    <cfRule type="cellIs" dxfId="389" priority="10" stopIfTrue="1" operator="lessThanOrEqual">
      <formula>0</formula>
    </cfRule>
    <cfRule type="cellIs" dxfId="388" priority="14" stopIfTrue="1" operator="lessThanOrEqual">
      <formula>0</formula>
    </cfRule>
    <cfRule type="cellIs" dxfId="387" priority="15" stopIfTrue="1" operator="greaterThan">
      <formula>#REF!</formula>
    </cfRule>
    <cfRule type="cellIs" dxfId="386" priority="16" stopIfTrue="1" operator="lessThanOrEqual">
      <formula>0</formula>
    </cfRule>
  </conditionalFormatting>
  <conditionalFormatting sqref="J78">
    <cfRule type="cellIs" dxfId="385" priority="130" stopIfTrue="1" operator="lessThanOrEqual">
      <formula>0</formula>
    </cfRule>
    <cfRule type="cellIs" dxfId="384" priority="129" stopIfTrue="1" operator="greaterThan">
      <formula>$F78</formula>
    </cfRule>
  </conditionalFormatting>
  <conditionalFormatting sqref="K10:K26">
    <cfRule type="cellIs" dxfId="383" priority="33" operator="greaterThan">
      <formula>6</formula>
    </cfRule>
    <cfRule type="cellIs" dxfId="382" priority="34" operator="lessThan">
      <formula>4</formula>
    </cfRule>
    <cfRule type="cellIs" dxfId="381" priority="35" operator="greaterThan">
      <formula>6.4</formula>
    </cfRule>
  </conditionalFormatting>
  <conditionalFormatting sqref="K58:K65 K69:N75 K76 M76:N76 K77:N77">
    <cfRule type="cellIs" dxfId="380" priority="106" stopIfTrue="1" operator="lessThan">
      <formula>100%</formula>
    </cfRule>
  </conditionalFormatting>
  <conditionalFormatting sqref="K80:K85">
    <cfRule type="cellIs" dxfId="379" priority="177" stopIfTrue="1" operator="lessThan">
      <formula>100%</formula>
    </cfRule>
  </conditionalFormatting>
  <conditionalFormatting sqref="K87:K88">
    <cfRule type="cellIs" dxfId="378" priority="184" stopIfTrue="1" operator="lessThan">
      <formula>100%</formula>
    </cfRule>
  </conditionalFormatting>
  <conditionalFormatting sqref="L10:M15 L16:L22 L23:M25 L26">
    <cfRule type="cellIs" dxfId="377" priority="55" operator="between">
      <formula>61</formula>
      <formula>65</formula>
    </cfRule>
    <cfRule type="cellIs" dxfId="376" priority="56" operator="greaterThan">
      <formula>65</formula>
    </cfRule>
  </conditionalFormatting>
  <conditionalFormatting sqref="L29:M40">
    <cfRule type="cellIs" dxfId="375" priority="74" operator="lessThan">
      <formula>97.95</formula>
    </cfRule>
  </conditionalFormatting>
  <conditionalFormatting sqref="L44:N44">
    <cfRule type="cellIs" dxfId="374" priority="75" operator="notEqual">
      <formula>#REF!</formula>
    </cfRule>
  </conditionalFormatting>
  <conditionalFormatting sqref="L78:N78">
    <cfRule type="cellIs" dxfId="373" priority="131" stopIfTrue="1" operator="lessThan">
      <formula>100%</formula>
    </cfRule>
  </conditionalFormatting>
  <conditionalFormatting sqref="L80:N88">
    <cfRule type="cellIs" dxfId="372" priority="162" stopIfTrue="1" operator="lessThan">
      <formula>100%</formula>
    </cfRule>
  </conditionalFormatting>
  <conditionalFormatting sqref="M10:M15 M23:M25 G10:H15 H16:H22 G23:H26">
    <cfRule type="expression" dxfId="371" priority="59">
      <formula>IF(+(IF(G10&lt;#REF!,0,IF(G10&gt;#REF!,0,1)))=0,1)</formula>
    </cfRule>
  </conditionalFormatting>
  <conditionalFormatting sqref="M16:M22">
    <cfRule type="expression" dxfId="370" priority="57">
      <formula>IF(+(IF(M16&lt;U16,0,IF(M16&gt;V16,0,1)))=0,1)</formula>
    </cfRule>
  </conditionalFormatting>
  <conditionalFormatting sqref="M26:N26">
    <cfRule type="expression" dxfId="369" priority="192">
      <formula>IF(+(IF(M26&lt;#REF!,0,IF(M26&gt;#REF!,0,1)))=0,1)</formula>
    </cfRule>
  </conditionalFormatting>
  <conditionalFormatting sqref="N10:N25">
    <cfRule type="expression" dxfId="368" priority="31">
      <formula>IF(+(IF(N10&lt;W10,0,IF(N10&gt;X10,0,1)))=0,1)</formula>
    </cfRule>
  </conditionalFormatting>
  <conditionalFormatting sqref="P6">
    <cfRule type="cellIs" dxfId="367" priority="158" operator="greaterThanOrEqual">
      <formula>19</formula>
    </cfRule>
  </conditionalFormatting>
  <dataValidations count="1">
    <dataValidation type="list" allowBlank="1" showInputMessage="1" showErrorMessage="1" sqref="R8" xr:uid="{5D823F8F-58B8-4D3B-9194-2D0C82D438E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C320-571C-403C-BB16-454901CBFD53}">
  <sheetPr>
    <pageSetUpPr fitToPage="1"/>
  </sheetPr>
  <dimension ref="A1:BE81"/>
  <sheetViews>
    <sheetView topLeftCell="A17" zoomScale="80" zoomScaleNormal="80" workbookViewId="0">
      <selection activeCell="L33" sqref="L33:M3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45961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[22]Brewhouse!$A909</f>
        <v>CA795</v>
      </c>
      <c r="D10" s="279">
        <f>[22]Brewhouse!$AF909</f>
        <v>50.1</v>
      </c>
      <c r="E10" s="279">
        <f>[22]Brewhouse!$AI909</f>
        <v>50.2</v>
      </c>
      <c r="F10" s="278">
        <f>[22]Brewhouse!$V909</f>
        <v>61</v>
      </c>
      <c r="G10" s="279">
        <f>[22]Brewhouse!AG909</f>
        <v>11.7</v>
      </c>
      <c r="H10" s="396">
        <v>11.6</v>
      </c>
      <c r="I10" s="368">
        <f>[22]Brewhouse!$AU909</f>
        <v>96.028345906744406</v>
      </c>
      <c r="J10" s="368">
        <f>[22]Brewhouse!$AV909</f>
        <v>97.001906005468115</v>
      </c>
      <c r="K10" s="281">
        <f>[22]Brewhouse!$Q909</f>
        <v>7.0056497175141219</v>
      </c>
      <c r="L10" s="276">
        <f>[22]Brewhouse!$P909</f>
        <v>59</v>
      </c>
      <c r="M10" s="397">
        <f>[22]Brewhouse!$U909-[22]Brewhouse!$T909</f>
        <v>0.11388888888888887</v>
      </c>
      <c r="N10" s="370">
        <f>[22]Brewhouse!$Z909</f>
        <v>0.25694444444444442</v>
      </c>
      <c r="O10" s="421" t="str">
        <f>[22]Brewhouse!$AX909</f>
        <v>R. Regis</v>
      </c>
      <c r="P10" s="418"/>
      <c r="R10" s="277" t="str">
        <f t="shared" ref="R10:R17" si="0">B10</f>
        <v>CARIB</v>
      </c>
      <c r="S10" s="296">
        <f t="shared" ref="S10:S32" si="1">VLOOKUP($B10,$R$3:$X$9,2,FALSE)</f>
        <v>11.6</v>
      </c>
      <c r="T10" s="296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296">
        <f t="shared" ref="Z10:Z32" si="8">VLOOKUP($B10,$R$3:$Z$9,9,FALSE)</f>
        <v>60</v>
      </c>
    </row>
    <row r="11" spans="2:29" ht="15" customHeight="1">
      <c r="B11" s="29" t="s">
        <v>6</v>
      </c>
      <c r="C11" s="366" t="str">
        <f>[22]Brewhouse!$A910</f>
        <v>CA796</v>
      </c>
      <c r="D11" s="279">
        <f>[22]Brewhouse!$AF910</f>
        <v>52.8</v>
      </c>
      <c r="E11" s="279">
        <f>[22]Brewhouse!$AI910</f>
        <v>50.8</v>
      </c>
      <c r="F11" s="278">
        <f>[22]Brewhouse!$V910</f>
        <v>63</v>
      </c>
      <c r="G11" s="279">
        <f>[22]Brewhouse!AG910</f>
        <v>11.8</v>
      </c>
      <c r="H11" s="396">
        <v>11.7</v>
      </c>
      <c r="I11" s="368">
        <f>[22]Brewhouse!$AU910</f>
        <v>97.453088971527464</v>
      </c>
      <c r="J11" s="368">
        <f>[22]Brewhouse!$AV910</f>
        <v>98.441482845642895</v>
      </c>
      <c r="K11" s="281">
        <f>[22]Brewhouse!$Q910</f>
        <v>1.9209039548022655</v>
      </c>
      <c r="L11" s="276">
        <f>[22]Brewhouse!$P910</f>
        <v>58</v>
      </c>
      <c r="M11" s="397">
        <f>[22]Brewhouse!$U910-[22]Brewhouse!$T910</f>
        <v>0.10972222222222222</v>
      </c>
      <c r="N11" s="370">
        <f>[22]Brewhouse!$Z910</f>
        <v>0.24374999999999999</v>
      </c>
      <c r="O11" s="421" t="str">
        <f>[22]Brewhouse!$AX910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[22]Brewhouse!$A911</f>
        <v>CA797</v>
      </c>
      <c r="D12" s="279">
        <f>[22]Brewhouse!$AF911</f>
        <v>53.3</v>
      </c>
      <c r="E12" s="279">
        <f>[22]Brewhouse!$AI911</f>
        <v>51.8</v>
      </c>
      <c r="F12" s="278">
        <f>[22]Brewhouse!$V911</f>
        <v>62</v>
      </c>
      <c r="G12" s="279">
        <f>[22]Brewhouse!AG911</f>
        <v>11.6</v>
      </c>
      <c r="H12" s="396">
        <v>11.5</v>
      </c>
      <c r="I12" s="368">
        <f>[22]Brewhouse!$AU911</f>
        <v>97.718846074746594</v>
      </c>
      <c r="J12" s="368">
        <f>[22]Brewhouse!$AV911</f>
        <v>98.709857620177871</v>
      </c>
      <c r="K12" s="281">
        <f>[22]Brewhouse!$Q911</f>
        <v>0.97928436911488348</v>
      </c>
      <c r="L12" s="276">
        <f>[22]Brewhouse!$P911</f>
        <v>57</v>
      </c>
      <c r="M12" s="397">
        <f>[22]Brewhouse!$U911-[22]Brewhouse!$T911</f>
        <v>0.10486111111111107</v>
      </c>
      <c r="N12" s="370">
        <f>[22]Brewhouse!$Z911</f>
        <v>0.25069444444444439</v>
      </c>
      <c r="O12" s="421" t="str">
        <f>[22]Brewhouse!$AX911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[22]Brewhouse!$A912</f>
        <v>CA798</v>
      </c>
      <c r="D13" s="279">
        <f>[22]Brewhouse!$AF912</f>
        <v>53.3</v>
      </c>
      <c r="E13" s="279">
        <f>[22]Brewhouse!$AI912</f>
        <v>52</v>
      </c>
      <c r="F13" s="278">
        <f>[22]Brewhouse!$V912</f>
        <v>63</v>
      </c>
      <c r="G13" s="279">
        <f>[22]Brewhouse!AG912</f>
        <v>11.7</v>
      </c>
      <c r="H13" s="396">
        <v>11.7</v>
      </c>
      <c r="I13" s="368">
        <f>[22]Brewhouse!$AU912</f>
        <v>99.961515225311672</v>
      </c>
      <c r="J13" s="368">
        <f>[22]Brewhouse!$AV912</f>
        <v>100.97462776061354</v>
      </c>
      <c r="K13" s="281">
        <f>[22]Brewhouse!$Q912</f>
        <v>0.97928436911488348</v>
      </c>
      <c r="L13" s="276">
        <f>[22]Brewhouse!$P912</f>
        <v>57</v>
      </c>
      <c r="M13" s="397">
        <f>[22]Brewhouse!$U912-[22]Brewhouse!$T912</f>
        <v>0.10486111111111107</v>
      </c>
      <c r="N13" s="370">
        <f>[22]Brewhouse!$Z912</f>
        <v>0.2583333333333333</v>
      </c>
      <c r="O13" s="421" t="str">
        <f>[22]Brewhouse!$AX912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customHeight="1">
      <c r="B15" s="33" t="s">
        <v>9</v>
      </c>
      <c r="C15" s="366" t="str">
        <f>[23]Brewhouse!$A444</f>
        <v>ST421</v>
      </c>
      <c r="D15" s="279">
        <f>[23]Brewhouse!$AD444</f>
        <v>48.1</v>
      </c>
      <c r="E15" s="279">
        <f>[23]Brewhouse!$AG444</f>
        <v>47</v>
      </c>
      <c r="F15" s="278">
        <f>[23]Brewhouse!$V444</f>
        <v>64</v>
      </c>
      <c r="G15" s="279">
        <f>[23]Brewhouse!$AE444</f>
        <v>11.9</v>
      </c>
      <c r="H15" s="396">
        <v>11.8</v>
      </c>
      <c r="I15" s="420">
        <f>[23]Brewhouse!$AS444</f>
        <v>93.219338282985191</v>
      </c>
      <c r="J15" s="420">
        <f>[23]Brewhouse!$AT444</f>
        <v>94.017525772997104</v>
      </c>
      <c r="K15" s="281">
        <f>[23]Brewhouse!$Q444</f>
        <v>14.75961538461538</v>
      </c>
      <c r="L15" s="276">
        <f>[23]Brewhouse!$P444</f>
        <v>60</v>
      </c>
      <c r="M15" s="374">
        <f>[23]Brewhouse!$U444-[23]Brewhouse!$T444</f>
        <v>0.12291666666666667</v>
      </c>
      <c r="N15" s="370">
        <f>[23]Brewhouse!$AW444</f>
        <v>0.26250000000000007</v>
      </c>
      <c r="O15" s="421" t="str">
        <f>[23]Brewhouse!$AV444</f>
        <v>K. Benjamin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33" t="s">
        <v>9</v>
      </c>
      <c r="C16" s="366" t="str">
        <f>[23]Brewhouse!$A445</f>
        <v>ST422</v>
      </c>
      <c r="D16" s="279">
        <f>[23]Brewhouse!$AD445</f>
        <v>48.8</v>
      </c>
      <c r="E16" s="279">
        <f>[23]Brewhouse!$AG445</f>
        <v>49</v>
      </c>
      <c r="F16" s="278">
        <f>[23]Brewhouse!$V445</f>
        <v>51</v>
      </c>
      <c r="G16" s="279">
        <f>[23]Brewhouse!$AE445</f>
        <v>12</v>
      </c>
      <c r="H16" s="396">
        <v>11.8</v>
      </c>
      <c r="I16" s="420">
        <f>[23]Brewhouse!$AS445</f>
        <v>98.413240959805805</v>
      </c>
      <c r="J16" s="420">
        <f>[23]Brewhouse!$AT445</f>
        <v>99.255077291359513</v>
      </c>
      <c r="K16" s="281">
        <f>[23]Brewhouse!$Q445</f>
        <v>10.721153846153838</v>
      </c>
      <c r="L16" s="276">
        <f>[23]Brewhouse!$P445</f>
        <v>60</v>
      </c>
      <c r="M16" s="374">
        <f>[23]Brewhouse!$U445-[23]Brewhouse!$T445</f>
        <v>0.11111111111111116</v>
      </c>
      <c r="N16" s="370">
        <f>[23]Brewhouse!$AW445</f>
        <v>0.25416666666666665</v>
      </c>
      <c r="O16" s="421" t="str">
        <f>[23]Brewhouse!$AV445</f>
        <v>K. Benjamin</v>
      </c>
      <c r="P16" s="418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33" t="s">
        <v>9</v>
      </c>
      <c r="C17" s="366" t="str">
        <f>[23]Brewhouse!$A446</f>
        <v>ST423</v>
      </c>
      <c r="D17" s="279">
        <f>[23]Brewhouse!$AD446</f>
        <v>49.8</v>
      </c>
      <c r="E17" s="279">
        <f>[23]Brewhouse!$AG446</f>
        <v>50</v>
      </c>
      <c r="F17" s="278">
        <f>[23]Brewhouse!$V446</f>
        <v>58</v>
      </c>
      <c r="G17" s="279">
        <f>[23]Brewhouse!$AE446</f>
        <v>11.8</v>
      </c>
      <c r="H17" s="396">
        <v>11.7</v>
      </c>
      <c r="I17" s="420">
        <f>[23]Brewhouse!$AS446</f>
        <v>98.539260077479966</v>
      </c>
      <c r="J17" s="420">
        <f>[23]Brewhouse!$AT446</f>
        <v>99.382450019325603</v>
      </c>
      <c r="K17" s="281">
        <f>[23]Brewhouse!$Q446</f>
        <v>8.0288461538461497</v>
      </c>
      <c r="L17" s="276">
        <f>[23]Brewhouse!$P446</f>
        <v>60</v>
      </c>
      <c r="M17" s="374">
        <f>[23]Brewhouse!$U446-[23]Brewhouse!$T446</f>
        <v>0.10972222222222228</v>
      </c>
      <c r="N17" s="370">
        <f>[23]Brewhouse!$AW446</f>
        <v>0.24791666666666667</v>
      </c>
      <c r="O17" s="421" t="str">
        <f>[23]Brewhouse!$AV446</f>
        <v>K. Benjamin</v>
      </c>
      <c r="P17" s="418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33" t="s">
        <v>9</v>
      </c>
      <c r="C18" s="366" t="str">
        <f>[23]Brewhouse!$A447</f>
        <v>ST424</v>
      </c>
      <c r="D18" s="279">
        <f>[23]Brewhouse!$AD447</f>
        <v>49.1</v>
      </c>
      <c r="E18" s="279">
        <f>[23]Brewhouse!$AG447</f>
        <v>49.2</v>
      </c>
      <c r="F18" s="278">
        <f>[23]Brewhouse!$V447</f>
        <v>62</v>
      </c>
      <c r="G18" s="279">
        <f>[23]Brewhouse!$AE447</f>
        <v>11.8</v>
      </c>
      <c r="H18" s="396">
        <v>12</v>
      </c>
      <c r="I18" s="420">
        <f>[23]Brewhouse!$AS447</f>
        <v>96.962631916240284</v>
      </c>
      <c r="J18" s="420">
        <f>[23]Brewhouse!$AT447</f>
        <v>97.792330819016399</v>
      </c>
      <c r="K18" s="281">
        <f>[23]Brewhouse!$Q447</f>
        <v>11.490384615384617</v>
      </c>
      <c r="L18" s="276">
        <f>[23]Brewhouse!$P447</f>
        <v>59</v>
      </c>
      <c r="M18" s="374">
        <f>[23]Brewhouse!$U447-[23]Brewhouse!$T447</f>
        <v>0.11458333333333326</v>
      </c>
      <c r="N18" s="370">
        <f>[23]Brewhouse!$AW447</f>
        <v>0.25416666666666665</v>
      </c>
      <c r="O18" s="421" t="str">
        <f>[23]Brewhouse!$AV447</f>
        <v>K. Benjamin</v>
      </c>
      <c r="P18" s="418"/>
      <c r="R18" s="277" t="str">
        <f t="shared" ref="R18:R32" si="9">B18</f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customHeight="1">
      <c r="B20" s="34" t="s">
        <v>12</v>
      </c>
      <c r="C20" s="366" t="str">
        <f>[24]Brewhouse!$A107</f>
        <v>GU096</v>
      </c>
      <c r="D20" s="279">
        <f>[24]Brewhouse!$AF107</f>
        <v>53.1</v>
      </c>
      <c r="E20" s="279">
        <f>[24]Brewhouse!$AI107</f>
        <v>50.9</v>
      </c>
      <c r="F20" s="278">
        <f>[24]Brewhouse!$V107</f>
        <v>63</v>
      </c>
      <c r="G20" s="279">
        <f>[24]Brewhouse!$AG107</f>
        <v>17.2</v>
      </c>
      <c r="H20" s="396">
        <v>17.100000000000001</v>
      </c>
      <c r="I20" s="420">
        <f>[24]Brewhouse!$AU107</f>
        <v>95.222949238260071</v>
      </c>
      <c r="J20" s="420">
        <f>[24]Brewhouse!$AV107</f>
        <v>96.066334651126965</v>
      </c>
      <c r="K20" s="470">
        <f>[24]Brewhouse!$R107</f>
        <v>9.7857142857142794</v>
      </c>
      <c r="L20" s="276">
        <f>[24]Brewhouse!$O107</f>
        <v>59</v>
      </c>
      <c r="M20" s="374">
        <f>[24]Brewhouse!$U107-[24]Brewhouse!$T107</f>
        <v>0.11875000000000013</v>
      </c>
      <c r="N20" s="370">
        <f>[24]Brewhouse!$Z107</f>
        <v>0.28958333333333341</v>
      </c>
      <c r="O20" s="421" t="str">
        <f>[24]Brewhouse!$AW107</f>
        <v>R. Regis</v>
      </c>
      <c r="P20" s="418"/>
      <c r="R20" s="277" t="str">
        <f t="shared" si="9"/>
        <v>GUINNESS</v>
      </c>
      <c r="S20" s="296">
        <f t="shared" si="1"/>
        <v>17</v>
      </c>
      <c r="T20" s="296">
        <f t="shared" si="2"/>
        <v>17.5</v>
      </c>
      <c r="U20" s="297">
        <f t="shared" si="3"/>
        <v>0</v>
      </c>
      <c r="V20" s="297">
        <f t="shared" si="4"/>
        <v>0.1076388888888889</v>
      </c>
      <c r="W20" s="297">
        <f t="shared" si="5"/>
        <v>0.24652777777777779</v>
      </c>
      <c r="X20" s="297">
        <f t="shared" si="6"/>
        <v>0.28472222222222221</v>
      </c>
      <c r="Y20" s="297">
        <f t="shared" si="7"/>
        <v>0</v>
      </c>
      <c r="Z20" s="296">
        <f t="shared" si="8"/>
        <v>60</v>
      </c>
    </row>
    <row r="21" spans="1:26" ht="15" customHeight="1">
      <c r="B21" s="34"/>
      <c r="C21" s="366"/>
      <c r="D21" s="279"/>
      <c r="E21" s="279"/>
      <c r="F21" s="278"/>
      <c r="G21" s="279"/>
      <c r="H21" s="396"/>
      <c r="I21" s="420"/>
      <c r="J21" s="420"/>
      <c r="K21" s="470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customHeight="1">
      <c r="B22" s="34"/>
      <c r="C22" s="366"/>
      <c r="D22" s="279"/>
      <c r="E22" s="279"/>
      <c r="F22" s="278"/>
      <c r="G22" s="279"/>
      <c r="H22" s="396"/>
      <c r="I22" s="420"/>
      <c r="J22" s="420"/>
      <c r="K22" s="470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hidden="1" customHeight="1">
      <c r="B26" s="33"/>
      <c r="C26" s="366"/>
      <c r="D26" s="279"/>
      <c r="E26" s="279"/>
      <c r="F26" s="278"/>
      <c r="G26" s="279"/>
      <c r="H26" s="396"/>
      <c r="I26" s="420"/>
      <c r="J26" s="420"/>
      <c r="K26" s="281"/>
      <c r="L26" s="276"/>
      <c r="M26" s="374"/>
      <c r="N26" s="370"/>
      <c r="O26" s="42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" hidden="1" customHeight="1">
      <c r="B27" s="33"/>
      <c r="C27" s="366"/>
      <c r="D27" s="279"/>
      <c r="E27" s="279"/>
      <c r="F27" s="278"/>
      <c r="G27" s="279"/>
      <c r="H27" s="396"/>
      <c r="I27" s="420"/>
      <c r="J27" s="420"/>
      <c r="K27" s="281"/>
      <c r="L27" s="276"/>
      <c r="M27" s="374"/>
      <c r="N27" s="370"/>
      <c r="O27" s="421"/>
      <c r="P27" s="418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hidden="1" customHeight="1">
      <c r="B28" s="33"/>
      <c r="C28" s="366"/>
      <c r="D28" s="279"/>
      <c r="E28" s="279"/>
      <c r="F28" s="278"/>
      <c r="G28" s="279"/>
      <c r="H28" s="396"/>
      <c r="I28" s="420"/>
      <c r="J28" s="420"/>
      <c r="K28" s="281"/>
      <c r="L28" s="276"/>
      <c r="M28" s="374"/>
      <c r="N28" s="370"/>
      <c r="O28" s="421"/>
      <c r="P28" s="418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.75" customHeight="1" thickBot="1">
      <c r="B30" s="358"/>
      <c r="C30" s="358"/>
      <c r="D30" s="358"/>
      <c r="E30" s="358"/>
      <c r="F30" s="294"/>
      <c r="G30" s="294"/>
      <c r="H30" s="348"/>
      <c r="I30" s="511"/>
      <c r="J30" s="511"/>
      <c r="K30" s="511"/>
      <c r="L30" s="511"/>
      <c r="M30" s="511"/>
      <c r="N30" s="511"/>
      <c r="O30" s="1"/>
      <c r="P30" s="12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5.75" customHeight="1" thickBot="1">
      <c r="B31" s="388" t="s">
        <v>162</v>
      </c>
      <c r="C31" s="388"/>
      <c r="D31" s="489" t="s">
        <v>35</v>
      </c>
      <c r="E31" s="490"/>
      <c r="F31" s="294"/>
      <c r="G31" s="294"/>
      <c r="H31" s="348"/>
      <c r="I31" s="24" t="s">
        <v>17</v>
      </c>
      <c r="J31" s="25" t="s">
        <v>36</v>
      </c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9"/>
        <v xml:space="preserve">BRAND 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5" customHeight="1">
      <c r="A32" s="28"/>
      <c r="B32" s="577" t="str">
        <f>I32</f>
        <v>CARIB</v>
      </c>
      <c r="C32" s="362" cm="1">
        <f t="array" ref="C32:C35">[22]Process!$D$857:$D$860</f>
        <v>11.8</v>
      </c>
      <c r="D32" s="515">
        <v>12</v>
      </c>
      <c r="E32" s="516"/>
      <c r="F32" s="294"/>
      <c r="G32" s="294"/>
      <c r="H32" s="348"/>
      <c r="I32" s="29" t="s">
        <v>6</v>
      </c>
      <c r="J32" s="280">
        <f>AVERAGE(I10:I13)</f>
        <v>97.790449044582545</v>
      </c>
      <c r="K32" s="284">
        <f>COUNTA([22]Brewhouse!$A$823:$A$862,[23]Brewhouse!$A$420:$A$423,[22]Brewhouse!$A$867:$A$908)</f>
        <v>86</v>
      </c>
      <c r="L32" s="305">
        <f>AVERAGE([22]Brewhouse!$AU$823:$AU$862,[23]Brewhouse!$AS$420:$AS$423,[22]Brewhouse!$AU$867:$AU$908)</f>
        <v>97.762492237650292</v>
      </c>
      <c r="M32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$908)</f>
        <v>97.713914495501427</v>
      </c>
      <c r="N32" s="30">
        <v>98</v>
      </c>
      <c r="O32" s="11"/>
      <c r="P32" s="31"/>
      <c r="R32" s="277" t="str">
        <f t="shared" si="9"/>
        <v>CARIB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7" ht="15" customHeight="1">
      <c r="A33" s="28"/>
      <c r="B33" s="578"/>
      <c r="C33" s="362">
        <v>11.8</v>
      </c>
      <c r="D33" s="517"/>
      <c r="E33" s="518"/>
      <c r="F33" s="294"/>
      <c r="G33" s="294"/>
      <c r="H33" s="348"/>
      <c r="I33" s="33" t="s">
        <v>9</v>
      </c>
      <c r="J33" s="280">
        <f>AVERAGE(I15:I18)</f>
        <v>96.783617809127819</v>
      </c>
      <c r="K33" s="284">
        <f>COUNTA([23]Brewhouse!$A$399:$A$443)</f>
        <v>45</v>
      </c>
      <c r="L33" s="302">
        <f>AVERAGE([23]Brewhouse!$AS$399:$AS$447)</f>
        <v>97.284760764281614</v>
      </c>
      <c r="M33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$447)</f>
        <v>97.914114557549567</v>
      </c>
      <c r="N33" s="30">
        <v>98</v>
      </c>
      <c r="O33" s="11"/>
      <c r="P33" s="31"/>
      <c r="R33" s="277">
        <f t="shared" ref="R33:R43" si="10">B33</f>
        <v>0</v>
      </c>
      <c r="S33" s="296" t="e">
        <f t="shared" ref="S33:S43" si="11">VLOOKUP($B33,$R$3:$X$9,2,FALSE)</f>
        <v>#N/A</v>
      </c>
      <c r="T33" s="296" t="e">
        <f t="shared" ref="T33:T43" si="12">VLOOKUP($B33,$R$3:$X$9,3,FALSE)</f>
        <v>#N/A</v>
      </c>
      <c r="U33" s="297" t="e">
        <f t="shared" ref="U33:U43" si="13">VLOOKUP($B33,$R$3:$X$9,4,FALSE)</f>
        <v>#N/A</v>
      </c>
      <c r="V33" s="297" t="e">
        <f t="shared" ref="V33:V43" si="14">VLOOKUP($B33,$R$3:$X$9,5,FALSE)</f>
        <v>#N/A</v>
      </c>
      <c r="W33" s="297" t="e">
        <f t="shared" ref="W33:W43" si="15">VLOOKUP($B33,$R$3:$X$9,6,FALSE)</f>
        <v>#N/A</v>
      </c>
      <c r="X33" s="297" t="e">
        <f t="shared" ref="X33:X43" si="16">VLOOKUP($B33,$R$3:$X$9,7,FALSE)</f>
        <v>#N/A</v>
      </c>
      <c r="Y33" s="297" t="e">
        <f t="shared" ref="Y33:Y43" si="17">VLOOKUP($B33,$R$3:$Z$9,8,FALSE)</f>
        <v>#N/A</v>
      </c>
      <c r="Z33" s="296" t="e">
        <f t="shared" ref="Z33:Z43" si="18">VLOOKUP($B33,$R$3:$Z$9,9,FALSE)</f>
        <v>#N/A</v>
      </c>
    </row>
    <row r="34" spans="1:27" ht="14.65" customHeight="1">
      <c r="A34" s="28"/>
      <c r="B34" s="578"/>
      <c r="C34" s="362">
        <v>11.7</v>
      </c>
      <c r="D34" s="564">
        <v>11.97</v>
      </c>
      <c r="E34" s="565"/>
      <c r="F34" s="294"/>
      <c r="G34" s="294"/>
      <c r="H34" s="348"/>
      <c r="I34" s="34" t="s">
        <v>12</v>
      </c>
      <c r="J34" s="280">
        <f>I20</f>
        <v>95.222949238260071</v>
      </c>
      <c r="K34" s="284">
        <f>COUNTA([24]Brewhouse!$A$99:$A$106)</f>
        <v>8</v>
      </c>
      <c r="L34" s="302">
        <f>AVERAGE([24]Brewhouse!$AU$99:$AU$106)</f>
        <v>94.823749681896615</v>
      </c>
      <c r="M34" s="302">
        <f>AVERAGE([24]Brewhouse!$AU$4:$AU$7,[24]Brewhouse!$AU$9:$AU$22,[24]Brewhouse!$AU$24:$AU$35,[24]Brewhouse!$AU$37:$AU$45,[24]Brewhouse!$AU$47:$AU$62,[24]Brewhouse!$AU$64:$AU$79,[24]Brewhouse!$AU$81:$AU$92,[24]Brewhouse!$AU$94:$AU$97,[24]Brewhouse!$AU$99:$AU$106)</f>
        <v>96.648781372410795</v>
      </c>
      <c r="N34" s="30">
        <v>98</v>
      </c>
      <c r="O34" s="11"/>
      <c r="P34" s="31"/>
      <c r="R34" s="277">
        <f t="shared" si="10"/>
        <v>0</v>
      </c>
      <c r="S34" s="296" t="e">
        <f t="shared" si="11"/>
        <v>#N/A</v>
      </c>
      <c r="T34" s="296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296" t="e">
        <f t="shared" si="18"/>
        <v>#N/A</v>
      </c>
    </row>
    <row r="35" spans="1:27" ht="14.65" customHeight="1">
      <c r="A35" s="28"/>
      <c r="B35" s="578"/>
      <c r="C35" s="362">
        <v>11.9</v>
      </c>
      <c r="D35" s="530"/>
      <c r="E35" s="518"/>
      <c r="F35" s="294"/>
      <c r="G35" s="294"/>
      <c r="H35" s="348"/>
      <c r="I35" s="22" t="s">
        <v>33</v>
      </c>
      <c r="J35" s="280"/>
      <c r="K35" s="284">
        <f>COUNTA([25]Brewhouse!$A$88:$A$95)</f>
        <v>8</v>
      </c>
      <c r="L35" s="302">
        <f>AVERAGE([25]Brewhouse!$AV$88:$AV$95)</f>
        <v>97.908624430386354</v>
      </c>
      <c r="M35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35" s="30">
        <v>98</v>
      </c>
      <c r="O35" s="11"/>
      <c r="P35" s="31"/>
      <c r="R35" s="277">
        <f t="shared" si="10"/>
        <v>0</v>
      </c>
      <c r="S35" s="296" t="e">
        <f t="shared" si="11"/>
        <v>#N/A</v>
      </c>
      <c r="T35" s="296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296" t="e">
        <f t="shared" si="18"/>
        <v>#N/A</v>
      </c>
    </row>
    <row r="36" spans="1:27" ht="14.65" customHeight="1">
      <c r="A36" s="28"/>
      <c r="B36" s="578"/>
      <c r="C36" s="362" cm="1">
        <f t="array" ref="C36:C43">[22]Process!$D$849:$D$856</f>
        <v>11.9</v>
      </c>
      <c r="D36" s="564">
        <v>11.85</v>
      </c>
      <c r="E36" s="565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10"/>
        <v>0</v>
      </c>
      <c r="S36" s="296" t="e">
        <f t="shared" si="11"/>
        <v>#N/A</v>
      </c>
      <c r="T36" s="296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296" t="e">
        <f t="shared" si="18"/>
        <v>#N/A</v>
      </c>
    </row>
    <row r="37" spans="1:27" ht="14.65" customHeight="1">
      <c r="A37" s="28"/>
      <c r="B37" s="578"/>
      <c r="C37" s="362">
        <v>11.6</v>
      </c>
      <c r="D37" s="530"/>
      <c r="E37" s="518"/>
      <c r="F37" s="417"/>
      <c r="G37" s="294"/>
      <c r="H37" s="348"/>
      <c r="I37" s="36" t="s">
        <v>15</v>
      </c>
      <c r="J37" s="323"/>
      <c r="K37" s="284"/>
      <c r="L37" s="302"/>
      <c r="M37" s="302">
        <f>AVERAGE([26]Brewhouse!$AT$4:$AT$11,[26]Brewhouse!$AT$13:$AT$16,[26]Brewhouse!$AT$18:$AT$21,[26]Brewhouse!$AT$26,[26]Brewhouse!$AT$28:$AT$35)</f>
        <v>94.794664331624134</v>
      </c>
      <c r="N37" s="30">
        <v>98</v>
      </c>
      <c r="O37" s="11"/>
      <c r="P37" s="31"/>
      <c r="R37" s="277">
        <f t="shared" si="10"/>
        <v>0</v>
      </c>
      <c r="S37" s="296" t="e">
        <f t="shared" si="11"/>
        <v>#N/A</v>
      </c>
      <c r="T37" s="296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296" t="e">
        <f t="shared" si="18"/>
        <v>#N/A</v>
      </c>
      <c r="AA37" s="296"/>
    </row>
    <row r="38" spans="1:27" ht="14.65" customHeight="1">
      <c r="A38" s="28"/>
      <c r="B38" s="578"/>
      <c r="C38" s="362">
        <v>11.6</v>
      </c>
      <c r="D38" s="564">
        <v>11.74</v>
      </c>
      <c r="E38" s="565"/>
      <c r="F38" s="417"/>
      <c r="G38" s="294"/>
      <c r="H38" s="348"/>
      <c r="I38" s="37" t="s">
        <v>16</v>
      </c>
      <c r="J38" s="323"/>
      <c r="K38" s="284"/>
      <c r="L38" s="302"/>
      <c r="M38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8" s="30">
        <v>98</v>
      </c>
      <c r="O38" s="11"/>
      <c r="P38" s="31" t="s">
        <v>41</v>
      </c>
      <c r="R38" s="277">
        <f t="shared" si="10"/>
        <v>0</v>
      </c>
      <c r="S38" s="296" t="e">
        <f t="shared" si="11"/>
        <v>#N/A</v>
      </c>
      <c r="T38" s="296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296" t="e">
        <f t="shared" si="18"/>
        <v>#N/A</v>
      </c>
      <c r="AA38" s="296"/>
    </row>
    <row r="39" spans="1:27" ht="14.65" customHeight="1">
      <c r="A39" s="28"/>
      <c r="B39" s="578"/>
      <c r="C39" s="362">
        <v>11.7</v>
      </c>
      <c r="D39" s="530"/>
      <c r="E39" s="518"/>
      <c r="F39" s="294"/>
      <c r="G39" s="294"/>
      <c r="H39" s="348"/>
      <c r="I39" s="411" t="s">
        <v>158</v>
      </c>
      <c r="J39" s="326"/>
      <c r="K39" s="284"/>
      <c r="L39" s="305"/>
      <c r="M39" s="305">
        <f>AVERAGE([28]Brewhouse!$AU$5:$AU$8,[28]Brewhouse!$AU$10:$AU$13,[27]Brewhouse!$AY$75:$AY$77)</f>
        <v>94.749192473706671</v>
      </c>
      <c r="N39" s="30">
        <v>98</v>
      </c>
      <c r="O39" s="11"/>
      <c r="P39" s="31"/>
      <c r="R39" s="277">
        <f t="shared" si="10"/>
        <v>0</v>
      </c>
      <c r="S39" s="296" t="e">
        <f t="shared" si="11"/>
        <v>#N/A</v>
      </c>
      <c r="T39" s="296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296" t="e">
        <f t="shared" si="18"/>
        <v>#N/A</v>
      </c>
      <c r="AA39" s="296"/>
    </row>
    <row r="40" spans="1:27" ht="14.65" customHeight="1">
      <c r="A40" s="28"/>
      <c r="B40" s="578"/>
      <c r="C40" s="349">
        <v>10.7</v>
      </c>
      <c r="D40" s="564">
        <v>11.77</v>
      </c>
      <c r="E40" s="565"/>
      <c r="F40" s="294"/>
      <c r="G40" s="294"/>
      <c r="H40" s="348"/>
      <c r="I40" s="410" t="s">
        <v>157</v>
      </c>
      <c r="J40" s="326"/>
      <c r="K40" s="284"/>
      <c r="L40" s="305"/>
      <c r="M40" s="305">
        <f>AVERAGE([29]Brewhouse!$AW$26:$AW$27)</f>
        <v>95.310680905194914</v>
      </c>
      <c r="N40" s="30">
        <v>98</v>
      </c>
      <c r="O40" s="11"/>
      <c r="P40" s="31"/>
      <c r="R40" s="277">
        <f t="shared" si="10"/>
        <v>0</v>
      </c>
      <c r="S40" s="296" t="e">
        <f t="shared" si="11"/>
        <v>#N/A</v>
      </c>
      <c r="T40" s="296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296" t="e">
        <f t="shared" si="18"/>
        <v>#N/A</v>
      </c>
      <c r="AA40" s="296"/>
    </row>
    <row r="41" spans="1:27" ht="15" customHeight="1" thickBot="1">
      <c r="A41" s="28"/>
      <c r="B41" s="578"/>
      <c r="C41" s="349">
        <v>11.7</v>
      </c>
      <c r="D41" s="530"/>
      <c r="E41" s="518"/>
      <c r="F41" s="294"/>
      <c r="G41" s="294"/>
      <c r="H41" s="348"/>
      <c r="I41" s="406" t="s">
        <v>156</v>
      </c>
      <c r="J41" s="327"/>
      <c r="K41" s="407"/>
      <c r="L41" s="408"/>
      <c r="M41" s="408">
        <f>AVERAGE([30]Brewhouse!$AU$13:$AU$14)</f>
        <v>97.110575243268045</v>
      </c>
      <c r="N41" s="409">
        <v>98</v>
      </c>
      <c r="O41" s="11"/>
      <c r="P41" s="31"/>
      <c r="R41" s="277">
        <f t="shared" si="10"/>
        <v>0</v>
      </c>
      <c r="S41" s="296" t="e">
        <f t="shared" si="11"/>
        <v>#N/A</v>
      </c>
      <c r="T41" s="296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296" t="e">
        <f t="shared" si="18"/>
        <v>#N/A</v>
      </c>
      <c r="AA41" s="296"/>
    </row>
    <row r="42" spans="1:27" ht="15" customHeight="1" thickBot="1">
      <c r="A42" s="28"/>
      <c r="B42" s="578"/>
      <c r="C42" s="349">
        <v>12.6</v>
      </c>
      <c r="D42" s="515">
        <v>11.86</v>
      </c>
      <c r="E42" s="516"/>
      <c r="F42" s="294"/>
      <c r="G42" s="294"/>
      <c r="H42" s="348"/>
      <c r="I42" s="1"/>
      <c r="J42" s="39"/>
      <c r="K42" s="404">
        <f>SUM(K32:K41)</f>
        <v>147</v>
      </c>
      <c r="L42" s="405">
        <f>((L32*K32)+(L33*K33)+(L34*K34)+(L35*K35)+(L36*K36)+(K39*L39)+(L37*K37)+(L38*K38)+(L41*K41))/(K42)</f>
        <v>97.464269113801791</v>
      </c>
      <c r="M42" s="405">
        <f>AVERAGE('[31]Jan 31st'!$L$65,'[32]Feb 28th'!$L$35,'[33]Mar. 31st'!$L$35,'[34]Apr. 30th'!$L$45,'[35]May 30th'!$L$37,'[36]June 30th'!$L$57,'[37]July 29th '!$L$44,'[38]Aug 29th'!$L$29,'[39]Sept 30th'!$L$35,L42)</f>
        <v>97.564377151061976</v>
      </c>
      <c r="N42" s="40">
        <v>98</v>
      </c>
      <c r="O42" s="11"/>
      <c r="P42" s="31"/>
      <c r="R42" s="277">
        <f t="shared" si="10"/>
        <v>0</v>
      </c>
      <c r="S42" s="296" t="e">
        <f t="shared" si="11"/>
        <v>#N/A</v>
      </c>
      <c r="T42" s="296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296" t="e">
        <f t="shared" si="18"/>
        <v>#N/A</v>
      </c>
      <c r="AA42" s="296"/>
    </row>
    <row r="43" spans="1:27" ht="15.75" thickBot="1">
      <c r="B43" s="579"/>
      <c r="C43" s="350">
        <v>11.8</v>
      </c>
      <c r="D43" s="517"/>
      <c r="E43" s="518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10"/>
        <v>0</v>
      </c>
      <c r="S43" s="296" t="e">
        <f t="shared" si="11"/>
        <v>#N/A</v>
      </c>
      <c r="T43" s="296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296" t="e">
        <f t="shared" si="18"/>
        <v>#N/A</v>
      </c>
      <c r="AA43" s="296"/>
    </row>
    <row r="44" spans="1:27" ht="15.75" thickBot="1">
      <c r="B44" s="577" t="str">
        <f>I32</f>
        <v>CARIB</v>
      </c>
      <c r="C44" s="362" cm="1">
        <f t="array" ref="C44:C45">[22]Process!$D$847:$D$848</f>
        <v>11.4</v>
      </c>
      <c r="D44" s="528">
        <v>11.96</v>
      </c>
      <c r="E44" s="529"/>
      <c r="F44" s="294"/>
      <c r="G44" s="42"/>
      <c r="H44" s="41"/>
      <c r="I44" s="42"/>
      <c r="J44" s="563" t="s">
        <v>129</v>
      </c>
      <c r="K44" s="563"/>
      <c r="L44" s="294"/>
      <c r="M44" s="294"/>
      <c r="N44" s="294"/>
      <c r="O44" s="294"/>
      <c r="P44" s="12"/>
    </row>
    <row r="45" spans="1:27" ht="15.75" thickBot="1">
      <c r="B45" s="578"/>
      <c r="C45" s="362">
        <v>11.7</v>
      </c>
      <c r="D45" s="530"/>
      <c r="E45" s="518"/>
      <c r="F45" s="294"/>
      <c r="G45" s="42"/>
      <c r="H45" s="41"/>
      <c r="I45" s="42"/>
      <c r="J45" s="292" t="s">
        <v>17</v>
      </c>
      <c r="K45" s="293" t="s">
        <v>147</v>
      </c>
      <c r="L45" s="532" t="s">
        <v>136</v>
      </c>
      <c r="M45" s="532"/>
      <c r="N45" s="533"/>
      <c r="O45" s="294"/>
      <c r="P45" s="12"/>
    </row>
    <row r="46" spans="1:27" ht="15" customHeight="1" thickBot="1">
      <c r="B46" s="578"/>
      <c r="C46" s="349" cm="1">
        <f t="array" ref="C46:C47">[22]Process!$D$861:$D$862</f>
        <v>11.6</v>
      </c>
      <c r="D46" s="564">
        <v>11.6</v>
      </c>
      <c r="E46" s="565"/>
      <c r="F46" s="294"/>
      <c r="G46" s="42"/>
      <c r="H46" s="41"/>
      <c r="I46" s="42"/>
      <c r="J46" s="287" t="s">
        <v>6</v>
      </c>
      <c r="K46" s="324">
        <v>4</v>
      </c>
      <c r="L46" s="343" t="s">
        <v>37</v>
      </c>
      <c r="M46" s="307" t="s">
        <v>38</v>
      </c>
      <c r="N46" s="307" t="s">
        <v>84</v>
      </c>
      <c r="O46" s="294"/>
      <c r="P46" s="12"/>
    </row>
    <row r="47" spans="1:27" ht="15.75" customHeight="1" thickBot="1">
      <c r="B47" s="578"/>
      <c r="C47" s="349">
        <v>11.9</v>
      </c>
      <c r="D47" s="530"/>
      <c r="E47" s="518"/>
      <c r="F47" s="294"/>
      <c r="G47" s="42"/>
      <c r="H47" s="41"/>
      <c r="I47" s="42"/>
      <c r="J47" s="345" t="s">
        <v>9</v>
      </c>
      <c r="K47" s="324">
        <v>4</v>
      </c>
      <c r="L47" s="344">
        <f>AVERAGE('Oct. 1st'!K49,,'Oct. 2nd'!K51,'Oct. 3rd'!K46,'Oct. 6th'!K54,Oct.7th!K50,Oct.8th!K48,Oct.9th!K49,Oct.13th!K47,Oct.15th!K50,Oct.16th!K50,Oct.17th!K46,Oct.21st!K50,Oct.22nd!K48,Oct.23rd!K46,Oct.24th!K53,Oct.27th!K49,Oct.28th!K50,Oct.29th!K53,Oct.30th!K56)</f>
        <v>7.6</v>
      </c>
      <c r="M47" s="325">
        <f>AVERAGE('[31]Jan 29th '!$M$70,'[32]Feb 28th'!$L$40,'[33]Mar. 31st'!$L$40,'[34]Apr. 30th'!$L$50,'[35]May 30th'!$L$42,'[36]June 30th'!$L$62,'[37]July 29th '!$L$49,'[38]Aug 29th'!$L$34,'[39]Sept 30th'!$L$40,L47)</f>
        <v>7.0661277776380746</v>
      </c>
      <c r="N47" s="416">
        <v>9.1999999999999993</v>
      </c>
      <c r="O47" s="294"/>
      <c r="P47" s="12"/>
    </row>
    <row r="48" spans="1:27" ht="15" customHeight="1">
      <c r="B48" s="578"/>
      <c r="C48" s="349"/>
      <c r="D48" s="564"/>
      <c r="E48" s="565"/>
      <c r="F48" s="294"/>
      <c r="G48" s="42"/>
      <c r="H48" s="41"/>
      <c r="I48" s="42"/>
      <c r="J48" s="288" t="s">
        <v>40</v>
      </c>
      <c r="K48" s="324">
        <v>1</v>
      </c>
      <c r="L48" s="294"/>
      <c r="M48" s="294"/>
      <c r="N48" s="294"/>
      <c r="O48" s="294"/>
      <c r="P48" s="12"/>
    </row>
    <row r="49" spans="2:57" ht="15" customHeight="1">
      <c r="B49" s="578"/>
      <c r="C49" s="349"/>
      <c r="D49" s="530"/>
      <c r="E49" s="518"/>
      <c r="F49" s="294"/>
      <c r="G49" s="42"/>
      <c r="H49" s="41"/>
      <c r="I49" s="42"/>
      <c r="J49" s="289" t="s">
        <v>33</v>
      </c>
      <c r="K49" s="324"/>
      <c r="L49" s="294"/>
      <c r="M49" s="294"/>
      <c r="N49" s="294"/>
      <c r="O49" s="294"/>
      <c r="P49" s="12"/>
    </row>
    <row r="50" spans="2:57" ht="15">
      <c r="B50" s="578"/>
      <c r="C50" s="349"/>
      <c r="D50" s="564"/>
      <c r="E50" s="565"/>
      <c r="F50" s="294"/>
      <c r="G50" s="42"/>
      <c r="H50" s="41"/>
      <c r="I50" s="42"/>
      <c r="J50" s="290" t="s">
        <v>16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78"/>
      <c r="C51" s="349"/>
      <c r="D51" s="530"/>
      <c r="E51" s="518"/>
      <c r="F51" s="294"/>
      <c r="G51" s="42"/>
      <c r="H51" s="41"/>
      <c r="I51" s="42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78"/>
      <c r="C52" s="349"/>
      <c r="D52" s="564"/>
      <c r="E52" s="565"/>
      <c r="F52" s="294"/>
      <c r="G52" s="42"/>
      <c r="H52" s="41"/>
      <c r="I52" s="42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thickBot="1">
      <c r="B53" s="578"/>
      <c r="C53" s="350"/>
      <c r="D53" s="566"/>
      <c r="E53" s="567"/>
      <c r="F53" s="294" t="s">
        <v>178</v>
      </c>
      <c r="G53" s="42"/>
      <c r="H53" s="41"/>
      <c r="I53" s="42"/>
      <c r="J53" s="291" t="s">
        <v>148</v>
      </c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2:57" ht="17.649999999999999" customHeight="1" thickBot="1">
      <c r="B54" s="312" t="s">
        <v>139</v>
      </c>
      <c r="C54" s="313"/>
      <c r="D54" s="560">
        <f>AVERAGE(D32:E53)</f>
        <v>11.84375</v>
      </c>
      <c r="E54" s="561"/>
      <c r="F54" s="294"/>
      <c r="H54" s="41"/>
      <c r="I54" s="42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>
      <c r="B55" s="363"/>
      <c r="C55" s="364">
        <f>[23]Process!D419</f>
        <v>11.9</v>
      </c>
      <c r="D55" s="365"/>
      <c r="E55" s="365"/>
      <c r="F55" s="294"/>
      <c r="G55" s="42"/>
      <c r="H55" s="41"/>
      <c r="I55" s="42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2:57" ht="15.6" customHeight="1">
      <c r="B56" s="45"/>
      <c r="C56" s="11"/>
      <c r="D56" s="11"/>
      <c r="E56" s="46"/>
      <c r="F56" s="294"/>
      <c r="G56" s="42"/>
      <c r="H56" s="41"/>
      <c r="I56" s="42"/>
      <c r="J56" s="346" t="s">
        <v>130</v>
      </c>
      <c r="K56" s="324">
        <f>SUM(K46:K55)</f>
        <v>9</v>
      </c>
      <c r="L56" s="294"/>
      <c r="M56" s="294"/>
      <c r="N56" s="294"/>
      <c r="O56" s="294"/>
      <c r="P56" s="12"/>
    </row>
    <row r="57" spans="2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2"/>
      <c r="L57" s="294"/>
      <c r="N57" s="315"/>
      <c r="P57" s="334"/>
    </row>
    <row r="58" spans="2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2:57" ht="15" customHeight="1" thickBot="1">
      <c r="B59" s="540" t="s">
        <v>17</v>
      </c>
      <c r="C59" s="540" t="s">
        <v>44</v>
      </c>
      <c r="D59" s="542" t="s">
        <v>45</v>
      </c>
      <c r="E59" s="497" t="s">
        <v>46</v>
      </c>
      <c r="F59" s="557" t="s">
        <v>47</v>
      </c>
      <c r="G59" s="551" t="s">
        <v>48</v>
      </c>
      <c r="H59" s="540" t="s">
        <v>49</v>
      </c>
      <c r="I59" s="540" t="s">
        <v>50</v>
      </c>
      <c r="J59" s="545" t="s">
        <v>28</v>
      </c>
      <c r="K59" s="495" t="s">
        <v>51</v>
      </c>
      <c r="L59" s="507" t="s">
        <v>52</v>
      </c>
      <c r="M59" s="545" t="s">
        <v>53</v>
      </c>
      <c r="N59" s="13"/>
      <c r="O59" s="13"/>
      <c r="P59" s="50"/>
    </row>
    <row r="60" spans="2:57" ht="28.5" customHeight="1" thickTop="1" thickBot="1">
      <c r="B60" s="541"/>
      <c r="C60" s="541"/>
      <c r="D60" s="543"/>
      <c r="E60" s="544"/>
      <c r="F60" s="558"/>
      <c r="G60" s="552"/>
      <c r="H60" s="559"/>
      <c r="I60" s="559"/>
      <c r="J60" s="546"/>
      <c r="K60" s="555"/>
      <c r="L60" s="556"/>
      <c r="M60" s="546"/>
      <c r="N60" s="13"/>
      <c r="O60" s="13"/>
      <c r="P60" s="50"/>
      <c r="Q60" s="355"/>
      <c r="AB60" s="51">
        <v>43474</v>
      </c>
      <c r="AC60" s="51">
        <v>43475</v>
      </c>
      <c r="AD60" s="51">
        <v>43476</v>
      </c>
      <c r="AE60" s="51">
        <v>43477</v>
      </c>
      <c r="AF60" s="51">
        <v>43478</v>
      </c>
      <c r="AG60" s="51">
        <v>43479</v>
      </c>
      <c r="AH60" s="51">
        <v>43480</v>
      </c>
      <c r="AI60" s="51">
        <v>43481</v>
      </c>
      <c r="AJ60" s="51">
        <v>43482</v>
      </c>
      <c r="AK60" s="51">
        <v>43483</v>
      </c>
      <c r="AL60" s="51">
        <v>43484</v>
      </c>
      <c r="AM60" s="51">
        <v>43485</v>
      </c>
      <c r="AN60" s="51">
        <v>43486</v>
      </c>
      <c r="AO60" s="51">
        <v>43487</v>
      </c>
      <c r="AP60" s="51">
        <v>43488</v>
      </c>
      <c r="AQ60" s="51">
        <v>43489</v>
      </c>
      <c r="AR60" s="51">
        <v>43490</v>
      </c>
      <c r="AS60" s="51">
        <v>43491</v>
      </c>
      <c r="AT60" s="51">
        <v>43492</v>
      </c>
      <c r="AU60" s="51">
        <v>43493</v>
      </c>
      <c r="AV60" s="51">
        <v>43494</v>
      </c>
      <c r="AW60" s="51">
        <v>43495</v>
      </c>
      <c r="AX60" s="51">
        <v>43496</v>
      </c>
    </row>
    <row r="61" spans="2:57" s="54" customFormat="1" ht="43.15" customHeight="1" thickBot="1">
      <c r="B61" s="460" t="str">
        <f>J46</f>
        <v>CARIB</v>
      </c>
      <c r="C61" s="442">
        <v>45960</v>
      </c>
      <c r="D61" s="443">
        <f>[40]October_2025!$AF$3</f>
        <v>608.79999999999995</v>
      </c>
      <c r="E61" s="444"/>
      <c r="F61" s="445"/>
      <c r="G61" s="445">
        <f>[40]October_2025!$AF$7</f>
        <v>573.4</v>
      </c>
      <c r="H61" s="462"/>
      <c r="I61" s="462"/>
      <c r="J61" s="449" t="s">
        <v>196</v>
      </c>
      <c r="K61" s="450">
        <f>[41]October_2025!$AF$18</f>
        <v>0.50298245614035086</v>
      </c>
      <c r="L61" s="461">
        <f>(((D61+E61)-G61)/(D61+E61))*100</f>
        <v>5.8147174770039385</v>
      </c>
      <c r="M61" s="457" t="s">
        <v>170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[20]January_2019!L7</f>
        <v>285.8</v>
      </c>
      <c r="AC61" s="57">
        <f>[20]January_2019!M7</f>
        <v>508.1</v>
      </c>
      <c r="AD61" s="57">
        <f>[20]January_2019!N7</f>
        <v>0</v>
      </c>
      <c r="AE61" s="57">
        <f>[20]January_2019!O7</f>
        <v>0</v>
      </c>
      <c r="AF61" s="57">
        <f>[20]January_2019!P7</f>
        <v>109.56666666666666</v>
      </c>
      <c r="AG61" s="57">
        <f>[20]January_2019!Q7</f>
        <v>297.64999999999998</v>
      </c>
      <c r="AH61" s="57">
        <f>[20]January_2019!R7</f>
        <v>122.3</v>
      </c>
      <c r="AI61" s="57">
        <f>[20]January_2019!S7</f>
        <v>0</v>
      </c>
      <c r="AJ61" s="57">
        <f>[20]January_2019!T7</f>
        <v>294.7</v>
      </c>
      <c r="AK61" s="57">
        <f>[20]January_2019!U7</f>
        <v>280.5</v>
      </c>
      <c r="AL61" s="57">
        <f>[20]January_2019!V7</f>
        <v>0</v>
      </c>
      <c r="AM61" s="57">
        <f>[20]January_2019!W7</f>
        <v>0</v>
      </c>
      <c r="AN61" s="57">
        <f>[20]January_2019!X7</f>
        <v>188.25</v>
      </c>
      <c r="AO61" s="57">
        <f>[20]January_2019!Y7</f>
        <v>295.7</v>
      </c>
      <c r="AP61" s="57">
        <f>[20]January_2019!Z7</f>
        <v>257.8</v>
      </c>
      <c r="AQ61" s="57">
        <f>[20]January_2019!AA7</f>
        <v>291.2</v>
      </c>
      <c r="AR61" s="57">
        <f>[20]January_2019!AB7</f>
        <v>187</v>
      </c>
      <c r="AS61" s="57">
        <f>[20]January_2019!AC7</f>
        <v>0</v>
      </c>
      <c r="AT61" s="57">
        <f>[20]January_2019!AD7</f>
        <v>0</v>
      </c>
      <c r="AU61" s="57">
        <f>[20]January_2019!AE7</f>
        <v>485.1</v>
      </c>
      <c r="AV61" s="57">
        <f>[20]January_2019!AF7</f>
        <v>171.55</v>
      </c>
      <c r="AW61" s="57">
        <f>[20]January_2019!AG7</f>
        <v>423.8</v>
      </c>
      <c r="AX61" s="277">
        <f>[20]January_2019!AH7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20.45" customHeight="1" thickBot="1">
      <c r="B62" s="458"/>
      <c r="C62" s="431"/>
      <c r="D62" s="432"/>
      <c r="E62" s="433"/>
      <c r="F62" s="434"/>
      <c r="G62" s="435"/>
      <c r="H62" s="429"/>
      <c r="I62" s="429"/>
      <c r="J62" s="452"/>
      <c r="K62" s="437"/>
      <c r="L62" s="453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8.450000000000003" customHeight="1" thickBot="1">
      <c r="B63" s="387" t="str">
        <f>J46</f>
        <v>CARIB</v>
      </c>
      <c r="C63" s="442">
        <v>45960</v>
      </c>
      <c r="D63" s="443">
        <f>[40]October_2025!$AG$3</f>
        <v>207.8</v>
      </c>
      <c r="E63" s="444"/>
      <c r="F63" s="445"/>
      <c r="G63" s="446">
        <f>[40]October_2025!$AG$7</f>
        <v>193</v>
      </c>
      <c r="H63" s="462"/>
      <c r="I63" s="462"/>
      <c r="J63" s="449" t="s">
        <v>200</v>
      </c>
      <c r="K63" s="466">
        <f>[41]October_2025!$AG$18</f>
        <v>0.67719298245614035</v>
      </c>
      <c r="L63" s="461">
        <f>(((D63+E63)-G63)/(D63+E63))*100</f>
        <v>7.1222329162656441</v>
      </c>
      <c r="M63" s="457" t="s">
        <v>193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5.75" hidden="1" thickBot="1">
      <c r="B64" s="454"/>
      <c r="C64" s="431"/>
      <c r="D64" s="432"/>
      <c r="E64" s="433"/>
      <c r="F64" s="434"/>
      <c r="G64" s="435"/>
      <c r="H64" s="436"/>
      <c r="I64" s="451"/>
      <c r="J64" s="452"/>
      <c r="K64" s="437"/>
      <c r="L64" s="453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65"/>
      <c r="C65" s="442"/>
      <c r="D65" s="443"/>
      <c r="E65" s="444"/>
      <c r="F65" s="445"/>
      <c r="G65" s="446"/>
      <c r="H65" s="447"/>
      <c r="I65" s="448"/>
      <c r="J65" s="449"/>
      <c r="K65" s="450"/>
      <c r="L65" s="461"/>
      <c r="M65" s="456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customHeight="1" thickBot="1">
      <c r="B66" s="438"/>
      <c r="C66" s="424"/>
      <c r="D66" s="425"/>
      <c r="E66" s="426"/>
      <c r="F66" s="427"/>
      <c r="G66" s="428"/>
      <c r="H66" s="429"/>
      <c r="I66" s="439"/>
      <c r="J66" s="440"/>
      <c r="K66" s="430"/>
      <c r="L66" s="441"/>
      <c r="M66" s="423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65"/>
      <c r="C67" s="442"/>
      <c r="D67" s="443"/>
      <c r="E67" s="444"/>
      <c r="F67" s="445"/>
      <c r="G67" s="446"/>
      <c r="H67" s="447"/>
      <c r="I67" s="448"/>
      <c r="J67" s="449"/>
      <c r="K67" s="450"/>
      <c r="L67" s="461"/>
      <c r="M67" s="456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79"/>
      <c r="C68" s="431"/>
      <c r="D68" s="473"/>
      <c r="E68" s="474"/>
      <c r="F68" s="475"/>
      <c r="G68" s="473"/>
      <c r="H68" s="476"/>
      <c r="I68" s="476"/>
      <c r="J68" s="476"/>
      <c r="K68" s="477"/>
      <c r="L68" s="478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47" t="s">
        <v>55</v>
      </c>
      <c r="C70" s="548"/>
      <c r="D70" s="548"/>
      <c r="E70" s="548"/>
      <c r="F70" s="549"/>
      <c r="G70" s="547" t="s">
        <v>56</v>
      </c>
      <c r="H70" s="548"/>
      <c r="I70" s="548"/>
      <c r="J70" s="549"/>
      <c r="K70" s="547" t="s">
        <v>51</v>
      </c>
      <c r="L70" s="548"/>
      <c r="M70" s="548"/>
      <c r="N70" s="550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>
        <f>AVERAGE(L61,L63)</f>
        <v>6.4684751966347918</v>
      </c>
      <c r="D72" s="76">
        <v>5.5592148893170164</v>
      </c>
      <c r="E72" s="76">
        <v>6.2382937141927783</v>
      </c>
      <c r="F72" s="66">
        <v>4.8</v>
      </c>
      <c r="G72" s="65">
        <f>AVERAGE([40]October_2025!$AF$11:$AG$11)</f>
        <v>5.3957343230502968</v>
      </c>
      <c r="H72" s="76">
        <v>4.3869619783364371</v>
      </c>
      <c r="I72" s="76">
        <v>6.0182963708128732</v>
      </c>
      <c r="J72" s="66">
        <v>4.8</v>
      </c>
      <c r="K72" s="67">
        <f>AVERAGE(K61,K63)</f>
        <v>0.59008771929824566</v>
      </c>
      <c r="L72" s="194">
        <v>0.74188621106688246</v>
      </c>
      <c r="M72" s="194">
        <v>0.76957073251495711</v>
      </c>
      <c r="N72" s="68">
        <v>1</v>
      </c>
      <c r="O72" s="56"/>
      <c r="P72" s="69"/>
    </row>
    <row r="73" spans="2:57" ht="15">
      <c r="B73" s="33" t="s">
        <v>9</v>
      </c>
      <c r="C73" s="65"/>
      <c r="D73" s="76">
        <v>4.6321640098754937</v>
      </c>
      <c r="E73" s="76">
        <v>5.7588892834082586</v>
      </c>
      <c r="F73" s="66">
        <v>4.8</v>
      </c>
      <c r="G73" s="65"/>
      <c r="H73" s="76">
        <v>4.0639296511587704</v>
      </c>
      <c r="I73" s="76">
        <v>5.492770546029484</v>
      </c>
      <c r="J73" s="66">
        <v>4.8</v>
      </c>
      <c r="K73" s="67"/>
      <c r="L73" s="194">
        <v>0.74930453004267783</v>
      </c>
      <c r="M73" s="194">
        <v>0.72027652373862694</v>
      </c>
      <c r="N73" s="68">
        <v>1</v>
      </c>
      <c r="P73" s="69"/>
    </row>
    <row r="74" spans="2:57" ht="15">
      <c r="B74" s="34" t="s">
        <v>40</v>
      </c>
      <c r="C74" s="65"/>
      <c r="D74" s="76">
        <v>10.139579656666138</v>
      </c>
      <c r="E74" s="76">
        <v>11.57083716651332</v>
      </c>
      <c r="F74" s="66">
        <v>5.5</v>
      </c>
      <c r="G74" s="65"/>
      <c r="H74" s="76">
        <v>12.493185035674854</v>
      </c>
      <c r="I74" s="76">
        <v>12.71224444035783</v>
      </c>
      <c r="J74" s="66">
        <v>5.5</v>
      </c>
      <c r="K74" s="67"/>
      <c r="L74" s="194">
        <v>0.51072164948453602</v>
      </c>
      <c r="M74" s="194">
        <v>0.53293555745651555</v>
      </c>
      <c r="N74" s="68">
        <v>1</v>
      </c>
      <c r="P74" s="69"/>
    </row>
    <row r="75" spans="2:57" ht="15">
      <c r="B75" s="22" t="s">
        <v>33</v>
      </c>
      <c r="C75" s="65"/>
      <c r="D75" s="76">
        <v>5.1294697903822328</v>
      </c>
      <c r="E75" s="76">
        <v>5.1206010280743115</v>
      </c>
      <c r="F75" s="66">
        <v>3.3</v>
      </c>
      <c r="G75" s="65"/>
      <c r="H75" s="76">
        <v>4.536248812516166</v>
      </c>
      <c r="I75" s="76">
        <v>4.4829345306946999</v>
      </c>
      <c r="J75" s="66">
        <v>3.3</v>
      </c>
      <c r="K75" s="67"/>
      <c r="L75" s="194">
        <v>1.3498245614035089</v>
      </c>
      <c r="M75" s="194">
        <v>0.8425337381916328</v>
      </c>
      <c r="N75" s="68">
        <v>1</v>
      </c>
      <c r="P75" s="69"/>
    </row>
    <row r="76" spans="2:57" ht="15">
      <c r="B76" s="35" t="s">
        <v>165</v>
      </c>
      <c r="C76" s="65"/>
      <c r="D76" s="76"/>
      <c r="E76" s="76">
        <v>7.837301587301579</v>
      </c>
      <c r="F76" s="66">
        <v>3.3</v>
      </c>
      <c r="G76" s="282"/>
      <c r="H76" s="76"/>
      <c r="I76" s="76">
        <v>5.3377569154690221</v>
      </c>
      <c r="J76" s="66">
        <v>3</v>
      </c>
      <c r="K76" s="67"/>
      <c r="L76" s="194"/>
      <c r="M76" s="194">
        <v>0.32596491228070179</v>
      </c>
      <c r="N76" s="68">
        <v>1</v>
      </c>
      <c r="P76" s="69"/>
    </row>
    <row r="77" spans="2:57" ht="15">
      <c r="B77" s="36" t="s">
        <v>15</v>
      </c>
      <c r="C77" s="65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8.6614709463340702</v>
      </c>
      <c r="J77" s="66">
        <v>5.5</v>
      </c>
      <c r="K77" s="67"/>
      <c r="L77" s="194"/>
      <c r="M77" s="194">
        <v>0.73160818713450293</v>
      </c>
      <c r="N77" s="68">
        <v>1</v>
      </c>
      <c r="P77" s="69"/>
    </row>
    <row r="78" spans="2:57" ht="15">
      <c r="B78" s="37" t="s">
        <v>16</v>
      </c>
      <c r="C78" s="65"/>
      <c r="D78" s="76">
        <v>2.0782986950217497</v>
      </c>
      <c r="E78" s="76">
        <v>2.8629317642487306</v>
      </c>
      <c r="F78" s="66">
        <v>3.3</v>
      </c>
      <c r="G78" s="282"/>
      <c r="H78" s="76">
        <v>3.4559849687930924</v>
      </c>
      <c r="I78" s="76">
        <v>4.3478819741669881</v>
      </c>
      <c r="J78" s="66">
        <v>3.3</v>
      </c>
      <c r="K78" s="67"/>
      <c r="L78" s="194">
        <v>0.88859649122807016</v>
      </c>
      <c r="M78" s="194">
        <v>0.85935680751173715</v>
      </c>
      <c r="N78" s="71">
        <v>1</v>
      </c>
      <c r="P78" s="69"/>
    </row>
    <row r="79" spans="2:57" ht="15.75" thickBot="1">
      <c r="B79" s="38" t="s">
        <v>164</v>
      </c>
      <c r="C79" s="65"/>
      <c r="D79" s="76"/>
      <c r="E79" s="76">
        <v>11.483253588516746</v>
      </c>
      <c r="F79" s="66">
        <v>7.5</v>
      </c>
      <c r="G79" s="282"/>
      <c r="H79" s="76"/>
      <c r="I79" s="76">
        <v>9.7934336121043764</v>
      </c>
      <c r="J79" s="66">
        <v>7.5</v>
      </c>
      <c r="K79" s="67"/>
      <c r="M79" s="194">
        <v>0.32456140350877194</v>
      </c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>
        <v>7.2653644592663174</v>
      </c>
      <c r="F80" s="66">
        <v>4.8</v>
      </c>
      <c r="G80" s="282"/>
      <c r="H80" s="76"/>
      <c r="I80" s="76">
        <v>8.1715311054411259</v>
      </c>
      <c r="J80" s="66">
        <v>4.8</v>
      </c>
      <c r="K80" s="67"/>
      <c r="L80" s="194"/>
      <c r="M80" s="194">
        <v>0.51368421052631585</v>
      </c>
      <c r="N80" s="71">
        <v>1</v>
      </c>
      <c r="O80" s="74"/>
      <c r="P80" s="75"/>
    </row>
    <row r="81" spans="4:14" ht="15">
      <c r="D81" s="76">
        <v>5.4003257737125896</v>
      </c>
      <c r="E81" s="76">
        <v>6.2628041829398349</v>
      </c>
      <c r="F81" s="341">
        <v>5.5</v>
      </c>
      <c r="H81" s="76">
        <v>5.1120457113739182</v>
      </c>
      <c r="I81" s="76">
        <v>6.4058064682064497</v>
      </c>
      <c r="J81" s="341">
        <v>5.5</v>
      </c>
      <c r="L81" s="194">
        <v>0.76227923211169279</v>
      </c>
      <c r="M81" s="194">
        <v>0.73564864270799002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B44:B53"/>
    <mergeCell ref="D44:E45"/>
    <mergeCell ref="J44:K44"/>
    <mergeCell ref="L45:N45"/>
    <mergeCell ref="D46:E47"/>
    <mergeCell ref="D48:E49"/>
    <mergeCell ref="D50:E51"/>
    <mergeCell ref="D52:E53"/>
    <mergeCell ref="D54:E54"/>
    <mergeCell ref="B59:B60"/>
    <mergeCell ref="C59:C60"/>
    <mergeCell ref="D59:D60"/>
    <mergeCell ref="E59:E60"/>
    <mergeCell ref="M59:M60"/>
    <mergeCell ref="B70:F70"/>
    <mergeCell ref="G70:J70"/>
    <mergeCell ref="K70:N70"/>
    <mergeCell ref="G59:G60"/>
    <mergeCell ref="H59:H60"/>
    <mergeCell ref="I59:I60"/>
    <mergeCell ref="J59:J60"/>
    <mergeCell ref="K59:K60"/>
    <mergeCell ref="L59:L60"/>
    <mergeCell ref="F59:F60"/>
  </mergeCells>
  <conditionalFormatting sqref="B54:B55">
    <cfRule type="cellIs" dxfId="366" priority="17" operator="notBetween">
      <formula>#REF!</formula>
      <formula>#REF!</formula>
    </cfRule>
  </conditionalFormatting>
  <conditionalFormatting sqref="C58">
    <cfRule type="cellIs" dxfId="365" priority="191" stopIfTrue="1" operator="greaterThan">
      <formula>100</formula>
    </cfRule>
    <cfRule type="cellIs" dxfId="364" priority="190" stopIfTrue="1" operator="lessThan">
      <formula>96</formula>
    </cfRule>
  </conditionalFormatting>
  <conditionalFormatting sqref="C72:C76">
    <cfRule type="cellIs" dxfId="363" priority="144" stopIfTrue="1" operator="lessThanOrEqual">
      <formula>0</formula>
    </cfRule>
  </conditionalFormatting>
  <conditionalFormatting sqref="C72:C80">
    <cfRule type="cellIs" dxfId="362" priority="143" stopIfTrue="1" operator="greaterThan">
      <formula>$F72</formula>
    </cfRule>
  </conditionalFormatting>
  <conditionalFormatting sqref="C73">
    <cfRule type="cellIs" dxfId="361" priority="194" stopIfTrue="1" operator="greaterThan">
      <formula>$F72</formula>
    </cfRule>
  </conditionalFormatting>
  <conditionalFormatting sqref="C77">
    <cfRule type="cellIs" dxfId="360" priority="84" stopIfTrue="1" operator="greaterThan">
      <formula>$F76</formula>
    </cfRule>
    <cfRule type="cellIs" dxfId="359" priority="83" stopIfTrue="1" operator="lessThanOrEqual">
      <formula>0</formula>
    </cfRule>
  </conditionalFormatting>
  <conditionalFormatting sqref="C83:C87">
    <cfRule type="cellIs" dxfId="358" priority="182" stopIfTrue="1" operator="lessThanOrEqual">
      <formula>0</formula>
    </cfRule>
  </conditionalFormatting>
  <conditionalFormatting sqref="C84:C87">
    <cfRule type="cellIs" dxfId="357" priority="181" stopIfTrue="1" operator="greaterThan">
      <formula>$F$83</formula>
    </cfRule>
  </conditionalFormatting>
  <conditionalFormatting sqref="C89">
    <cfRule type="cellIs" dxfId="356" priority="184" stopIfTrue="1" operator="lessThanOrEqual">
      <formula>0</formula>
    </cfRule>
    <cfRule type="cellIs" dxfId="355" priority="183" stopIfTrue="1" operator="greaterThan">
      <formula>$F$83</formula>
    </cfRule>
  </conditionalFormatting>
  <conditionalFormatting sqref="C83:D83 D85:D91">
    <cfRule type="cellIs" dxfId="354" priority="176" stopIfTrue="1" operator="greaterThan">
      <formula>4.5</formula>
    </cfRule>
  </conditionalFormatting>
  <conditionalFormatting sqref="D54:D55">
    <cfRule type="cellIs" dxfId="353" priority="18" operator="notBetween">
      <formula>#REF!</formula>
      <formula>#REF!</formula>
    </cfRule>
  </conditionalFormatting>
  <conditionalFormatting sqref="D72:D79">
    <cfRule type="cellIs" dxfId="352" priority="156" stopIfTrue="1" operator="lessThanOrEqual">
      <formula>0</formula>
    </cfRule>
  </conditionalFormatting>
  <conditionalFormatting sqref="D80">
    <cfRule type="cellIs" dxfId="351" priority="155" stopIfTrue="1" operator="lessThanOrEqual">
      <formula>0</formula>
    </cfRule>
  </conditionalFormatting>
  <conditionalFormatting sqref="D83 D85:D91">
    <cfRule type="cellIs" dxfId="350" priority="177" stopIfTrue="1" operator="lessThanOrEqual">
      <formula>0</formula>
    </cfRule>
  </conditionalFormatting>
  <conditionalFormatting sqref="D84">
    <cfRule type="cellIs" dxfId="349" priority="169" stopIfTrue="1" operator="lessThanOrEqual">
      <formula>0</formula>
    </cfRule>
    <cfRule type="cellIs" dxfId="348" priority="168" stopIfTrue="1" operator="greaterThan">
      <formula>$F$83</formula>
    </cfRule>
  </conditionalFormatting>
  <conditionalFormatting sqref="D72:E81">
    <cfRule type="cellIs" dxfId="347" priority="141" stopIfTrue="1" operator="greaterThan">
      <formula>$F72</formula>
    </cfRule>
  </conditionalFormatting>
  <conditionalFormatting sqref="D81:E81">
    <cfRule type="cellIs" dxfId="346" priority="142" stopIfTrue="1" operator="lessThanOrEqual">
      <formula>0</formula>
    </cfRule>
  </conditionalFormatting>
  <conditionalFormatting sqref="E10:E29">
    <cfRule type="cellIs" dxfId="345" priority="46" operator="lessThan">
      <formula>48</formula>
    </cfRule>
  </conditionalFormatting>
  <conditionalFormatting sqref="E57 E58:F58">
    <cfRule type="cellIs" dxfId="344" priority="173" stopIfTrue="1" operator="greaterThan">
      <formula>100</formula>
    </cfRule>
  </conditionalFormatting>
  <conditionalFormatting sqref="E58">
    <cfRule type="cellIs" dxfId="343" priority="171" stopIfTrue="1" operator="greaterThan">
      <formula>100</formula>
    </cfRule>
    <cfRule type="cellIs" dxfId="342" priority="170" stopIfTrue="1" operator="lessThan">
      <formula>96.8</formula>
    </cfRule>
  </conditionalFormatting>
  <conditionalFormatting sqref="E72:E80">
    <cfRule type="cellIs" dxfId="341" priority="152" stopIfTrue="1" operator="lessThanOrEqual">
      <formula>0</formula>
    </cfRule>
  </conditionalFormatting>
  <conditionalFormatting sqref="E83:E91">
    <cfRule type="cellIs" dxfId="340" priority="162" stopIfTrue="1" operator="greaterThan">
      <formula>4.5</formula>
    </cfRule>
    <cfRule type="cellIs" dxfId="339" priority="163" stopIfTrue="1" operator="lessThanOrEqual">
      <formula>0</formula>
    </cfRule>
  </conditionalFormatting>
  <conditionalFormatting sqref="E58:F58 E57">
    <cfRule type="cellIs" dxfId="338" priority="172" stopIfTrue="1" operator="lessThan">
      <formula>96.5</formula>
    </cfRule>
  </conditionalFormatting>
  <conditionalFormatting sqref="F10:F29">
    <cfRule type="cellIs" dxfId="337" priority="47" operator="greaterThan">
      <formula>60</formula>
    </cfRule>
  </conditionalFormatting>
  <conditionalFormatting sqref="F58">
    <cfRule type="cellIs" dxfId="336" priority="188" stopIfTrue="1" operator="lessThan">
      <formula>96.8</formula>
    </cfRule>
    <cfRule type="cellIs" dxfId="335" priority="189" stopIfTrue="1" operator="greaterThan">
      <formula>100</formula>
    </cfRule>
  </conditionalFormatting>
  <conditionalFormatting sqref="F81">
    <cfRule type="cellIs" dxfId="334" priority="154" stopIfTrue="1" operator="lessThanOrEqual">
      <formula>0</formula>
    </cfRule>
    <cfRule type="cellIs" dxfId="333" priority="153" stopIfTrue="1" operator="greaterThan">
      <formula>$F81</formula>
    </cfRule>
  </conditionalFormatting>
  <conditionalFormatting sqref="G10:G14 G20:G25">
    <cfRule type="expression" dxfId="332" priority="65">
      <formula>IF(+(IF(G10&lt;S10,0,IF(G10&gt;T10,0,1)))=0,1)</formula>
    </cfRule>
  </conditionalFormatting>
  <conditionalFormatting sqref="G72:G73 C78:C80">
    <cfRule type="cellIs" dxfId="331" priority="158" stopIfTrue="1" operator="lessThanOrEqual">
      <formula>0</formula>
    </cfRule>
  </conditionalFormatting>
  <conditionalFormatting sqref="G72:G73">
    <cfRule type="cellIs" dxfId="330" priority="145" stopIfTrue="1" operator="greaterThan">
      <formula>$F72</formula>
    </cfRule>
    <cfRule type="cellIs" dxfId="329" priority="157" stopIfTrue="1" operator="greaterThan">
      <formula>$F72</formula>
    </cfRule>
    <cfRule type="cellIs" dxfId="328" priority="146" stopIfTrue="1" operator="lessThanOrEqual">
      <formula>0</formula>
    </cfRule>
  </conditionalFormatting>
  <conditionalFormatting sqref="G74">
    <cfRule type="cellIs" dxfId="327" priority="193" stopIfTrue="1" operator="lessThanOrEqual">
      <formula>0</formula>
    </cfRule>
    <cfRule type="cellIs" dxfId="326" priority="192" stopIfTrue="1" operator="greaterThan">
      <formula>$F73</formula>
    </cfRule>
  </conditionalFormatting>
  <conditionalFormatting sqref="G75">
    <cfRule type="cellIs" dxfId="325" priority="16" stopIfTrue="1" operator="lessThanOrEqual">
      <formula>0</formula>
    </cfRule>
    <cfRule type="cellIs" dxfId="324" priority="15" stopIfTrue="1" operator="greaterThan">
      <formula>$F75</formula>
    </cfRule>
    <cfRule type="cellIs" dxfId="323" priority="14" stopIfTrue="1" operator="lessThanOrEqual">
      <formula>0</formula>
    </cfRule>
    <cfRule type="cellIs" dxfId="322" priority="13" stopIfTrue="1" operator="greaterThan">
      <formula>$F75</formula>
    </cfRule>
  </conditionalFormatting>
  <conditionalFormatting sqref="G76:G80">
    <cfRule type="cellIs" dxfId="321" priority="159" stopIfTrue="1" operator="greaterThan">
      <formula>$J76</formula>
    </cfRule>
    <cfRule type="cellIs" dxfId="320" priority="160" stopIfTrue="1" operator="lessThanOrEqual">
      <formula>0</formula>
    </cfRule>
  </conditionalFormatting>
  <conditionalFormatting sqref="G85:G90 C88 C90">
    <cfRule type="cellIs" dxfId="319" priority="185" stopIfTrue="1" operator="greaterThan">
      <formula>4.5</formula>
    </cfRule>
    <cfRule type="cellIs" dxfId="318" priority="186" stopIfTrue="1" operator="lessThanOrEqual">
      <formula>0</formula>
    </cfRule>
  </conditionalFormatting>
  <conditionalFormatting sqref="G84:H84">
    <cfRule type="cellIs" dxfId="317" priority="166" stopIfTrue="1" operator="greaterThan">
      <formula>$F$83</formula>
    </cfRule>
    <cfRule type="cellIs" dxfId="316" priority="167" stopIfTrue="1" operator="lessThanOrEqual">
      <formula>0</formula>
    </cfRule>
  </conditionalFormatting>
  <conditionalFormatting sqref="H43:H57">
    <cfRule type="cellIs" dxfId="315" priority="164" stopIfTrue="1" operator="greaterThan">
      <formula>0</formula>
    </cfRule>
  </conditionalFormatting>
  <conditionalFormatting sqref="H61">
    <cfRule type="cellIs" dxfId="314" priority="58" stopIfTrue="1" operator="greaterThan">
      <formula>$F$77</formula>
    </cfRule>
    <cfRule type="cellIs" dxfId="313" priority="59" stopIfTrue="1" operator="lessThanOrEqual">
      <formula>0</formula>
    </cfRule>
    <cfRule type="cellIs" dxfId="312" priority="61" stopIfTrue="1" operator="lessThanOrEqual">
      <formula>0</formula>
    </cfRule>
    <cfRule type="cellIs" dxfId="311" priority="49" stopIfTrue="1" operator="lessThanOrEqual">
      <formula>0</formula>
    </cfRule>
    <cfRule type="cellIs" dxfId="310" priority="50" stopIfTrue="1" operator="greaterThan">
      <formula>$F$74</formula>
    </cfRule>
    <cfRule type="cellIs" dxfId="309" priority="60" stopIfTrue="1" operator="greaterThan">
      <formula>$F$75</formula>
    </cfRule>
  </conditionalFormatting>
  <conditionalFormatting sqref="H62">
    <cfRule type="cellIs" dxfId="308" priority="109" stopIfTrue="1" operator="greaterThan">
      <formula>$F$30</formula>
    </cfRule>
    <cfRule type="cellIs" dxfId="307" priority="110" stopIfTrue="1" operator="lessThanOrEqual">
      <formula>0</formula>
    </cfRule>
    <cfRule type="cellIs" dxfId="306" priority="111" stopIfTrue="1" operator="greaterThan">
      <formula>#REF!</formula>
    </cfRule>
    <cfRule type="cellIs" dxfId="305" priority="112" stopIfTrue="1" operator="lessThanOrEqual">
      <formula>0</formula>
    </cfRule>
    <cfRule type="cellIs" dxfId="304" priority="101" stopIfTrue="1" operator="greaterThan">
      <formula>#REF!</formula>
    </cfRule>
    <cfRule type="cellIs" dxfId="303" priority="100" stopIfTrue="1" operator="lessThanOrEqual">
      <formula>0</formula>
    </cfRule>
  </conditionalFormatting>
  <conditionalFormatting sqref="H63">
    <cfRule type="cellIs" dxfId="302" priority="78" stopIfTrue="1" operator="lessThanOrEqual">
      <formula>0</formula>
    </cfRule>
    <cfRule type="cellIs" dxfId="301" priority="79" stopIfTrue="1" operator="greaterThan">
      <formula>$F$74</formula>
    </cfRule>
    <cfRule type="cellIs" dxfId="300" priority="80" stopIfTrue="1" operator="lessThanOrEqual">
      <formula>0</formula>
    </cfRule>
    <cfRule type="cellIs" dxfId="299" priority="68" stopIfTrue="1" operator="lessThanOrEqual">
      <formula>0</formula>
    </cfRule>
    <cfRule type="cellIs" dxfId="298" priority="69" stopIfTrue="1" operator="greaterThan">
      <formula>$F$73</formula>
    </cfRule>
    <cfRule type="cellIs" dxfId="297" priority="77" stopIfTrue="1" operator="greaterThan">
      <formula>$F$76</formula>
    </cfRule>
  </conditionalFormatting>
  <conditionalFormatting sqref="H64:H65">
    <cfRule type="cellIs" dxfId="296" priority="86" stopIfTrue="1" operator="lessThanOrEqual">
      <formula>0</formula>
    </cfRule>
    <cfRule type="cellIs" dxfId="295" priority="87" stopIfTrue="1" operator="greaterThan">
      <formula>#REF!</formula>
    </cfRule>
    <cfRule type="cellIs" dxfId="294" priority="97" stopIfTrue="1" operator="greaterThan">
      <formula>#REF!</formula>
    </cfRule>
    <cfRule type="cellIs" dxfId="293" priority="95" stopIfTrue="1" operator="greaterThan">
      <formula>$F$29</formula>
    </cfRule>
    <cfRule type="cellIs" dxfId="292" priority="96" stopIfTrue="1" operator="lessThanOrEqual">
      <formula>0</formula>
    </cfRule>
    <cfRule type="cellIs" dxfId="291" priority="98" stopIfTrue="1" operator="lessThanOrEqual">
      <formula>0</formula>
    </cfRule>
  </conditionalFormatting>
  <conditionalFormatting sqref="H66">
    <cfRule type="cellIs" dxfId="290" priority="126" stopIfTrue="1" operator="greaterThan">
      <formula>$F$43</formula>
    </cfRule>
    <cfRule type="cellIs" dxfId="289" priority="116" stopIfTrue="1" operator="greaterThan">
      <formula>$F$42</formula>
    </cfRule>
    <cfRule type="cellIs" dxfId="288" priority="127" stopIfTrue="1" operator="lessThanOrEqual">
      <formula>0</formula>
    </cfRule>
    <cfRule type="cellIs" dxfId="287" priority="115" stopIfTrue="1" operator="lessThanOrEqual">
      <formula>0</formula>
    </cfRule>
    <cfRule type="cellIs" dxfId="286" priority="124" stopIfTrue="1" operator="greaterThan">
      <formula>$F$45</formula>
    </cfRule>
    <cfRule type="cellIs" dxfId="285" priority="125" stopIfTrue="1" operator="lessThanOrEqual">
      <formula>0</formula>
    </cfRule>
  </conditionalFormatting>
  <conditionalFormatting sqref="H67:H68">
    <cfRule type="cellIs" dxfId="284" priority="28" stopIfTrue="1" operator="lessThanOrEqual">
      <formula>0</formula>
    </cfRule>
    <cfRule type="cellIs" dxfId="283" priority="29" stopIfTrue="1" operator="greaterThan">
      <formula>#REF!</formula>
    </cfRule>
    <cfRule type="cellIs" dxfId="282" priority="38" stopIfTrue="1" operator="lessThanOrEqual">
      <formula>0</formula>
    </cfRule>
    <cfRule type="cellIs" dxfId="281" priority="37" stopIfTrue="1" operator="greaterThan">
      <formula>$F$29</formula>
    </cfRule>
    <cfRule type="cellIs" dxfId="280" priority="39" stopIfTrue="1" operator="greaterThan">
      <formula>#REF!</formula>
    </cfRule>
    <cfRule type="cellIs" dxfId="279" priority="40" stopIfTrue="1" operator="lessThanOrEqual">
      <formula>0</formula>
    </cfRule>
  </conditionalFormatting>
  <conditionalFormatting sqref="H72:H79">
    <cfRule type="cellIs" dxfId="278" priority="147" stopIfTrue="1" operator="greaterThan">
      <formula>$J72</formula>
    </cfRule>
    <cfRule type="cellIs" dxfId="277" priority="148" stopIfTrue="1" operator="lessThanOrEqual">
      <formula>0</formula>
    </cfRule>
  </conditionalFormatting>
  <conditionalFormatting sqref="H80">
    <cfRule type="cellIs" dxfId="276" priority="149" operator="greaterThan">
      <formula>5.3</formula>
    </cfRule>
  </conditionalFormatting>
  <conditionalFormatting sqref="H83 H85:H91">
    <cfRule type="cellIs" dxfId="275" priority="178" stopIfTrue="1" operator="greaterThan">
      <formula>4.5</formula>
    </cfRule>
    <cfRule type="cellIs" dxfId="274" priority="179" stopIfTrue="1" operator="lessThanOrEqual">
      <formula>0</formula>
    </cfRule>
  </conditionalFormatting>
  <conditionalFormatting sqref="H61:I61">
    <cfRule type="cellIs" dxfId="273" priority="48" stopIfTrue="1" operator="greaterThan">
      <formula>$F$76</formula>
    </cfRule>
    <cfRule type="cellIs" dxfId="272" priority="51" stopIfTrue="1" operator="lessThanOrEqual">
      <formula>0</formula>
    </cfRule>
  </conditionalFormatting>
  <conditionalFormatting sqref="H62:I62">
    <cfRule type="cellIs" dxfId="271" priority="102" stopIfTrue="1" operator="lessThanOrEqual">
      <formula>0</formula>
    </cfRule>
    <cfRule type="cellIs" dxfId="270" priority="99" stopIfTrue="1" operator="greaterThan">
      <formula>$F$29</formula>
    </cfRule>
  </conditionalFormatting>
  <conditionalFormatting sqref="H63:I63">
    <cfRule type="cellIs" dxfId="269" priority="70" stopIfTrue="1" operator="lessThanOrEqual">
      <formula>0</formula>
    </cfRule>
    <cfRule type="cellIs" dxfId="268" priority="67" stopIfTrue="1" operator="greaterThan">
      <formula>$F$75</formula>
    </cfRule>
  </conditionalFormatting>
  <conditionalFormatting sqref="H64:I65">
    <cfRule type="cellIs" dxfId="267" priority="85" stopIfTrue="1" operator="greaterThan">
      <formula>#REF!</formula>
    </cfRule>
    <cfRule type="cellIs" dxfId="266" priority="88" stopIfTrue="1" operator="lessThanOrEqual">
      <formula>0</formula>
    </cfRule>
  </conditionalFormatting>
  <conditionalFormatting sqref="H66:I66">
    <cfRule type="cellIs" dxfId="265" priority="114" stopIfTrue="1" operator="greaterThan">
      <formula>$F$44</formula>
    </cfRule>
    <cfRule type="cellIs" dxfId="264" priority="117" stopIfTrue="1" operator="lessThanOrEqual">
      <formula>0</formula>
    </cfRule>
  </conditionalFormatting>
  <conditionalFormatting sqref="H67:I68">
    <cfRule type="cellIs" dxfId="263" priority="27" stopIfTrue="1" operator="greaterThan">
      <formula>#REF!</formula>
    </cfRule>
    <cfRule type="cellIs" dxfId="262" priority="30" stopIfTrue="1" operator="lessThanOrEqual">
      <formula>0</formula>
    </cfRule>
  </conditionalFormatting>
  <conditionalFormatting sqref="H81:I81">
    <cfRule type="cellIs" dxfId="261" priority="139" stopIfTrue="1" operator="greaterThan">
      <formula>$J81</formula>
    </cfRule>
    <cfRule type="cellIs" dxfId="260" priority="140" stopIfTrue="1" operator="lessThanOrEqual">
      <formula>0</formula>
    </cfRule>
  </conditionalFormatting>
  <conditionalFormatting sqref="I61">
    <cfRule type="cellIs" dxfId="259" priority="57" stopIfTrue="1" operator="lessThanOrEqual">
      <formula>0</formula>
    </cfRule>
    <cfRule type="cellIs" dxfId="258" priority="52" stopIfTrue="1" operator="greaterThan">
      <formula>$F$74</formula>
    </cfRule>
    <cfRule type="cellIs" dxfId="257" priority="53" stopIfTrue="1" operator="lessThanOrEqual">
      <formula>0</formula>
    </cfRule>
    <cfRule type="cellIs" dxfId="256" priority="54" stopIfTrue="1" operator="greaterThan">
      <formula>$F$76</formula>
    </cfRule>
    <cfRule type="cellIs" dxfId="255" priority="56" stopIfTrue="1" operator="greaterThan">
      <formula>$F$74</formula>
    </cfRule>
    <cfRule type="cellIs" dxfId="254" priority="55" stopIfTrue="1" operator="lessThanOrEqual">
      <formula>0</formula>
    </cfRule>
  </conditionalFormatting>
  <conditionalFormatting sqref="I62">
    <cfRule type="cellIs" dxfId="253" priority="108" stopIfTrue="1" operator="lessThanOrEqual">
      <formula>0</formula>
    </cfRule>
    <cfRule type="cellIs" dxfId="252" priority="103" stopIfTrue="1" operator="greaterThan">
      <formula>#REF!</formula>
    </cfRule>
    <cfRule type="cellIs" dxfId="251" priority="104" stopIfTrue="1" operator="lessThanOrEqual">
      <formula>0</formula>
    </cfRule>
    <cfRule type="cellIs" dxfId="250" priority="105" stopIfTrue="1" operator="greaterThan">
      <formula>$F$29</formula>
    </cfRule>
    <cfRule type="cellIs" dxfId="249" priority="106" stopIfTrue="1" operator="lessThanOrEqual">
      <formula>0</formula>
    </cfRule>
    <cfRule type="cellIs" dxfId="248" priority="107" stopIfTrue="1" operator="greaterThan">
      <formula>#REF!</formula>
    </cfRule>
  </conditionalFormatting>
  <conditionalFormatting sqref="I63">
    <cfRule type="cellIs" dxfId="247" priority="71" stopIfTrue="1" operator="greaterThan">
      <formula>$F$73</formula>
    </cfRule>
    <cfRule type="cellIs" dxfId="246" priority="75" stopIfTrue="1" operator="greaterThan">
      <formula>$F$73</formula>
    </cfRule>
    <cfRule type="cellIs" dxfId="245" priority="72" stopIfTrue="1" operator="lessThanOrEqual">
      <formula>0</formula>
    </cfRule>
    <cfRule type="cellIs" dxfId="244" priority="76" stopIfTrue="1" operator="lessThanOrEqual">
      <formula>0</formula>
    </cfRule>
    <cfRule type="cellIs" dxfId="243" priority="73" stopIfTrue="1" operator="greaterThan">
      <formula>$F$75</formula>
    </cfRule>
    <cfRule type="cellIs" dxfId="242" priority="74" stopIfTrue="1" operator="lessThanOrEqual">
      <formula>0</formula>
    </cfRule>
  </conditionalFormatting>
  <conditionalFormatting sqref="I64:I65">
    <cfRule type="cellIs" dxfId="241" priority="89" stopIfTrue="1" operator="greaterThan">
      <formula>#REF!</formula>
    </cfRule>
    <cfRule type="cellIs" dxfId="240" priority="90" stopIfTrue="1" operator="lessThanOrEqual">
      <formula>0</formula>
    </cfRule>
    <cfRule type="cellIs" dxfId="239" priority="91" stopIfTrue="1" operator="greaterThan">
      <formula>#REF!</formula>
    </cfRule>
    <cfRule type="cellIs" dxfId="238" priority="92" stopIfTrue="1" operator="lessThanOrEqual">
      <formula>0</formula>
    </cfRule>
    <cfRule type="cellIs" dxfId="237" priority="93" stopIfTrue="1" operator="greaterThan">
      <formula>#REF!</formula>
    </cfRule>
    <cfRule type="cellIs" dxfId="236" priority="94" stopIfTrue="1" operator="lessThanOrEqual">
      <formula>0</formula>
    </cfRule>
  </conditionalFormatting>
  <conditionalFormatting sqref="I66">
    <cfRule type="cellIs" dxfId="235" priority="123" stopIfTrue="1" operator="lessThanOrEqual">
      <formula>0</formula>
    </cfRule>
    <cfRule type="cellIs" dxfId="234" priority="122" stopIfTrue="1" operator="greaterThan">
      <formula>$F$42</formula>
    </cfRule>
    <cfRule type="cellIs" dxfId="233" priority="121" stopIfTrue="1" operator="lessThanOrEqual">
      <formula>0</formula>
    </cfRule>
    <cfRule type="cellIs" dxfId="232" priority="120" stopIfTrue="1" operator="greaterThan">
      <formula>$F$44</formula>
    </cfRule>
    <cfRule type="cellIs" dxfId="231" priority="119" stopIfTrue="1" operator="lessThanOrEqual">
      <formula>0</formula>
    </cfRule>
    <cfRule type="cellIs" dxfId="230" priority="118" stopIfTrue="1" operator="greaterThan">
      <formula>$F$42</formula>
    </cfRule>
  </conditionalFormatting>
  <conditionalFormatting sqref="I67:I68">
    <cfRule type="cellIs" dxfId="229" priority="31" stopIfTrue="1" operator="greaterThan">
      <formula>#REF!</formula>
    </cfRule>
    <cfRule type="cellIs" dxfId="228" priority="35" stopIfTrue="1" operator="greaterThan">
      <formula>#REF!</formula>
    </cfRule>
    <cfRule type="cellIs" dxfId="227" priority="36" stopIfTrue="1" operator="lessThanOrEqual">
      <formula>0</formula>
    </cfRule>
    <cfRule type="cellIs" dxfId="226" priority="34" stopIfTrue="1" operator="lessThanOrEqual">
      <formula>0</formula>
    </cfRule>
    <cfRule type="cellIs" dxfId="225" priority="33" stopIfTrue="1" operator="greaterThan">
      <formula>#REF!</formula>
    </cfRule>
    <cfRule type="cellIs" dxfId="224" priority="32" stopIfTrue="1" operator="lessThanOrEqual">
      <formula>0</formula>
    </cfRule>
  </conditionalFormatting>
  <conditionalFormatting sqref="I72:I80">
    <cfRule type="cellIs" dxfId="223" priority="150" stopIfTrue="1" operator="greaterThan">
      <formula>$J72</formula>
    </cfRule>
    <cfRule type="cellIs" dxfId="222" priority="151" stopIfTrue="1" operator="lessThanOrEqual">
      <formula>0</formula>
    </cfRule>
  </conditionalFormatting>
  <conditionalFormatting sqref="I83:I91">
    <cfRule type="cellIs" dxfId="221" priority="175" stopIfTrue="1" operator="lessThanOrEqual">
      <formula>0</formula>
    </cfRule>
    <cfRule type="cellIs" dxfId="220" priority="174" stopIfTrue="1" operator="greaterThan">
      <formula>4.5</formula>
    </cfRule>
  </conditionalFormatting>
  <conditionalFormatting sqref="I10:J29">
    <cfRule type="cellIs" dxfId="219" priority="42" operator="lessThan">
      <formula>97.9</formula>
    </cfRule>
  </conditionalFormatting>
  <conditionalFormatting sqref="J32:J34">
    <cfRule type="cellIs" dxfId="218" priority="130" stopIfTrue="1" operator="greaterThan">
      <formula>100</formula>
    </cfRule>
    <cfRule type="cellIs" dxfId="217" priority="129" stopIfTrue="1" operator="lessThan">
      <formula>96.8</formula>
    </cfRule>
    <cfRule type="cellIs" dxfId="216" priority="131" operator="lessThan">
      <formula>98</formula>
    </cfRule>
  </conditionalFormatting>
  <conditionalFormatting sqref="J32:J36">
    <cfRule type="cellIs" dxfId="215" priority="128" operator="lessThan">
      <formula>97.4</formula>
    </cfRule>
  </conditionalFormatting>
  <conditionalFormatting sqref="J37">
    <cfRule type="cellIs" dxfId="214" priority="132" operator="lessThan">
      <formula>98</formula>
    </cfRule>
  </conditionalFormatting>
  <conditionalFormatting sqref="J39:J40">
    <cfRule type="cellIs" dxfId="213" priority="134" stopIfTrue="1" operator="greaterThan">
      <formula>100</formula>
    </cfRule>
    <cfRule type="cellIs" dxfId="212" priority="133" stopIfTrue="1" operator="lessThan">
      <formula>96.8</formula>
    </cfRule>
  </conditionalFormatting>
  <conditionalFormatting sqref="J39:J41">
    <cfRule type="cellIs" dxfId="211" priority="135" operator="lessThan">
      <formula>98</formula>
    </cfRule>
  </conditionalFormatting>
  <conditionalFormatting sqref="J68">
    <cfRule type="cellIs" dxfId="210" priority="19" stopIfTrue="1" operator="greaterThan">
      <formula>#REF!</formula>
    </cfRule>
    <cfRule type="cellIs" dxfId="209" priority="21" stopIfTrue="1" operator="greaterThan">
      <formula>#REF!</formula>
    </cfRule>
    <cfRule type="cellIs" dxfId="208" priority="22" stopIfTrue="1" operator="lessThanOrEqual">
      <formula>0</formula>
    </cfRule>
    <cfRule type="cellIs" dxfId="207" priority="23" stopIfTrue="1" operator="greaterThan">
      <formula>#REF!</formula>
    </cfRule>
    <cfRule type="cellIs" dxfId="206" priority="20" stopIfTrue="1" operator="lessThanOrEqual">
      <formula>0</formula>
    </cfRule>
    <cfRule type="cellIs" dxfId="205" priority="24" stopIfTrue="1" operator="lessThanOrEqual">
      <formula>0</formula>
    </cfRule>
    <cfRule type="cellIs" dxfId="204" priority="25" stopIfTrue="1" operator="greaterThan">
      <formula>#REF!</formula>
    </cfRule>
    <cfRule type="cellIs" dxfId="203" priority="26" stopIfTrue="1" operator="lessThanOrEqual">
      <formula>0</formula>
    </cfRule>
  </conditionalFormatting>
  <conditionalFormatting sqref="J81">
    <cfRule type="cellIs" dxfId="202" priority="137" stopIfTrue="1" operator="lessThanOrEqual">
      <formula>0</formula>
    </cfRule>
    <cfRule type="cellIs" dxfId="201" priority="136" stopIfTrue="1" operator="greaterThan">
      <formula>$F81</formula>
    </cfRule>
  </conditionalFormatting>
  <conditionalFormatting sqref="K10:K29">
    <cfRule type="cellIs" dxfId="200" priority="43" operator="greaterThan">
      <formula>6</formula>
    </cfRule>
    <cfRule type="cellIs" dxfId="199" priority="44" operator="lessThan">
      <formula>4</formula>
    </cfRule>
    <cfRule type="cellIs" dxfId="198" priority="45" operator="greaterThan">
      <formula>6.4</formula>
    </cfRule>
  </conditionalFormatting>
  <conditionalFormatting sqref="K61:K68 K72:N78 K79 M79:N79 K80:N80">
    <cfRule type="cellIs" dxfId="197" priority="113" stopIfTrue="1" operator="lessThan">
      <formula>100%</formula>
    </cfRule>
  </conditionalFormatting>
  <conditionalFormatting sqref="K83:K88">
    <cfRule type="cellIs" dxfId="196" priority="180" stopIfTrue="1" operator="lessThan">
      <formula>100%</formula>
    </cfRule>
  </conditionalFormatting>
  <conditionalFormatting sqref="K90:K91">
    <cfRule type="cellIs" dxfId="195" priority="187" stopIfTrue="1" operator="lessThan">
      <formula>100%</formula>
    </cfRule>
  </conditionalFormatting>
  <conditionalFormatting sqref="L10:L14 L15:M19 L20:L25 L26:M28 L29">
    <cfRule type="cellIs" dxfId="194" priority="62" operator="between">
      <formula>61</formula>
      <formula>65</formula>
    </cfRule>
    <cfRule type="cellIs" dxfId="193" priority="63" operator="greaterThan">
      <formula>65</formula>
    </cfRule>
  </conditionalFormatting>
  <conditionalFormatting sqref="L32:M43">
    <cfRule type="cellIs" dxfId="192" priority="81" operator="lessThan">
      <formula>97.95</formula>
    </cfRule>
  </conditionalFormatting>
  <conditionalFormatting sqref="L47:N47">
    <cfRule type="cellIs" dxfId="191" priority="82" operator="notEqual">
      <formula>#REF!</formula>
    </cfRule>
  </conditionalFormatting>
  <conditionalFormatting sqref="L81:N81">
    <cfRule type="cellIs" dxfId="190" priority="138" stopIfTrue="1" operator="lessThan">
      <formula>100%</formula>
    </cfRule>
  </conditionalFormatting>
  <conditionalFormatting sqref="L83:N91">
    <cfRule type="cellIs" dxfId="189" priority="165" stopIfTrue="1" operator="lessThan">
      <formula>100%</formula>
    </cfRule>
  </conditionalFormatting>
  <conditionalFormatting sqref="M10:M14 M20:M25">
    <cfRule type="expression" dxfId="188" priority="64">
      <formula>IF(+(IF(M10&lt;U10,0,IF(M10&gt;V10,0,1)))=0,1)</formula>
    </cfRule>
  </conditionalFormatting>
  <conditionalFormatting sqref="M15:M19 M26:M28 H10:H14 G15:H19 H20:H25 G26:H29">
    <cfRule type="expression" dxfId="187" priority="66">
      <formula>IF(+(IF(G10&lt;#REF!,0,IF(G10&gt;#REF!,0,1)))=0,1)</formula>
    </cfRule>
  </conditionalFormatting>
  <conditionalFormatting sqref="M29:N29">
    <cfRule type="expression" dxfId="186" priority="195">
      <formula>IF(+(IF(M29&lt;#REF!,0,IF(M29&gt;#REF!,0,1)))=0,1)</formula>
    </cfRule>
  </conditionalFormatting>
  <conditionalFormatting sqref="N10:N28">
    <cfRule type="expression" dxfId="185" priority="41">
      <formula>IF(+(IF(N10&lt;W10,0,IF(N10&gt;X10,0,1)))=0,1)</formula>
    </cfRule>
  </conditionalFormatting>
  <conditionalFormatting sqref="P6">
    <cfRule type="cellIs" dxfId="184" priority="161" operator="greaterThanOrEqual">
      <formula>19</formula>
    </cfRule>
  </conditionalFormatting>
  <dataValidations count="1">
    <dataValidation type="list" allowBlank="1" showInputMessage="1" showErrorMessage="1" sqref="R8" xr:uid="{A5F883CF-DB6F-4C2A-8693-902A6B8A8A8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CCE8-09FF-4EAB-B7B7-B8C6FCE4D98C}">
  <sheetPr>
    <pageSetUpPr fitToPage="1"/>
  </sheetPr>
  <dimension ref="A1:BE77"/>
  <sheetViews>
    <sheetView tabSelected="1" topLeftCell="A5" zoomScale="80" zoomScaleNormal="80" workbookViewId="0">
      <selection activeCell="L28" sqref="L28:M3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7" t="s">
        <v>0</v>
      </c>
      <c r="T1" s="487"/>
      <c r="U1" s="487" t="s">
        <v>1</v>
      </c>
      <c r="V1" s="487"/>
      <c r="W1" s="487" t="s">
        <v>2</v>
      </c>
      <c r="X1" s="487"/>
      <c r="Y1" s="487" t="s">
        <v>124</v>
      </c>
      <c r="Z1" s="487"/>
    </row>
    <row r="2" spans="2:29" ht="15">
      <c r="B2" s="488" t="s">
        <v>3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45964</v>
      </c>
      <c r="J4" s="398" t="s">
        <v>169</v>
      </c>
      <c r="K4" s="398"/>
      <c r="L4" s="11"/>
      <c r="M4" s="485" t="s">
        <v>8</v>
      </c>
      <c r="N4" s="486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2"/>
      <c r="D5" s="482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197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5" t="s">
        <v>17</v>
      </c>
      <c r="C8" s="497" t="s">
        <v>18</v>
      </c>
      <c r="D8" s="497" t="s">
        <v>19</v>
      </c>
      <c r="E8" s="356" t="s">
        <v>20</v>
      </c>
      <c r="F8" s="356" t="s">
        <v>21</v>
      </c>
      <c r="G8" s="497" t="s">
        <v>22</v>
      </c>
      <c r="H8" s="499" t="s">
        <v>144</v>
      </c>
      <c r="I8" s="497" t="s">
        <v>166</v>
      </c>
      <c r="J8" s="501" t="s">
        <v>23</v>
      </c>
      <c r="K8" s="503" t="s">
        <v>142</v>
      </c>
      <c r="L8" s="505" t="s">
        <v>24</v>
      </c>
      <c r="M8" s="359" t="s">
        <v>25</v>
      </c>
      <c r="N8" s="17" t="s">
        <v>26</v>
      </c>
      <c r="O8" s="557" t="s">
        <v>155</v>
      </c>
      <c r="P8" s="589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6"/>
      <c r="C9" s="498"/>
      <c r="D9" s="498"/>
      <c r="E9" s="357" t="s">
        <v>30</v>
      </c>
      <c r="F9" s="357" t="s">
        <v>31</v>
      </c>
      <c r="G9" s="498"/>
      <c r="H9" s="500"/>
      <c r="I9" s="498"/>
      <c r="J9" s="502"/>
      <c r="K9" s="504"/>
      <c r="L9" s="506"/>
      <c r="M9" s="20" t="s">
        <v>32</v>
      </c>
      <c r="N9" s="21" t="s">
        <v>41</v>
      </c>
      <c r="O9" s="572"/>
      <c r="P9" s="498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4" t="s">
        <v>12</v>
      </c>
      <c r="C10" s="366" t="str">
        <f>[24]Brewhouse!$A108</f>
        <v>GU097</v>
      </c>
      <c r="D10" s="279">
        <f>[24]Brewhouse!$AF108</f>
        <v>52.8</v>
      </c>
      <c r="E10" s="279">
        <f>[24]Brewhouse!$AI108</f>
        <v>51.8</v>
      </c>
      <c r="F10" s="278">
        <f>[24]Brewhouse!$V108</f>
        <v>65</v>
      </c>
      <c r="G10" s="279">
        <f>[24]Brewhouse!$AG108</f>
        <v>17.399999999999999</v>
      </c>
      <c r="H10" s="396">
        <v>17.399999999999999</v>
      </c>
      <c r="I10" s="420">
        <f>[24]Brewhouse!$AU108</f>
        <v>98.119306904216202</v>
      </c>
      <c r="J10" s="420">
        <f>[24]Brewhouse!$AV108</f>
        <v>98.988345227704471</v>
      </c>
      <c r="K10" s="470">
        <f>[24]Brewhouse!$R108</f>
        <v>8.8770053475935757</v>
      </c>
      <c r="L10" s="276">
        <f>[24]Brewhouse!$O108</f>
        <v>59</v>
      </c>
      <c r="M10" s="374">
        <f>[24]Brewhouse!$U108-[24]Brewhouse!$T108</f>
        <v>0.11527777777777781</v>
      </c>
      <c r="N10" s="370">
        <f>[24]Brewhouse!$Z108</f>
        <v>0.28402777777777782</v>
      </c>
      <c r="O10" s="421" t="str">
        <f>[24]Brewhouse!$AW108</f>
        <v>R. Regis</v>
      </c>
      <c r="P10" s="418"/>
      <c r="R10" s="277" t="str">
        <f t="shared" ref="R10:R27" si="0">B10</f>
        <v>GUINNESS</v>
      </c>
      <c r="S10" s="296">
        <f t="shared" ref="S10:S39" si="1">VLOOKUP($B10,$R$3:$X$9,2,FALSE)</f>
        <v>17</v>
      </c>
      <c r="T10" s="296">
        <f t="shared" ref="T10:T39" si="2">VLOOKUP($B10,$R$3:$X$9,3,FALSE)</f>
        <v>17.5</v>
      </c>
      <c r="U10" s="297">
        <f t="shared" ref="U10:U39" si="3">VLOOKUP($B10,$R$3:$X$9,4,FALSE)</f>
        <v>0</v>
      </c>
      <c r="V10" s="297">
        <f t="shared" ref="V10:V39" si="4">VLOOKUP($B10,$R$3:$X$9,5,FALSE)</f>
        <v>0.1076388888888889</v>
      </c>
      <c r="W10" s="297">
        <f t="shared" ref="W10:W39" si="5">VLOOKUP($B10,$R$3:$X$9,6,FALSE)</f>
        <v>0.24652777777777779</v>
      </c>
      <c r="X10" s="297">
        <f t="shared" ref="X10:X39" si="6">VLOOKUP($B10,$R$3:$X$9,7,FALSE)</f>
        <v>0.28472222222222221</v>
      </c>
      <c r="Y10" s="297">
        <f t="shared" ref="Y10:Y39" si="7">VLOOKUP($B10,$R$3:$Z$9,8,FALSE)</f>
        <v>0</v>
      </c>
      <c r="Z10" s="296">
        <f t="shared" ref="Z10:Z39" si="8">VLOOKUP($B10,$R$3:$Z$9,9,FALSE)</f>
        <v>60</v>
      </c>
    </row>
    <row r="11" spans="2:29" ht="15" customHeight="1">
      <c r="B11" s="34" t="s">
        <v>12</v>
      </c>
      <c r="C11" s="366" t="str">
        <f>[24]Brewhouse!$A109</f>
        <v>GU098</v>
      </c>
      <c r="D11" s="279">
        <f>[24]Brewhouse!$AF109</f>
        <v>51.1</v>
      </c>
      <c r="E11" s="279">
        <f>[24]Brewhouse!$AI109</f>
        <v>50.1</v>
      </c>
      <c r="F11" s="278">
        <f>[24]Brewhouse!$V109</f>
        <v>61</v>
      </c>
      <c r="G11" s="279">
        <f>[24]Brewhouse!$AG109</f>
        <v>17.2</v>
      </c>
      <c r="H11" s="396">
        <v>17.3</v>
      </c>
      <c r="I11" s="420">
        <f>[24]Brewhouse!$AU109</f>
        <v>94.252379096772415</v>
      </c>
      <c r="J11" s="420">
        <f>[24]Brewhouse!$AV109</f>
        <v>95.086145029300155</v>
      </c>
      <c r="K11" s="470">
        <f>[24]Brewhouse!$R109</f>
        <v>12.442067736185377</v>
      </c>
      <c r="L11" s="276">
        <f>[24]Brewhouse!$O109</f>
        <v>55</v>
      </c>
      <c r="M11" s="374">
        <f>[24]Brewhouse!$U109-[24]Brewhouse!$T109</f>
        <v>0.12638888888888888</v>
      </c>
      <c r="N11" s="370">
        <f>[24]Brewhouse!$Z109</f>
        <v>0.29652777777777778</v>
      </c>
      <c r="O11" s="421" t="str">
        <f>[24]Brewhouse!$AW109</f>
        <v>R. Sookram</v>
      </c>
      <c r="P11" s="418" t="s">
        <v>201</v>
      </c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" customHeight="1">
      <c r="B12" s="34" t="s">
        <v>12</v>
      </c>
      <c r="C12" s="366" t="str">
        <f>[24]Brewhouse!$A110</f>
        <v>GU099</v>
      </c>
      <c r="D12" s="279">
        <f>[24]Brewhouse!$AF110</f>
        <v>53.1</v>
      </c>
      <c r="E12" s="279">
        <f>[24]Brewhouse!$AI110</f>
        <v>51.4</v>
      </c>
      <c r="F12" s="278">
        <f>[24]Brewhouse!$V110</f>
        <v>62</v>
      </c>
      <c r="G12" s="279">
        <f>[24]Brewhouse!$AG110</f>
        <v>17</v>
      </c>
      <c r="H12" s="396">
        <v>17.399999999999999</v>
      </c>
      <c r="I12" s="420">
        <f>[24]Brewhouse!$AU110</f>
        <v>95.106719085250063</v>
      </c>
      <c r="J12" s="420">
        <f>[24]Brewhouse!$AV110</f>
        <v>95.948781240357903</v>
      </c>
      <c r="K12" s="470">
        <f>[24]Brewhouse!$R110</f>
        <v>7.2727272727272698</v>
      </c>
      <c r="L12" s="276">
        <f>[24]Brewhouse!$O110</f>
        <v>57</v>
      </c>
      <c r="M12" s="374">
        <f>[24]Brewhouse!$U110-[24]Brewhouse!$T110</f>
        <v>0.11319444444444443</v>
      </c>
      <c r="N12" s="370">
        <f>[24]Brewhouse!$Z110</f>
        <v>0.26527777777777778</v>
      </c>
      <c r="O12" s="421" t="str">
        <f>[24]Brewhouse!$AW110</f>
        <v>R. Sookram</v>
      </c>
      <c r="P12" s="418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5" customHeight="1">
      <c r="B13" s="34" t="s">
        <v>12</v>
      </c>
      <c r="C13" s="366" t="str">
        <f>[24]Brewhouse!$A111</f>
        <v>GU100</v>
      </c>
      <c r="D13" s="279">
        <f>[24]Brewhouse!$AF111</f>
        <v>52.3</v>
      </c>
      <c r="E13" s="279">
        <f>[24]Brewhouse!$AI111</f>
        <v>50.7</v>
      </c>
      <c r="F13" s="278">
        <f>[24]Brewhouse!$V111</f>
        <v>63</v>
      </c>
      <c r="G13" s="279">
        <f>[24]Brewhouse!$AG111</f>
        <v>17.3</v>
      </c>
      <c r="H13" s="396">
        <v>17.3</v>
      </c>
      <c r="I13" s="420">
        <f>[24]Brewhouse!$AU111</f>
        <v>95.620528417543298</v>
      </c>
      <c r="J13" s="420">
        <f>[24]Brewhouse!$AV111</f>
        <v>96.46713977167542</v>
      </c>
      <c r="K13" s="470">
        <f>[24]Brewhouse!$R111</f>
        <v>8.6987522281639968</v>
      </c>
      <c r="L13" s="276">
        <f>[24]Brewhouse!$O111</f>
        <v>55</v>
      </c>
      <c r="M13" s="374">
        <f>[24]Brewhouse!$U111-[24]Brewhouse!$T111</f>
        <v>0.11319444444444438</v>
      </c>
      <c r="N13" s="370">
        <f>[24]Brewhouse!$Z111</f>
        <v>0.26736111111111105</v>
      </c>
      <c r="O13" s="421" t="str">
        <f>[24]Brewhouse!$AW111</f>
        <v>R. Sookram</v>
      </c>
      <c r="P13" s="418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5" customHeight="1">
      <c r="B14" s="34" t="s">
        <v>12</v>
      </c>
      <c r="C14" s="366" t="str">
        <f>[24]Brewhouse!$A112</f>
        <v>GU101</v>
      </c>
      <c r="D14" s="279">
        <f>[24]Brewhouse!$AF112</f>
        <v>53.5</v>
      </c>
      <c r="E14" s="279">
        <f>[24]Brewhouse!$AI112</f>
        <v>50.1</v>
      </c>
      <c r="F14" s="278">
        <f>[24]Brewhouse!$V112</f>
        <v>64</v>
      </c>
      <c r="G14" s="279">
        <f>[24]Brewhouse!$AG112</f>
        <v>17.399999999999999</v>
      </c>
      <c r="H14" s="396">
        <v>17.399999999999999</v>
      </c>
      <c r="I14" s="420">
        <f>[24]Brewhouse!$AU112</f>
        <v>95.047877936782697</v>
      </c>
      <c r="J14" s="420">
        <f>[24]Brewhouse!$AV112</f>
        <v>95.663562908811087</v>
      </c>
      <c r="K14" s="470">
        <f>[24]Brewhouse!$R112</f>
        <v>6.3928571428571406</v>
      </c>
      <c r="L14" s="276">
        <f>[24]Brewhouse!$O112</f>
        <v>60</v>
      </c>
      <c r="M14" s="374">
        <f>[24]Brewhouse!$U112-[24]Brewhouse!$T112</f>
        <v>0.12013888888888891</v>
      </c>
      <c r="N14" s="370">
        <f>[24]Brewhouse!$Z112</f>
        <v>0.26875000000000004</v>
      </c>
      <c r="O14" s="421" t="str">
        <f>[24]Brewhouse!$AW112</f>
        <v>K. Benjamin</v>
      </c>
      <c r="P14" s="418"/>
      <c r="R14" s="277" t="str">
        <f t="shared" si="0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5" customHeight="1">
      <c r="B15" s="34" t="s">
        <v>12</v>
      </c>
      <c r="C15" s="366" t="str">
        <f>[24]Brewhouse!$A113</f>
        <v>GU102</v>
      </c>
      <c r="D15" s="279">
        <f>[24]Brewhouse!$AF113</f>
        <v>53.1</v>
      </c>
      <c r="E15" s="279">
        <f>[24]Brewhouse!$AI113</f>
        <v>49.4</v>
      </c>
      <c r="F15" s="278">
        <f>[24]Brewhouse!$V113</f>
        <v>64</v>
      </c>
      <c r="G15" s="279">
        <f>[24]Brewhouse!$AG113</f>
        <v>17.3</v>
      </c>
      <c r="H15" s="396">
        <v>17.3</v>
      </c>
      <c r="I15" s="420">
        <f>[24]Brewhouse!$AU113</f>
        <v>93.386814804416474</v>
      </c>
      <c r="J15" s="420">
        <f>[24]Brewhouse!$AV113</f>
        <v>93.76939848659741</v>
      </c>
      <c r="K15" s="470">
        <f>[24]Brewhouse!$R113</f>
        <v>7.1071428571428523</v>
      </c>
      <c r="L15" s="276">
        <f>[24]Brewhouse!$O113</f>
        <v>60</v>
      </c>
      <c r="M15" s="374">
        <f>[24]Brewhouse!$U113-[24]Brewhouse!$T113</f>
        <v>0.12291666666666667</v>
      </c>
      <c r="N15" s="370">
        <f>[24]Brewhouse!$Z113</f>
        <v>0.29027777777777775</v>
      </c>
      <c r="O15" s="421" t="str">
        <f>[24]Brewhouse!$AW113</f>
        <v>K. Benjamin</v>
      </c>
      <c r="P15" s="418"/>
      <c r="R15" s="277" t="str">
        <f t="shared" si="0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5" customHeight="1">
      <c r="B16" s="34" t="s">
        <v>12</v>
      </c>
      <c r="C16" s="366" t="str">
        <f>[24]Brewhouse!$A114</f>
        <v>GU103</v>
      </c>
      <c r="D16" s="279">
        <f>[24]Brewhouse!$AF114</f>
        <v>54.7</v>
      </c>
      <c r="E16" s="279">
        <f>[24]Brewhouse!$AI114</f>
        <v>51</v>
      </c>
      <c r="F16" s="278">
        <f>[24]Brewhouse!$V114</f>
        <v>77</v>
      </c>
      <c r="G16" s="367">
        <f>[24]Brewhouse!$AG114</f>
        <v>16.8</v>
      </c>
      <c r="H16" s="396"/>
      <c r="I16" s="420">
        <f>[24]Brewhouse!$AU114</f>
        <v>93.018696736670279</v>
      </c>
      <c r="J16" s="420">
        <f>[24]Brewhouse!$AV114</f>
        <v>93.400102197240685</v>
      </c>
      <c r="K16" s="470">
        <f>[24]Brewhouse!$R114</f>
        <v>4.249999999999992</v>
      </c>
      <c r="L16" s="276">
        <f>[24]Brewhouse!$O114</f>
        <v>59</v>
      </c>
      <c r="M16" s="374">
        <f>[24]Brewhouse!$U114-[24]Brewhouse!$T114</f>
        <v>0.12916666666666665</v>
      </c>
      <c r="N16" s="370">
        <f>[24]Brewhouse!$Z114</f>
        <v>0.28749999999999998</v>
      </c>
      <c r="O16" s="421" t="str">
        <f>[24]Brewhouse!$AW114</f>
        <v>K. Benjamin</v>
      </c>
      <c r="P16" s="418"/>
      <c r="R16" s="277" t="str">
        <f t="shared" si="0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1:26" ht="15" customHeight="1">
      <c r="B17" s="34"/>
      <c r="C17" s="366"/>
      <c r="D17" s="279"/>
      <c r="E17" s="279"/>
      <c r="F17" s="278"/>
      <c r="G17" s="279"/>
      <c r="H17" s="396"/>
      <c r="I17" s="420"/>
      <c r="J17" s="420"/>
      <c r="K17" s="470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" customHeight="1">
      <c r="B18" s="34"/>
      <c r="C18" s="366"/>
      <c r="D18" s="279"/>
      <c r="E18" s="279"/>
      <c r="F18" s="278"/>
      <c r="G18" s="279"/>
      <c r="H18" s="396"/>
      <c r="I18" s="420"/>
      <c r="J18" s="420"/>
      <c r="K18" s="470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1"/>
      <c r="J26" s="511"/>
      <c r="K26" s="511"/>
      <c r="L26" s="511"/>
      <c r="M26" s="511"/>
      <c r="N26" s="511"/>
      <c r="O26" s="1"/>
      <c r="P26" s="12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88" t="s">
        <v>162</v>
      </c>
      <c r="C27" s="388"/>
      <c r="D27" s="489" t="s">
        <v>35</v>
      </c>
      <c r="E27" s="490"/>
      <c r="F27" s="294"/>
      <c r="G27" s="294"/>
      <c r="H27" s="348"/>
      <c r="I27" s="24" t="s">
        <v>17</v>
      </c>
      <c r="J27" s="25" t="s">
        <v>36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A28" s="28"/>
      <c r="B28" s="577"/>
      <c r="C28" s="362"/>
      <c r="D28" s="515"/>
      <c r="E28" s="516"/>
      <c r="F28" s="294"/>
      <c r="G28" s="294"/>
      <c r="H28" s="348"/>
      <c r="I28" s="29" t="s">
        <v>6</v>
      </c>
      <c r="J28" s="280"/>
      <c r="K28" s="284">
        <f>COUNTA([22]Brewhouse!$A$823:$A$912)</f>
        <v>90</v>
      </c>
      <c r="L28" s="305">
        <f>AVERAGE([22]Brewhouse!$AU$823:$AU$862,[23]Brewhouse!$AS$420:$AS$423,[22]Brewhouse!$AU$867:$AU$912)</f>
        <v>97.763734762402862</v>
      </c>
      <c r="M28" s="302">
        <f>AVERAGE([22]Brewhouse!$AU$102:$AU$171,[22]Brewhouse!$AU$173:$AU$253,[22]Brewhouse!$AU$255:$AU$339,[22]Brewhouse!$AU$341:$AU$346,[22]Brewhouse!$AU$348,[22]Brewhouse!$AU$349:$AU$406,[22]Brewhouse!$AU$408:$AU$491,[22]Brewhouse!$AU$493:$AU$578,[22]Brewhouse!$AU$580:$AU$652,[22]Brewhouse!$AU$655:$AU$738,[22]Brewhouse!$A$740:$A$821,[22]Brewhouse!$AU$823:$AU$862,[23]Brewhouse!$AS$420:$AS$423,[22]Brewhouse!$AU$867:$AU$912)</f>
        <v>97.714340871819417</v>
      </c>
      <c r="N28" s="30">
        <v>98</v>
      </c>
      <c r="O28" s="11"/>
      <c r="P28" s="31"/>
      <c r="R28" s="277">
        <f t="shared" ref="R28:R39" si="9">B28</f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78"/>
      <c r="C29" s="362"/>
      <c r="D29" s="517"/>
      <c r="E29" s="518"/>
      <c r="F29" s="294"/>
      <c r="G29" s="294"/>
      <c r="H29" s="348"/>
      <c r="I29" s="33" t="s">
        <v>9</v>
      </c>
      <c r="J29" s="280"/>
      <c r="K29" s="284">
        <f>COUNTA([23]Brewhouse!$A$399:$A$419,[23]Brewhouse!$A$424:$A$447)</f>
        <v>45</v>
      </c>
      <c r="L29" s="302">
        <f>AVERAGE([23]Brewhouse!$AS$399:$AS$419,[23]Brewhouse!$AS$424:$AS$447)</f>
        <v>97.342772387251713</v>
      </c>
      <c r="M29" s="302">
        <f>AVERAGE([23]Brewhouse!$AS$15:$AS$64,[23]Brewhouse!$AS$66:$AS$103,[23]Brewhouse!$AS$105:$AS$140,[23]Brewhouse!$AS$142:$AS$193,[23]Brewhouse!$AS$195:$AS$240,[23]Brewhouse!$AS$242:$AS$273,[23]Brewhouse!$AS$275:$AS$322,[23]Brewhouse!$AS$324:$AS$359,[23]Brewhouse!$AS$361:$AS$397,[23]Brewhouse!$AS$399:$AS$419,[23]Brewhouse!$AS$424:$AS$447)</f>
        <v>97.926323934232244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78"/>
      <c r="C30" s="362"/>
      <c r="D30" s="564"/>
      <c r="E30" s="565"/>
      <c r="F30" s="294"/>
      <c r="G30" s="294"/>
      <c r="H30" s="348"/>
      <c r="I30" s="34" t="s">
        <v>12</v>
      </c>
      <c r="J30" s="280">
        <f>AVERAGE(I10:I15)</f>
        <v>95.255604374163525</v>
      </c>
      <c r="K30" s="284">
        <f>COUNTA([24]Brewhouse!$A$99:$A$114)</f>
        <v>16</v>
      </c>
      <c r="L30" s="302">
        <f>AVERAGE([24]Brewhouse!$AU$99:$AU$114)</f>
        <v>94.89782935469276</v>
      </c>
      <c r="M30" s="302">
        <f>AVERAGE([24]Brewhouse!$AU$4:$AU$7,[24]Brewhouse!$AU$9:$AU$22,[24]Brewhouse!$AU$24:$AU$35,[24]Brewhouse!$AU$37:$AU$45,[24]Brewhouse!$AU$47:$AU$62,[24]Brewhouse!$AU$64:$AU$79,[24]Brewhouse!$AU$81:$AU$92,[24]Brewhouse!$AU$94:$AU$97,[24]Brewhouse!$AU$99:$AU$114)</f>
        <v>96.518538860183838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78"/>
      <c r="C31" s="362"/>
      <c r="D31" s="530"/>
      <c r="E31" s="518"/>
      <c r="F31" s="294"/>
      <c r="G31" s="294"/>
      <c r="H31" s="348"/>
      <c r="I31" s="22" t="s">
        <v>33</v>
      </c>
      <c r="J31" s="280"/>
      <c r="K31" s="284">
        <f>COUNTA([25]Brewhouse!$A$88:$A$95)</f>
        <v>8</v>
      </c>
      <c r="L31" s="302">
        <f>AVERAGE([25]Brewhouse!$AV$88:$AV$95)</f>
        <v>97.908624430386354</v>
      </c>
      <c r="M31" s="302">
        <f>AVERAGE([25]Brewhouse!$AV$5:$AV$14,[25]Brewhouse!$AV$16:$AV$19,[25]Brewhouse!$AV$21:$AV$24,[25]Brewhouse!$AV$26:$AV$33,[25]Brewhouse!$AV$35:$AV$46,[25]Brewhouse!$AV$48:$AV$53,[25]Brewhouse!$AV$55:$AV$62,[25]Brewhouse!$AV$64:$AV$77,[25]Brewhouse!$AV$79:$AV$86,[25]Brewhouse!$AV$88:$AV$95)</f>
        <v>98.255868494654209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78"/>
      <c r="C32" s="362"/>
      <c r="D32" s="564"/>
      <c r="E32" s="565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78"/>
      <c r="C33" s="362"/>
      <c r="D33" s="530"/>
      <c r="E33" s="518"/>
      <c r="F33" s="417"/>
      <c r="G33" s="294"/>
      <c r="H33" s="348"/>
      <c r="I33" s="36" t="s">
        <v>15</v>
      </c>
      <c r="J33" s="323"/>
      <c r="K33" s="284"/>
      <c r="L33" s="302"/>
      <c r="M33" s="302">
        <f>AVERAGE([26]Brewhouse!$AT$4:$AT$11,[26]Brewhouse!$AT$13:$AT$16,[26]Brewhouse!$AT$18:$AT$21,[26]Brewhouse!$AT$26,[26]Brewhouse!$AT$28:$AT$35)</f>
        <v>94.794664331624134</v>
      </c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78"/>
      <c r="C34" s="362"/>
      <c r="D34" s="564"/>
      <c r="E34" s="565"/>
      <c r="F34" s="417"/>
      <c r="G34" s="294"/>
      <c r="H34" s="348"/>
      <c r="I34" s="37" t="s">
        <v>16</v>
      </c>
      <c r="J34" s="323"/>
      <c r="K34" s="284"/>
      <c r="L34" s="302"/>
      <c r="M34" s="302">
        <f>AVERAGE([27]Brewhouse!$AY$6:$AY$13,[27]Brewhouse!$AY$15:$AY$20,[27]Brewhouse!$AY$22:$AY$29,[27]Brewhouse!$AY$31:$AY$34,[27]Brewhouse!$AY$36:$AY$43,[27]Brewhouse!$AY$45:$AY$50, [27]Brewhouse!$AY$56:$AY$73,[27]Brewhouse!$AY$75:$AY$92)</f>
        <v>97.477741199081322</v>
      </c>
      <c r="N34" s="30">
        <v>98</v>
      </c>
      <c r="O34" s="11"/>
      <c r="P34" s="31" t="s">
        <v>41</v>
      </c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78"/>
      <c r="C35" s="362"/>
      <c r="D35" s="530"/>
      <c r="E35" s="518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AVERAGE([28]Brewhouse!$AU$5:$AU$8,[28]Brewhouse!$AU$10:$AU$13,[27]Brewhouse!$AY$75:$AY$77)</f>
        <v>94.749192473706671</v>
      </c>
      <c r="N35" s="30">
        <v>98</v>
      </c>
      <c r="O35" s="11"/>
      <c r="P35" s="31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78"/>
      <c r="C36" s="349"/>
      <c r="D36" s="564"/>
      <c r="E36" s="565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78"/>
      <c r="C37" s="349"/>
      <c r="D37" s="530"/>
      <c r="E37" s="518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78"/>
      <c r="C38" s="349"/>
      <c r="D38" s="515"/>
      <c r="E38" s="516"/>
      <c r="F38" s="294"/>
      <c r="G38" s="294"/>
      <c r="H38" s="348"/>
      <c r="I38" s="1"/>
      <c r="J38" s="39"/>
      <c r="K38" s="404">
        <f>SUM(K28:K37)</f>
        <v>159</v>
      </c>
      <c r="L38" s="405">
        <f>((L28*K28)+(L29*K29)+(L30*K30)+(L31*K31)+(L32*K32)+(K35*L35)+(L33*K33)+(L34*K34)+(L37*K37))/(K38)</f>
        <v>97.363491516734328</v>
      </c>
      <c r="M38" s="405">
        <f>AVERAGE('[31]Jan 31st'!$L$65,'[32]Feb 28th'!$L$35,'[33]Mar. 31st'!$L$35,'[34]Apr. 30th'!$L$45,'[35]May 30th'!$L$37,'[36]June 30th'!$L$57,'[37]July 29th '!$L$44,'[38]Aug 29th'!$L$29,'[39]Sept 30th'!$L$35,L38)</f>
        <v>97.554299391355229</v>
      </c>
      <c r="N38" s="40">
        <v>98</v>
      </c>
      <c r="O38" s="11"/>
      <c r="P38" s="31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79"/>
      <c r="C39" s="350"/>
      <c r="D39" s="517"/>
      <c r="E39" s="518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77"/>
      <c r="C40" s="362"/>
      <c r="D40" s="528"/>
      <c r="E40" s="529"/>
      <c r="F40" s="294"/>
      <c r="G40" s="42"/>
      <c r="H40" s="41"/>
      <c r="I40" s="42"/>
      <c r="J40" s="563" t="s">
        <v>129</v>
      </c>
      <c r="K40" s="563"/>
      <c r="L40" s="294"/>
      <c r="M40" s="294"/>
      <c r="N40" s="294"/>
      <c r="O40" s="294"/>
      <c r="P40" s="12"/>
    </row>
    <row r="41" spans="1:56" ht="15.75" thickBot="1">
      <c r="B41" s="578"/>
      <c r="C41" s="362"/>
      <c r="D41" s="530"/>
      <c r="E41" s="518"/>
      <c r="F41" s="294"/>
      <c r="G41" s="42"/>
      <c r="H41" s="41"/>
      <c r="I41" s="42"/>
      <c r="J41" s="292" t="s">
        <v>17</v>
      </c>
      <c r="K41" s="293" t="s">
        <v>147</v>
      </c>
      <c r="L41" s="532" t="s">
        <v>136</v>
      </c>
      <c r="M41" s="532"/>
      <c r="N41" s="533"/>
      <c r="O41" s="294"/>
      <c r="P41" s="12"/>
    </row>
    <row r="42" spans="1:56" ht="15" customHeight="1" thickBot="1">
      <c r="B42" s="578"/>
      <c r="C42" s="349"/>
      <c r="D42" s="564"/>
      <c r="E42" s="565"/>
      <c r="F42" s="294"/>
      <c r="G42" s="42"/>
      <c r="H42" s="41"/>
      <c r="I42" s="42"/>
      <c r="J42" s="287" t="s">
        <v>6</v>
      </c>
      <c r="K42" s="324"/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78"/>
      <c r="C43" s="349"/>
      <c r="D43" s="530"/>
      <c r="E43" s="518"/>
      <c r="F43" s="294"/>
      <c r="G43" s="42"/>
      <c r="H43" s="41"/>
      <c r="I43" s="42"/>
      <c r="J43" s="345" t="s">
        <v>9</v>
      </c>
      <c r="K43" s="324"/>
      <c r="L43" s="344">
        <f>AVERAGE('Oct. 1st'!K49,,'Oct. 2nd'!K51,'Oct. 3rd'!K46,'Oct. 6th'!K54,Oct.7th!K50,Oct.8th!K48,Oct.9th!K49,Oct.13th!K47,Oct.15th!K50,Oct.16th!K50,Oct.17th!K46,Oct.21st!K50,Oct.22nd!K48,Oct.23rd!K46,Oct.24th!K53,Oct.27th!K49,Oct.28th!K50,Oct.29th!K53,Oct.30th!K56,Oct.31st!K52)</f>
        <v>7.5714285714285712</v>
      </c>
      <c r="M43" s="325">
        <f>AVERAGE('[31]Jan 29th '!$M$70,'[32]Feb 28th'!$L$40,'[33]Mar. 31st'!$L$40,'[34]Apr. 30th'!$L$50,'[35]May 30th'!$L$42,'[36]June 30th'!$L$62,'[37]July 29th '!$L$49,'[38]Aug 29th'!$L$34,'[39]Sept 30th'!$L$40,L43)</f>
        <v>7.063270634780932</v>
      </c>
      <c r="N43" s="416">
        <v>9.1999999999999993</v>
      </c>
      <c r="O43" s="294"/>
      <c r="P43" s="12"/>
    </row>
    <row r="44" spans="1:56" ht="15" customHeight="1">
      <c r="B44" s="578"/>
      <c r="C44" s="349"/>
      <c r="D44" s="564"/>
      <c r="E44" s="565"/>
      <c r="F44" s="294"/>
      <c r="G44" s="42"/>
      <c r="H44" s="41"/>
      <c r="I44" s="42"/>
      <c r="J44" s="288" t="s">
        <v>40</v>
      </c>
      <c r="K44" s="324">
        <v>7</v>
      </c>
      <c r="L44" s="294"/>
      <c r="M44" s="294"/>
      <c r="N44" s="294"/>
      <c r="O44" s="294"/>
      <c r="P44" s="12"/>
    </row>
    <row r="45" spans="1:56" ht="15" customHeight="1">
      <c r="B45" s="578"/>
      <c r="C45" s="349"/>
      <c r="D45" s="530"/>
      <c r="E45" s="518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78"/>
      <c r="C46" s="349"/>
      <c r="D46" s="564"/>
      <c r="E46" s="565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78"/>
      <c r="C47" s="349"/>
      <c r="D47" s="530"/>
      <c r="E47" s="518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78"/>
      <c r="C48" s="349"/>
      <c r="D48" s="564"/>
      <c r="E48" s="565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78"/>
      <c r="C49" s="350"/>
      <c r="D49" s="566"/>
      <c r="E49" s="567"/>
      <c r="F49" s="294" t="s">
        <v>178</v>
      </c>
      <c r="G49" s="42"/>
      <c r="H49" s="41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60" t="e">
        <f>AVERAGE(D28:E49)</f>
        <v>#DIV/0!</v>
      </c>
      <c r="E50" s="561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>
        <f>[23]Process!D419</f>
        <v>11.9</v>
      </c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7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40" t="s">
        <v>17</v>
      </c>
      <c r="C55" s="540" t="s">
        <v>44</v>
      </c>
      <c r="D55" s="542" t="s">
        <v>45</v>
      </c>
      <c r="E55" s="497" t="s">
        <v>46</v>
      </c>
      <c r="F55" s="557" t="s">
        <v>47</v>
      </c>
      <c r="G55" s="551" t="s">
        <v>48</v>
      </c>
      <c r="H55" s="540" t="s">
        <v>49</v>
      </c>
      <c r="I55" s="540" t="s">
        <v>50</v>
      </c>
      <c r="J55" s="545" t="s">
        <v>28</v>
      </c>
      <c r="K55" s="495" t="s">
        <v>51</v>
      </c>
      <c r="L55" s="507" t="s">
        <v>52</v>
      </c>
      <c r="M55" s="545" t="s">
        <v>53</v>
      </c>
      <c r="N55" s="13"/>
      <c r="O55" s="13"/>
      <c r="P55" s="50"/>
    </row>
    <row r="56" spans="2:57" ht="28.5" customHeight="1" thickTop="1" thickBot="1">
      <c r="B56" s="541"/>
      <c r="C56" s="541"/>
      <c r="D56" s="543"/>
      <c r="E56" s="544"/>
      <c r="F56" s="558"/>
      <c r="G56" s="552"/>
      <c r="H56" s="559"/>
      <c r="I56" s="559"/>
      <c r="J56" s="546"/>
      <c r="K56" s="555"/>
      <c r="L56" s="556"/>
      <c r="M56" s="546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43.15" customHeight="1" thickBot="1">
      <c r="B57" s="460"/>
      <c r="C57" s="442"/>
      <c r="D57" s="443"/>
      <c r="E57" s="444"/>
      <c r="F57" s="445"/>
      <c r="G57" s="445"/>
      <c r="H57" s="462"/>
      <c r="I57" s="462"/>
      <c r="J57" s="449"/>
      <c r="K57" s="450"/>
      <c r="L57" s="461"/>
      <c r="M57" s="457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25" hidden="1" customHeight="1" thickBot="1">
      <c r="B58" s="458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25" hidden="1" customHeight="1" thickBot="1">
      <c r="B59" s="387"/>
      <c r="C59" s="442"/>
      <c r="D59" s="443"/>
      <c r="E59" s="444"/>
      <c r="F59" s="445"/>
      <c r="G59" s="446"/>
      <c r="H59" s="462"/>
      <c r="I59" s="462"/>
      <c r="J59" s="449"/>
      <c r="K59" s="466"/>
      <c r="L59" s="461"/>
      <c r="M59" s="457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65"/>
      <c r="C61" s="442"/>
      <c r="D61" s="443"/>
      <c r="E61" s="444"/>
      <c r="F61" s="445"/>
      <c r="G61" s="446"/>
      <c r="H61" s="447"/>
      <c r="I61" s="448"/>
      <c r="J61" s="449"/>
      <c r="K61" s="450"/>
      <c r="L61" s="461"/>
      <c r="M61" s="45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65"/>
      <c r="C63" s="442"/>
      <c r="D63" s="443"/>
      <c r="E63" s="444"/>
      <c r="F63" s="445"/>
      <c r="G63" s="446"/>
      <c r="H63" s="447"/>
      <c r="I63" s="448"/>
      <c r="J63" s="449"/>
      <c r="K63" s="450"/>
      <c r="L63" s="461"/>
      <c r="M63" s="456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79"/>
      <c r="C64" s="431"/>
      <c r="D64" s="473"/>
      <c r="E64" s="474"/>
      <c r="F64" s="475"/>
      <c r="G64" s="473"/>
      <c r="H64" s="476"/>
      <c r="I64" s="476"/>
      <c r="J64" s="476"/>
      <c r="K64" s="477"/>
      <c r="L64" s="478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7" t="s">
        <v>55</v>
      </c>
      <c r="C66" s="548"/>
      <c r="D66" s="548"/>
      <c r="E66" s="548"/>
      <c r="F66" s="549"/>
      <c r="G66" s="547" t="s">
        <v>56</v>
      </c>
      <c r="H66" s="548"/>
      <c r="I66" s="548"/>
      <c r="J66" s="549"/>
      <c r="K66" s="547" t="s">
        <v>51</v>
      </c>
      <c r="L66" s="548"/>
      <c r="M66" s="548"/>
      <c r="N66" s="550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5.7615398276641319</v>
      </c>
      <c r="E68" s="76">
        <v>6.0686209868378356</v>
      </c>
      <c r="F68" s="66">
        <v>4.8</v>
      </c>
      <c r="G68" s="65"/>
      <c r="H68" s="76">
        <v>4.7207779134726842</v>
      </c>
      <c r="I68" s="76">
        <v>6.0690614118039425</v>
      </c>
      <c r="J68" s="66">
        <v>4.8</v>
      </c>
      <c r="K68" s="67"/>
      <c r="L68" s="194">
        <v>0.75113749178388578</v>
      </c>
      <c r="M68" s="194">
        <v>0.766942335653922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4.6321640098754937</v>
      </c>
      <c r="E69" s="76">
        <v>5.7508356556237938</v>
      </c>
      <c r="F69" s="66">
        <v>4.8</v>
      </c>
      <c r="G69" s="65"/>
      <c r="H69" s="76">
        <v>4.1270646700190561</v>
      </c>
      <c r="I69" s="76">
        <v>5.472350679500849</v>
      </c>
      <c r="J69" s="66">
        <v>4.8</v>
      </c>
      <c r="K69" s="67"/>
      <c r="L69" s="194">
        <v>0.74923780688282027</v>
      </c>
      <c r="M69" s="194">
        <v>0.72026911881970812</v>
      </c>
      <c r="N69" s="68">
        <v>1</v>
      </c>
      <c r="P69" s="69"/>
    </row>
    <row r="70" spans="2:16" ht="15">
      <c r="B70" s="34" t="s">
        <v>40</v>
      </c>
      <c r="C70" s="65"/>
      <c r="D70" s="76">
        <v>9.9791432696935729</v>
      </c>
      <c r="E70" s="76">
        <v>11.000555864369074</v>
      </c>
      <c r="F70" s="66">
        <v>5.5</v>
      </c>
      <c r="G70" s="65"/>
      <c r="H70" s="76">
        <v>12.116624108338717</v>
      </c>
      <c r="I70" s="76">
        <v>12.668713273493125</v>
      </c>
      <c r="J70" s="66">
        <v>5.5</v>
      </c>
      <c r="K70" s="67"/>
      <c r="L70" s="194">
        <v>0.51395189003436426</v>
      </c>
      <c r="M70" s="194">
        <v>0.53320359281437135</v>
      </c>
      <c r="N70" s="68">
        <v>1</v>
      </c>
      <c r="P70" s="69"/>
    </row>
    <row r="71" spans="2:16" ht="15">
      <c r="B71" s="22" t="s">
        <v>33</v>
      </c>
      <c r="C71" s="65"/>
      <c r="D71" s="76">
        <v>5.1294697903822328</v>
      </c>
      <c r="E71" s="76">
        <v>4.70482832098405</v>
      </c>
      <c r="F71" s="66">
        <v>3.3</v>
      </c>
      <c r="G71" s="65"/>
      <c r="H71" s="76">
        <v>4.536248812516166</v>
      </c>
      <c r="I71" s="76">
        <v>4.4829345306946999</v>
      </c>
      <c r="J71" s="66">
        <v>3.3</v>
      </c>
      <c r="K71" s="67"/>
      <c r="L71" s="194">
        <v>1.3498245614035089</v>
      </c>
      <c r="M71" s="194">
        <v>0.8425337381916328</v>
      </c>
      <c r="N71" s="68">
        <v>1</v>
      </c>
      <c r="P71" s="69"/>
    </row>
    <row r="72" spans="2:16" ht="15">
      <c r="B72" s="35" t="s">
        <v>165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6.8851328044153277</v>
      </c>
      <c r="F73" s="70">
        <f>[21]May_2022!$M$43</f>
        <v>3.4878406700073312</v>
      </c>
      <c r="G73" s="282"/>
      <c r="H73" s="76"/>
      <c r="I73" s="76">
        <v>8.6614709463340702</v>
      </c>
      <c r="J73" s="66">
        <v>5.5</v>
      </c>
      <c r="K73" s="67"/>
      <c r="L73" s="194"/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/>
      <c r="D74" s="76">
        <v>2.0782986950217497</v>
      </c>
      <c r="E74" s="76">
        <v>2.9442117404237127</v>
      </c>
      <c r="F74" s="66">
        <v>3.3</v>
      </c>
      <c r="G74" s="282"/>
      <c r="H74" s="76">
        <v>3.4559849687930924</v>
      </c>
      <c r="I74" s="76">
        <v>4.3478819741669881</v>
      </c>
      <c r="J74" s="66">
        <v>3.3</v>
      </c>
      <c r="K74" s="67"/>
      <c r="L74" s="194">
        <v>0.88859649122807016</v>
      </c>
      <c r="M74" s="194">
        <v>0.85935680751173715</v>
      </c>
      <c r="N74" s="71">
        <v>1</v>
      </c>
      <c r="P74" s="69"/>
    </row>
    <row r="75" spans="2:16" ht="15.75" thickBot="1">
      <c r="B75" s="38" t="s">
        <v>164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5.4957905979081598</v>
      </c>
      <c r="E77" s="76">
        <v>6.1225896062292104</v>
      </c>
      <c r="F77" s="341">
        <v>5.5</v>
      </c>
      <c r="H77" s="76">
        <v>5.2307086713381699</v>
      </c>
      <c r="I77" s="76">
        <v>6.4179159282178588</v>
      </c>
      <c r="J77" s="341">
        <v>5.5</v>
      </c>
      <c r="L77" s="194">
        <v>0.7670552646887725</v>
      </c>
      <c r="M77" s="194">
        <v>0.73474054112907627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6:F66"/>
    <mergeCell ref="G66:J66"/>
    <mergeCell ref="K66:N66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183" priority="6" operator="notBetween">
      <formula>#REF!</formula>
      <formula>#REF!</formula>
    </cfRule>
  </conditionalFormatting>
  <conditionalFormatting sqref="C54">
    <cfRule type="cellIs" dxfId="182" priority="180" stopIfTrue="1" operator="greaterThan">
      <formula>100</formula>
    </cfRule>
    <cfRule type="cellIs" dxfId="181" priority="179" stopIfTrue="1" operator="lessThan">
      <formula>96</formula>
    </cfRule>
  </conditionalFormatting>
  <conditionalFormatting sqref="C68:C72">
    <cfRule type="cellIs" dxfId="180" priority="133" stopIfTrue="1" operator="lessThanOrEqual">
      <formula>0</formula>
    </cfRule>
  </conditionalFormatting>
  <conditionalFormatting sqref="C68:C76">
    <cfRule type="cellIs" dxfId="179" priority="132" stopIfTrue="1" operator="greaterThan">
      <formula>$F68</formula>
    </cfRule>
  </conditionalFormatting>
  <conditionalFormatting sqref="C69">
    <cfRule type="cellIs" dxfId="178" priority="183" stopIfTrue="1" operator="greaterThan">
      <formula>$F68</formula>
    </cfRule>
  </conditionalFormatting>
  <conditionalFormatting sqref="C73">
    <cfRule type="cellIs" dxfId="177" priority="73" stopIfTrue="1" operator="greaterThan">
      <formula>$F72</formula>
    </cfRule>
    <cfRule type="cellIs" dxfId="176" priority="72" stopIfTrue="1" operator="lessThanOrEqual">
      <formula>0</formula>
    </cfRule>
  </conditionalFormatting>
  <conditionalFormatting sqref="C79:C83">
    <cfRule type="cellIs" dxfId="175" priority="171" stopIfTrue="1" operator="lessThanOrEqual">
      <formula>0</formula>
    </cfRule>
  </conditionalFormatting>
  <conditionalFormatting sqref="C80:C83">
    <cfRule type="cellIs" dxfId="174" priority="170" stopIfTrue="1" operator="greaterThan">
      <formula>$F$79</formula>
    </cfRule>
  </conditionalFormatting>
  <conditionalFormatting sqref="C85">
    <cfRule type="cellIs" dxfId="173" priority="173" stopIfTrue="1" operator="lessThanOrEqual">
      <formula>0</formula>
    </cfRule>
    <cfRule type="cellIs" dxfId="172" priority="172" stopIfTrue="1" operator="greaterThan">
      <formula>$F$79</formula>
    </cfRule>
  </conditionalFormatting>
  <conditionalFormatting sqref="C79:D79 D81:D87">
    <cfRule type="cellIs" dxfId="171" priority="165" stopIfTrue="1" operator="greaterThan">
      <formula>4.5</formula>
    </cfRule>
  </conditionalFormatting>
  <conditionalFormatting sqref="D50:D51">
    <cfRule type="cellIs" dxfId="170" priority="7" operator="notBetween">
      <formula>#REF!</formula>
      <formula>#REF!</formula>
    </cfRule>
  </conditionalFormatting>
  <conditionalFormatting sqref="D68:D75">
    <cfRule type="cellIs" dxfId="169" priority="145" stopIfTrue="1" operator="lessThanOrEqual">
      <formula>0</formula>
    </cfRule>
  </conditionalFormatting>
  <conditionalFormatting sqref="D76">
    <cfRule type="cellIs" dxfId="168" priority="144" stopIfTrue="1" operator="lessThanOrEqual">
      <formula>0</formula>
    </cfRule>
  </conditionalFormatting>
  <conditionalFormatting sqref="D79 D81:D87">
    <cfRule type="cellIs" dxfId="167" priority="166" stopIfTrue="1" operator="lessThanOrEqual">
      <formula>0</formula>
    </cfRule>
  </conditionalFormatting>
  <conditionalFormatting sqref="D80">
    <cfRule type="cellIs" dxfId="166" priority="158" stopIfTrue="1" operator="lessThanOrEqual">
      <formula>0</formula>
    </cfRule>
    <cfRule type="cellIs" dxfId="165" priority="157" stopIfTrue="1" operator="greaterThan">
      <formula>$F$79</formula>
    </cfRule>
  </conditionalFormatting>
  <conditionalFormatting sqref="D68:E77">
    <cfRule type="cellIs" dxfId="164" priority="130" stopIfTrue="1" operator="greaterThan">
      <formula>$F68</formula>
    </cfRule>
  </conditionalFormatting>
  <conditionalFormatting sqref="D77:E77">
    <cfRule type="cellIs" dxfId="163" priority="131" stopIfTrue="1" operator="lessThanOrEqual">
      <formula>0</formula>
    </cfRule>
  </conditionalFormatting>
  <conditionalFormatting sqref="E10:E25">
    <cfRule type="cellIs" dxfId="162" priority="35" operator="lessThan">
      <formula>48</formula>
    </cfRule>
  </conditionalFormatting>
  <conditionalFormatting sqref="E53 E54:F54">
    <cfRule type="cellIs" dxfId="161" priority="162" stopIfTrue="1" operator="greaterThan">
      <formula>100</formula>
    </cfRule>
  </conditionalFormatting>
  <conditionalFormatting sqref="E54">
    <cfRule type="cellIs" dxfId="160" priority="160" stopIfTrue="1" operator="greaterThan">
      <formula>100</formula>
    </cfRule>
    <cfRule type="cellIs" dxfId="159" priority="159" stopIfTrue="1" operator="lessThan">
      <formula>96.8</formula>
    </cfRule>
  </conditionalFormatting>
  <conditionalFormatting sqref="E68:E76">
    <cfRule type="cellIs" dxfId="158" priority="141" stopIfTrue="1" operator="lessThanOrEqual">
      <formula>0</formula>
    </cfRule>
  </conditionalFormatting>
  <conditionalFormatting sqref="E79:E87">
    <cfRule type="cellIs" dxfId="157" priority="151" stopIfTrue="1" operator="greaterThan">
      <formula>4.5</formula>
    </cfRule>
    <cfRule type="cellIs" dxfId="156" priority="152" stopIfTrue="1" operator="lessThanOrEqual">
      <formula>0</formula>
    </cfRule>
  </conditionalFormatting>
  <conditionalFormatting sqref="E54:F54 E53">
    <cfRule type="cellIs" dxfId="155" priority="161" stopIfTrue="1" operator="lessThan">
      <formula>96.5</formula>
    </cfRule>
  </conditionalFormatting>
  <conditionalFormatting sqref="F10:F25">
    <cfRule type="cellIs" dxfId="154" priority="36" operator="greaterThan">
      <formula>60</formula>
    </cfRule>
  </conditionalFormatting>
  <conditionalFormatting sqref="F54">
    <cfRule type="cellIs" dxfId="153" priority="177" stopIfTrue="1" operator="lessThan">
      <formula>96.8</formula>
    </cfRule>
    <cfRule type="cellIs" dxfId="152" priority="178" stopIfTrue="1" operator="greaterThan">
      <formula>100</formula>
    </cfRule>
  </conditionalFormatting>
  <conditionalFormatting sqref="F77">
    <cfRule type="cellIs" dxfId="151" priority="143" stopIfTrue="1" operator="lessThanOrEqual">
      <formula>0</formula>
    </cfRule>
    <cfRule type="cellIs" dxfId="150" priority="142" stopIfTrue="1" operator="greaterThan">
      <formula>$F77</formula>
    </cfRule>
  </conditionalFormatting>
  <conditionalFormatting sqref="G10:G21">
    <cfRule type="expression" dxfId="149" priority="54">
      <formula>IF(+(IF(G10&lt;S10,0,IF(G10&gt;T10,0,1)))=0,1)</formula>
    </cfRule>
  </conditionalFormatting>
  <conditionalFormatting sqref="G68:G69 C74:C76">
    <cfRule type="cellIs" dxfId="148" priority="147" stopIfTrue="1" operator="lessThanOrEqual">
      <formula>0</formula>
    </cfRule>
  </conditionalFormatting>
  <conditionalFormatting sqref="G68:G69">
    <cfRule type="cellIs" dxfId="147" priority="134" stopIfTrue="1" operator="greaterThan">
      <formula>$F68</formula>
    </cfRule>
    <cfRule type="cellIs" dxfId="146" priority="146" stopIfTrue="1" operator="greaterThan">
      <formula>$F68</formula>
    </cfRule>
    <cfRule type="cellIs" dxfId="145" priority="135" stopIfTrue="1" operator="lessThanOrEqual">
      <formula>0</formula>
    </cfRule>
  </conditionalFormatting>
  <conditionalFormatting sqref="G70">
    <cfRule type="cellIs" dxfId="144" priority="182" stopIfTrue="1" operator="lessThanOrEqual">
      <formula>0</formula>
    </cfRule>
    <cfRule type="cellIs" dxfId="143" priority="181" stopIfTrue="1" operator="greaterThan">
      <formula>$F69</formula>
    </cfRule>
  </conditionalFormatting>
  <conditionalFormatting sqref="G71">
    <cfRule type="cellIs" dxfId="142" priority="5" stopIfTrue="1" operator="lessThanOrEqual">
      <formula>0</formula>
    </cfRule>
    <cfRule type="cellIs" dxfId="141" priority="4" stopIfTrue="1" operator="greaterThan">
      <formula>$F71</formula>
    </cfRule>
    <cfRule type="cellIs" dxfId="140" priority="3" stopIfTrue="1" operator="lessThanOrEqual">
      <formula>0</formula>
    </cfRule>
    <cfRule type="cellIs" dxfId="139" priority="2" stopIfTrue="1" operator="greaterThan">
      <formula>$F71</formula>
    </cfRule>
  </conditionalFormatting>
  <conditionalFormatting sqref="G72:G76">
    <cfRule type="cellIs" dxfId="138" priority="148" stopIfTrue="1" operator="greaterThan">
      <formula>$J72</formula>
    </cfRule>
    <cfRule type="cellIs" dxfId="137" priority="149" stopIfTrue="1" operator="lessThanOrEqual">
      <formula>0</formula>
    </cfRule>
  </conditionalFormatting>
  <conditionalFormatting sqref="G81:G86 C84 C86">
    <cfRule type="cellIs" dxfId="136" priority="174" stopIfTrue="1" operator="greaterThan">
      <formula>4.5</formula>
    </cfRule>
    <cfRule type="cellIs" dxfId="135" priority="175" stopIfTrue="1" operator="lessThanOrEqual">
      <formula>0</formula>
    </cfRule>
  </conditionalFormatting>
  <conditionalFormatting sqref="G80:H80">
    <cfRule type="cellIs" dxfId="134" priority="155" stopIfTrue="1" operator="greaterThan">
      <formula>$F$79</formula>
    </cfRule>
    <cfRule type="cellIs" dxfId="133" priority="156" stopIfTrue="1" operator="lessThanOrEqual">
      <formula>0</formula>
    </cfRule>
  </conditionalFormatting>
  <conditionalFormatting sqref="H39:H53">
    <cfRule type="cellIs" dxfId="132" priority="153" stopIfTrue="1" operator="greaterThan">
      <formula>0</formula>
    </cfRule>
  </conditionalFormatting>
  <conditionalFormatting sqref="H57">
    <cfRule type="cellIs" dxfId="131" priority="47" stopIfTrue="1" operator="greaterThan">
      <formula>$F$73</formula>
    </cfRule>
    <cfRule type="cellIs" dxfId="130" priority="48" stopIfTrue="1" operator="lessThanOrEqual">
      <formula>0</formula>
    </cfRule>
    <cfRule type="cellIs" dxfId="129" priority="50" stopIfTrue="1" operator="lessThanOrEqual">
      <formula>0</formula>
    </cfRule>
    <cfRule type="cellIs" dxfId="128" priority="38" stopIfTrue="1" operator="lessThanOrEqual">
      <formula>0</formula>
    </cfRule>
    <cfRule type="cellIs" dxfId="127" priority="39" stopIfTrue="1" operator="greaterThan">
      <formula>$F$70</formula>
    </cfRule>
    <cfRule type="cellIs" dxfId="126" priority="49" stopIfTrue="1" operator="greaterThan">
      <formula>$F$71</formula>
    </cfRule>
  </conditionalFormatting>
  <conditionalFormatting sqref="H58">
    <cfRule type="cellIs" dxfId="125" priority="98" stopIfTrue="1" operator="greaterThan">
      <formula>$F$26</formula>
    </cfRule>
    <cfRule type="cellIs" dxfId="124" priority="99" stopIfTrue="1" operator="lessThanOrEqual">
      <formula>0</formula>
    </cfRule>
    <cfRule type="cellIs" dxfId="123" priority="100" stopIfTrue="1" operator="greaterThan">
      <formula>#REF!</formula>
    </cfRule>
    <cfRule type="cellIs" dxfId="122" priority="101" stopIfTrue="1" operator="lessThanOrEqual">
      <formula>0</formula>
    </cfRule>
    <cfRule type="cellIs" dxfId="121" priority="90" stopIfTrue="1" operator="greaterThan">
      <formula>#REF!</formula>
    </cfRule>
    <cfRule type="cellIs" dxfId="120" priority="89" stopIfTrue="1" operator="lessThanOrEqual">
      <formula>0</formula>
    </cfRule>
  </conditionalFormatting>
  <conditionalFormatting sqref="H59">
    <cfRule type="cellIs" dxfId="119" priority="67" stopIfTrue="1" operator="lessThanOrEqual">
      <formula>0</formula>
    </cfRule>
    <cfRule type="cellIs" dxfId="118" priority="68" stopIfTrue="1" operator="greaterThan">
      <formula>$F$70</formula>
    </cfRule>
    <cfRule type="cellIs" dxfId="117" priority="69" stopIfTrue="1" operator="lessThanOrEqual">
      <formula>0</formula>
    </cfRule>
    <cfRule type="cellIs" dxfId="116" priority="57" stopIfTrue="1" operator="lessThanOrEqual">
      <formula>0</formula>
    </cfRule>
    <cfRule type="cellIs" dxfId="115" priority="58" stopIfTrue="1" operator="greaterThan">
      <formula>$F$69</formula>
    </cfRule>
    <cfRule type="cellIs" dxfId="114" priority="66" stopIfTrue="1" operator="greaterThan">
      <formula>$F$72</formula>
    </cfRule>
  </conditionalFormatting>
  <conditionalFormatting sqref="H60:H61">
    <cfRule type="cellIs" dxfId="113" priority="75" stopIfTrue="1" operator="lessThanOrEqual">
      <formula>0</formula>
    </cfRule>
    <cfRule type="cellIs" dxfId="112" priority="76" stopIfTrue="1" operator="greaterThan">
      <formula>#REF!</formula>
    </cfRule>
    <cfRule type="cellIs" dxfId="111" priority="86" stopIfTrue="1" operator="greaterThan">
      <formula>#REF!</formula>
    </cfRule>
    <cfRule type="cellIs" dxfId="110" priority="84" stopIfTrue="1" operator="greaterThan">
      <formula>$F$25</formula>
    </cfRule>
    <cfRule type="cellIs" dxfId="109" priority="85" stopIfTrue="1" operator="lessThanOrEqual">
      <formula>0</formula>
    </cfRule>
    <cfRule type="cellIs" dxfId="108" priority="87" stopIfTrue="1" operator="lessThanOrEqual">
      <formula>0</formula>
    </cfRule>
  </conditionalFormatting>
  <conditionalFormatting sqref="H62">
    <cfRule type="cellIs" dxfId="107" priority="115" stopIfTrue="1" operator="greaterThan">
      <formula>$F$39</formula>
    </cfRule>
    <cfRule type="cellIs" dxfId="106" priority="105" stopIfTrue="1" operator="greaterThan">
      <formula>$F$38</formula>
    </cfRule>
    <cfRule type="cellIs" dxfId="105" priority="116" stopIfTrue="1" operator="lessThanOrEqual">
      <formula>0</formula>
    </cfRule>
    <cfRule type="cellIs" dxfId="104" priority="104" stopIfTrue="1" operator="lessThanOrEqual">
      <formula>0</formula>
    </cfRule>
    <cfRule type="cellIs" dxfId="103" priority="113" stopIfTrue="1" operator="greaterThan">
      <formula>$F$41</formula>
    </cfRule>
    <cfRule type="cellIs" dxfId="102" priority="114" stopIfTrue="1" operator="lessThanOrEqual">
      <formula>0</formula>
    </cfRule>
  </conditionalFormatting>
  <conditionalFormatting sqref="H63:H64">
    <cfRule type="cellIs" dxfId="101" priority="17" stopIfTrue="1" operator="lessThanOrEqual">
      <formula>0</formula>
    </cfRule>
    <cfRule type="cellIs" dxfId="100" priority="18" stopIfTrue="1" operator="greaterThan">
      <formula>#REF!</formula>
    </cfRule>
    <cfRule type="cellIs" dxfId="99" priority="27" stopIfTrue="1" operator="lessThanOrEqual">
      <formula>0</formula>
    </cfRule>
    <cfRule type="cellIs" dxfId="98" priority="26" stopIfTrue="1" operator="greaterThan">
      <formula>$F$25</formula>
    </cfRule>
    <cfRule type="cellIs" dxfId="97" priority="28" stopIfTrue="1" operator="greaterThan">
      <formula>#REF!</formula>
    </cfRule>
    <cfRule type="cellIs" dxfId="96" priority="29" stopIfTrue="1" operator="lessThanOrEqual">
      <formula>0</formula>
    </cfRule>
  </conditionalFormatting>
  <conditionalFormatting sqref="H68:H75">
    <cfRule type="cellIs" dxfId="95" priority="136" stopIfTrue="1" operator="greaterThan">
      <formula>$J68</formula>
    </cfRule>
    <cfRule type="cellIs" dxfId="94" priority="137" stopIfTrue="1" operator="lessThanOrEqual">
      <formula>0</formula>
    </cfRule>
  </conditionalFormatting>
  <conditionalFormatting sqref="H76">
    <cfRule type="cellIs" dxfId="93" priority="138" operator="greaterThan">
      <formula>5.3</formula>
    </cfRule>
  </conditionalFormatting>
  <conditionalFormatting sqref="H79 H81:H87">
    <cfRule type="cellIs" dxfId="92" priority="167" stopIfTrue="1" operator="greaterThan">
      <formula>4.5</formula>
    </cfRule>
    <cfRule type="cellIs" dxfId="91" priority="168" stopIfTrue="1" operator="lessThanOrEqual">
      <formula>0</formula>
    </cfRule>
  </conditionalFormatting>
  <conditionalFormatting sqref="H57:I57">
    <cfRule type="cellIs" dxfId="90" priority="37" stopIfTrue="1" operator="greaterThan">
      <formula>$F$72</formula>
    </cfRule>
    <cfRule type="cellIs" dxfId="89" priority="40" stopIfTrue="1" operator="lessThanOrEqual">
      <formula>0</formula>
    </cfRule>
  </conditionalFormatting>
  <conditionalFormatting sqref="H58:I58">
    <cfRule type="cellIs" dxfId="88" priority="91" stopIfTrue="1" operator="lessThanOrEqual">
      <formula>0</formula>
    </cfRule>
    <cfRule type="cellIs" dxfId="87" priority="88" stopIfTrue="1" operator="greaterThan">
      <formula>$F$25</formula>
    </cfRule>
  </conditionalFormatting>
  <conditionalFormatting sqref="H59:I59">
    <cfRule type="cellIs" dxfId="86" priority="59" stopIfTrue="1" operator="lessThanOrEqual">
      <formula>0</formula>
    </cfRule>
    <cfRule type="cellIs" dxfId="85" priority="56" stopIfTrue="1" operator="greaterThan">
      <formula>$F$71</formula>
    </cfRule>
  </conditionalFormatting>
  <conditionalFormatting sqref="H60:I61">
    <cfRule type="cellIs" dxfId="84" priority="74" stopIfTrue="1" operator="greaterThan">
      <formula>#REF!</formula>
    </cfRule>
    <cfRule type="cellIs" dxfId="83" priority="77" stopIfTrue="1" operator="lessThanOrEqual">
      <formula>0</formula>
    </cfRule>
  </conditionalFormatting>
  <conditionalFormatting sqref="H62:I62">
    <cfRule type="cellIs" dxfId="82" priority="103" stopIfTrue="1" operator="greaterThan">
      <formula>$F$40</formula>
    </cfRule>
    <cfRule type="cellIs" dxfId="81" priority="106" stopIfTrue="1" operator="lessThanOrEqual">
      <formula>0</formula>
    </cfRule>
  </conditionalFormatting>
  <conditionalFormatting sqref="H63:I64">
    <cfRule type="cellIs" dxfId="80" priority="16" stopIfTrue="1" operator="greaterThan">
      <formula>#REF!</formula>
    </cfRule>
    <cfRule type="cellIs" dxfId="79" priority="19" stopIfTrue="1" operator="lessThanOrEqual">
      <formula>0</formula>
    </cfRule>
  </conditionalFormatting>
  <conditionalFormatting sqref="H77:I77">
    <cfRule type="cellIs" dxfId="78" priority="128" stopIfTrue="1" operator="greaterThan">
      <formula>$J77</formula>
    </cfRule>
    <cfRule type="cellIs" dxfId="77" priority="129" stopIfTrue="1" operator="lessThanOrEqual">
      <formula>0</formula>
    </cfRule>
  </conditionalFormatting>
  <conditionalFormatting sqref="I57">
    <cfRule type="cellIs" dxfId="76" priority="46" stopIfTrue="1" operator="lessThanOrEqual">
      <formula>0</formula>
    </cfRule>
    <cfRule type="cellIs" dxfId="75" priority="41" stopIfTrue="1" operator="greaterThan">
      <formula>$F$70</formula>
    </cfRule>
    <cfRule type="cellIs" dxfId="74" priority="42" stopIfTrue="1" operator="lessThanOrEqual">
      <formula>0</formula>
    </cfRule>
    <cfRule type="cellIs" dxfId="73" priority="43" stopIfTrue="1" operator="greaterThan">
      <formula>$F$72</formula>
    </cfRule>
    <cfRule type="cellIs" dxfId="72" priority="45" stopIfTrue="1" operator="greaterThan">
      <formula>$F$70</formula>
    </cfRule>
    <cfRule type="cellIs" dxfId="71" priority="44" stopIfTrue="1" operator="lessThanOrEqual">
      <formula>0</formula>
    </cfRule>
  </conditionalFormatting>
  <conditionalFormatting sqref="I58">
    <cfRule type="cellIs" dxfId="70" priority="97" stopIfTrue="1" operator="lessThanOrEqual">
      <formula>0</formula>
    </cfRule>
    <cfRule type="cellIs" dxfId="69" priority="92" stopIfTrue="1" operator="greaterThan">
      <formula>#REF!</formula>
    </cfRule>
    <cfRule type="cellIs" dxfId="68" priority="93" stopIfTrue="1" operator="lessThanOrEqual">
      <formula>0</formula>
    </cfRule>
    <cfRule type="cellIs" dxfId="67" priority="94" stopIfTrue="1" operator="greaterThan">
      <formula>$F$25</formula>
    </cfRule>
    <cfRule type="cellIs" dxfId="66" priority="95" stopIfTrue="1" operator="lessThanOrEqual">
      <formula>0</formula>
    </cfRule>
    <cfRule type="cellIs" dxfId="65" priority="96" stopIfTrue="1" operator="greaterThan">
      <formula>#REF!</formula>
    </cfRule>
  </conditionalFormatting>
  <conditionalFormatting sqref="I59">
    <cfRule type="cellIs" dxfId="64" priority="60" stopIfTrue="1" operator="greaterThan">
      <formula>$F$69</formula>
    </cfRule>
    <cfRule type="cellIs" dxfId="63" priority="64" stopIfTrue="1" operator="greaterThan">
      <formula>$F$69</formula>
    </cfRule>
    <cfRule type="cellIs" dxfId="62" priority="61" stopIfTrue="1" operator="lessThanOrEqual">
      <formula>0</formula>
    </cfRule>
    <cfRule type="cellIs" dxfId="61" priority="65" stopIfTrue="1" operator="lessThanOrEqual">
      <formula>0</formula>
    </cfRule>
    <cfRule type="cellIs" dxfId="60" priority="62" stopIfTrue="1" operator="greaterThan">
      <formula>$F$71</formula>
    </cfRule>
    <cfRule type="cellIs" dxfId="59" priority="63" stopIfTrue="1" operator="lessThanOrEqual">
      <formula>0</formula>
    </cfRule>
  </conditionalFormatting>
  <conditionalFormatting sqref="I60:I61">
    <cfRule type="cellIs" dxfId="58" priority="78" stopIfTrue="1" operator="greaterThan">
      <formula>#REF!</formula>
    </cfRule>
    <cfRule type="cellIs" dxfId="57" priority="79" stopIfTrue="1" operator="lessThanOrEqual">
      <formula>0</formula>
    </cfRule>
    <cfRule type="cellIs" dxfId="56" priority="80" stopIfTrue="1" operator="greaterThan">
      <formula>#REF!</formula>
    </cfRule>
    <cfRule type="cellIs" dxfId="55" priority="81" stopIfTrue="1" operator="lessThanOrEqual">
      <formula>0</formula>
    </cfRule>
    <cfRule type="cellIs" dxfId="54" priority="82" stopIfTrue="1" operator="greaterThan">
      <formula>#REF!</formula>
    </cfRule>
    <cfRule type="cellIs" dxfId="53" priority="83" stopIfTrue="1" operator="lessThanOrEqual">
      <formula>0</formula>
    </cfRule>
  </conditionalFormatting>
  <conditionalFormatting sqref="I62">
    <cfRule type="cellIs" dxfId="52" priority="112" stopIfTrue="1" operator="lessThanOrEqual">
      <formula>0</formula>
    </cfRule>
    <cfRule type="cellIs" dxfId="51" priority="111" stopIfTrue="1" operator="greaterThan">
      <formula>$F$38</formula>
    </cfRule>
    <cfRule type="cellIs" dxfId="50" priority="110" stopIfTrue="1" operator="lessThanOrEqual">
      <formula>0</formula>
    </cfRule>
    <cfRule type="cellIs" dxfId="49" priority="109" stopIfTrue="1" operator="greaterThan">
      <formula>$F$40</formula>
    </cfRule>
    <cfRule type="cellIs" dxfId="48" priority="108" stopIfTrue="1" operator="lessThanOrEqual">
      <formula>0</formula>
    </cfRule>
    <cfRule type="cellIs" dxfId="47" priority="107" stopIfTrue="1" operator="greaterThan">
      <formula>$F$38</formula>
    </cfRule>
  </conditionalFormatting>
  <conditionalFormatting sqref="I63:I64">
    <cfRule type="cellIs" dxfId="46" priority="20" stopIfTrue="1" operator="greaterThan">
      <formula>#REF!</formula>
    </cfRule>
    <cfRule type="cellIs" dxfId="45" priority="24" stopIfTrue="1" operator="greaterThan">
      <formula>#REF!</formula>
    </cfRule>
    <cfRule type="cellIs" dxfId="44" priority="25" stopIfTrue="1" operator="lessThanOrEqual">
      <formula>0</formula>
    </cfRule>
    <cfRule type="cellIs" dxfId="43" priority="23" stopIfTrue="1" operator="lessThanOrEqual">
      <formula>0</formula>
    </cfRule>
    <cfRule type="cellIs" dxfId="42" priority="22" stopIfTrue="1" operator="greaterThan">
      <formula>#REF!</formula>
    </cfRule>
    <cfRule type="cellIs" dxfId="41" priority="21" stopIfTrue="1" operator="lessThanOrEqual">
      <formula>0</formula>
    </cfRule>
  </conditionalFormatting>
  <conditionalFormatting sqref="I68:I76">
    <cfRule type="cellIs" dxfId="40" priority="139" stopIfTrue="1" operator="greaterThan">
      <formula>$J68</formula>
    </cfRule>
    <cfRule type="cellIs" dxfId="39" priority="140" stopIfTrue="1" operator="lessThanOrEqual">
      <formula>0</formula>
    </cfRule>
  </conditionalFormatting>
  <conditionalFormatting sqref="I79:I87">
    <cfRule type="cellIs" dxfId="38" priority="164" stopIfTrue="1" operator="lessThanOrEqual">
      <formula>0</formula>
    </cfRule>
    <cfRule type="cellIs" dxfId="37" priority="163" stopIfTrue="1" operator="greaterThan">
      <formula>4.5</formula>
    </cfRule>
  </conditionalFormatting>
  <conditionalFormatting sqref="I10:J25">
    <cfRule type="cellIs" dxfId="36" priority="31" operator="lessThan">
      <formula>97.9</formula>
    </cfRule>
  </conditionalFormatting>
  <conditionalFormatting sqref="J28:J30">
    <cfRule type="cellIs" dxfId="35" priority="119" stopIfTrue="1" operator="greaterThan">
      <formula>100</formula>
    </cfRule>
    <cfRule type="cellIs" dxfId="34" priority="118" stopIfTrue="1" operator="lessThan">
      <formula>96.8</formula>
    </cfRule>
    <cfRule type="cellIs" dxfId="33" priority="120" operator="lessThan">
      <formula>98</formula>
    </cfRule>
  </conditionalFormatting>
  <conditionalFormatting sqref="J28:J32">
    <cfRule type="cellIs" dxfId="32" priority="117" operator="lessThan">
      <formula>97.4</formula>
    </cfRule>
  </conditionalFormatting>
  <conditionalFormatting sqref="J33">
    <cfRule type="cellIs" dxfId="31" priority="121" operator="lessThan">
      <formula>98</formula>
    </cfRule>
  </conditionalFormatting>
  <conditionalFormatting sqref="J35:J36">
    <cfRule type="cellIs" dxfId="30" priority="123" stopIfTrue="1" operator="greaterThan">
      <formula>100</formula>
    </cfRule>
    <cfRule type="cellIs" dxfId="29" priority="122" stopIfTrue="1" operator="lessThan">
      <formula>96.8</formula>
    </cfRule>
  </conditionalFormatting>
  <conditionalFormatting sqref="J35:J37">
    <cfRule type="cellIs" dxfId="28" priority="124" operator="lessThan">
      <formula>98</formula>
    </cfRule>
  </conditionalFormatting>
  <conditionalFormatting sqref="J64">
    <cfRule type="cellIs" dxfId="27" priority="8" stopIfTrue="1" operator="greaterThan">
      <formula>#REF!</formula>
    </cfRule>
    <cfRule type="cellIs" dxfId="26" priority="10" stopIfTrue="1" operator="greaterThan">
      <formula>#REF!</formula>
    </cfRule>
    <cfRule type="cellIs" dxfId="25" priority="11" stopIfTrue="1" operator="lessThanOrEqual">
      <formula>0</formula>
    </cfRule>
    <cfRule type="cellIs" dxfId="24" priority="12" stopIfTrue="1" operator="greaterThan">
      <formula>#REF!</formula>
    </cfRule>
    <cfRule type="cellIs" dxfId="23" priority="9" stopIfTrue="1" operator="lessThanOrEqual">
      <formula>0</formula>
    </cfRule>
    <cfRule type="cellIs" dxfId="22" priority="13" stopIfTrue="1" operator="lessThanOrEqual">
      <formula>0</formula>
    </cfRule>
    <cfRule type="cellIs" dxfId="21" priority="14" stopIfTrue="1" operator="greaterThan">
      <formula>#REF!</formula>
    </cfRule>
    <cfRule type="cellIs" dxfId="20" priority="15" stopIfTrue="1" operator="lessThanOrEqual">
      <formula>0</formula>
    </cfRule>
  </conditionalFormatting>
  <conditionalFormatting sqref="J77">
    <cfRule type="cellIs" dxfId="19" priority="126" stopIfTrue="1" operator="lessThanOrEqual">
      <formula>0</formula>
    </cfRule>
    <cfRule type="cellIs" dxfId="18" priority="125" stopIfTrue="1" operator="greaterThan">
      <formula>$F77</formula>
    </cfRule>
  </conditionalFormatting>
  <conditionalFormatting sqref="K10:K25">
    <cfRule type="cellIs" dxfId="17" priority="32" operator="greaterThan">
      <formula>6</formula>
    </cfRule>
    <cfRule type="cellIs" dxfId="16" priority="33" operator="lessThan">
      <formula>4</formula>
    </cfRule>
    <cfRule type="cellIs" dxfId="15" priority="34" operator="greaterThan">
      <formula>6.4</formula>
    </cfRule>
  </conditionalFormatting>
  <conditionalFormatting sqref="K57:K64 K68:N74 K75 M75:N75 K76:N76">
    <cfRule type="cellIs" dxfId="14" priority="102" stopIfTrue="1" operator="lessThan">
      <formula>100%</formula>
    </cfRule>
  </conditionalFormatting>
  <conditionalFormatting sqref="K79:K84">
    <cfRule type="cellIs" dxfId="13" priority="169" stopIfTrue="1" operator="lessThan">
      <formula>100%</formula>
    </cfRule>
  </conditionalFormatting>
  <conditionalFormatting sqref="K86:K87">
    <cfRule type="cellIs" dxfId="12" priority="176" stopIfTrue="1" operator="lessThan">
      <formula>100%</formula>
    </cfRule>
  </conditionalFormatting>
  <conditionalFormatting sqref="L10:L21 L22:M24 L25">
    <cfRule type="cellIs" dxfId="11" priority="51" operator="between">
      <formula>61</formula>
      <formula>65</formula>
    </cfRule>
    <cfRule type="cellIs" dxfId="10" priority="52" operator="greaterThan">
      <formula>65</formula>
    </cfRule>
  </conditionalFormatting>
  <conditionalFormatting sqref="L28:M28 L30:M39">
    <cfRule type="cellIs" dxfId="9" priority="70" operator="lessThan">
      <formula>97.95</formula>
    </cfRule>
  </conditionalFormatting>
  <conditionalFormatting sqref="L43:N43">
    <cfRule type="cellIs" dxfId="8" priority="71" operator="notEqual">
      <formula>#REF!</formula>
    </cfRule>
  </conditionalFormatting>
  <conditionalFormatting sqref="L77:N77">
    <cfRule type="cellIs" dxfId="7" priority="127" stopIfTrue="1" operator="lessThan">
      <formula>100%</formula>
    </cfRule>
  </conditionalFormatting>
  <conditionalFormatting sqref="L79:N87">
    <cfRule type="cellIs" dxfId="6" priority="154" stopIfTrue="1" operator="lessThan">
      <formula>100%</formula>
    </cfRule>
  </conditionalFormatting>
  <conditionalFormatting sqref="M10:M21">
    <cfRule type="expression" dxfId="5" priority="53">
      <formula>IF(+(IF(M10&lt;U10,0,IF(M10&gt;V10,0,1)))=0,1)</formula>
    </cfRule>
  </conditionalFormatting>
  <conditionalFormatting sqref="M22:M24 H10:H21 G22:H25">
    <cfRule type="expression" dxfId="4" priority="55">
      <formula>IF(+(IF(G10&lt;#REF!,0,IF(G10&gt;#REF!,0,1)))=0,1)</formula>
    </cfRule>
  </conditionalFormatting>
  <conditionalFormatting sqref="M25:N25">
    <cfRule type="expression" dxfId="3" priority="184">
      <formula>IF(+(IF(M25&lt;#REF!,0,IF(M25&gt;#REF!,0,1)))=0,1)</formula>
    </cfRule>
  </conditionalFormatting>
  <conditionalFormatting sqref="N10:N24">
    <cfRule type="expression" dxfId="2" priority="30">
      <formula>IF(+(IF(N10&lt;W10,0,IF(N10&gt;X10,0,1)))=0,1)</formula>
    </cfRule>
  </conditionalFormatting>
  <conditionalFormatting sqref="P6">
    <cfRule type="cellIs" dxfId="1" priority="150" operator="greaterThanOrEqual">
      <formula>19</formula>
    </cfRule>
  </conditionalFormatting>
  <conditionalFormatting sqref="L29:M29">
    <cfRule type="cellIs" dxfId="0" priority="1" operator="lessThan">
      <formula>97.95</formula>
    </cfRule>
  </conditionalFormatting>
  <dataValidations count="1">
    <dataValidation type="list" allowBlank="1" showInputMessage="1" showErrorMessage="1" sqref="R8" xr:uid="{3A2AF63A-EB4C-4319-90A6-5799894D758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93" t="s">
        <v>58</v>
      </c>
      <c r="C2" s="593"/>
      <c r="D2" s="593"/>
      <c r="E2" s="593"/>
      <c r="F2" s="593"/>
      <c r="G2" s="593"/>
      <c r="H2" s="593"/>
      <c r="I2" s="593"/>
      <c r="J2" s="593"/>
      <c r="K2" s="593"/>
    </row>
    <row r="3" spans="2:14" ht="15.75" hidden="1" thickBot="1">
      <c r="B3" s="79"/>
    </row>
    <row r="4" spans="2:14" ht="13.5" hidden="1" thickBot="1">
      <c r="B4" s="78" t="s">
        <v>7</v>
      </c>
      <c r="C4" s="594">
        <v>41431</v>
      </c>
      <c r="D4" s="59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5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599" t="s">
        <v>62</v>
      </c>
      <c r="J8" s="82" t="s">
        <v>25</v>
      </c>
      <c r="K8" s="601" t="s">
        <v>28</v>
      </c>
    </row>
    <row r="9" spans="2:14" ht="26.25" hidden="1" thickBot="1">
      <c r="B9" s="596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2"/>
      <c r="L9" s="86"/>
      <c r="M9" s="86"/>
      <c r="N9" s="86"/>
    </row>
    <row r="10" spans="2:14" ht="13.5" hidden="1" thickBot="1">
      <c r="B10" s="87" t="s">
        <v>64</v>
      </c>
      <c r="C10" s="88" t="str">
        <f>[43]Brewhouse!A5359</f>
        <v>CA236</v>
      </c>
      <c r="D10" s="88">
        <f>[43]Brewhouse!B5359</f>
        <v>41437</v>
      </c>
      <c r="E10" s="89">
        <f>[43]Brewhouse!AG5359</f>
        <v>49.011000000000003</v>
      </c>
      <c r="F10" s="90">
        <f>[43]Brewhouse!T5359</f>
        <v>60</v>
      </c>
      <c r="G10" s="91">
        <f>[43]Brewhouse!I5359</f>
        <v>19.79</v>
      </c>
      <c r="H10" s="92">
        <f>[43]Brewhouse!AS5359</f>
        <v>94.981545664755075</v>
      </c>
      <c r="I10" s="92">
        <f>[43]Brewhouse!AT5359</f>
        <v>97.074072469002047</v>
      </c>
      <c r="J10" s="93">
        <f>[43]Brewhouse!S5359-[43]Brewhouse!R5359</f>
        <v>0.10694444444444451</v>
      </c>
      <c r="K10" s="94"/>
      <c r="N10" s="95"/>
    </row>
    <row r="11" spans="2:14" ht="13.5" hidden="1" thickBot="1">
      <c r="B11" s="96"/>
      <c r="C11" s="88" t="str">
        <f>[43]Brewhouse!A5360</f>
        <v>CA237</v>
      </c>
      <c r="D11" s="88">
        <f>[43]Brewhouse!B5360</f>
        <v>41437</v>
      </c>
      <c r="E11" s="89">
        <f>[43]Brewhouse!AG5360</f>
        <v>48.531999999999996</v>
      </c>
      <c r="F11" s="90">
        <f>[43]Brewhouse!T5360</f>
        <v>68</v>
      </c>
      <c r="G11" s="91">
        <f>[43]Brewhouse!I5360</f>
        <v>17.7</v>
      </c>
      <c r="H11" s="92">
        <f>[43]Brewhouse!AS5360</f>
        <v>94.053260986347809</v>
      </c>
      <c r="I11" s="92">
        <f>[43]Brewhouse!AT5360</f>
        <v>96.1253368644918</v>
      </c>
      <c r="J11" s="93">
        <f>[43]Brewhouse!S5360-[43]Brewhouse!R5360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[43]Brewhouse!A5361</f>
        <v>CA238</v>
      </c>
      <c r="D12" s="88">
        <f>[43]Brewhouse!B5361</f>
        <v>41437</v>
      </c>
      <c r="E12" s="89">
        <f>[43]Brewhouse!AG5361</f>
        <v>50.466999999999999</v>
      </c>
      <c r="F12" s="90">
        <f>[43]Brewhouse!T5361</f>
        <v>61</v>
      </c>
      <c r="G12" s="91">
        <f>[43]Brewhouse!I5361</f>
        <v>19.7</v>
      </c>
      <c r="H12" s="92">
        <f>[43]Brewhouse!AS5361</f>
        <v>96.931393272913695</v>
      </c>
      <c r="I12" s="92">
        <f>[43]Brewhouse!AT5361</f>
        <v>99.066876931102286</v>
      </c>
      <c r="J12" s="93">
        <f>[43]Brewhouse!S5361-[43]Brewhouse!R5361</f>
        <v>0.10208333333333341</v>
      </c>
      <c r="K12" s="98"/>
    </row>
    <row r="13" spans="2:14" ht="13.5" hidden="1" thickBot="1">
      <c r="B13" s="99"/>
      <c r="C13" s="88" t="str">
        <f>[43]Brewhouse!A5362</f>
        <v>CA239</v>
      </c>
      <c r="D13" s="88">
        <f>[43]Brewhouse!B5362</f>
        <v>41437</v>
      </c>
      <c r="E13" s="89">
        <f>[43]Brewhouse!AG5362</f>
        <v>49.374000000000002</v>
      </c>
      <c r="F13" s="90">
        <f>[43]Brewhouse!T5362</f>
        <v>62</v>
      </c>
      <c r="G13" s="91">
        <f>[43]Brewhouse!I5362</f>
        <v>19</v>
      </c>
      <c r="H13" s="92">
        <f>[43]Brewhouse!AS5362</f>
        <v>95.68502653795305</v>
      </c>
      <c r="I13" s="92">
        <f>[43]Brewhouse!AT5362</f>
        <v>97.793051643192499</v>
      </c>
      <c r="J13" s="93">
        <f>[43]Brewhouse!S5362-[43]Brewhouse!R5362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3" t="s">
        <v>69</v>
      </c>
      <c r="G21" s="60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[43]Brewhouse!N5359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[43]Brewhouse!N5360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[43]Brewhouse!N5361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[43]Brewhouse!N5362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AVERAGE([43]Brewhouse!$AS$5347:$AS$5362)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AVERAGE([44]Brewhouse!$AQ$641:$AQ$644)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AVERAGE([45]Brewhouse!$AU$708:$AU$711)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AVERAGE([46]Brewhouse!$AY$943:$AY$946)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5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612" t="s">
        <v>28</v>
      </c>
      <c r="I43" s="613"/>
      <c r="J43" s="613"/>
      <c r="K43" s="601" t="s">
        <v>27</v>
      </c>
    </row>
    <row r="44" spans="2:15" ht="15.75" hidden="1" customHeight="1" thickBot="1">
      <c r="B44" s="608"/>
      <c r="C44" s="609"/>
      <c r="D44" s="609"/>
      <c r="E44" s="609"/>
      <c r="F44" s="609"/>
      <c r="G44" s="609"/>
      <c r="H44" s="614"/>
      <c r="I44" s="615"/>
      <c r="J44" s="615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6"/>
      <c r="I46" s="617"/>
      <c r="J46" s="61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6"/>
      <c r="I47" s="617"/>
      <c r="J47" s="61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6"/>
      <c r="I48" s="617"/>
      <c r="J48" s="61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8"/>
      <c r="I52" s="619"/>
      <c r="J52" s="619"/>
      <c r="K52" s="183"/>
    </row>
    <row r="53" spans="2:11" ht="13.5" thickBot="1">
      <c r="B53" s="184"/>
      <c r="C53" s="117"/>
      <c r="D53" s="620" t="s">
        <v>80</v>
      </c>
      <c r="E53" s="620"/>
      <c r="F53" s="620"/>
      <c r="G53" s="620"/>
      <c r="H53" s="620"/>
      <c r="I53" s="620"/>
      <c r="J53" s="620"/>
      <c r="K53" s="185"/>
    </row>
    <row r="54" spans="2:11" ht="13.5" thickBot="1">
      <c r="B54" s="621" t="s">
        <v>55</v>
      </c>
      <c r="C54" s="622"/>
      <c r="D54" s="622"/>
      <c r="E54" s="623"/>
      <c r="F54" s="621" t="s">
        <v>56</v>
      </c>
      <c r="G54" s="622"/>
      <c r="H54" s="623"/>
      <c r="I54" s="624" t="s">
        <v>81</v>
      </c>
      <c r="J54" s="625"/>
      <c r="K54" s="62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[42]MTD!$E5</f>
        <v>5.7615398276641319</v>
      </c>
      <c r="E56" s="192">
        <v>5</v>
      </c>
      <c r="F56" s="191"/>
      <c r="G56" s="76">
        <f>[40]October_2025!AN3</f>
        <v>4.7207779134726842</v>
      </c>
      <c r="H56" s="192">
        <v>5</v>
      </c>
      <c r="I56" s="193"/>
      <c r="J56" s="194">
        <f>[41]October_2025!AN13</f>
        <v>0.75113749178388578</v>
      </c>
      <c r="K56" s="195">
        <v>1</v>
      </c>
    </row>
    <row r="57" spans="2:11" ht="15">
      <c r="B57" s="33" t="s">
        <v>72</v>
      </c>
      <c r="C57" s="191"/>
      <c r="D57" s="76">
        <f>[42]MTD!$E6</f>
        <v>4.6321640098754937</v>
      </c>
      <c r="E57" s="192">
        <v>5</v>
      </c>
      <c r="F57" s="191"/>
      <c r="G57" s="76">
        <f>[40]October_2025!AN4</f>
        <v>4.1270646700190561</v>
      </c>
      <c r="H57" s="192">
        <v>5</v>
      </c>
      <c r="I57" s="196"/>
      <c r="J57" s="194">
        <f>[41]October_2025!AN14</f>
        <v>0.74923780688282027</v>
      </c>
      <c r="K57" s="195">
        <v>1</v>
      </c>
    </row>
    <row r="58" spans="2:11" ht="15">
      <c r="B58" s="34" t="s">
        <v>73</v>
      </c>
      <c r="C58" s="191"/>
      <c r="D58" s="76">
        <f>[42]MTD!$E7</f>
        <v>9.9791432696935729</v>
      </c>
      <c r="E58" s="192">
        <v>5</v>
      </c>
      <c r="F58" s="191"/>
      <c r="G58" s="76">
        <f>[40]October_2025!AN5</f>
        <v>12.116624108338717</v>
      </c>
      <c r="H58" s="192">
        <v>5</v>
      </c>
      <c r="I58" s="196"/>
      <c r="J58" s="194">
        <f>[41]October_2025!AN15</f>
        <v>0.51395189003436426</v>
      </c>
      <c r="K58" s="195">
        <v>1</v>
      </c>
    </row>
    <row r="59" spans="2:11" ht="15">
      <c r="B59" s="197" t="s">
        <v>74</v>
      </c>
      <c r="C59" s="191"/>
      <c r="D59" s="76">
        <f>[42]MTD!$E8</f>
        <v>5.1294697903822328</v>
      </c>
      <c r="E59" s="192">
        <v>3.5</v>
      </c>
      <c r="F59" s="191"/>
      <c r="G59" s="76">
        <f>[40]October_2025!AN6</f>
        <v>4.536248812516166</v>
      </c>
      <c r="H59" s="192">
        <v>3.5</v>
      </c>
      <c r="I59" s="196"/>
      <c r="J59" s="194">
        <f>[41]October_2025!AN16</f>
        <v>1.3498245614035089</v>
      </c>
      <c r="K59" s="195">
        <v>1</v>
      </c>
    </row>
    <row r="60" spans="2:11" ht="15.75" thickBot="1">
      <c r="B60" s="38" t="s">
        <v>160</v>
      </c>
      <c r="C60" s="191"/>
      <c r="D60" s="76" t="e">
        <f>[42]MTD!$E9</f>
        <v>#DIV/0!</v>
      </c>
      <c r="E60" s="192">
        <v>3.5</v>
      </c>
      <c r="F60" s="198"/>
      <c r="G60" s="76" t="e">
        <f>[40]October_2025!AN7</f>
        <v>#DIV/0!</v>
      </c>
      <c r="H60" s="192">
        <v>3.5</v>
      </c>
      <c r="I60" s="196"/>
      <c r="J60" s="194" t="e">
        <f>[41]October_2025!AN17</f>
        <v>#DIV/0!</v>
      </c>
      <c r="K60" s="195">
        <v>1</v>
      </c>
    </row>
    <row r="61" spans="2:11" ht="15">
      <c r="B61" s="199" t="s">
        <v>76</v>
      </c>
      <c r="C61" s="191"/>
      <c r="D61" s="76" t="e">
        <f>[42]MTD!$E10</f>
        <v>#DIV/0!</v>
      </c>
      <c r="E61" s="200">
        <v>5</v>
      </c>
      <c r="F61" s="191"/>
      <c r="G61" s="76" t="e">
        <f>[40]October_2025!AN8</f>
        <v>#DIV/0!</v>
      </c>
      <c r="H61" s="200">
        <v>5</v>
      </c>
      <c r="I61" s="196"/>
      <c r="J61" s="194" t="e">
        <f>[41]October_2025!AN18</f>
        <v>#DIV/0!</v>
      </c>
      <c r="K61" s="195">
        <v>1</v>
      </c>
    </row>
    <row r="62" spans="2:11" ht="15">
      <c r="B62" s="201" t="s">
        <v>82</v>
      </c>
      <c r="C62" s="202"/>
      <c r="D62" s="76">
        <f>[42]MTD!$E11</f>
        <v>2.0782986950217497</v>
      </c>
      <c r="E62" s="200">
        <v>3.3</v>
      </c>
      <c r="F62" s="202"/>
      <c r="G62" s="76">
        <f>[40]October_2025!AN9</f>
        <v>3.4559849687930924</v>
      </c>
      <c r="H62" s="200">
        <v>3.3</v>
      </c>
      <c r="I62" s="203"/>
      <c r="J62" s="194">
        <f>[41]October_2025!AN19</f>
        <v>0.88859649122807016</v>
      </c>
      <c r="K62" s="204">
        <v>1</v>
      </c>
    </row>
    <row r="63" spans="2:11" ht="15.75" thickBot="1">
      <c r="B63" s="38" t="s">
        <v>128</v>
      </c>
      <c r="C63" s="205"/>
      <c r="D63" s="76" t="e">
        <f>[42]MTD!$E12</f>
        <v>#DIV/0!</v>
      </c>
      <c r="E63" s="206">
        <v>3.5</v>
      </c>
      <c r="F63" s="205"/>
      <c r="G63" s="76" t="e">
        <f>[40]October_2025!AN10</f>
        <v>#DIV/0!</v>
      </c>
      <c r="H63" s="206">
        <v>3.5</v>
      </c>
      <c r="I63" s="207"/>
      <c r="J63" s="194" t="e">
        <f>[41]October_2025!AN20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[42]MTD!$E13</f>
        <v>#DIV/0!</v>
      </c>
      <c r="E64" s="192">
        <v>5</v>
      </c>
      <c r="F64" s="198"/>
      <c r="G64" s="76" t="e">
        <f>[40]October_2025!AN11</f>
        <v>#DIV/0!</v>
      </c>
      <c r="H64" s="192">
        <v>5</v>
      </c>
      <c r="I64" s="412"/>
      <c r="J64" s="194">
        <f>[41]October_2025!AN21</f>
        <v>0</v>
      </c>
      <c r="K64" s="208">
        <v>1</v>
      </c>
    </row>
    <row r="65" spans="2:11">
      <c r="B65" s="209"/>
      <c r="C65" s="210"/>
      <c r="D65" s="76">
        <f>[42]MTD!$E14</f>
        <v>5.4957905979081598</v>
      </c>
      <c r="E65" s="210"/>
      <c r="F65" s="210"/>
      <c r="G65" s="76">
        <f>[40]October_2025!AN12</f>
        <v>5.2307086713381699</v>
      </c>
      <c r="H65" s="211"/>
      <c r="I65" s="212"/>
      <c r="J65" s="194">
        <f>[41]October_2025!AN22</f>
        <v>0.7670552646887725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93" t="s">
        <v>58</v>
      </c>
      <c r="C2" s="593"/>
      <c r="D2" s="593"/>
      <c r="E2" s="593"/>
      <c r="F2" s="593"/>
      <c r="G2" s="593"/>
      <c r="H2" s="593"/>
      <c r="I2" s="593"/>
      <c r="J2" s="593"/>
      <c r="K2" s="593"/>
    </row>
    <row r="3" spans="2:14" ht="15.75" hidden="1" thickBot="1">
      <c r="B3" s="79"/>
    </row>
    <row r="4" spans="2:14" ht="13.5" hidden="1" thickBot="1">
      <c r="B4" s="78" t="s">
        <v>7</v>
      </c>
      <c r="C4" s="594">
        <v>41431</v>
      </c>
      <c r="D4" s="59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5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599" t="s">
        <v>62</v>
      </c>
      <c r="J8" s="82" t="s">
        <v>25</v>
      </c>
      <c r="K8" s="601" t="s">
        <v>28</v>
      </c>
    </row>
    <row r="9" spans="2:14" ht="26.25" hidden="1" thickBot="1">
      <c r="B9" s="596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2"/>
      <c r="L9" s="86"/>
      <c r="M9" s="86"/>
      <c r="N9" s="86"/>
    </row>
    <row r="10" spans="2:14" ht="13.5" hidden="1" thickBot="1">
      <c r="B10" s="87" t="s">
        <v>64</v>
      </c>
      <c r="C10" s="88" t="str">
        <f>[43]Brewhouse!A5359</f>
        <v>CA236</v>
      </c>
      <c r="D10" s="88">
        <f>[43]Brewhouse!B5359</f>
        <v>41437</v>
      </c>
      <c r="E10" s="89">
        <f>[43]Brewhouse!AG5359</f>
        <v>49.011000000000003</v>
      </c>
      <c r="F10" s="90">
        <f>[43]Brewhouse!T5359</f>
        <v>60</v>
      </c>
      <c r="G10" s="91">
        <f>[43]Brewhouse!I5359</f>
        <v>19.79</v>
      </c>
      <c r="H10" s="92">
        <f>[43]Brewhouse!AS5359</f>
        <v>94.981545664755075</v>
      </c>
      <c r="I10" s="92">
        <f>[43]Brewhouse!AT5359</f>
        <v>97.074072469002047</v>
      </c>
      <c r="J10" s="93">
        <f>[43]Brewhouse!S5359-[43]Brewhouse!R5359</f>
        <v>0.10694444444444451</v>
      </c>
      <c r="K10" s="94"/>
      <c r="N10" s="95"/>
    </row>
    <row r="11" spans="2:14" ht="13.5" hidden="1" thickBot="1">
      <c r="B11" s="96"/>
      <c r="C11" s="88" t="str">
        <f>[43]Brewhouse!A5360</f>
        <v>CA237</v>
      </c>
      <c r="D11" s="88">
        <f>[43]Brewhouse!B5360</f>
        <v>41437</v>
      </c>
      <c r="E11" s="89">
        <f>[43]Brewhouse!AG5360</f>
        <v>48.531999999999996</v>
      </c>
      <c r="F11" s="90">
        <f>[43]Brewhouse!T5360</f>
        <v>68</v>
      </c>
      <c r="G11" s="91">
        <f>[43]Brewhouse!I5360</f>
        <v>17.7</v>
      </c>
      <c r="H11" s="92">
        <f>[43]Brewhouse!AS5360</f>
        <v>94.053260986347809</v>
      </c>
      <c r="I11" s="92">
        <f>[43]Brewhouse!AT5360</f>
        <v>96.1253368644918</v>
      </c>
      <c r="J11" s="93">
        <f>[43]Brewhouse!S5360-[43]Brewhouse!R5360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[43]Brewhouse!A5361</f>
        <v>CA238</v>
      </c>
      <c r="D12" s="88">
        <f>[43]Brewhouse!B5361</f>
        <v>41437</v>
      </c>
      <c r="E12" s="89">
        <f>[43]Brewhouse!AG5361</f>
        <v>50.466999999999999</v>
      </c>
      <c r="F12" s="90">
        <f>[43]Brewhouse!T5361</f>
        <v>61</v>
      </c>
      <c r="G12" s="91">
        <f>[43]Brewhouse!I5361</f>
        <v>19.7</v>
      </c>
      <c r="H12" s="92">
        <f>[43]Brewhouse!AS5361</f>
        <v>96.931393272913695</v>
      </c>
      <c r="I12" s="92">
        <f>[43]Brewhouse!AT5361</f>
        <v>99.066876931102286</v>
      </c>
      <c r="J12" s="93">
        <f>[43]Brewhouse!S5361-[43]Brewhouse!R5361</f>
        <v>0.10208333333333341</v>
      </c>
      <c r="K12" s="98"/>
    </row>
    <row r="13" spans="2:14" ht="13.5" hidden="1" thickBot="1">
      <c r="B13" s="99"/>
      <c r="C13" s="88" t="str">
        <f>[43]Brewhouse!A5362</f>
        <v>CA239</v>
      </c>
      <c r="D13" s="88">
        <f>[43]Brewhouse!B5362</f>
        <v>41437</v>
      </c>
      <c r="E13" s="89">
        <f>[43]Brewhouse!AG5362</f>
        <v>49.374000000000002</v>
      </c>
      <c r="F13" s="90">
        <f>[43]Brewhouse!T5362</f>
        <v>62</v>
      </c>
      <c r="G13" s="91">
        <f>[43]Brewhouse!I5362</f>
        <v>19</v>
      </c>
      <c r="H13" s="92">
        <f>[43]Brewhouse!AS5362</f>
        <v>95.68502653795305</v>
      </c>
      <c r="I13" s="92">
        <f>[43]Brewhouse!AT5362</f>
        <v>97.793051643192499</v>
      </c>
      <c r="J13" s="93">
        <f>[43]Brewhouse!S5362-[43]Brewhouse!R5362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3" t="s">
        <v>69</v>
      </c>
      <c r="G21" s="60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[43]Brewhouse!N5359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[43]Brewhouse!N5360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[43]Brewhouse!N5361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[43]Brewhouse!N5362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AVERAGE([43]Brewhouse!$AS$5347:$AS$5362)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AVERAGE([44]Brewhouse!$AQ$641:$AQ$644)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AVERAGE([45]Brewhouse!$AU$708:$AU$711)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AVERAGE([46]Brewhouse!$AY$943:$AY$946)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5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612" t="s">
        <v>28</v>
      </c>
      <c r="I43" s="613"/>
      <c r="J43" s="613"/>
      <c r="K43" s="601" t="s">
        <v>27</v>
      </c>
    </row>
    <row r="44" spans="2:15" ht="15.75" hidden="1" customHeight="1" thickBot="1">
      <c r="B44" s="608"/>
      <c r="C44" s="609"/>
      <c r="D44" s="609"/>
      <c r="E44" s="609"/>
      <c r="F44" s="609"/>
      <c r="G44" s="609"/>
      <c r="H44" s="614"/>
      <c r="I44" s="615"/>
      <c r="J44" s="615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6"/>
      <c r="I46" s="617"/>
      <c r="J46" s="61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6"/>
      <c r="I47" s="617"/>
      <c r="J47" s="61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6"/>
      <c r="I48" s="617"/>
      <c r="J48" s="61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8"/>
      <c r="I52" s="619"/>
      <c r="J52" s="619"/>
      <c r="K52" s="183"/>
    </row>
    <row r="53" spans="2:11" ht="13.5" thickBot="1">
      <c r="B53" s="184"/>
      <c r="C53" s="117"/>
      <c r="D53" s="620" t="s">
        <v>80</v>
      </c>
      <c r="E53" s="620"/>
      <c r="F53" s="620"/>
      <c r="G53" s="620"/>
      <c r="H53" s="620"/>
      <c r="I53" s="620"/>
      <c r="J53" s="620"/>
      <c r="K53" s="185"/>
    </row>
    <row r="54" spans="2:11" ht="13.5" thickBot="1">
      <c r="B54" s="621" t="s">
        <v>55</v>
      </c>
      <c r="C54" s="622"/>
      <c r="D54" s="622"/>
      <c r="E54" s="623"/>
      <c r="F54" s="621" t="s">
        <v>56</v>
      </c>
      <c r="G54" s="622"/>
      <c r="H54" s="623"/>
      <c r="I54" s="624" t="s">
        <v>81</v>
      </c>
      <c r="J54" s="625"/>
      <c r="K54" s="62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'[42]YTD 2025'!$E5</f>
        <v>6.0686209868378356</v>
      </c>
      <c r="E56" s="192">
        <v>5</v>
      </c>
      <c r="F56" s="191"/>
      <c r="G56" s="76">
        <f>[40]October_2025!AQ3</f>
        <v>6.0690614118039425</v>
      </c>
      <c r="H56" s="192">
        <v>5</v>
      </c>
      <c r="I56" s="193"/>
      <c r="J56" s="194">
        <f>[41]October_2025!AQ13</f>
        <v>0.766942335653922</v>
      </c>
      <c r="K56" s="195">
        <v>1</v>
      </c>
    </row>
    <row r="57" spans="2:11" ht="15">
      <c r="B57" s="33" t="s">
        <v>72</v>
      </c>
      <c r="C57" s="191"/>
      <c r="D57" s="76">
        <f>'[42]YTD 2025'!$E6</f>
        <v>5.7508356556237938</v>
      </c>
      <c r="E57" s="192">
        <v>5</v>
      </c>
      <c r="F57" s="191"/>
      <c r="G57" s="76">
        <f>[40]October_2025!AQ4</f>
        <v>5.472350679500849</v>
      </c>
      <c r="H57" s="192">
        <v>5</v>
      </c>
      <c r="I57" s="196"/>
      <c r="J57" s="194">
        <f>[41]October_2025!AQ14</f>
        <v>0.72026911881970812</v>
      </c>
      <c r="K57" s="195">
        <v>1</v>
      </c>
    </row>
    <row r="58" spans="2:11" ht="15">
      <c r="B58" s="34" t="s">
        <v>73</v>
      </c>
      <c r="C58" s="191"/>
      <c r="D58" s="76">
        <f>'[42]YTD 2025'!$E7</f>
        <v>11.000555864369074</v>
      </c>
      <c r="E58" s="192">
        <v>5</v>
      </c>
      <c r="F58" s="191"/>
      <c r="G58" s="76">
        <f>[40]October_2025!AQ5</f>
        <v>12.668713273493125</v>
      </c>
      <c r="H58" s="192">
        <v>5</v>
      </c>
      <c r="I58" s="196"/>
      <c r="J58" s="194">
        <f>[41]October_2025!AQ15</f>
        <v>0.53320359281437135</v>
      </c>
      <c r="K58" s="195">
        <v>1</v>
      </c>
    </row>
    <row r="59" spans="2:11" ht="15">
      <c r="B59" s="197" t="s">
        <v>74</v>
      </c>
      <c r="C59" s="191"/>
      <c r="D59" s="76">
        <f>'[42]YTD 2025'!$E8</f>
        <v>4.70482832098405</v>
      </c>
      <c r="E59" s="192">
        <v>3.5</v>
      </c>
      <c r="F59" s="191"/>
      <c r="G59" s="76">
        <f>[40]October_2025!AQ6</f>
        <v>4.4829345306946999</v>
      </c>
      <c r="H59" s="192">
        <v>3.5</v>
      </c>
      <c r="I59" s="196"/>
      <c r="J59" s="194">
        <f>[41]October_2025!AQ16</f>
        <v>0.8425337381916328</v>
      </c>
      <c r="K59" s="195">
        <v>1</v>
      </c>
    </row>
    <row r="60" spans="2:11" ht="15.75" thickBot="1">
      <c r="B60" s="38" t="s">
        <v>160</v>
      </c>
      <c r="C60" s="191"/>
      <c r="D60" s="76">
        <f>'[42]YTD 2025'!$E9</f>
        <v>7.837301587301579</v>
      </c>
      <c r="E60" s="192">
        <v>3.5</v>
      </c>
      <c r="F60" s="198"/>
      <c r="G60" s="76">
        <f>[40]October_2025!AQ7</f>
        <v>5.3377569154690221</v>
      </c>
      <c r="H60" s="192">
        <v>3.5</v>
      </c>
      <c r="I60" s="196"/>
      <c r="J60" s="194">
        <f>[41]October_2025!AQ17</f>
        <v>0.32596491228070179</v>
      </c>
      <c r="K60" s="195">
        <v>1</v>
      </c>
    </row>
    <row r="61" spans="2:11" ht="15">
      <c r="B61" s="199" t="s">
        <v>76</v>
      </c>
      <c r="C61" s="191"/>
      <c r="D61" s="76">
        <f>'[42]YTD 2025'!$E10</f>
        <v>6.8851328044153277</v>
      </c>
      <c r="E61" s="200">
        <v>5</v>
      </c>
      <c r="F61" s="191"/>
      <c r="G61" s="76">
        <f>[40]October_2025!AQ8</f>
        <v>8.6614709463340702</v>
      </c>
      <c r="H61" s="200">
        <v>5</v>
      </c>
      <c r="I61" s="196"/>
      <c r="J61" s="194">
        <f>[41]October_2025!AQ18</f>
        <v>0.73160818713450293</v>
      </c>
      <c r="K61" s="195">
        <v>1</v>
      </c>
    </row>
    <row r="62" spans="2:11" ht="15">
      <c r="B62" s="201" t="s">
        <v>82</v>
      </c>
      <c r="C62" s="202"/>
      <c r="D62" s="76">
        <f>'[42]YTD 2025'!$E11</f>
        <v>2.9442117404237127</v>
      </c>
      <c r="E62" s="200">
        <v>3.3</v>
      </c>
      <c r="F62" s="202"/>
      <c r="G62" s="76">
        <f>[40]October_2025!AQ9</f>
        <v>4.3478819741669881</v>
      </c>
      <c r="H62" s="200">
        <v>3.3</v>
      </c>
      <c r="I62" s="203"/>
      <c r="J62" s="194">
        <f>[41]October_2025!AQ19</f>
        <v>0.85935680751173715</v>
      </c>
      <c r="K62" s="204">
        <v>1</v>
      </c>
    </row>
    <row r="63" spans="2:11" ht="15.75" thickBot="1">
      <c r="B63" s="38" t="s">
        <v>128</v>
      </c>
      <c r="C63" s="205"/>
      <c r="D63" s="76">
        <f>'[42]YTD 2025'!$E12</f>
        <v>11.483253588516746</v>
      </c>
      <c r="E63" s="206">
        <v>3.5</v>
      </c>
      <c r="F63" s="205"/>
      <c r="G63" s="76">
        <f>[40]October_2025!AQ10</f>
        <v>9.7934336121043764</v>
      </c>
      <c r="H63" s="206">
        <v>3.5</v>
      </c>
      <c r="I63" s="207"/>
      <c r="J63" s="194">
        <f>[41]October_2025!AQ20</f>
        <v>0.32456140350877194</v>
      </c>
      <c r="K63" s="208">
        <v>1</v>
      </c>
    </row>
    <row r="64" spans="2:11" ht="15.75" thickBot="1">
      <c r="B64" s="413" t="s">
        <v>159</v>
      </c>
      <c r="C64" s="205"/>
      <c r="D64" s="76">
        <f>'[42]YTD 2025'!$E13</f>
        <v>7.2653644592663174</v>
      </c>
      <c r="E64" s="206">
        <v>5</v>
      </c>
      <c r="F64" s="205"/>
      <c r="G64" s="76">
        <f>[40]October_2025!AQ11</f>
        <v>8.1715311054411259</v>
      </c>
      <c r="H64" s="206">
        <v>5</v>
      </c>
      <c r="I64" s="207"/>
      <c r="J64" s="194">
        <f>[41]October_2025!AQ21</f>
        <v>0.51368421052631585</v>
      </c>
      <c r="K64" s="208">
        <v>1</v>
      </c>
    </row>
    <row r="65" spans="2:11">
      <c r="B65" s="209"/>
      <c r="C65" s="210"/>
      <c r="D65" s="76">
        <f>'[42]YTD 2025'!$E14</f>
        <v>6.1225896062292104</v>
      </c>
      <c r="E65" s="210"/>
      <c r="F65" s="210"/>
      <c r="G65" s="76">
        <f>[40]October_2025!AQ12</f>
        <v>6.4179159282178588</v>
      </c>
      <c r="H65" s="211"/>
      <c r="I65" s="212"/>
      <c r="J65" s="194">
        <f>[41]October_2025!AQ22</f>
        <v>0.73474054112907627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7" t="s">
        <v>34</v>
      </c>
      <c r="C2" s="627"/>
      <c r="D2" s="627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7" t="s">
        <v>100</v>
      </c>
      <c r="C14" s="627"/>
      <c r="D14" s="627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7" t="s">
        <v>101</v>
      </c>
      <c r="C27" s="627"/>
      <c r="D27" s="627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9" t="s">
        <v>102</v>
      </c>
      <c r="D3" s="630"/>
      <c r="E3" s="631">
        <f ca="1">TODAY()</f>
        <v>45971</v>
      </c>
      <c r="F3" s="631"/>
      <c r="G3" s="63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2" t="s">
        <v>143</v>
      </c>
      <c r="D14" s="632"/>
      <c r="E14" s="632"/>
      <c r="F14" s="632"/>
      <c r="G14" s="632"/>
      <c r="H14" s="632"/>
    </row>
    <row r="15" spans="3:23" ht="15" customHeight="1">
      <c r="C15" s="632"/>
      <c r="D15" s="632"/>
      <c r="E15" s="632"/>
      <c r="F15" s="632"/>
      <c r="G15" s="632"/>
      <c r="H15" s="632"/>
    </row>
    <row r="16" spans="3:23" ht="15" customHeight="1">
      <c r="C16" s="632"/>
      <c r="D16" s="632"/>
      <c r="E16" s="632"/>
      <c r="F16" s="632"/>
      <c r="G16" s="632"/>
      <c r="H16" s="632"/>
    </row>
    <row r="17" spans="3:8" ht="15" customHeight="1">
      <c r="C17" s="632"/>
      <c r="D17" s="632"/>
      <c r="E17" s="632"/>
      <c r="F17" s="632"/>
      <c r="G17" s="632"/>
      <c r="H17" s="632"/>
    </row>
    <row r="18" spans="3:8" ht="15" customHeight="1">
      <c r="C18" s="632"/>
      <c r="D18" s="632"/>
      <c r="E18" s="632"/>
      <c r="F18" s="632"/>
      <c r="G18" s="632"/>
      <c r="H18" s="632"/>
    </row>
    <row r="19" spans="3:8" ht="15" customHeight="1">
      <c r="C19" s="632"/>
      <c r="D19" s="632"/>
      <c r="E19" s="632"/>
      <c r="F19" s="632"/>
      <c r="G19" s="632"/>
      <c r="H19" s="632"/>
    </row>
    <row r="20" spans="3:8" ht="15" customHeight="1">
      <c r="C20" s="632"/>
      <c r="D20" s="632"/>
      <c r="E20" s="632"/>
      <c r="F20" s="632"/>
      <c r="G20" s="632"/>
      <c r="H20" s="632"/>
    </row>
    <row r="21" spans="3:8" ht="15" customHeight="1">
      <c r="C21" s="632"/>
      <c r="D21" s="632"/>
      <c r="E21" s="632"/>
      <c r="F21" s="632"/>
      <c r="G21" s="632"/>
      <c r="H21" s="632"/>
    </row>
    <row r="22" spans="3:8" ht="15" customHeight="1">
      <c r="C22" s="632"/>
      <c r="D22" s="632"/>
      <c r="E22" s="632"/>
      <c r="F22" s="632"/>
      <c r="G22" s="632"/>
      <c r="H22" s="632"/>
    </row>
    <row r="23" spans="3:8" ht="15" customHeight="1">
      <c r="C23" s="632"/>
      <c r="D23" s="632"/>
      <c r="E23" s="632"/>
      <c r="F23" s="632"/>
      <c r="G23" s="632"/>
      <c r="H23" s="632"/>
    </row>
    <row r="24" spans="3:8" ht="15" customHeight="1">
      <c r="C24" s="632"/>
      <c r="D24" s="632"/>
      <c r="E24" s="632"/>
      <c r="F24" s="632"/>
      <c r="G24" s="632"/>
      <c r="H24" s="632"/>
    </row>
    <row r="25" spans="3:8" ht="15" customHeight="1">
      <c r="C25" s="632"/>
      <c r="D25" s="632"/>
      <c r="E25" s="632"/>
      <c r="F25" s="632"/>
      <c r="G25" s="632"/>
      <c r="H25" s="632"/>
    </row>
    <row r="26" spans="3:8" ht="15" customHeight="1">
      <c r="C26" s="632"/>
      <c r="D26" s="632"/>
      <c r="E26" s="632"/>
      <c r="F26" s="632"/>
      <c r="G26" s="632"/>
      <c r="H26" s="632"/>
    </row>
    <row r="27" spans="3:8" ht="15" customHeight="1">
      <c r="C27" s="632"/>
      <c r="D27" s="632"/>
      <c r="E27" s="632"/>
      <c r="F27" s="632"/>
      <c r="G27" s="632"/>
      <c r="H27" s="632"/>
    </row>
    <row r="28" spans="3:8" ht="15" customHeight="1">
      <c r="C28" s="632"/>
      <c r="D28" s="632"/>
      <c r="E28" s="632"/>
      <c r="F28" s="632"/>
      <c r="G28" s="632"/>
      <c r="H28" s="632"/>
    </row>
    <row r="29" spans="3:8" ht="15" customHeight="1">
      <c r="C29" s="632"/>
      <c r="D29" s="632"/>
      <c r="E29" s="632"/>
      <c r="F29" s="632"/>
      <c r="G29" s="632"/>
      <c r="H29" s="632"/>
    </row>
    <row r="30" spans="3:8" ht="15" customHeight="1">
      <c r="C30" s="632"/>
      <c r="D30" s="632"/>
      <c r="E30" s="632"/>
      <c r="F30" s="632"/>
      <c r="G30" s="632"/>
      <c r="H30" s="632"/>
    </row>
    <row r="31" spans="3:8" ht="15" customHeight="1">
      <c r="C31" s="632"/>
      <c r="D31" s="632"/>
      <c r="E31" s="632"/>
      <c r="F31" s="632"/>
      <c r="G31" s="632"/>
      <c r="H31" s="632"/>
    </row>
    <row r="36" spans="2:17" ht="15" customHeight="1"/>
    <row r="37" spans="2:17" ht="15" customHeight="1"/>
    <row r="38" spans="2:17" ht="30.75" customHeight="1" thickBot="1">
      <c r="C38" s="633" t="s">
        <v>109</v>
      </c>
      <c r="D38" s="633"/>
      <c r="E38" s="633"/>
      <c r="F38" s="634">
        <f ca="1">TODAY()</f>
        <v>45971</v>
      </c>
      <c r="G38" s="634"/>
      <c r="H38" s="634"/>
      <c r="I38" s="634"/>
      <c r="J38" s="635" t="s">
        <v>110</v>
      </c>
      <c r="K38" s="635"/>
      <c r="L38" s="635"/>
      <c r="M38" s="635"/>
      <c r="N38" s="635"/>
      <c r="O38" s="635"/>
      <c r="P38" s="635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'[47]Brewer Performance'!D40</f>
        <v>96.507822129582451</v>
      </c>
      <c r="E40" s="259">
        <f>AVERAGE('[48]Feb. 1'!I12:I13,'[48]Feb. 2'!I11:I14,[48]Feb.4!I13,[48]Feb.8!I14:I16,[48]Feb.9!I14,[48]Feb.9!I17:I18,[48]Feb10!I13:I16,[48]Feb14!I17,[48]Feb14!I15:I17,[48]Feb17!I10,[48]Feb17!I19:I21,'[48]Feb 21'!I10:I12,'[48]Feb 22'!I11:I13,'[48]Feb 23'!I14:I16,'[48]Feb 24'!I10:I12,'[48]Feb 25'!I13:I15,'[48]Feb 28'!I15:I18)</f>
        <v>98.284801217583563</v>
      </c>
      <c r="F40" s="259">
        <v>98.226686244092193</v>
      </c>
      <c r="G40" s="259">
        <v>98.210530202427222</v>
      </c>
      <c r="H40" s="259">
        <f>'[49]Brewer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'[47]Brewer Performance'!D41</f>
        <v>97.99738587335284</v>
      </c>
      <c r="E41" s="259">
        <f>AVERAGE('[48]Feb. 1'!I10:I11,'[48]Feb. 2'!I10,[48]Feb.3!I11:I13,[48]Feb.4!I10:I12,[48]Feb.8!I10,[48]Feb.8!I13,[48]Feb.9!I10:I13,[48]Feb10!I10:I12,[48]Feb11!I11:I13,[48]Feb14!I13:I14,[48]Feb17!I16:I18,[48]Feb18!I13:I15,'[48]Feb 21'!I17:I19,'[48]Feb 22'!I10,'[48]Feb 22'!I20:I22,'[48]Feb 23'!I10:I11,'[48]Feb 23'!I21,'[48]Feb 25'!I10:I12,'[48]Feb 28'!I11:I14)</f>
        <v>97.918121549662388</v>
      </c>
      <c r="F41" s="259">
        <v>98.070081368185257</v>
      </c>
      <c r="G41" s="259">
        <v>97.79453968977019</v>
      </c>
      <c r="H41" s="259">
        <f>'[49]Brewer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'[47]Brewer Performance'!D43</f>
        <v>98.304611060419475</v>
      </c>
      <c r="E44" s="259">
        <f>AVERAGE('[48]Feb. 2'!I15,[48]Feb.3!I10,[48]Feb.4!I16:I17,[48]Feb.8!I19:I21,[48]Feb.9!I19:I20,[48]Feb10!I17:I18,[48]Feb11!I10,[48]Feb14!I10:I12,[48]Feb17!I11:I13,[48]Feb18!I10:I12,'[48]Feb 21'!I13,'[48]Feb 21'!I16,'[48]Feb 22'!I16:I19,'[48]Feb 23'!I17:I20,'[48]Feb 24'!I15:I18,'[48]Feb 25'!I16:I17,'[48]Feb 28'!I10,'[48]Feb 28'!I19:I20)</f>
        <v>97.289162940824014</v>
      </c>
      <c r="F44" s="259">
        <v>98.163642226187022</v>
      </c>
      <c r="G44" s="259">
        <v>97.964054285784258</v>
      </c>
      <c r="H44" s="259">
        <f>'[49]Brewer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'[47]Brewer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'[47]Brewer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8" t="s">
        <v>123</v>
      </c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8"/>
      <c r="P48" s="628"/>
      <c r="Q48" s="628"/>
    </row>
    <row r="49" spans="2:17" ht="15" customHeight="1"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</row>
    <row r="50" spans="2:17" ht="15" customHeight="1"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8"/>
      <c r="P50" s="628"/>
      <c r="Q50" s="628"/>
    </row>
    <row r="51" spans="2:17" ht="15" customHeight="1"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</row>
    <row r="52" spans="2:17" ht="15" customHeight="1">
      <c r="B52" s="628"/>
      <c r="C52" s="628"/>
      <c r="D52" s="628"/>
      <c r="E52" s="628"/>
      <c r="F52" s="628"/>
      <c r="G52" s="628"/>
      <c r="H52" s="628"/>
      <c r="I52" s="628"/>
      <c r="J52" s="628"/>
      <c r="K52" s="628"/>
      <c r="L52" s="628"/>
      <c r="M52" s="628"/>
      <c r="N52" s="628"/>
      <c r="O52" s="628"/>
      <c r="P52" s="628"/>
      <c r="Q52" s="628"/>
    </row>
    <row r="53" spans="2:17" ht="15" customHeight="1">
      <c r="B53" s="628"/>
      <c r="C53" s="628"/>
      <c r="D53" s="628"/>
      <c r="E53" s="628"/>
      <c r="F53" s="628"/>
      <c r="G53" s="628"/>
      <c r="H53" s="628"/>
      <c r="I53" s="628"/>
      <c r="J53" s="628"/>
      <c r="K53" s="628"/>
      <c r="L53" s="628"/>
      <c r="M53" s="628"/>
      <c r="N53" s="628"/>
      <c r="O53" s="628"/>
      <c r="P53" s="628"/>
      <c r="Q53" s="628"/>
    </row>
    <row r="54" spans="2:17" ht="15" customHeight="1">
      <c r="B54" s="628"/>
      <c r="C54" s="628"/>
      <c r="D54" s="628"/>
      <c r="E54" s="628"/>
      <c r="F54" s="628"/>
      <c r="G54" s="628"/>
      <c r="H54" s="628"/>
      <c r="I54" s="628"/>
      <c r="J54" s="628"/>
      <c r="K54" s="628"/>
      <c r="L54" s="628"/>
      <c r="M54" s="628"/>
      <c r="N54" s="628"/>
      <c r="O54" s="628"/>
      <c r="P54" s="628"/>
      <c r="Q54" s="628"/>
    </row>
    <row r="55" spans="2:17" ht="15" customHeight="1"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8"/>
      <c r="P55" s="628"/>
      <c r="Q55" s="628"/>
    </row>
    <row r="56" spans="2:17" ht="15" customHeight="1"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8"/>
      <c r="P56" s="628"/>
      <c r="Q56" s="628"/>
    </row>
    <row r="57" spans="2:17" ht="15" customHeight="1"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</row>
    <row r="58" spans="2:17" ht="15" customHeight="1"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8"/>
      <c r="P58" s="628"/>
      <c r="Q58" s="628"/>
    </row>
    <row r="59" spans="2:17" ht="15" customHeight="1"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8"/>
      <c r="P59" s="628"/>
      <c r="Q59" s="628"/>
    </row>
    <row r="60" spans="2:17" ht="15" customHeight="1"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</row>
    <row r="61" spans="2:17" ht="15" customHeight="1">
      <c r="B61" s="628"/>
      <c r="C61" s="628"/>
      <c r="D61" s="628"/>
      <c r="E61" s="628"/>
      <c r="F61" s="628"/>
      <c r="G61" s="628"/>
      <c r="H61" s="628"/>
      <c r="I61" s="628"/>
      <c r="J61" s="628"/>
      <c r="K61" s="628"/>
      <c r="L61" s="628"/>
      <c r="M61" s="628"/>
      <c r="N61" s="628"/>
      <c r="O61" s="628"/>
      <c r="P61" s="628"/>
      <c r="Q61" s="628"/>
    </row>
    <row r="62" spans="2:17" ht="15" customHeight="1"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8"/>
      <c r="P62" s="628"/>
      <c r="Q62" s="628"/>
    </row>
    <row r="63" spans="2:17" ht="15" customHeight="1"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8"/>
      <c r="P63" s="628"/>
      <c r="Q63" s="628"/>
    </row>
    <row r="64" spans="2:17" ht="15" customHeight="1"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8"/>
      <c r="P64" s="628"/>
      <c r="Q64" s="628"/>
    </row>
    <row r="65" spans="2:17" ht="15" customHeight="1">
      <c r="B65" s="628"/>
      <c r="C65" s="628"/>
      <c r="D65" s="628"/>
      <c r="E65" s="628"/>
      <c r="F65" s="628"/>
      <c r="G65" s="628"/>
      <c r="H65" s="628"/>
      <c r="I65" s="628"/>
      <c r="J65" s="628"/>
      <c r="K65" s="628"/>
      <c r="L65" s="628"/>
      <c r="M65" s="628"/>
      <c r="N65" s="628"/>
      <c r="O65" s="628"/>
      <c r="P65" s="628"/>
      <c r="Q65" s="628"/>
    </row>
    <row r="66" spans="2:17" ht="15" customHeight="1"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</row>
    <row r="67" spans="2:17" ht="15" customHeight="1"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8"/>
      <c r="P67" s="628"/>
      <c r="Q67" s="628"/>
    </row>
    <row r="68" spans="2:17" ht="15" customHeight="1"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8"/>
      <c r="P68" s="628"/>
      <c r="Q68" s="628"/>
    </row>
    <row r="69" spans="2:17" ht="15" customHeight="1"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8"/>
      <c r="P69" s="628"/>
      <c r="Q69" s="628"/>
    </row>
    <row r="70" spans="2:17" ht="15" customHeight="1"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8"/>
      <c r="P70" s="628"/>
      <c r="Q70" s="628"/>
    </row>
    <row r="71" spans="2:17" ht="15" customHeight="1"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</row>
    <row r="72" spans="2:17" ht="15" customHeight="1">
      <c r="B72" s="628"/>
      <c r="C72" s="628"/>
      <c r="D72" s="628"/>
      <c r="E72" s="628"/>
      <c r="F72" s="628"/>
      <c r="G72" s="628"/>
      <c r="H72" s="628"/>
      <c r="I72" s="628"/>
      <c r="J72" s="628"/>
      <c r="K72" s="628"/>
      <c r="L72" s="628"/>
      <c r="M72" s="628"/>
      <c r="N72" s="628"/>
      <c r="O72" s="628"/>
      <c r="P72" s="628"/>
      <c r="Q72" s="628"/>
    </row>
    <row r="73" spans="2:17" ht="15" customHeight="1">
      <c r="B73" s="628"/>
      <c r="C73" s="628"/>
      <c r="D73" s="628"/>
      <c r="E73" s="628"/>
      <c r="F73" s="628"/>
      <c r="G73" s="628"/>
      <c r="H73" s="628"/>
      <c r="I73" s="628"/>
      <c r="J73" s="628"/>
      <c r="K73" s="628"/>
      <c r="L73" s="628"/>
      <c r="M73" s="628"/>
      <c r="N73" s="628"/>
      <c r="O73" s="628"/>
      <c r="P73" s="628"/>
      <c r="Q73" s="628"/>
    </row>
    <row r="74" spans="2:17" ht="15" customHeight="1"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8"/>
      <c r="P74" s="628"/>
      <c r="Q74" s="628"/>
    </row>
    <row r="75" spans="2:17" ht="15" customHeight="1"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8"/>
      <c r="P75" s="628"/>
      <c r="Q75" s="628"/>
    </row>
    <row r="76" spans="2:17"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8"/>
      <c r="P76" s="628"/>
      <c r="Q76" s="62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</vt:i4>
      </vt:variant>
    </vt:vector>
  </HeadingPairs>
  <TitlesOfParts>
    <vt:vector size="30" baseType="lpstr">
      <vt:lpstr>Dec 18th</vt:lpstr>
      <vt:lpstr>Oct. 1st</vt:lpstr>
      <vt:lpstr>Oct. 2nd</vt:lpstr>
      <vt:lpstr>Oct. 3rd</vt:lpstr>
      <vt:lpstr>Oct. 6th</vt:lpstr>
      <vt:lpstr>Oct.7th</vt:lpstr>
      <vt:lpstr>Oct.8th</vt:lpstr>
      <vt:lpstr>Oct.9th</vt:lpstr>
      <vt:lpstr>Oct.10th</vt:lpstr>
      <vt:lpstr>Oct.13th</vt:lpstr>
      <vt:lpstr>Oct.14th</vt:lpstr>
      <vt:lpstr>Oct.15th</vt:lpstr>
      <vt:lpstr>Oct.16th</vt:lpstr>
      <vt:lpstr>Oct.17th</vt:lpstr>
      <vt:lpstr>Oct.21st</vt:lpstr>
      <vt:lpstr>Oct.22nd</vt:lpstr>
      <vt:lpstr>Oct.23rd</vt:lpstr>
      <vt:lpstr>Oct.24th</vt:lpstr>
      <vt:lpstr>Oct.27th</vt:lpstr>
      <vt:lpstr>Oct.28th</vt:lpstr>
      <vt:lpstr>Oct.29th</vt:lpstr>
      <vt:lpstr>Oct.30th</vt:lpstr>
      <vt:lpstr>Oct.31st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2025-11-10T17:09:24Z</dcterms:modified>
</cp:coreProperties>
</file>