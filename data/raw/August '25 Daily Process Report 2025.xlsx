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drawings/drawing1.xml" ContentType="application/vnd.openxmlformats-officedocument.drawing+xml"/>
  <Override PartName="/xl/comments20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7619CD9D-4E23-4D07-8A2B-BEE6E614AF4E}" xr6:coauthVersionLast="47" xr6:coauthVersionMax="47" xr10:uidLastSave="{00000000-0000-0000-0000-000000000000}"/>
  <bookViews>
    <workbookView xWindow="-120" yWindow="-120" windowWidth="29040" windowHeight="15720" tabRatio="599" firstSheet="9" activeTab="18" xr2:uid="{1120807F-7390-4E10-A66F-84111922E872}"/>
  </bookViews>
  <sheets>
    <sheet name="Dec 18th" sheetId="658" state="hidden" r:id="rId1"/>
    <sheet name="Aug 4th " sheetId="801" r:id="rId2"/>
    <sheet name="Aug 5th " sheetId="802" r:id="rId3"/>
    <sheet name="Aug 6th " sheetId="803" r:id="rId4"/>
    <sheet name="Aug 7th " sheetId="804" r:id="rId5"/>
    <sheet name="Aug 8th " sheetId="806" r:id="rId6"/>
    <sheet name="Aug 13th" sheetId="805" r:id="rId7"/>
    <sheet name="Aug 14th" sheetId="807" r:id="rId8"/>
    <sheet name="Aug 15th-16th" sheetId="808" r:id="rId9"/>
    <sheet name="Aug 18th" sheetId="809" r:id="rId10"/>
    <sheet name="Aug 19th" sheetId="810" r:id="rId11"/>
    <sheet name="Aug 20th" sheetId="811" r:id="rId12"/>
    <sheet name="Aug 21st" sheetId="812" r:id="rId13"/>
    <sheet name="Aug 22nd-23rd" sheetId="813" r:id="rId14"/>
    <sheet name="Aug 25th" sheetId="814" r:id="rId15"/>
    <sheet name="Aug 26th" sheetId="815" r:id="rId16"/>
    <sheet name="Aug 27th" sheetId="816" r:id="rId17"/>
    <sheet name="Aug 28th" sheetId="817" r:id="rId18"/>
    <sheet name="Aug 29th" sheetId="818" r:id="rId19"/>
    <sheet name="MTD_Links" sheetId="18" r:id="rId20"/>
    <sheet name="YTD_Links" sheetId="19" r:id="rId21"/>
    <sheet name="KPIs" sheetId="20" state="hidden" r:id="rId22"/>
    <sheet name="Brewer Performance" sheetId="21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xlnm.Print_Area" localSheetId="22">'Brewer Performance'!$B$2:$K$35</definedName>
    <definedName name="_xlnm.Print_Area" localSheetId="19">MTD_Links!$B$2:$K$65</definedName>
    <definedName name="_xlnm.Print_Area" localSheetId="20">YTD_Links!$B$2:$K$65</definedName>
    <definedName name="ProductList" localSheetId="22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8" i="818" l="1"/>
  <c r="N11" i="811"/>
  <c r="M11" i="811"/>
  <c r="L11" i="811"/>
  <c r="K11" i="811"/>
  <c r="J11" i="811"/>
  <c r="I11" i="811"/>
  <c r="K14" i="811"/>
  <c r="L14" i="811"/>
  <c r="M14" i="811"/>
  <c r="N14" i="811"/>
  <c r="G11" i="811"/>
  <c r="F11" i="811"/>
  <c r="E11" i="811"/>
  <c r="D14" i="811"/>
  <c r="K50" i="818"/>
  <c r="K58" i="818" s="1"/>
  <c r="D50" i="818"/>
  <c r="G50" i="818"/>
  <c r="B50" i="818"/>
  <c r="B31" i="818"/>
  <c r="L50" i="818" l="1"/>
  <c r="C58" i="818" s="1"/>
  <c r="L34" i="818"/>
  <c r="M20" i="818"/>
  <c r="L20" i="818"/>
  <c r="K20" i="818"/>
  <c r="M28" i="817"/>
  <c r="L28" i="817"/>
  <c r="K28" i="817"/>
  <c r="L29" i="817"/>
  <c r="K29" i="817"/>
  <c r="L21" i="818"/>
  <c r="K21" i="818"/>
  <c r="R11" i="818"/>
  <c r="S11" i="818"/>
  <c r="T11" i="818"/>
  <c r="U11" i="818"/>
  <c r="V11" i="818"/>
  <c r="W11" i="818"/>
  <c r="X11" i="818"/>
  <c r="Y11" i="818"/>
  <c r="Z11" i="818"/>
  <c r="R12" i="818"/>
  <c r="S12" i="818"/>
  <c r="T12" i="818"/>
  <c r="U12" i="818"/>
  <c r="V12" i="818"/>
  <c r="W12" i="818"/>
  <c r="X12" i="818"/>
  <c r="Y12" i="818"/>
  <c r="Z12" i="818"/>
  <c r="R13" i="818"/>
  <c r="S13" i="818"/>
  <c r="T13" i="818"/>
  <c r="U13" i="818"/>
  <c r="V13" i="818"/>
  <c r="W13" i="818"/>
  <c r="X13" i="818"/>
  <c r="Y13" i="818"/>
  <c r="Z13" i="818"/>
  <c r="R14" i="818"/>
  <c r="S14" i="818"/>
  <c r="T14" i="818"/>
  <c r="U14" i="818"/>
  <c r="V14" i="818"/>
  <c r="W14" i="818"/>
  <c r="X14" i="818"/>
  <c r="Y14" i="818"/>
  <c r="Z14" i="818"/>
  <c r="R15" i="818"/>
  <c r="S15" i="818"/>
  <c r="T15" i="818"/>
  <c r="U15" i="818"/>
  <c r="V15" i="818"/>
  <c r="W15" i="818"/>
  <c r="X15" i="818"/>
  <c r="Y15" i="818"/>
  <c r="Z15" i="818"/>
  <c r="R16" i="818"/>
  <c r="S16" i="818"/>
  <c r="T16" i="818"/>
  <c r="U16" i="818"/>
  <c r="V16" i="818"/>
  <c r="W16" i="818"/>
  <c r="X16" i="818"/>
  <c r="Y16" i="818"/>
  <c r="Z16" i="818"/>
  <c r="R17" i="818"/>
  <c r="S17" i="818"/>
  <c r="T17" i="818"/>
  <c r="U17" i="818"/>
  <c r="V17" i="818"/>
  <c r="W17" i="818"/>
  <c r="X17" i="818"/>
  <c r="Y17" i="818"/>
  <c r="Z17" i="818"/>
  <c r="C11" i="818"/>
  <c r="D11" i="818"/>
  <c r="E11" i="818"/>
  <c r="F11" i="818"/>
  <c r="G11" i="818"/>
  <c r="I11" i="818"/>
  <c r="J11" i="818"/>
  <c r="K11" i="818"/>
  <c r="L11" i="818"/>
  <c r="M11" i="818"/>
  <c r="N11" i="818"/>
  <c r="O11" i="818"/>
  <c r="F62" i="818"/>
  <c r="L52" i="818"/>
  <c r="AX48" i="818"/>
  <c r="AW48" i="818"/>
  <c r="AV48" i="818"/>
  <c r="AU48" i="818"/>
  <c r="AT48" i="818"/>
  <c r="AS48" i="818"/>
  <c r="AR48" i="818"/>
  <c r="AQ48" i="818"/>
  <c r="AP48" i="818"/>
  <c r="AO48" i="818"/>
  <c r="AN48" i="818"/>
  <c r="AM48" i="818"/>
  <c r="AL48" i="818"/>
  <c r="AK48" i="818"/>
  <c r="AJ48" i="818"/>
  <c r="AI48" i="818"/>
  <c r="AH48" i="818"/>
  <c r="AG48" i="818"/>
  <c r="AF48" i="818"/>
  <c r="AE48" i="818"/>
  <c r="AD48" i="818"/>
  <c r="AC48" i="818"/>
  <c r="AB48" i="818"/>
  <c r="B48" i="818"/>
  <c r="K43" i="818"/>
  <c r="D41" i="818"/>
  <c r="M28" i="818"/>
  <c r="M27" i="818"/>
  <c r="M26" i="818"/>
  <c r="M25" i="818"/>
  <c r="M24" i="818"/>
  <c r="Z22" i="818"/>
  <c r="Y22" i="818"/>
  <c r="X22" i="818"/>
  <c r="W22" i="818"/>
  <c r="V22" i="818"/>
  <c r="U22" i="818"/>
  <c r="T22" i="818"/>
  <c r="S22" i="818"/>
  <c r="R22" i="818"/>
  <c r="M22" i="818"/>
  <c r="L22" i="818"/>
  <c r="K22" i="818"/>
  <c r="Z21" i="818"/>
  <c r="Y21" i="818"/>
  <c r="X21" i="818"/>
  <c r="W21" i="818"/>
  <c r="V21" i="818"/>
  <c r="U21" i="818"/>
  <c r="T21" i="818"/>
  <c r="S21" i="818"/>
  <c r="R21" i="818"/>
  <c r="Z20" i="818"/>
  <c r="Y20" i="818"/>
  <c r="X20" i="818"/>
  <c r="W20" i="818"/>
  <c r="V20" i="818"/>
  <c r="U20" i="818"/>
  <c r="T20" i="818"/>
  <c r="S20" i="818"/>
  <c r="R20" i="818"/>
  <c r="K19" i="818"/>
  <c r="B19" i="818"/>
  <c r="Z19" i="818" s="1"/>
  <c r="Z18" i="818"/>
  <c r="Y18" i="818"/>
  <c r="X18" i="818"/>
  <c r="W18" i="818"/>
  <c r="V18" i="818"/>
  <c r="U18" i="818"/>
  <c r="T18" i="818"/>
  <c r="S18" i="818"/>
  <c r="R18" i="818"/>
  <c r="Z10" i="818"/>
  <c r="Y10" i="818"/>
  <c r="X10" i="818"/>
  <c r="W10" i="818"/>
  <c r="V10" i="818"/>
  <c r="U10" i="818"/>
  <c r="T10" i="818"/>
  <c r="S10" i="818"/>
  <c r="R10" i="818"/>
  <c r="O10" i="818"/>
  <c r="N10" i="818"/>
  <c r="M10" i="818"/>
  <c r="L10" i="818"/>
  <c r="K10" i="818"/>
  <c r="J10" i="818"/>
  <c r="I10" i="818"/>
  <c r="J21" i="818" s="1"/>
  <c r="G10" i="818"/>
  <c r="F10" i="818"/>
  <c r="E10" i="818"/>
  <c r="D10" i="818"/>
  <c r="C10" i="818"/>
  <c r="M34" i="818" l="1"/>
  <c r="K29" i="818"/>
  <c r="S19" i="818"/>
  <c r="T19" i="818"/>
  <c r="U19" i="818"/>
  <c r="V19" i="818"/>
  <c r="W19" i="818"/>
  <c r="R19" i="818"/>
  <c r="X19" i="818"/>
  <c r="Y19" i="818"/>
  <c r="K27" i="817" l="1"/>
  <c r="R17" i="817"/>
  <c r="S17" i="817"/>
  <c r="T17" i="817"/>
  <c r="U17" i="817"/>
  <c r="V17" i="817"/>
  <c r="W17" i="817"/>
  <c r="X17" i="817"/>
  <c r="Y17" i="817"/>
  <c r="Z17" i="817"/>
  <c r="R18" i="817"/>
  <c r="S18" i="817"/>
  <c r="T18" i="817"/>
  <c r="U18" i="817"/>
  <c r="V18" i="817"/>
  <c r="W18" i="817"/>
  <c r="X18" i="817"/>
  <c r="Y18" i="817"/>
  <c r="Z18" i="817"/>
  <c r="R19" i="817"/>
  <c r="S19" i="817"/>
  <c r="T19" i="817"/>
  <c r="U19" i="817"/>
  <c r="V19" i="817"/>
  <c r="W19" i="817"/>
  <c r="X19" i="817"/>
  <c r="Y19" i="817"/>
  <c r="Z19" i="817"/>
  <c r="R21" i="817"/>
  <c r="S21" i="817"/>
  <c r="T21" i="817"/>
  <c r="U21" i="817"/>
  <c r="V21" i="817"/>
  <c r="W21" i="817"/>
  <c r="X21" i="817"/>
  <c r="Y21" i="817"/>
  <c r="Z21" i="817"/>
  <c r="R22" i="817"/>
  <c r="S22" i="817"/>
  <c r="T22" i="817"/>
  <c r="U22" i="817"/>
  <c r="V22" i="817"/>
  <c r="W22" i="817"/>
  <c r="X22" i="817"/>
  <c r="Y22" i="817"/>
  <c r="Z22" i="817"/>
  <c r="R23" i="817"/>
  <c r="S23" i="817"/>
  <c r="T23" i="817"/>
  <c r="U23" i="817"/>
  <c r="V23" i="817"/>
  <c r="W23" i="817"/>
  <c r="X23" i="817"/>
  <c r="Y23" i="817"/>
  <c r="Z23" i="817"/>
  <c r="R24" i="817"/>
  <c r="S24" i="817"/>
  <c r="T24" i="817"/>
  <c r="U24" i="817"/>
  <c r="V24" i="817"/>
  <c r="W24" i="817"/>
  <c r="X24" i="817"/>
  <c r="Y24" i="817"/>
  <c r="Z24" i="817"/>
  <c r="I18" i="817"/>
  <c r="J18" i="817"/>
  <c r="K18" i="817"/>
  <c r="L18" i="817"/>
  <c r="M18" i="817"/>
  <c r="N18" i="817"/>
  <c r="O18" i="817"/>
  <c r="I19" i="817"/>
  <c r="J19" i="817"/>
  <c r="K19" i="817"/>
  <c r="L19" i="817"/>
  <c r="M19" i="817"/>
  <c r="N19" i="817"/>
  <c r="O19" i="817"/>
  <c r="I21" i="817"/>
  <c r="J21" i="817"/>
  <c r="K21" i="817"/>
  <c r="L21" i="817"/>
  <c r="M21" i="817"/>
  <c r="N21" i="817"/>
  <c r="O21" i="817"/>
  <c r="C18" i="817"/>
  <c r="D18" i="817"/>
  <c r="E18" i="817"/>
  <c r="F18" i="817"/>
  <c r="G18" i="817"/>
  <c r="C19" i="817"/>
  <c r="D19" i="817"/>
  <c r="E19" i="817"/>
  <c r="F19" i="817"/>
  <c r="G19" i="817"/>
  <c r="C21" i="817"/>
  <c r="D21" i="817"/>
  <c r="E21" i="817"/>
  <c r="F21" i="817"/>
  <c r="G21" i="817"/>
  <c r="R11" i="817"/>
  <c r="S11" i="817"/>
  <c r="T11" i="817"/>
  <c r="U11" i="817"/>
  <c r="V11" i="817"/>
  <c r="W11" i="817"/>
  <c r="X11" i="817"/>
  <c r="Y11" i="817"/>
  <c r="Z11" i="817"/>
  <c r="R12" i="817"/>
  <c r="S12" i="817"/>
  <c r="T12" i="817"/>
  <c r="U12" i="817"/>
  <c r="V12" i="817"/>
  <c r="W12" i="817"/>
  <c r="X12" i="817"/>
  <c r="Y12" i="817"/>
  <c r="Z12" i="817"/>
  <c r="R13" i="817"/>
  <c r="S13" i="817"/>
  <c r="T13" i="817"/>
  <c r="U13" i="817"/>
  <c r="V13" i="817"/>
  <c r="W13" i="817"/>
  <c r="X13" i="817"/>
  <c r="Y13" i="817"/>
  <c r="Z13" i="817"/>
  <c r="R14" i="817"/>
  <c r="S14" i="817"/>
  <c r="T14" i="817"/>
  <c r="U14" i="817"/>
  <c r="V14" i="817"/>
  <c r="W14" i="817"/>
  <c r="X14" i="817"/>
  <c r="Y14" i="817"/>
  <c r="Z14" i="817"/>
  <c r="R15" i="817"/>
  <c r="S15" i="817"/>
  <c r="T15" i="817"/>
  <c r="U15" i="817"/>
  <c r="V15" i="817"/>
  <c r="W15" i="817"/>
  <c r="X15" i="817"/>
  <c r="Y15" i="817"/>
  <c r="Z15" i="817"/>
  <c r="R16" i="817"/>
  <c r="S16" i="817"/>
  <c r="T16" i="817"/>
  <c r="U16" i="817"/>
  <c r="V16" i="817"/>
  <c r="W16" i="817"/>
  <c r="X16" i="817"/>
  <c r="Y16" i="817"/>
  <c r="Z16" i="817"/>
  <c r="R25" i="817"/>
  <c r="S25" i="817"/>
  <c r="T25" i="817"/>
  <c r="U25" i="817"/>
  <c r="V25" i="817"/>
  <c r="W25" i="817"/>
  <c r="X25" i="817"/>
  <c r="Y25" i="817"/>
  <c r="Z25" i="817"/>
  <c r="R26" i="817"/>
  <c r="S26" i="817"/>
  <c r="T26" i="817"/>
  <c r="U26" i="817"/>
  <c r="V26" i="817"/>
  <c r="W26" i="817"/>
  <c r="X26" i="817"/>
  <c r="Y26" i="817"/>
  <c r="Z26" i="817"/>
  <c r="R27" i="817"/>
  <c r="X27" i="817"/>
  <c r="R28" i="817"/>
  <c r="S28" i="817"/>
  <c r="T28" i="817"/>
  <c r="U28" i="817"/>
  <c r="V28" i="817"/>
  <c r="W28" i="817"/>
  <c r="X28" i="817"/>
  <c r="Y28" i="817"/>
  <c r="Z28" i="817"/>
  <c r="R29" i="817"/>
  <c r="S29" i="817"/>
  <c r="T29" i="817"/>
  <c r="U29" i="817"/>
  <c r="V29" i="817"/>
  <c r="W29" i="817"/>
  <c r="X29" i="817"/>
  <c r="Y29" i="817"/>
  <c r="Z29" i="817"/>
  <c r="R30" i="817"/>
  <c r="S30" i="817"/>
  <c r="T30" i="817"/>
  <c r="U30" i="817"/>
  <c r="V30" i="817"/>
  <c r="W30" i="817"/>
  <c r="X30" i="817"/>
  <c r="Y30" i="817"/>
  <c r="Z30" i="817"/>
  <c r="Z10" i="817"/>
  <c r="Y10" i="817"/>
  <c r="X10" i="817"/>
  <c r="W10" i="817"/>
  <c r="V10" i="817"/>
  <c r="U10" i="817"/>
  <c r="T10" i="817"/>
  <c r="S10" i="817"/>
  <c r="R10" i="817"/>
  <c r="B27" i="817"/>
  <c r="S27" i="817" s="1"/>
  <c r="B39" i="817"/>
  <c r="C39" i="817" a="1"/>
  <c r="C39" i="817" s="1"/>
  <c r="B58" i="817"/>
  <c r="C15" i="817"/>
  <c r="D15" i="817"/>
  <c r="E15" i="817"/>
  <c r="F15" i="817"/>
  <c r="G15" i="817"/>
  <c r="I15" i="817"/>
  <c r="J15" i="817"/>
  <c r="L15" i="817"/>
  <c r="M15" i="817"/>
  <c r="N15" i="817"/>
  <c r="O15" i="817"/>
  <c r="C16" i="817"/>
  <c r="D16" i="817"/>
  <c r="E16" i="817"/>
  <c r="F16" i="817"/>
  <c r="G16" i="817"/>
  <c r="I16" i="817"/>
  <c r="J16" i="817"/>
  <c r="L16" i="817"/>
  <c r="M16" i="817"/>
  <c r="N16" i="817"/>
  <c r="O16" i="817"/>
  <c r="C17" i="817"/>
  <c r="D17" i="817"/>
  <c r="E17" i="817"/>
  <c r="F17" i="817"/>
  <c r="G17" i="817"/>
  <c r="I17" i="817"/>
  <c r="J17" i="817"/>
  <c r="L17" i="817"/>
  <c r="M17" i="817"/>
  <c r="N17" i="817"/>
  <c r="O17" i="817"/>
  <c r="O14" i="817"/>
  <c r="N14" i="817"/>
  <c r="M14" i="817"/>
  <c r="L14" i="817"/>
  <c r="J14" i="817"/>
  <c r="I14" i="817"/>
  <c r="G14" i="817"/>
  <c r="F14" i="817"/>
  <c r="E14" i="817"/>
  <c r="D14" i="817"/>
  <c r="C14" i="817"/>
  <c r="K51" i="817"/>
  <c r="L42" i="817" s="1"/>
  <c r="M42" i="817" s="1"/>
  <c r="C10" i="817"/>
  <c r="D10" i="817"/>
  <c r="E10" i="817"/>
  <c r="F10" i="817"/>
  <c r="G10" i="817"/>
  <c r="I10" i="817"/>
  <c r="J10" i="817"/>
  <c r="L10" i="817"/>
  <c r="M10" i="817"/>
  <c r="N10" i="817"/>
  <c r="O10" i="817"/>
  <c r="C11" i="817"/>
  <c r="D11" i="817"/>
  <c r="E11" i="817"/>
  <c r="F11" i="817"/>
  <c r="G11" i="817"/>
  <c r="I11" i="817"/>
  <c r="J11" i="817"/>
  <c r="L11" i="817"/>
  <c r="M11" i="817"/>
  <c r="N11" i="817"/>
  <c r="O11" i="817"/>
  <c r="C12" i="817"/>
  <c r="D12" i="817"/>
  <c r="E12" i="817"/>
  <c r="F12" i="817"/>
  <c r="G12" i="817"/>
  <c r="I12" i="817"/>
  <c r="J12" i="817"/>
  <c r="K12" i="817"/>
  <c r="L12" i="817"/>
  <c r="M12" i="817"/>
  <c r="N12" i="817"/>
  <c r="O12" i="817"/>
  <c r="B56" i="817"/>
  <c r="F70" i="817"/>
  <c r="L60" i="817"/>
  <c r="AX56" i="817"/>
  <c r="AW56" i="817"/>
  <c r="AV56" i="817"/>
  <c r="AU56" i="817"/>
  <c r="AT56" i="817"/>
  <c r="AS56" i="817"/>
  <c r="AR56" i="817"/>
  <c r="AQ56" i="817"/>
  <c r="AP56" i="817"/>
  <c r="AO56" i="817"/>
  <c r="AN56" i="817"/>
  <c r="AM56" i="817"/>
  <c r="AL56" i="817"/>
  <c r="AK56" i="817"/>
  <c r="AJ56" i="817"/>
  <c r="AI56" i="817"/>
  <c r="AH56" i="817"/>
  <c r="AG56" i="817"/>
  <c r="AF56" i="817"/>
  <c r="AE56" i="817"/>
  <c r="AD56" i="817"/>
  <c r="AC56" i="817"/>
  <c r="AB56" i="817"/>
  <c r="D49" i="817"/>
  <c r="M36" i="817"/>
  <c r="M35" i="817"/>
  <c r="M34" i="817"/>
  <c r="M33" i="817"/>
  <c r="M32" i="817"/>
  <c r="M30" i="817"/>
  <c r="L30" i="817"/>
  <c r="K30" i="817"/>
  <c r="L41" i="816"/>
  <c r="K41" i="816"/>
  <c r="K40" i="816"/>
  <c r="M27" i="816"/>
  <c r="L27" i="816"/>
  <c r="K27" i="816"/>
  <c r="K26" i="816"/>
  <c r="C19" i="816"/>
  <c r="D19" i="816"/>
  <c r="E19" i="816"/>
  <c r="F19" i="816"/>
  <c r="G19" i="816"/>
  <c r="I19" i="816"/>
  <c r="J19" i="816"/>
  <c r="K19" i="816"/>
  <c r="L19" i="816"/>
  <c r="M19" i="816"/>
  <c r="N19" i="816"/>
  <c r="O19" i="816"/>
  <c r="C20" i="816"/>
  <c r="D20" i="816"/>
  <c r="E20" i="816"/>
  <c r="F20" i="816"/>
  <c r="G20" i="816"/>
  <c r="I20" i="816"/>
  <c r="J20" i="816"/>
  <c r="K20" i="816"/>
  <c r="L20" i="816"/>
  <c r="M20" i="816"/>
  <c r="N20" i="816"/>
  <c r="O20" i="816"/>
  <c r="C21" i="816"/>
  <c r="D21" i="816"/>
  <c r="E21" i="816"/>
  <c r="F21" i="816"/>
  <c r="G21" i="816"/>
  <c r="I21" i="816"/>
  <c r="J21" i="816"/>
  <c r="K21" i="816"/>
  <c r="L21" i="816"/>
  <c r="M21" i="816"/>
  <c r="N21" i="816"/>
  <c r="O21" i="816"/>
  <c r="R12" i="815"/>
  <c r="S12" i="815"/>
  <c r="T12" i="815"/>
  <c r="U12" i="815"/>
  <c r="V12" i="815"/>
  <c r="W12" i="815"/>
  <c r="X12" i="815"/>
  <c r="Y12" i="815"/>
  <c r="Z12" i="815"/>
  <c r="R13" i="815"/>
  <c r="S13" i="815"/>
  <c r="T13" i="815"/>
  <c r="U13" i="815"/>
  <c r="V13" i="815"/>
  <c r="W13" i="815"/>
  <c r="X13" i="815"/>
  <c r="Y13" i="815"/>
  <c r="Z13" i="815"/>
  <c r="R14" i="815"/>
  <c r="S14" i="815"/>
  <c r="T14" i="815"/>
  <c r="U14" i="815"/>
  <c r="V14" i="815"/>
  <c r="W14" i="815"/>
  <c r="X14" i="815"/>
  <c r="Y14" i="815"/>
  <c r="Z14" i="815"/>
  <c r="R15" i="815"/>
  <c r="S15" i="815"/>
  <c r="T15" i="815"/>
  <c r="U15" i="815"/>
  <c r="V15" i="815"/>
  <c r="W15" i="815"/>
  <c r="X15" i="815"/>
  <c r="Y15" i="815"/>
  <c r="Z15" i="815"/>
  <c r="R16" i="815"/>
  <c r="S16" i="815"/>
  <c r="T16" i="815"/>
  <c r="U16" i="815"/>
  <c r="V16" i="815"/>
  <c r="W16" i="815"/>
  <c r="X16" i="815"/>
  <c r="Y16" i="815"/>
  <c r="Z16" i="815"/>
  <c r="R17" i="815"/>
  <c r="S17" i="815"/>
  <c r="T17" i="815"/>
  <c r="U17" i="815"/>
  <c r="V17" i="815"/>
  <c r="W17" i="815"/>
  <c r="X17" i="815"/>
  <c r="Y17" i="815"/>
  <c r="Z17" i="815"/>
  <c r="R18" i="815"/>
  <c r="S18" i="815"/>
  <c r="T18" i="815"/>
  <c r="U18" i="815"/>
  <c r="V18" i="815"/>
  <c r="W18" i="815"/>
  <c r="X18" i="815"/>
  <c r="Y18" i="815"/>
  <c r="Z18" i="815"/>
  <c r="R19" i="815"/>
  <c r="S19" i="815"/>
  <c r="T19" i="815"/>
  <c r="U19" i="815"/>
  <c r="V19" i="815"/>
  <c r="W19" i="815"/>
  <c r="X19" i="815"/>
  <c r="Y19" i="815"/>
  <c r="Z19" i="815"/>
  <c r="R20" i="815"/>
  <c r="S20" i="815"/>
  <c r="T20" i="815"/>
  <c r="U20" i="815"/>
  <c r="V20" i="815"/>
  <c r="W20" i="815"/>
  <c r="X20" i="815"/>
  <c r="Y20" i="815"/>
  <c r="Z20" i="815"/>
  <c r="R21" i="815"/>
  <c r="S21" i="815"/>
  <c r="T21" i="815"/>
  <c r="U21" i="815"/>
  <c r="V21" i="815"/>
  <c r="W21" i="815"/>
  <c r="X21" i="815"/>
  <c r="Y21" i="815"/>
  <c r="Z21" i="815"/>
  <c r="R22" i="815"/>
  <c r="S22" i="815"/>
  <c r="T22" i="815"/>
  <c r="U22" i="815"/>
  <c r="V22" i="815"/>
  <c r="W22" i="815"/>
  <c r="X22" i="815"/>
  <c r="Y22" i="815"/>
  <c r="Z22" i="815"/>
  <c r="R23" i="815"/>
  <c r="S23" i="815"/>
  <c r="T23" i="815"/>
  <c r="U23" i="815"/>
  <c r="V23" i="815"/>
  <c r="W23" i="815"/>
  <c r="X23" i="815"/>
  <c r="Y23" i="815"/>
  <c r="Z23" i="815"/>
  <c r="R24" i="815"/>
  <c r="S24" i="815"/>
  <c r="T24" i="815"/>
  <c r="U24" i="815"/>
  <c r="V24" i="815"/>
  <c r="W24" i="815"/>
  <c r="X24" i="815"/>
  <c r="Y24" i="815"/>
  <c r="Z24" i="815"/>
  <c r="R25" i="815"/>
  <c r="S25" i="815"/>
  <c r="T25" i="815"/>
  <c r="U25" i="815"/>
  <c r="V25" i="815"/>
  <c r="W25" i="815"/>
  <c r="X25" i="815"/>
  <c r="Y25" i="815"/>
  <c r="Z25" i="815"/>
  <c r="R26" i="815"/>
  <c r="S26" i="815"/>
  <c r="T26" i="815"/>
  <c r="U26" i="815"/>
  <c r="V26" i="815"/>
  <c r="W26" i="815"/>
  <c r="X26" i="815"/>
  <c r="Y26" i="815"/>
  <c r="Z26" i="815"/>
  <c r="R27" i="815"/>
  <c r="S27" i="815"/>
  <c r="T27" i="815"/>
  <c r="U27" i="815"/>
  <c r="V27" i="815"/>
  <c r="W27" i="815"/>
  <c r="X27" i="815"/>
  <c r="Y27" i="815"/>
  <c r="Z27" i="815"/>
  <c r="R28" i="815"/>
  <c r="S28" i="815"/>
  <c r="T28" i="815"/>
  <c r="U28" i="815"/>
  <c r="V28" i="815"/>
  <c r="W28" i="815"/>
  <c r="X28" i="815"/>
  <c r="Y28" i="815"/>
  <c r="Z28" i="815"/>
  <c r="L40" i="815"/>
  <c r="C12" i="815"/>
  <c r="D12" i="815"/>
  <c r="E12" i="815"/>
  <c r="F12" i="815"/>
  <c r="G12" i="815"/>
  <c r="I12" i="815"/>
  <c r="J12" i="815"/>
  <c r="K12" i="815"/>
  <c r="L12" i="815"/>
  <c r="M12" i="815"/>
  <c r="N12" i="815"/>
  <c r="O12" i="815"/>
  <c r="C13" i="815"/>
  <c r="D13" i="815"/>
  <c r="E13" i="815"/>
  <c r="F13" i="815"/>
  <c r="G13" i="815"/>
  <c r="I13" i="815"/>
  <c r="J13" i="815"/>
  <c r="K13" i="815"/>
  <c r="L13" i="815"/>
  <c r="M13" i="815"/>
  <c r="N13" i="815"/>
  <c r="O13" i="815"/>
  <c r="C14" i="815"/>
  <c r="D14" i="815"/>
  <c r="E14" i="815"/>
  <c r="F14" i="815"/>
  <c r="G14" i="815"/>
  <c r="I14" i="815"/>
  <c r="J14" i="815"/>
  <c r="K14" i="815"/>
  <c r="L14" i="815"/>
  <c r="M14" i="815"/>
  <c r="N14" i="815"/>
  <c r="O14" i="815"/>
  <c r="C15" i="815"/>
  <c r="D15" i="815"/>
  <c r="E15" i="815"/>
  <c r="F15" i="815"/>
  <c r="G15" i="815"/>
  <c r="I15" i="815"/>
  <c r="J15" i="815"/>
  <c r="K15" i="815"/>
  <c r="L15" i="815"/>
  <c r="M15" i="815"/>
  <c r="N15" i="815"/>
  <c r="O15" i="815"/>
  <c r="C16" i="815"/>
  <c r="D16" i="815"/>
  <c r="E16" i="815"/>
  <c r="F16" i="815"/>
  <c r="G16" i="815"/>
  <c r="I16" i="815"/>
  <c r="J16" i="815"/>
  <c r="K16" i="815"/>
  <c r="L16" i="815"/>
  <c r="M16" i="815"/>
  <c r="N16" i="815"/>
  <c r="O16" i="815"/>
  <c r="C17" i="815"/>
  <c r="D17" i="815"/>
  <c r="E17" i="815"/>
  <c r="F17" i="815"/>
  <c r="G17" i="815"/>
  <c r="I17" i="815"/>
  <c r="J17" i="815"/>
  <c r="K17" i="815"/>
  <c r="L17" i="815"/>
  <c r="M17" i="815"/>
  <c r="N17" i="815"/>
  <c r="O17" i="815"/>
  <c r="C18" i="815"/>
  <c r="D18" i="815"/>
  <c r="E18" i="815"/>
  <c r="F18" i="815"/>
  <c r="G18" i="815"/>
  <c r="I18" i="815"/>
  <c r="J18" i="815"/>
  <c r="K18" i="815"/>
  <c r="L18" i="815"/>
  <c r="M18" i="815"/>
  <c r="N18" i="815"/>
  <c r="O18" i="815"/>
  <c r="C19" i="815"/>
  <c r="D19" i="815"/>
  <c r="E19" i="815"/>
  <c r="F19" i="815"/>
  <c r="G19" i="815"/>
  <c r="I19" i="815"/>
  <c r="J19" i="815"/>
  <c r="K19" i="815"/>
  <c r="L19" i="815"/>
  <c r="M19" i="815"/>
  <c r="N19" i="815"/>
  <c r="O19" i="815"/>
  <c r="F69" i="816"/>
  <c r="L59" i="816"/>
  <c r="L57" i="816"/>
  <c r="AX55" i="816"/>
  <c r="AW55" i="816"/>
  <c r="AV55" i="816"/>
  <c r="AU55" i="816"/>
  <c r="AT55" i="816"/>
  <c r="AS55" i="816"/>
  <c r="AR55" i="816"/>
  <c r="AQ55" i="816"/>
  <c r="AP55" i="816"/>
  <c r="AO55" i="816"/>
  <c r="AN55" i="816"/>
  <c r="AM55" i="816"/>
  <c r="AL55" i="816"/>
  <c r="AK55" i="816"/>
  <c r="AJ55" i="816"/>
  <c r="AI55" i="816"/>
  <c r="AH55" i="816"/>
  <c r="AG55" i="816"/>
  <c r="AF55" i="816"/>
  <c r="AE55" i="816"/>
  <c r="AD55" i="816"/>
  <c r="AC55" i="816"/>
  <c r="AB55" i="816"/>
  <c r="L55" i="816"/>
  <c r="K50" i="816"/>
  <c r="M41" i="816" s="1"/>
  <c r="D48" i="816"/>
  <c r="M35" i="816"/>
  <c r="M34" i="816"/>
  <c r="M33" i="816"/>
  <c r="M32" i="816"/>
  <c r="M31" i="816"/>
  <c r="Z29" i="816"/>
  <c r="Y29" i="816"/>
  <c r="X29" i="816"/>
  <c r="W29" i="816"/>
  <c r="V29" i="816"/>
  <c r="U29" i="816"/>
  <c r="T29" i="816"/>
  <c r="S29" i="816"/>
  <c r="R29" i="816"/>
  <c r="M29" i="816"/>
  <c r="L29" i="816"/>
  <c r="K29" i="816"/>
  <c r="Z28" i="816"/>
  <c r="Y28" i="816"/>
  <c r="X28" i="816"/>
  <c r="W28" i="816"/>
  <c r="V28" i="816"/>
  <c r="U28" i="816"/>
  <c r="T28" i="816"/>
  <c r="S28" i="816"/>
  <c r="R28" i="816"/>
  <c r="L28" i="816"/>
  <c r="K28" i="816"/>
  <c r="Z27" i="816"/>
  <c r="Y27" i="816"/>
  <c r="X27" i="816"/>
  <c r="W27" i="816"/>
  <c r="V27" i="816"/>
  <c r="U27" i="816"/>
  <c r="T27" i="816"/>
  <c r="S27" i="816"/>
  <c r="R27" i="816"/>
  <c r="Z26" i="816"/>
  <c r="Y26" i="816"/>
  <c r="X26" i="816"/>
  <c r="W26" i="816"/>
  <c r="V26" i="816"/>
  <c r="U26" i="816"/>
  <c r="T26" i="816"/>
  <c r="S26" i="816"/>
  <c r="R26" i="816"/>
  <c r="Z25" i="816"/>
  <c r="Y25" i="816"/>
  <c r="X25" i="816"/>
  <c r="W25" i="816"/>
  <c r="V25" i="816"/>
  <c r="U25" i="816"/>
  <c r="T25" i="816"/>
  <c r="S25" i="816"/>
  <c r="R25" i="816"/>
  <c r="Z24" i="816"/>
  <c r="Y24" i="816"/>
  <c r="X24" i="816"/>
  <c r="W24" i="816"/>
  <c r="V24" i="816"/>
  <c r="U24" i="816"/>
  <c r="T24" i="816"/>
  <c r="S24" i="816"/>
  <c r="R24" i="816"/>
  <c r="Z23" i="816"/>
  <c r="Y23" i="816"/>
  <c r="X23" i="816"/>
  <c r="W23" i="816"/>
  <c r="V23" i="816"/>
  <c r="U23" i="816"/>
  <c r="T23" i="816"/>
  <c r="S23" i="816"/>
  <c r="R23" i="816"/>
  <c r="Z22" i="816"/>
  <c r="Y22" i="816"/>
  <c r="X22" i="816"/>
  <c r="W22" i="816"/>
  <c r="V22" i="816"/>
  <c r="U22" i="816"/>
  <c r="T22" i="816"/>
  <c r="S22" i="816"/>
  <c r="R22" i="816"/>
  <c r="Z21" i="816"/>
  <c r="Y21" i="816"/>
  <c r="X21" i="816"/>
  <c r="W21" i="816"/>
  <c r="V21" i="816"/>
  <c r="U21" i="816"/>
  <c r="T21" i="816"/>
  <c r="S21" i="816"/>
  <c r="R21" i="816"/>
  <c r="Z20" i="816"/>
  <c r="Y20" i="816"/>
  <c r="X20" i="816"/>
  <c r="W20" i="816"/>
  <c r="V20" i="816"/>
  <c r="U20" i="816"/>
  <c r="T20" i="816"/>
  <c r="S20" i="816"/>
  <c r="R20" i="816"/>
  <c r="Z19" i="816"/>
  <c r="Y19" i="816"/>
  <c r="X19" i="816"/>
  <c r="W19" i="816"/>
  <c r="V19" i="816"/>
  <c r="U19" i="816"/>
  <c r="T19" i="816"/>
  <c r="S19" i="816"/>
  <c r="R19" i="816"/>
  <c r="Z18" i="816"/>
  <c r="Y18" i="816"/>
  <c r="X18" i="816"/>
  <c r="W18" i="816"/>
  <c r="V18" i="816"/>
  <c r="U18" i="816"/>
  <c r="T18" i="816"/>
  <c r="S18" i="816"/>
  <c r="R18" i="816"/>
  <c r="Z17" i="816"/>
  <c r="Y17" i="816"/>
  <c r="X17" i="816"/>
  <c r="W17" i="816"/>
  <c r="V17" i="816"/>
  <c r="U17" i="816"/>
  <c r="T17" i="816"/>
  <c r="S17" i="816"/>
  <c r="R17" i="816"/>
  <c r="O17" i="816"/>
  <c r="N17" i="816"/>
  <c r="M17" i="816"/>
  <c r="L17" i="816"/>
  <c r="J17" i="816"/>
  <c r="I17" i="816"/>
  <c r="G17" i="816"/>
  <c r="F17" i="816"/>
  <c r="E17" i="816"/>
  <c r="D17" i="816"/>
  <c r="C17" i="816"/>
  <c r="Z16" i="816"/>
  <c r="Y16" i="816"/>
  <c r="X16" i="816"/>
  <c r="W16" i="816"/>
  <c r="V16" i="816"/>
  <c r="U16" i="816"/>
  <c r="T16" i="816"/>
  <c r="S16" i="816"/>
  <c r="R16" i="816"/>
  <c r="O16" i="816"/>
  <c r="N16" i="816"/>
  <c r="M16" i="816"/>
  <c r="L16" i="816"/>
  <c r="J16" i="816"/>
  <c r="I16" i="816"/>
  <c r="G16" i="816"/>
  <c r="F16" i="816"/>
  <c r="E16" i="816"/>
  <c r="D16" i="816"/>
  <c r="C16" i="816"/>
  <c r="Z15" i="816"/>
  <c r="Y15" i="816"/>
  <c r="X15" i="816"/>
  <c r="W15" i="816"/>
  <c r="V15" i="816"/>
  <c r="U15" i="816"/>
  <c r="T15" i="816"/>
  <c r="S15" i="816"/>
  <c r="R15" i="816"/>
  <c r="O15" i="816"/>
  <c r="N15" i="816"/>
  <c r="M15" i="816"/>
  <c r="L15" i="816"/>
  <c r="J15" i="816"/>
  <c r="I15" i="816"/>
  <c r="G15" i="816"/>
  <c r="F15" i="816"/>
  <c r="E15" i="816"/>
  <c r="D15" i="816"/>
  <c r="C15" i="816"/>
  <c r="Z14" i="816"/>
  <c r="Y14" i="816"/>
  <c r="X14" i="816"/>
  <c r="W14" i="816"/>
  <c r="V14" i="816"/>
  <c r="U14" i="816"/>
  <c r="T14" i="816"/>
  <c r="S14" i="816"/>
  <c r="R14" i="816"/>
  <c r="O14" i="816"/>
  <c r="N14" i="816"/>
  <c r="M14" i="816"/>
  <c r="L14" i="816"/>
  <c r="J14" i="816"/>
  <c r="I14" i="816"/>
  <c r="G14" i="816"/>
  <c r="F14" i="816"/>
  <c r="E14" i="816"/>
  <c r="D14" i="816"/>
  <c r="C14" i="816"/>
  <c r="Z13" i="816"/>
  <c r="Y13" i="816"/>
  <c r="X13" i="816"/>
  <c r="W13" i="816"/>
  <c r="V13" i="816"/>
  <c r="U13" i="816"/>
  <c r="T13" i="816"/>
  <c r="S13" i="816"/>
  <c r="R13" i="816"/>
  <c r="O13" i="816"/>
  <c r="N13" i="816"/>
  <c r="M13" i="816"/>
  <c r="L13" i="816"/>
  <c r="J13" i="816"/>
  <c r="I13" i="816"/>
  <c r="G13" i="816"/>
  <c r="F13" i="816"/>
  <c r="E13" i="816"/>
  <c r="D13" i="816"/>
  <c r="C13" i="816"/>
  <c r="Z12" i="816"/>
  <c r="Y12" i="816"/>
  <c r="X12" i="816"/>
  <c r="W12" i="816"/>
  <c r="V12" i="816"/>
  <c r="U12" i="816"/>
  <c r="T12" i="816"/>
  <c r="S12" i="816"/>
  <c r="R12" i="816"/>
  <c r="O12" i="816"/>
  <c r="N12" i="816"/>
  <c r="M12" i="816"/>
  <c r="L12" i="816"/>
  <c r="J12" i="816"/>
  <c r="I12" i="816"/>
  <c r="G12" i="816"/>
  <c r="F12" i="816"/>
  <c r="E12" i="816"/>
  <c r="D12" i="816"/>
  <c r="C12" i="816"/>
  <c r="Z11" i="816"/>
  <c r="Y11" i="816"/>
  <c r="X11" i="816"/>
  <c r="W11" i="816"/>
  <c r="V11" i="816"/>
  <c r="U11" i="816"/>
  <c r="T11" i="816"/>
  <c r="S11" i="816"/>
  <c r="R11" i="816"/>
  <c r="O11" i="816"/>
  <c r="N11" i="816"/>
  <c r="M11" i="816"/>
  <c r="L11" i="816"/>
  <c r="J11" i="816"/>
  <c r="I11" i="816"/>
  <c r="G11" i="816"/>
  <c r="F11" i="816"/>
  <c r="E11" i="816"/>
  <c r="D11" i="816"/>
  <c r="C11" i="816"/>
  <c r="Z10" i="816"/>
  <c r="Y10" i="816"/>
  <c r="X10" i="816"/>
  <c r="W10" i="816"/>
  <c r="V10" i="816"/>
  <c r="U10" i="816"/>
  <c r="T10" i="816"/>
  <c r="S10" i="816"/>
  <c r="R10" i="816"/>
  <c r="O10" i="816"/>
  <c r="N10" i="816"/>
  <c r="M10" i="816"/>
  <c r="L10" i="816"/>
  <c r="J10" i="816"/>
  <c r="I10" i="816"/>
  <c r="G10" i="816"/>
  <c r="F10" i="816"/>
  <c r="E10" i="816"/>
  <c r="D10" i="816"/>
  <c r="C10" i="816"/>
  <c r="C10" i="815"/>
  <c r="D10" i="815"/>
  <c r="E10" i="815"/>
  <c r="F10" i="815"/>
  <c r="G10" i="815"/>
  <c r="I10" i="815"/>
  <c r="J10" i="815"/>
  <c r="K10" i="815"/>
  <c r="L10" i="815"/>
  <c r="M10" i="815"/>
  <c r="N10" i="815"/>
  <c r="O10" i="815"/>
  <c r="C11" i="815"/>
  <c r="D11" i="815"/>
  <c r="E11" i="815"/>
  <c r="F11" i="815"/>
  <c r="G11" i="815"/>
  <c r="I11" i="815"/>
  <c r="J11" i="815"/>
  <c r="K11" i="815"/>
  <c r="L11" i="815"/>
  <c r="M11" i="815"/>
  <c r="N11" i="815"/>
  <c r="O11" i="815"/>
  <c r="J29" i="817" l="1"/>
  <c r="J27" i="817"/>
  <c r="J27" i="816"/>
  <c r="Z27" i="817"/>
  <c r="U27" i="817"/>
  <c r="V27" i="817"/>
  <c r="Y27" i="817"/>
  <c r="T27" i="817"/>
  <c r="W27" i="817"/>
  <c r="J26" i="816"/>
  <c r="J25" i="815"/>
  <c r="K37" i="817"/>
  <c r="K36" i="816"/>
  <c r="R10" i="815" l="1"/>
  <c r="S10" i="815"/>
  <c r="T10" i="815"/>
  <c r="U10" i="815"/>
  <c r="V10" i="815"/>
  <c r="W10" i="815"/>
  <c r="X10" i="815"/>
  <c r="Y10" i="815"/>
  <c r="Z10" i="815"/>
  <c r="R11" i="815"/>
  <c r="S11" i="815"/>
  <c r="T11" i="815"/>
  <c r="U11" i="815"/>
  <c r="V11" i="815"/>
  <c r="W11" i="815"/>
  <c r="X11" i="815"/>
  <c r="Y11" i="815"/>
  <c r="Z11" i="815"/>
  <c r="K25" i="815"/>
  <c r="K49" i="815"/>
  <c r="M40" i="815" s="1"/>
  <c r="F68" i="815"/>
  <c r="L58" i="815"/>
  <c r="L56" i="815"/>
  <c r="AX54" i="815"/>
  <c r="AW54" i="815"/>
  <c r="AV54" i="815"/>
  <c r="AU54" i="815"/>
  <c r="AT54" i="815"/>
  <c r="AS54" i="815"/>
  <c r="AR54" i="815"/>
  <c r="AQ54" i="815"/>
  <c r="AP54" i="815"/>
  <c r="AO54" i="815"/>
  <c r="AN54" i="815"/>
  <c r="AM54" i="815"/>
  <c r="AL54" i="815"/>
  <c r="AK54" i="815"/>
  <c r="AJ54" i="815"/>
  <c r="AI54" i="815"/>
  <c r="AH54" i="815"/>
  <c r="AG54" i="815"/>
  <c r="AF54" i="815"/>
  <c r="AE54" i="815"/>
  <c r="AD54" i="815"/>
  <c r="AC54" i="815"/>
  <c r="AB54" i="815"/>
  <c r="L54" i="815"/>
  <c r="D47" i="815"/>
  <c r="M34" i="815"/>
  <c r="M33" i="815"/>
  <c r="M32" i="815"/>
  <c r="M31" i="815"/>
  <c r="M30" i="815"/>
  <c r="M28" i="815"/>
  <c r="L28" i="815"/>
  <c r="K28" i="815"/>
  <c r="L27" i="815"/>
  <c r="K27" i="815"/>
  <c r="M26" i="815"/>
  <c r="L26" i="815"/>
  <c r="K26" i="815"/>
  <c r="K29" i="814"/>
  <c r="O21" i="814"/>
  <c r="O11" i="814"/>
  <c r="O12" i="814"/>
  <c r="O13" i="814"/>
  <c r="O14" i="814"/>
  <c r="O15" i="814"/>
  <c r="O16" i="814"/>
  <c r="O17" i="814"/>
  <c r="O18" i="814"/>
  <c r="O19" i="814"/>
  <c r="O10" i="814"/>
  <c r="I18" i="814"/>
  <c r="J18" i="814"/>
  <c r="K18" i="814"/>
  <c r="L18" i="814"/>
  <c r="M18" i="814"/>
  <c r="N18" i="814"/>
  <c r="I19" i="814"/>
  <c r="J19" i="814"/>
  <c r="K19" i="814"/>
  <c r="L19" i="814"/>
  <c r="M19" i="814"/>
  <c r="N19" i="814"/>
  <c r="I21" i="814"/>
  <c r="J21" i="814"/>
  <c r="K21" i="814"/>
  <c r="L21" i="814"/>
  <c r="M21" i="814"/>
  <c r="N21" i="814"/>
  <c r="C21" i="814"/>
  <c r="D21" i="814"/>
  <c r="E21" i="814"/>
  <c r="F21" i="814"/>
  <c r="G21" i="814"/>
  <c r="C18" i="814"/>
  <c r="D18" i="814"/>
  <c r="E18" i="814"/>
  <c r="F18" i="814"/>
  <c r="G18" i="814"/>
  <c r="C19" i="814"/>
  <c r="D19" i="814"/>
  <c r="E19" i="814"/>
  <c r="F19" i="814"/>
  <c r="G19" i="814"/>
  <c r="K35" i="815" l="1"/>
  <c r="L10" i="814"/>
  <c r="M10" i="814"/>
  <c r="L11" i="814"/>
  <c r="M11" i="814"/>
  <c r="L12" i="814"/>
  <c r="M12" i="814"/>
  <c r="L13" i="814"/>
  <c r="M13" i="814"/>
  <c r="L14" i="814"/>
  <c r="M14" i="814"/>
  <c r="L15" i="814"/>
  <c r="M15" i="814"/>
  <c r="L16" i="814"/>
  <c r="M16" i="814"/>
  <c r="L17" i="814"/>
  <c r="M17" i="814"/>
  <c r="C10" i="814"/>
  <c r="D10" i="814"/>
  <c r="E10" i="814"/>
  <c r="F10" i="814"/>
  <c r="G10" i="814"/>
  <c r="C11" i="814"/>
  <c r="D11" i="814"/>
  <c r="E11" i="814"/>
  <c r="F11" i="814"/>
  <c r="G11" i="814"/>
  <c r="C12" i="814"/>
  <c r="D12" i="814"/>
  <c r="E12" i="814"/>
  <c r="F12" i="814"/>
  <c r="G12" i="814"/>
  <c r="C13" i="814"/>
  <c r="D13" i="814"/>
  <c r="E13" i="814"/>
  <c r="F13" i="814"/>
  <c r="G13" i="814"/>
  <c r="C14" i="814"/>
  <c r="D14" i="814"/>
  <c r="E14" i="814"/>
  <c r="F14" i="814"/>
  <c r="G14" i="814"/>
  <c r="C15" i="814"/>
  <c r="D15" i="814"/>
  <c r="E15" i="814"/>
  <c r="F15" i="814"/>
  <c r="G15" i="814"/>
  <c r="C16" i="814"/>
  <c r="D16" i="814"/>
  <c r="E16" i="814"/>
  <c r="F16" i="814"/>
  <c r="G16" i="814"/>
  <c r="C17" i="814"/>
  <c r="D17" i="814"/>
  <c r="E17" i="814"/>
  <c r="F17" i="814"/>
  <c r="G17" i="814"/>
  <c r="F72" i="814"/>
  <c r="L62" i="814"/>
  <c r="L60" i="814"/>
  <c r="AX58" i="814"/>
  <c r="AW58" i="814"/>
  <c r="AV58" i="814"/>
  <c r="AU58" i="814"/>
  <c r="AT58" i="814"/>
  <c r="AS58" i="814"/>
  <c r="AR58" i="814"/>
  <c r="AQ58" i="814"/>
  <c r="AP58" i="814"/>
  <c r="AO58" i="814"/>
  <c r="AN58" i="814"/>
  <c r="AM58" i="814"/>
  <c r="AL58" i="814"/>
  <c r="AK58" i="814"/>
  <c r="AJ58" i="814"/>
  <c r="AI58" i="814"/>
  <c r="AH58" i="814"/>
  <c r="AG58" i="814"/>
  <c r="AF58" i="814"/>
  <c r="AE58" i="814"/>
  <c r="AD58" i="814"/>
  <c r="AC58" i="814"/>
  <c r="AB58" i="814"/>
  <c r="L58" i="814"/>
  <c r="K53" i="814"/>
  <c r="L44" i="814" s="1"/>
  <c r="M44" i="814" s="1"/>
  <c r="D51" i="814"/>
  <c r="M38" i="814"/>
  <c r="M37" i="814"/>
  <c r="M36" i="814"/>
  <c r="M35" i="814"/>
  <c r="M34" i="814"/>
  <c r="M32" i="814"/>
  <c r="L32" i="814"/>
  <c r="K32" i="814"/>
  <c r="L31" i="814"/>
  <c r="K31" i="814"/>
  <c r="Z30" i="814"/>
  <c r="Y30" i="814"/>
  <c r="X30" i="814"/>
  <c r="W30" i="814"/>
  <c r="V30" i="814"/>
  <c r="U30" i="814"/>
  <c r="T30" i="814"/>
  <c r="S30" i="814"/>
  <c r="R30" i="814"/>
  <c r="K30" i="814"/>
  <c r="W29" i="814"/>
  <c r="V29" i="814"/>
  <c r="U29" i="814"/>
  <c r="S29" i="814"/>
  <c r="R29" i="814"/>
  <c r="Z28" i="814"/>
  <c r="Y28" i="814"/>
  <c r="X28" i="814"/>
  <c r="W28" i="814"/>
  <c r="V28" i="814"/>
  <c r="U28" i="814"/>
  <c r="T28" i="814"/>
  <c r="S28" i="814"/>
  <c r="R28" i="814"/>
  <c r="Z27" i="814"/>
  <c r="Y27" i="814"/>
  <c r="X27" i="814"/>
  <c r="W27" i="814"/>
  <c r="V27" i="814"/>
  <c r="U27" i="814"/>
  <c r="T27" i="814"/>
  <c r="S27" i="814"/>
  <c r="R27" i="814"/>
  <c r="Z26" i="814"/>
  <c r="Y26" i="814"/>
  <c r="X26" i="814"/>
  <c r="W26" i="814"/>
  <c r="V26" i="814"/>
  <c r="U26" i="814"/>
  <c r="T26" i="814"/>
  <c r="S26" i="814"/>
  <c r="R26" i="814"/>
  <c r="Z25" i="814"/>
  <c r="Y25" i="814"/>
  <c r="X25" i="814"/>
  <c r="W25" i="814"/>
  <c r="V25" i="814"/>
  <c r="U25" i="814"/>
  <c r="T25" i="814"/>
  <c r="S25" i="814"/>
  <c r="R25" i="814"/>
  <c r="Z24" i="814"/>
  <c r="Y24" i="814"/>
  <c r="X24" i="814"/>
  <c r="W24" i="814"/>
  <c r="V24" i="814"/>
  <c r="U24" i="814"/>
  <c r="T24" i="814"/>
  <c r="S24" i="814"/>
  <c r="R24" i="814"/>
  <c r="Z23" i="814"/>
  <c r="Y23" i="814"/>
  <c r="X23" i="814"/>
  <c r="W23" i="814"/>
  <c r="V23" i="814"/>
  <c r="U23" i="814"/>
  <c r="T23" i="814"/>
  <c r="S23" i="814"/>
  <c r="R23" i="814"/>
  <c r="Z22" i="814"/>
  <c r="Y22" i="814"/>
  <c r="X22" i="814"/>
  <c r="W22" i="814"/>
  <c r="V22" i="814"/>
  <c r="U22" i="814"/>
  <c r="T22" i="814"/>
  <c r="S22" i="814"/>
  <c r="R22" i="814"/>
  <c r="Z21" i="814"/>
  <c r="Y21" i="814"/>
  <c r="X21" i="814"/>
  <c r="W21" i="814"/>
  <c r="V21" i="814"/>
  <c r="U21" i="814"/>
  <c r="T21" i="814"/>
  <c r="S21" i="814"/>
  <c r="R21" i="814"/>
  <c r="Z19" i="814"/>
  <c r="Y19" i="814"/>
  <c r="X19" i="814"/>
  <c r="W19" i="814"/>
  <c r="V19" i="814"/>
  <c r="U19" i="814"/>
  <c r="T19" i="814"/>
  <c r="S19" i="814"/>
  <c r="R19" i="814"/>
  <c r="Z18" i="814"/>
  <c r="Y18" i="814"/>
  <c r="X18" i="814"/>
  <c r="W18" i="814"/>
  <c r="V18" i="814"/>
  <c r="U18" i="814"/>
  <c r="T18" i="814"/>
  <c r="S18" i="814"/>
  <c r="R18" i="814"/>
  <c r="Z17" i="814"/>
  <c r="Y17" i="814"/>
  <c r="X17" i="814"/>
  <c r="W17" i="814"/>
  <c r="V17" i="814"/>
  <c r="U17" i="814"/>
  <c r="T17" i="814"/>
  <c r="S17" i="814"/>
  <c r="R17" i="814"/>
  <c r="Z16" i="814"/>
  <c r="Y16" i="814"/>
  <c r="X16" i="814"/>
  <c r="W16" i="814"/>
  <c r="V16" i="814"/>
  <c r="U16" i="814"/>
  <c r="T16" i="814"/>
  <c r="S16" i="814"/>
  <c r="R16" i="814"/>
  <c r="Z15" i="814"/>
  <c r="Y15" i="814"/>
  <c r="X15" i="814"/>
  <c r="W15" i="814"/>
  <c r="V15" i="814"/>
  <c r="U15" i="814"/>
  <c r="T15" i="814"/>
  <c r="S15" i="814"/>
  <c r="R15" i="814"/>
  <c r="Z14" i="814"/>
  <c r="Y14" i="814"/>
  <c r="X14" i="814"/>
  <c r="W14" i="814"/>
  <c r="V14" i="814"/>
  <c r="U14" i="814"/>
  <c r="T14" i="814"/>
  <c r="S14" i="814"/>
  <c r="R14" i="814"/>
  <c r="Z13" i="814"/>
  <c r="Y13" i="814"/>
  <c r="X13" i="814"/>
  <c r="W13" i="814"/>
  <c r="V13" i="814"/>
  <c r="U13" i="814"/>
  <c r="T13" i="814"/>
  <c r="S13" i="814"/>
  <c r="R13" i="814"/>
  <c r="Z12" i="814"/>
  <c r="Y12" i="814"/>
  <c r="X12" i="814"/>
  <c r="W12" i="814"/>
  <c r="V12" i="814"/>
  <c r="U12" i="814"/>
  <c r="T12" i="814"/>
  <c r="S12" i="814"/>
  <c r="R12" i="814"/>
  <c r="Z11" i="814"/>
  <c r="Y11" i="814"/>
  <c r="X11" i="814"/>
  <c r="W11" i="814"/>
  <c r="V11" i="814"/>
  <c r="U11" i="814"/>
  <c r="T11" i="814"/>
  <c r="S11" i="814"/>
  <c r="R11" i="814"/>
  <c r="Z10" i="814"/>
  <c r="Y10" i="814"/>
  <c r="X10" i="814"/>
  <c r="W10" i="814"/>
  <c r="V10" i="814"/>
  <c r="U10" i="814"/>
  <c r="T10" i="814"/>
  <c r="S10" i="814"/>
  <c r="R10" i="814"/>
  <c r="M30" i="814" l="1"/>
  <c r="L30" i="814"/>
  <c r="K39" i="814"/>
  <c r="T29" i="814"/>
  <c r="X29" i="814"/>
  <c r="Y29" i="814"/>
  <c r="Z29" i="814"/>
  <c r="M30" i="813"/>
  <c r="L30" i="813"/>
  <c r="K30" i="813"/>
  <c r="K29" i="813"/>
  <c r="B29" i="813" l="1"/>
  <c r="B58" i="813"/>
  <c r="L44" i="813"/>
  <c r="M44" i="813" s="1"/>
  <c r="R11" i="813"/>
  <c r="S11" i="813"/>
  <c r="T11" i="813"/>
  <c r="U11" i="813"/>
  <c r="V11" i="813"/>
  <c r="W11" i="813"/>
  <c r="X11" i="813"/>
  <c r="Y11" i="813"/>
  <c r="Z11" i="813"/>
  <c r="R12" i="813"/>
  <c r="S12" i="813"/>
  <c r="T12" i="813"/>
  <c r="U12" i="813"/>
  <c r="V12" i="813"/>
  <c r="W12" i="813"/>
  <c r="X12" i="813"/>
  <c r="Y12" i="813"/>
  <c r="Z12" i="813"/>
  <c r="R13" i="813"/>
  <c r="S13" i="813"/>
  <c r="T13" i="813"/>
  <c r="U13" i="813"/>
  <c r="V13" i="813"/>
  <c r="W13" i="813"/>
  <c r="X13" i="813"/>
  <c r="Y13" i="813"/>
  <c r="Z13" i="813"/>
  <c r="R14" i="813"/>
  <c r="S14" i="813"/>
  <c r="T14" i="813"/>
  <c r="U14" i="813"/>
  <c r="V14" i="813"/>
  <c r="W14" i="813"/>
  <c r="X14" i="813"/>
  <c r="Y14" i="813"/>
  <c r="Z14" i="813"/>
  <c r="R15" i="813"/>
  <c r="S15" i="813"/>
  <c r="T15" i="813"/>
  <c r="U15" i="813"/>
  <c r="V15" i="813"/>
  <c r="W15" i="813"/>
  <c r="X15" i="813"/>
  <c r="Y15" i="813"/>
  <c r="Z15" i="813"/>
  <c r="R16" i="813"/>
  <c r="S16" i="813"/>
  <c r="T16" i="813"/>
  <c r="U16" i="813"/>
  <c r="V16" i="813"/>
  <c r="W16" i="813"/>
  <c r="X16" i="813"/>
  <c r="Y16" i="813"/>
  <c r="Z16" i="813"/>
  <c r="R17" i="813"/>
  <c r="S17" i="813"/>
  <c r="T17" i="813"/>
  <c r="U17" i="813"/>
  <c r="V17" i="813"/>
  <c r="W17" i="813"/>
  <c r="X17" i="813"/>
  <c r="Y17" i="813"/>
  <c r="Z17" i="813"/>
  <c r="R18" i="813"/>
  <c r="S18" i="813"/>
  <c r="T18" i="813"/>
  <c r="U18" i="813"/>
  <c r="V18" i="813"/>
  <c r="W18" i="813"/>
  <c r="X18" i="813"/>
  <c r="Y18" i="813"/>
  <c r="Z18" i="813"/>
  <c r="R19" i="813"/>
  <c r="S19" i="813"/>
  <c r="T19" i="813"/>
  <c r="U19" i="813"/>
  <c r="V19" i="813"/>
  <c r="W19" i="813"/>
  <c r="X19" i="813"/>
  <c r="Y19" i="813"/>
  <c r="Z19" i="813"/>
  <c r="R20" i="813"/>
  <c r="S20" i="813"/>
  <c r="T20" i="813"/>
  <c r="U20" i="813"/>
  <c r="V20" i="813"/>
  <c r="W20" i="813"/>
  <c r="X20" i="813"/>
  <c r="Y20" i="813"/>
  <c r="Z20" i="813"/>
  <c r="R21" i="813"/>
  <c r="S21" i="813"/>
  <c r="T21" i="813"/>
  <c r="U21" i="813"/>
  <c r="V21" i="813"/>
  <c r="W21" i="813"/>
  <c r="X21" i="813"/>
  <c r="Y21" i="813"/>
  <c r="Z21" i="813"/>
  <c r="R22" i="813"/>
  <c r="S22" i="813"/>
  <c r="T22" i="813"/>
  <c r="U22" i="813"/>
  <c r="V22" i="813"/>
  <c r="W22" i="813"/>
  <c r="X22" i="813"/>
  <c r="Y22" i="813"/>
  <c r="Z22" i="813"/>
  <c r="R23" i="813"/>
  <c r="S23" i="813"/>
  <c r="T23" i="813"/>
  <c r="U23" i="813"/>
  <c r="V23" i="813"/>
  <c r="W23" i="813"/>
  <c r="X23" i="813"/>
  <c r="Y23" i="813"/>
  <c r="Z23" i="813"/>
  <c r="R24" i="813"/>
  <c r="S24" i="813"/>
  <c r="T24" i="813"/>
  <c r="U24" i="813"/>
  <c r="V24" i="813"/>
  <c r="W24" i="813"/>
  <c r="X24" i="813"/>
  <c r="Y24" i="813"/>
  <c r="Z24" i="813"/>
  <c r="R25" i="813"/>
  <c r="S25" i="813"/>
  <c r="T25" i="813"/>
  <c r="U25" i="813"/>
  <c r="V25" i="813"/>
  <c r="W25" i="813"/>
  <c r="X25" i="813"/>
  <c r="Y25" i="813"/>
  <c r="Z25" i="813"/>
  <c r="R26" i="813"/>
  <c r="S26" i="813"/>
  <c r="T26" i="813"/>
  <c r="U26" i="813"/>
  <c r="V26" i="813"/>
  <c r="W26" i="813"/>
  <c r="X26" i="813"/>
  <c r="Y26" i="813"/>
  <c r="Z26" i="813"/>
  <c r="R27" i="813"/>
  <c r="S27" i="813"/>
  <c r="T27" i="813"/>
  <c r="U27" i="813"/>
  <c r="V27" i="813"/>
  <c r="W27" i="813"/>
  <c r="X27" i="813"/>
  <c r="Y27" i="813"/>
  <c r="Z27" i="813"/>
  <c r="I12" i="813"/>
  <c r="J12" i="813"/>
  <c r="L12" i="813"/>
  <c r="M12" i="813"/>
  <c r="N12" i="813"/>
  <c r="O12" i="813"/>
  <c r="I13" i="813"/>
  <c r="J13" i="813"/>
  <c r="L13" i="813"/>
  <c r="M13" i="813"/>
  <c r="N13" i="813"/>
  <c r="O13" i="813"/>
  <c r="I14" i="813"/>
  <c r="J14" i="813"/>
  <c r="L14" i="813"/>
  <c r="M14" i="813"/>
  <c r="N14" i="813"/>
  <c r="O14" i="813"/>
  <c r="I15" i="813"/>
  <c r="J15" i="813"/>
  <c r="L15" i="813"/>
  <c r="M15" i="813"/>
  <c r="N15" i="813"/>
  <c r="O15" i="813"/>
  <c r="I16" i="813"/>
  <c r="J16" i="813"/>
  <c r="L16" i="813"/>
  <c r="M16" i="813"/>
  <c r="N16" i="813"/>
  <c r="O16" i="813"/>
  <c r="I18" i="813"/>
  <c r="J18" i="813"/>
  <c r="L18" i="813"/>
  <c r="M18" i="813"/>
  <c r="N18" i="813"/>
  <c r="O18" i="813"/>
  <c r="I19" i="813"/>
  <c r="J19" i="813"/>
  <c r="L19" i="813"/>
  <c r="M19" i="813"/>
  <c r="N19" i="813"/>
  <c r="O19" i="813"/>
  <c r="I20" i="813"/>
  <c r="J20" i="813"/>
  <c r="L20" i="813"/>
  <c r="M20" i="813"/>
  <c r="N20" i="813"/>
  <c r="O20" i="813"/>
  <c r="C12" i="813"/>
  <c r="D12" i="813"/>
  <c r="E12" i="813"/>
  <c r="F12" i="813"/>
  <c r="G12" i="813"/>
  <c r="C13" i="813"/>
  <c r="D13" i="813"/>
  <c r="E13" i="813"/>
  <c r="F13" i="813"/>
  <c r="G13" i="813"/>
  <c r="C14" i="813"/>
  <c r="D14" i="813"/>
  <c r="E14" i="813"/>
  <c r="F14" i="813"/>
  <c r="G14" i="813"/>
  <c r="C15" i="813"/>
  <c r="D15" i="813"/>
  <c r="E15" i="813"/>
  <c r="F15" i="813"/>
  <c r="G15" i="813"/>
  <c r="C16" i="813"/>
  <c r="D16" i="813"/>
  <c r="E16" i="813"/>
  <c r="F16" i="813"/>
  <c r="G16" i="813"/>
  <c r="C18" i="813"/>
  <c r="D18" i="813"/>
  <c r="E18" i="813"/>
  <c r="F18" i="813"/>
  <c r="G18" i="813"/>
  <c r="C19" i="813"/>
  <c r="D19" i="813"/>
  <c r="E19" i="813"/>
  <c r="F19" i="813"/>
  <c r="G19" i="813"/>
  <c r="C20" i="813"/>
  <c r="D20" i="813"/>
  <c r="E20" i="813"/>
  <c r="F20" i="813"/>
  <c r="G20" i="813"/>
  <c r="K10" i="813"/>
  <c r="L10" i="813"/>
  <c r="M10" i="813"/>
  <c r="N10" i="813"/>
  <c r="O10" i="813"/>
  <c r="C10" i="813"/>
  <c r="D10" i="813"/>
  <c r="E10" i="813"/>
  <c r="F10" i="813"/>
  <c r="G10" i="813"/>
  <c r="J53" i="813"/>
  <c r="F72" i="813"/>
  <c r="L62" i="813"/>
  <c r="L60" i="813"/>
  <c r="AX58" i="813"/>
  <c r="AW58" i="813"/>
  <c r="AV58" i="813"/>
  <c r="AU58" i="813"/>
  <c r="AT58" i="813"/>
  <c r="AS58" i="813"/>
  <c r="AR58" i="813"/>
  <c r="AQ58" i="813"/>
  <c r="AP58" i="813"/>
  <c r="AO58" i="813"/>
  <c r="AN58" i="813"/>
  <c r="AM58" i="813"/>
  <c r="AL58" i="813"/>
  <c r="AK58" i="813"/>
  <c r="AJ58" i="813"/>
  <c r="AI58" i="813"/>
  <c r="AH58" i="813"/>
  <c r="AG58" i="813"/>
  <c r="AF58" i="813"/>
  <c r="AE58" i="813"/>
  <c r="AD58" i="813"/>
  <c r="AC58" i="813"/>
  <c r="AB58" i="813"/>
  <c r="K53" i="813"/>
  <c r="D51" i="813"/>
  <c r="M38" i="813"/>
  <c r="M37" i="813"/>
  <c r="M36" i="813"/>
  <c r="M35" i="813"/>
  <c r="M34" i="813"/>
  <c r="M32" i="813"/>
  <c r="L32" i="813"/>
  <c r="K32" i="813"/>
  <c r="L31" i="813"/>
  <c r="K31" i="813"/>
  <c r="Z30" i="813"/>
  <c r="Y30" i="813"/>
  <c r="X30" i="813"/>
  <c r="W30" i="813"/>
  <c r="V30" i="813"/>
  <c r="U30" i="813"/>
  <c r="T30" i="813"/>
  <c r="S30" i="813"/>
  <c r="R30" i="813"/>
  <c r="Y29" i="813"/>
  <c r="Z28" i="813"/>
  <c r="Y28" i="813"/>
  <c r="X28" i="813"/>
  <c r="W28" i="813"/>
  <c r="V28" i="813"/>
  <c r="U28" i="813"/>
  <c r="T28" i="813"/>
  <c r="S28" i="813"/>
  <c r="R28" i="813"/>
  <c r="Z10" i="813"/>
  <c r="Y10" i="813"/>
  <c r="X10" i="813"/>
  <c r="W10" i="813"/>
  <c r="V10" i="813"/>
  <c r="U10" i="813"/>
  <c r="T10" i="813"/>
  <c r="S10" i="813"/>
  <c r="R10" i="813"/>
  <c r="K39" i="813" l="1"/>
  <c r="X29" i="813"/>
  <c r="Z29" i="813"/>
  <c r="S29" i="813"/>
  <c r="U29" i="813"/>
  <c r="V29" i="813"/>
  <c r="T29" i="813"/>
  <c r="W29" i="813"/>
  <c r="R29" i="813"/>
  <c r="B55" i="812"/>
  <c r="B26" i="812"/>
  <c r="L41" i="812"/>
  <c r="M41" i="812" s="1"/>
  <c r="K26" i="812"/>
  <c r="O10" i="812"/>
  <c r="O11" i="812"/>
  <c r="O12" i="812"/>
  <c r="O13" i="812"/>
  <c r="O14" i="812"/>
  <c r="O15" i="812"/>
  <c r="I10" i="812"/>
  <c r="J10" i="812"/>
  <c r="K10" i="812"/>
  <c r="L10" i="812"/>
  <c r="M10" i="812"/>
  <c r="N10" i="812"/>
  <c r="I11" i="812"/>
  <c r="J11" i="812"/>
  <c r="K11" i="812"/>
  <c r="L11" i="812"/>
  <c r="M11" i="812"/>
  <c r="N11" i="812"/>
  <c r="K12" i="812"/>
  <c r="L12" i="812"/>
  <c r="M12" i="812"/>
  <c r="N12" i="812"/>
  <c r="K13" i="812"/>
  <c r="L13" i="812"/>
  <c r="M13" i="812"/>
  <c r="N13" i="812"/>
  <c r="K14" i="812"/>
  <c r="L14" i="812"/>
  <c r="M14" i="812"/>
  <c r="N14" i="812"/>
  <c r="I15" i="812"/>
  <c r="J15" i="812"/>
  <c r="K15" i="812"/>
  <c r="L15" i="812"/>
  <c r="M15" i="812"/>
  <c r="N15" i="812"/>
  <c r="C10" i="812"/>
  <c r="D10" i="812"/>
  <c r="E10" i="812"/>
  <c r="F10" i="812"/>
  <c r="G10" i="812"/>
  <c r="C11" i="812"/>
  <c r="D11" i="812"/>
  <c r="E11" i="812"/>
  <c r="F11" i="812"/>
  <c r="G11" i="812"/>
  <c r="C12" i="812"/>
  <c r="D12" i="812"/>
  <c r="E12" i="812"/>
  <c r="F12" i="812"/>
  <c r="G12" i="812"/>
  <c r="C13" i="812"/>
  <c r="D13" i="812"/>
  <c r="E13" i="812"/>
  <c r="F13" i="812"/>
  <c r="G13" i="812"/>
  <c r="C14" i="812"/>
  <c r="D14" i="812"/>
  <c r="E14" i="812"/>
  <c r="F14" i="812"/>
  <c r="G14" i="812"/>
  <c r="C15" i="812"/>
  <c r="D15" i="812"/>
  <c r="E15" i="812"/>
  <c r="F15" i="812"/>
  <c r="G15" i="812"/>
  <c r="F69" i="812"/>
  <c r="L59" i="812"/>
  <c r="L57" i="812"/>
  <c r="AX55" i="812"/>
  <c r="AW55" i="812"/>
  <c r="AV55" i="812"/>
  <c r="AU55" i="812"/>
  <c r="AT55" i="812"/>
  <c r="AS55" i="812"/>
  <c r="AR55" i="812"/>
  <c r="AQ55" i="812"/>
  <c r="AP55" i="812"/>
  <c r="AO55" i="812"/>
  <c r="AN55" i="812"/>
  <c r="AM55" i="812"/>
  <c r="AL55" i="812"/>
  <c r="AK55" i="812"/>
  <c r="AJ55" i="812"/>
  <c r="AI55" i="812"/>
  <c r="AH55" i="812"/>
  <c r="AG55" i="812"/>
  <c r="AF55" i="812"/>
  <c r="AE55" i="812"/>
  <c r="AD55" i="812"/>
  <c r="AC55" i="812"/>
  <c r="AB55" i="812"/>
  <c r="K50" i="812"/>
  <c r="D48" i="812"/>
  <c r="M35" i="812"/>
  <c r="M34" i="812"/>
  <c r="M33" i="812"/>
  <c r="M32" i="812"/>
  <c r="M31" i="812"/>
  <c r="M29" i="812"/>
  <c r="L29" i="812"/>
  <c r="K29" i="812"/>
  <c r="L28" i="812"/>
  <c r="K28" i="812"/>
  <c r="Z27" i="812"/>
  <c r="Y27" i="812"/>
  <c r="X27" i="812"/>
  <c r="W27" i="812"/>
  <c r="V27" i="812"/>
  <c r="U27" i="812"/>
  <c r="T27" i="812"/>
  <c r="S27" i="812"/>
  <c r="R27" i="812"/>
  <c r="M27" i="812"/>
  <c r="L27" i="812"/>
  <c r="K27" i="812"/>
  <c r="Z26" i="812"/>
  <c r="Y26" i="812"/>
  <c r="U26" i="812"/>
  <c r="Z25" i="812"/>
  <c r="Y25" i="812"/>
  <c r="X25" i="812"/>
  <c r="W25" i="812"/>
  <c r="V25" i="812"/>
  <c r="U25" i="812"/>
  <c r="T25" i="812"/>
  <c r="S25" i="812"/>
  <c r="R25" i="812"/>
  <c r="Z24" i="812"/>
  <c r="Y24" i="812"/>
  <c r="X24" i="812"/>
  <c r="W24" i="812"/>
  <c r="V24" i="812"/>
  <c r="U24" i="812"/>
  <c r="T24" i="812"/>
  <c r="S24" i="812"/>
  <c r="R24" i="812"/>
  <c r="Z23" i="812"/>
  <c r="Y23" i="812"/>
  <c r="X23" i="812"/>
  <c r="W23" i="812"/>
  <c r="V23" i="812"/>
  <c r="U23" i="812"/>
  <c r="T23" i="812"/>
  <c r="S23" i="812"/>
  <c r="R23" i="812"/>
  <c r="Z22" i="812"/>
  <c r="Y22" i="812"/>
  <c r="X22" i="812"/>
  <c r="W22" i="812"/>
  <c r="V22" i="812"/>
  <c r="U22" i="812"/>
  <c r="T22" i="812"/>
  <c r="S22" i="812"/>
  <c r="R22" i="812"/>
  <c r="Z21" i="812"/>
  <c r="Y21" i="812"/>
  <c r="X21" i="812"/>
  <c r="W21" i="812"/>
  <c r="V21" i="812"/>
  <c r="U21" i="812"/>
  <c r="T21" i="812"/>
  <c r="S21" i="812"/>
  <c r="R21" i="812"/>
  <c r="Z20" i="812"/>
  <c r="Y20" i="812"/>
  <c r="X20" i="812"/>
  <c r="W20" i="812"/>
  <c r="V20" i="812"/>
  <c r="U20" i="812"/>
  <c r="T20" i="812"/>
  <c r="S20" i="812"/>
  <c r="R20" i="812"/>
  <c r="Z19" i="812"/>
  <c r="Y19" i="812"/>
  <c r="X19" i="812"/>
  <c r="W19" i="812"/>
  <c r="V19" i="812"/>
  <c r="U19" i="812"/>
  <c r="T19" i="812"/>
  <c r="S19" i="812"/>
  <c r="R19" i="812"/>
  <c r="Z18" i="812"/>
  <c r="Y18" i="812"/>
  <c r="X18" i="812"/>
  <c r="W18" i="812"/>
  <c r="V18" i="812"/>
  <c r="U18" i="812"/>
  <c r="T18" i="812"/>
  <c r="S18" i="812"/>
  <c r="R18" i="812"/>
  <c r="Z17" i="812"/>
  <c r="Y17" i="812"/>
  <c r="X17" i="812"/>
  <c r="W17" i="812"/>
  <c r="V17" i="812"/>
  <c r="U17" i="812"/>
  <c r="T17" i="812"/>
  <c r="S17" i="812"/>
  <c r="R17" i="812"/>
  <c r="Z16" i="812"/>
  <c r="Y16" i="812"/>
  <c r="X16" i="812"/>
  <c r="W16" i="812"/>
  <c r="V16" i="812"/>
  <c r="U16" i="812"/>
  <c r="T16" i="812"/>
  <c r="S16" i="812"/>
  <c r="R16" i="812"/>
  <c r="Z15" i="812"/>
  <c r="Y15" i="812"/>
  <c r="X15" i="812"/>
  <c r="W15" i="812"/>
  <c r="V15" i="812"/>
  <c r="U15" i="812"/>
  <c r="T15" i="812"/>
  <c r="S15" i="812"/>
  <c r="R15" i="812"/>
  <c r="Z14" i="812"/>
  <c r="Y14" i="812"/>
  <c r="X14" i="812"/>
  <c r="W14" i="812"/>
  <c r="V14" i="812"/>
  <c r="U14" i="812"/>
  <c r="T14" i="812"/>
  <c r="S14" i="812"/>
  <c r="R14" i="812"/>
  <c r="Z13" i="812"/>
  <c r="Y13" i="812"/>
  <c r="X13" i="812"/>
  <c r="W13" i="812"/>
  <c r="V13" i="812"/>
  <c r="U13" i="812"/>
  <c r="T13" i="812"/>
  <c r="S13" i="812"/>
  <c r="R13" i="812"/>
  <c r="Z12" i="812"/>
  <c r="Y12" i="812"/>
  <c r="X12" i="812"/>
  <c r="W12" i="812"/>
  <c r="V12" i="812"/>
  <c r="U12" i="812"/>
  <c r="T12" i="812"/>
  <c r="S12" i="812"/>
  <c r="R12" i="812"/>
  <c r="Z11" i="812"/>
  <c r="Y11" i="812"/>
  <c r="X11" i="812"/>
  <c r="W11" i="812"/>
  <c r="V11" i="812"/>
  <c r="U11" i="812"/>
  <c r="T11" i="812"/>
  <c r="S11" i="812"/>
  <c r="R11" i="812"/>
  <c r="Z10" i="812"/>
  <c r="Y10" i="812"/>
  <c r="X10" i="812"/>
  <c r="W10" i="812"/>
  <c r="V10" i="812"/>
  <c r="U10" i="812"/>
  <c r="T10" i="812"/>
  <c r="S10" i="812"/>
  <c r="R10" i="812"/>
  <c r="E64" i="811"/>
  <c r="V26" i="812" l="1"/>
  <c r="K36" i="812"/>
  <c r="X26" i="812"/>
  <c r="W26" i="812"/>
  <c r="R26" i="812"/>
  <c r="S26" i="812"/>
  <c r="T26" i="812"/>
  <c r="B47" i="811"/>
  <c r="B35" i="811"/>
  <c r="C35" i="811" a="1"/>
  <c r="C35" i="811" s="1"/>
  <c r="B66" i="811"/>
  <c r="B64" i="811"/>
  <c r="K35" i="811"/>
  <c r="R10" i="811"/>
  <c r="S10" i="811"/>
  <c r="T10" i="811"/>
  <c r="U10" i="811"/>
  <c r="V10" i="811"/>
  <c r="W10" i="811"/>
  <c r="X10" i="811"/>
  <c r="Y10" i="811"/>
  <c r="Z10" i="811"/>
  <c r="R12" i="811"/>
  <c r="S12" i="811"/>
  <c r="T12" i="811"/>
  <c r="U12" i="811"/>
  <c r="V12" i="811"/>
  <c r="W12" i="811"/>
  <c r="X12" i="811"/>
  <c r="Y12" i="811"/>
  <c r="Z12" i="811"/>
  <c r="R13" i="811"/>
  <c r="S13" i="811"/>
  <c r="T13" i="811"/>
  <c r="U13" i="811"/>
  <c r="V13" i="811"/>
  <c r="W13" i="811"/>
  <c r="X13" i="811"/>
  <c r="Y13" i="811"/>
  <c r="Z13" i="811"/>
  <c r="R14" i="811"/>
  <c r="S14" i="811"/>
  <c r="T14" i="811"/>
  <c r="U14" i="811"/>
  <c r="V14" i="811"/>
  <c r="W14" i="811"/>
  <c r="X14" i="811"/>
  <c r="Y14" i="811"/>
  <c r="Z14" i="811"/>
  <c r="R15" i="811"/>
  <c r="S15" i="811"/>
  <c r="T15" i="811"/>
  <c r="U15" i="811"/>
  <c r="V15" i="811"/>
  <c r="W15" i="811"/>
  <c r="X15" i="811"/>
  <c r="Y15" i="811"/>
  <c r="Z15" i="811"/>
  <c r="R16" i="811"/>
  <c r="S16" i="811"/>
  <c r="T16" i="811"/>
  <c r="U16" i="811"/>
  <c r="V16" i="811"/>
  <c r="W16" i="811"/>
  <c r="X16" i="811"/>
  <c r="Y16" i="811"/>
  <c r="Z16" i="811"/>
  <c r="R17" i="811"/>
  <c r="S17" i="811"/>
  <c r="T17" i="811"/>
  <c r="U17" i="811"/>
  <c r="V17" i="811"/>
  <c r="W17" i="811"/>
  <c r="X17" i="811"/>
  <c r="Y17" i="811"/>
  <c r="Z17" i="811"/>
  <c r="R18" i="811"/>
  <c r="S18" i="811"/>
  <c r="T18" i="811"/>
  <c r="U18" i="811"/>
  <c r="V18" i="811"/>
  <c r="W18" i="811"/>
  <c r="X18" i="811"/>
  <c r="Y18" i="811"/>
  <c r="Z18" i="811"/>
  <c r="R19" i="811"/>
  <c r="S19" i="811"/>
  <c r="T19" i="811"/>
  <c r="U19" i="811"/>
  <c r="V19" i="811"/>
  <c r="W19" i="811"/>
  <c r="X19" i="811"/>
  <c r="Y19" i="811"/>
  <c r="Z19" i="811"/>
  <c r="R20" i="811"/>
  <c r="S20" i="811"/>
  <c r="T20" i="811"/>
  <c r="U20" i="811"/>
  <c r="V20" i="811"/>
  <c r="W20" i="811"/>
  <c r="X20" i="811"/>
  <c r="Y20" i="811"/>
  <c r="Z20" i="811"/>
  <c r="R21" i="811"/>
  <c r="S21" i="811"/>
  <c r="T21" i="811"/>
  <c r="U21" i="811"/>
  <c r="V21" i="811"/>
  <c r="W21" i="811"/>
  <c r="X21" i="811"/>
  <c r="Y21" i="811"/>
  <c r="Z21" i="811"/>
  <c r="R22" i="811"/>
  <c r="S22" i="811"/>
  <c r="T22" i="811"/>
  <c r="U22" i="811"/>
  <c r="V22" i="811"/>
  <c r="W22" i="811"/>
  <c r="X22" i="811"/>
  <c r="Y22" i="811"/>
  <c r="Z22" i="811"/>
  <c r="R23" i="811"/>
  <c r="S23" i="811"/>
  <c r="T23" i="811"/>
  <c r="U23" i="811"/>
  <c r="V23" i="811"/>
  <c r="W23" i="811"/>
  <c r="X23" i="811"/>
  <c r="Y23" i="811"/>
  <c r="Z23" i="811"/>
  <c r="R24" i="811"/>
  <c r="S24" i="811"/>
  <c r="T24" i="811"/>
  <c r="U24" i="811"/>
  <c r="V24" i="811"/>
  <c r="W24" i="811"/>
  <c r="X24" i="811"/>
  <c r="Y24" i="811"/>
  <c r="Z24" i="811"/>
  <c r="R25" i="811"/>
  <c r="S25" i="811"/>
  <c r="T25" i="811"/>
  <c r="U25" i="811"/>
  <c r="V25" i="811"/>
  <c r="W25" i="811"/>
  <c r="X25" i="811"/>
  <c r="Y25" i="811"/>
  <c r="Z25" i="811"/>
  <c r="R26" i="811"/>
  <c r="S26" i="811"/>
  <c r="T26" i="811"/>
  <c r="U26" i="811"/>
  <c r="V26" i="811"/>
  <c r="W26" i="811"/>
  <c r="X26" i="811"/>
  <c r="Y26" i="811"/>
  <c r="Z26" i="811"/>
  <c r="R27" i="811"/>
  <c r="S27" i="811"/>
  <c r="T27" i="811"/>
  <c r="U27" i="811"/>
  <c r="V27" i="811"/>
  <c r="W27" i="811"/>
  <c r="X27" i="811"/>
  <c r="Y27" i="811"/>
  <c r="Z27" i="811"/>
  <c r="R28" i="811"/>
  <c r="S28" i="811"/>
  <c r="T28" i="811"/>
  <c r="U28" i="811"/>
  <c r="V28" i="811"/>
  <c r="W28" i="811"/>
  <c r="X28" i="811"/>
  <c r="Y28" i="811"/>
  <c r="Z28" i="811"/>
  <c r="R29" i="811"/>
  <c r="S29" i="811"/>
  <c r="T29" i="811"/>
  <c r="U29" i="811"/>
  <c r="V29" i="811"/>
  <c r="W29" i="811"/>
  <c r="X29" i="811"/>
  <c r="Y29" i="811"/>
  <c r="Z29" i="811"/>
  <c r="R30" i="811"/>
  <c r="S30" i="811"/>
  <c r="T30" i="811"/>
  <c r="U30" i="811"/>
  <c r="V30" i="811"/>
  <c r="W30" i="811"/>
  <c r="X30" i="811"/>
  <c r="Y30" i="811"/>
  <c r="Z30" i="811"/>
  <c r="R31" i="811"/>
  <c r="S31" i="811"/>
  <c r="T31" i="811"/>
  <c r="U31" i="811"/>
  <c r="V31" i="811"/>
  <c r="W31" i="811"/>
  <c r="X31" i="811"/>
  <c r="Y31" i="811"/>
  <c r="Z31" i="811"/>
  <c r="R32" i="811"/>
  <c r="S32" i="811"/>
  <c r="T32" i="811"/>
  <c r="U32" i="811"/>
  <c r="V32" i="811"/>
  <c r="W32" i="811"/>
  <c r="X32" i="811"/>
  <c r="Y32" i="811"/>
  <c r="Z32" i="811"/>
  <c r="R33" i="811"/>
  <c r="S33" i="811"/>
  <c r="T33" i="811"/>
  <c r="U33" i="811"/>
  <c r="V33" i="811"/>
  <c r="W33" i="811"/>
  <c r="X33" i="811"/>
  <c r="Y33" i="811"/>
  <c r="Z33" i="811"/>
  <c r="R34" i="811"/>
  <c r="S34" i="811"/>
  <c r="T34" i="811"/>
  <c r="U34" i="811"/>
  <c r="V34" i="811"/>
  <c r="W34" i="811"/>
  <c r="X34" i="811"/>
  <c r="Y34" i="811"/>
  <c r="Z34" i="811"/>
  <c r="R35" i="811"/>
  <c r="S35" i="811"/>
  <c r="T35" i="811"/>
  <c r="U35" i="811"/>
  <c r="V35" i="811"/>
  <c r="W35" i="811"/>
  <c r="X35" i="811"/>
  <c r="Y35" i="811"/>
  <c r="Z35" i="811"/>
  <c r="R36" i="811"/>
  <c r="S36" i="811"/>
  <c r="T36" i="811"/>
  <c r="U36" i="811"/>
  <c r="V36" i="811"/>
  <c r="W36" i="811"/>
  <c r="X36" i="811"/>
  <c r="Y36" i="811"/>
  <c r="Z36" i="811"/>
  <c r="N17" i="811"/>
  <c r="O11" i="811"/>
  <c r="I14" i="811"/>
  <c r="J14" i="811"/>
  <c r="O14" i="811"/>
  <c r="I15" i="811"/>
  <c r="J15" i="811"/>
  <c r="K15" i="811"/>
  <c r="L15" i="811"/>
  <c r="M15" i="811"/>
  <c r="O15" i="811"/>
  <c r="I16" i="811"/>
  <c r="J16" i="811"/>
  <c r="K16" i="811"/>
  <c r="L16" i="811"/>
  <c r="M16" i="811"/>
  <c r="O16" i="811"/>
  <c r="I17" i="811"/>
  <c r="J17" i="811"/>
  <c r="K17" i="811"/>
  <c r="L17" i="811"/>
  <c r="M17" i="811"/>
  <c r="O17" i="811"/>
  <c r="I18" i="811"/>
  <c r="J18" i="811"/>
  <c r="K18" i="811"/>
  <c r="L18" i="811"/>
  <c r="M18" i="811"/>
  <c r="N18" i="811"/>
  <c r="O18" i="811"/>
  <c r="J35" i="811" l="1"/>
  <c r="C11" i="811"/>
  <c r="D11" i="811"/>
  <c r="C14" i="811"/>
  <c r="E14" i="811"/>
  <c r="F14" i="811"/>
  <c r="G14" i="811"/>
  <c r="C15" i="811"/>
  <c r="D15" i="811"/>
  <c r="E15" i="811"/>
  <c r="F15" i="811"/>
  <c r="G15" i="811"/>
  <c r="C16" i="811"/>
  <c r="D16" i="811"/>
  <c r="E16" i="811"/>
  <c r="F16" i="811"/>
  <c r="G16" i="811"/>
  <c r="C17" i="811"/>
  <c r="D17" i="811"/>
  <c r="E17" i="811"/>
  <c r="F17" i="811"/>
  <c r="G17" i="811"/>
  <c r="C18" i="811"/>
  <c r="D18" i="811"/>
  <c r="E18" i="811"/>
  <c r="F18" i="811"/>
  <c r="G18" i="811"/>
  <c r="F78" i="811"/>
  <c r="L68" i="811"/>
  <c r="AX64" i="811"/>
  <c r="AW64" i="811"/>
  <c r="AV64" i="811"/>
  <c r="AU64" i="811"/>
  <c r="AT64" i="811"/>
  <c r="AS64" i="811"/>
  <c r="AR64" i="811"/>
  <c r="AQ64" i="811"/>
  <c r="AP64" i="811"/>
  <c r="AO64" i="811"/>
  <c r="AN64" i="811"/>
  <c r="AM64" i="811"/>
  <c r="AL64" i="811"/>
  <c r="AK64" i="811"/>
  <c r="AJ64" i="811"/>
  <c r="AI64" i="811"/>
  <c r="AH64" i="811"/>
  <c r="AG64" i="811"/>
  <c r="AF64" i="811"/>
  <c r="AE64" i="811"/>
  <c r="AD64" i="811"/>
  <c r="AC64" i="811"/>
  <c r="AB64" i="811"/>
  <c r="K59" i="811"/>
  <c r="D57" i="811"/>
  <c r="M44" i="811"/>
  <c r="M43" i="811"/>
  <c r="M42" i="811"/>
  <c r="M41" i="811"/>
  <c r="M40" i="811"/>
  <c r="M38" i="811"/>
  <c r="L38" i="811"/>
  <c r="K38" i="811"/>
  <c r="L37" i="811"/>
  <c r="K37" i="811"/>
  <c r="M36" i="811"/>
  <c r="L36" i="811"/>
  <c r="K36" i="811"/>
  <c r="Z11" i="811"/>
  <c r="Y11" i="811"/>
  <c r="X11" i="811"/>
  <c r="W11" i="811"/>
  <c r="V11" i="811"/>
  <c r="U11" i="811"/>
  <c r="T11" i="811"/>
  <c r="S11" i="811"/>
  <c r="R11" i="811"/>
  <c r="M35" i="810"/>
  <c r="L35" i="810"/>
  <c r="K35" i="810"/>
  <c r="K32" i="810"/>
  <c r="L50" i="811" l="1"/>
  <c r="M50" i="811" s="1"/>
  <c r="K45" i="811"/>
  <c r="K12" i="810"/>
  <c r="K13" i="810"/>
  <c r="K14" i="810"/>
  <c r="K17" i="810"/>
  <c r="K18" i="810"/>
  <c r="R10" i="810"/>
  <c r="S10" i="810"/>
  <c r="T10" i="810"/>
  <c r="U10" i="810"/>
  <c r="V10" i="810"/>
  <c r="W10" i="810"/>
  <c r="X10" i="810"/>
  <c r="Y10" i="810"/>
  <c r="Z10" i="810"/>
  <c r="R11" i="810"/>
  <c r="S11" i="810"/>
  <c r="T11" i="810"/>
  <c r="U11" i="810"/>
  <c r="V11" i="810"/>
  <c r="W11" i="810"/>
  <c r="X11" i="810"/>
  <c r="Y11" i="810"/>
  <c r="Z11" i="810"/>
  <c r="I10" i="810"/>
  <c r="J35" i="810" s="1"/>
  <c r="J10" i="810"/>
  <c r="K10" i="810"/>
  <c r="L10" i="810"/>
  <c r="M10" i="810"/>
  <c r="N10" i="810"/>
  <c r="O10" i="810"/>
  <c r="C10" i="810"/>
  <c r="D10" i="810"/>
  <c r="E10" i="810"/>
  <c r="F10" i="810"/>
  <c r="G10" i="810"/>
  <c r="C13" i="810"/>
  <c r="D13" i="810"/>
  <c r="E13" i="810"/>
  <c r="F13" i="810"/>
  <c r="G13" i="810"/>
  <c r="I13" i="810"/>
  <c r="J13" i="810"/>
  <c r="L13" i="810"/>
  <c r="M13" i="810"/>
  <c r="N13" i="810"/>
  <c r="O13" i="810"/>
  <c r="C14" i="810"/>
  <c r="D14" i="810"/>
  <c r="E14" i="810"/>
  <c r="F14" i="810"/>
  <c r="G14" i="810"/>
  <c r="I14" i="810"/>
  <c r="J14" i="810"/>
  <c r="L14" i="810"/>
  <c r="M14" i="810"/>
  <c r="N14" i="810"/>
  <c r="O14" i="810"/>
  <c r="C15" i="810"/>
  <c r="D15" i="810"/>
  <c r="E15" i="810"/>
  <c r="F15" i="810"/>
  <c r="G15" i="810"/>
  <c r="I15" i="810"/>
  <c r="J15" i="810"/>
  <c r="K15" i="810"/>
  <c r="L15" i="810"/>
  <c r="M15" i="810"/>
  <c r="N15" i="810"/>
  <c r="O15" i="810"/>
  <c r="C16" i="810"/>
  <c r="D16" i="810"/>
  <c r="E16" i="810"/>
  <c r="F16" i="810"/>
  <c r="G16" i="810"/>
  <c r="I16" i="810"/>
  <c r="J16" i="810"/>
  <c r="K16" i="810"/>
  <c r="L16" i="810"/>
  <c r="M16" i="810"/>
  <c r="N16" i="810"/>
  <c r="O16" i="810"/>
  <c r="C17" i="810"/>
  <c r="D17" i="810"/>
  <c r="E17" i="810"/>
  <c r="F17" i="810"/>
  <c r="G17" i="810"/>
  <c r="I17" i="810"/>
  <c r="J17" i="810"/>
  <c r="L17" i="810"/>
  <c r="M17" i="810"/>
  <c r="N17" i="810"/>
  <c r="O17" i="810"/>
  <c r="C18" i="810"/>
  <c r="D18" i="810"/>
  <c r="E18" i="810"/>
  <c r="F18" i="810"/>
  <c r="G18" i="810"/>
  <c r="I18" i="810"/>
  <c r="J18" i="810"/>
  <c r="L18" i="810"/>
  <c r="M18" i="810"/>
  <c r="N18" i="810"/>
  <c r="O18" i="810"/>
  <c r="O12" i="810"/>
  <c r="N12" i="810"/>
  <c r="M12" i="810"/>
  <c r="L12" i="810"/>
  <c r="J12" i="810"/>
  <c r="I12" i="810"/>
  <c r="G12" i="810"/>
  <c r="F12" i="810"/>
  <c r="E12" i="810"/>
  <c r="D12" i="810"/>
  <c r="C12" i="810"/>
  <c r="F75" i="810"/>
  <c r="L65" i="810"/>
  <c r="AX61" i="810"/>
  <c r="AW61" i="810"/>
  <c r="AV61" i="810"/>
  <c r="AU61" i="810"/>
  <c r="AT61" i="810"/>
  <c r="AS61" i="810"/>
  <c r="AR61" i="810"/>
  <c r="AQ61" i="810"/>
  <c r="AP61" i="810"/>
  <c r="AO61" i="810"/>
  <c r="AN61" i="810"/>
  <c r="AM61" i="810"/>
  <c r="AL61" i="810"/>
  <c r="AK61" i="810"/>
  <c r="AJ61" i="810"/>
  <c r="AI61" i="810"/>
  <c r="AH61" i="810"/>
  <c r="AG61" i="810"/>
  <c r="AF61" i="810"/>
  <c r="AE61" i="810"/>
  <c r="AD61" i="810"/>
  <c r="AC61" i="810"/>
  <c r="AB61" i="810"/>
  <c r="K56" i="810"/>
  <c r="L47" i="810" s="1"/>
  <c r="M47" i="810" s="1"/>
  <c r="D54" i="810"/>
  <c r="M41" i="810"/>
  <c r="M40" i="810"/>
  <c r="M39" i="810"/>
  <c r="M38" i="810"/>
  <c r="M37" i="810"/>
  <c r="L34" i="810"/>
  <c r="K34" i="810"/>
  <c r="M33" i="810"/>
  <c r="L33" i="810"/>
  <c r="K33" i="810"/>
  <c r="Z31" i="810"/>
  <c r="Y31" i="810"/>
  <c r="X31" i="810"/>
  <c r="W31" i="810"/>
  <c r="V31" i="810"/>
  <c r="U31" i="810"/>
  <c r="T31" i="810"/>
  <c r="S31" i="810"/>
  <c r="R31" i="810"/>
  <c r="Z30" i="810"/>
  <c r="Y30" i="810"/>
  <c r="X30" i="810"/>
  <c r="W30" i="810"/>
  <c r="V30" i="810"/>
  <c r="U30" i="810"/>
  <c r="T30" i="810"/>
  <c r="S30" i="810"/>
  <c r="R30" i="810"/>
  <c r="Z29" i="810"/>
  <c r="Y29" i="810"/>
  <c r="X29" i="810"/>
  <c r="W29" i="810"/>
  <c r="V29" i="810"/>
  <c r="U29" i="810"/>
  <c r="T29" i="810"/>
  <c r="S29" i="810"/>
  <c r="R29" i="810"/>
  <c r="Z28" i="810"/>
  <c r="Y28" i="810"/>
  <c r="X28" i="810"/>
  <c r="W28" i="810"/>
  <c r="V28" i="810"/>
  <c r="U28" i="810"/>
  <c r="T28" i="810"/>
  <c r="S28" i="810"/>
  <c r="R28" i="810"/>
  <c r="Z27" i="810"/>
  <c r="Y27" i="810"/>
  <c r="X27" i="810"/>
  <c r="W27" i="810"/>
  <c r="V27" i="810"/>
  <c r="U27" i="810"/>
  <c r="T27" i="810"/>
  <c r="S27" i="810"/>
  <c r="R27" i="810"/>
  <c r="Z26" i="810"/>
  <c r="Y26" i="810"/>
  <c r="X26" i="810"/>
  <c r="W26" i="810"/>
  <c r="V26" i="810"/>
  <c r="U26" i="810"/>
  <c r="T26" i="810"/>
  <c r="S26" i="810"/>
  <c r="R26" i="810"/>
  <c r="Z25" i="810"/>
  <c r="Y25" i="810"/>
  <c r="X25" i="810"/>
  <c r="W25" i="810"/>
  <c r="V25" i="810"/>
  <c r="U25" i="810"/>
  <c r="T25" i="810"/>
  <c r="S25" i="810"/>
  <c r="R25" i="810"/>
  <c r="Z24" i="810"/>
  <c r="Y24" i="810"/>
  <c r="X24" i="810"/>
  <c r="W24" i="810"/>
  <c r="V24" i="810"/>
  <c r="U24" i="810"/>
  <c r="T24" i="810"/>
  <c r="S24" i="810"/>
  <c r="R24" i="810"/>
  <c r="Z23" i="810"/>
  <c r="Y23" i="810"/>
  <c r="X23" i="810"/>
  <c r="W23" i="810"/>
  <c r="V23" i="810"/>
  <c r="U23" i="810"/>
  <c r="T23" i="810"/>
  <c r="S23" i="810"/>
  <c r="R23" i="810"/>
  <c r="Z22" i="810"/>
  <c r="Y22" i="810"/>
  <c r="X22" i="810"/>
  <c r="W22" i="810"/>
  <c r="V22" i="810"/>
  <c r="U22" i="810"/>
  <c r="T22" i="810"/>
  <c r="S22" i="810"/>
  <c r="R22" i="810"/>
  <c r="Z21" i="810"/>
  <c r="Y21" i="810"/>
  <c r="X21" i="810"/>
  <c r="W21" i="810"/>
  <c r="V21" i="810"/>
  <c r="U21" i="810"/>
  <c r="T21" i="810"/>
  <c r="S21" i="810"/>
  <c r="R21" i="810"/>
  <c r="Z20" i="810"/>
  <c r="Y20" i="810"/>
  <c r="X20" i="810"/>
  <c r="W20" i="810"/>
  <c r="V20" i="810"/>
  <c r="U20" i="810"/>
  <c r="T20" i="810"/>
  <c r="S20" i="810"/>
  <c r="R20" i="810"/>
  <c r="Z19" i="810"/>
  <c r="Y19" i="810"/>
  <c r="X19" i="810"/>
  <c r="W19" i="810"/>
  <c r="V19" i="810"/>
  <c r="U19" i="810"/>
  <c r="T19" i="810"/>
  <c r="S19" i="810"/>
  <c r="R19" i="810"/>
  <c r="Z18" i="810"/>
  <c r="Y18" i="810"/>
  <c r="X18" i="810"/>
  <c r="W18" i="810"/>
  <c r="V18" i="810"/>
  <c r="U18" i="810"/>
  <c r="T18" i="810"/>
  <c r="S18" i="810"/>
  <c r="R18" i="810"/>
  <c r="Z17" i="810"/>
  <c r="Y17" i="810"/>
  <c r="X17" i="810"/>
  <c r="W17" i="810"/>
  <c r="V17" i="810"/>
  <c r="U17" i="810"/>
  <c r="T17" i="810"/>
  <c r="S17" i="810"/>
  <c r="R17" i="810"/>
  <c r="Z16" i="810"/>
  <c r="Y16" i="810"/>
  <c r="X16" i="810"/>
  <c r="W16" i="810"/>
  <c r="V16" i="810"/>
  <c r="U16" i="810"/>
  <c r="T16" i="810"/>
  <c r="S16" i="810"/>
  <c r="R16" i="810"/>
  <c r="Z15" i="810"/>
  <c r="Y15" i="810"/>
  <c r="X15" i="810"/>
  <c r="W15" i="810"/>
  <c r="V15" i="810"/>
  <c r="U15" i="810"/>
  <c r="T15" i="810"/>
  <c r="S15" i="810"/>
  <c r="R15" i="810"/>
  <c r="Z14" i="810"/>
  <c r="Y14" i="810"/>
  <c r="X14" i="810"/>
  <c r="W14" i="810"/>
  <c r="V14" i="810"/>
  <c r="U14" i="810"/>
  <c r="T14" i="810"/>
  <c r="S14" i="810"/>
  <c r="R14" i="810"/>
  <c r="Z13" i="810"/>
  <c r="Y13" i="810"/>
  <c r="X13" i="810"/>
  <c r="W13" i="810"/>
  <c r="V13" i="810"/>
  <c r="U13" i="810"/>
  <c r="T13" i="810"/>
  <c r="S13" i="810"/>
  <c r="R13" i="810"/>
  <c r="Z12" i="810"/>
  <c r="Y12" i="810"/>
  <c r="X12" i="810"/>
  <c r="W12" i="810"/>
  <c r="V12" i="810"/>
  <c r="U12" i="810"/>
  <c r="T12" i="810"/>
  <c r="S12" i="810"/>
  <c r="R12" i="810"/>
  <c r="S10" i="809"/>
  <c r="T10" i="809"/>
  <c r="S11" i="809"/>
  <c r="T11" i="809"/>
  <c r="S12" i="809"/>
  <c r="T12" i="809"/>
  <c r="S13" i="809"/>
  <c r="T13" i="809"/>
  <c r="S14" i="809"/>
  <c r="T14" i="809"/>
  <c r="S15" i="809"/>
  <c r="T15" i="809"/>
  <c r="S16" i="809"/>
  <c r="T16" i="809"/>
  <c r="S17" i="809"/>
  <c r="T17" i="809"/>
  <c r="S18" i="809"/>
  <c r="T18" i="809"/>
  <c r="M33" i="809"/>
  <c r="L33" i="809"/>
  <c r="K33" i="809"/>
  <c r="I18" i="809"/>
  <c r="J18" i="809"/>
  <c r="K18" i="809"/>
  <c r="L18" i="809"/>
  <c r="M18" i="809"/>
  <c r="N18" i="809"/>
  <c r="O18" i="809"/>
  <c r="C18" i="809"/>
  <c r="D18" i="809"/>
  <c r="E18" i="809"/>
  <c r="F18" i="809"/>
  <c r="G18" i="809"/>
  <c r="J32" i="810" l="1"/>
  <c r="K42" i="810"/>
  <c r="R11" i="809"/>
  <c r="U11" i="809"/>
  <c r="V11" i="809"/>
  <c r="W11" i="809"/>
  <c r="X11" i="809"/>
  <c r="Y11" i="809"/>
  <c r="Z11" i="809"/>
  <c r="R12" i="809"/>
  <c r="U12" i="809"/>
  <c r="V12" i="809"/>
  <c r="W12" i="809"/>
  <c r="X12" i="809"/>
  <c r="Y12" i="809"/>
  <c r="Z12" i="809"/>
  <c r="R13" i="809"/>
  <c r="U13" i="809"/>
  <c r="V13" i="809"/>
  <c r="W13" i="809"/>
  <c r="X13" i="809"/>
  <c r="Y13" i="809"/>
  <c r="Z13" i="809"/>
  <c r="R14" i="809"/>
  <c r="U14" i="809"/>
  <c r="V14" i="809"/>
  <c r="W14" i="809"/>
  <c r="X14" i="809"/>
  <c r="Y14" i="809"/>
  <c r="Z14" i="809"/>
  <c r="R15" i="809"/>
  <c r="U15" i="809"/>
  <c r="V15" i="809"/>
  <c r="W15" i="809"/>
  <c r="X15" i="809"/>
  <c r="Y15" i="809"/>
  <c r="Z15" i="809"/>
  <c r="R16" i="809"/>
  <c r="U16" i="809"/>
  <c r="V16" i="809"/>
  <c r="W16" i="809"/>
  <c r="X16" i="809"/>
  <c r="Y16" i="809"/>
  <c r="Z16" i="809"/>
  <c r="R17" i="809"/>
  <c r="U17" i="809"/>
  <c r="V17" i="809"/>
  <c r="W17" i="809"/>
  <c r="X17" i="809"/>
  <c r="Y17" i="809"/>
  <c r="Z17" i="809"/>
  <c r="R18" i="809"/>
  <c r="U18" i="809"/>
  <c r="V18" i="809"/>
  <c r="W18" i="809"/>
  <c r="X18" i="809"/>
  <c r="Y18" i="809"/>
  <c r="Z18" i="809"/>
  <c r="R19" i="809"/>
  <c r="S19" i="809"/>
  <c r="T19" i="809"/>
  <c r="U19" i="809"/>
  <c r="V19" i="809"/>
  <c r="W19" i="809"/>
  <c r="X19" i="809"/>
  <c r="Y19" i="809"/>
  <c r="Z19" i="809"/>
  <c r="R20" i="809"/>
  <c r="S20" i="809"/>
  <c r="T20" i="809"/>
  <c r="U20" i="809"/>
  <c r="V20" i="809"/>
  <c r="W20" i="809"/>
  <c r="X20" i="809"/>
  <c r="Y20" i="809"/>
  <c r="Z20" i="809"/>
  <c r="R21" i="809"/>
  <c r="S21" i="809"/>
  <c r="T21" i="809"/>
  <c r="U21" i="809"/>
  <c r="V21" i="809"/>
  <c r="W21" i="809"/>
  <c r="X21" i="809"/>
  <c r="Y21" i="809"/>
  <c r="Z21" i="809"/>
  <c r="R22" i="809"/>
  <c r="S22" i="809"/>
  <c r="T22" i="809"/>
  <c r="U22" i="809"/>
  <c r="V22" i="809"/>
  <c r="W22" i="809"/>
  <c r="X22" i="809"/>
  <c r="Y22" i="809"/>
  <c r="Z22" i="809"/>
  <c r="D10" i="809"/>
  <c r="E10" i="809"/>
  <c r="F10" i="809"/>
  <c r="G10" i="809"/>
  <c r="L10" i="809"/>
  <c r="M10" i="809"/>
  <c r="O10" i="809"/>
  <c r="D11" i="809"/>
  <c r="E11" i="809"/>
  <c r="F11" i="809"/>
  <c r="G11" i="809"/>
  <c r="L11" i="809"/>
  <c r="M11" i="809"/>
  <c r="O11" i="809"/>
  <c r="D12" i="809"/>
  <c r="E12" i="809"/>
  <c r="F12" i="809"/>
  <c r="G12" i="809"/>
  <c r="L12" i="809"/>
  <c r="M12" i="809"/>
  <c r="O12" i="809"/>
  <c r="D13" i="809"/>
  <c r="E13" i="809"/>
  <c r="F13" i="809"/>
  <c r="G13" i="809"/>
  <c r="L13" i="809"/>
  <c r="M13" i="809"/>
  <c r="O13" i="809"/>
  <c r="D14" i="809"/>
  <c r="E14" i="809"/>
  <c r="F14" i="809"/>
  <c r="G14" i="809"/>
  <c r="L14" i="809"/>
  <c r="M14" i="809"/>
  <c r="O14" i="809"/>
  <c r="D15" i="809"/>
  <c r="E15" i="809"/>
  <c r="F15" i="809"/>
  <c r="G15" i="809"/>
  <c r="L15" i="809"/>
  <c r="M15" i="809"/>
  <c r="O15" i="809"/>
  <c r="D16" i="809"/>
  <c r="E16" i="809"/>
  <c r="F16" i="809"/>
  <c r="G16" i="809"/>
  <c r="L16" i="809"/>
  <c r="M16" i="809"/>
  <c r="O16" i="809"/>
  <c r="D17" i="809"/>
  <c r="E17" i="809"/>
  <c r="F17" i="809"/>
  <c r="G17" i="809"/>
  <c r="L17" i="809"/>
  <c r="M17" i="809"/>
  <c r="O17" i="809"/>
  <c r="F73" i="809" l="1"/>
  <c r="L63" i="809"/>
  <c r="AX59" i="809"/>
  <c r="AW59" i="809"/>
  <c r="AV59" i="809"/>
  <c r="AU59" i="809"/>
  <c r="AT59" i="809"/>
  <c r="AS59" i="809"/>
  <c r="AR59" i="809"/>
  <c r="AQ59" i="809"/>
  <c r="AP59" i="809"/>
  <c r="AO59" i="809"/>
  <c r="AN59" i="809"/>
  <c r="AM59" i="809"/>
  <c r="AL59" i="809"/>
  <c r="AK59" i="809"/>
  <c r="AJ59" i="809"/>
  <c r="AI59" i="809"/>
  <c r="AH59" i="809"/>
  <c r="AG59" i="809"/>
  <c r="AF59" i="809"/>
  <c r="AE59" i="809"/>
  <c r="AD59" i="809"/>
  <c r="AC59" i="809"/>
  <c r="AB59" i="809"/>
  <c r="K54" i="809"/>
  <c r="L45" i="809" s="1"/>
  <c r="M45" i="809" s="1"/>
  <c r="D52" i="809"/>
  <c r="M39" i="809"/>
  <c r="M38" i="809"/>
  <c r="M37" i="809"/>
  <c r="M36" i="809"/>
  <c r="M35" i="809"/>
  <c r="K32" i="809"/>
  <c r="M31" i="809"/>
  <c r="L31" i="809"/>
  <c r="K31" i="809"/>
  <c r="K30" i="809"/>
  <c r="Z29" i="809"/>
  <c r="Y29" i="809"/>
  <c r="X29" i="809"/>
  <c r="W29" i="809"/>
  <c r="V29" i="809"/>
  <c r="U29" i="809"/>
  <c r="T29" i="809"/>
  <c r="S29" i="809"/>
  <c r="R29" i="809"/>
  <c r="Z28" i="809"/>
  <c r="Y28" i="809"/>
  <c r="X28" i="809"/>
  <c r="W28" i="809"/>
  <c r="V28" i="809"/>
  <c r="U28" i="809"/>
  <c r="T28" i="809"/>
  <c r="S28" i="809"/>
  <c r="R28" i="809"/>
  <c r="Z27" i="809"/>
  <c r="Y27" i="809"/>
  <c r="X27" i="809"/>
  <c r="W27" i="809"/>
  <c r="V27" i="809"/>
  <c r="U27" i="809"/>
  <c r="T27" i="809"/>
  <c r="S27" i="809"/>
  <c r="R27" i="809"/>
  <c r="Z26" i="809"/>
  <c r="Y26" i="809"/>
  <c r="X26" i="809"/>
  <c r="W26" i="809"/>
  <c r="V26" i="809"/>
  <c r="U26" i="809"/>
  <c r="T26" i="809"/>
  <c r="S26" i="809"/>
  <c r="R26" i="809"/>
  <c r="Z25" i="809"/>
  <c r="Y25" i="809"/>
  <c r="X25" i="809"/>
  <c r="W25" i="809"/>
  <c r="V25" i="809"/>
  <c r="U25" i="809"/>
  <c r="T25" i="809"/>
  <c r="S25" i="809"/>
  <c r="R25" i="809"/>
  <c r="Z24" i="809"/>
  <c r="Y24" i="809"/>
  <c r="X24" i="809"/>
  <c r="W24" i="809"/>
  <c r="V24" i="809"/>
  <c r="U24" i="809"/>
  <c r="T24" i="809"/>
  <c r="S24" i="809"/>
  <c r="R24" i="809"/>
  <c r="Z23" i="809"/>
  <c r="Y23" i="809"/>
  <c r="X23" i="809"/>
  <c r="W23" i="809"/>
  <c r="V23" i="809"/>
  <c r="U23" i="809"/>
  <c r="T23" i="809"/>
  <c r="S23" i="809"/>
  <c r="R23" i="809"/>
  <c r="Z10" i="809"/>
  <c r="Y10" i="809"/>
  <c r="X10" i="809"/>
  <c r="W10" i="809"/>
  <c r="V10" i="809"/>
  <c r="U10" i="809"/>
  <c r="R10" i="809"/>
  <c r="K35" i="808"/>
  <c r="B33" i="808"/>
  <c r="B62" i="808"/>
  <c r="K40" i="809" l="1"/>
  <c r="K25" i="808"/>
  <c r="L25" i="808"/>
  <c r="M25" i="808"/>
  <c r="N25" i="808"/>
  <c r="O25" i="808"/>
  <c r="C25" i="808"/>
  <c r="D25" i="808"/>
  <c r="E25" i="808"/>
  <c r="F25" i="808"/>
  <c r="G25" i="808"/>
  <c r="R16" i="808"/>
  <c r="S16" i="808"/>
  <c r="T16" i="808"/>
  <c r="U16" i="808"/>
  <c r="V16" i="808"/>
  <c r="W16" i="808"/>
  <c r="X16" i="808"/>
  <c r="Y16" i="808"/>
  <c r="Z16" i="808"/>
  <c r="R17" i="808"/>
  <c r="S17" i="808"/>
  <c r="T17" i="808"/>
  <c r="U17" i="808"/>
  <c r="V17" i="808"/>
  <c r="W17" i="808"/>
  <c r="X17" i="808"/>
  <c r="Y17" i="808"/>
  <c r="Z17" i="808"/>
  <c r="R18" i="808"/>
  <c r="S18" i="808"/>
  <c r="T18" i="808"/>
  <c r="U18" i="808"/>
  <c r="V18" i="808"/>
  <c r="W18" i="808"/>
  <c r="X18" i="808"/>
  <c r="Y18" i="808"/>
  <c r="Z18" i="808"/>
  <c r="R19" i="808"/>
  <c r="S19" i="808"/>
  <c r="T19" i="808"/>
  <c r="U19" i="808"/>
  <c r="V19" i="808"/>
  <c r="W19" i="808"/>
  <c r="X19" i="808"/>
  <c r="Y19" i="808"/>
  <c r="Z19" i="808"/>
  <c r="R20" i="808"/>
  <c r="S20" i="808"/>
  <c r="T20" i="808"/>
  <c r="U20" i="808"/>
  <c r="V20" i="808"/>
  <c r="W20" i="808"/>
  <c r="X20" i="808"/>
  <c r="Y20" i="808"/>
  <c r="Z20" i="808"/>
  <c r="R21" i="808"/>
  <c r="S21" i="808"/>
  <c r="T21" i="808"/>
  <c r="U21" i="808"/>
  <c r="V21" i="808"/>
  <c r="W21" i="808"/>
  <c r="X21" i="808"/>
  <c r="Y21" i="808"/>
  <c r="Z21" i="808"/>
  <c r="N21" i="808"/>
  <c r="C21" i="808"/>
  <c r="D21" i="808"/>
  <c r="E21" i="808"/>
  <c r="F21" i="808"/>
  <c r="G21" i="808"/>
  <c r="K21" i="808"/>
  <c r="L21" i="808"/>
  <c r="M21" i="808"/>
  <c r="O21" i="808"/>
  <c r="C23" i="808"/>
  <c r="D23" i="808"/>
  <c r="E23" i="808"/>
  <c r="F23" i="808"/>
  <c r="G23" i="808"/>
  <c r="K23" i="808"/>
  <c r="L23" i="808"/>
  <c r="M23" i="808"/>
  <c r="N23" i="808"/>
  <c r="O23" i="808"/>
  <c r="O24" i="808"/>
  <c r="N24" i="808"/>
  <c r="M24" i="808"/>
  <c r="L24" i="808"/>
  <c r="K24" i="808"/>
  <c r="G24" i="808"/>
  <c r="F24" i="808"/>
  <c r="E24" i="808"/>
  <c r="D24" i="808"/>
  <c r="C24" i="808"/>
  <c r="O19" i="808" l="1"/>
  <c r="N19" i="808"/>
  <c r="M19" i="808"/>
  <c r="L19" i="808"/>
  <c r="K19" i="808"/>
  <c r="J57" i="808"/>
  <c r="G19" i="808"/>
  <c r="F19" i="808"/>
  <c r="E19" i="808"/>
  <c r="D19" i="808"/>
  <c r="C19" i="808"/>
  <c r="M34" i="808" l="1"/>
  <c r="L34" i="808"/>
  <c r="K34" i="808"/>
  <c r="R14" i="808"/>
  <c r="S14" i="808"/>
  <c r="T14" i="808"/>
  <c r="U14" i="808"/>
  <c r="V14" i="808"/>
  <c r="W14" i="808"/>
  <c r="X14" i="808"/>
  <c r="Y14" i="808"/>
  <c r="Z14" i="808"/>
  <c r="R15" i="808"/>
  <c r="S15" i="808"/>
  <c r="T15" i="808"/>
  <c r="U15" i="808"/>
  <c r="V15" i="808"/>
  <c r="W15" i="808"/>
  <c r="X15" i="808"/>
  <c r="Y15" i="808"/>
  <c r="Z15" i="808"/>
  <c r="R23" i="808"/>
  <c r="S23" i="808"/>
  <c r="T23" i="808"/>
  <c r="U23" i="808"/>
  <c r="V23" i="808"/>
  <c r="W23" i="808"/>
  <c r="X23" i="808"/>
  <c r="Y23" i="808"/>
  <c r="Z23" i="808"/>
  <c r="R24" i="808"/>
  <c r="S24" i="808"/>
  <c r="T24" i="808"/>
  <c r="U24" i="808"/>
  <c r="V24" i="808"/>
  <c r="W24" i="808"/>
  <c r="X24" i="808"/>
  <c r="Y24" i="808"/>
  <c r="Z24" i="808"/>
  <c r="R25" i="808"/>
  <c r="S25" i="808"/>
  <c r="T25" i="808"/>
  <c r="U25" i="808"/>
  <c r="V25" i="808"/>
  <c r="W25" i="808"/>
  <c r="X25" i="808"/>
  <c r="Y25" i="808"/>
  <c r="Z25" i="808"/>
  <c r="R26" i="808"/>
  <c r="S26" i="808"/>
  <c r="T26" i="808"/>
  <c r="U26" i="808"/>
  <c r="V26" i="808"/>
  <c r="W26" i="808"/>
  <c r="X26" i="808"/>
  <c r="Y26" i="808"/>
  <c r="Z26" i="808"/>
  <c r="R27" i="808"/>
  <c r="S27" i="808"/>
  <c r="T27" i="808"/>
  <c r="U27" i="808"/>
  <c r="V27" i="808"/>
  <c r="W27" i="808"/>
  <c r="X27" i="808"/>
  <c r="Y27" i="808"/>
  <c r="Z27" i="808"/>
  <c r="R28" i="808"/>
  <c r="S28" i="808"/>
  <c r="T28" i="808"/>
  <c r="U28" i="808"/>
  <c r="V28" i="808"/>
  <c r="W28" i="808"/>
  <c r="X28" i="808"/>
  <c r="Y28" i="808"/>
  <c r="Z28" i="808"/>
  <c r="R10" i="808"/>
  <c r="S10" i="808"/>
  <c r="T10" i="808"/>
  <c r="U10" i="808"/>
  <c r="V10" i="808"/>
  <c r="W10" i="808"/>
  <c r="X10" i="808"/>
  <c r="Y10" i="808"/>
  <c r="Z10" i="808"/>
  <c r="R11" i="808"/>
  <c r="S11" i="808"/>
  <c r="T11" i="808"/>
  <c r="U11" i="808"/>
  <c r="V11" i="808"/>
  <c r="W11" i="808"/>
  <c r="X11" i="808"/>
  <c r="Y11" i="808"/>
  <c r="Z11" i="808"/>
  <c r="R12" i="808"/>
  <c r="S12" i="808"/>
  <c r="T12" i="808"/>
  <c r="U12" i="808"/>
  <c r="V12" i="808"/>
  <c r="W12" i="808"/>
  <c r="X12" i="808"/>
  <c r="Y12" i="808"/>
  <c r="Z12" i="808"/>
  <c r="C16" i="808"/>
  <c r="D16" i="808"/>
  <c r="E16" i="808"/>
  <c r="F16" i="808"/>
  <c r="G16" i="808"/>
  <c r="I16" i="808"/>
  <c r="J16" i="808"/>
  <c r="L16" i="808"/>
  <c r="M16" i="808"/>
  <c r="N16" i="808"/>
  <c r="O16" i="808"/>
  <c r="C17" i="808"/>
  <c r="D17" i="808"/>
  <c r="E17" i="808"/>
  <c r="F17" i="808"/>
  <c r="G17" i="808"/>
  <c r="I17" i="808"/>
  <c r="J17" i="808"/>
  <c r="L17" i="808"/>
  <c r="M17" i="808"/>
  <c r="N17" i="808"/>
  <c r="O17" i="808"/>
  <c r="C10" i="808"/>
  <c r="D10" i="808"/>
  <c r="E10" i="808"/>
  <c r="F10" i="808"/>
  <c r="G10" i="808"/>
  <c r="I10" i="808"/>
  <c r="J10" i="808"/>
  <c r="L10" i="808"/>
  <c r="M10" i="808"/>
  <c r="N10" i="808"/>
  <c r="O10" i="808"/>
  <c r="C11" i="808"/>
  <c r="D11" i="808"/>
  <c r="E11" i="808"/>
  <c r="F11" i="808"/>
  <c r="G11" i="808"/>
  <c r="I11" i="808"/>
  <c r="J11" i="808"/>
  <c r="L11" i="808"/>
  <c r="M11" i="808"/>
  <c r="N11" i="808"/>
  <c r="O11" i="808"/>
  <c r="C12" i="808"/>
  <c r="D12" i="808"/>
  <c r="E12" i="808"/>
  <c r="F12" i="808"/>
  <c r="G12" i="808"/>
  <c r="I12" i="808"/>
  <c r="J12" i="808"/>
  <c r="L12" i="808"/>
  <c r="M12" i="808"/>
  <c r="N12" i="808"/>
  <c r="O12" i="808"/>
  <c r="C13" i="808"/>
  <c r="D13" i="808"/>
  <c r="E13" i="808"/>
  <c r="F13" i="808"/>
  <c r="G13" i="808"/>
  <c r="I13" i="808"/>
  <c r="J13" i="808"/>
  <c r="L13" i="808"/>
  <c r="M13" i="808"/>
  <c r="N13" i="808"/>
  <c r="O13" i="808"/>
  <c r="C14" i="808"/>
  <c r="D14" i="808"/>
  <c r="E14" i="808"/>
  <c r="F14" i="808"/>
  <c r="G14" i="808"/>
  <c r="I14" i="808"/>
  <c r="J14" i="808"/>
  <c r="L14" i="808"/>
  <c r="M14" i="808"/>
  <c r="N14" i="808"/>
  <c r="O14" i="808"/>
  <c r="C15" i="808"/>
  <c r="D15" i="808"/>
  <c r="E15" i="808"/>
  <c r="F15" i="808"/>
  <c r="G15" i="808"/>
  <c r="I15" i="808"/>
  <c r="J15" i="808"/>
  <c r="L15" i="808"/>
  <c r="M15" i="808"/>
  <c r="N15" i="808"/>
  <c r="O15" i="808"/>
  <c r="F76" i="808"/>
  <c r="L66" i="808"/>
  <c r="AX62" i="808"/>
  <c r="AW62" i="808"/>
  <c r="AV62" i="808"/>
  <c r="AU62" i="808"/>
  <c r="AT62" i="808"/>
  <c r="AS62" i="808"/>
  <c r="AR62" i="808"/>
  <c r="AQ62" i="808"/>
  <c r="AP62" i="808"/>
  <c r="AO62" i="808"/>
  <c r="AN62" i="808"/>
  <c r="AM62" i="808"/>
  <c r="AL62" i="808"/>
  <c r="AK62" i="808"/>
  <c r="AJ62" i="808"/>
  <c r="AI62" i="808"/>
  <c r="AH62" i="808"/>
  <c r="AG62" i="808"/>
  <c r="AF62" i="808"/>
  <c r="AE62" i="808"/>
  <c r="AD62" i="808"/>
  <c r="AC62" i="808"/>
  <c r="AB62" i="808"/>
  <c r="K57" i="808"/>
  <c r="L48" i="808" s="1"/>
  <c r="D55" i="808"/>
  <c r="M42" i="808"/>
  <c r="M41" i="808"/>
  <c r="M40" i="808"/>
  <c r="M39" i="808"/>
  <c r="M38" i="808"/>
  <c r="M36" i="808"/>
  <c r="L36" i="808"/>
  <c r="K36" i="808"/>
  <c r="K33" i="808"/>
  <c r="Z32" i="808"/>
  <c r="Y32" i="808"/>
  <c r="X32" i="808"/>
  <c r="W32" i="808"/>
  <c r="V32" i="808"/>
  <c r="U32" i="808"/>
  <c r="T32" i="808"/>
  <c r="S32" i="808"/>
  <c r="R32" i="808"/>
  <c r="Z31" i="808"/>
  <c r="Y31" i="808"/>
  <c r="X31" i="808"/>
  <c r="W31" i="808"/>
  <c r="V31" i="808"/>
  <c r="U31" i="808"/>
  <c r="T31" i="808"/>
  <c r="S31" i="808"/>
  <c r="R31" i="808"/>
  <c r="Z30" i="808"/>
  <c r="Y30" i="808"/>
  <c r="X30" i="808"/>
  <c r="W30" i="808"/>
  <c r="V30" i="808"/>
  <c r="U30" i="808"/>
  <c r="T30" i="808"/>
  <c r="S30" i="808"/>
  <c r="R30" i="808"/>
  <c r="Z29" i="808"/>
  <c r="Y29" i="808"/>
  <c r="X29" i="808"/>
  <c r="W29" i="808"/>
  <c r="V29" i="808"/>
  <c r="U29" i="808"/>
  <c r="T29" i="808"/>
  <c r="S29" i="808"/>
  <c r="R29" i="808"/>
  <c r="Z13" i="808"/>
  <c r="Y13" i="808"/>
  <c r="X13" i="808"/>
  <c r="W13" i="808"/>
  <c r="V13" i="808"/>
  <c r="U13" i="808"/>
  <c r="T13" i="808"/>
  <c r="S13" i="808"/>
  <c r="R13" i="808"/>
  <c r="J34" i="808" l="1"/>
  <c r="M48" i="808"/>
  <c r="K43" i="808"/>
  <c r="B58" i="807" l="1"/>
  <c r="B39" i="807"/>
  <c r="K27" i="807"/>
  <c r="R10" i="807"/>
  <c r="S10" i="807"/>
  <c r="T10" i="807"/>
  <c r="U10" i="807"/>
  <c r="V10" i="807"/>
  <c r="W10" i="807"/>
  <c r="X10" i="807"/>
  <c r="Y10" i="807"/>
  <c r="Z10" i="807"/>
  <c r="C10" i="807"/>
  <c r="D10" i="807"/>
  <c r="E10" i="807"/>
  <c r="F10" i="807"/>
  <c r="G10" i="807"/>
  <c r="I10" i="807"/>
  <c r="J10" i="807"/>
  <c r="K10" i="807"/>
  <c r="L10" i="807"/>
  <c r="M10" i="807"/>
  <c r="N10" i="807"/>
  <c r="O10" i="807"/>
  <c r="R11" i="807"/>
  <c r="S11" i="807"/>
  <c r="T11" i="807"/>
  <c r="U11" i="807"/>
  <c r="V11" i="807"/>
  <c r="W11" i="807"/>
  <c r="X11" i="807"/>
  <c r="Y11" i="807"/>
  <c r="Z11" i="807"/>
  <c r="R12" i="807"/>
  <c r="S12" i="807"/>
  <c r="T12" i="807"/>
  <c r="U12" i="807"/>
  <c r="V12" i="807"/>
  <c r="W12" i="807"/>
  <c r="X12" i="807"/>
  <c r="Y12" i="807"/>
  <c r="Z12" i="807"/>
  <c r="R13" i="807"/>
  <c r="S13" i="807"/>
  <c r="T13" i="807"/>
  <c r="U13" i="807"/>
  <c r="V13" i="807"/>
  <c r="W13" i="807"/>
  <c r="X13" i="807"/>
  <c r="Y13" i="807"/>
  <c r="Z13" i="807"/>
  <c r="R14" i="807"/>
  <c r="S14" i="807"/>
  <c r="T14" i="807"/>
  <c r="U14" i="807"/>
  <c r="V14" i="807"/>
  <c r="W14" i="807"/>
  <c r="X14" i="807"/>
  <c r="Y14" i="807"/>
  <c r="Z14" i="807"/>
  <c r="R15" i="807"/>
  <c r="S15" i="807"/>
  <c r="T15" i="807"/>
  <c r="U15" i="807"/>
  <c r="V15" i="807"/>
  <c r="W15" i="807"/>
  <c r="X15" i="807"/>
  <c r="Y15" i="807"/>
  <c r="Z15" i="807"/>
  <c r="R16" i="807"/>
  <c r="S16" i="807"/>
  <c r="T16" i="807"/>
  <c r="U16" i="807"/>
  <c r="V16" i="807"/>
  <c r="W16" i="807"/>
  <c r="X16" i="807"/>
  <c r="Y16" i="807"/>
  <c r="Z16" i="807"/>
  <c r="R17" i="807"/>
  <c r="S17" i="807"/>
  <c r="T17" i="807"/>
  <c r="U17" i="807"/>
  <c r="V17" i="807"/>
  <c r="W17" i="807"/>
  <c r="X17" i="807"/>
  <c r="Y17" i="807"/>
  <c r="Z17" i="807"/>
  <c r="R18" i="807"/>
  <c r="S18" i="807"/>
  <c r="T18" i="807"/>
  <c r="U18" i="807"/>
  <c r="V18" i="807"/>
  <c r="W18" i="807"/>
  <c r="X18" i="807"/>
  <c r="Y18" i="807"/>
  <c r="Z18" i="807"/>
  <c r="R19" i="807"/>
  <c r="S19" i="807"/>
  <c r="T19" i="807"/>
  <c r="U19" i="807"/>
  <c r="V19" i="807"/>
  <c r="W19" i="807"/>
  <c r="X19" i="807"/>
  <c r="Y19" i="807"/>
  <c r="Z19" i="807"/>
  <c r="N12" i="805"/>
  <c r="N13" i="805"/>
  <c r="B56" i="807" l="1"/>
  <c r="L42" i="807"/>
  <c r="M42" i="807" s="1"/>
  <c r="B27" i="807"/>
  <c r="C11" i="807"/>
  <c r="D11" i="807"/>
  <c r="E11" i="807"/>
  <c r="F11" i="807"/>
  <c r="G11" i="807"/>
  <c r="I11" i="807"/>
  <c r="J11" i="807"/>
  <c r="K11" i="807"/>
  <c r="L11" i="807"/>
  <c r="M11" i="807"/>
  <c r="N11" i="807"/>
  <c r="O11" i="807"/>
  <c r="C12" i="807"/>
  <c r="D12" i="807"/>
  <c r="E12" i="807"/>
  <c r="F12" i="807"/>
  <c r="G12" i="807"/>
  <c r="I12" i="807"/>
  <c r="J12" i="807"/>
  <c r="K12" i="807"/>
  <c r="L12" i="807"/>
  <c r="M12" i="807"/>
  <c r="N12" i="807"/>
  <c r="O12" i="807"/>
  <c r="C13" i="807"/>
  <c r="D13" i="807"/>
  <c r="E13" i="807"/>
  <c r="F13" i="807"/>
  <c r="G13" i="807"/>
  <c r="I13" i="807"/>
  <c r="J13" i="807"/>
  <c r="K13" i="807"/>
  <c r="L13" i="807"/>
  <c r="M13" i="807"/>
  <c r="N13" i="807"/>
  <c r="O13" i="807"/>
  <c r="C14" i="807"/>
  <c r="D14" i="807"/>
  <c r="E14" i="807"/>
  <c r="F14" i="807"/>
  <c r="G14" i="807"/>
  <c r="K14" i="807"/>
  <c r="L14" i="807"/>
  <c r="M14" i="807"/>
  <c r="N14" i="807"/>
  <c r="O14" i="807"/>
  <c r="C15" i="807"/>
  <c r="D15" i="807"/>
  <c r="E15" i="807"/>
  <c r="F15" i="807"/>
  <c r="G15" i="807"/>
  <c r="K15" i="807"/>
  <c r="L15" i="807"/>
  <c r="M15" i="807"/>
  <c r="N15" i="807"/>
  <c r="O15" i="807"/>
  <c r="C16" i="807"/>
  <c r="D16" i="807"/>
  <c r="E16" i="807"/>
  <c r="F16" i="807"/>
  <c r="G16" i="807"/>
  <c r="K16" i="807"/>
  <c r="L16" i="807"/>
  <c r="M16" i="807"/>
  <c r="N16" i="807"/>
  <c r="O16" i="807"/>
  <c r="C10" i="805"/>
  <c r="D10" i="805"/>
  <c r="F10" i="805"/>
  <c r="G10" i="805"/>
  <c r="I10" i="805"/>
  <c r="J10" i="805"/>
  <c r="K10" i="805"/>
  <c r="L10" i="805"/>
  <c r="M10" i="805"/>
  <c r="N10" i="805"/>
  <c r="O10" i="805"/>
  <c r="R10" i="805"/>
  <c r="S10" i="805"/>
  <c r="T10" i="805"/>
  <c r="U10" i="805"/>
  <c r="V10" i="805"/>
  <c r="W10" i="805"/>
  <c r="X10" i="805"/>
  <c r="Y10" i="805"/>
  <c r="Z10" i="805"/>
  <c r="C11" i="805"/>
  <c r="D11" i="805"/>
  <c r="E11" i="805"/>
  <c r="F11" i="805"/>
  <c r="G11" i="805"/>
  <c r="I11" i="805"/>
  <c r="J11" i="805"/>
  <c r="K11" i="805"/>
  <c r="L11" i="805"/>
  <c r="M11" i="805"/>
  <c r="N11" i="805"/>
  <c r="O11" i="805"/>
  <c r="R11" i="805"/>
  <c r="S11" i="805"/>
  <c r="T11" i="805"/>
  <c r="U11" i="805"/>
  <c r="V11" i="805"/>
  <c r="W11" i="805"/>
  <c r="X11" i="805"/>
  <c r="Y11" i="805"/>
  <c r="Z11" i="805"/>
  <c r="C12" i="805"/>
  <c r="D12" i="805"/>
  <c r="E12" i="805"/>
  <c r="F12" i="805"/>
  <c r="G12" i="805"/>
  <c r="K12" i="805"/>
  <c r="L12" i="805"/>
  <c r="M12" i="805"/>
  <c r="O12" i="805"/>
  <c r="R12" i="805"/>
  <c r="S12" i="805"/>
  <c r="T12" i="805"/>
  <c r="U12" i="805"/>
  <c r="V12" i="805"/>
  <c r="W12" i="805"/>
  <c r="X12" i="805"/>
  <c r="Y12" i="805"/>
  <c r="Z12" i="805"/>
  <c r="C13" i="805"/>
  <c r="D13" i="805"/>
  <c r="E13" i="805"/>
  <c r="F13" i="805"/>
  <c r="G13" i="805"/>
  <c r="K13" i="805"/>
  <c r="L13" i="805"/>
  <c r="M13" i="805"/>
  <c r="O13" i="805"/>
  <c r="R13" i="805"/>
  <c r="S13" i="805"/>
  <c r="T13" i="805"/>
  <c r="U13" i="805"/>
  <c r="V13" i="805"/>
  <c r="W13" i="805"/>
  <c r="X13" i="805"/>
  <c r="Y13" i="805"/>
  <c r="Z13" i="805"/>
  <c r="C14" i="805"/>
  <c r="D14" i="805"/>
  <c r="E14" i="805"/>
  <c r="F14" i="805"/>
  <c r="G14" i="805"/>
  <c r="K14" i="805"/>
  <c r="L14" i="805"/>
  <c r="M14" i="805"/>
  <c r="N14" i="805"/>
  <c r="O14" i="805"/>
  <c r="R14" i="805"/>
  <c r="S14" i="805"/>
  <c r="T14" i="805"/>
  <c r="U14" i="805"/>
  <c r="V14" i="805"/>
  <c r="W14" i="805"/>
  <c r="X14" i="805"/>
  <c r="Y14" i="805"/>
  <c r="Z14" i="805"/>
  <c r="C15" i="805"/>
  <c r="D15" i="805"/>
  <c r="E15" i="805"/>
  <c r="F15" i="805"/>
  <c r="G15" i="805"/>
  <c r="K15" i="805"/>
  <c r="L15" i="805"/>
  <c r="M15" i="805"/>
  <c r="N15" i="805"/>
  <c r="O15" i="805"/>
  <c r="R15" i="805"/>
  <c r="S15" i="805"/>
  <c r="T15" i="805"/>
  <c r="U15" i="805"/>
  <c r="V15" i="805"/>
  <c r="W15" i="805"/>
  <c r="X15" i="805"/>
  <c r="Y15" i="805"/>
  <c r="Z15" i="805"/>
  <c r="R16" i="805"/>
  <c r="S16" i="805"/>
  <c r="T16" i="805"/>
  <c r="U16" i="805"/>
  <c r="V16" i="805"/>
  <c r="W16" i="805"/>
  <c r="X16" i="805"/>
  <c r="Y16" i="805"/>
  <c r="Z16" i="805"/>
  <c r="R17" i="805"/>
  <c r="S17" i="805"/>
  <c r="T17" i="805"/>
  <c r="U17" i="805"/>
  <c r="V17" i="805"/>
  <c r="W17" i="805"/>
  <c r="X17" i="805"/>
  <c r="Y17" i="805"/>
  <c r="Z17" i="805"/>
  <c r="F70" i="807"/>
  <c r="L60" i="807"/>
  <c r="AX56" i="807"/>
  <c r="AW56" i="807"/>
  <c r="AV56" i="807"/>
  <c r="AU56" i="807"/>
  <c r="AT56" i="807"/>
  <c r="AS56" i="807"/>
  <c r="AR56" i="807"/>
  <c r="AQ56" i="807"/>
  <c r="AP56" i="807"/>
  <c r="AO56" i="807"/>
  <c r="AN56" i="807"/>
  <c r="AM56" i="807"/>
  <c r="AL56" i="807"/>
  <c r="AK56" i="807"/>
  <c r="AJ56" i="807"/>
  <c r="AI56" i="807"/>
  <c r="AH56" i="807"/>
  <c r="AG56" i="807"/>
  <c r="AF56" i="807"/>
  <c r="AE56" i="807"/>
  <c r="AD56" i="807"/>
  <c r="AC56" i="807"/>
  <c r="AB56" i="807"/>
  <c r="K51" i="807"/>
  <c r="D49" i="807"/>
  <c r="M36" i="807"/>
  <c r="M35" i="807"/>
  <c r="M34" i="807"/>
  <c r="M33" i="807"/>
  <c r="M32" i="807"/>
  <c r="M30" i="807"/>
  <c r="L30" i="807"/>
  <c r="K30" i="807"/>
  <c r="M28" i="807"/>
  <c r="L28" i="807"/>
  <c r="K28" i="807"/>
  <c r="Z26" i="807"/>
  <c r="Y26" i="807"/>
  <c r="X26" i="807"/>
  <c r="W26" i="807"/>
  <c r="V26" i="807"/>
  <c r="U26" i="807"/>
  <c r="T26" i="807"/>
  <c r="S26" i="807"/>
  <c r="R26" i="807"/>
  <c r="Z25" i="807"/>
  <c r="Y25" i="807"/>
  <c r="X25" i="807"/>
  <c r="W25" i="807"/>
  <c r="V25" i="807"/>
  <c r="U25" i="807"/>
  <c r="T25" i="807"/>
  <c r="S25" i="807"/>
  <c r="R25" i="807"/>
  <c r="Z24" i="807"/>
  <c r="Y24" i="807"/>
  <c r="X24" i="807"/>
  <c r="W24" i="807"/>
  <c r="V24" i="807"/>
  <c r="U24" i="807"/>
  <c r="T24" i="807"/>
  <c r="S24" i="807"/>
  <c r="R24" i="807"/>
  <c r="Z23" i="807"/>
  <c r="Y23" i="807"/>
  <c r="X23" i="807"/>
  <c r="W23" i="807"/>
  <c r="V23" i="807"/>
  <c r="U23" i="807"/>
  <c r="T23" i="807"/>
  <c r="S23" i="807"/>
  <c r="R23" i="807"/>
  <c r="Z22" i="807"/>
  <c r="Y22" i="807"/>
  <c r="X22" i="807"/>
  <c r="W22" i="807"/>
  <c r="V22" i="807"/>
  <c r="U22" i="807"/>
  <c r="T22" i="807"/>
  <c r="S22" i="807"/>
  <c r="R22" i="807"/>
  <c r="Z21" i="807"/>
  <c r="Y21" i="807"/>
  <c r="X21" i="807"/>
  <c r="W21" i="807"/>
  <c r="V21" i="807"/>
  <c r="U21" i="807"/>
  <c r="T21" i="807"/>
  <c r="S21" i="807"/>
  <c r="R21" i="807"/>
  <c r="Z20" i="807"/>
  <c r="Y20" i="807"/>
  <c r="X20" i="807"/>
  <c r="W20" i="807"/>
  <c r="V20" i="807"/>
  <c r="U20" i="807"/>
  <c r="T20" i="807"/>
  <c r="S20" i="807"/>
  <c r="R20" i="807"/>
  <c r="K37" i="807" l="1"/>
  <c r="K28" i="805" l="1"/>
  <c r="R18" i="805"/>
  <c r="S18" i="805"/>
  <c r="T18" i="805"/>
  <c r="U18" i="805"/>
  <c r="V18" i="805"/>
  <c r="W18" i="805"/>
  <c r="X18" i="805"/>
  <c r="Y18" i="805"/>
  <c r="Z18" i="805"/>
  <c r="R19" i="805"/>
  <c r="S19" i="805"/>
  <c r="T19" i="805"/>
  <c r="U19" i="805"/>
  <c r="V19" i="805"/>
  <c r="W19" i="805"/>
  <c r="X19" i="805"/>
  <c r="Y19" i="805"/>
  <c r="Z19" i="805"/>
  <c r="R20" i="805"/>
  <c r="S20" i="805"/>
  <c r="T20" i="805"/>
  <c r="U20" i="805"/>
  <c r="V20" i="805"/>
  <c r="W20" i="805"/>
  <c r="X20" i="805"/>
  <c r="Y20" i="805"/>
  <c r="Z20" i="805"/>
  <c r="R21" i="805"/>
  <c r="S21" i="805"/>
  <c r="T21" i="805"/>
  <c r="U21" i="805"/>
  <c r="V21" i="805"/>
  <c r="W21" i="805"/>
  <c r="X21" i="805"/>
  <c r="Y21" i="805"/>
  <c r="Z21" i="805"/>
  <c r="R22" i="805"/>
  <c r="S22" i="805"/>
  <c r="T22" i="805"/>
  <c r="U22" i="805"/>
  <c r="V22" i="805"/>
  <c r="W22" i="805"/>
  <c r="X22" i="805"/>
  <c r="Y22" i="805"/>
  <c r="Z22" i="805"/>
  <c r="B28" i="805" l="1"/>
  <c r="B57" i="805"/>
  <c r="F67" i="806"/>
  <c r="L57" i="806"/>
  <c r="E55" i="806"/>
  <c r="B55" i="806"/>
  <c r="AX53" i="806"/>
  <c r="AW53" i="806"/>
  <c r="AV53" i="806"/>
  <c r="AU53" i="806"/>
  <c r="AT53" i="806"/>
  <c r="AS53" i="806"/>
  <c r="AR53" i="806"/>
  <c r="AQ53" i="806"/>
  <c r="AP53" i="806"/>
  <c r="AO53" i="806"/>
  <c r="AN53" i="806"/>
  <c r="AM53" i="806"/>
  <c r="AL53" i="806"/>
  <c r="AK53" i="806"/>
  <c r="AJ53" i="806"/>
  <c r="AI53" i="806"/>
  <c r="AH53" i="806"/>
  <c r="AG53" i="806"/>
  <c r="AF53" i="806"/>
  <c r="AE53" i="806"/>
  <c r="AD53" i="806"/>
  <c r="AC53" i="806"/>
  <c r="AB53" i="806"/>
  <c r="B53" i="806"/>
  <c r="K48" i="806"/>
  <c r="D46" i="806"/>
  <c r="L39" i="806"/>
  <c r="M39" i="806" s="1"/>
  <c r="C36" i="806" a="1"/>
  <c r="C36" i="806" s="1"/>
  <c r="M33" i="806"/>
  <c r="M32" i="806"/>
  <c r="M31" i="806"/>
  <c r="M30" i="806"/>
  <c r="M29" i="806"/>
  <c r="M27" i="806"/>
  <c r="L27" i="806"/>
  <c r="K27" i="806"/>
  <c r="M25" i="806"/>
  <c r="L25" i="806"/>
  <c r="K25" i="806"/>
  <c r="M24" i="806"/>
  <c r="L24" i="806"/>
  <c r="K24" i="806"/>
  <c r="Z23" i="806"/>
  <c r="Y23" i="806"/>
  <c r="X23" i="806"/>
  <c r="W23" i="806"/>
  <c r="V23" i="806"/>
  <c r="U23" i="806"/>
  <c r="T23" i="806"/>
  <c r="S23" i="806"/>
  <c r="R23" i="806"/>
  <c r="Z22" i="806"/>
  <c r="Y22" i="806"/>
  <c r="X22" i="806"/>
  <c r="W22" i="806"/>
  <c r="V22" i="806"/>
  <c r="U22" i="806"/>
  <c r="T22" i="806"/>
  <c r="S22" i="806"/>
  <c r="R22" i="806"/>
  <c r="Z21" i="806"/>
  <c r="Y21" i="806"/>
  <c r="X21" i="806"/>
  <c r="W21" i="806"/>
  <c r="V21" i="806"/>
  <c r="U21" i="806"/>
  <c r="T21" i="806"/>
  <c r="S21" i="806"/>
  <c r="R21" i="806"/>
  <c r="Z20" i="806"/>
  <c r="Y20" i="806"/>
  <c r="X20" i="806"/>
  <c r="W20" i="806"/>
  <c r="V20" i="806"/>
  <c r="U20" i="806"/>
  <c r="T20" i="806"/>
  <c r="S20" i="806"/>
  <c r="R20" i="806"/>
  <c r="Z19" i="806"/>
  <c r="Y19" i="806"/>
  <c r="X19" i="806"/>
  <c r="W19" i="806"/>
  <c r="V19" i="806"/>
  <c r="U19" i="806"/>
  <c r="T19" i="806"/>
  <c r="S19" i="806"/>
  <c r="R19" i="806"/>
  <c r="Z18" i="806"/>
  <c r="Y18" i="806"/>
  <c r="X18" i="806"/>
  <c r="W18" i="806"/>
  <c r="V18" i="806"/>
  <c r="U18" i="806"/>
  <c r="T18" i="806"/>
  <c r="S18" i="806"/>
  <c r="R18" i="806"/>
  <c r="Z17" i="806"/>
  <c r="Y17" i="806"/>
  <c r="X17" i="806"/>
  <c r="W17" i="806"/>
  <c r="V17" i="806"/>
  <c r="U17" i="806"/>
  <c r="T17" i="806"/>
  <c r="S17" i="806"/>
  <c r="R17" i="806"/>
  <c r="Z16" i="806"/>
  <c r="Y16" i="806"/>
  <c r="X16" i="806"/>
  <c r="W16" i="806"/>
  <c r="V16" i="806"/>
  <c r="U16" i="806"/>
  <c r="T16" i="806"/>
  <c r="S16" i="806"/>
  <c r="R16" i="806"/>
  <c r="Z15" i="806"/>
  <c r="Y15" i="806"/>
  <c r="X15" i="806"/>
  <c r="W15" i="806"/>
  <c r="V15" i="806"/>
  <c r="U15" i="806"/>
  <c r="T15" i="806"/>
  <c r="S15" i="806"/>
  <c r="R15" i="806"/>
  <c r="Z14" i="806"/>
  <c r="Y14" i="806"/>
  <c r="X14" i="806"/>
  <c r="W14" i="806"/>
  <c r="V14" i="806"/>
  <c r="U14" i="806"/>
  <c r="T14" i="806"/>
  <c r="S14" i="806"/>
  <c r="R14" i="806"/>
  <c r="Z13" i="806"/>
  <c r="Y13" i="806"/>
  <c r="X13" i="806"/>
  <c r="W13" i="806"/>
  <c r="V13" i="806"/>
  <c r="U13" i="806"/>
  <c r="T13" i="806"/>
  <c r="S13" i="806"/>
  <c r="R13" i="806"/>
  <c r="O13" i="806"/>
  <c r="N13" i="806"/>
  <c r="M13" i="806"/>
  <c r="L13" i="806"/>
  <c r="K13" i="806"/>
  <c r="J13" i="806"/>
  <c r="I13" i="806"/>
  <c r="G13" i="806"/>
  <c r="F13" i="806"/>
  <c r="E13" i="806"/>
  <c r="D13" i="806"/>
  <c r="C13" i="806"/>
  <c r="Z12" i="806"/>
  <c r="Y12" i="806"/>
  <c r="X12" i="806"/>
  <c r="W12" i="806"/>
  <c r="V12" i="806"/>
  <c r="U12" i="806"/>
  <c r="T12" i="806"/>
  <c r="S12" i="806"/>
  <c r="R12" i="806"/>
  <c r="O12" i="806"/>
  <c r="N12" i="806"/>
  <c r="M12" i="806"/>
  <c r="L12" i="806"/>
  <c r="K12" i="806"/>
  <c r="J12" i="806"/>
  <c r="I12" i="806"/>
  <c r="G12" i="806"/>
  <c r="F12" i="806"/>
  <c r="E12" i="806"/>
  <c r="D12" i="806"/>
  <c r="C12" i="806"/>
  <c r="Z11" i="806"/>
  <c r="Y11" i="806"/>
  <c r="X11" i="806"/>
  <c r="W11" i="806"/>
  <c r="V11" i="806"/>
  <c r="U11" i="806"/>
  <c r="T11" i="806"/>
  <c r="S11" i="806"/>
  <c r="R11" i="806"/>
  <c r="O11" i="806"/>
  <c r="N11" i="806"/>
  <c r="M11" i="806"/>
  <c r="L11" i="806"/>
  <c r="K11" i="806"/>
  <c r="J11" i="806"/>
  <c r="I11" i="806"/>
  <c r="G11" i="806"/>
  <c r="F11" i="806"/>
  <c r="E11" i="806"/>
  <c r="D11" i="806"/>
  <c r="C11" i="806"/>
  <c r="Z10" i="806"/>
  <c r="Y10" i="806"/>
  <c r="X10" i="806"/>
  <c r="W10" i="806"/>
  <c r="V10" i="806"/>
  <c r="U10" i="806"/>
  <c r="T10" i="806"/>
  <c r="S10" i="806"/>
  <c r="R10" i="806"/>
  <c r="O10" i="806"/>
  <c r="N10" i="806"/>
  <c r="M10" i="806"/>
  <c r="L10" i="806"/>
  <c r="K10" i="806"/>
  <c r="J10" i="806"/>
  <c r="I10" i="806"/>
  <c r="G10" i="806"/>
  <c r="F10" i="806"/>
  <c r="E10" i="806"/>
  <c r="D10" i="806"/>
  <c r="C10" i="806"/>
  <c r="O27" i="804"/>
  <c r="I27" i="804"/>
  <c r="J27" i="804"/>
  <c r="K27" i="804"/>
  <c r="L27" i="804"/>
  <c r="M27" i="804"/>
  <c r="N27" i="804"/>
  <c r="C27" i="804"/>
  <c r="D27" i="804"/>
  <c r="E27" i="804"/>
  <c r="F27" i="804"/>
  <c r="G27" i="804"/>
  <c r="J24" i="806" l="1"/>
  <c r="K34" i="806"/>
  <c r="L34" i="806" s="1"/>
  <c r="M34" i="806" s="1"/>
  <c r="B59" i="805"/>
  <c r="F71" i="805"/>
  <c r="L61" i="805"/>
  <c r="L59" i="805"/>
  <c r="AX57" i="805"/>
  <c r="AW57" i="805"/>
  <c r="AV57" i="805"/>
  <c r="AU57" i="805"/>
  <c r="AT57" i="805"/>
  <c r="AS57" i="805"/>
  <c r="AR57" i="805"/>
  <c r="AQ57" i="805"/>
  <c r="AP57" i="805"/>
  <c r="AO57" i="805"/>
  <c r="AN57" i="805"/>
  <c r="AM57" i="805"/>
  <c r="AL57" i="805"/>
  <c r="AK57" i="805"/>
  <c r="AJ57" i="805"/>
  <c r="AI57" i="805"/>
  <c r="AH57" i="805"/>
  <c r="AG57" i="805"/>
  <c r="AF57" i="805"/>
  <c r="AE57" i="805"/>
  <c r="AD57" i="805"/>
  <c r="AC57" i="805"/>
  <c r="AB57" i="805"/>
  <c r="K52" i="805"/>
  <c r="L43" i="805" s="1"/>
  <c r="D50" i="805"/>
  <c r="M37" i="805"/>
  <c r="M36" i="805"/>
  <c r="M35" i="805"/>
  <c r="M34" i="805"/>
  <c r="M33" i="805"/>
  <c r="M31" i="805"/>
  <c r="L31" i="805"/>
  <c r="K31" i="805"/>
  <c r="M29" i="805"/>
  <c r="L29" i="805"/>
  <c r="K29" i="805"/>
  <c r="Z27" i="805"/>
  <c r="Y27" i="805"/>
  <c r="X27" i="805"/>
  <c r="W27" i="805"/>
  <c r="V27" i="805"/>
  <c r="U27" i="805"/>
  <c r="T27" i="805"/>
  <c r="S27" i="805"/>
  <c r="R27" i="805"/>
  <c r="Z26" i="805"/>
  <c r="Y26" i="805"/>
  <c r="X26" i="805"/>
  <c r="W26" i="805"/>
  <c r="V26" i="805"/>
  <c r="U26" i="805"/>
  <c r="T26" i="805"/>
  <c r="S26" i="805"/>
  <c r="R26" i="805"/>
  <c r="Z25" i="805"/>
  <c r="Y25" i="805"/>
  <c r="X25" i="805"/>
  <c r="W25" i="805"/>
  <c r="V25" i="805"/>
  <c r="U25" i="805"/>
  <c r="T25" i="805"/>
  <c r="S25" i="805"/>
  <c r="R25" i="805"/>
  <c r="Z24" i="805"/>
  <c r="Y24" i="805"/>
  <c r="X24" i="805"/>
  <c r="W24" i="805"/>
  <c r="V24" i="805"/>
  <c r="U24" i="805"/>
  <c r="T24" i="805"/>
  <c r="S24" i="805"/>
  <c r="R24" i="805"/>
  <c r="Z23" i="805"/>
  <c r="Y23" i="805"/>
  <c r="X23" i="805"/>
  <c r="W23" i="805"/>
  <c r="V23" i="805"/>
  <c r="U23" i="805"/>
  <c r="T23" i="805"/>
  <c r="S23" i="805"/>
  <c r="R23" i="805"/>
  <c r="M34" i="804"/>
  <c r="L34" i="804"/>
  <c r="K34" i="804"/>
  <c r="C25" i="804"/>
  <c r="D25" i="804"/>
  <c r="E25" i="804"/>
  <c r="F25" i="804"/>
  <c r="G25" i="804"/>
  <c r="I25" i="804"/>
  <c r="J25" i="804"/>
  <c r="K25" i="804"/>
  <c r="L25" i="804"/>
  <c r="M25" i="804"/>
  <c r="N25" i="804"/>
  <c r="O25" i="804"/>
  <c r="C26" i="804"/>
  <c r="D26" i="804"/>
  <c r="E26" i="804"/>
  <c r="F26" i="804"/>
  <c r="G26" i="804"/>
  <c r="I26" i="804"/>
  <c r="J26" i="804"/>
  <c r="K26" i="804"/>
  <c r="L26" i="804"/>
  <c r="M26" i="804"/>
  <c r="N26" i="804"/>
  <c r="O26" i="804"/>
  <c r="M43" i="805" l="1"/>
  <c r="K38" i="805"/>
  <c r="M24" i="804"/>
  <c r="N24" i="804"/>
  <c r="O24" i="804"/>
  <c r="L24" i="804"/>
  <c r="G24" i="804"/>
  <c r="F24" i="804"/>
  <c r="E24" i="804"/>
  <c r="D24" i="804"/>
  <c r="C24" i="804"/>
  <c r="M35" i="804"/>
  <c r="L35" i="804"/>
  <c r="K35" i="804"/>
  <c r="C20" i="804"/>
  <c r="D20" i="804"/>
  <c r="E20" i="804"/>
  <c r="F20" i="804"/>
  <c r="G20" i="804"/>
  <c r="I20" i="804"/>
  <c r="J20" i="804"/>
  <c r="L20" i="804"/>
  <c r="M20" i="804"/>
  <c r="N20" i="804"/>
  <c r="O20" i="804"/>
  <c r="C21" i="804"/>
  <c r="D21" i="804"/>
  <c r="E21" i="804"/>
  <c r="F21" i="804"/>
  <c r="G21" i="804"/>
  <c r="I21" i="804"/>
  <c r="J21" i="804"/>
  <c r="L21" i="804"/>
  <c r="M21" i="804"/>
  <c r="N21" i="804"/>
  <c r="O21" i="804"/>
  <c r="C18" i="804"/>
  <c r="D18" i="804"/>
  <c r="E18" i="804"/>
  <c r="F18" i="804"/>
  <c r="G18" i="804"/>
  <c r="I18" i="804"/>
  <c r="J18" i="804"/>
  <c r="L18" i="804"/>
  <c r="M18" i="804"/>
  <c r="N18" i="804"/>
  <c r="O18" i="804"/>
  <c r="C19" i="804"/>
  <c r="D19" i="804"/>
  <c r="E19" i="804"/>
  <c r="F19" i="804"/>
  <c r="G19" i="804"/>
  <c r="I19" i="804"/>
  <c r="J19" i="804"/>
  <c r="L19" i="804"/>
  <c r="M19" i="804"/>
  <c r="N19" i="804"/>
  <c r="O19" i="804"/>
  <c r="C11" i="804"/>
  <c r="D11" i="804"/>
  <c r="E11" i="804"/>
  <c r="F11" i="804"/>
  <c r="G11" i="804"/>
  <c r="L11" i="804"/>
  <c r="M11" i="804"/>
  <c r="O11" i="804"/>
  <c r="J35" i="804" l="1"/>
  <c r="B34" i="804"/>
  <c r="K11" i="804" l="1"/>
  <c r="N11" i="804"/>
  <c r="K24" i="804"/>
  <c r="I11" i="804" l="1"/>
  <c r="I24" i="804"/>
  <c r="J11" i="804"/>
  <c r="J24" i="804"/>
  <c r="B63" i="804" l="1"/>
  <c r="O10" i="804"/>
  <c r="N10" i="804"/>
  <c r="M10" i="804"/>
  <c r="L10" i="804"/>
  <c r="K10" i="804"/>
  <c r="J10" i="804"/>
  <c r="I10" i="804"/>
  <c r="J34" i="804" s="1"/>
  <c r="G10" i="804"/>
  <c r="F10" i="804"/>
  <c r="E10" i="804"/>
  <c r="D10" i="804"/>
  <c r="C10" i="804"/>
  <c r="F77" i="804"/>
  <c r="L67" i="804"/>
  <c r="L65" i="804"/>
  <c r="AX63" i="804"/>
  <c r="AW63" i="804"/>
  <c r="AV63" i="804"/>
  <c r="AU63" i="804"/>
  <c r="AT63" i="804"/>
  <c r="AS63" i="804"/>
  <c r="AR63" i="804"/>
  <c r="AQ63" i="804"/>
  <c r="AP63" i="804"/>
  <c r="AO63" i="804"/>
  <c r="AN63" i="804"/>
  <c r="AM63" i="804"/>
  <c r="AL63" i="804"/>
  <c r="AK63" i="804"/>
  <c r="AJ63" i="804"/>
  <c r="AI63" i="804"/>
  <c r="AH63" i="804"/>
  <c r="AG63" i="804"/>
  <c r="AF63" i="804"/>
  <c r="AE63" i="804"/>
  <c r="AD63" i="804"/>
  <c r="AC63" i="804"/>
  <c r="AB63" i="804"/>
  <c r="K58" i="804"/>
  <c r="L49" i="804" s="1"/>
  <c r="M49" i="804" s="1"/>
  <c r="D56" i="804"/>
  <c r="M43" i="804"/>
  <c r="M42" i="804"/>
  <c r="M41" i="804"/>
  <c r="M40" i="804"/>
  <c r="M39" i="804"/>
  <c r="M37" i="804"/>
  <c r="L37" i="804"/>
  <c r="K37" i="804"/>
  <c r="Z33" i="804"/>
  <c r="Y33" i="804"/>
  <c r="X33" i="804"/>
  <c r="W33" i="804"/>
  <c r="V33" i="804"/>
  <c r="U33" i="804"/>
  <c r="T33" i="804"/>
  <c r="S33" i="804"/>
  <c r="R33" i="804"/>
  <c r="Z32" i="804"/>
  <c r="Y32" i="804"/>
  <c r="X32" i="804"/>
  <c r="W32" i="804"/>
  <c r="V32" i="804"/>
  <c r="U32" i="804"/>
  <c r="T32" i="804"/>
  <c r="S32" i="804"/>
  <c r="R32" i="804"/>
  <c r="Z31" i="804"/>
  <c r="Y31" i="804"/>
  <c r="X31" i="804"/>
  <c r="W31" i="804"/>
  <c r="V31" i="804"/>
  <c r="U31" i="804"/>
  <c r="T31" i="804"/>
  <c r="S31" i="804"/>
  <c r="R31" i="804"/>
  <c r="Z30" i="804"/>
  <c r="Y30" i="804"/>
  <c r="X30" i="804"/>
  <c r="W30" i="804"/>
  <c r="V30" i="804"/>
  <c r="U30" i="804"/>
  <c r="T30" i="804"/>
  <c r="S30" i="804"/>
  <c r="R30" i="804"/>
  <c r="Z29" i="804"/>
  <c r="Y29" i="804"/>
  <c r="X29" i="804"/>
  <c r="W29" i="804"/>
  <c r="V29" i="804"/>
  <c r="U29" i="804"/>
  <c r="T29" i="804"/>
  <c r="S29" i="804"/>
  <c r="R29" i="804"/>
  <c r="Z28" i="804"/>
  <c r="Y28" i="804"/>
  <c r="X28" i="804"/>
  <c r="W28" i="804"/>
  <c r="V28" i="804"/>
  <c r="U28" i="804"/>
  <c r="T28" i="804"/>
  <c r="S28" i="804"/>
  <c r="R28" i="804"/>
  <c r="Z27" i="804"/>
  <c r="Y27" i="804"/>
  <c r="X27" i="804"/>
  <c r="W27" i="804"/>
  <c r="V27" i="804"/>
  <c r="U27" i="804"/>
  <c r="T27" i="804"/>
  <c r="S27" i="804"/>
  <c r="R27" i="804"/>
  <c r="Z26" i="804"/>
  <c r="Y26" i="804"/>
  <c r="X26" i="804"/>
  <c r="W26" i="804"/>
  <c r="V26" i="804"/>
  <c r="U26" i="804"/>
  <c r="T26" i="804"/>
  <c r="S26" i="804"/>
  <c r="R26" i="804"/>
  <c r="Z25" i="804"/>
  <c r="Y25" i="804"/>
  <c r="X25" i="804"/>
  <c r="W25" i="804"/>
  <c r="V25" i="804"/>
  <c r="U25" i="804"/>
  <c r="T25" i="804"/>
  <c r="S25" i="804"/>
  <c r="R25" i="804"/>
  <c r="Z24" i="804"/>
  <c r="Y24" i="804"/>
  <c r="X24" i="804"/>
  <c r="W24" i="804"/>
  <c r="V24" i="804"/>
  <c r="U24" i="804"/>
  <c r="T24" i="804"/>
  <c r="S24" i="804"/>
  <c r="R24" i="804"/>
  <c r="Z23" i="804"/>
  <c r="Y23" i="804"/>
  <c r="X23" i="804"/>
  <c r="W23" i="804"/>
  <c r="V23" i="804"/>
  <c r="U23" i="804"/>
  <c r="T23" i="804"/>
  <c r="S23" i="804"/>
  <c r="R23" i="804"/>
  <c r="Z22" i="804"/>
  <c r="Y22" i="804"/>
  <c r="X22" i="804"/>
  <c r="W22" i="804"/>
  <c r="V22" i="804"/>
  <c r="U22" i="804"/>
  <c r="T22" i="804"/>
  <c r="S22" i="804"/>
  <c r="R22" i="804"/>
  <c r="Z21" i="804"/>
  <c r="Y21" i="804"/>
  <c r="X21" i="804"/>
  <c r="W21" i="804"/>
  <c r="V21" i="804"/>
  <c r="U21" i="804"/>
  <c r="T21" i="804"/>
  <c r="S21" i="804"/>
  <c r="R21" i="804"/>
  <c r="Z20" i="804"/>
  <c r="Y20" i="804"/>
  <c r="X20" i="804"/>
  <c r="W20" i="804"/>
  <c r="V20" i="804"/>
  <c r="U20" i="804"/>
  <c r="T20" i="804"/>
  <c r="S20" i="804"/>
  <c r="R20" i="804"/>
  <c r="Z19" i="804"/>
  <c r="Y19" i="804"/>
  <c r="X19" i="804"/>
  <c r="W19" i="804"/>
  <c r="V19" i="804"/>
  <c r="U19" i="804"/>
  <c r="T19" i="804"/>
  <c r="S19" i="804"/>
  <c r="R19" i="804"/>
  <c r="Z18" i="804"/>
  <c r="Y18" i="804"/>
  <c r="X18" i="804"/>
  <c r="W18" i="804"/>
  <c r="V18" i="804"/>
  <c r="U18" i="804"/>
  <c r="T18" i="804"/>
  <c r="S18" i="804"/>
  <c r="R18" i="804"/>
  <c r="Z17" i="804"/>
  <c r="Y17" i="804"/>
  <c r="X17" i="804"/>
  <c r="W17" i="804"/>
  <c r="V17" i="804"/>
  <c r="U17" i="804"/>
  <c r="T17" i="804"/>
  <c r="S17" i="804"/>
  <c r="R17" i="804"/>
  <c r="Z16" i="804"/>
  <c r="Y16" i="804"/>
  <c r="X16" i="804"/>
  <c r="W16" i="804"/>
  <c r="V16" i="804"/>
  <c r="U16" i="804"/>
  <c r="T16" i="804"/>
  <c r="S16" i="804"/>
  <c r="R16" i="804"/>
  <c r="Z15" i="804"/>
  <c r="Y15" i="804"/>
  <c r="X15" i="804"/>
  <c r="W15" i="804"/>
  <c r="V15" i="804"/>
  <c r="U15" i="804"/>
  <c r="T15" i="804"/>
  <c r="S15" i="804"/>
  <c r="R15" i="804"/>
  <c r="Z14" i="804"/>
  <c r="Y14" i="804"/>
  <c r="X14" i="804"/>
  <c r="W14" i="804"/>
  <c r="V14" i="804"/>
  <c r="U14" i="804"/>
  <c r="T14" i="804"/>
  <c r="S14" i="804"/>
  <c r="R14" i="804"/>
  <c r="Z13" i="804"/>
  <c r="Y13" i="804"/>
  <c r="X13" i="804"/>
  <c r="W13" i="804"/>
  <c r="V13" i="804"/>
  <c r="U13" i="804"/>
  <c r="T13" i="804"/>
  <c r="S13" i="804"/>
  <c r="R13" i="804"/>
  <c r="Z12" i="804"/>
  <c r="Y12" i="804"/>
  <c r="X12" i="804"/>
  <c r="W12" i="804"/>
  <c r="V12" i="804"/>
  <c r="U12" i="804"/>
  <c r="T12" i="804"/>
  <c r="S12" i="804"/>
  <c r="R12" i="804"/>
  <c r="Z11" i="804"/>
  <c r="Y11" i="804"/>
  <c r="X11" i="804"/>
  <c r="W11" i="804"/>
  <c r="V11" i="804"/>
  <c r="U11" i="804"/>
  <c r="T11" i="804"/>
  <c r="S11" i="804"/>
  <c r="R11" i="804"/>
  <c r="Z10" i="804"/>
  <c r="Y10" i="804"/>
  <c r="X10" i="804"/>
  <c r="W10" i="804"/>
  <c r="V10" i="804"/>
  <c r="U10" i="804"/>
  <c r="T10" i="804"/>
  <c r="S10" i="804"/>
  <c r="R10" i="804"/>
  <c r="G19" i="803"/>
  <c r="G20" i="803"/>
  <c r="G21" i="803"/>
  <c r="G22" i="803"/>
  <c r="G23" i="803"/>
  <c r="G24" i="803"/>
  <c r="G25" i="803"/>
  <c r="G26" i="803"/>
  <c r="G27" i="803"/>
  <c r="G28" i="803"/>
  <c r="G29" i="803"/>
  <c r="G16" i="802"/>
  <c r="G17" i="802"/>
  <c r="G18" i="802"/>
  <c r="M34" i="803"/>
  <c r="L34" i="803"/>
  <c r="K34" i="803"/>
  <c r="K44" i="804" l="1"/>
  <c r="L44" i="804" s="1"/>
  <c r="M44" i="804" s="1"/>
  <c r="E65" i="803"/>
  <c r="B65" i="803"/>
  <c r="C46" i="803"/>
  <c r="C47" i="803"/>
  <c r="C48" i="803"/>
  <c r="C49" i="803"/>
  <c r="B46" i="803"/>
  <c r="C34" i="803"/>
  <c r="C35" i="803"/>
  <c r="C36" i="803"/>
  <c r="C37" i="803"/>
  <c r="C38" i="803"/>
  <c r="C39" i="803"/>
  <c r="C40" i="803"/>
  <c r="C41" i="803"/>
  <c r="E63" i="803"/>
  <c r="B63" i="803" l="1"/>
  <c r="L49" i="803" l="1"/>
  <c r="B34" i="803"/>
  <c r="C19" i="803"/>
  <c r="D19" i="803"/>
  <c r="E19" i="803"/>
  <c r="F19" i="803"/>
  <c r="I19" i="803"/>
  <c r="J19" i="803"/>
  <c r="K19" i="803"/>
  <c r="L19" i="803"/>
  <c r="M19" i="803"/>
  <c r="N19" i="803"/>
  <c r="O19" i="803"/>
  <c r="C20" i="803"/>
  <c r="D20" i="803"/>
  <c r="E20" i="803"/>
  <c r="F20" i="803"/>
  <c r="I20" i="803"/>
  <c r="J20" i="803"/>
  <c r="K20" i="803"/>
  <c r="L20" i="803"/>
  <c r="M20" i="803"/>
  <c r="N20" i="803"/>
  <c r="O20" i="803"/>
  <c r="C21" i="803"/>
  <c r="D21" i="803"/>
  <c r="E21" i="803"/>
  <c r="F21" i="803"/>
  <c r="I21" i="803"/>
  <c r="J21" i="803"/>
  <c r="K21" i="803"/>
  <c r="L21" i="803"/>
  <c r="M21" i="803"/>
  <c r="N21" i="803"/>
  <c r="O21" i="803"/>
  <c r="C22" i="803"/>
  <c r="D22" i="803"/>
  <c r="E22" i="803"/>
  <c r="F22" i="803"/>
  <c r="I22" i="803"/>
  <c r="J22" i="803"/>
  <c r="K22" i="803"/>
  <c r="L22" i="803"/>
  <c r="M22" i="803"/>
  <c r="N22" i="803"/>
  <c r="O22" i="803"/>
  <c r="C23" i="803"/>
  <c r="D23" i="803"/>
  <c r="E23" i="803"/>
  <c r="F23" i="803"/>
  <c r="I23" i="803"/>
  <c r="J23" i="803"/>
  <c r="K23" i="803"/>
  <c r="L23" i="803"/>
  <c r="M23" i="803"/>
  <c r="N23" i="803"/>
  <c r="O23" i="803"/>
  <c r="C24" i="803"/>
  <c r="D24" i="803"/>
  <c r="E24" i="803"/>
  <c r="F24" i="803"/>
  <c r="I24" i="803"/>
  <c r="J24" i="803"/>
  <c r="K24" i="803"/>
  <c r="L24" i="803"/>
  <c r="M24" i="803"/>
  <c r="N24" i="803"/>
  <c r="O24" i="803"/>
  <c r="C25" i="803"/>
  <c r="D25" i="803"/>
  <c r="E25" i="803"/>
  <c r="F25" i="803"/>
  <c r="I25" i="803"/>
  <c r="J25" i="803"/>
  <c r="K25" i="803"/>
  <c r="L25" i="803"/>
  <c r="M25" i="803"/>
  <c r="N25" i="803"/>
  <c r="O25" i="803"/>
  <c r="C26" i="803"/>
  <c r="D26" i="803"/>
  <c r="E26" i="803"/>
  <c r="F26" i="803"/>
  <c r="I26" i="803"/>
  <c r="J26" i="803"/>
  <c r="K26" i="803"/>
  <c r="L26" i="803"/>
  <c r="M26" i="803"/>
  <c r="N26" i="803"/>
  <c r="O26" i="803"/>
  <c r="C27" i="803"/>
  <c r="D27" i="803"/>
  <c r="E27" i="803"/>
  <c r="F27" i="803"/>
  <c r="I27" i="803"/>
  <c r="J27" i="803"/>
  <c r="K27" i="803"/>
  <c r="L27" i="803"/>
  <c r="M27" i="803"/>
  <c r="N27" i="803"/>
  <c r="O27" i="803"/>
  <c r="C28" i="803"/>
  <c r="D28" i="803"/>
  <c r="E28" i="803"/>
  <c r="F28" i="803"/>
  <c r="I28" i="803"/>
  <c r="J28" i="803"/>
  <c r="K28" i="803"/>
  <c r="L28" i="803"/>
  <c r="M28" i="803"/>
  <c r="N28" i="803"/>
  <c r="O28" i="803"/>
  <c r="C29" i="803"/>
  <c r="D29" i="803"/>
  <c r="E29" i="803"/>
  <c r="F29" i="803"/>
  <c r="I29" i="803"/>
  <c r="J29" i="803"/>
  <c r="K29" i="803"/>
  <c r="L29" i="803"/>
  <c r="M29" i="803"/>
  <c r="N29" i="803"/>
  <c r="O29" i="803"/>
  <c r="F77" i="803"/>
  <c r="L67" i="803"/>
  <c r="AX63" i="803"/>
  <c r="AW63" i="803"/>
  <c r="AV63" i="803"/>
  <c r="AU63" i="803"/>
  <c r="AT63" i="803"/>
  <c r="AS63" i="803"/>
  <c r="AR63" i="803"/>
  <c r="AQ63" i="803"/>
  <c r="AP63" i="803"/>
  <c r="AO63" i="803"/>
  <c r="AN63" i="803"/>
  <c r="AM63" i="803"/>
  <c r="AL63" i="803"/>
  <c r="AK63" i="803"/>
  <c r="AJ63" i="803"/>
  <c r="AI63" i="803"/>
  <c r="AH63" i="803"/>
  <c r="AG63" i="803"/>
  <c r="AF63" i="803"/>
  <c r="AE63" i="803"/>
  <c r="AD63" i="803"/>
  <c r="AC63" i="803"/>
  <c r="AB63" i="803"/>
  <c r="K58" i="803"/>
  <c r="M49" i="803" s="1"/>
  <c r="D56" i="803"/>
  <c r="M43" i="803"/>
  <c r="M42" i="803"/>
  <c r="M41" i="803"/>
  <c r="M40" i="803"/>
  <c r="M39" i="803"/>
  <c r="M37" i="803"/>
  <c r="L37" i="803"/>
  <c r="K37" i="803"/>
  <c r="M35" i="803"/>
  <c r="L35" i="803"/>
  <c r="K35" i="803"/>
  <c r="Z33" i="803"/>
  <c r="Y33" i="803"/>
  <c r="X33" i="803"/>
  <c r="W33" i="803"/>
  <c r="V33" i="803"/>
  <c r="U33" i="803"/>
  <c r="T33" i="803"/>
  <c r="S33" i="803"/>
  <c r="R33" i="803"/>
  <c r="Z32" i="803"/>
  <c r="Y32" i="803"/>
  <c r="X32" i="803"/>
  <c r="W32" i="803"/>
  <c r="V32" i="803"/>
  <c r="U32" i="803"/>
  <c r="T32" i="803"/>
  <c r="S32" i="803"/>
  <c r="R32" i="803"/>
  <c r="Z31" i="803"/>
  <c r="Y31" i="803"/>
  <c r="X31" i="803"/>
  <c r="W31" i="803"/>
  <c r="V31" i="803"/>
  <c r="U31" i="803"/>
  <c r="T31" i="803"/>
  <c r="S31" i="803"/>
  <c r="R31" i="803"/>
  <c r="Z30" i="803"/>
  <c r="Y30" i="803"/>
  <c r="X30" i="803"/>
  <c r="W30" i="803"/>
  <c r="V30" i="803"/>
  <c r="U30" i="803"/>
  <c r="T30" i="803"/>
  <c r="S30" i="803"/>
  <c r="R30" i="803"/>
  <c r="Z29" i="803"/>
  <c r="Y29" i="803"/>
  <c r="X29" i="803"/>
  <c r="W29" i="803"/>
  <c r="V29" i="803"/>
  <c r="U29" i="803"/>
  <c r="T29" i="803"/>
  <c r="S29" i="803"/>
  <c r="R29" i="803"/>
  <c r="Z28" i="803"/>
  <c r="Y28" i="803"/>
  <c r="X28" i="803"/>
  <c r="W28" i="803"/>
  <c r="V28" i="803"/>
  <c r="U28" i="803"/>
  <c r="T28" i="803"/>
  <c r="S28" i="803"/>
  <c r="R28" i="803"/>
  <c r="Z27" i="803"/>
  <c r="Y27" i="803"/>
  <c r="X27" i="803"/>
  <c r="W27" i="803"/>
  <c r="V27" i="803"/>
  <c r="U27" i="803"/>
  <c r="T27" i="803"/>
  <c r="S27" i="803"/>
  <c r="R27" i="803"/>
  <c r="Z26" i="803"/>
  <c r="Y26" i="803"/>
  <c r="X26" i="803"/>
  <c r="W26" i="803"/>
  <c r="V26" i="803"/>
  <c r="U26" i="803"/>
  <c r="T26" i="803"/>
  <c r="S26" i="803"/>
  <c r="R26" i="803"/>
  <c r="Z25" i="803"/>
  <c r="Y25" i="803"/>
  <c r="X25" i="803"/>
  <c r="W25" i="803"/>
  <c r="V25" i="803"/>
  <c r="U25" i="803"/>
  <c r="T25" i="803"/>
  <c r="S25" i="803"/>
  <c r="R25" i="803"/>
  <c r="Z24" i="803"/>
  <c r="Y24" i="803"/>
  <c r="X24" i="803"/>
  <c r="W24" i="803"/>
  <c r="V24" i="803"/>
  <c r="U24" i="803"/>
  <c r="T24" i="803"/>
  <c r="S24" i="803"/>
  <c r="R24" i="803"/>
  <c r="Z23" i="803"/>
  <c r="Y23" i="803"/>
  <c r="X23" i="803"/>
  <c r="W23" i="803"/>
  <c r="V23" i="803"/>
  <c r="U23" i="803"/>
  <c r="T23" i="803"/>
  <c r="S23" i="803"/>
  <c r="R23" i="803"/>
  <c r="Z22" i="803"/>
  <c r="Y22" i="803"/>
  <c r="X22" i="803"/>
  <c r="W22" i="803"/>
  <c r="V22" i="803"/>
  <c r="U22" i="803"/>
  <c r="T22" i="803"/>
  <c r="S22" i="803"/>
  <c r="R22" i="803"/>
  <c r="Z21" i="803"/>
  <c r="Y21" i="803"/>
  <c r="X21" i="803"/>
  <c r="W21" i="803"/>
  <c r="V21" i="803"/>
  <c r="U21" i="803"/>
  <c r="T21" i="803"/>
  <c r="S21" i="803"/>
  <c r="R21" i="803"/>
  <c r="Z20" i="803"/>
  <c r="Y20" i="803"/>
  <c r="X20" i="803"/>
  <c r="W20" i="803"/>
  <c r="V20" i="803"/>
  <c r="U20" i="803"/>
  <c r="T20" i="803"/>
  <c r="S20" i="803"/>
  <c r="R20" i="803"/>
  <c r="Z19" i="803"/>
  <c r="Y19" i="803"/>
  <c r="X19" i="803"/>
  <c r="W19" i="803"/>
  <c r="V19" i="803"/>
  <c r="U19" i="803"/>
  <c r="T19" i="803"/>
  <c r="S19" i="803"/>
  <c r="R19" i="803"/>
  <c r="Z18" i="803"/>
  <c r="Y18" i="803"/>
  <c r="X18" i="803"/>
  <c r="W18" i="803"/>
  <c r="V18" i="803"/>
  <c r="U18" i="803"/>
  <c r="T18" i="803"/>
  <c r="S18" i="803"/>
  <c r="R18" i="803"/>
  <c r="Z17" i="803"/>
  <c r="Y17" i="803"/>
  <c r="X17" i="803"/>
  <c r="W17" i="803"/>
  <c r="V17" i="803"/>
  <c r="U17" i="803"/>
  <c r="T17" i="803"/>
  <c r="S17" i="803"/>
  <c r="R17" i="803"/>
  <c r="Z16" i="803"/>
  <c r="Y16" i="803"/>
  <c r="X16" i="803"/>
  <c r="W16" i="803"/>
  <c r="V16" i="803"/>
  <c r="U16" i="803"/>
  <c r="T16" i="803"/>
  <c r="S16" i="803"/>
  <c r="R16" i="803"/>
  <c r="Z15" i="803"/>
  <c r="Y15" i="803"/>
  <c r="X15" i="803"/>
  <c r="W15" i="803"/>
  <c r="V15" i="803"/>
  <c r="U15" i="803"/>
  <c r="T15" i="803"/>
  <c r="S15" i="803"/>
  <c r="R15" i="803"/>
  <c r="Z14" i="803"/>
  <c r="Y14" i="803"/>
  <c r="X14" i="803"/>
  <c r="W14" i="803"/>
  <c r="V14" i="803"/>
  <c r="U14" i="803"/>
  <c r="T14" i="803"/>
  <c r="S14" i="803"/>
  <c r="R14" i="803"/>
  <c r="Z13" i="803"/>
  <c r="Y13" i="803"/>
  <c r="X13" i="803"/>
  <c r="W13" i="803"/>
  <c r="V13" i="803"/>
  <c r="U13" i="803"/>
  <c r="T13" i="803"/>
  <c r="S13" i="803"/>
  <c r="R13" i="803"/>
  <c r="Z12" i="803"/>
  <c r="Y12" i="803"/>
  <c r="X12" i="803"/>
  <c r="W12" i="803"/>
  <c r="V12" i="803"/>
  <c r="U12" i="803"/>
  <c r="T12" i="803"/>
  <c r="S12" i="803"/>
  <c r="R12" i="803"/>
  <c r="Z11" i="803"/>
  <c r="Y11" i="803"/>
  <c r="X11" i="803"/>
  <c r="W11" i="803"/>
  <c r="V11" i="803"/>
  <c r="U11" i="803"/>
  <c r="T11" i="803"/>
  <c r="S11" i="803"/>
  <c r="R11" i="803"/>
  <c r="Z10" i="803"/>
  <c r="Y10" i="803"/>
  <c r="X10" i="803"/>
  <c r="W10" i="803"/>
  <c r="V10" i="803"/>
  <c r="U10" i="803"/>
  <c r="T10" i="803"/>
  <c r="S10" i="803"/>
  <c r="R10" i="803"/>
  <c r="M34" i="802"/>
  <c r="L34" i="802"/>
  <c r="K34" i="802"/>
  <c r="J34" i="803" l="1"/>
  <c r="K44" i="803"/>
  <c r="L44" i="803" s="1"/>
  <c r="M44" i="803" s="1"/>
  <c r="C17" i="802" l="1"/>
  <c r="D17" i="802"/>
  <c r="E17" i="802"/>
  <c r="F17" i="802"/>
  <c r="I17" i="802"/>
  <c r="J17" i="802"/>
  <c r="K17" i="802"/>
  <c r="L17" i="802"/>
  <c r="M17" i="802"/>
  <c r="N17" i="802"/>
  <c r="O17" i="802"/>
  <c r="C18" i="802"/>
  <c r="D18" i="802"/>
  <c r="E18" i="802"/>
  <c r="F18" i="802"/>
  <c r="I18" i="802"/>
  <c r="J18" i="802"/>
  <c r="K18" i="802"/>
  <c r="L18" i="802"/>
  <c r="M18" i="802"/>
  <c r="N18" i="802"/>
  <c r="O18" i="802"/>
  <c r="O16" i="802"/>
  <c r="N16" i="802"/>
  <c r="M16" i="802"/>
  <c r="L16" i="802"/>
  <c r="K16" i="802"/>
  <c r="J16" i="802"/>
  <c r="I16" i="802"/>
  <c r="F16" i="802"/>
  <c r="E16" i="802"/>
  <c r="D16" i="802"/>
  <c r="C16" i="802"/>
  <c r="B63" i="802"/>
  <c r="J34" i="802" l="1"/>
  <c r="I11" i="802"/>
  <c r="L37" i="802"/>
  <c r="M37" i="802"/>
  <c r="K37" i="802"/>
  <c r="C11" i="802"/>
  <c r="D11" i="802"/>
  <c r="E11" i="802"/>
  <c r="F11" i="802"/>
  <c r="G11" i="802"/>
  <c r="J11" i="802"/>
  <c r="L11" i="802"/>
  <c r="M11" i="802"/>
  <c r="N11" i="802"/>
  <c r="O11" i="802"/>
  <c r="C12" i="802"/>
  <c r="D12" i="802"/>
  <c r="E12" i="802"/>
  <c r="F12" i="802"/>
  <c r="G12" i="802"/>
  <c r="J12" i="802"/>
  <c r="L12" i="802"/>
  <c r="M12" i="802"/>
  <c r="N12" i="802"/>
  <c r="O12" i="802"/>
  <c r="C13" i="802"/>
  <c r="D13" i="802"/>
  <c r="E13" i="802"/>
  <c r="F13" i="802"/>
  <c r="G13" i="802"/>
  <c r="I13" i="802"/>
  <c r="J13" i="802"/>
  <c r="L13" i="802"/>
  <c r="M13" i="802"/>
  <c r="N13" i="802"/>
  <c r="O13" i="802"/>
  <c r="O10" i="802"/>
  <c r="N10" i="802"/>
  <c r="M10" i="802"/>
  <c r="L10" i="802"/>
  <c r="J10" i="802"/>
  <c r="I10" i="802"/>
  <c r="G10" i="802"/>
  <c r="F10" i="802"/>
  <c r="E10" i="802"/>
  <c r="D10" i="802"/>
  <c r="C10" i="802"/>
  <c r="I12" i="802" l="1"/>
  <c r="J37" i="802"/>
  <c r="B34" i="802"/>
  <c r="K10" i="802"/>
  <c r="K11" i="802"/>
  <c r="K12" i="802"/>
  <c r="K13" i="802"/>
  <c r="F77" i="802"/>
  <c r="L67" i="802"/>
  <c r="L65" i="802"/>
  <c r="AX63" i="802"/>
  <c r="AW63" i="802"/>
  <c r="AV63" i="802"/>
  <c r="AU63" i="802"/>
  <c r="AT63" i="802"/>
  <c r="AS63" i="802"/>
  <c r="AR63" i="802"/>
  <c r="AQ63" i="802"/>
  <c r="AP63" i="802"/>
  <c r="AO63" i="802"/>
  <c r="AN63" i="802"/>
  <c r="AM63" i="802"/>
  <c r="AL63" i="802"/>
  <c r="AK63" i="802"/>
  <c r="AJ63" i="802"/>
  <c r="AI63" i="802"/>
  <c r="AH63" i="802"/>
  <c r="AG63" i="802"/>
  <c r="AF63" i="802"/>
  <c r="AE63" i="802"/>
  <c r="AD63" i="802"/>
  <c r="AC63" i="802"/>
  <c r="AB63" i="802"/>
  <c r="K58" i="802"/>
  <c r="D56" i="802"/>
  <c r="M43" i="802"/>
  <c r="M42" i="802"/>
  <c r="M41" i="802"/>
  <c r="M40" i="802"/>
  <c r="M39" i="802"/>
  <c r="M35" i="802"/>
  <c r="L35" i="802"/>
  <c r="K35" i="802"/>
  <c r="K44" i="802" s="1"/>
  <c r="Z33" i="802"/>
  <c r="Y33" i="802"/>
  <c r="X33" i="802"/>
  <c r="W33" i="802"/>
  <c r="V33" i="802"/>
  <c r="U33" i="802"/>
  <c r="T33" i="802"/>
  <c r="S33" i="802"/>
  <c r="R33" i="802"/>
  <c r="Z32" i="802"/>
  <c r="Y32" i="802"/>
  <c r="X32" i="802"/>
  <c r="W32" i="802"/>
  <c r="V32" i="802"/>
  <c r="U32" i="802"/>
  <c r="T32" i="802"/>
  <c r="S32" i="802"/>
  <c r="R32" i="802"/>
  <c r="Z31" i="802"/>
  <c r="Y31" i="802"/>
  <c r="X31" i="802"/>
  <c r="W31" i="802"/>
  <c r="V31" i="802"/>
  <c r="U31" i="802"/>
  <c r="T31" i="802"/>
  <c r="S31" i="802"/>
  <c r="R31" i="802"/>
  <c r="Z30" i="802"/>
  <c r="Y30" i="802"/>
  <c r="X30" i="802"/>
  <c r="W30" i="802"/>
  <c r="V30" i="802"/>
  <c r="U30" i="802"/>
  <c r="T30" i="802"/>
  <c r="S30" i="802"/>
  <c r="R30" i="802"/>
  <c r="Z29" i="802"/>
  <c r="Y29" i="802"/>
  <c r="X29" i="802"/>
  <c r="W29" i="802"/>
  <c r="V29" i="802"/>
  <c r="U29" i="802"/>
  <c r="T29" i="802"/>
  <c r="S29" i="802"/>
  <c r="R29" i="802"/>
  <c r="Z28" i="802"/>
  <c r="Y28" i="802"/>
  <c r="X28" i="802"/>
  <c r="W28" i="802"/>
  <c r="V28" i="802"/>
  <c r="U28" i="802"/>
  <c r="T28" i="802"/>
  <c r="S28" i="802"/>
  <c r="R28" i="802"/>
  <c r="Z27" i="802"/>
  <c r="Y27" i="802"/>
  <c r="X27" i="802"/>
  <c r="W27" i="802"/>
  <c r="V27" i="802"/>
  <c r="U27" i="802"/>
  <c r="T27" i="802"/>
  <c r="S27" i="802"/>
  <c r="R27" i="802"/>
  <c r="Z26" i="802"/>
  <c r="Y26" i="802"/>
  <c r="X26" i="802"/>
  <c r="W26" i="802"/>
  <c r="V26" i="802"/>
  <c r="U26" i="802"/>
  <c r="T26" i="802"/>
  <c r="S26" i="802"/>
  <c r="R26" i="802"/>
  <c r="Z25" i="802"/>
  <c r="Y25" i="802"/>
  <c r="X25" i="802"/>
  <c r="W25" i="802"/>
  <c r="V25" i="802"/>
  <c r="U25" i="802"/>
  <c r="T25" i="802"/>
  <c r="S25" i="802"/>
  <c r="R25" i="802"/>
  <c r="Z24" i="802"/>
  <c r="Y24" i="802"/>
  <c r="X24" i="802"/>
  <c r="W24" i="802"/>
  <c r="V24" i="802"/>
  <c r="U24" i="802"/>
  <c r="T24" i="802"/>
  <c r="S24" i="802"/>
  <c r="R24" i="802"/>
  <c r="Z23" i="802"/>
  <c r="Y23" i="802"/>
  <c r="X23" i="802"/>
  <c r="W23" i="802"/>
  <c r="V23" i="802"/>
  <c r="U23" i="802"/>
  <c r="T23" i="802"/>
  <c r="S23" i="802"/>
  <c r="R23" i="802"/>
  <c r="Z22" i="802"/>
  <c r="Y22" i="802"/>
  <c r="X22" i="802"/>
  <c r="W22" i="802"/>
  <c r="V22" i="802"/>
  <c r="U22" i="802"/>
  <c r="T22" i="802"/>
  <c r="S22" i="802"/>
  <c r="R22" i="802"/>
  <c r="Z21" i="802"/>
  <c r="Y21" i="802"/>
  <c r="X21" i="802"/>
  <c r="W21" i="802"/>
  <c r="V21" i="802"/>
  <c r="U21" i="802"/>
  <c r="T21" i="802"/>
  <c r="S21" i="802"/>
  <c r="R21" i="802"/>
  <c r="Z20" i="802"/>
  <c r="Y20" i="802"/>
  <c r="X20" i="802"/>
  <c r="W20" i="802"/>
  <c r="V20" i="802"/>
  <c r="U20" i="802"/>
  <c r="T20" i="802"/>
  <c r="S20" i="802"/>
  <c r="R20" i="802"/>
  <c r="Z19" i="802"/>
  <c r="Y19" i="802"/>
  <c r="X19" i="802"/>
  <c r="W19" i="802"/>
  <c r="V19" i="802"/>
  <c r="U19" i="802"/>
  <c r="T19" i="802"/>
  <c r="S19" i="802"/>
  <c r="R19" i="802"/>
  <c r="Z18" i="802"/>
  <c r="Y18" i="802"/>
  <c r="X18" i="802"/>
  <c r="W18" i="802"/>
  <c r="V18" i="802"/>
  <c r="U18" i="802"/>
  <c r="T18" i="802"/>
  <c r="S18" i="802"/>
  <c r="R18" i="802"/>
  <c r="Z17" i="802"/>
  <c r="Y17" i="802"/>
  <c r="X17" i="802"/>
  <c r="W17" i="802"/>
  <c r="V17" i="802"/>
  <c r="U17" i="802"/>
  <c r="T17" i="802"/>
  <c r="S17" i="802"/>
  <c r="R17" i="802"/>
  <c r="Z16" i="802"/>
  <c r="Y16" i="802"/>
  <c r="X16" i="802"/>
  <c r="W16" i="802"/>
  <c r="V16" i="802"/>
  <c r="U16" i="802"/>
  <c r="T16" i="802"/>
  <c r="S16" i="802"/>
  <c r="R16" i="802"/>
  <c r="Z15" i="802"/>
  <c r="Y15" i="802"/>
  <c r="X15" i="802"/>
  <c r="W15" i="802"/>
  <c r="V15" i="802"/>
  <c r="U15" i="802"/>
  <c r="T15" i="802"/>
  <c r="S15" i="802"/>
  <c r="R15" i="802"/>
  <c r="Z14" i="802"/>
  <c r="Y14" i="802"/>
  <c r="X14" i="802"/>
  <c r="W14" i="802"/>
  <c r="V14" i="802"/>
  <c r="U14" i="802"/>
  <c r="T14" i="802"/>
  <c r="S14" i="802"/>
  <c r="R14" i="802"/>
  <c r="Z13" i="802"/>
  <c r="Y13" i="802"/>
  <c r="X13" i="802"/>
  <c r="W13" i="802"/>
  <c r="V13" i="802"/>
  <c r="U13" i="802"/>
  <c r="T13" i="802"/>
  <c r="S13" i="802"/>
  <c r="R13" i="802"/>
  <c r="Z12" i="802"/>
  <c r="Y12" i="802"/>
  <c r="X12" i="802"/>
  <c r="W12" i="802"/>
  <c r="V12" i="802"/>
  <c r="U12" i="802"/>
  <c r="T12" i="802"/>
  <c r="S12" i="802"/>
  <c r="R12" i="802"/>
  <c r="Z11" i="802"/>
  <c r="Y11" i="802"/>
  <c r="X11" i="802"/>
  <c r="W11" i="802"/>
  <c r="V11" i="802"/>
  <c r="U11" i="802"/>
  <c r="T11" i="802"/>
  <c r="S11" i="802"/>
  <c r="R11" i="802"/>
  <c r="Z10" i="802"/>
  <c r="Y10" i="802"/>
  <c r="X10" i="802"/>
  <c r="W10" i="802"/>
  <c r="V10" i="802"/>
  <c r="U10" i="802"/>
  <c r="T10" i="802"/>
  <c r="S10" i="802"/>
  <c r="R10" i="802"/>
  <c r="G78" i="801"/>
  <c r="M49" i="802" l="1"/>
  <c r="L49" i="802"/>
  <c r="L44" i="802"/>
  <c r="M44" i="802" s="1"/>
  <c r="B67" i="801"/>
  <c r="M49" i="801"/>
  <c r="L49" i="801"/>
  <c r="B46" i="801" l="1"/>
  <c r="M35" i="801"/>
  <c r="L35" i="801"/>
  <c r="K35" i="801"/>
  <c r="C11" i="801"/>
  <c r="D11" i="801"/>
  <c r="E11" i="801"/>
  <c r="F11" i="801"/>
  <c r="G11" i="801"/>
  <c r="I11" i="801"/>
  <c r="J11" i="801"/>
  <c r="L11" i="801"/>
  <c r="M11" i="801"/>
  <c r="N11" i="801"/>
  <c r="O11" i="801"/>
  <c r="C12" i="801"/>
  <c r="D12" i="801"/>
  <c r="E12" i="801"/>
  <c r="F12" i="801"/>
  <c r="G12" i="801"/>
  <c r="I12" i="801"/>
  <c r="J12" i="801"/>
  <c r="L12" i="801"/>
  <c r="M12" i="801"/>
  <c r="N12" i="801"/>
  <c r="O12" i="801"/>
  <c r="C13" i="801"/>
  <c r="D13" i="801"/>
  <c r="E13" i="801"/>
  <c r="F13" i="801"/>
  <c r="G13" i="801"/>
  <c r="I13" i="801"/>
  <c r="J13" i="801"/>
  <c r="L13" i="801"/>
  <c r="M13" i="801"/>
  <c r="N13" i="801"/>
  <c r="O13" i="801"/>
  <c r="C14" i="801"/>
  <c r="D14" i="801"/>
  <c r="E14" i="801"/>
  <c r="F14" i="801"/>
  <c r="G14" i="801"/>
  <c r="I14" i="801"/>
  <c r="J14" i="801"/>
  <c r="L14" i="801"/>
  <c r="M14" i="801"/>
  <c r="N14" i="801"/>
  <c r="O14" i="801"/>
  <c r="C15" i="801"/>
  <c r="D15" i="801"/>
  <c r="E15" i="801"/>
  <c r="F15" i="801"/>
  <c r="G15" i="801"/>
  <c r="I15" i="801"/>
  <c r="J15" i="801"/>
  <c r="L15" i="801"/>
  <c r="M15" i="801"/>
  <c r="N15" i="801"/>
  <c r="O15" i="801"/>
  <c r="C16" i="801"/>
  <c r="D16" i="801"/>
  <c r="E16" i="801"/>
  <c r="F16" i="801"/>
  <c r="G16" i="801"/>
  <c r="I16" i="801"/>
  <c r="J16" i="801"/>
  <c r="L16" i="801"/>
  <c r="M16" i="801"/>
  <c r="N16" i="801"/>
  <c r="O16" i="801"/>
  <c r="C17" i="801"/>
  <c r="D17" i="801"/>
  <c r="E17" i="801"/>
  <c r="F17" i="801"/>
  <c r="G17" i="801"/>
  <c r="I17" i="801"/>
  <c r="J17" i="801"/>
  <c r="L17" i="801"/>
  <c r="M17" i="801"/>
  <c r="N17" i="801"/>
  <c r="O17" i="801"/>
  <c r="O10" i="801"/>
  <c r="N10" i="801"/>
  <c r="M10" i="801"/>
  <c r="L10" i="801"/>
  <c r="J10" i="801"/>
  <c r="I10" i="801"/>
  <c r="G10" i="801"/>
  <c r="F10" i="801"/>
  <c r="E10" i="801"/>
  <c r="D10" i="801"/>
  <c r="C10" i="801"/>
  <c r="J35" i="801" l="1"/>
  <c r="C34" i="801" a="1"/>
  <c r="C34" i="801" s="1"/>
  <c r="J64" i="18"/>
  <c r="J63" i="18"/>
  <c r="D60" i="18" l="1"/>
  <c r="D63" i="18"/>
  <c r="D64" i="18"/>
  <c r="B65" i="801" l="1"/>
  <c r="M39" i="801"/>
  <c r="M34" i="801"/>
  <c r="Z17" i="801"/>
  <c r="Y17" i="801"/>
  <c r="X17" i="801"/>
  <c r="W17" i="801"/>
  <c r="V17" i="801"/>
  <c r="U17" i="801"/>
  <c r="T17" i="801"/>
  <c r="S17" i="801"/>
  <c r="R17" i="801"/>
  <c r="F77" i="801"/>
  <c r="AX63" i="801"/>
  <c r="AW63" i="801"/>
  <c r="AV63" i="801"/>
  <c r="AU63" i="801"/>
  <c r="AT63" i="801"/>
  <c r="AS63" i="801"/>
  <c r="AR63" i="801"/>
  <c r="AQ63" i="801"/>
  <c r="AP63" i="801"/>
  <c r="AO63" i="801"/>
  <c r="AN63" i="801"/>
  <c r="AM63" i="801"/>
  <c r="AL63" i="801"/>
  <c r="AK63" i="801"/>
  <c r="AJ63" i="801"/>
  <c r="AI63" i="801"/>
  <c r="AH63" i="801"/>
  <c r="AG63" i="801"/>
  <c r="AF63" i="801"/>
  <c r="AE63" i="801"/>
  <c r="AD63" i="801"/>
  <c r="AC63" i="801"/>
  <c r="AB63" i="801"/>
  <c r="L63" i="801"/>
  <c r="B63" i="801"/>
  <c r="K58" i="801"/>
  <c r="D56" i="801"/>
  <c r="M43" i="801"/>
  <c r="M42" i="801"/>
  <c r="M41" i="801"/>
  <c r="M40" i="801"/>
  <c r="M37" i="801"/>
  <c r="B34" i="801"/>
  <c r="Z33" i="801"/>
  <c r="Y33" i="801"/>
  <c r="X33" i="801"/>
  <c r="W33" i="801"/>
  <c r="V33" i="801"/>
  <c r="U33" i="801"/>
  <c r="T33" i="801"/>
  <c r="S33" i="801"/>
  <c r="R33" i="801"/>
  <c r="Z32" i="801"/>
  <c r="Y32" i="801"/>
  <c r="X32" i="801"/>
  <c r="W32" i="801"/>
  <c r="V32" i="801"/>
  <c r="U32" i="801"/>
  <c r="T32" i="801"/>
  <c r="S32" i="801"/>
  <c r="R32" i="801"/>
  <c r="Z31" i="801"/>
  <c r="Y31" i="801"/>
  <c r="X31" i="801"/>
  <c r="W31" i="801"/>
  <c r="V31" i="801"/>
  <c r="U31" i="801"/>
  <c r="T31" i="801"/>
  <c r="S31" i="801"/>
  <c r="R31" i="801"/>
  <c r="Z30" i="801"/>
  <c r="Y30" i="801"/>
  <c r="X30" i="801"/>
  <c r="W30" i="801"/>
  <c r="V30" i="801"/>
  <c r="U30" i="801"/>
  <c r="T30" i="801"/>
  <c r="S30" i="801"/>
  <c r="R30" i="801"/>
  <c r="Z29" i="801"/>
  <c r="Y29" i="801"/>
  <c r="X29" i="801"/>
  <c r="W29" i="801"/>
  <c r="V29" i="801"/>
  <c r="U29" i="801"/>
  <c r="T29" i="801"/>
  <c r="S29" i="801"/>
  <c r="R29" i="801"/>
  <c r="Z28" i="801"/>
  <c r="Y28" i="801"/>
  <c r="X28" i="801"/>
  <c r="W28" i="801"/>
  <c r="V28" i="801"/>
  <c r="U28" i="801"/>
  <c r="T28" i="801"/>
  <c r="S28" i="801"/>
  <c r="R28" i="801"/>
  <c r="Z27" i="801"/>
  <c r="Y27" i="801"/>
  <c r="X27" i="801"/>
  <c r="W27" i="801"/>
  <c r="V27" i="801"/>
  <c r="U27" i="801"/>
  <c r="T27" i="801"/>
  <c r="S27" i="801"/>
  <c r="R27" i="801"/>
  <c r="Z26" i="801"/>
  <c r="Y26" i="801"/>
  <c r="X26" i="801"/>
  <c r="W26" i="801"/>
  <c r="V26" i="801"/>
  <c r="U26" i="801"/>
  <c r="T26" i="801"/>
  <c r="S26" i="801"/>
  <c r="R26" i="801"/>
  <c r="Z25" i="801"/>
  <c r="Y25" i="801"/>
  <c r="X25" i="801"/>
  <c r="W25" i="801"/>
  <c r="V25" i="801"/>
  <c r="U25" i="801"/>
  <c r="T25" i="801"/>
  <c r="S25" i="801"/>
  <c r="R25" i="801"/>
  <c r="Z24" i="801"/>
  <c r="Y24" i="801"/>
  <c r="X24" i="801"/>
  <c r="W24" i="801"/>
  <c r="V24" i="801"/>
  <c r="U24" i="801"/>
  <c r="T24" i="801"/>
  <c r="S24" i="801"/>
  <c r="R24" i="801"/>
  <c r="Z23" i="801"/>
  <c r="Y23" i="801"/>
  <c r="X23" i="801"/>
  <c r="W23" i="801"/>
  <c r="V23" i="801"/>
  <c r="U23" i="801"/>
  <c r="T23" i="801"/>
  <c r="S23" i="801"/>
  <c r="R23" i="801"/>
  <c r="Z22" i="801"/>
  <c r="Y22" i="801"/>
  <c r="X22" i="801"/>
  <c r="W22" i="801"/>
  <c r="V22" i="801"/>
  <c r="U22" i="801"/>
  <c r="T22" i="801"/>
  <c r="S22" i="801"/>
  <c r="R22" i="801"/>
  <c r="Z21" i="801"/>
  <c r="Y21" i="801"/>
  <c r="X21" i="801"/>
  <c r="W21" i="801"/>
  <c r="V21" i="801"/>
  <c r="U21" i="801"/>
  <c r="T21" i="801"/>
  <c r="S21" i="801"/>
  <c r="R21" i="801"/>
  <c r="Z20" i="801"/>
  <c r="Y20" i="801"/>
  <c r="X20" i="801"/>
  <c r="W20" i="801"/>
  <c r="V20" i="801"/>
  <c r="U20" i="801"/>
  <c r="T20" i="801"/>
  <c r="S20" i="801"/>
  <c r="R20" i="801"/>
  <c r="Z19" i="801"/>
  <c r="Y19" i="801"/>
  <c r="X19" i="801"/>
  <c r="W19" i="801"/>
  <c r="V19" i="801"/>
  <c r="U19" i="801"/>
  <c r="T19" i="801"/>
  <c r="S19" i="801"/>
  <c r="R19" i="801"/>
  <c r="Z18" i="801"/>
  <c r="Y18" i="801"/>
  <c r="X18" i="801"/>
  <c r="W18" i="801"/>
  <c r="V18" i="801"/>
  <c r="U18" i="801"/>
  <c r="T18" i="801"/>
  <c r="S18" i="801"/>
  <c r="R18" i="801"/>
  <c r="Z16" i="801"/>
  <c r="Y16" i="801"/>
  <c r="X16" i="801"/>
  <c r="W16" i="801"/>
  <c r="V16" i="801"/>
  <c r="U16" i="801"/>
  <c r="T16" i="801"/>
  <c r="S16" i="801"/>
  <c r="R16" i="801"/>
  <c r="Z15" i="801"/>
  <c r="Y15" i="801"/>
  <c r="X15" i="801"/>
  <c r="W15" i="801"/>
  <c r="V15" i="801"/>
  <c r="U15" i="801"/>
  <c r="T15" i="801"/>
  <c r="S15" i="801"/>
  <c r="R15" i="801"/>
  <c r="Z14" i="801"/>
  <c r="Y14" i="801"/>
  <c r="X14" i="801"/>
  <c r="W14" i="801"/>
  <c r="V14" i="801"/>
  <c r="U14" i="801"/>
  <c r="T14" i="801"/>
  <c r="S14" i="801"/>
  <c r="R14" i="801"/>
  <c r="Z13" i="801"/>
  <c r="Y13" i="801"/>
  <c r="X13" i="801"/>
  <c r="W13" i="801"/>
  <c r="V13" i="801"/>
  <c r="U13" i="801"/>
  <c r="T13" i="801"/>
  <c r="S13" i="801"/>
  <c r="R13" i="801"/>
  <c r="Z12" i="801"/>
  <c r="Y12" i="801"/>
  <c r="X12" i="801"/>
  <c r="W12" i="801"/>
  <c r="V12" i="801"/>
  <c r="U12" i="801"/>
  <c r="T12" i="801"/>
  <c r="S12" i="801"/>
  <c r="R12" i="801"/>
  <c r="Z11" i="801"/>
  <c r="Y11" i="801"/>
  <c r="X11" i="801"/>
  <c r="W11" i="801"/>
  <c r="V11" i="801"/>
  <c r="U11" i="801"/>
  <c r="T11" i="801"/>
  <c r="S11" i="801"/>
  <c r="R11" i="801"/>
  <c r="Z10" i="801"/>
  <c r="Y10" i="801"/>
  <c r="X10" i="801"/>
  <c r="W10" i="801"/>
  <c r="V10" i="801"/>
  <c r="U10" i="801"/>
  <c r="T10" i="801"/>
  <c r="S10" i="801"/>
  <c r="R10" i="801"/>
  <c r="K44" i="801" l="1"/>
  <c r="L44" i="801" s="1"/>
  <c r="M44" i="801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I14" i="805" l="1"/>
  <c r="J13" i="805" l="1"/>
  <c r="J14" i="805"/>
  <c r="I15" i="805"/>
  <c r="J12" i="805"/>
  <c r="I13" i="805"/>
  <c r="J15" i="805"/>
  <c r="I12" i="805" l="1"/>
  <c r="J28" i="805" s="1"/>
  <c r="L28" i="805"/>
  <c r="L38" i="805" s="1"/>
  <c r="M38" i="805" s="1"/>
  <c r="M28" i="805"/>
  <c r="I19" i="808" l="1"/>
  <c r="J33" i="808" s="1"/>
  <c r="J19" i="808"/>
  <c r="J13" i="809" l="1"/>
  <c r="J17" i="809"/>
  <c r="N10" i="809"/>
  <c r="N11" i="809"/>
  <c r="N12" i="809"/>
  <c r="N13" i="809"/>
  <c r="N14" i="809"/>
  <c r="N15" i="809"/>
  <c r="N16" i="809"/>
  <c r="N17" i="809"/>
  <c r="C10" i="809"/>
  <c r="K10" i="809"/>
  <c r="C11" i="809"/>
  <c r="K11" i="809"/>
  <c r="C12" i="809"/>
  <c r="K12" i="809"/>
  <c r="C13" i="809"/>
  <c r="K13" i="809"/>
  <c r="C14" i="809"/>
  <c r="K14" i="809"/>
  <c r="C15" i="809"/>
  <c r="K15" i="809"/>
  <c r="C16" i="809"/>
  <c r="K16" i="809"/>
  <c r="C17" i="809"/>
  <c r="I17" i="809"/>
  <c r="K17" i="809"/>
  <c r="I15" i="809"/>
  <c r="J10" i="809"/>
  <c r="J16" i="809"/>
  <c r="J21" i="808"/>
  <c r="J24" i="808"/>
  <c r="I25" i="808"/>
  <c r="J23" i="808"/>
  <c r="J11" i="809" l="1"/>
  <c r="I13" i="809"/>
  <c r="J12" i="809"/>
  <c r="J15" i="809"/>
  <c r="I14" i="809"/>
  <c r="J14" i="809"/>
  <c r="I10" i="809"/>
  <c r="I12" i="809"/>
  <c r="I16" i="809"/>
  <c r="I11" i="809"/>
  <c r="I21" i="808"/>
  <c r="J25" i="808"/>
  <c r="I24" i="808"/>
  <c r="L32" i="809"/>
  <c r="L35" i="808"/>
  <c r="I23" i="808"/>
  <c r="J35" i="808" l="1"/>
  <c r="J33" i="809"/>
  <c r="N15" i="811" l="1"/>
  <c r="N16" i="811"/>
  <c r="N10" i="814" l="1"/>
  <c r="N11" i="814"/>
  <c r="N12" i="814"/>
  <c r="N13" i="814"/>
  <c r="N14" i="814"/>
  <c r="N15" i="814"/>
  <c r="N16" i="814"/>
  <c r="N17" i="814"/>
  <c r="K11" i="814"/>
  <c r="K12" i="814"/>
  <c r="K13" i="814"/>
  <c r="K14" i="814"/>
  <c r="K15" i="814"/>
  <c r="K16" i="814"/>
  <c r="K17" i="814"/>
  <c r="I16" i="814" l="1"/>
  <c r="J16" i="814"/>
  <c r="I17" i="814"/>
  <c r="J17" i="814"/>
  <c r="K10" i="814"/>
  <c r="I12" i="812"/>
  <c r="I13" i="812"/>
  <c r="J14" i="812"/>
  <c r="I14" i="812" l="1"/>
  <c r="J26" i="812" s="1"/>
  <c r="J12" i="814"/>
  <c r="J10" i="814"/>
  <c r="I10" i="814"/>
  <c r="I14" i="814"/>
  <c r="I11" i="814"/>
  <c r="I13" i="814"/>
  <c r="J13" i="814"/>
  <c r="J14" i="814"/>
  <c r="J11" i="814"/>
  <c r="J13" i="812"/>
  <c r="J12" i="812"/>
  <c r="I12" i="814" l="1"/>
  <c r="J15" i="807" l="1"/>
  <c r="J16" i="807"/>
  <c r="J14" i="807"/>
  <c r="M26" i="812" l="1"/>
  <c r="M35" i="811"/>
  <c r="M32" i="810"/>
  <c r="M30" i="809"/>
  <c r="M33" i="808"/>
  <c r="M27" i="807"/>
  <c r="L27" i="807"/>
  <c r="L37" i="807" s="1"/>
  <c r="M37" i="807" s="1"/>
  <c r="I14" i="807"/>
  <c r="I15" i="807"/>
  <c r="I16" i="807"/>
  <c r="J27" i="807" l="1"/>
  <c r="L30" i="809"/>
  <c r="L40" i="809" s="1"/>
  <c r="M40" i="809" s="1"/>
  <c r="L33" i="808"/>
  <c r="L43" i="808" s="1"/>
  <c r="M43" i="808" s="1"/>
  <c r="L26" i="812"/>
  <c r="L36" i="812" s="1"/>
  <c r="M36" i="812" s="1"/>
  <c r="L35" i="811"/>
  <c r="L45" i="811" s="1"/>
  <c r="M45" i="811" s="1"/>
  <c r="L32" i="810"/>
  <c r="L42" i="810" s="1"/>
  <c r="M42" i="810" s="1"/>
  <c r="K10" i="817" l="1"/>
  <c r="K11" i="817"/>
  <c r="K14" i="817" l="1"/>
  <c r="K15" i="817"/>
  <c r="K16" i="817"/>
  <c r="K17" i="817"/>
  <c r="D63" i="19" l="1"/>
  <c r="D60" i="19"/>
  <c r="D64" i="19"/>
  <c r="J63" i="19" l="1"/>
  <c r="J64" i="19" l="1"/>
  <c r="J60" i="18" l="1"/>
  <c r="J60" i="19" l="1"/>
  <c r="G60" i="18" l="1"/>
  <c r="G63" i="18"/>
  <c r="G64" i="18"/>
  <c r="D67" i="801" l="1"/>
  <c r="D65" i="801"/>
  <c r="G63" i="804"/>
  <c r="G58" i="807"/>
  <c r="G65" i="801"/>
  <c r="G63" i="802"/>
  <c r="G55" i="806"/>
  <c r="G58" i="813"/>
  <c r="G55" i="812"/>
  <c r="G53" i="806"/>
  <c r="G62" i="808"/>
  <c r="G63" i="803"/>
  <c r="G57" i="805"/>
  <c r="G66" i="811"/>
  <c r="G48" i="818"/>
  <c r="G67" i="801"/>
  <c r="L67" i="801" s="1"/>
  <c r="C72" i="801" s="1"/>
  <c r="D72" i="801" s="1"/>
  <c r="G56" i="817"/>
  <c r="G58" i="817"/>
  <c r="K67" i="817"/>
  <c r="G65" i="803"/>
  <c r="G56" i="807"/>
  <c r="K56" i="807"/>
  <c r="G64" i="811"/>
  <c r="K64" i="811"/>
  <c r="K76" i="811" s="1"/>
  <c r="G73" i="811"/>
  <c r="D66" i="811"/>
  <c r="D53" i="806"/>
  <c r="L65" i="801" l="1"/>
  <c r="C78" i="801" s="1"/>
  <c r="L53" i="806"/>
  <c r="G63" i="19"/>
  <c r="G60" i="19"/>
  <c r="L66" i="811"/>
  <c r="C73" i="811" s="1"/>
  <c r="K62" i="808"/>
  <c r="K71" i="808" s="1"/>
  <c r="D56" i="807"/>
  <c r="L56" i="807" s="1"/>
  <c r="G65" i="817"/>
  <c r="D56" i="817"/>
  <c r="L56" i="817" s="1"/>
  <c r="C65" i="817" s="1"/>
  <c r="G65" i="812"/>
  <c r="D55" i="812"/>
  <c r="L55" i="812" s="1"/>
  <c r="C65" i="812" s="1"/>
  <c r="G57" i="818"/>
  <c r="D48" i="818"/>
  <c r="L48" i="818" s="1"/>
  <c r="C57" i="818" s="1"/>
  <c r="D58" i="807"/>
  <c r="L58" i="807" s="1"/>
  <c r="G71" i="808"/>
  <c r="D62" i="808"/>
  <c r="L62" i="808" s="1"/>
  <c r="C71" i="808" s="1"/>
  <c r="G66" i="805"/>
  <c r="D57" i="805"/>
  <c r="L57" i="805" s="1"/>
  <c r="C66" i="805" s="1"/>
  <c r="G72" i="804"/>
  <c r="D63" i="804"/>
  <c r="L63" i="804" s="1"/>
  <c r="C72" i="804" s="1"/>
  <c r="G72" i="802"/>
  <c r="D63" i="802"/>
  <c r="L63" i="802" s="1"/>
  <c r="C72" i="802" s="1"/>
  <c r="G67" i="813"/>
  <c r="D58" i="813"/>
  <c r="L58" i="813" s="1"/>
  <c r="C67" i="813" s="1"/>
  <c r="D56" i="19"/>
  <c r="D56" i="18"/>
  <c r="G72" i="801"/>
  <c r="H72" i="801" s="1"/>
  <c r="K58" i="807" l="1"/>
  <c r="K66" i="807" s="1"/>
  <c r="K56" i="817"/>
  <c r="K65" i="817" s="1"/>
  <c r="K63" i="802"/>
  <c r="K72" i="802" s="1"/>
  <c r="K57" i="805"/>
  <c r="K66" i="805" s="1"/>
  <c r="K48" i="818"/>
  <c r="K57" i="818" s="1"/>
  <c r="K65" i="803"/>
  <c r="K75" i="803" s="1"/>
  <c r="K55" i="812"/>
  <c r="K65" i="812" s="1"/>
  <c r="K67" i="801"/>
  <c r="K72" i="801" s="1"/>
  <c r="L72" i="801" s="1"/>
  <c r="K53" i="806"/>
  <c r="K55" i="806"/>
  <c r="K63" i="804"/>
  <c r="K72" i="804" s="1"/>
  <c r="K63" i="803"/>
  <c r="K74" i="803" s="1"/>
  <c r="K66" i="811"/>
  <c r="K73" i="811" s="1"/>
  <c r="K58" i="813"/>
  <c r="K67" i="813" s="1"/>
  <c r="C66" i="807"/>
  <c r="G66" i="807"/>
  <c r="G56" i="18"/>
  <c r="G62" i="18" l="1"/>
  <c r="J59" i="18"/>
  <c r="J57" i="18"/>
  <c r="J58" i="18"/>
  <c r="J61" i="18"/>
  <c r="J56" i="18"/>
  <c r="J62" i="18"/>
  <c r="K78" i="801"/>
  <c r="K65" i="801"/>
  <c r="G57" i="18"/>
  <c r="J61" i="19" l="1"/>
  <c r="J65" i="18"/>
  <c r="G64" i="19" l="1"/>
  <c r="G56" i="19" l="1"/>
  <c r="G57" i="19"/>
  <c r="G62" i="19"/>
  <c r="J62" i="19"/>
  <c r="J56" i="19"/>
  <c r="J65" i="19"/>
  <c r="J58" i="19"/>
  <c r="J59" i="19"/>
  <c r="J57" i="19"/>
  <c r="D57" i="19" l="1"/>
  <c r="D57" i="18" l="1"/>
  <c r="M29" i="817" l="1"/>
  <c r="M21" i="818"/>
  <c r="M28" i="816"/>
  <c r="M28" i="812"/>
  <c r="M29" i="807"/>
  <c r="M36" i="803"/>
  <c r="M32" i="809"/>
  <c r="M27" i="815"/>
  <c r="M34" i="810"/>
  <c r="M26" i="806"/>
  <c r="M36" i="804"/>
  <c r="M35" i="808"/>
  <c r="M31" i="814"/>
  <c r="M30" i="805"/>
  <c r="M36" i="802"/>
  <c r="M31" i="813"/>
  <c r="M36" i="801"/>
  <c r="M37" i="811"/>
  <c r="D58" i="19" l="1"/>
  <c r="D58" i="18"/>
  <c r="D63" i="803"/>
  <c r="L63" i="803" s="1"/>
  <c r="C74" i="803" s="1"/>
  <c r="D65" i="803"/>
  <c r="L65" i="803" s="1"/>
  <c r="C75" i="803" s="1"/>
  <c r="D55" i="806"/>
  <c r="L55" i="806" s="1"/>
  <c r="G67" i="817" l="1"/>
  <c r="D58" i="817"/>
  <c r="L58" i="817" s="1"/>
  <c r="C67" i="817" s="1"/>
  <c r="G76" i="811"/>
  <c r="D64" i="811"/>
  <c r="L64" i="811" s="1"/>
  <c r="C76" i="811" s="1"/>
  <c r="G74" i="803" l="1"/>
  <c r="G75" i="803"/>
  <c r="G58" i="18" l="1"/>
  <c r="G61" i="18"/>
  <c r="G59" i="18"/>
  <c r="G59" i="19" l="1"/>
  <c r="G61" i="19"/>
  <c r="G65" i="18"/>
  <c r="G58" i="19" l="1"/>
  <c r="G65" i="19"/>
  <c r="D62" i="19" l="1"/>
  <c r="D62" i="18"/>
  <c r="D59" i="18"/>
  <c r="D59" i="19"/>
  <c r="D61" i="19" l="1"/>
  <c r="D61" i="18"/>
  <c r="D65" i="19" l="1"/>
  <c r="D65" i="18"/>
  <c r="K10" i="816" l="1"/>
  <c r="K11" i="816"/>
  <c r="K12" i="816"/>
  <c r="K13" i="816"/>
  <c r="K14" i="816"/>
  <c r="K15" i="816"/>
  <c r="K16" i="816"/>
  <c r="K17" i="816"/>
  <c r="K12" i="813"/>
  <c r="K13" i="813"/>
  <c r="K14" i="813"/>
  <c r="K15" i="813"/>
  <c r="K16" i="813"/>
  <c r="K18" i="813"/>
  <c r="K19" i="813"/>
  <c r="K20" i="813"/>
  <c r="K13" i="808"/>
  <c r="K14" i="808"/>
  <c r="K15" i="808"/>
  <c r="K16" i="808"/>
  <c r="K17" i="808"/>
  <c r="K10" i="801"/>
  <c r="K11" i="801"/>
  <c r="K12" i="801"/>
  <c r="K13" i="801"/>
  <c r="K14" i="801"/>
  <c r="K15" i="801"/>
  <c r="K16" i="801"/>
  <c r="K17" i="801"/>
  <c r="K18" i="804"/>
  <c r="K19" i="804"/>
  <c r="K20" i="804"/>
  <c r="K21" i="804"/>
  <c r="K10" i="808"/>
  <c r="K11" i="808"/>
  <c r="K12" i="808"/>
  <c r="C31" i="818" l="1" a="1"/>
  <c r="C31" i="818" s="1"/>
  <c r="C39" i="807" a="1"/>
  <c r="C39" i="807" s="1"/>
  <c r="C24" i="806" a="1"/>
  <c r="C24" i="806" s="1"/>
  <c r="C27" i="807" l="1" a="1"/>
  <c r="C27" i="807" s="1"/>
  <c r="C26" i="812" a="1"/>
  <c r="C26" i="812" s="1"/>
  <c r="J10" i="813" l="1"/>
  <c r="J15" i="814"/>
  <c r="I10" i="813" l="1"/>
  <c r="M29" i="813"/>
  <c r="L29" i="813"/>
  <c r="L39" i="813" s="1"/>
  <c r="M39" i="813" s="1"/>
  <c r="M19" i="818"/>
  <c r="M29" i="818"/>
  <c r="L27" i="817"/>
  <c r="L37" i="817" s="1"/>
  <c r="M37" i="817" s="1"/>
  <c r="M26" i="816"/>
  <c r="M27" i="817"/>
  <c r="L26" i="816"/>
  <c r="L36" i="816" s="1"/>
  <c r="M36" i="816" s="1"/>
  <c r="M25" i="815"/>
  <c r="L25" i="815"/>
  <c r="L35" i="815" s="1"/>
  <c r="M35" i="815" s="1"/>
  <c r="M29" i="814"/>
  <c r="L29" i="814"/>
  <c r="L39" i="814" s="1"/>
  <c r="M39" i="814" s="1"/>
  <c r="I15" i="814"/>
  <c r="J29" i="814" s="1"/>
  <c r="E10" i="805" l="1"/>
  <c r="C34" i="813" l="1"/>
  <c r="C35" i="813"/>
  <c r="C36" i="813"/>
  <c r="C19" i="818" l="1" a="1"/>
  <c r="C19" i="818" s="1"/>
  <c r="C46" i="801" l="1"/>
  <c r="C47" i="801"/>
  <c r="C48" i="801"/>
  <c r="C49" i="801"/>
  <c r="C50" i="801"/>
  <c r="C51" i="801"/>
  <c r="C52" i="801"/>
  <c r="C53" i="801"/>
  <c r="C44" i="802"/>
  <c r="C45" i="802"/>
  <c r="C42" i="802"/>
  <c r="C43" i="802"/>
  <c r="C34" i="804"/>
  <c r="C35" i="804"/>
  <c r="C36" i="804"/>
  <c r="C37" i="804"/>
  <c r="C34" i="802"/>
  <c r="C35" i="802"/>
  <c r="C36" i="802"/>
  <c r="C37" i="802"/>
  <c r="C38" i="802"/>
  <c r="C39" i="802"/>
  <c r="C40" i="802"/>
  <c r="C41" i="802"/>
  <c r="C38" i="804"/>
  <c r="C39" i="804"/>
  <c r="C40" i="804"/>
  <c r="C41" i="804"/>
  <c r="C42" i="804"/>
  <c r="C43" i="804"/>
  <c r="C44" i="804"/>
  <c r="C45" i="804"/>
  <c r="C33" i="808" a="1"/>
  <c r="C33" i="808" s="1"/>
  <c r="C47" i="811" l="1" a="1"/>
  <c r="C47" i="811" s="1"/>
  <c r="C28" i="805" a="1"/>
  <c r="C28" i="805" s="1"/>
  <c r="C29" i="813" l="1"/>
  <c r="C30" i="813"/>
  <c r="C31" i="813"/>
  <c r="C32" i="813"/>
  <c r="C33" i="813"/>
  <c r="C27" i="817" l="1" a="1"/>
  <c r="C27" i="8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2A55F6C0-5FE3-462D-80F0-9AC0E071DD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59BF595-AF9C-43C1-A2FC-B22AA2E1CC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1A85212-1D00-4687-802C-F3E1D600C3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53232AA-D5F2-4394-A948-48D8AD041B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1DCCB90-8CA7-43C5-90C3-93D138FE72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4316351-710E-4473-B5E9-2A05482107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A325FEE-65CC-4DF7-92E7-F4D5301A33D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BBC523A-7577-4468-8A83-A466514BDF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54E0060-657E-4101-947C-BF75091080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0D4B77E-FCDE-4B09-8F0E-816DE9447F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FDF8BBB-C313-4699-90E1-8212B39CD7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206F1D9-FD08-4683-AF0D-FBB16C70DC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002CF9F-3D78-4BA8-85EC-3DAC0F6D98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D33FF55-C328-4040-91AF-BB8FC4455A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1F98F7C-BB44-484F-9703-99827E0EA2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CAE4017-365A-499E-8C54-C53DDF356C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4BFFCE3-B46F-4AFB-8441-080D5D2A72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A144657-C4DE-4E87-BCAF-BE0BB792AA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4F4B4D0A-A57E-40BC-AA29-EC47B1B7D6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D164F60-EB5A-44D3-8078-6A961871183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ED573D2-9AD2-4ED4-96AC-FA08504118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0ED27C77-8BAF-4154-9B1A-DC8915822A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F68EB10-C397-4F07-83D1-99DC209231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928D1CD-9C3F-4BB8-9DEB-893E404940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D3BF110-4E96-4E17-9069-D700CC5DDC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E79ABB5-B6FB-475F-B91B-E7C6789E48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D6F951D-5307-40C5-8E88-7858BBC12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FFA5741-8822-47DF-9AB6-B2991DBDC5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99A21E4-F3BD-4024-941C-10A7497F11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537765C9-61C3-437D-BEBD-8DEB543B43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0B32B7BF-CC3A-4131-9D02-47233535E2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15800D93-64F8-4146-B78B-8154852220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8FC260A-E8ED-4D9E-8FA6-D82D8DC072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C09FAA7-94A8-4D38-8E9C-734F4ADA750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C732ABF-C1DE-4CFB-9EE7-8E35AEE05B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EAFD1B6-1130-4CB8-86B1-CD3BB52BFF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9B480B-D24B-4312-B158-2F97FC52BD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AF88B95-8EC2-4D72-B3F7-FAE4AB11ED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9CD2F45-BCC9-40F1-B882-F7CDA54037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5AFE6420-6FCC-4763-9422-591B1969058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7A42AC9-D896-4CB6-ADE5-E5A1AF2AA7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2D3AA65B-FA5C-4C9B-8820-859FC38F6B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BB05442-43FC-49A7-9603-697FA2E54A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C488C50-ABA4-4C48-9D62-F4FC7ACAB3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6F577CE-29D9-4D89-BEC6-BA92876510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85575F7-C43E-41E2-A72C-EC57FC3E05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C2978A5-B748-49BD-8BC6-855C47CAEB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1C7FDFC-9DA8-4401-82F9-EDF512F010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C4E983D-1CCD-48BD-BAB0-CB1FDC8544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F5DB9563-A4CD-4790-900D-59936D1C3E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2CE882B6-8500-4D9C-BABC-33F1E15D42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AC5BBAC7-8688-4FB9-AE08-B73974C9CC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45DF538-F119-4A89-A932-5CF236E146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03B85E7-BCFB-48FD-B43F-36AC37412D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01AEFBA-5F88-426E-BB9A-F8381DF906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97AD490-F662-4793-8FE0-C533498814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373ABA1-6684-4779-84B8-25C7033528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5E66A63-F264-47D0-BE91-EEDDDB524B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7B621A9-8B5C-4C9E-A372-5453B1B5AF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F44E457A-39AD-469C-9F15-500C424ACD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2F6FDE04-B18F-4043-9623-5192C693B7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336FD81D-5E6C-4DBF-B782-AA881FFD89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7AB0DF0-AB24-4AB8-85DF-48D97F4D57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329C1BA-9361-4F56-96A0-92D5B69D18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2592A3B-62DC-47DD-8226-142E322B22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046053B-5DC2-48CD-A290-79A0A6C3E1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D26D5DA-99E2-4858-A8EA-FB347AC18C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A09419C-38D1-413E-A706-2303521A53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4F6397A-B710-4651-BD1F-F1FA9CF6EF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18A8542-4736-4178-B3C3-E3A062780A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00463106-6C62-4C1A-8B90-B5D3F4D2BB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DE6C74D6-C094-46FD-9992-EA93B88122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3D555F0-871C-43EE-9131-5ADA32924D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605568-B3AB-4F46-B2C6-30AC8E7ABA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9B0388E-DF31-497E-BA2E-3B02A2FD4E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EC2CE25-3012-49BB-976A-295F880E7A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37EDA80-B196-49D4-B93A-7ADB1A9FD0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237A5E5-2897-4395-903C-A4883D3525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306976A-A473-4815-8940-9622B6639F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5CA66E72-65D8-45DC-B493-8B129C09E9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9752BD8-A7E0-45DB-BAFE-FAABAA53C4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D86D73A-7609-452F-A8AE-93D7C00474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3D682B8-8A46-4087-8357-8DA55D331E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14BD759-544F-42A5-BF8D-61A1DAC9FF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84CE9FA-0F17-43EA-A888-D80FABF654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5109BD8-9817-46D4-8B5B-5AF2A62F34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3813E68-7C06-4B5C-92D7-FDF71C7116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207CD1D-DDC8-46CD-BF00-7B10627925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FDF5906-45AC-4AF6-A2A1-446A67E381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3B9453D-0BF4-4AC4-99F9-59EB3B0BDE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C7CD2BB-92AA-407D-B519-9B660D8BD03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965B47F-E6E6-437C-8C97-084D36F061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FDA5F43-EDAD-4059-9F6E-8FC4C0AAC0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EC46BF1-7524-473F-84D5-DB0C623BD9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534DC62-5354-41FE-8B96-68FA380C43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EC57CAC-226D-4F20-BE58-DFF8C9FD5A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2DBD32A-877C-41F1-B701-9EEF808B7C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D4389FF-2F47-407A-B36F-2740182008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7558BC-1B61-454E-8D8D-C51C22F02E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041544D-DCF9-40D2-A634-6431F5AA49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AEC44AA-A912-4C50-AA0A-C370B781C5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868202B-37B5-4ECA-BEF0-CEE41AB9B5E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08520E9-A96C-41FC-AB05-5A8D0E3399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531AD96-A3B0-4BDC-8CFF-5EB19A7EEB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E6BBFBA-EBE0-4E44-93B3-32776B8A96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12CDA0A-F90D-4B77-9BFD-9375CDCBB6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0A76AA2-6A96-41A3-8126-1742EA7CE1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450AF28-86E8-4098-B167-21028A42BB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CA09D29-3B18-4831-BAED-C83D4EB32E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1048A99-AA4F-4C16-AF56-4CABE2C996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AD0515F-EE69-475F-A3CA-C0FEDE0F9B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842BEB6-67F9-47AF-8DF3-7873D35AA4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84330C9-EFEB-4DA2-B4F8-A09C6E7DCC7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A0EF642-61F1-4D52-9DCD-7189C9B554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D8A5B6A-9AC9-47EA-A18A-C6A7031A59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5E94C66-3E9A-4366-B7B9-4897AA8C25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E77E1C6-4A17-486F-8AA7-DE4554A45B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AFF2A29-DF52-4551-8B09-9097B28C15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0647745-CEA5-4F57-A9B0-38BC036D2A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D988FE2-FAF9-4992-8F91-68F2785D05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A0E06BA-B5D4-4F0B-BA3C-C1B1250CE9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2012DC1-F612-4935-8B0F-C60945AE61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4D734BE-CB45-4AFD-9543-B1395FC36E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0FBDBB8-5412-457D-9E53-9B939D9FDE5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EB5B5FC-1072-4DCF-9EEF-FBF582CF78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9ED57D4-5C2A-4DEB-9080-EFAF2A12CF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4AC003D-96EC-4546-A368-5AC27ADD4A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D93F786-0160-419B-8317-2F66E6043A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71C754D-6409-4C83-BAA2-390AC57C10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15C7E60-CB62-445F-8581-5DC17C361C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C6C562C-F507-4845-84AC-D32F130B63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FF8E4A7-3453-42D0-AAFA-387F0BE4DB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CF88DE3-6939-45BD-A816-BBF0D619BF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C974293-5E9C-488F-B945-90D3B689E8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DA9BA54-1345-4F01-B14C-D2C43D17159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65E9128-10D0-43AC-8E6F-5569322615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4329CA7-3C27-455F-87E2-2280B28B62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5C5530D-248A-420F-89D7-6E31BE5A02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9241E12-0F66-4326-91DB-0A4E9B5E9A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DAF0487-853E-4A0B-A3B6-D1DB549534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2D49B5A-19DD-4D6F-AC00-F7311C763A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22F52D5-FF98-4B92-B927-DA0AA00318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87213FB-C819-4074-9D12-8A55731EC1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2D5A19A-DBC2-4FD3-82F5-3487B78A2A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124C497-2506-49D7-9779-93A8352A06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B7A48C3-E08C-49E2-A534-4560AD5CB0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3237669-8D7A-4B97-A208-50ADC8D7A1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8CCB2A4-0C49-491B-9754-C70868E7CB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FAC9471-8666-40FC-95B8-EE0921AAE8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DD98F60-0563-4DE7-BC49-5BCEE5B2D2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431452A-A2DF-4FD4-B5E1-BA12F6D7AB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4463819-6D56-4A7A-92D8-69583604CE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6EE528A-5436-4242-A867-FBE9DE369B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03B7CDB-5B14-47D3-B85F-477F601980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7CC059B-55B3-4DA3-92E4-E10FA45F8F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27E8855-DD23-4F86-843E-5952F4E540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8574E632-9C02-4B9B-8919-9C2448A081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576AE95-A495-4AFA-85E8-5244602644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7DCAE03-4D51-4FDB-AE69-7188EF76D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E4517AE-4F7C-40E4-82CB-130EB25B0F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1E0C3C6-48D0-4194-9D21-753113281C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F3EA5F8-758E-44A8-ABAF-1D7CA704C0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FCFEF17-ED86-4070-8A97-A9CD5068DF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3C3544D-D74B-4063-8342-BBE5369450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8C09D17-3E66-4F50-AF2F-D407E5E56C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83D0514-051A-4054-A7BE-1B49E703E0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57182A7-3DDE-4C58-A693-F1D7063031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D2C8D01-3958-43C8-8B05-40E5850315B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669C001-566A-40D8-8671-FDFADCB722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D6B772C-2915-4C15-91D5-A13FC5336F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40F2B6A-0B6D-45FE-B4B3-CAA522D5BE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6AC588B-39D1-4425-BB99-0B7AE82E37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159E9E4-3B6D-4173-81F3-1879358AAD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DFBF013-4A22-43C7-B0A7-C9DADBBC52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D911775-4F55-44F4-90AC-2EAEB83FA1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6422414-28A4-48B3-A6B5-2DC86AAB5A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503A64C-97A8-456C-995A-85FE33EE7D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50FF01D-7A51-4197-B79C-B9399D656B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DBBDE78-CFC0-4D1A-BBC8-7A23B77115C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D1F4E49-8A8B-41EC-8B82-7274F94D73B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63F1519-4BE3-4A38-9C53-2383BB12AA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0D4DE7B-A38C-44EF-AB7A-6186A183A3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4987A09-1844-4C85-AF00-5B3BF527BB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A93EEB4-7E3A-4FA8-B919-B770CC58BC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00CAE11-1B87-482F-9B84-27F00C1559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582781B-32ED-4B95-96DD-FFE1F1D262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54B0BD4-AB5E-4F58-B116-A5A0F8C3BF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FE8A585-569D-414A-B3B8-26F2E2A94F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318D64D-31B1-4959-AF39-DF6601285E7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B47E147-7F37-40D8-9C23-3BDD831E9A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38CAA8C-8DA7-4C32-957B-BF8D54F6C5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L19" authorId="1" shapeId="0" xr:uid="{909C7066-62DB-4714-B378-DEA1C9989DD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96.6- new</t>
        </r>
      </text>
    </comment>
    <comment ref="L29" authorId="1" shapeId="0" xr:uid="{69F6BAA0-F544-44DF-BDE7-3FA8F0010AC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97-new (does not affect YTD)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<sst xmlns="http://schemas.openxmlformats.org/spreadsheetml/2006/main" count="2839" uniqueCount="205">
  <si>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</si>
  <si>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</si>
  <si>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</si>
  <si>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</si>
  <si>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</si>
  <si>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</si>
  <si>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</si>
  <si>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</si>
  <si>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</si>
  <si>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</si>
  <si>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</si>
  <si>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</si>
  <si>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</si>
  <si>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</si>
  <si>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</si>
  <si>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</si>
  <si>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</si>
  <si>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</si>
  <si>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</si>
  <si>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</si>
  <si>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</si>
  <si>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</si>
  <si>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</si>
  <si>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</si>
  <si>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</si>
  <si>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</si>
  <si>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</si>
  <si>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</si>
  <si>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</si>
  <si>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</si>
  <si>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</si>
  <si>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</si>
  <si>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</si>
  <si>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</si>
  <si>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</si>
  <si>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</si>
  <si>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</si>
  <si>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</si>
  <si>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</si>
  <si>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</si>
  <si>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</si>
  <si>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</si>
  <si>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</si>
  <si>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</si>
  <si>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</si>
  <si>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</si>
  <si>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</si>
  <si>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</si>
  <si>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</si>
  <si>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</si>
  <si>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</si>
  <si>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</si>
  <si>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</si>
  <si>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</si>
  <si>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</si>
  <si>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</si>
  <si>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</si>
  <si>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</si>
  <si>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</si>
  <si>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</si>
  <si>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</si>
  <si>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</si>
  <si>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</si>
  <si>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</si>
  <si>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</si>
  <si>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</si>
  <si>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</si>
  <si>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</si>
  <si>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</si>
  <si>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</si>
  <si>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</si>
  <si>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</si>
  <si>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</si>
  <si>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</si>
  <si>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</si>
  <si>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</si>
  <si>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</si>
  <si>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</si>
  <si>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</si>
  <si>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</si>
  <si>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</si>
  <si>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</si>
  <si>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</si>
  <si>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</si>
  <si>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</si>
  <si>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</si>
  <si>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</si>
  <si>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</si>
  <si>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</si>
  <si>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</si>
  <si>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</si>
  <si>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</si>
  <si>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</si>
  <si>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</si>
  <si>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</si>
  <si>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</si>
  <si>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</si>
  <si>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</si>
  <si>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</si>
  <si>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</si>
  <si>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</si>
  <si>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</si>
  <si>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</si>
  <si>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</si>
  <si>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</si>
  <si>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</si>
  <si>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</si>
  <si>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</si>
  <si>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</si>
  <si>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</si>
  <si>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</si>
  <si>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</si>
  <si>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</si>
  <si>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</si>
  <si>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</si>
  <si>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</si>
  <si>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</si>
  <si>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</si>
  <si>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</si>
  <si>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</si>
  <si>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</si>
  <si>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</si>
  <si>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</si>
  <si>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</si>
  <si>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</si>
  <si>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</si>
  <si>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</si>
  <si>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</si>
  <si>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</si>
  <si>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</si>
  <si>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</si>
  <si>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</si>
  <si>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</si>
  <si>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</si>
  <si>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</si>
  <si>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</si>
  <si>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</si>
  <si>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</si>
  <si>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</si>
  <si>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</si>
  <si>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</si>
  <si>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</si>
  <si>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</si>
  <si>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</si>
  <si>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</si>
  <si>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</si>
  <si>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</si>
  <si>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</si>
  <si>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</si>
  <si>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</si>
  <si>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</si>
  <si>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</si>
  <si>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</si>
  <si>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</si>
  <si>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</si>
  <si>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</si>
  <si>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</si>
  <si>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</si>
  <si>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</si>
  <si>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</si>
  <si>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</si>
  <si>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</si>
  <si>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</si>
  <si>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NO SBF</t>
  </si>
  <si>
    <t>IPA</t>
  </si>
  <si>
    <t>APA</t>
  </si>
  <si>
    <t>Extr. Rec (77.9%)</t>
  </si>
  <si>
    <t>K.Hosten</t>
  </si>
  <si>
    <t>NO SBF- BBT2 REFILTERED</t>
  </si>
  <si>
    <t>1 SBF</t>
  </si>
  <si>
    <t>D. Emery</t>
  </si>
  <si>
    <t xml:space="preserve"> MALT LOT: Lot #41 /42</t>
  </si>
  <si>
    <t>LOT WORT COLOUR: 3.0/3.3</t>
  </si>
  <si>
    <t>LOT WORT COLOUR: 3.3</t>
  </si>
  <si>
    <t xml:space="preserve"> MALT LOT: Lot #42</t>
  </si>
  <si>
    <t>K. Neptune</t>
  </si>
  <si>
    <t>AG Trial</t>
  </si>
  <si>
    <t xml:space="preserve">G. Mason </t>
  </si>
  <si>
    <t>1 BREAK</t>
  </si>
  <si>
    <t xml:space="preserve">D. Emery </t>
  </si>
  <si>
    <t xml:space="preserve">Compensation brew </t>
  </si>
  <si>
    <t>15mins extra boil</t>
  </si>
  <si>
    <t>2 BREAKS</t>
  </si>
  <si>
    <t>10mins extra boil-Skip issues</t>
  </si>
  <si>
    <t>T. Charles</t>
  </si>
  <si>
    <t>40mins extra boil</t>
  </si>
  <si>
    <t>motor from mill jam while mashing</t>
  </si>
  <si>
    <t>mashing issues( grist conveyor line problem)</t>
  </si>
  <si>
    <t xml:space="preserve">Kettle up in pre-run tank </t>
  </si>
  <si>
    <t>Not lautering as should (multiple deep cuts @ 9hls)</t>
  </si>
  <si>
    <t>4 BREAKS</t>
  </si>
  <si>
    <t>Brews Achieved (16th)</t>
  </si>
  <si>
    <t xml:space="preserve">slow heat up </t>
  </si>
  <si>
    <t>10mins extra boil</t>
  </si>
  <si>
    <t>Brews Achieved</t>
  </si>
  <si>
    <t>1 BREAK- only 39hls from FV1</t>
  </si>
  <si>
    <t>K. Hosten</t>
  </si>
  <si>
    <t>Brews Achieved (22nd)</t>
  </si>
  <si>
    <t>Brews Achieved (23rd)</t>
  </si>
  <si>
    <t xml:space="preserve">Waiting on skip  </t>
  </si>
  <si>
    <t xml:space="preserve"> MALT LOT: Lot #44</t>
  </si>
  <si>
    <t>LOT WORT COLOUR: 3.5</t>
  </si>
  <si>
    <t>Kettle up in pre-run tank</t>
  </si>
  <si>
    <t>low steam pressure</t>
  </si>
  <si>
    <t>G. 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</si>
</sst>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1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5" fillId="0" borderId="13" xfId="3" applyFont="1" applyBorder="1" applyAlignment="1">
      <alignment horizontal="center" vertical="center"/>
    </xf>
    <xf numFmtId="0" fontId="22" fillId="0" borderId="1" xfId="3" applyNumberFormat="1" applyFont="1" applyBorder="1" applyAlignment="1">
      <alignment vertical="top"/>
    </xf>
    <xf numFmtId="166" fontId="9" fillId="23" borderId="1" xfId="3" applyNumberFormat="1" applyFont="1" applyFill="1" applyBorder="1" applyAlignment="1">
      <alignment horizontal="center" vertical="center"/>
    </xf>
    <xf numFmtId="165" fontId="8" fillId="23" borderId="2" xfId="3" applyFont="1" applyFill="1" applyBorder="1" applyAlignment="1">
      <alignment vertical="center"/>
    </xf>
    <xf numFmtId="165" fontId="13" fillId="0" borderId="13" xfId="3" applyFont="1" applyBorder="1" applyAlignment="1">
      <alignment horizontal="center"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2" fillId="0" borderId="88" xfId="3" applyFont="1" applyBorder="1" applyAlignment="1">
      <alignment vertical="center"/>
    </xf>
    <xf numFmtId="165" fontId="86" fillId="0" borderId="88" xfId="3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22" xfId="3" applyFont="1" applyBorder="1" applyAlignment="1">
      <alignment horizontal="center" vertical="center" wrapText="1"/>
    </xf>
    <xf numFmtId="2" fontId="31" fillId="0" borderId="84" xfId="3" applyNumberFormat="1" applyFont="1" applyBorder="1" applyAlignment="1">
      <alignment horizontal="center" vertical="center"/>
    </xf>
    <xf numFmtId="166" fontId="79" fillId="0" borderId="1" xfId="3" applyNumberFormat="1" applyFont="1" applyBorder="1" applyAlignment="1">
      <alignment horizontal="center" vertical="center"/>
    </xf>
    <xf numFmtId="2" fontId="9" fillId="0" borderId="85" xfId="3" applyNumberFormat="1" applyFont="1" applyBorder="1" applyAlignment="1">
      <alignment horizontal="center" vertical="center"/>
    </xf>
    <xf numFmtId="165" fontId="9" fillId="0" borderId="18" xfId="3" applyFont="1" applyBorder="1" applyAlignment="1">
      <alignment horizontal="center" vertical="center" wrapText="1"/>
    </xf>
    <xf numFmtId="2" fontId="79" fillId="0" borderId="85" xfId="3" applyNumberFormat="1" applyFont="1" applyBorder="1" applyAlignment="1">
      <alignment horizontal="center" vertical="center"/>
    </xf>
    <xf numFmtId="165" fontId="26" fillId="0" borderId="89" xfId="3" applyFont="1" applyBorder="1" applyAlignment="1">
      <alignment horizontal="left" vertical="center"/>
    </xf>
    <xf numFmtId="165" fontId="28" fillId="0" borderId="13" xfId="3" applyFont="1" applyBorder="1" applyAlignment="1">
      <alignment horizontal="center" vertical="center"/>
    </xf>
    <xf numFmtId="165" fontId="82" fillId="0" borderId="88" xfId="3" applyFont="1" applyBorder="1" applyAlignment="1">
      <alignment horizontal="center" vertical="center"/>
    </xf>
    <xf numFmtId="165" fontId="23" fillId="0" borderId="13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6" fontId="21" fillId="0" borderId="1" xfId="3" applyNumberFormat="1" applyFont="1" applyBorder="1" applyAlignment="1">
      <alignment horizontal="center" vertical="center"/>
    </xf>
    <xf numFmtId="166" fontId="21" fillId="7" borderId="1" xfId="3" applyNumberFormat="1" applyFont="1" applyFill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20" fillId="0" borderId="13" xfId="3" applyFont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9" fillId="7" borderId="10" xfId="3" applyFont="1" applyFill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left" vertical="center" wrapText="1"/>
    </xf>
    <xf numFmtId="165" fontId="31" fillId="0" borderId="13" xfId="3" applyFont="1" applyBorder="1" applyAlignment="1">
      <alignment horizontal="left"/>
    </xf>
    <xf numFmtId="165" fontId="87" fillId="0" borderId="13" xfId="3" applyFont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2" fontId="31" fillId="0" borderId="32" xfId="4" applyNumberFormat="1" applyFont="1" applyFill="1" applyBorder="1" applyAlignment="1">
      <alignment horizontal="center" vertical="center"/>
    </xf>
    <xf numFmtId="166" fontId="9" fillId="7" borderId="34" xfId="3" applyNumberFormat="1" applyFont="1" applyFill="1" applyBorder="1"/>
    <xf numFmtId="166" fontId="9" fillId="7" borderId="14" xfId="3" applyNumberFormat="1" applyFont="1" applyFill="1" applyBorder="1" applyAlignment="1">
      <alignment horizontal="right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0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9" fillId="0" borderId="1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13" fillId="0" borderId="23" xfId="3" applyFont="1" applyBorder="1" applyAlignment="1">
      <alignment horizontal="center" vertical="center"/>
    </xf>
    <xf numFmtId="165" fontId="13" fillId="0" borderId="27" xfId="3" applyFont="1" applyBorder="1" applyAlignment="1">
      <alignment horizontal="center" vertical="center"/>
    </xf>
    <xf numFmtId="165" fontId="13" fillId="0" borderId="35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6" fontId="9" fillId="7" borderId="83" xfId="3" applyNumberFormat="1" applyFont="1" applyFill="1" applyBorder="1" applyAlignment="1">
      <alignment horizontal="center" vertical="center"/>
    </xf>
    <xf numFmtId="166" fontId="9" fillId="7" borderId="19" xfId="3" applyNumberFormat="1" applyFont="1" applyFill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28" fillId="0" borderId="23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23" fillId="0" borderId="66" xfId="3" applyFont="1" applyBorder="1" applyAlignment="1">
      <alignment horizontal="center" vertical="center"/>
    </xf>
    <xf numFmtId="165" fontId="23" fillId="0" borderId="27" xfId="3" applyFont="1" applyBorder="1" applyAlignment="1">
      <alignment horizontal="center" vertical="center"/>
    </xf>
    <xf numFmtId="165" fontId="23" fillId="0" borderId="35" xfId="3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85" fillId="0" borderId="66" xfId="3" applyFont="1" applyBorder="1" applyAlignment="1">
      <alignment horizontal="center" vertical="center"/>
    </xf>
    <xf numFmtId="165" fontId="85" fillId="0" borderId="27" xfId="3" applyFont="1" applyBorder="1" applyAlignment="1">
      <alignment horizontal="center" vertical="center"/>
    </xf>
    <xf numFmtId="165" fontId="85" fillId="0" borderId="35" xfId="3" applyFont="1" applyBorder="1" applyAlignment="1">
      <alignment horizontal="center" vertical="center"/>
    </xf>
    <xf numFmtId="165" fontId="80" fillId="0" borderId="66" xfId="3" applyFont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79" fillId="0" borderId="66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5" fontId="9" fillId="0" borderId="27" xfId="3" applyFont="1" applyBorder="1" applyAlignment="1">
      <alignment horizontal="center" vertical="center" wrapText="1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051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63" Type="http://schemas.openxmlformats.org/officeDocument/2006/relationships/externalLink" Target="externalLinks/externalLink40.xml"/><Relationship Id="rId68" Type="http://schemas.openxmlformats.org/officeDocument/2006/relationships/externalLink" Target="externalLinks/externalLink4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30.xml"/><Relationship Id="rId58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43.xml"/><Relationship Id="rId74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41.xml"/><Relationship Id="rId69" Type="http://schemas.openxmlformats.org/officeDocument/2006/relationships/externalLink" Target="externalLinks/externalLink4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8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59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39.xml"/><Relationship Id="rId70" Type="http://schemas.openxmlformats.org/officeDocument/2006/relationships/externalLink" Target="externalLinks/externalLink47.xml"/><Relationship Id="rId75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3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29.xml"/><Relationship Id="rId60" Type="http://schemas.openxmlformats.org/officeDocument/2006/relationships/externalLink" Target="externalLinks/externalLink37.xml"/><Relationship Id="rId65" Type="http://schemas.openxmlformats.org/officeDocument/2006/relationships/externalLink" Target="externalLinks/externalLink42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11.xml"/><Relationship Id="rId50" Type="http://schemas.openxmlformats.org/officeDocument/2006/relationships/externalLink" Target="externalLinks/externalLink27.xml"/><Relationship Id="rId55" Type="http://schemas.openxmlformats.org/officeDocument/2006/relationships/externalLink" Target="externalLinks/externalLink32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ne%20'25%20Daily%20Process%20Report%202025.xlsx" TargetMode="External"/><Relationship Id="rId1" Type="http://schemas.openxmlformats.org/officeDocument/2006/relationships/externalLinkPath" Target="June%20'25%20Daily%20Process%20Report%20202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uly%20'25%20Daily%20Process%20Report%202025.xlsx" TargetMode="External"/><Relationship Id="rId1" Type="http://schemas.openxmlformats.org/officeDocument/2006/relationships/externalLinkPath" Target="July%20'25%20Daily%20Process%20Report%202025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August_2025.xls" TargetMode="External"/><Relationship Id="rId1" Type="http://schemas.openxmlformats.org/officeDocument/2006/relationships/externalLinkPath" Target="/Operations/Brewing/Reports%20Local/Losses%202025/August_202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August '25 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/>
      <sheetData sheetId="1"/>
      <sheetData sheetId="2"/>
      <sheetData sheetId="3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S242">
            <v>95.024171381581283</v>
          </cell>
        </row>
        <row r="243">
          <cell r="AS243">
            <v>95.603326677587518</v>
          </cell>
        </row>
        <row r="244">
          <cell r="AS244">
            <v>97.891004589246791</v>
          </cell>
        </row>
        <row r="245">
          <cell r="AS245">
            <v>96.127502387330068</v>
          </cell>
        </row>
        <row r="246">
          <cell r="AS246">
            <v>96.919863670702682</v>
          </cell>
        </row>
        <row r="247">
          <cell r="AS247">
            <v>98.103519034372525</v>
          </cell>
        </row>
        <row r="248">
          <cell r="AS248">
            <v>98.807821942068728</v>
          </cell>
        </row>
        <row r="249">
          <cell r="AS249">
            <v>97.839117805381775</v>
          </cell>
        </row>
        <row r="250">
          <cell r="AS250">
            <v>97.502548221829173</v>
          </cell>
        </row>
        <row r="251">
          <cell r="AS251">
            <v>97.980878408450792</v>
          </cell>
        </row>
        <row r="252">
          <cell r="AS252">
            <v>99.44483005891739</v>
          </cell>
        </row>
        <row r="253">
          <cell r="AS253">
            <v>98.558368850936759</v>
          </cell>
        </row>
        <row r="254">
          <cell r="AS254">
            <v>94.844423775739514</v>
          </cell>
        </row>
        <row r="255">
          <cell r="AS255">
            <v>98.490515164685618</v>
          </cell>
        </row>
        <row r="256">
          <cell r="AS256">
            <v>98.197131955684057</v>
          </cell>
        </row>
        <row r="257">
          <cell r="AS257">
            <v>97.136028708589762</v>
          </cell>
        </row>
        <row r="258">
          <cell r="AS258">
            <v>98.349989106466737</v>
          </cell>
        </row>
        <row r="259">
          <cell r="AS259">
            <v>98.882895456577998</v>
          </cell>
        </row>
        <row r="260">
          <cell r="AS260">
            <v>97.980878408450792</v>
          </cell>
        </row>
        <row r="261">
          <cell r="AS261">
            <v>98.816500310647015</v>
          </cell>
        </row>
        <row r="262">
          <cell r="AS262">
            <v>95.242586332157259</v>
          </cell>
        </row>
        <row r="263">
          <cell r="AS263">
            <v>97.297864805711271</v>
          </cell>
        </row>
        <row r="264">
          <cell r="AS264">
            <v>98.830948870010644</v>
          </cell>
        </row>
        <row r="265">
          <cell r="AS265">
            <v>96.960481671797865</v>
          </cell>
        </row>
        <row r="266">
          <cell r="AS266">
            <v>98.920822376514678</v>
          </cell>
        </row>
        <row r="267">
          <cell r="AS267">
            <v>95.218043199829722</v>
          </cell>
        </row>
        <row r="268">
          <cell r="AS268">
            <v>102.91252288333963</v>
          </cell>
        </row>
        <row r="269">
          <cell r="AS269">
            <v>99.840554631081304</v>
          </cell>
        </row>
        <row r="270">
          <cell r="AS270">
            <v>95.545616911541998</v>
          </cell>
        </row>
        <row r="271">
          <cell r="AS271">
            <v>99.49940457072266</v>
          </cell>
        </row>
        <row r="272">
          <cell r="AS272">
            <v>97.046216145736423</v>
          </cell>
        </row>
        <row r="273">
          <cell r="AS273">
            <v>102.38078795174074</v>
          </cell>
        </row>
        <row r="275">
          <cell r="AS275">
            <v>100.83968282378231</v>
          </cell>
        </row>
        <row r="276">
          <cell r="AS276">
            <v>98.000691311781651</v>
          </cell>
        </row>
        <row r="277">
          <cell r="AS277">
            <v>95.275370361295259</v>
          </cell>
        </row>
        <row r="278">
          <cell r="AS278">
            <v>99.435001915530592</v>
          </cell>
        </row>
        <row r="279">
          <cell r="AS279">
            <v>97.94507238785738</v>
          </cell>
        </row>
        <row r="280">
          <cell r="AS280">
            <v>99.110223835402621</v>
          </cell>
        </row>
        <row r="281">
          <cell r="AS281">
            <v>100.65592417780644</v>
          </cell>
        </row>
        <row r="282">
          <cell r="AS282">
            <v>100.79115794415183</v>
          </cell>
        </row>
        <row r="283">
          <cell r="AS283">
            <v>95.671525747412886</v>
          </cell>
        </row>
        <row r="284">
          <cell r="AS284">
            <v>100.15485918919744</v>
          </cell>
        </row>
        <row r="285">
          <cell r="AS285">
            <v>99.466530990769641</v>
          </cell>
        </row>
        <row r="286">
          <cell r="AS286">
            <v>99.322856790756248</v>
          </cell>
        </row>
        <row r="287">
          <cell r="AS287">
            <v>100.43952535225938</v>
          </cell>
        </row>
        <row r="288">
          <cell r="AS288">
            <v>100.37889099709263</v>
          </cell>
        </row>
        <row r="289">
          <cell r="AS289">
            <v>101.16617641667767</v>
          </cell>
        </row>
        <row r="290">
          <cell r="AS290">
            <v>101.03912436611778</v>
          </cell>
        </row>
        <row r="291">
          <cell r="AS291">
            <v>96.474643951399159</v>
          </cell>
        </row>
        <row r="292">
          <cell r="AS292">
            <v>98.534580149559787</v>
          </cell>
        </row>
        <row r="293">
          <cell r="AS293">
            <v>99.21410144378406</v>
          </cell>
        </row>
        <row r="294">
          <cell r="AS294">
            <v>98.988095579595708</v>
          </cell>
        </row>
        <row r="295">
          <cell r="AS295">
            <v>99.851352600758617</v>
          </cell>
        </row>
        <row r="296">
          <cell r="AS296">
            <v>100.36291507352458</v>
          </cell>
        </row>
        <row r="297">
          <cell r="AS297">
            <v>100.11017578568983</v>
          </cell>
        </row>
        <row r="298">
          <cell r="AS298">
            <v>99.78653482584231</v>
          </cell>
        </row>
        <row r="299">
          <cell r="AS299">
            <v>97.131691546615258</v>
          </cell>
        </row>
        <row r="300">
          <cell r="AS300">
            <v>100.50822817449973</v>
          </cell>
        </row>
        <row r="301">
          <cell r="AS301">
            <v>99.547251884193614</v>
          </cell>
        </row>
        <row r="302">
          <cell r="AS302">
            <v>100.38565192460212</v>
          </cell>
        </row>
        <row r="303">
          <cell r="AS303">
            <v>102.86759733937893</v>
          </cell>
        </row>
        <row r="304">
          <cell r="AS304">
            <v>93.690612514496564</v>
          </cell>
        </row>
        <row r="305">
          <cell r="AS305">
            <v>94.202503008813892</v>
          </cell>
        </row>
        <row r="306">
          <cell r="AS306">
            <v>99.822653073625858</v>
          </cell>
        </row>
        <row r="307">
          <cell r="AS307">
            <v>97.222694469498265</v>
          </cell>
        </row>
        <row r="308">
          <cell r="AS308">
            <v>100.1928378850634</v>
          </cell>
        </row>
        <row r="309">
          <cell r="AS309">
            <v>98.959067698121331</v>
          </cell>
        </row>
        <row r="310">
          <cell r="AS310">
            <v>101.75751144156999</v>
          </cell>
        </row>
        <row r="311">
          <cell r="AS311">
            <v>93.975252209934993</v>
          </cell>
        </row>
        <row r="312">
          <cell r="AS312">
            <v>101.56488400108132</v>
          </cell>
        </row>
        <row r="313">
          <cell r="AS313">
            <v>99.768359962874058</v>
          </cell>
        </row>
        <row r="314">
          <cell r="AS314">
            <v>100.20347494466111</v>
          </cell>
        </row>
        <row r="315">
          <cell r="AS315">
            <v>94.928429491720962</v>
          </cell>
        </row>
        <row r="316">
          <cell r="AS316">
            <v>99.544399636138706</v>
          </cell>
        </row>
        <row r="317">
          <cell r="AS317">
            <v>99.816505716242673</v>
          </cell>
        </row>
        <row r="318">
          <cell r="AS318">
            <v>99.237925273194392</v>
          </cell>
        </row>
        <row r="319">
          <cell r="AS319">
            <v>98.818203292397726</v>
          </cell>
        </row>
        <row r="320">
          <cell r="AS320">
            <v>100.05733894116882</v>
          </cell>
        </row>
        <row r="321">
          <cell r="AS321">
            <v>97.785382132528241</v>
          </cell>
        </row>
        <row r="322">
          <cell r="AS322">
            <v>100.40336592166086</v>
          </cell>
        </row>
        <row r="324">
          <cell r="A324" t="str">
            <v>ST303</v>
          </cell>
          <cell r="P324">
            <v>60</v>
          </cell>
          <cell r="Q324">
            <v>11.15241635687731</v>
          </cell>
          <cell r="T324">
            <v>0.39166666666666666</v>
          </cell>
          <cell r="U324">
            <v>0.50208333333333333</v>
          </cell>
          <cell r="V324">
            <v>63</v>
          </cell>
          <cell r="AD324">
            <v>49.9</v>
          </cell>
          <cell r="AE324">
            <v>12.1</v>
          </cell>
          <cell r="AG324">
            <v>48.9</v>
          </cell>
          <cell r="AS324">
            <v>99.121855899264773</v>
          </cell>
          <cell r="AT324">
            <v>100.04505848980811</v>
          </cell>
          <cell r="AV324" t="str">
            <v>R.Sookram</v>
          </cell>
          <cell r="AW324">
            <v>0.24166666666666664</v>
          </cell>
        </row>
        <row r="325">
          <cell r="A325" t="str">
            <v>ST304</v>
          </cell>
          <cell r="P325">
            <v>59</v>
          </cell>
          <cell r="Q325">
            <v>3.557312252964421</v>
          </cell>
          <cell r="T325">
            <v>0.47708333333333336</v>
          </cell>
          <cell r="U325">
            <v>0.58611111111111114</v>
          </cell>
          <cell r="V325">
            <v>60</v>
          </cell>
          <cell r="AD325">
            <v>50.5</v>
          </cell>
          <cell r="AE325">
            <v>11.8</v>
          </cell>
          <cell r="AG325">
            <v>48.9</v>
          </cell>
          <cell r="AS325">
            <v>95.100831252620765</v>
          </cell>
          <cell r="AT325">
            <v>96.473457129100453</v>
          </cell>
          <cell r="AV325" t="str">
            <v>R.Sookram</v>
          </cell>
          <cell r="AW325">
            <v>0.24236111111111114</v>
          </cell>
        </row>
        <row r="326">
          <cell r="A326" t="str">
            <v>ST305</v>
          </cell>
          <cell r="P326">
            <v>57</v>
          </cell>
          <cell r="Q326">
            <v>11.296296296296299</v>
          </cell>
          <cell r="T326">
            <v>0.56111111111111112</v>
          </cell>
          <cell r="U326">
            <v>0.67083333333333328</v>
          </cell>
          <cell r="V326">
            <v>55</v>
          </cell>
          <cell r="AD326">
            <v>50.8</v>
          </cell>
          <cell r="AE326">
            <v>12</v>
          </cell>
          <cell r="AG326">
            <v>50.4</v>
          </cell>
          <cell r="AS326">
            <v>99.765519886214733</v>
          </cell>
          <cell r="AT326">
            <v>101.20547295889088</v>
          </cell>
          <cell r="AV326" t="str">
            <v>R.Sookram</v>
          </cell>
          <cell r="AW326">
            <v>0.24374999999999997</v>
          </cell>
        </row>
        <row r="327">
          <cell r="A327" t="str">
            <v>ST306</v>
          </cell>
          <cell r="P327">
            <v>59</v>
          </cell>
          <cell r="Q327">
            <v>11.743119266055043</v>
          </cell>
          <cell r="T327">
            <v>0.65069444444444446</v>
          </cell>
          <cell r="U327">
            <v>0.76041666666666663</v>
          </cell>
          <cell r="V327">
            <v>58</v>
          </cell>
          <cell r="AD327">
            <v>50.6</v>
          </cell>
          <cell r="AE327">
            <v>11.9</v>
          </cell>
          <cell r="AG327">
            <v>50.1</v>
          </cell>
          <cell r="AS327">
            <v>98.303135744343052</v>
          </cell>
          <cell r="AT327">
            <v>99.721981679594123</v>
          </cell>
          <cell r="AV327" t="str">
            <v>K. Benjamin</v>
          </cell>
          <cell r="AW327">
            <v>0.25</v>
          </cell>
        </row>
        <row r="328">
          <cell r="A328" t="str">
            <v>ST307</v>
          </cell>
          <cell r="P328">
            <v>61</v>
          </cell>
          <cell r="Q328">
            <v>9.6474953617810684</v>
          </cell>
          <cell r="T328">
            <v>0.72986111111111107</v>
          </cell>
          <cell r="U328">
            <v>0.84513888888888888</v>
          </cell>
          <cell r="V328">
            <v>59</v>
          </cell>
          <cell r="AD328">
            <v>50.8</v>
          </cell>
          <cell r="AE328">
            <v>11.9</v>
          </cell>
          <cell r="AG328">
            <v>50.6</v>
          </cell>
          <cell r="AS328">
            <v>99.780556584963307</v>
          </cell>
          <cell r="AT328">
            <v>101.21886817263092</v>
          </cell>
          <cell r="AV328" t="str">
            <v>K. Benjamin</v>
          </cell>
          <cell r="AW328">
            <v>0.25138888888888888</v>
          </cell>
        </row>
        <row r="329">
          <cell r="A329" t="str">
            <v>ST308</v>
          </cell>
          <cell r="P329">
            <v>59</v>
          </cell>
          <cell r="Q329">
            <v>9.9815157116450983</v>
          </cell>
          <cell r="T329">
            <v>0.8520833333333333</v>
          </cell>
          <cell r="U329">
            <v>0.96527777777777779</v>
          </cell>
          <cell r="V329">
            <v>64</v>
          </cell>
          <cell r="AD329">
            <v>52.5</v>
          </cell>
          <cell r="AE329">
            <v>12</v>
          </cell>
          <cell r="AG329">
            <v>51.4</v>
          </cell>
          <cell r="AS329">
            <v>102.38160745340335</v>
          </cell>
          <cell r="AT329">
            <v>103.85693282156035</v>
          </cell>
          <cell r="AV329" t="str">
            <v>K. Benjamin</v>
          </cell>
          <cell r="AW329">
            <v>0.24652777777777779</v>
          </cell>
        </row>
        <row r="330">
          <cell r="A330" t="str">
            <v>ST309</v>
          </cell>
          <cell r="P330">
            <v>60</v>
          </cell>
          <cell r="Q330">
            <v>9.7785977859778672</v>
          </cell>
          <cell r="T330">
            <v>0.94722222222222219</v>
          </cell>
          <cell r="U330">
            <v>1.0618055555555554</v>
          </cell>
          <cell r="V330">
            <v>64</v>
          </cell>
          <cell r="AD330">
            <v>51</v>
          </cell>
          <cell r="AE330">
            <v>11.7</v>
          </cell>
          <cell r="AG330">
            <v>50.1</v>
          </cell>
          <cell r="AS330">
            <v>97.414066657172469</v>
          </cell>
          <cell r="AT330">
            <v>98.816893154805797</v>
          </cell>
          <cell r="AV330" t="str">
            <v>R. Regis</v>
          </cell>
          <cell r="AW330">
            <v>0.24583333333333324</v>
          </cell>
        </row>
        <row r="331">
          <cell r="A331" t="str">
            <v>ST310</v>
          </cell>
          <cell r="P331">
            <v>60</v>
          </cell>
          <cell r="Q331">
            <v>8.5343228200370955</v>
          </cell>
          <cell r="T331">
            <v>1.0833333333333333</v>
          </cell>
          <cell r="U331">
            <v>1.1944444444444444</v>
          </cell>
          <cell r="V331">
            <v>60</v>
          </cell>
          <cell r="AD331">
            <v>50.2</v>
          </cell>
          <cell r="AE331">
            <v>11.7</v>
          </cell>
          <cell r="AG331">
            <v>49.3</v>
          </cell>
          <cell r="AS331">
            <v>95.738445955419465</v>
          </cell>
          <cell r="AT331">
            <v>97.117593245060235</v>
          </cell>
          <cell r="AV331" t="str">
            <v>R. Regis</v>
          </cell>
          <cell r="AW331">
            <v>0.23958333333333326</v>
          </cell>
        </row>
        <row r="332">
          <cell r="A332" t="str">
            <v>ST311</v>
          </cell>
          <cell r="P332">
            <v>61</v>
          </cell>
          <cell r="Q332">
            <v>4.3643263757115829</v>
          </cell>
          <cell r="T332">
            <v>0.49166666666666664</v>
          </cell>
          <cell r="U332">
            <v>0.6</v>
          </cell>
          <cell r="V332">
            <v>65</v>
          </cell>
          <cell r="AD332">
            <v>51.3</v>
          </cell>
          <cell r="AE332">
            <v>10.4</v>
          </cell>
          <cell r="AG332">
            <v>50.9</v>
          </cell>
          <cell r="AS332">
            <v>87.041642336261077</v>
          </cell>
          <cell r="AT332">
            <v>88.296732506261321</v>
          </cell>
          <cell r="AV332" t="str">
            <v>R.Sookram</v>
          </cell>
          <cell r="AW332">
            <v>0.25624999999999998</v>
          </cell>
        </row>
        <row r="333">
          <cell r="A333" t="str">
            <v>ST312</v>
          </cell>
          <cell r="P333">
            <v>60</v>
          </cell>
          <cell r="Q333">
            <v>6.0218978102189737</v>
          </cell>
          <cell r="T333">
            <v>0.58750000000000002</v>
          </cell>
          <cell r="U333">
            <v>0.69166666666666665</v>
          </cell>
          <cell r="V333">
            <v>56</v>
          </cell>
          <cell r="AD333">
            <v>52.4</v>
          </cell>
          <cell r="AE333">
            <v>12</v>
          </cell>
          <cell r="AG333">
            <v>51.4</v>
          </cell>
          <cell r="AS333">
            <v>101.9986872683758</v>
          </cell>
          <cell r="AT333">
            <v>103.46992492602902</v>
          </cell>
          <cell r="AV333" t="str">
            <v>R.Sookram</v>
          </cell>
          <cell r="AW333">
            <v>0.26458333333333334</v>
          </cell>
        </row>
        <row r="334">
          <cell r="A334" t="str">
            <v>ST313</v>
          </cell>
          <cell r="P334">
            <v>59</v>
          </cell>
          <cell r="Q334">
            <v>3.4416826003824035</v>
          </cell>
          <cell r="T334">
            <v>0.68333333333333335</v>
          </cell>
          <cell r="U334">
            <v>0.7895833333333333</v>
          </cell>
          <cell r="V334">
            <v>51</v>
          </cell>
          <cell r="AD334">
            <v>51.4</v>
          </cell>
          <cell r="AE334">
            <v>12.1</v>
          </cell>
          <cell r="AG334">
            <v>49.1</v>
          </cell>
          <cell r="AS334">
            <v>98.410561007255168</v>
          </cell>
          <cell r="AT334">
            <v>99.829584412940136</v>
          </cell>
          <cell r="AV334" t="str">
            <v>K. Benjamin</v>
          </cell>
          <cell r="AW334">
            <v>0.26180555555555551</v>
          </cell>
        </row>
        <row r="335">
          <cell r="A335" t="str">
            <v>ST314</v>
          </cell>
          <cell r="P335">
            <v>60</v>
          </cell>
          <cell r="Q335">
            <v>2.9520295202952052</v>
          </cell>
          <cell r="T335">
            <v>0.76875000000000004</v>
          </cell>
          <cell r="U335">
            <v>0.89652777777777781</v>
          </cell>
          <cell r="V335">
            <v>60</v>
          </cell>
          <cell r="AD335">
            <v>53.5</v>
          </cell>
          <cell r="AE335">
            <v>12.2</v>
          </cell>
          <cell r="AG335">
            <v>51.7</v>
          </cell>
          <cell r="AS335">
            <v>104.78294066497524</v>
          </cell>
          <cell r="AT335">
            <v>106.29286939493277</v>
          </cell>
          <cell r="AV335" t="str">
            <v>K. Benjamin</v>
          </cell>
          <cell r="AW335">
            <v>0.28541666666666665</v>
          </cell>
        </row>
        <row r="336">
          <cell r="A336" t="str">
            <v>ST315</v>
          </cell>
          <cell r="P336">
            <v>60</v>
          </cell>
          <cell r="Q336">
            <v>11.695906432748524</v>
          </cell>
          <cell r="T336">
            <v>1.14375</v>
          </cell>
          <cell r="U336">
            <v>1.257638888888889</v>
          </cell>
          <cell r="V336">
            <v>60</v>
          </cell>
          <cell r="AD336">
            <v>47.7</v>
          </cell>
          <cell r="AE336">
            <v>11.8</v>
          </cell>
          <cell r="AG336">
            <v>47.3</v>
          </cell>
          <cell r="AS336">
            <v>92.564718768769609</v>
          </cell>
          <cell r="AT336">
            <v>93.898582156859476</v>
          </cell>
          <cell r="AV336" t="str">
            <v>D. Gomaz</v>
          </cell>
          <cell r="AW336">
            <v>0.24375000000000013</v>
          </cell>
        </row>
        <row r="337">
          <cell r="A337" t="str">
            <v>ST316</v>
          </cell>
          <cell r="P337">
            <v>62</v>
          </cell>
          <cell r="Q337">
            <v>9.1603053435114443</v>
          </cell>
          <cell r="T337">
            <v>0.22638888888888889</v>
          </cell>
          <cell r="U337">
            <v>0.34097222222222223</v>
          </cell>
          <cell r="V337">
            <v>62</v>
          </cell>
          <cell r="AD337">
            <v>52.4</v>
          </cell>
          <cell r="AE337">
            <v>12.2</v>
          </cell>
          <cell r="AG337">
            <v>48.9</v>
          </cell>
          <cell r="AS337">
            <v>98.984174791371231</v>
          </cell>
          <cell r="AT337">
            <v>100.41100673609904</v>
          </cell>
          <cell r="AV337" t="str">
            <v>D. Gomaz</v>
          </cell>
          <cell r="AW337">
            <v>0.24375000000000002</v>
          </cell>
        </row>
        <row r="338">
          <cell r="A338" t="str">
            <v>ST317</v>
          </cell>
          <cell r="P338">
            <v>60</v>
          </cell>
          <cell r="Q338">
            <v>14.048059149722739</v>
          </cell>
          <cell r="T338">
            <v>0.32013888888888886</v>
          </cell>
          <cell r="U338">
            <v>0.43472222222222223</v>
          </cell>
          <cell r="V338">
            <v>56</v>
          </cell>
          <cell r="AD338">
            <v>54.1</v>
          </cell>
          <cell r="AE338">
            <v>12</v>
          </cell>
          <cell r="AG338">
            <v>48.8</v>
          </cell>
          <cell r="AS338">
            <v>97.202771278717563</v>
          </cell>
          <cell r="AT338">
            <v>98.603469293621487</v>
          </cell>
          <cell r="AV338" t="str">
            <v>R. Regis</v>
          </cell>
          <cell r="AW338">
            <v>0.25416666666666665</v>
          </cell>
        </row>
        <row r="339">
          <cell r="A339" t="str">
            <v>ST318</v>
          </cell>
          <cell r="P339">
            <v>60</v>
          </cell>
          <cell r="Q339">
            <v>12.569316081330864</v>
          </cell>
          <cell r="T339">
            <v>0.41111111111111109</v>
          </cell>
          <cell r="U339">
            <v>0.52916666666666667</v>
          </cell>
          <cell r="V339">
            <v>60</v>
          </cell>
          <cell r="AD339">
            <v>54.1</v>
          </cell>
          <cell r="AE339">
            <v>11.7</v>
          </cell>
          <cell r="AG339">
            <v>50.7</v>
          </cell>
          <cell r="AS339">
            <v>98.457184785796485</v>
          </cell>
          <cell r="AT339">
            <v>99.875496501512245</v>
          </cell>
          <cell r="AV339" t="str">
            <v>R. Regis</v>
          </cell>
          <cell r="AW339">
            <v>0.26527777777777778</v>
          </cell>
        </row>
        <row r="340">
          <cell r="A340" t="str">
            <v>ST319</v>
          </cell>
          <cell r="P340">
            <v>60</v>
          </cell>
          <cell r="Q340">
            <v>12.641509433962256</v>
          </cell>
          <cell r="T340">
            <v>0.52569444444444446</v>
          </cell>
          <cell r="U340">
            <v>0.64583333333333337</v>
          </cell>
          <cell r="V340">
            <v>64</v>
          </cell>
          <cell r="AD340">
            <v>53</v>
          </cell>
          <cell r="AE340">
            <v>11.7</v>
          </cell>
          <cell r="AG340">
            <v>50.5</v>
          </cell>
          <cell r="AS340">
            <v>97.823655817296242</v>
          </cell>
          <cell r="AT340">
            <v>99.233759173356589</v>
          </cell>
          <cell r="AV340" t="str">
            <v>R. Regis</v>
          </cell>
          <cell r="AW340">
            <v>0.25694444444444448</v>
          </cell>
        </row>
        <row r="341">
          <cell r="A341" t="str">
            <v>ST320</v>
          </cell>
          <cell r="P341">
            <v>61</v>
          </cell>
          <cell r="Q341">
            <v>13.221601489757917</v>
          </cell>
          <cell r="T341">
            <v>0.61319444444444449</v>
          </cell>
          <cell r="U341">
            <v>0.73472222222222228</v>
          </cell>
          <cell r="V341">
            <v>61</v>
          </cell>
          <cell r="AD341">
            <v>53.7</v>
          </cell>
          <cell r="AE341">
            <v>11.9</v>
          </cell>
          <cell r="AG341">
            <v>49.5</v>
          </cell>
          <cell r="AS341">
            <v>97.733563925602468</v>
          </cell>
          <cell r="AT341">
            <v>99.141910695753126</v>
          </cell>
          <cell r="AV341" t="str">
            <v>R. Regis</v>
          </cell>
          <cell r="AW341">
            <v>0.25555555555555559</v>
          </cell>
        </row>
        <row r="342">
          <cell r="A342" t="str">
            <v>ST321</v>
          </cell>
          <cell r="P342">
            <v>57</v>
          </cell>
          <cell r="Q342">
            <v>8.851224105461398</v>
          </cell>
          <cell r="T342">
            <v>0.70277777777777772</v>
          </cell>
          <cell r="U342">
            <v>0.81041666666666667</v>
          </cell>
          <cell r="V342">
            <v>57</v>
          </cell>
          <cell r="AD342">
            <v>53.1</v>
          </cell>
          <cell r="AE342">
            <v>11.9</v>
          </cell>
          <cell r="AG342">
            <v>49.9</v>
          </cell>
          <cell r="AS342">
            <v>98.523330098738654</v>
          </cell>
          <cell r="AT342">
            <v>99.943057448850141</v>
          </cell>
          <cell r="AV342" t="str">
            <v>R.Sookram</v>
          </cell>
          <cell r="AW342">
            <v>0.24791666666666667</v>
          </cell>
        </row>
        <row r="343">
          <cell r="A343" t="str">
            <v>ST322</v>
          </cell>
          <cell r="P343">
            <v>56</v>
          </cell>
          <cell r="Q343">
            <v>9.9999999999999947</v>
          </cell>
          <cell r="T343">
            <v>0.78263888888888888</v>
          </cell>
          <cell r="U343">
            <v>0.89236111111111116</v>
          </cell>
          <cell r="V343">
            <v>58</v>
          </cell>
          <cell r="AD343">
            <v>53</v>
          </cell>
          <cell r="AE343">
            <v>11.8</v>
          </cell>
          <cell r="AG343">
            <v>50.6</v>
          </cell>
          <cell r="AS343">
            <v>99.02272240380006</v>
          </cell>
          <cell r="AT343">
            <v>100.44964602826829</v>
          </cell>
          <cell r="AV343" t="str">
            <v>R.Sookram</v>
          </cell>
          <cell r="AW343">
            <v>0.24652777777777779</v>
          </cell>
        </row>
        <row r="344">
          <cell r="A344" t="str">
            <v>ST323</v>
          </cell>
          <cell r="P344">
            <v>63</v>
          </cell>
          <cell r="Q344">
            <v>14.205607476635517</v>
          </cell>
          <cell r="T344">
            <v>0.3840277777777778</v>
          </cell>
          <cell r="U344">
            <v>0.48749999999999999</v>
          </cell>
          <cell r="V344">
            <v>61</v>
          </cell>
          <cell r="AD344">
            <v>48.7</v>
          </cell>
          <cell r="AE344">
            <v>12</v>
          </cell>
          <cell r="AG344">
            <v>47.5</v>
          </cell>
          <cell r="AS344">
            <v>94.613353191374685</v>
          </cell>
          <cell r="AT344">
            <v>95.97673752965207</v>
          </cell>
          <cell r="AV344" t="str">
            <v>K. Benjamin</v>
          </cell>
          <cell r="AW344">
            <v>0.23055555555555557</v>
          </cell>
        </row>
        <row r="345">
          <cell r="A345" t="str">
            <v>ST324</v>
          </cell>
          <cell r="P345">
            <v>58</v>
          </cell>
          <cell r="Q345">
            <v>10.694183864915564</v>
          </cell>
          <cell r="T345">
            <v>0.46944444444444444</v>
          </cell>
          <cell r="U345">
            <v>0.57708333333333328</v>
          </cell>
          <cell r="V345">
            <v>56</v>
          </cell>
          <cell r="AD345">
            <v>50.5</v>
          </cell>
          <cell r="AE345">
            <v>12.1</v>
          </cell>
          <cell r="AG345">
            <v>49.8</v>
          </cell>
          <cell r="AS345">
            <v>99.938312405651004</v>
          </cell>
          <cell r="AT345">
            <v>101.37889800373389</v>
          </cell>
          <cell r="AV345" t="str">
            <v>K. Benjamin</v>
          </cell>
          <cell r="AW345">
            <v>0.23680555555555549</v>
          </cell>
        </row>
        <row r="346">
          <cell r="A346" t="str">
            <v>ST325</v>
          </cell>
          <cell r="P346">
            <v>59</v>
          </cell>
          <cell r="Q346">
            <v>11.753731343283578</v>
          </cell>
          <cell r="T346">
            <v>0.55208333333333337</v>
          </cell>
          <cell r="U346">
            <v>0.65</v>
          </cell>
          <cell r="V346">
            <v>55</v>
          </cell>
          <cell r="AD346">
            <v>48.2</v>
          </cell>
          <cell r="AE346">
            <v>12.4</v>
          </cell>
          <cell r="AG346">
            <v>47.4</v>
          </cell>
          <cell r="AS346">
            <v>97.966859207422701</v>
          </cell>
          <cell r="AT346">
            <v>99.37764628060529</v>
          </cell>
          <cell r="AV346" t="str">
            <v>K. Benjamin</v>
          </cell>
          <cell r="AW346">
            <v>0.22638888888888892</v>
          </cell>
        </row>
        <row r="347">
          <cell r="A347" t="str">
            <v>ST326</v>
          </cell>
          <cell r="P347">
            <v>60</v>
          </cell>
          <cell r="Q347">
            <v>13.446969696969688</v>
          </cell>
          <cell r="T347">
            <v>1.0291666666666666</v>
          </cell>
          <cell r="U347">
            <v>1.1409722222222223</v>
          </cell>
          <cell r="V347">
            <v>60</v>
          </cell>
          <cell r="AD347">
            <v>48.5</v>
          </cell>
          <cell r="AE347">
            <v>11.9</v>
          </cell>
          <cell r="AG347">
            <v>48.1</v>
          </cell>
          <cell r="AS347">
            <v>95.088374890616095</v>
          </cell>
          <cell r="AT347">
            <v>96.458157669081118</v>
          </cell>
          <cell r="AV347" t="str">
            <v>R. Regis</v>
          </cell>
          <cell r="AW347">
            <v>0.25902777777777786</v>
          </cell>
        </row>
        <row r="348">
          <cell r="A348" t="str">
            <v>ST327</v>
          </cell>
          <cell r="P348">
            <v>60</v>
          </cell>
          <cell r="Q348">
            <v>11.028037383177567</v>
          </cell>
          <cell r="T348">
            <v>1.1097222222222223</v>
          </cell>
          <cell r="U348">
            <v>1.2131944444444445</v>
          </cell>
          <cell r="V348">
            <v>53</v>
          </cell>
          <cell r="AD348">
            <v>48.9</v>
          </cell>
          <cell r="AE348">
            <v>12.1</v>
          </cell>
          <cell r="AG348">
            <v>48.2</v>
          </cell>
          <cell r="AS348">
            <v>96.848486613901059</v>
          </cell>
          <cell r="AT348">
            <v>98.244079364621768</v>
          </cell>
          <cell r="AV348" t="str">
            <v>R. Regis</v>
          </cell>
          <cell r="AW348">
            <v>0.24791666666666667</v>
          </cell>
        </row>
        <row r="349">
          <cell r="A349" t="str">
            <v>ST328</v>
          </cell>
          <cell r="P349">
            <v>60</v>
          </cell>
          <cell r="Q349">
            <v>11.049723756906065</v>
          </cell>
          <cell r="T349">
            <v>0.19583333333333333</v>
          </cell>
          <cell r="U349">
            <v>0.30902777777777779</v>
          </cell>
          <cell r="V349">
            <v>62</v>
          </cell>
          <cell r="AD349">
            <v>50.9</v>
          </cell>
          <cell r="AE349">
            <v>12</v>
          </cell>
          <cell r="AG349">
            <v>50.2</v>
          </cell>
          <cell r="AS349">
            <v>100.11666028610431</v>
          </cell>
          <cell r="AT349">
            <v>101.55887735264997</v>
          </cell>
          <cell r="AV349" t="str">
            <v>R. Regis</v>
          </cell>
          <cell r="AW349">
            <v>0.24652777777777779</v>
          </cell>
        </row>
        <row r="350">
          <cell r="A350" t="str">
            <v>ST329</v>
          </cell>
          <cell r="P350">
            <v>61</v>
          </cell>
          <cell r="Q350">
            <v>12.154696132596674</v>
          </cell>
          <cell r="T350">
            <v>0.28541666666666665</v>
          </cell>
          <cell r="U350">
            <v>0.38680555555555557</v>
          </cell>
          <cell r="V350">
            <v>52</v>
          </cell>
          <cell r="AD350">
            <v>50.2</v>
          </cell>
          <cell r="AE350">
            <v>11.9</v>
          </cell>
          <cell r="AG350">
            <v>49.8</v>
          </cell>
          <cell r="AS350">
            <v>98.449086685086911</v>
          </cell>
          <cell r="AT350">
            <v>99.86728174470349</v>
          </cell>
          <cell r="AV350" t="str">
            <v>R. Regis</v>
          </cell>
          <cell r="AW350">
            <v>0.23750000000000002</v>
          </cell>
        </row>
        <row r="351">
          <cell r="A351" t="str">
            <v>ST330</v>
          </cell>
          <cell r="P351">
            <v>61</v>
          </cell>
          <cell r="Q351">
            <v>13.099630996309966</v>
          </cell>
          <cell r="T351">
            <v>0.40972222222222221</v>
          </cell>
          <cell r="U351">
            <v>0.52569444444444446</v>
          </cell>
          <cell r="V351">
            <v>64</v>
          </cell>
          <cell r="AD351">
            <v>50.8</v>
          </cell>
          <cell r="AE351">
            <v>11.9</v>
          </cell>
          <cell r="AG351">
            <v>50.2</v>
          </cell>
          <cell r="AS351">
            <v>99.364341668365995</v>
          </cell>
          <cell r="AT351">
            <v>100.79525340622446</v>
          </cell>
          <cell r="AV351" t="str">
            <v>K. Benjamin</v>
          </cell>
          <cell r="AW351">
            <v>0.28958333333333336</v>
          </cell>
        </row>
        <row r="352">
          <cell r="A352" t="str">
            <v>ST331</v>
          </cell>
          <cell r="P352">
            <v>60</v>
          </cell>
          <cell r="Q352">
            <v>16.326530612244895</v>
          </cell>
          <cell r="T352">
            <v>0.20902777777777778</v>
          </cell>
          <cell r="U352">
            <v>0.32777777777777778</v>
          </cell>
          <cell r="V352">
            <v>60</v>
          </cell>
          <cell r="AD352">
            <v>49.4</v>
          </cell>
          <cell r="AE352">
            <v>11.9</v>
          </cell>
          <cell r="AG352">
            <v>49.1</v>
          </cell>
          <cell r="AS352">
            <v>96.250646252877047</v>
          </cell>
          <cell r="AT352">
            <v>98.096158322107712</v>
          </cell>
          <cell r="AV352" t="str">
            <v>R. Regis</v>
          </cell>
          <cell r="AW352">
            <v>0.2583333333333333</v>
          </cell>
        </row>
        <row r="353">
          <cell r="A353" t="str">
            <v>ST332</v>
          </cell>
          <cell r="P353">
            <v>59</v>
          </cell>
          <cell r="Q353">
            <v>11.923076923076916</v>
          </cell>
          <cell r="T353">
            <v>0.29722222222222222</v>
          </cell>
          <cell r="U353">
            <v>0.40694444444444444</v>
          </cell>
          <cell r="V353">
            <v>61</v>
          </cell>
          <cell r="AD353">
            <v>49.8</v>
          </cell>
          <cell r="AE353">
            <v>12.1</v>
          </cell>
          <cell r="AG353">
            <v>49.5</v>
          </cell>
          <cell r="AS353">
            <v>98.626177673601688</v>
          </cell>
          <cell r="AT353">
            <v>100.51784967755239</v>
          </cell>
          <cell r="AV353" t="str">
            <v>R.Sookram</v>
          </cell>
          <cell r="AW353">
            <v>0.25069444444444444</v>
          </cell>
        </row>
        <row r="354">
          <cell r="A354" t="str">
            <v>ST333</v>
          </cell>
          <cell r="P354">
            <v>57</v>
          </cell>
          <cell r="Q354">
            <v>12.94559099437148</v>
          </cell>
          <cell r="T354">
            <v>0.38194444444444442</v>
          </cell>
          <cell r="U354">
            <v>0.49861111111111112</v>
          </cell>
          <cell r="V354">
            <v>66</v>
          </cell>
          <cell r="AD354">
            <v>51.6</v>
          </cell>
          <cell r="AE354">
            <v>11.8</v>
          </cell>
          <cell r="AG354">
            <v>51.1</v>
          </cell>
          <cell r="AS354">
            <v>99.286195716080925</v>
          </cell>
          <cell r="AT354">
            <v>101.18991147940805</v>
          </cell>
          <cell r="AV354" t="str">
            <v>R.Sookram</v>
          </cell>
          <cell r="AW354">
            <v>0.25555555555555554</v>
          </cell>
        </row>
        <row r="355">
          <cell r="A355" t="str">
            <v>ST334</v>
          </cell>
          <cell r="P355">
            <v>58</v>
          </cell>
          <cell r="Q355">
            <v>13.80597014925373</v>
          </cell>
          <cell r="T355">
            <v>0.46458333333333335</v>
          </cell>
          <cell r="U355">
            <v>0.57708333333333328</v>
          </cell>
          <cell r="V355">
            <v>62</v>
          </cell>
          <cell r="AD355">
            <v>49.5</v>
          </cell>
          <cell r="AE355">
            <v>11.9</v>
          </cell>
          <cell r="AG355">
            <v>49.2</v>
          </cell>
          <cell r="AS355">
            <v>96.567361522018899</v>
          </cell>
          <cell r="AT355">
            <v>98.418346128328878</v>
          </cell>
          <cell r="AV355" t="str">
            <v>R.Sookram</v>
          </cell>
          <cell r="AW355">
            <v>0.24374999999999997</v>
          </cell>
        </row>
        <row r="356">
          <cell r="A356" t="str">
            <v>ST335</v>
          </cell>
          <cell r="P356">
            <v>59</v>
          </cell>
          <cell r="Q356">
            <v>14.65677179962894</v>
          </cell>
          <cell r="T356">
            <v>0.54722222222222228</v>
          </cell>
          <cell r="U356">
            <v>0.65972222222222221</v>
          </cell>
          <cell r="V356">
            <v>57</v>
          </cell>
          <cell r="AD356">
            <v>51.2</v>
          </cell>
          <cell r="AE356">
            <v>11.9</v>
          </cell>
          <cell r="AG356">
            <v>50.6</v>
          </cell>
          <cell r="AS356">
            <v>99.68944278657402</v>
          </cell>
          <cell r="AT356">
            <v>101.59840283575612</v>
          </cell>
          <cell r="AV356" t="str">
            <v>R.Sookram</v>
          </cell>
          <cell r="AW356">
            <v>0.24305555555555552</v>
          </cell>
        </row>
        <row r="357">
          <cell r="A357" t="str">
            <v>ST336</v>
          </cell>
          <cell r="P357">
            <v>61</v>
          </cell>
          <cell r="Q357">
            <v>14.981273408239701</v>
          </cell>
          <cell r="T357">
            <v>0.62777777777777777</v>
          </cell>
          <cell r="U357">
            <v>0.7416666666666667</v>
          </cell>
          <cell r="V357">
            <v>57</v>
          </cell>
          <cell r="AD357">
            <v>50.9</v>
          </cell>
          <cell r="AE357">
            <v>11.9</v>
          </cell>
          <cell r="AG357">
            <v>50.6</v>
          </cell>
          <cell r="AS357">
            <v>99.564386645320724</v>
          </cell>
          <cell r="AT357">
            <v>101.47157542734936</v>
          </cell>
          <cell r="AV357" t="str">
            <v>K. Benjamin</v>
          </cell>
          <cell r="AW357">
            <v>0.2416666666666667</v>
          </cell>
        </row>
        <row r="358">
          <cell r="A358" t="str">
            <v>ST337</v>
          </cell>
          <cell r="P358">
            <v>62</v>
          </cell>
          <cell r="Q358">
            <v>14.071294559099426</v>
          </cell>
          <cell r="T358">
            <v>0.71527777777777779</v>
          </cell>
          <cell r="U358">
            <v>0.82708333333333328</v>
          </cell>
          <cell r="V358">
            <v>60</v>
          </cell>
          <cell r="AD358">
            <v>49.9</v>
          </cell>
          <cell r="AE358">
            <v>12</v>
          </cell>
          <cell r="AG358">
            <v>49.6</v>
          </cell>
          <cell r="AS358">
            <v>98.706657837081977</v>
          </cell>
          <cell r="AT358">
            <v>100.59617885145933</v>
          </cell>
          <cell r="AV358" t="str">
            <v>K. Benjamin</v>
          </cell>
          <cell r="AW358">
            <v>0.24374999999999991</v>
          </cell>
        </row>
        <row r="359">
          <cell r="A359" t="str">
            <v>ST338</v>
          </cell>
          <cell r="P359">
            <v>61</v>
          </cell>
          <cell r="Q359">
            <v>13.493530499075778</v>
          </cell>
          <cell r="T359">
            <v>0.79513888888888884</v>
          </cell>
          <cell r="U359">
            <v>0.90486111111111112</v>
          </cell>
          <cell r="V359">
            <v>56</v>
          </cell>
          <cell r="AD359">
            <v>49.7</v>
          </cell>
          <cell r="AE359">
            <v>12</v>
          </cell>
          <cell r="AG359">
            <v>49.9</v>
          </cell>
          <cell r="AS359">
            <v>98.93042550475694</v>
          </cell>
          <cell r="AT359">
            <v>100.8260884785187</v>
          </cell>
          <cell r="AV359" t="str">
            <v>K. Benjamin</v>
          </cell>
          <cell r="AW359">
            <v>0.23819444444444449</v>
          </cell>
        </row>
      </sheetData>
      <sheetData sheetId="7">
        <row r="303">
          <cell r="D303">
            <v>11.9</v>
          </cell>
        </row>
        <row r="304">
          <cell r="D304">
            <v>11.9</v>
          </cell>
        </row>
        <row r="305">
          <cell r="D305">
            <v>12</v>
          </cell>
        </row>
        <row r="306">
          <cell r="D306">
            <v>12.1</v>
          </cell>
        </row>
        <row r="307">
          <cell r="D307">
            <v>11.8</v>
          </cell>
        </row>
        <row r="308">
          <cell r="D308">
            <v>11.8</v>
          </cell>
        </row>
        <row r="309">
          <cell r="D309">
            <v>11.7</v>
          </cell>
        </row>
        <row r="310">
          <cell r="D310">
            <v>11.9</v>
          </cell>
        </row>
        <row r="311">
          <cell r="D311">
            <v>11.6</v>
          </cell>
        </row>
        <row r="312">
          <cell r="D312">
            <v>12.2</v>
          </cell>
        </row>
        <row r="313">
          <cell r="D313">
            <v>12</v>
          </cell>
        </row>
        <row r="314">
          <cell r="D314">
            <v>11.8</v>
          </cell>
        </row>
        <row r="315">
          <cell r="D315">
            <v>11.9</v>
          </cell>
        </row>
        <row r="316">
          <cell r="D316">
            <v>11.9</v>
          </cell>
        </row>
        <row r="317">
          <cell r="D317">
            <v>12</v>
          </cell>
        </row>
        <row r="318">
          <cell r="D318">
            <v>11.7</v>
          </cell>
        </row>
        <row r="319">
          <cell r="D319">
            <v>11.9</v>
          </cell>
        </row>
        <row r="320">
          <cell r="D320">
            <v>11.8</v>
          </cell>
        </row>
        <row r="321">
          <cell r="D321">
            <v>11.7</v>
          </cell>
        </row>
        <row r="322">
          <cell r="D322">
            <v>11.7</v>
          </cell>
        </row>
        <row r="324">
          <cell r="D324">
            <v>12.1</v>
          </cell>
        </row>
        <row r="325">
          <cell r="D325">
            <v>11.8</v>
          </cell>
        </row>
        <row r="326">
          <cell r="D326">
            <v>12</v>
          </cell>
        </row>
        <row r="327">
          <cell r="D327">
            <v>11.9</v>
          </cell>
        </row>
        <row r="328">
          <cell r="D328">
            <v>11.9</v>
          </cell>
        </row>
        <row r="329">
          <cell r="D329">
            <v>12</v>
          </cell>
        </row>
        <row r="330">
          <cell r="D330">
            <v>11.7</v>
          </cell>
        </row>
        <row r="331">
          <cell r="D331">
            <v>11.7</v>
          </cell>
        </row>
        <row r="332">
          <cell r="D332">
            <v>10.4</v>
          </cell>
        </row>
        <row r="333">
          <cell r="D333">
            <v>12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August ' 25 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Y45">
            <v>97.680078712303157</v>
          </cell>
        </row>
        <row r="46">
          <cell r="AY46">
            <v>96.032533546760064</v>
          </cell>
        </row>
        <row r="47">
          <cell r="AY47">
            <v>96.368177969102391</v>
          </cell>
        </row>
        <row r="48">
          <cell r="AY48">
            <v>96.127420872417986</v>
          </cell>
        </row>
        <row r="49">
          <cell r="AY49">
            <v>94.281558174494734</v>
          </cell>
        </row>
        <row r="50">
          <cell r="AY50">
            <v>97.243639355509373</v>
          </cell>
        </row>
        <row r="56">
          <cell r="AY56">
            <v>98.181053939282549</v>
          </cell>
        </row>
        <row r="57">
          <cell r="AY57">
            <v>87.428386701544582</v>
          </cell>
        </row>
        <row r="58">
          <cell r="AY58">
            <v>110.11827495393527</v>
          </cell>
        </row>
        <row r="59">
          <cell r="AY59">
            <v>98.787376054162792</v>
          </cell>
        </row>
        <row r="60">
          <cell r="AY60">
            <v>99.593723178345229</v>
          </cell>
        </row>
        <row r="61">
          <cell r="AY61">
            <v>99.702836872398194</v>
          </cell>
        </row>
        <row r="62">
          <cell r="AY62">
            <v>99.503394936483232</v>
          </cell>
        </row>
        <row r="63">
          <cell r="AY63">
            <v>100.14787259716714</v>
          </cell>
        </row>
        <row r="64">
          <cell r="AY64">
            <v>98.857519359317735</v>
          </cell>
        </row>
        <row r="65">
          <cell r="AY65">
            <v>100.43456778341326</v>
          </cell>
        </row>
        <row r="66">
          <cell r="AY66">
            <v>94.119623769471843</v>
          </cell>
        </row>
        <row r="67">
          <cell r="AY67">
            <v>99.044919151670612</v>
          </cell>
        </row>
        <row r="68">
          <cell r="AY68">
            <v>98.26555370627031</v>
          </cell>
        </row>
        <row r="69">
          <cell r="AY69">
            <v>98.569967614948013</v>
          </cell>
        </row>
        <row r="70">
          <cell r="AY70">
            <v>98.132256373549936</v>
          </cell>
        </row>
        <row r="71">
          <cell r="AY71">
            <v>100.03514094829396</v>
          </cell>
        </row>
        <row r="72">
          <cell r="AY72">
            <v>99.39273336749045</v>
          </cell>
        </row>
        <row r="73">
          <cell r="AY73">
            <v>102.27737633882425</v>
          </cell>
        </row>
      </sheetData>
      <sheetData sheetId="4">
        <row r="5">
          <cell r="D5">
            <v>17.399999999999999</v>
          </cell>
        </row>
        <row r="63">
          <cell r="D63">
            <v>16.8</v>
          </cell>
        </row>
        <row r="64">
          <cell r="D64">
            <v>17.399999999999999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August '25 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U493">
            <v>94.264410009304427</v>
          </cell>
        </row>
        <row r="494">
          <cell r="AU494">
            <v>98.3990612176312</v>
          </cell>
        </row>
        <row r="495">
          <cell r="AU495">
            <v>94.297173444430044</v>
          </cell>
        </row>
        <row r="496">
          <cell r="AU496">
            <v>119.86186934898069</v>
          </cell>
        </row>
        <row r="497">
          <cell r="AU497">
            <v>92.79563444744052</v>
          </cell>
        </row>
        <row r="498">
          <cell r="AU498">
            <v>98.531405738757485</v>
          </cell>
        </row>
        <row r="499">
          <cell r="AU499">
            <v>98.232112519036946</v>
          </cell>
        </row>
        <row r="500">
          <cell r="AU500">
            <v>97.476480884275105</v>
          </cell>
        </row>
        <row r="501">
          <cell r="AU501">
            <v>95.636317134607069</v>
          </cell>
        </row>
        <row r="502">
          <cell r="AU502">
            <v>96.480040939898842</v>
          </cell>
        </row>
        <row r="503">
          <cell r="AU503">
            <v>97.20406658494251</v>
          </cell>
        </row>
        <row r="504">
          <cell r="AU504">
            <v>98.20551375276743</v>
          </cell>
        </row>
        <row r="505">
          <cell r="AU505">
            <v>97.425305329060635</v>
          </cell>
        </row>
        <row r="506">
          <cell r="AU506">
            <v>98.005016161360899</v>
          </cell>
        </row>
        <row r="507">
          <cell r="AU507">
            <v>97.308789773401159</v>
          </cell>
        </row>
        <row r="508">
          <cell r="AU508">
            <v>97.963623821913586</v>
          </cell>
        </row>
        <row r="509">
          <cell r="AU509">
            <v>95.193774896809018</v>
          </cell>
        </row>
        <row r="510">
          <cell r="AU510">
            <v>101.54691869481707</v>
          </cell>
        </row>
        <row r="511">
          <cell r="AU511">
            <v>98.522946643117706</v>
          </cell>
        </row>
        <row r="512">
          <cell r="AU512">
            <v>98.826663752636136</v>
          </cell>
        </row>
        <row r="513">
          <cell r="AU513">
            <v>95.464164524325369</v>
          </cell>
        </row>
        <row r="514">
          <cell r="AU514">
            <v>97.517026447740761</v>
          </cell>
        </row>
        <row r="515">
          <cell r="AU515">
            <v>96.153051693044588</v>
          </cell>
        </row>
        <row r="516">
          <cell r="AU516">
            <v>98.680823909592263</v>
          </cell>
        </row>
        <row r="517">
          <cell r="AU517">
            <v>97.011248461874814</v>
          </cell>
        </row>
        <row r="518">
          <cell r="AU518">
            <v>98.283916514367903</v>
          </cell>
        </row>
        <row r="519">
          <cell r="AU519">
            <v>98.396014539498395</v>
          </cell>
        </row>
        <row r="520">
          <cell r="AU520">
            <v>97.854296701656025</v>
          </cell>
        </row>
        <row r="521">
          <cell r="AU521">
            <v>95.428407789866725</v>
          </cell>
        </row>
        <row r="522">
          <cell r="AU522">
            <v>97.99538000287356</v>
          </cell>
        </row>
        <row r="523">
          <cell r="AU523">
            <v>95.729634833153412</v>
          </cell>
        </row>
        <row r="524">
          <cell r="AU524">
            <v>96.651238339921917</v>
          </cell>
        </row>
        <row r="525">
          <cell r="AU525">
            <v>95.154518668294898</v>
          </cell>
        </row>
        <row r="526">
          <cell r="AU526">
            <v>98.892713086542798</v>
          </cell>
        </row>
        <row r="527">
          <cell r="AU527">
            <v>97.520711041698107</v>
          </cell>
        </row>
        <row r="528">
          <cell r="AU528">
            <v>97.450970277914166</v>
          </cell>
        </row>
        <row r="529">
          <cell r="AU529">
            <v>97.733634215304093</v>
          </cell>
        </row>
        <row r="530">
          <cell r="AU530">
            <v>99.525778970395052</v>
          </cell>
        </row>
        <row r="531">
          <cell r="AU531">
            <v>98.681008627727124</v>
          </cell>
        </row>
        <row r="532">
          <cell r="AU532">
            <v>102.14224681645948</v>
          </cell>
        </row>
        <row r="533">
          <cell r="AU533">
            <v>94.522395450056479</v>
          </cell>
        </row>
        <row r="534">
          <cell r="AU534">
            <v>98.098897075542141</v>
          </cell>
        </row>
        <row r="535">
          <cell r="AU535">
            <v>97.520430517125718</v>
          </cell>
        </row>
        <row r="536">
          <cell r="AU536">
            <v>98.116820172982628</v>
          </cell>
        </row>
        <row r="537">
          <cell r="AU537">
            <v>99.289078263260194</v>
          </cell>
        </row>
        <row r="538">
          <cell r="AU538">
            <v>97.939517976186764</v>
          </cell>
        </row>
        <row r="539">
          <cell r="AU539">
            <v>99.02629043970073</v>
          </cell>
        </row>
        <row r="540">
          <cell r="AU540">
            <v>92.480657542018434</v>
          </cell>
        </row>
        <row r="541">
          <cell r="AU541">
            <v>99.412357848822381</v>
          </cell>
        </row>
        <row r="542">
          <cell r="AU542">
            <v>96.49844356306086</v>
          </cell>
        </row>
        <row r="543">
          <cell r="AU543">
            <v>96.942525007854016</v>
          </cell>
        </row>
        <row r="544">
          <cell r="AU544">
            <v>97.91935961128155</v>
          </cell>
        </row>
        <row r="545">
          <cell r="AU545">
            <v>98.363446655942425</v>
          </cell>
        </row>
        <row r="546">
          <cell r="AU546">
            <v>101.03394439430311</v>
          </cell>
        </row>
        <row r="547">
          <cell r="AU547">
            <v>99.732285524420973</v>
          </cell>
        </row>
        <row r="548">
          <cell r="AU548">
            <v>97.47590491831717</v>
          </cell>
        </row>
        <row r="549">
          <cell r="AU549">
            <v>99.289078263260194</v>
          </cell>
        </row>
        <row r="550">
          <cell r="AU550">
            <v>103.6522838624015</v>
          </cell>
        </row>
        <row r="551">
          <cell r="AU551">
            <v>98.416232687970393</v>
          </cell>
        </row>
        <row r="552">
          <cell r="AU552">
            <v>97.710255322201732</v>
          </cell>
        </row>
        <row r="553">
          <cell r="AU553">
            <v>100.99146882475272</v>
          </cell>
        </row>
        <row r="554">
          <cell r="AU554">
            <v>96.949674647987464</v>
          </cell>
        </row>
        <row r="555">
          <cell r="AU555">
            <v>101.72160029026291</v>
          </cell>
        </row>
        <row r="556">
          <cell r="AU556">
            <v>97.553132584643137</v>
          </cell>
        </row>
        <row r="557">
          <cell r="AU557">
            <v>99.5590993434582</v>
          </cell>
        </row>
        <row r="558">
          <cell r="AU558">
            <v>98.012550227443327</v>
          </cell>
        </row>
        <row r="559">
          <cell r="AU559">
            <v>96.331969753365684</v>
          </cell>
        </row>
        <row r="560">
          <cell r="AU560">
            <v>97.974745026258816</v>
          </cell>
        </row>
        <row r="561">
          <cell r="AU561">
            <v>97.469441737692662</v>
          </cell>
        </row>
        <row r="562">
          <cell r="AU562">
            <v>98.110462198248086</v>
          </cell>
        </row>
        <row r="563">
          <cell r="AU563">
            <v>98.709564869595852</v>
          </cell>
        </row>
        <row r="564">
          <cell r="AU564">
            <v>99.532596918424787</v>
          </cell>
        </row>
        <row r="565">
          <cell r="AU565">
            <v>98.714479401126994</v>
          </cell>
        </row>
        <row r="566">
          <cell r="AU566">
            <v>100.74778296899167</v>
          </cell>
        </row>
        <row r="567">
          <cell r="AU567">
            <v>95.259026995380694</v>
          </cell>
        </row>
        <row r="568">
          <cell r="AU568">
            <v>99.207063166935825</v>
          </cell>
        </row>
        <row r="569">
          <cell r="AU569">
            <v>96.139471578525743</v>
          </cell>
        </row>
        <row r="570">
          <cell r="AU570">
            <v>98.449159710442089</v>
          </cell>
        </row>
        <row r="571">
          <cell r="AU571">
            <v>99.224349944382595</v>
          </cell>
        </row>
        <row r="572">
          <cell r="AU572">
            <v>98.642957268927205</v>
          </cell>
        </row>
        <row r="573">
          <cell r="AU573">
            <v>98.174932925496933</v>
          </cell>
        </row>
        <row r="574">
          <cell r="AU574">
            <v>100.46060714075915</v>
          </cell>
        </row>
        <row r="575">
          <cell r="AU575">
            <v>96.755045495948551</v>
          </cell>
        </row>
        <row r="576">
          <cell r="AU576">
            <v>99.853992090356243</v>
          </cell>
        </row>
        <row r="577">
          <cell r="AU577">
            <v>96.738729431574484</v>
          </cell>
        </row>
        <row r="578">
          <cell r="AU578">
            <v>97.695306890721909</v>
          </cell>
        </row>
        <row r="580">
          <cell r="AU580">
            <v>102.69776412900535</v>
          </cell>
        </row>
        <row r="581">
          <cell r="AU581">
            <v>97.88686631599785</v>
          </cell>
        </row>
        <row r="582">
          <cell r="AU582">
            <v>98.571257731235903</v>
          </cell>
        </row>
        <row r="583">
          <cell r="AU583">
            <v>98.571043835715642</v>
          </cell>
        </row>
        <row r="584">
          <cell r="AU584">
            <v>95.185471356899995</v>
          </cell>
        </row>
        <row r="585">
          <cell r="AU585">
            <v>99.17946707080003</v>
          </cell>
        </row>
        <row r="586">
          <cell r="AU586">
            <v>99.543727878925864</v>
          </cell>
        </row>
        <row r="587">
          <cell r="AU587">
            <v>97.889917934748922</v>
          </cell>
        </row>
        <row r="588">
          <cell r="AU588">
            <v>95.859275440725924</v>
          </cell>
        </row>
        <row r="589">
          <cell r="AU589">
            <v>96.645007206633522</v>
          </cell>
        </row>
        <row r="590">
          <cell r="AU590">
            <v>97.963146495004423</v>
          </cell>
        </row>
        <row r="591">
          <cell r="AU591">
            <v>99.511669092016191</v>
          </cell>
        </row>
        <row r="592">
          <cell r="AU592">
            <v>98.972456085637489</v>
          </cell>
        </row>
        <row r="593">
          <cell r="AU593">
            <v>98.415610512021729</v>
          </cell>
        </row>
        <row r="594">
          <cell r="AU594">
            <v>92.972627372087828</v>
          </cell>
        </row>
        <row r="595">
          <cell r="AU595">
            <v>98.283084887352516</v>
          </cell>
        </row>
        <row r="596">
          <cell r="AU596">
            <v>95.916153578466137</v>
          </cell>
        </row>
        <row r="597">
          <cell r="AU597">
            <v>99.582809845661828</v>
          </cell>
        </row>
        <row r="598">
          <cell r="AU598">
            <v>98.686815200406429</v>
          </cell>
        </row>
        <row r="599">
          <cell r="AU599">
            <v>98.396971333088018</v>
          </cell>
        </row>
        <row r="600">
          <cell r="AU600">
            <v>99.186447868618828</v>
          </cell>
        </row>
        <row r="601">
          <cell r="AU601">
            <v>98.626813340527619</v>
          </cell>
        </row>
        <row r="602">
          <cell r="AU602">
            <v>99.453237334018112</v>
          </cell>
        </row>
        <row r="603">
          <cell r="AU603">
            <v>97.788737373526942</v>
          </cell>
        </row>
        <row r="604">
          <cell r="AU604">
            <v>102.03955950290941</v>
          </cell>
        </row>
        <row r="605">
          <cell r="AU605">
            <v>102.10932922097018</v>
          </cell>
        </row>
        <row r="606">
          <cell r="AU606">
            <v>100.02277176135468</v>
          </cell>
        </row>
        <row r="607">
          <cell r="AU607">
            <v>99.31851681214593</v>
          </cell>
        </row>
        <row r="608">
          <cell r="AU608">
            <v>104.17809812254752</v>
          </cell>
        </row>
        <row r="609">
          <cell r="AU609">
            <v>99.244839917035478</v>
          </cell>
        </row>
        <row r="610">
          <cell r="AU610">
            <v>100.18083762081626</v>
          </cell>
        </row>
        <row r="611">
          <cell r="AU611">
            <v>98.931213213201133</v>
          </cell>
        </row>
        <row r="612">
          <cell r="AU612">
            <v>95.871754585259907</v>
          </cell>
        </row>
        <row r="613">
          <cell r="AU613">
            <v>96.469806047070719</v>
          </cell>
        </row>
        <row r="614">
          <cell r="AU614">
            <v>99.97962239398484</v>
          </cell>
        </row>
        <row r="615">
          <cell r="AU615">
            <v>100.43692372257216</v>
          </cell>
        </row>
        <row r="616">
          <cell r="AU616">
            <v>103.89768567471857</v>
          </cell>
        </row>
        <row r="617">
          <cell r="AU617">
            <v>99.462259754574006</v>
          </cell>
        </row>
        <row r="618">
          <cell r="AU618">
            <v>105.95914769207411</v>
          </cell>
        </row>
        <row r="619">
          <cell r="AU619">
            <v>99.880376931714494</v>
          </cell>
        </row>
        <row r="620">
          <cell r="AU620">
            <v>97.789021546474856</v>
          </cell>
        </row>
        <row r="621">
          <cell r="AU621">
            <v>99.121390865142828</v>
          </cell>
        </row>
        <row r="622">
          <cell r="AU622">
            <v>100.60238313741721</v>
          </cell>
        </row>
        <row r="623">
          <cell r="AU623">
            <v>99.619937989590866</v>
          </cell>
        </row>
        <row r="624">
          <cell r="AU624">
            <v>96.02723351981524</v>
          </cell>
        </row>
        <row r="625">
          <cell r="AU625">
            <v>100.34637549466056</v>
          </cell>
        </row>
        <row r="626">
          <cell r="AU626">
            <v>99.024059657078709</v>
          </cell>
        </row>
        <row r="627">
          <cell r="AU627">
            <v>100.72779578911953</v>
          </cell>
        </row>
        <row r="628">
          <cell r="AU628">
            <v>95.062413786977345</v>
          </cell>
        </row>
        <row r="629">
          <cell r="AU629">
            <v>100.19998827600605</v>
          </cell>
        </row>
        <row r="630">
          <cell r="AU630">
            <v>96.770453619089452</v>
          </cell>
        </row>
        <row r="631">
          <cell r="AU631">
            <v>98.89554470892142</v>
          </cell>
        </row>
        <row r="632">
          <cell r="AU632">
            <v>100.67434879413655</v>
          </cell>
        </row>
        <row r="633">
          <cell r="AU633">
            <v>100.86706866858944</v>
          </cell>
        </row>
        <row r="634">
          <cell r="AU634">
            <v>98.908486249601395</v>
          </cell>
        </row>
        <row r="635">
          <cell r="AU635">
            <v>97.04819842597729</v>
          </cell>
        </row>
        <row r="636">
          <cell r="AU636">
            <v>94.762519708980534</v>
          </cell>
        </row>
        <row r="637">
          <cell r="AU637">
            <v>97.914703316763664</v>
          </cell>
        </row>
        <row r="638">
          <cell r="AU638">
            <v>99.055189518738786</v>
          </cell>
        </row>
        <row r="639">
          <cell r="AU639">
            <v>99.280004783298395</v>
          </cell>
        </row>
        <row r="640">
          <cell r="AU640">
            <v>97.703493169177563</v>
          </cell>
        </row>
        <row r="641">
          <cell r="AU641">
            <v>98.395012844387324</v>
          </cell>
        </row>
        <row r="642">
          <cell r="AU642">
            <v>99.267754869638566</v>
          </cell>
        </row>
        <row r="643">
          <cell r="AU643">
            <v>98.363616167337554</v>
          </cell>
        </row>
        <row r="644">
          <cell r="AU644">
            <v>95.518861174528027</v>
          </cell>
        </row>
        <row r="645">
          <cell r="AU645">
            <v>97.110774474396919</v>
          </cell>
        </row>
        <row r="646">
          <cell r="AU646">
            <v>99.389923122874848</v>
          </cell>
        </row>
        <row r="647">
          <cell r="AU647">
            <v>97.540187032709667</v>
          </cell>
        </row>
        <row r="648">
          <cell r="AU648">
            <v>97.365271655099377</v>
          </cell>
        </row>
        <row r="649">
          <cell r="AU649">
            <v>97.631449601667157</v>
          </cell>
        </row>
        <row r="650">
          <cell r="AU650">
            <v>96.689090831338149</v>
          </cell>
        </row>
        <row r="651">
          <cell r="AU651">
            <v>97.882815113244646</v>
          </cell>
        </row>
        <row r="652">
          <cell r="AU652">
            <v>96.445959569089808</v>
          </cell>
        </row>
        <row r="655">
          <cell r="A655" t="str">
            <v>CA547</v>
          </cell>
          <cell r="P655">
            <v>64</v>
          </cell>
          <cell r="Q655">
            <v>9.3090909090909051</v>
          </cell>
          <cell r="T655">
            <v>0.83680555555555558</v>
          </cell>
          <cell r="U655">
            <v>0.95347222222222228</v>
          </cell>
          <cell r="V655">
            <v>60</v>
          </cell>
          <cell r="Z655">
            <v>0.24513888888888891</v>
          </cell>
          <cell r="AF655">
            <v>52.3</v>
          </cell>
          <cell r="AG655">
            <v>11.9</v>
          </cell>
          <cell r="AI655">
            <v>49.7</v>
          </cell>
          <cell r="AU655">
            <v>96.304712396353338</v>
          </cell>
          <cell r="AV655">
            <v>97.912270782605574</v>
          </cell>
          <cell r="AX655" t="str">
            <v>K.Benjamin</v>
          </cell>
        </row>
        <row r="656">
          <cell r="A656" t="str">
            <v>CA548</v>
          </cell>
          <cell r="P656">
            <v>60</v>
          </cell>
          <cell r="Q656">
            <v>8.2032667876588068</v>
          </cell>
          <cell r="T656">
            <v>0.93402777777777779</v>
          </cell>
          <cell r="U656">
            <v>1.0479166666666666</v>
          </cell>
          <cell r="V656">
            <v>61</v>
          </cell>
          <cell r="Z656">
            <v>0.23541666666666661</v>
          </cell>
          <cell r="AF656">
            <v>53</v>
          </cell>
          <cell r="AG656">
            <v>11.7</v>
          </cell>
          <cell r="AI656">
            <v>52.2</v>
          </cell>
          <cell r="AU656">
            <v>99.118181278953728</v>
          </cell>
          <cell r="AV656">
            <v>100.77306229523796</v>
          </cell>
          <cell r="AX656" t="str">
            <v>K.Benjamin</v>
          </cell>
        </row>
        <row r="657">
          <cell r="A657" t="str">
            <v>CA549</v>
          </cell>
          <cell r="P657">
            <v>60</v>
          </cell>
          <cell r="Q657">
            <v>8.2647584973166328</v>
          </cell>
          <cell r="T657">
            <v>1.0340277777777778</v>
          </cell>
          <cell r="U657">
            <v>1.1395833333333334</v>
          </cell>
          <cell r="V657">
            <v>55</v>
          </cell>
          <cell r="Z657">
            <v>0.25069444444444455</v>
          </cell>
          <cell r="AF657">
            <v>52.4</v>
          </cell>
          <cell r="AG657">
            <v>11.9</v>
          </cell>
          <cell r="AI657">
            <v>50.5</v>
          </cell>
          <cell r="AU657">
            <v>97.615120353834655</v>
          </cell>
          <cell r="AV657">
            <v>99.244906206353761</v>
          </cell>
          <cell r="AX657" t="str">
            <v>R. Regis</v>
          </cell>
        </row>
        <row r="658">
          <cell r="A658" t="str">
            <v>CA550</v>
          </cell>
          <cell r="P658">
            <v>60</v>
          </cell>
          <cell r="Q658">
            <v>7.769784172661871</v>
          </cell>
          <cell r="T658">
            <v>1.1368055555555556</v>
          </cell>
          <cell r="U658">
            <v>1.25</v>
          </cell>
          <cell r="V658">
            <v>65</v>
          </cell>
          <cell r="Z658">
            <v>0.25</v>
          </cell>
          <cell r="AF658">
            <v>53.7</v>
          </cell>
          <cell r="AG658">
            <v>11.9</v>
          </cell>
          <cell r="AI658">
            <v>52.8</v>
          </cell>
          <cell r="AU658">
            <v>103.15419336170059</v>
          </cell>
          <cell r="AV658">
            <v>104.94946773172981</v>
          </cell>
          <cell r="AX658" t="str">
            <v>R. Regis</v>
          </cell>
        </row>
        <row r="659">
          <cell r="A659" t="str">
            <v>CA551</v>
          </cell>
          <cell r="P659">
            <v>60</v>
          </cell>
          <cell r="Q659">
            <v>8.4135472370766458</v>
          </cell>
          <cell r="T659">
            <v>0.22708333333333333</v>
          </cell>
          <cell r="U659">
            <v>0.33333333333333331</v>
          </cell>
          <cell r="V659">
            <v>57</v>
          </cell>
          <cell r="Z659">
            <v>0.25</v>
          </cell>
          <cell r="AF659">
            <v>52.1</v>
          </cell>
          <cell r="AG659">
            <v>12</v>
          </cell>
          <cell r="AI659">
            <v>50.3</v>
          </cell>
          <cell r="AU659">
            <v>98.649637600523405</v>
          </cell>
          <cell r="AV659">
            <v>100.3668892693979</v>
          </cell>
          <cell r="AX659" t="str">
            <v>R. Regis</v>
          </cell>
        </row>
        <row r="660">
          <cell r="A660" t="str">
            <v>CA552</v>
          </cell>
          <cell r="P660">
            <v>57</v>
          </cell>
          <cell r="Q660">
            <v>4.1187384044526887</v>
          </cell>
          <cell r="T660">
            <v>0.31736111111111109</v>
          </cell>
          <cell r="U660">
            <v>0.41944444444444445</v>
          </cell>
          <cell r="V660">
            <v>62</v>
          </cell>
          <cell r="Z660">
            <v>0.25277777777777777</v>
          </cell>
          <cell r="AF660">
            <v>52.4</v>
          </cell>
          <cell r="AG660">
            <v>11.8</v>
          </cell>
          <cell r="AI660">
            <v>50.9</v>
          </cell>
          <cell r="AU660">
            <v>97.957124540291332</v>
          </cell>
          <cell r="AV660">
            <v>99.662413420354952</v>
          </cell>
          <cell r="AX660" t="str">
            <v>R. Sookram</v>
          </cell>
        </row>
        <row r="661">
          <cell r="A661" t="str">
            <v>CA553</v>
          </cell>
          <cell r="P661">
            <v>59</v>
          </cell>
          <cell r="Q661">
            <v>6.7513611615244979</v>
          </cell>
          <cell r="T661">
            <v>0.4201388888888889</v>
          </cell>
          <cell r="U661">
            <v>0.53194444444444444</v>
          </cell>
          <cell r="V661">
            <v>70</v>
          </cell>
          <cell r="Z661">
            <v>0.27152777777777776</v>
          </cell>
          <cell r="AF661">
            <v>52.5</v>
          </cell>
          <cell r="AG661">
            <v>11.7</v>
          </cell>
          <cell r="AI661">
            <v>50.4</v>
          </cell>
          <cell r="AU661">
            <v>96.012096709224608</v>
          </cell>
          <cell r="AV661">
            <v>97.683615663776763</v>
          </cell>
          <cell r="AX661" t="str">
            <v>R. Sookram</v>
          </cell>
        </row>
        <row r="662">
          <cell r="A662" t="str">
            <v>CA554</v>
          </cell>
          <cell r="P662">
            <v>60</v>
          </cell>
          <cell r="Q662">
            <v>6.003616636528017</v>
          </cell>
          <cell r="T662">
            <v>0.51388888888888884</v>
          </cell>
          <cell r="U662">
            <v>0.62222222222222223</v>
          </cell>
          <cell r="V662">
            <v>61</v>
          </cell>
          <cell r="Z662">
            <v>0.24722222222222223</v>
          </cell>
          <cell r="AF662">
            <v>53.1</v>
          </cell>
          <cell r="AG662">
            <v>11.8</v>
          </cell>
          <cell r="AI662">
            <v>51.3</v>
          </cell>
          <cell r="AU662">
            <v>98.848570813828061</v>
          </cell>
          <cell r="AV662">
            <v>100.56928542895204</v>
          </cell>
          <cell r="AX662" t="str">
            <v>R. Sookram</v>
          </cell>
        </row>
        <row r="663">
          <cell r="A663" t="str">
            <v>CA555</v>
          </cell>
          <cell r="P663">
            <v>61</v>
          </cell>
          <cell r="Q663">
            <v>6.8131868131868112</v>
          </cell>
          <cell r="T663">
            <v>0.66805555555555551</v>
          </cell>
          <cell r="U663">
            <v>0.77986111111111112</v>
          </cell>
          <cell r="V663">
            <v>59</v>
          </cell>
          <cell r="Z663">
            <v>0.23819444444444449</v>
          </cell>
          <cell r="AF663">
            <v>53.1</v>
          </cell>
          <cell r="AG663">
            <v>11.8</v>
          </cell>
          <cell r="AI663">
            <v>50</v>
          </cell>
          <cell r="AU663">
            <v>95.560563500415711</v>
          </cell>
          <cell r="AV663">
            <v>97.15639085039119</v>
          </cell>
          <cell r="AX663" t="str">
            <v>K.Benjamin</v>
          </cell>
        </row>
        <row r="664">
          <cell r="A664" t="str">
            <v>CA556</v>
          </cell>
          <cell r="P664">
            <v>61</v>
          </cell>
          <cell r="Q664">
            <v>7.2826086956521792</v>
          </cell>
          <cell r="T664">
            <v>0.75763888888888886</v>
          </cell>
          <cell r="U664">
            <v>0.86041666666666672</v>
          </cell>
          <cell r="V664">
            <v>54</v>
          </cell>
          <cell r="Z664">
            <v>0.23541666666666672</v>
          </cell>
          <cell r="AF664">
            <v>52</v>
          </cell>
          <cell r="AG664">
            <v>11.9</v>
          </cell>
          <cell r="AI664">
            <v>50</v>
          </cell>
          <cell r="AU664">
            <v>96.767185693620888</v>
          </cell>
          <cell r="AV664">
            <v>98.382639351098504</v>
          </cell>
          <cell r="AX664" t="str">
            <v>K.Benjamin</v>
          </cell>
        </row>
        <row r="665">
          <cell r="A665" t="str">
            <v>CA557</v>
          </cell>
          <cell r="P665">
            <v>62</v>
          </cell>
          <cell r="Q665">
            <v>6.1732851985559476</v>
          </cell>
          <cell r="T665">
            <v>0.84236111111111112</v>
          </cell>
          <cell r="U665">
            <v>0.95277777777777772</v>
          </cell>
          <cell r="V665">
            <v>58</v>
          </cell>
          <cell r="Z665">
            <v>0.24444444444444435</v>
          </cell>
          <cell r="AF665">
            <v>51.9</v>
          </cell>
          <cell r="AG665">
            <v>12</v>
          </cell>
          <cell r="AI665">
            <v>50.7</v>
          </cell>
          <cell r="AU665">
            <v>98.867593495342305</v>
          </cell>
          <cell r="AV665">
            <v>100.51829068822846</v>
          </cell>
          <cell r="AX665" t="str">
            <v>K.Benjamin</v>
          </cell>
        </row>
        <row r="666">
          <cell r="A666" t="str">
            <v>CA558</v>
          </cell>
          <cell r="P666">
            <v>60</v>
          </cell>
          <cell r="Q666">
            <v>5.8333333333333304</v>
          </cell>
          <cell r="T666">
            <v>0.93333333333333335</v>
          </cell>
          <cell r="U666">
            <v>1.0416666666666667</v>
          </cell>
          <cell r="V666">
            <v>59</v>
          </cell>
          <cell r="Z666">
            <v>0.25000000000000011</v>
          </cell>
          <cell r="AF666">
            <v>52.7</v>
          </cell>
          <cell r="AG666">
            <v>11.7</v>
          </cell>
          <cell r="AI666">
            <v>50.9</v>
          </cell>
          <cell r="AU666">
            <v>97.323462586589443</v>
          </cell>
          <cell r="AV666">
            <v>99.017536936354915</v>
          </cell>
          <cell r="AX666" t="str">
            <v>R. Regis</v>
          </cell>
        </row>
        <row r="667">
          <cell r="A667" t="str">
            <v>CA559</v>
          </cell>
          <cell r="P667">
            <v>60</v>
          </cell>
          <cell r="Q667">
            <v>6.690647482014386</v>
          </cell>
          <cell r="T667">
            <v>1.023611111111111</v>
          </cell>
          <cell r="U667">
            <v>1.1493055555555556</v>
          </cell>
          <cell r="V667">
            <v>65</v>
          </cell>
          <cell r="Z667">
            <v>0.28125</v>
          </cell>
          <cell r="AF667">
            <v>53.9</v>
          </cell>
          <cell r="AG667">
            <v>11.6</v>
          </cell>
          <cell r="AI667">
            <v>52.2</v>
          </cell>
          <cell r="AU667">
            <v>99.15607004057388</v>
          </cell>
          <cell r="AV667">
            <v>100.881856137368</v>
          </cell>
          <cell r="AX667" t="str">
            <v>R. Regis</v>
          </cell>
        </row>
        <row r="668">
          <cell r="A668" t="str">
            <v>CA560</v>
          </cell>
          <cell r="P668">
            <v>61</v>
          </cell>
          <cell r="Q668">
            <v>8.4587813620071675</v>
          </cell>
          <cell r="T668">
            <v>1.1222222222222222</v>
          </cell>
          <cell r="U668">
            <v>1.2493055555555554</v>
          </cell>
          <cell r="V668">
            <v>66</v>
          </cell>
          <cell r="Z668">
            <v>0.30486111111111103</v>
          </cell>
          <cell r="AF668">
            <v>51.8</v>
          </cell>
          <cell r="AG668">
            <v>11.9</v>
          </cell>
          <cell r="AI668">
            <v>50.1</v>
          </cell>
          <cell r="AU668">
            <v>97.637464665363979</v>
          </cell>
          <cell r="AV668">
            <v>99.336912393604095</v>
          </cell>
          <cell r="AX668" t="str">
            <v>R. Regis</v>
          </cell>
        </row>
        <row r="669">
          <cell r="A669" t="str">
            <v>CA561</v>
          </cell>
          <cell r="P669">
            <v>60</v>
          </cell>
          <cell r="Q669">
            <v>9.2086330935251741</v>
          </cell>
          <cell r="T669">
            <v>0.22916666666666666</v>
          </cell>
          <cell r="U669">
            <v>0.34375</v>
          </cell>
          <cell r="V669">
            <v>61</v>
          </cell>
          <cell r="Z669">
            <v>0.28472222222222221</v>
          </cell>
          <cell r="AF669">
            <v>51.2</v>
          </cell>
          <cell r="AG669">
            <v>11.7</v>
          </cell>
          <cell r="AI669">
            <v>51.1</v>
          </cell>
          <cell r="AU669">
            <v>97.705873048619281</v>
          </cell>
          <cell r="AV669">
            <v>99.406603879130401</v>
          </cell>
          <cell r="AX669" t="str">
            <v>R. Regis</v>
          </cell>
        </row>
        <row r="670">
          <cell r="A670" t="str">
            <v>CA562</v>
          </cell>
          <cell r="P670">
            <v>58</v>
          </cell>
          <cell r="Q670">
            <v>4.2105263157894743</v>
          </cell>
          <cell r="T670">
            <v>0.31736111111111109</v>
          </cell>
          <cell r="U670">
            <v>0.4375</v>
          </cell>
          <cell r="V670">
            <v>62</v>
          </cell>
          <cell r="Z670">
            <v>0.25</v>
          </cell>
          <cell r="AF670">
            <v>53.5</v>
          </cell>
          <cell r="AG670">
            <v>11.6</v>
          </cell>
          <cell r="AI670">
            <v>52</v>
          </cell>
          <cell r="AU670">
            <v>94.605058854812228</v>
          </cell>
          <cell r="AV670">
            <v>96.189215982554941</v>
          </cell>
          <cell r="AX670" t="str">
            <v>D. Gomez</v>
          </cell>
        </row>
        <row r="671">
          <cell r="A671" t="str">
            <v>CA563</v>
          </cell>
          <cell r="P671">
            <v>59</v>
          </cell>
          <cell r="Q671">
            <v>7.658802177858437</v>
          </cell>
          <cell r="T671">
            <v>0.88888888888888884</v>
          </cell>
          <cell r="U671">
            <v>1.0131944444444445</v>
          </cell>
          <cell r="V671">
            <v>61</v>
          </cell>
          <cell r="Z671">
            <v>0.25625000000000009</v>
          </cell>
          <cell r="AF671">
            <v>51.6</v>
          </cell>
          <cell r="AG671">
            <v>12</v>
          </cell>
          <cell r="AI671">
            <v>48.7</v>
          </cell>
          <cell r="AU671">
            <v>95.083980735081909</v>
          </cell>
          <cell r="AV671">
            <v>96.671334581791371</v>
          </cell>
          <cell r="AX671" t="str">
            <v>K.Benjamin</v>
          </cell>
        </row>
        <row r="672">
          <cell r="A672" t="str">
            <v>CA564</v>
          </cell>
          <cell r="P672">
            <v>59</v>
          </cell>
          <cell r="Q672">
            <v>9.2063492063492038</v>
          </cell>
          <cell r="T672">
            <v>0.98055555555555551</v>
          </cell>
          <cell r="U672">
            <v>1.0895833333333333</v>
          </cell>
          <cell r="V672">
            <v>60</v>
          </cell>
          <cell r="Z672">
            <v>0.24930555555555556</v>
          </cell>
          <cell r="AF672">
            <v>53.1</v>
          </cell>
          <cell r="AG672">
            <v>11.9</v>
          </cell>
          <cell r="AI672">
            <v>51.3</v>
          </cell>
          <cell r="AU672">
            <v>98.919122365093997</v>
          </cell>
          <cell r="AV672">
            <v>100.57103645102447</v>
          </cell>
          <cell r="AX672" t="str">
            <v>R. Regis</v>
          </cell>
        </row>
        <row r="673">
          <cell r="A673" t="str">
            <v>CA565</v>
          </cell>
          <cell r="P673">
            <v>60</v>
          </cell>
          <cell r="Q673">
            <v>6.151079136690651</v>
          </cell>
          <cell r="T673">
            <v>1.0694444444444444</v>
          </cell>
          <cell r="U673">
            <v>1.1770833333333333</v>
          </cell>
          <cell r="V673">
            <v>58</v>
          </cell>
          <cell r="Z673">
            <v>0.2534722222222221</v>
          </cell>
          <cell r="AF673">
            <v>52.9</v>
          </cell>
          <cell r="AG673">
            <v>11.8</v>
          </cell>
          <cell r="AI673">
            <v>50.9</v>
          </cell>
          <cell r="AU673">
            <v>97.638634437393492</v>
          </cell>
          <cell r="AV673">
            <v>99.268636260660372</v>
          </cell>
          <cell r="AX673" t="str">
            <v>R. Regis</v>
          </cell>
        </row>
        <row r="674">
          <cell r="A674" t="str">
            <v>CA566</v>
          </cell>
          <cell r="P674">
            <v>60</v>
          </cell>
          <cell r="Q674">
            <v>6.2857142857142794</v>
          </cell>
          <cell r="T674">
            <v>0.18333333333333332</v>
          </cell>
          <cell r="U674">
            <v>0.29444444444444445</v>
          </cell>
          <cell r="V674">
            <v>62</v>
          </cell>
          <cell r="Z674">
            <v>0.25277777777777777</v>
          </cell>
          <cell r="AF674">
            <v>53.6</v>
          </cell>
          <cell r="AG674">
            <v>11.8</v>
          </cell>
          <cell r="AI674">
            <v>51.7</v>
          </cell>
          <cell r="AU674">
            <v>98.930528450895224</v>
          </cell>
          <cell r="AV674">
            <v>100.58245492918194</v>
          </cell>
          <cell r="AX674" t="str">
            <v>R. Regis</v>
          </cell>
        </row>
        <row r="675">
          <cell r="A675" t="str">
            <v>CA567</v>
          </cell>
          <cell r="P675">
            <v>60</v>
          </cell>
          <cell r="Q675">
            <v>6.4412811387900435</v>
          </cell>
          <cell r="T675">
            <v>0.28888888888888886</v>
          </cell>
          <cell r="U675">
            <v>0.39305555555555555</v>
          </cell>
          <cell r="V675">
            <v>63</v>
          </cell>
          <cell r="Z675">
            <v>0.26805555555555555</v>
          </cell>
          <cell r="AF675">
            <v>53.3</v>
          </cell>
          <cell r="AG675">
            <v>11.7</v>
          </cell>
          <cell r="AI675">
            <v>51.4</v>
          </cell>
          <cell r="AU675">
            <v>94.474085231602828</v>
          </cell>
          <cell r="AV675">
            <v>96.055889454475164</v>
          </cell>
          <cell r="AX675" t="str">
            <v>R. Regis</v>
          </cell>
        </row>
        <row r="676">
          <cell r="A676" t="str">
            <v>CA568</v>
          </cell>
          <cell r="P676">
            <v>62</v>
          </cell>
          <cell r="Q676">
            <v>3.8475499092558936</v>
          </cell>
          <cell r="T676">
            <v>0.39097222222222222</v>
          </cell>
          <cell r="U676">
            <v>0.49861111111111112</v>
          </cell>
          <cell r="V676">
            <v>61</v>
          </cell>
          <cell r="Z676">
            <v>0.24513888888888891</v>
          </cell>
          <cell r="AF676">
            <v>53.7</v>
          </cell>
          <cell r="AG676">
            <v>11.6</v>
          </cell>
          <cell r="AI676">
            <v>52</v>
          </cell>
          <cell r="AU676">
            <v>94.381470916534838</v>
          </cell>
          <cell r="AV676">
            <v>95.96220214763116</v>
          </cell>
          <cell r="AX676" t="str">
            <v>D. Gomez</v>
          </cell>
        </row>
        <row r="677">
          <cell r="A677" t="str">
            <v>CA569</v>
          </cell>
          <cell r="P677">
            <v>59</v>
          </cell>
          <cell r="Q677">
            <v>3.8615664845172994</v>
          </cell>
          <cell r="T677">
            <v>0.60763888888888884</v>
          </cell>
          <cell r="U677">
            <v>0.72777777777777775</v>
          </cell>
          <cell r="V677">
            <v>59</v>
          </cell>
          <cell r="Z677">
            <v>0.39097222222222217</v>
          </cell>
          <cell r="AF677">
            <v>53.5</v>
          </cell>
          <cell r="AG677">
            <v>11.9</v>
          </cell>
          <cell r="AI677">
            <v>51.3</v>
          </cell>
          <cell r="AU677">
            <v>96.558973422687743</v>
          </cell>
          <cell r="AV677">
            <v>98.174863218775059</v>
          </cell>
          <cell r="AX677" t="str">
            <v>D. Gomez</v>
          </cell>
        </row>
        <row r="678">
          <cell r="A678" t="str">
            <v>CA570</v>
          </cell>
          <cell r="P678">
            <v>59</v>
          </cell>
          <cell r="Q678">
            <v>3.7992831541218597</v>
          </cell>
          <cell r="T678">
            <v>0.69513888888888886</v>
          </cell>
          <cell r="U678">
            <v>0.81944444444444442</v>
          </cell>
          <cell r="V678">
            <v>54</v>
          </cell>
          <cell r="Z678">
            <v>0.28125</v>
          </cell>
          <cell r="AF678">
            <v>54.4</v>
          </cell>
          <cell r="AG678">
            <v>11.9</v>
          </cell>
          <cell r="AI678">
            <v>52.2</v>
          </cell>
          <cell r="AU678">
            <v>97.902606175842621</v>
          </cell>
          <cell r="AV678">
            <v>99.541482727799746</v>
          </cell>
          <cell r="AX678" t="str">
            <v>K.Benjamin</v>
          </cell>
        </row>
        <row r="679">
          <cell r="A679" t="str">
            <v>CA571</v>
          </cell>
          <cell r="P679">
            <v>60</v>
          </cell>
          <cell r="Q679">
            <v>11.456692913385815</v>
          </cell>
          <cell r="T679">
            <v>0.52152777777777781</v>
          </cell>
          <cell r="U679">
            <v>0.63958333333333328</v>
          </cell>
          <cell r="V679">
            <v>61</v>
          </cell>
          <cell r="Z679">
            <v>0.23680555555555549</v>
          </cell>
          <cell r="AF679">
            <v>46.8</v>
          </cell>
          <cell r="AG679">
            <v>11.6</v>
          </cell>
          <cell r="AU679">
            <v>95.140303221190877</v>
          </cell>
          <cell r="AV679">
            <v>96.715197847917025</v>
          </cell>
          <cell r="AX679" t="str">
            <v>R. Regis</v>
          </cell>
        </row>
        <row r="680">
          <cell r="A680" t="str">
            <v>CA572</v>
          </cell>
          <cell r="P680">
            <v>60</v>
          </cell>
          <cell r="Q680">
            <v>8.0072463768115973</v>
          </cell>
          <cell r="T680">
            <v>0.62152777777777779</v>
          </cell>
          <cell r="U680">
            <v>0.73819444444444449</v>
          </cell>
          <cell r="V680">
            <v>63</v>
          </cell>
          <cell r="Z680">
            <v>0.24513888888888891</v>
          </cell>
          <cell r="AF680">
            <v>53.7</v>
          </cell>
          <cell r="AG680">
            <v>11.7</v>
          </cell>
          <cell r="AI680">
            <v>50.1</v>
          </cell>
          <cell r="AU680">
            <v>94.898144488922568</v>
          </cell>
          <cell r="AV680">
            <v>96.482909677510946</v>
          </cell>
          <cell r="AX680" t="str">
            <v>R. Regis</v>
          </cell>
        </row>
        <row r="681">
          <cell r="A681" t="str">
            <v>CA573</v>
          </cell>
          <cell r="P681">
            <v>57</v>
          </cell>
          <cell r="Q681">
            <v>6.0254083484573506</v>
          </cell>
          <cell r="T681">
            <v>0.72847222222222219</v>
          </cell>
          <cell r="U681">
            <v>0.86736111111111114</v>
          </cell>
          <cell r="V681">
            <v>100</v>
          </cell>
          <cell r="Z681">
            <v>0.27013888888888893</v>
          </cell>
          <cell r="AF681">
            <v>52.5</v>
          </cell>
          <cell r="AG681">
            <v>11.9</v>
          </cell>
          <cell r="AI681">
            <v>51.5</v>
          </cell>
          <cell r="AU681">
            <v>99.426283632825474</v>
          </cell>
          <cell r="AV681">
            <v>101.08648815353855</v>
          </cell>
          <cell r="AX681" t="str">
            <v>R.Sookram</v>
          </cell>
        </row>
        <row r="682">
          <cell r="A682" t="str">
            <v>CA574</v>
          </cell>
          <cell r="P682">
            <v>58</v>
          </cell>
          <cell r="Q682">
            <v>5.1933701657458444</v>
          </cell>
          <cell r="T682">
            <v>0.84236111111111112</v>
          </cell>
          <cell r="U682">
            <v>0.97986111111111107</v>
          </cell>
          <cell r="V682">
            <v>61</v>
          </cell>
          <cell r="Z682">
            <v>0.28541666666666665</v>
          </cell>
          <cell r="AF682">
            <v>52.2</v>
          </cell>
          <cell r="AG682">
            <v>11.5</v>
          </cell>
          <cell r="AI682">
            <v>50</v>
          </cell>
          <cell r="AU682">
            <v>91.882136575823367</v>
          </cell>
          <cell r="AV682">
            <v>93.418167545814839</v>
          </cell>
          <cell r="AX682" t="str">
            <v>R.Sookram</v>
          </cell>
        </row>
        <row r="683">
          <cell r="A683" t="str">
            <v>CA575</v>
          </cell>
          <cell r="P683">
            <v>70</v>
          </cell>
          <cell r="Q683">
            <v>5.8450704225351995</v>
          </cell>
          <cell r="T683">
            <v>0.96250000000000002</v>
          </cell>
          <cell r="U683">
            <v>1.0958333333333334</v>
          </cell>
          <cell r="V683">
            <v>74</v>
          </cell>
          <cell r="Z683">
            <v>0.31805555555555565</v>
          </cell>
          <cell r="AF683">
            <v>59.9</v>
          </cell>
          <cell r="AG683">
            <v>12</v>
          </cell>
          <cell r="AI683">
            <v>58.4</v>
          </cell>
          <cell r="AU683">
            <v>112.50466711601209</v>
          </cell>
          <cell r="AV683">
            <v>114.38505749499643</v>
          </cell>
          <cell r="AX683" t="str">
            <v>R.Sookram</v>
          </cell>
        </row>
        <row r="684">
          <cell r="A684" t="str">
            <v>CA576</v>
          </cell>
          <cell r="P684">
            <v>62</v>
          </cell>
          <cell r="Q684">
            <v>3.5036496350364867</v>
          </cell>
          <cell r="T684">
            <v>1.1618055555555555</v>
          </cell>
          <cell r="U684">
            <v>1.2708333333333333</v>
          </cell>
          <cell r="V684">
            <v>65</v>
          </cell>
          <cell r="Z684">
            <v>0.3388888888888888</v>
          </cell>
          <cell r="AF684">
            <v>53.6</v>
          </cell>
          <cell r="AG684">
            <v>11.8</v>
          </cell>
          <cell r="AI684">
            <v>51.5</v>
          </cell>
          <cell r="AU684">
            <v>95.622664620561409</v>
          </cell>
          <cell r="AV684">
            <v>97.223537723785157</v>
          </cell>
          <cell r="AX684" t="str">
            <v>D. Gomez</v>
          </cell>
        </row>
        <row r="685">
          <cell r="A685" t="str">
            <v>CA577</v>
          </cell>
          <cell r="P685">
            <v>60</v>
          </cell>
          <cell r="Q685">
            <v>8.9292196007259559</v>
          </cell>
          <cell r="T685">
            <v>0.28541666666666665</v>
          </cell>
          <cell r="U685">
            <v>0.40763888888888888</v>
          </cell>
          <cell r="V685">
            <v>60</v>
          </cell>
          <cell r="Z685">
            <v>0.3034722222222222</v>
          </cell>
          <cell r="AF685">
            <v>50.9</v>
          </cell>
          <cell r="AG685">
            <v>11.6</v>
          </cell>
          <cell r="AI685">
            <v>50.9</v>
          </cell>
          <cell r="AU685">
            <v>92.823695592109161</v>
          </cell>
          <cell r="AV685">
            <v>94.377709572004903</v>
          </cell>
          <cell r="AX685" t="str">
            <v>D. Gomez</v>
          </cell>
        </row>
        <row r="686">
          <cell r="A686" t="str">
            <v>CA578</v>
          </cell>
          <cell r="P686">
            <v>60</v>
          </cell>
          <cell r="Q686">
            <v>1.4229249011857685</v>
          </cell>
          <cell r="T686">
            <v>0.42916666666666664</v>
          </cell>
          <cell r="U686">
            <v>0.50694444444444442</v>
          </cell>
          <cell r="V686">
            <v>57</v>
          </cell>
          <cell r="Z686">
            <v>0.31944444444444442</v>
          </cell>
          <cell r="AF686">
            <v>50.6</v>
          </cell>
          <cell r="AG686">
            <v>11.7</v>
          </cell>
          <cell r="AI686">
            <v>50.3</v>
          </cell>
          <cell r="AU686">
            <v>92.782356776262588</v>
          </cell>
          <cell r="AV686">
            <v>94.335363019849467</v>
          </cell>
          <cell r="AX686" t="str">
            <v>R. Regis</v>
          </cell>
        </row>
        <row r="687">
          <cell r="A687" t="str">
            <v>CA579</v>
          </cell>
          <cell r="P687">
            <v>60</v>
          </cell>
          <cell r="Q687">
            <v>8.2647584973166328</v>
          </cell>
          <cell r="T687">
            <v>0.51875000000000004</v>
          </cell>
          <cell r="U687">
            <v>0.63472222222222219</v>
          </cell>
          <cell r="V687">
            <v>61</v>
          </cell>
          <cell r="Z687">
            <v>0.24583333333333329</v>
          </cell>
          <cell r="AF687">
            <v>52</v>
          </cell>
          <cell r="AG687">
            <v>11.6</v>
          </cell>
          <cell r="AI687">
            <v>51.3</v>
          </cell>
          <cell r="AU687">
            <v>93.553154889493129</v>
          </cell>
          <cell r="AV687">
            <v>95.119381159997104</v>
          </cell>
          <cell r="AX687" t="str">
            <v>R. Regis</v>
          </cell>
        </row>
        <row r="688">
          <cell r="A688" t="str">
            <v>CA580</v>
          </cell>
          <cell r="P688">
            <v>57</v>
          </cell>
          <cell r="Q688">
            <v>10.967741935483867</v>
          </cell>
          <cell r="T688">
            <v>0.71250000000000002</v>
          </cell>
          <cell r="U688">
            <v>0.81944444444444442</v>
          </cell>
          <cell r="V688">
            <v>59</v>
          </cell>
          <cell r="Z688">
            <v>0.23611111111111105</v>
          </cell>
          <cell r="AF688">
            <v>51.6</v>
          </cell>
          <cell r="AG688">
            <v>11.5</v>
          </cell>
          <cell r="AI688">
            <v>46.2</v>
          </cell>
          <cell r="AU688">
            <v>86.147235929491302</v>
          </cell>
          <cell r="AV688">
            <v>87.585553536872055</v>
          </cell>
          <cell r="AX688" t="str">
            <v>R. Regis</v>
          </cell>
        </row>
        <row r="689">
          <cell r="A689" t="str">
            <v>CA581</v>
          </cell>
          <cell r="P689">
            <v>57</v>
          </cell>
          <cell r="Q689">
            <v>8.3093525179856069</v>
          </cell>
          <cell r="T689">
            <v>0.80138888888888893</v>
          </cell>
          <cell r="U689">
            <v>0.90555555555555556</v>
          </cell>
          <cell r="V689">
            <v>61</v>
          </cell>
          <cell r="Z689">
            <v>0.23888888888888893</v>
          </cell>
          <cell r="AF689">
            <v>52.1</v>
          </cell>
          <cell r="AG689">
            <v>11.9</v>
          </cell>
          <cell r="AI689">
            <v>50.1</v>
          </cell>
          <cell r="AU689">
            <v>100.87711898473853</v>
          </cell>
          <cell r="AV689">
            <v>102.63038917439627</v>
          </cell>
          <cell r="AX689" t="str">
            <v>R.Sookram</v>
          </cell>
        </row>
        <row r="690">
          <cell r="A690" t="str">
            <v>CA582</v>
          </cell>
          <cell r="P690">
            <v>57</v>
          </cell>
          <cell r="Q690">
            <v>7.6449275362318811</v>
          </cell>
          <cell r="T690">
            <v>0.89097222222222228</v>
          </cell>
          <cell r="U690">
            <v>1.0048611111111112</v>
          </cell>
          <cell r="V690">
            <v>61</v>
          </cell>
          <cell r="Z690">
            <v>0.24791666666666679</v>
          </cell>
          <cell r="AF690">
            <v>52.1</v>
          </cell>
          <cell r="AG690">
            <v>11.8</v>
          </cell>
          <cell r="AI690">
            <v>51.8</v>
          </cell>
          <cell r="AU690">
            <v>100.18232401839731</v>
          </cell>
          <cell r="AV690">
            <v>101.92597180379992</v>
          </cell>
          <cell r="AX690" t="str">
            <v>R.Sookram</v>
          </cell>
        </row>
        <row r="691">
          <cell r="A691" t="str">
            <v>CA583</v>
          </cell>
          <cell r="P691">
            <v>59</v>
          </cell>
          <cell r="Q691">
            <v>5.338208409506402</v>
          </cell>
          <cell r="T691">
            <v>0.97777777777777775</v>
          </cell>
          <cell r="U691">
            <v>1.0840277777777778</v>
          </cell>
          <cell r="V691">
            <v>63</v>
          </cell>
          <cell r="Z691">
            <v>0.24375000000000002</v>
          </cell>
          <cell r="AF691">
            <v>52.5</v>
          </cell>
          <cell r="AG691">
            <v>11.9</v>
          </cell>
          <cell r="AI691">
            <v>50.8</v>
          </cell>
          <cell r="AU691">
            <v>99.246837552545273</v>
          </cell>
          <cell r="AV691">
            <v>100.97410910552793</v>
          </cell>
          <cell r="AX691" t="str">
            <v>R.Sookram</v>
          </cell>
        </row>
        <row r="692">
          <cell r="A692" t="str">
            <v>CA584</v>
          </cell>
          <cell r="P692">
            <v>59</v>
          </cell>
          <cell r="Q692">
            <v>10.807899461400364</v>
          </cell>
          <cell r="T692">
            <v>0.97013888888888888</v>
          </cell>
          <cell r="U692">
            <v>1.0833333333333333</v>
          </cell>
          <cell r="V692">
            <v>58</v>
          </cell>
          <cell r="Z692">
            <v>0.24652777777777768</v>
          </cell>
          <cell r="AF692">
            <v>50.4</v>
          </cell>
          <cell r="AG692">
            <v>12.1</v>
          </cell>
          <cell r="AI692">
            <v>48.5</v>
          </cell>
          <cell r="AU692">
            <v>92.680701282459751</v>
          </cell>
          <cell r="AV692">
            <v>94.232005999786068</v>
          </cell>
          <cell r="AX692" t="str">
            <v>D. Gomez</v>
          </cell>
        </row>
        <row r="693">
          <cell r="A693" t="str">
            <v>CA585</v>
          </cell>
          <cell r="P693">
            <v>58</v>
          </cell>
          <cell r="Q693">
            <v>8.8117001828153558</v>
          </cell>
          <cell r="T693">
            <v>0.39861111111111114</v>
          </cell>
          <cell r="U693">
            <v>0.51527777777777772</v>
          </cell>
          <cell r="V693">
            <v>52</v>
          </cell>
          <cell r="Z693">
            <v>0.24097222222222214</v>
          </cell>
          <cell r="AF693">
            <v>51.4</v>
          </cell>
          <cell r="AG693">
            <v>11.9</v>
          </cell>
          <cell r="AI693">
            <v>48.5</v>
          </cell>
          <cell r="AU693">
            <v>93.065078130770544</v>
          </cell>
          <cell r="AV693">
            <v>94.619897802706646</v>
          </cell>
          <cell r="AX693" t="str">
            <v>G. Mason</v>
          </cell>
        </row>
        <row r="694">
          <cell r="A694" t="str">
            <v>CA586</v>
          </cell>
          <cell r="P694">
            <v>58</v>
          </cell>
          <cell r="Q694">
            <v>7.9783393501804953</v>
          </cell>
          <cell r="T694">
            <v>0.4909722222222222</v>
          </cell>
          <cell r="U694">
            <v>0.59652777777777777</v>
          </cell>
          <cell r="V694">
            <v>57</v>
          </cell>
          <cell r="Z694">
            <v>0.23541666666666666</v>
          </cell>
          <cell r="AF694">
            <v>52.1</v>
          </cell>
          <cell r="AG694">
            <v>11.7</v>
          </cell>
          <cell r="AI694">
            <v>50.6</v>
          </cell>
          <cell r="AU694">
            <v>94.459926054325564</v>
          </cell>
          <cell r="AV694">
            <v>96.039381699305494</v>
          </cell>
          <cell r="AX694" t="str">
            <v>G. Mason</v>
          </cell>
        </row>
        <row r="695">
          <cell r="A695" t="str">
            <v>CA587</v>
          </cell>
          <cell r="P695">
            <v>54</v>
          </cell>
          <cell r="Q695">
            <v>6.9328493647912897</v>
          </cell>
          <cell r="T695">
            <v>0.58819444444444446</v>
          </cell>
          <cell r="U695">
            <v>0.68819444444444444</v>
          </cell>
          <cell r="V695">
            <v>59</v>
          </cell>
          <cell r="Z695">
            <v>0.24375000000000002</v>
          </cell>
          <cell r="AF695">
            <v>52</v>
          </cell>
          <cell r="AG695">
            <v>11.7</v>
          </cell>
          <cell r="AI695">
            <v>48.5</v>
          </cell>
          <cell r="AU695">
            <v>92.774524142416354</v>
          </cell>
          <cell r="AV695">
            <v>94.322478072430968</v>
          </cell>
          <cell r="AX695" t="str">
            <v>G. Mason</v>
          </cell>
        </row>
        <row r="696">
          <cell r="A696" t="str">
            <v>CA588</v>
          </cell>
          <cell r="P696">
            <v>60</v>
          </cell>
          <cell r="Q696">
            <v>9.9280575539568403</v>
          </cell>
          <cell r="T696">
            <v>0.67013888888888884</v>
          </cell>
          <cell r="U696">
            <v>0.78611111111111109</v>
          </cell>
          <cell r="V696">
            <v>61</v>
          </cell>
          <cell r="Z696">
            <v>0.25138888888888888</v>
          </cell>
          <cell r="AF696">
            <v>50.8</v>
          </cell>
          <cell r="AG696">
            <v>11.8</v>
          </cell>
          <cell r="AI696">
            <v>49.8</v>
          </cell>
          <cell r="AU696">
            <v>93.352893936370009</v>
          </cell>
          <cell r="AV696">
            <v>94.914487997582839</v>
          </cell>
          <cell r="AX696" t="str">
            <v>R. Regis</v>
          </cell>
        </row>
        <row r="697">
          <cell r="A697" t="str">
            <v>CA589</v>
          </cell>
          <cell r="P697">
            <v>60</v>
          </cell>
          <cell r="Q697">
            <v>6.353790613718405</v>
          </cell>
          <cell r="T697">
            <v>0.7631944444444444</v>
          </cell>
          <cell r="U697">
            <v>0.87152777777777779</v>
          </cell>
          <cell r="V697">
            <v>59</v>
          </cell>
          <cell r="Z697">
            <v>0.25</v>
          </cell>
          <cell r="AF697">
            <v>52.6</v>
          </cell>
          <cell r="AG697">
            <v>11.8</v>
          </cell>
          <cell r="AI697">
            <v>50.7</v>
          </cell>
          <cell r="AU697">
            <v>98.340629704081778</v>
          </cell>
          <cell r="AV697">
            <v>99.980729948724118</v>
          </cell>
          <cell r="AX697" t="str">
            <v>R. Regis</v>
          </cell>
        </row>
        <row r="698">
          <cell r="A698" t="str">
            <v>CA590</v>
          </cell>
          <cell r="P698">
            <v>61</v>
          </cell>
          <cell r="Q698">
            <v>10.44883303411131</v>
          </cell>
          <cell r="T698">
            <v>0.85069444444444442</v>
          </cell>
          <cell r="U698">
            <v>0.97013888888888888</v>
          </cell>
          <cell r="V698">
            <v>62</v>
          </cell>
          <cell r="Z698">
            <v>0.25138888888888888</v>
          </cell>
          <cell r="AF698">
            <v>50.6</v>
          </cell>
          <cell r="AG698">
            <v>11.8</v>
          </cell>
          <cell r="AI698">
            <v>49.8</v>
          </cell>
          <cell r="AU698">
            <v>92.796721886775444</v>
          </cell>
          <cell r="AV698">
            <v>94.349810158107843</v>
          </cell>
          <cell r="AX698" t="str">
            <v>R. Regis</v>
          </cell>
        </row>
        <row r="699">
          <cell r="A699" t="str">
            <v>CA591</v>
          </cell>
          <cell r="P699">
            <v>59</v>
          </cell>
          <cell r="Q699">
            <v>6.4874551971326122</v>
          </cell>
          <cell r="T699">
            <v>0.96527777777777779</v>
          </cell>
          <cell r="U699">
            <v>1.0743055555555556</v>
          </cell>
          <cell r="V699">
            <v>67</v>
          </cell>
          <cell r="Z699">
            <v>0.24097222222222225</v>
          </cell>
          <cell r="AF699">
            <v>52.6</v>
          </cell>
          <cell r="AG699">
            <v>11.7</v>
          </cell>
          <cell r="AI699">
            <v>50.6</v>
          </cell>
          <cell r="AU699">
            <v>94.00701375647705</v>
          </cell>
          <cell r="AV699">
            <v>95.57954984190927</v>
          </cell>
          <cell r="AX699" t="str">
            <v>R. Regis</v>
          </cell>
        </row>
        <row r="700">
          <cell r="A700" t="str">
            <v>CA592</v>
          </cell>
          <cell r="P700">
            <v>62</v>
          </cell>
          <cell r="Q700">
            <v>8.6071428571428577</v>
          </cell>
          <cell r="T700">
            <v>1.0513888888888889</v>
          </cell>
          <cell r="U700">
            <v>1.1625000000000001</v>
          </cell>
          <cell r="V700">
            <v>60</v>
          </cell>
          <cell r="Z700">
            <v>0.24583333333333346</v>
          </cell>
          <cell r="AF700">
            <v>51.7</v>
          </cell>
          <cell r="AG700">
            <v>11.8</v>
          </cell>
          <cell r="AI700">
            <v>50.9</v>
          </cell>
          <cell r="AU700">
            <v>94.62095793854931</v>
          </cell>
          <cell r="AV700">
            <v>96.204900137296136</v>
          </cell>
          <cell r="AX700" t="str">
            <v>R.Sookram</v>
          </cell>
        </row>
        <row r="701">
          <cell r="A701" t="str">
            <v>CA593</v>
          </cell>
          <cell r="P701">
            <v>61</v>
          </cell>
          <cell r="Q701">
            <v>6.3082437275985601</v>
          </cell>
          <cell r="T701">
            <v>1.14375</v>
          </cell>
          <cell r="U701">
            <v>1.2513888888888889</v>
          </cell>
          <cell r="V701">
            <v>63</v>
          </cell>
          <cell r="Z701">
            <v>0.25138888888888888</v>
          </cell>
          <cell r="AF701">
            <v>53.1</v>
          </cell>
          <cell r="AG701">
            <v>11.6</v>
          </cell>
          <cell r="AI701">
            <v>50.9</v>
          </cell>
          <cell r="AU701">
            <v>93.044640016207893</v>
          </cell>
          <cell r="AV701">
            <v>94.602036399508563</v>
          </cell>
          <cell r="AX701" t="str">
            <v>R.Sookram</v>
          </cell>
        </row>
        <row r="702">
          <cell r="A702" t="str">
            <v>CA594</v>
          </cell>
          <cell r="P702">
            <v>57</v>
          </cell>
          <cell r="Q702">
            <v>6.4527629233511536</v>
          </cell>
          <cell r="T702">
            <v>0.39583333333333331</v>
          </cell>
          <cell r="U702">
            <v>0.49930555555555556</v>
          </cell>
          <cell r="V702">
            <v>56</v>
          </cell>
          <cell r="Z702">
            <v>0.22569444444444442</v>
          </cell>
          <cell r="AF702">
            <v>53.2</v>
          </cell>
          <cell r="AG702">
            <v>11.6</v>
          </cell>
          <cell r="AI702">
            <v>51.3</v>
          </cell>
          <cell r="AU702">
            <v>93.369220627052428</v>
          </cell>
          <cell r="AV702">
            <v>94.931410028931126</v>
          </cell>
          <cell r="AX702" t="str">
            <v>G. Mason</v>
          </cell>
        </row>
        <row r="703">
          <cell r="A703" t="str">
            <v>CA595</v>
          </cell>
          <cell r="P703">
            <v>57</v>
          </cell>
          <cell r="Q703">
            <v>6.5342960288808625</v>
          </cell>
          <cell r="T703">
            <v>0.54583333333333328</v>
          </cell>
          <cell r="U703">
            <v>0.65416666666666667</v>
          </cell>
          <cell r="V703">
            <v>63</v>
          </cell>
          <cell r="Z703">
            <v>0.24791666666666667</v>
          </cell>
          <cell r="AF703">
            <v>52.5</v>
          </cell>
          <cell r="AG703">
            <v>11.9</v>
          </cell>
          <cell r="AI703">
            <v>51.2</v>
          </cell>
          <cell r="AU703">
            <v>99.089598150267804</v>
          </cell>
          <cell r="AV703">
            <v>100.74382269552488</v>
          </cell>
          <cell r="AX703" t="str">
            <v>G. Mason</v>
          </cell>
        </row>
        <row r="704">
          <cell r="A704" t="str">
            <v>CA596</v>
          </cell>
          <cell r="P704">
            <v>59</v>
          </cell>
          <cell r="Q704">
            <v>6.8953068592057774</v>
          </cell>
          <cell r="T704">
            <v>0.63888888888888884</v>
          </cell>
          <cell r="U704">
            <v>0.7416666666666667</v>
          </cell>
          <cell r="V704">
            <v>54</v>
          </cell>
          <cell r="Z704">
            <v>0.25208333333333338</v>
          </cell>
          <cell r="AF704">
            <v>52.3</v>
          </cell>
          <cell r="AG704">
            <v>11.6</v>
          </cell>
          <cell r="AI704">
            <v>51</v>
          </cell>
          <cell r="AU704">
            <v>93.045734095158593</v>
          </cell>
          <cell r="AV704">
            <v>94.602190029810458</v>
          </cell>
          <cell r="AX704" t="str">
            <v>G. Mason</v>
          </cell>
        </row>
        <row r="705">
          <cell r="A705" t="str">
            <v>CA597</v>
          </cell>
          <cell r="P705">
            <v>60</v>
          </cell>
          <cell r="Q705">
            <v>10.091407678244977</v>
          </cell>
          <cell r="T705">
            <v>1.0916666666666666</v>
          </cell>
          <cell r="U705">
            <v>1.21875</v>
          </cell>
          <cell r="V705">
            <v>60</v>
          </cell>
          <cell r="Z705">
            <v>0.25347222222222221</v>
          </cell>
          <cell r="AF705">
            <v>51.1</v>
          </cell>
          <cell r="AG705">
            <v>12</v>
          </cell>
          <cell r="AI705">
            <v>49.3</v>
          </cell>
          <cell r="AU705">
            <v>96.969115359934918</v>
          </cell>
          <cell r="AV705">
            <v>98.586878526027505</v>
          </cell>
          <cell r="AX705" t="str">
            <v>R. Regis</v>
          </cell>
        </row>
        <row r="706">
          <cell r="A706" t="str">
            <v>CA598</v>
          </cell>
          <cell r="P706">
            <v>60</v>
          </cell>
          <cell r="Q706">
            <v>7.658802177858437</v>
          </cell>
          <cell r="T706">
            <v>0.19236111111111112</v>
          </cell>
          <cell r="U706">
            <v>0.30277777777777776</v>
          </cell>
          <cell r="V706">
            <v>56</v>
          </cell>
          <cell r="Z706">
            <v>0.24027777777777776</v>
          </cell>
          <cell r="AF706">
            <v>51.6</v>
          </cell>
          <cell r="AG706">
            <v>11.9</v>
          </cell>
          <cell r="AI706">
            <v>51.1</v>
          </cell>
          <cell r="AU706">
            <v>99.506348908438042</v>
          </cell>
          <cell r="AV706">
            <v>101.16662413246154</v>
          </cell>
          <cell r="AX706" t="str">
            <v>R. Regis</v>
          </cell>
        </row>
        <row r="707">
          <cell r="A707" t="str">
            <v>CA599</v>
          </cell>
          <cell r="P707">
            <v>61</v>
          </cell>
          <cell r="Q707">
            <v>7.0377019748653531</v>
          </cell>
          <cell r="T707">
            <v>0.28333333333333333</v>
          </cell>
          <cell r="U707">
            <v>0.3972222222222222</v>
          </cell>
          <cell r="V707">
            <v>59</v>
          </cell>
          <cell r="Z707">
            <v>0.25138888888888888</v>
          </cell>
          <cell r="AF707">
            <v>52.5</v>
          </cell>
          <cell r="AG707">
            <v>12</v>
          </cell>
          <cell r="AI707">
            <v>50.6</v>
          </cell>
          <cell r="AU707">
            <v>99.772692532303708</v>
          </cell>
          <cell r="AV707">
            <v>101.4368608850184</v>
          </cell>
          <cell r="AX707" t="str">
            <v>R. Regis</v>
          </cell>
        </row>
        <row r="708">
          <cell r="A708" t="str">
            <v>CA600</v>
          </cell>
          <cell r="P708">
            <v>61</v>
          </cell>
          <cell r="Q708">
            <v>4.0290381125226835</v>
          </cell>
          <cell r="T708">
            <v>0.36527777777777776</v>
          </cell>
          <cell r="U708">
            <v>0.48333333333333334</v>
          </cell>
          <cell r="V708">
            <v>75</v>
          </cell>
          <cell r="Z708">
            <v>0.24722222222222223</v>
          </cell>
          <cell r="AF708">
            <v>53.6</v>
          </cell>
          <cell r="AG708">
            <v>11.6</v>
          </cell>
          <cell r="AI708">
            <v>51.8</v>
          </cell>
          <cell r="AU708">
            <v>102.73068573958028</v>
          </cell>
          <cell r="AV708">
            <v>104.51809762102897</v>
          </cell>
          <cell r="AX708" t="str">
            <v>K.Benjamin</v>
          </cell>
        </row>
        <row r="709">
          <cell r="A709" t="str">
            <v>CA601</v>
          </cell>
          <cell r="P709">
            <v>53</v>
          </cell>
          <cell r="Q709">
            <v>3.1985940246045703</v>
          </cell>
          <cell r="T709">
            <v>0.46319444444444446</v>
          </cell>
          <cell r="U709">
            <v>0.5708333333333333</v>
          </cell>
          <cell r="V709">
            <v>57</v>
          </cell>
          <cell r="Z709">
            <v>0.25486111111111109</v>
          </cell>
          <cell r="AF709">
            <v>55.6</v>
          </cell>
          <cell r="AG709">
            <v>11.6</v>
          </cell>
          <cell r="AI709">
            <v>53.7</v>
          </cell>
          <cell r="AU709">
            <v>102.76795002442545</v>
          </cell>
          <cell r="AV709">
            <v>104.5560102674129</v>
          </cell>
          <cell r="AX709" t="str">
            <v>K.Benjamin</v>
          </cell>
        </row>
        <row r="710">
          <cell r="A710" t="str">
            <v>CA602</v>
          </cell>
          <cell r="P710">
            <v>61</v>
          </cell>
          <cell r="Q710">
            <v>7.0377019748653531</v>
          </cell>
          <cell r="T710">
            <v>0.53680555555555554</v>
          </cell>
          <cell r="U710">
            <v>0.66319444444444442</v>
          </cell>
          <cell r="V710">
            <v>54</v>
          </cell>
          <cell r="Z710">
            <v>0.2673611111111111</v>
          </cell>
          <cell r="AF710">
            <v>52.5</v>
          </cell>
          <cell r="AG710">
            <v>11.9</v>
          </cell>
          <cell r="AI710">
            <v>51.2</v>
          </cell>
          <cell r="AU710">
            <v>98.105830728967618</v>
          </cell>
          <cell r="AV710">
            <v>99.812680083567884</v>
          </cell>
          <cell r="AX710" t="str">
            <v>K.Benjamin</v>
          </cell>
        </row>
        <row r="711">
          <cell r="A711" t="str">
            <v>CA603</v>
          </cell>
          <cell r="P711">
            <v>60</v>
          </cell>
          <cell r="Q711">
            <v>6.1071428571428603</v>
          </cell>
          <cell r="T711">
            <v>1.0944444444444446</v>
          </cell>
          <cell r="U711">
            <v>1.2069444444444444</v>
          </cell>
          <cell r="V711">
            <v>64</v>
          </cell>
          <cell r="Z711">
            <v>0.24166666666666659</v>
          </cell>
          <cell r="AF711">
            <v>53.3</v>
          </cell>
          <cell r="AG711">
            <v>11.7</v>
          </cell>
          <cell r="AI711">
            <v>51.3</v>
          </cell>
          <cell r="AU711">
            <v>96.329138070428243</v>
          </cell>
          <cell r="AV711">
            <v>97.941510918678517</v>
          </cell>
          <cell r="AX711" t="str">
            <v>R. Regis</v>
          </cell>
        </row>
        <row r="712">
          <cell r="A712" t="str">
            <v>CA604</v>
          </cell>
          <cell r="P712">
            <v>61</v>
          </cell>
          <cell r="Q712">
            <v>5.9074733096085419</v>
          </cell>
          <cell r="T712">
            <v>0.20555555555555555</v>
          </cell>
          <cell r="U712">
            <v>0.32083333333333336</v>
          </cell>
          <cell r="V712">
            <v>70</v>
          </cell>
          <cell r="Z712">
            <v>0.27222222222222225</v>
          </cell>
          <cell r="AF712">
            <v>54.5</v>
          </cell>
          <cell r="AG712">
            <v>11.4</v>
          </cell>
          <cell r="AI712">
            <v>52.6</v>
          </cell>
          <cell r="AU712">
            <v>94.406883962835934</v>
          </cell>
          <cell r="AV712">
            <v>95.98708180783585</v>
          </cell>
          <cell r="AX712" t="str">
            <v>R. Regis</v>
          </cell>
        </row>
        <row r="713">
          <cell r="A713" t="str">
            <v>CA605</v>
          </cell>
          <cell r="P713">
            <v>60</v>
          </cell>
          <cell r="Q713">
            <v>11.811594202898554</v>
          </cell>
          <cell r="T713">
            <v>0.19305555555555556</v>
          </cell>
          <cell r="U713">
            <v>0.30486111111111114</v>
          </cell>
          <cell r="V713">
            <v>60</v>
          </cell>
          <cell r="Z713">
            <v>0.23888888888888893</v>
          </cell>
          <cell r="AF713">
            <v>49.4</v>
          </cell>
          <cell r="AG713">
            <v>11.7</v>
          </cell>
          <cell r="AI713">
            <v>48</v>
          </cell>
          <cell r="AU713">
            <v>91.254953718205954</v>
          </cell>
          <cell r="AV713">
            <v>92.77838490709857</v>
          </cell>
          <cell r="AX713" t="str">
            <v>R. Regis</v>
          </cell>
        </row>
        <row r="714">
          <cell r="A714" t="str">
            <v>CA606</v>
          </cell>
          <cell r="P714">
            <v>60</v>
          </cell>
          <cell r="Q714">
            <v>7.2432432432432359</v>
          </cell>
          <cell r="T714">
            <v>0.27777777777777779</v>
          </cell>
          <cell r="U714">
            <v>0.39444444444444443</v>
          </cell>
          <cell r="V714">
            <v>64</v>
          </cell>
          <cell r="Z714">
            <v>0.24513888888888888</v>
          </cell>
          <cell r="AF714">
            <v>54.4</v>
          </cell>
          <cell r="AG714">
            <v>11.6</v>
          </cell>
          <cell r="AI714">
            <v>53.3</v>
          </cell>
          <cell r="AU714">
            <v>100.66658270876239</v>
          </cell>
          <cell r="AV714">
            <v>102.34676825815544</v>
          </cell>
          <cell r="AX714" t="str">
            <v>R. Regis</v>
          </cell>
        </row>
        <row r="715">
          <cell r="A715" t="str">
            <v>CA607</v>
          </cell>
          <cell r="P715">
            <v>59</v>
          </cell>
          <cell r="Q715">
            <v>10.590339892665465</v>
          </cell>
          <cell r="T715">
            <v>0.37083333333333335</v>
          </cell>
          <cell r="U715">
            <v>0.47847222222222224</v>
          </cell>
          <cell r="V715">
            <v>62</v>
          </cell>
          <cell r="Z715">
            <v>0.24583333333333335</v>
          </cell>
          <cell r="AF715">
            <v>50.9</v>
          </cell>
          <cell r="AG715">
            <v>11.7</v>
          </cell>
          <cell r="AI715">
            <v>50.2</v>
          </cell>
          <cell r="AU715">
            <v>95.672180304079035</v>
          </cell>
          <cell r="AV715">
            <v>97.269006286449923</v>
          </cell>
          <cell r="AX715" t="str">
            <v>R.Sookram</v>
          </cell>
        </row>
        <row r="716">
          <cell r="A716" t="str">
            <v>CA608</v>
          </cell>
          <cell r="P716">
            <v>59</v>
          </cell>
          <cell r="Q716">
            <v>6.5818181818181776</v>
          </cell>
          <cell r="T716">
            <v>0.46388888888888891</v>
          </cell>
          <cell r="U716">
            <v>0.56527777777777777</v>
          </cell>
          <cell r="V716">
            <v>58</v>
          </cell>
          <cell r="Z716">
            <v>0.24930555555555556</v>
          </cell>
          <cell r="AF716">
            <v>52.1</v>
          </cell>
          <cell r="AG716">
            <v>11.8</v>
          </cell>
          <cell r="AI716">
            <v>50.1</v>
          </cell>
          <cell r="AU716">
            <v>100.24168624444627</v>
          </cell>
          <cell r="AV716">
            <v>101.98370929039828</v>
          </cell>
          <cell r="AX716" t="str">
            <v>R.Sookram</v>
          </cell>
        </row>
        <row r="717">
          <cell r="A717" t="str">
            <v>CA609</v>
          </cell>
          <cell r="P717">
            <v>58</v>
          </cell>
          <cell r="Q717">
            <v>4.2962962962962967</v>
          </cell>
          <cell r="T717">
            <v>0.54791666666666672</v>
          </cell>
          <cell r="U717">
            <v>0.65069444444444446</v>
          </cell>
          <cell r="V717">
            <v>53</v>
          </cell>
          <cell r="Z717">
            <v>0.23402777777777778</v>
          </cell>
          <cell r="AF717">
            <v>52.4</v>
          </cell>
          <cell r="AG717">
            <v>11.6</v>
          </cell>
          <cell r="AI717">
            <v>50.4</v>
          </cell>
          <cell r="AU717">
            <v>95.855441016502525</v>
          </cell>
          <cell r="AV717">
            <v>97.523689401532948</v>
          </cell>
          <cell r="AX717" t="str">
            <v>R.Sookram</v>
          </cell>
        </row>
        <row r="718">
          <cell r="A718" t="str">
            <v>CA610</v>
          </cell>
          <cell r="P718">
            <v>62</v>
          </cell>
          <cell r="Q718">
            <v>6.151079136690651</v>
          </cell>
          <cell r="T718">
            <v>0.63124999999999998</v>
          </cell>
          <cell r="U718">
            <v>0.73888888888888893</v>
          </cell>
          <cell r="V718">
            <v>59</v>
          </cell>
          <cell r="Z718">
            <v>0.23888888888888893</v>
          </cell>
          <cell r="AF718">
            <v>53.3</v>
          </cell>
          <cell r="AG718">
            <v>11.4</v>
          </cell>
          <cell r="AI718">
            <v>51</v>
          </cell>
          <cell r="AU718">
            <v>95.829213866646711</v>
          </cell>
          <cell r="AV718">
            <v>97.496546993277803</v>
          </cell>
          <cell r="AX718" t="str">
            <v>K.Benjamin</v>
          </cell>
        </row>
        <row r="719">
          <cell r="A719" t="str">
            <v>CA611</v>
          </cell>
          <cell r="P719">
            <v>60</v>
          </cell>
          <cell r="Q719">
            <v>9.7307001795332173</v>
          </cell>
          <cell r="T719">
            <v>0.71944444444444444</v>
          </cell>
          <cell r="U719">
            <v>0.82777777777777772</v>
          </cell>
          <cell r="V719">
            <v>57</v>
          </cell>
          <cell r="Z719">
            <v>0.24444444444444435</v>
          </cell>
          <cell r="AF719">
            <v>51</v>
          </cell>
          <cell r="AG719">
            <v>11.6</v>
          </cell>
          <cell r="AI719">
            <v>50.6</v>
          </cell>
          <cell r="AU719">
            <v>96.5946434748966</v>
          </cell>
          <cell r="AV719">
            <v>98.27547999403825</v>
          </cell>
          <cell r="AX719" t="str">
            <v>K.Benjamin</v>
          </cell>
        </row>
        <row r="720">
          <cell r="A720" t="str">
            <v>CA612</v>
          </cell>
          <cell r="P720">
            <v>61</v>
          </cell>
          <cell r="Q720">
            <v>8.8172043010752592</v>
          </cell>
          <cell r="T720">
            <v>0.79861111111111116</v>
          </cell>
          <cell r="U720">
            <v>0.90833333333333333</v>
          </cell>
          <cell r="V720">
            <v>61</v>
          </cell>
          <cell r="Z720">
            <v>0.2416666666666667</v>
          </cell>
          <cell r="AF720">
            <v>51.6</v>
          </cell>
          <cell r="AG720">
            <v>11.7</v>
          </cell>
          <cell r="AI720">
            <v>51.4</v>
          </cell>
          <cell r="AU720">
            <v>98.766868880380287</v>
          </cell>
          <cell r="AV720">
            <v>100.48569305168978</v>
          </cell>
          <cell r="AX720" t="str">
            <v>K.Benjamin</v>
          </cell>
        </row>
        <row r="721">
          <cell r="A721" t="str">
            <v>CA613</v>
          </cell>
          <cell r="P721">
            <v>60</v>
          </cell>
          <cell r="Q721">
            <v>11.56756756756757</v>
          </cell>
          <cell r="T721">
            <v>0.94027777777777777</v>
          </cell>
          <cell r="U721">
            <v>1.04375</v>
          </cell>
          <cell r="V721">
            <v>54</v>
          </cell>
          <cell r="Z721">
            <v>0.23124999999999996</v>
          </cell>
          <cell r="AF721">
            <v>49.8</v>
          </cell>
          <cell r="AG721">
            <v>11.9</v>
          </cell>
          <cell r="AI721">
            <v>47.3</v>
          </cell>
          <cell r="AU721">
            <v>92.984654156961994</v>
          </cell>
          <cell r="AV721">
            <v>94.602494770368082</v>
          </cell>
          <cell r="AX721" t="str">
            <v>K.Benjamin</v>
          </cell>
        </row>
        <row r="722">
          <cell r="A722" t="str">
            <v>CA614</v>
          </cell>
          <cell r="P722">
            <v>60</v>
          </cell>
          <cell r="Q722">
            <v>10.905797101449281</v>
          </cell>
          <cell r="T722">
            <v>1.0625</v>
          </cell>
          <cell r="U722">
            <v>1.1736111111111112</v>
          </cell>
          <cell r="V722">
            <v>60</v>
          </cell>
          <cell r="Z722">
            <v>0.25</v>
          </cell>
          <cell r="AF722">
            <v>49.9</v>
          </cell>
          <cell r="AG722">
            <v>11.6</v>
          </cell>
          <cell r="AI722">
            <v>49.4</v>
          </cell>
          <cell r="AU722">
            <v>93.891733112726655</v>
          </cell>
          <cell r="AV722">
            <v>96.064140209258625</v>
          </cell>
          <cell r="AX722" t="str">
            <v>R. Regis</v>
          </cell>
        </row>
        <row r="723">
          <cell r="A723" t="str">
            <v>CA615</v>
          </cell>
          <cell r="P723">
            <v>60</v>
          </cell>
          <cell r="Q723">
            <v>8.0570409982174738</v>
          </cell>
          <cell r="T723">
            <v>1.1527777777777777</v>
          </cell>
          <cell r="U723">
            <v>1.2680555555555555</v>
          </cell>
          <cell r="V723">
            <v>62</v>
          </cell>
          <cell r="Z723">
            <v>0.26111111111111107</v>
          </cell>
          <cell r="AF723">
            <v>52.3</v>
          </cell>
          <cell r="AG723">
            <v>11.7</v>
          </cell>
          <cell r="AI723">
            <v>50.2</v>
          </cell>
          <cell r="AU723">
            <v>95.328941787599831</v>
          </cell>
          <cell r="AV723">
            <v>97.535567169261114</v>
          </cell>
          <cell r="AX723" t="str">
            <v>R. Regis</v>
          </cell>
        </row>
        <row r="724">
          <cell r="A724" t="str">
            <v>CA616</v>
          </cell>
          <cell r="P724">
            <v>60</v>
          </cell>
          <cell r="Q724">
            <v>7.0125223613595606</v>
          </cell>
          <cell r="T724">
            <v>0.24583333333333332</v>
          </cell>
          <cell r="U724">
            <v>0.35555555555555557</v>
          </cell>
          <cell r="V724">
            <v>65</v>
          </cell>
          <cell r="Z724">
            <v>0.25486111111111109</v>
          </cell>
          <cell r="AF724">
            <v>52.7</v>
          </cell>
          <cell r="AG724">
            <v>11.8</v>
          </cell>
          <cell r="AI724">
            <v>50.9</v>
          </cell>
          <cell r="AU724">
            <v>90.068244804867078</v>
          </cell>
          <cell r="AV724">
            <v>92.152644626324772</v>
          </cell>
          <cell r="AX724" t="str">
            <v>R. Regis</v>
          </cell>
        </row>
        <row r="725">
          <cell r="A725" t="str">
            <v>CA617</v>
          </cell>
          <cell r="P725">
            <v>60</v>
          </cell>
          <cell r="Q725">
            <v>9.5344506517690952</v>
          </cell>
          <cell r="T725">
            <v>0.39930555555555558</v>
          </cell>
          <cell r="U725">
            <v>0.51180555555555551</v>
          </cell>
          <cell r="V725">
            <v>59</v>
          </cell>
          <cell r="Z725">
            <v>0.2409722222222222</v>
          </cell>
          <cell r="AF725">
            <v>49.3</v>
          </cell>
          <cell r="AG725">
            <v>12.3</v>
          </cell>
          <cell r="AI725">
            <v>47.2</v>
          </cell>
          <cell r="AU725">
            <v>94.067285834427324</v>
          </cell>
          <cell r="AV725">
            <v>96.155477658350435</v>
          </cell>
          <cell r="AX725" t="str">
            <v>D. Gomez</v>
          </cell>
        </row>
        <row r="726">
          <cell r="A726" t="str">
            <v>CA618</v>
          </cell>
          <cell r="P726">
            <v>58</v>
          </cell>
          <cell r="Q726">
            <v>11.630434782608697</v>
          </cell>
          <cell r="T726">
            <v>0.50624999999999998</v>
          </cell>
          <cell r="U726">
            <v>0.61458333333333337</v>
          </cell>
          <cell r="V726">
            <v>60</v>
          </cell>
          <cell r="Z726">
            <v>0.26041666666666669</v>
          </cell>
          <cell r="AF726">
            <v>51.1</v>
          </cell>
          <cell r="AG726">
            <v>11.9</v>
          </cell>
          <cell r="AI726">
            <v>50.5</v>
          </cell>
          <cell r="AU726">
            <v>97.447717155036315</v>
          </cell>
          <cell r="AV726">
            <v>99.610480363823882</v>
          </cell>
          <cell r="AX726" t="str">
            <v>D. Gomez</v>
          </cell>
        </row>
        <row r="727">
          <cell r="A727" t="str">
            <v>CA619</v>
          </cell>
          <cell r="P727">
            <v>60</v>
          </cell>
          <cell r="Q727">
            <v>6.3216266173752338</v>
          </cell>
          <cell r="T727">
            <v>0.59583333333333333</v>
          </cell>
          <cell r="U727">
            <v>0.70694444444444449</v>
          </cell>
          <cell r="V727">
            <v>59</v>
          </cell>
          <cell r="Z727">
            <v>0.2590277777777778</v>
          </cell>
          <cell r="AF727">
            <v>51.8</v>
          </cell>
          <cell r="AG727">
            <v>11.9</v>
          </cell>
          <cell r="AI727">
            <v>50.1</v>
          </cell>
          <cell r="AU727">
            <v>96.91430580541217</v>
          </cell>
          <cell r="AV727">
            <v>99.064760179628536</v>
          </cell>
          <cell r="AX727" t="str">
            <v>D. Gomez</v>
          </cell>
        </row>
        <row r="728">
          <cell r="A728" t="str">
            <v>CA620</v>
          </cell>
          <cell r="P728">
            <v>59</v>
          </cell>
          <cell r="Q728">
            <v>7.1785714285714217</v>
          </cell>
          <cell r="T728">
            <v>0.68888888888888888</v>
          </cell>
          <cell r="U728">
            <v>0.79166666666666663</v>
          </cell>
          <cell r="V728">
            <v>53</v>
          </cell>
          <cell r="Z728">
            <v>0.25347222222222221</v>
          </cell>
          <cell r="AF728">
            <v>52.7</v>
          </cell>
          <cell r="AG728">
            <v>12</v>
          </cell>
          <cell r="AI728">
            <v>50.7</v>
          </cell>
          <cell r="AU728">
            <v>98.270733122829682</v>
          </cell>
          <cell r="AV728">
            <v>100.54606546808355</v>
          </cell>
          <cell r="AX728" t="str">
            <v>K.Benjamin</v>
          </cell>
        </row>
        <row r="729">
          <cell r="A729" t="str">
            <v>CA621</v>
          </cell>
          <cell r="P729">
            <v>60</v>
          </cell>
          <cell r="Q729">
            <v>7.6036036036036005</v>
          </cell>
          <cell r="T729">
            <v>0.76597222222222228</v>
          </cell>
          <cell r="U729">
            <v>0.88888888888888884</v>
          </cell>
          <cell r="V729">
            <v>59</v>
          </cell>
          <cell r="Z729">
            <v>0.25347222222222221</v>
          </cell>
          <cell r="AF729">
            <v>52</v>
          </cell>
          <cell r="AG729">
            <v>12</v>
          </cell>
          <cell r="AI729">
            <v>51.5</v>
          </cell>
          <cell r="AU729">
            <v>100.68465189715201</v>
          </cell>
          <cell r="AV729">
            <v>103.01499557139356</v>
          </cell>
          <cell r="AX729" t="str">
            <v>K.Benjamin</v>
          </cell>
        </row>
        <row r="730">
          <cell r="A730" t="str">
            <v>CA622</v>
          </cell>
          <cell r="P730">
            <v>60</v>
          </cell>
          <cell r="Q730">
            <v>3.087971274685815</v>
          </cell>
          <cell r="T730">
            <v>0.85416666666666663</v>
          </cell>
          <cell r="U730">
            <v>0.95833333333333337</v>
          </cell>
          <cell r="V730">
            <v>60</v>
          </cell>
          <cell r="Z730">
            <v>0.23958333333333337</v>
          </cell>
          <cell r="AF730">
            <v>54.7</v>
          </cell>
          <cell r="AG730">
            <v>11.9</v>
          </cell>
          <cell r="AI730">
            <v>50.6</v>
          </cell>
          <cell r="AU730">
            <v>97.576513945686116</v>
          </cell>
          <cell r="AV730">
            <v>99.835408895166466</v>
          </cell>
          <cell r="AX730" t="str">
            <v>K.Benjamin</v>
          </cell>
        </row>
        <row r="731">
          <cell r="A731" t="str">
            <v>CA623</v>
          </cell>
          <cell r="P731">
            <v>60</v>
          </cell>
          <cell r="Q731">
            <v>5.4316546762589981</v>
          </cell>
          <cell r="T731">
            <v>0.93263888888888891</v>
          </cell>
          <cell r="U731">
            <v>1.0631944444444446</v>
          </cell>
          <cell r="V731">
            <v>65</v>
          </cell>
          <cell r="Z731">
            <v>0.26111111111111118</v>
          </cell>
          <cell r="AF731">
            <v>53.7</v>
          </cell>
          <cell r="AG731">
            <v>11.9</v>
          </cell>
          <cell r="AI731">
            <v>51.7</v>
          </cell>
          <cell r="AU731">
            <v>100.1904434842934</v>
          </cell>
          <cell r="AV731">
            <v>102.50934871755153</v>
          </cell>
          <cell r="AX731" t="str">
            <v>K.Benjamin</v>
          </cell>
        </row>
        <row r="732">
          <cell r="A732" t="str">
            <v>CA624</v>
          </cell>
          <cell r="P732">
            <v>60</v>
          </cell>
          <cell r="Q732">
            <v>7.6173285198555947</v>
          </cell>
          <cell r="T732">
            <v>1.04375</v>
          </cell>
          <cell r="U732">
            <v>1.1631944444444444</v>
          </cell>
          <cell r="V732">
            <v>67</v>
          </cell>
          <cell r="Z732">
            <v>0.27777777777777779</v>
          </cell>
          <cell r="AF732">
            <v>51.9</v>
          </cell>
          <cell r="AG732">
            <v>11.6</v>
          </cell>
          <cell r="AI732">
            <v>50.9</v>
          </cell>
          <cell r="AU732">
            <v>96.382789717284254</v>
          </cell>
          <cell r="AV732">
            <v>98.613201461501234</v>
          </cell>
          <cell r="AX732" t="str">
            <v>R. Regis</v>
          </cell>
        </row>
        <row r="733">
          <cell r="A733" t="str">
            <v>CA625</v>
          </cell>
          <cell r="P733">
            <v>63</v>
          </cell>
          <cell r="Q733">
            <v>9.7570093457943905</v>
          </cell>
          <cell r="T733">
            <v>0.93888888888888888</v>
          </cell>
          <cell r="U733">
            <v>1.0451388888888888</v>
          </cell>
          <cell r="V733">
            <v>54</v>
          </cell>
          <cell r="Z733">
            <v>0.23263888888888884</v>
          </cell>
          <cell r="AF733">
            <v>49.4</v>
          </cell>
          <cell r="AG733">
            <v>12</v>
          </cell>
          <cell r="AI733">
            <v>47</v>
          </cell>
          <cell r="AU733">
            <v>92.804231078083191</v>
          </cell>
          <cell r="AV733">
            <v>94.951238440677528</v>
          </cell>
          <cell r="AX733" t="str">
            <v>K.Benjamin</v>
          </cell>
        </row>
        <row r="734">
          <cell r="A734" t="str">
            <v>CA626</v>
          </cell>
          <cell r="P734">
            <v>60</v>
          </cell>
          <cell r="Q734">
            <v>9.7132616487455117</v>
          </cell>
          <cell r="T734">
            <v>1.0277777777777777</v>
          </cell>
          <cell r="U734">
            <v>1.1368055555555556</v>
          </cell>
          <cell r="V734">
            <v>60</v>
          </cell>
          <cell r="Z734">
            <v>0.24097222222222225</v>
          </cell>
          <cell r="AF734">
            <v>52</v>
          </cell>
          <cell r="AG734">
            <v>11.6</v>
          </cell>
          <cell r="AI734">
            <v>51.5</v>
          </cell>
          <cell r="AU734">
            <v>97.518932621613743</v>
          </cell>
          <cell r="AV734">
            <v>99.775636056332289</v>
          </cell>
          <cell r="AX734" t="str">
            <v>R. Regis</v>
          </cell>
        </row>
        <row r="735">
          <cell r="A735" t="str">
            <v>CA627</v>
          </cell>
          <cell r="P735">
            <v>61</v>
          </cell>
          <cell r="Q735">
            <v>7.9927667269439322</v>
          </cell>
          <cell r="T735">
            <v>1.117361111111111</v>
          </cell>
          <cell r="U735">
            <v>1.2222222222222223</v>
          </cell>
          <cell r="V735">
            <v>60</v>
          </cell>
          <cell r="Z735">
            <v>0.23958333333333348</v>
          </cell>
          <cell r="AF735">
            <v>51.6</v>
          </cell>
          <cell r="AG735">
            <v>11.7</v>
          </cell>
          <cell r="AI735">
            <v>50.1</v>
          </cell>
          <cell r="AU735">
            <v>95.319316778775942</v>
          </cell>
          <cell r="AV735">
            <v>97.434147452140053</v>
          </cell>
          <cell r="AX735" t="str">
            <v>R. Regis</v>
          </cell>
        </row>
        <row r="736">
          <cell r="A736" t="str">
            <v>CA628</v>
          </cell>
          <cell r="P736">
            <v>61</v>
          </cell>
          <cell r="Q736">
            <v>9.5683453237410081</v>
          </cell>
          <cell r="T736">
            <v>0.2076388888888889</v>
          </cell>
          <cell r="U736">
            <v>0.32222222222222224</v>
          </cell>
          <cell r="V736">
            <v>63</v>
          </cell>
          <cell r="Z736">
            <v>0.25625000000000003</v>
          </cell>
          <cell r="AF736">
            <v>51</v>
          </cell>
          <cell r="AG736">
            <v>11.9</v>
          </cell>
          <cell r="AI736">
            <v>49.3</v>
          </cell>
          <cell r="AU736">
            <v>96.013932215448122</v>
          </cell>
          <cell r="AV736">
            <v>98.235686211378919</v>
          </cell>
          <cell r="AX736" t="str">
            <v>R. Regis</v>
          </cell>
        </row>
        <row r="737">
          <cell r="A737" t="str">
            <v>CA629</v>
          </cell>
          <cell r="P737">
            <v>59</v>
          </cell>
          <cell r="Q737">
            <v>6.3883847549909305</v>
          </cell>
          <cell r="T737">
            <v>0.30625000000000002</v>
          </cell>
          <cell r="U737">
            <v>0.42708333333333331</v>
          </cell>
          <cell r="V737">
            <v>82</v>
          </cell>
          <cell r="Z737">
            <v>0.2673611111111111</v>
          </cell>
          <cell r="AF737">
            <v>52.3</v>
          </cell>
          <cell r="AG737">
            <v>11.7</v>
          </cell>
          <cell r="AI737">
            <v>50.2</v>
          </cell>
          <cell r="AU737">
            <v>96.039117326010768</v>
          </cell>
          <cell r="AV737">
            <v>98.261454103197778</v>
          </cell>
          <cell r="AX737" t="str">
            <v>R. Regis</v>
          </cell>
        </row>
        <row r="738">
          <cell r="A738" t="str">
            <v>CA630</v>
          </cell>
          <cell r="P738">
            <v>57</v>
          </cell>
          <cell r="Q738">
            <v>5.3284671532846621</v>
          </cell>
          <cell r="T738">
            <v>0.38958333333333334</v>
          </cell>
          <cell r="U738">
            <v>0.50486111111111109</v>
          </cell>
          <cell r="V738">
            <v>66</v>
          </cell>
          <cell r="Z738">
            <v>0.25486111111111109</v>
          </cell>
          <cell r="AF738">
            <v>52.6</v>
          </cell>
          <cell r="AG738">
            <v>11.8</v>
          </cell>
          <cell r="AI738">
            <v>51</v>
          </cell>
          <cell r="AU738">
            <v>98.325106629636323</v>
          </cell>
          <cell r="AV738">
            <v>100.60046588434774</v>
          </cell>
          <cell r="AX738" t="str">
            <v>R.Sookram</v>
          </cell>
        </row>
      </sheetData>
      <sheetData sheetId="6">
        <row r="596">
          <cell r="D596">
            <v>12</v>
          </cell>
        </row>
        <row r="597">
          <cell r="D597">
            <v>11.8</v>
          </cell>
        </row>
        <row r="598">
          <cell r="D598">
            <v>11.9</v>
          </cell>
        </row>
        <row r="599">
          <cell r="D599">
            <v>11.8</v>
          </cell>
        </row>
        <row r="600">
          <cell r="D600">
            <v>11.9</v>
          </cell>
        </row>
        <row r="601">
          <cell r="D601">
            <v>11.9</v>
          </cell>
        </row>
        <row r="602">
          <cell r="D602">
            <v>11.9</v>
          </cell>
        </row>
        <row r="603">
          <cell r="D603">
            <v>11.9</v>
          </cell>
        </row>
        <row r="604">
          <cell r="D604">
            <v>12.1</v>
          </cell>
        </row>
        <row r="605">
          <cell r="D605">
            <v>12.1</v>
          </cell>
        </row>
        <row r="606">
          <cell r="D606">
            <v>12</v>
          </cell>
        </row>
        <row r="607">
          <cell r="D607">
            <v>11.9</v>
          </cell>
        </row>
        <row r="608">
          <cell r="D608">
            <v>11.9</v>
          </cell>
        </row>
        <row r="609">
          <cell r="D609">
            <v>11.9</v>
          </cell>
        </row>
        <row r="610">
          <cell r="D610">
            <v>12</v>
          </cell>
        </row>
        <row r="611">
          <cell r="D611">
            <v>11.8</v>
          </cell>
        </row>
        <row r="612">
          <cell r="D612">
            <v>12.2</v>
          </cell>
        </row>
        <row r="613">
          <cell r="D613">
            <v>12</v>
          </cell>
        </row>
        <row r="614">
          <cell r="D614">
            <v>12</v>
          </cell>
        </row>
        <row r="615">
          <cell r="D615">
            <v>11.8</v>
          </cell>
        </row>
        <row r="616">
          <cell r="D616">
            <v>12</v>
          </cell>
        </row>
        <row r="617">
          <cell r="D617">
            <v>11.8</v>
          </cell>
        </row>
        <row r="618">
          <cell r="D618">
            <v>12</v>
          </cell>
        </row>
        <row r="619">
          <cell r="D619">
            <v>11.7</v>
          </cell>
        </row>
        <row r="620">
          <cell r="D620">
            <v>12.1</v>
          </cell>
        </row>
        <row r="621">
          <cell r="D621">
            <v>11.9</v>
          </cell>
        </row>
        <row r="622">
          <cell r="D622">
            <v>12</v>
          </cell>
        </row>
        <row r="623">
          <cell r="D623">
            <v>12</v>
          </cell>
        </row>
        <row r="624">
          <cell r="D624">
            <v>11.9</v>
          </cell>
        </row>
        <row r="625">
          <cell r="D625">
            <v>11.8</v>
          </cell>
        </row>
        <row r="626">
          <cell r="D626">
            <v>11.8</v>
          </cell>
        </row>
        <row r="627">
          <cell r="D627">
            <v>11.7</v>
          </cell>
        </row>
        <row r="628">
          <cell r="D628">
            <v>12.1</v>
          </cell>
        </row>
        <row r="629">
          <cell r="D629">
            <v>12</v>
          </cell>
        </row>
        <row r="630">
          <cell r="D630">
            <v>12</v>
          </cell>
        </row>
        <row r="631">
          <cell r="D631">
            <v>11.9</v>
          </cell>
        </row>
        <row r="632">
          <cell r="D632">
            <v>11.9</v>
          </cell>
        </row>
        <row r="633">
          <cell r="D633">
            <v>11.9</v>
          </cell>
        </row>
        <row r="634">
          <cell r="D634">
            <v>11.9</v>
          </cell>
        </row>
        <row r="635">
          <cell r="D635">
            <v>12.1</v>
          </cell>
        </row>
        <row r="636">
          <cell r="D636">
            <v>12.2</v>
          </cell>
        </row>
        <row r="637">
          <cell r="D637">
            <v>12.1</v>
          </cell>
        </row>
        <row r="638">
          <cell r="D638">
            <v>12.1</v>
          </cell>
        </row>
        <row r="639">
          <cell r="D639">
            <v>11.9</v>
          </cell>
        </row>
        <row r="640">
          <cell r="D640">
            <v>12</v>
          </cell>
        </row>
        <row r="641">
          <cell r="D641">
            <v>11.9</v>
          </cell>
        </row>
        <row r="642">
          <cell r="D642">
            <v>11.9</v>
          </cell>
        </row>
        <row r="643">
          <cell r="D643">
            <v>11.8</v>
          </cell>
        </row>
        <row r="644">
          <cell r="D644">
            <v>12.1</v>
          </cell>
        </row>
        <row r="645">
          <cell r="D645">
            <v>12.2</v>
          </cell>
        </row>
        <row r="646">
          <cell r="D646">
            <v>12.1</v>
          </cell>
        </row>
        <row r="647">
          <cell r="D647">
            <v>11.9</v>
          </cell>
        </row>
        <row r="648">
          <cell r="D648">
            <v>11.9</v>
          </cell>
        </row>
        <row r="649">
          <cell r="D649">
            <v>11.9</v>
          </cell>
        </row>
        <row r="650">
          <cell r="D650">
            <v>12</v>
          </cell>
        </row>
        <row r="651">
          <cell r="D651">
            <v>11.9</v>
          </cell>
        </row>
        <row r="652">
          <cell r="D652">
            <v>11.8</v>
          </cell>
        </row>
        <row r="655">
          <cell r="D655">
            <v>11.9</v>
          </cell>
        </row>
        <row r="656">
          <cell r="D656">
            <v>11.7</v>
          </cell>
        </row>
        <row r="657">
          <cell r="D657">
            <v>11.9</v>
          </cell>
        </row>
        <row r="658">
          <cell r="D658">
            <v>11.9</v>
          </cell>
        </row>
        <row r="659">
          <cell r="D659">
            <v>12</v>
          </cell>
        </row>
        <row r="660">
          <cell r="D660">
            <v>11.8</v>
          </cell>
        </row>
        <row r="661">
          <cell r="D661">
            <v>11.7</v>
          </cell>
        </row>
        <row r="662">
          <cell r="D662">
            <v>11.8</v>
          </cell>
        </row>
        <row r="663">
          <cell r="D663">
            <v>11.8</v>
          </cell>
        </row>
        <row r="664">
          <cell r="D664">
            <v>11.9</v>
          </cell>
        </row>
        <row r="665">
          <cell r="D665">
            <v>12</v>
          </cell>
        </row>
        <row r="666">
          <cell r="D666">
            <v>11.7</v>
          </cell>
        </row>
        <row r="667">
          <cell r="D667">
            <v>11.6</v>
          </cell>
        </row>
        <row r="668">
          <cell r="D668">
            <v>11.9</v>
          </cell>
        </row>
        <row r="669">
          <cell r="D669">
            <v>11.7</v>
          </cell>
        </row>
        <row r="670">
          <cell r="D670">
            <v>11.6</v>
          </cell>
        </row>
        <row r="671">
          <cell r="D671">
            <v>12</v>
          </cell>
        </row>
        <row r="672">
          <cell r="D672">
            <v>11.9</v>
          </cell>
        </row>
        <row r="673">
          <cell r="D673">
            <v>11.8</v>
          </cell>
        </row>
        <row r="674">
          <cell r="D674">
            <v>11.8</v>
          </cell>
        </row>
        <row r="675">
          <cell r="D675">
            <v>11.7</v>
          </cell>
        </row>
        <row r="676">
          <cell r="D676">
            <v>11.6</v>
          </cell>
        </row>
        <row r="677">
          <cell r="D677">
            <v>11.9</v>
          </cell>
        </row>
        <row r="678">
          <cell r="D678">
            <v>11.9</v>
          </cell>
        </row>
        <row r="679">
          <cell r="AD679">
            <v>56.1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August '25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  <row r="64">
          <cell r="AU64">
            <v>95.602395026170299</v>
          </cell>
        </row>
        <row r="65">
          <cell r="AU65">
            <v>97.762581464269644</v>
          </cell>
        </row>
        <row r="66">
          <cell r="AU66">
            <v>97.743357577875017</v>
          </cell>
        </row>
        <row r="67">
          <cell r="AU67">
            <v>98.042300648720754</v>
          </cell>
        </row>
        <row r="68">
          <cell r="AU68">
            <v>98.519506903206036</v>
          </cell>
        </row>
        <row r="69">
          <cell r="AU69">
            <v>97.87847240921738</v>
          </cell>
        </row>
        <row r="70">
          <cell r="AU70">
            <v>95.781056875880395</v>
          </cell>
        </row>
        <row r="71">
          <cell r="AU71">
            <v>96.861776608600863</v>
          </cell>
        </row>
        <row r="72">
          <cell r="AU72">
            <v>93.381881284929378</v>
          </cell>
        </row>
        <row r="73">
          <cell r="AU73">
            <v>95.573978353377044</v>
          </cell>
        </row>
        <row r="74">
          <cell r="AU74">
            <v>96.329503873957094</v>
          </cell>
        </row>
        <row r="75">
          <cell r="AU75">
            <v>97.549176167683427</v>
          </cell>
        </row>
        <row r="76">
          <cell r="AU76">
            <v>97.240142923478217</v>
          </cell>
        </row>
        <row r="77">
          <cell r="AU77">
            <v>91.800652908866041</v>
          </cell>
        </row>
        <row r="78">
          <cell r="AU78">
            <v>96.204501549542428</v>
          </cell>
        </row>
        <row r="79">
          <cell r="AU79">
            <v>97.206266997269381</v>
          </cell>
        </row>
        <row r="81">
          <cell r="A81" t="str">
            <v>GU072</v>
          </cell>
          <cell r="O81">
            <v>60</v>
          </cell>
          <cell r="R81">
            <v>9.1036906854130049</v>
          </cell>
          <cell r="T81">
            <v>1.1069444444444445</v>
          </cell>
          <cell r="U81">
            <v>1.2194444444444446</v>
          </cell>
          <cell r="V81">
            <v>62</v>
          </cell>
          <cell r="Z81">
            <v>0.26111111111111118</v>
          </cell>
          <cell r="AF81">
            <v>52.8</v>
          </cell>
          <cell r="AG81">
            <v>17.600000000000001</v>
          </cell>
          <cell r="AI81">
            <v>50.6</v>
          </cell>
          <cell r="AU81">
            <v>96.452079426676278</v>
          </cell>
          <cell r="AV81">
            <v>97.890229501463267</v>
          </cell>
          <cell r="AW81" t="str">
            <v>D. Gomaz</v>
          </cell>
        </row>
        <row r="82">
          <cell r="A82" t="str">
            <v>GU073</v>
          </cell>
          <cell r="O82">
            <v>63</v>
          </cell>
          <cell r="R82">
            <v>7.9652173913043454</v>
          </cell>
          <cell r="T82">
            <v>0.20555555555555555</v>
          </cell>
          <cell r="U82">
            <v>0.31874999999999998</v>
          </cell>
          <cell r="V82">
            <v>65</v>
          </cell>
          <cell r="Z82">
            <v>0.2631944444444444</v>
          </cell>
          <cell r="AF82">
            <v>54</v>
          </cell>
          <cell r="AG82">
            <v>17.2</v>
          </cell>
          <cell r="AI82">
            <v>51.7</v>
          </cell>
          <cell r="AU82">
            <v>96.065985252726961</v>
          </cell>
          <cell r="AV82">
            <v>97.498627677311788</v>
          </cell>
          <cell r="AW82" t="str">
            <v>D. Gomaz</v>
          </cell>
        </row>
        <row r="83">
          <cell r="A83" t="str">
            <v>GU074</v>
          </cell>
          <cell r="O83">
            <v>55</v>
          </cell>
          <cell r="R83">
            <v>7.6707530647986033</v>
          </cell>
          <cell r="T83">
            <v>0.30208333333333331</v>
          </cell>
          <cell r="U83">
            <v>0.41180555555555554</v>
          </cell>
          <cell r="V83">
            <v>64</v>
          </cell>
          <cell r="Z83">
            <v>0.25902777777777775</v>
          </cell>
          <cell r="AF83">
            <v>53.8</v>
          </cell>
          <cell r="AG83">
            <v>17.2</v>
          </cell>
          <cell r="AI83">
            <v>51.2</v>
          </cell>
          <cell r="AU83">
            <v>95.441460527610872</v>
          </cell>
          <cell r="AV83">
            <v>96.863796608424892</v>
          </cell>
          <cell r="AW83" t="str">
            <v>D. Gomaz</v>
          </cell>
        </row>
        <row r="84">
          <cell r="A84" t="str">
            <v>GU075</v>
          </cell>
          <cell r="O84">
            <v>59</v>
          </cell>
          <cell r="R84">
            <v>5.5098389982110882</v>
          </cell>
          <cell r="T84">
            <v>0.41041666666666665</v>
          </cell>
          <cell r="U84">
            <v>0.52083333333333337</v>
          </cell>
          <cell r="V84">
            <v>65</v>
          </cell>
          <cell r="Z84">
            <v>0.27083333333333337</v>
          </cell>
          <cell r="AF84">
            <v>53.9</v>
          </cell>
          <cell r="AG84">
            <v>17.2</v>
          </cell>
          <cell r="AI84">
            <v>51.4</v>
          </cell>
          <cell r="AU84">
            <v>96.121978763783517</v>
          </cell>
          <cell r="AV84">
            <v>97.553450189741071</v>
          </cell>
          <cell r="AW84" t="str">
            <v>D. Gomaz</v>
          </cell>
        </row>
        <row r="85">
          <cell r="A85" t="str">
            <v>GU076</v>
          </cell>
          <cell r="O85">
            <v>59</v>
          </cell>
          <cell r="R85">
            <v>12.245614035087714</v>
          </cell>
          <cell r="T85">
            <v>0.59444444444444444</v>
          </cell>
          <cell r="U85">
            <v>0.71805555555555556</v>
          </cell>
          <cell r="V85">
            <v>66</v>
          </cell>
          <cell r="Z85">
            <v>0.26319444444444445</v>
          </cell>
          <cell r="AF85">
            <v>53.7</v>
          </cell>
          <cell r="AG85">
            <v>17.3</v>
          </cell>
          <cell r="AI85">
            <v>50.8</v>
          </cell>
          <cell r="AU85">
            <v>95.007032865785504</v>
          </cell>
          <cell r="AV85">
            <v>96.889095079770101</v>
          </cell>
          <cell r="AW85" t="str">
            <v>R. Sookram</v>
          </cell>
        </row>
        <row r="86">
          <cell r="A86" t="str">
            <v>GU077</v>
          </cell>
          <cell r="O86">
            <v>60</v>
          </cell>
          <cell r="R86">
            <v>11.057192374350091</v>
          </cell>
          <cell r="T86">
            <v>0.68680555555555556</v>
          </cell>
          <cell r="U86">
            <v>0.79861111111111116</v>
          </cell>
          <cell r="V86">
            <v>58</v>
          </cell>
          <cell r="Z86">
            <v>0.25</v>
          </cell>
          <cell r="AF86">
            <v>53.9</v>
          </cell>
          <cell r="AG86">
            <v>17.5</v>
          </cell>
          <cell r="AI86">
            <v>51.4</v>
          </cell>
          <cell r="AU86">
            <v>97.272320791361707</v>
          </cell>
          <cell r="AV86">
            <v>99.199257712827659</v>
          </cell>
          <cell r="AW86" t="str">
            <v>K. Benjamin</v>
          </cell>
        </row>
        <row r="87">
          <cell r="A87" t="str">
            <v>GU078</v>
          </cell>
          <cell r="O87">
            <v>58</v>
          </cell>
          <cell r="R87">
            <v>10.785340314136112</v>
          </cell>
          <cell r="T87">
            <v>0.77430555555555558</v>
          </cell>
          <cell r="U87">
            <v>0.89513888888888893</v>
          </cell>
          <cell r="V87">
            <v>57</v>
          </cell>
          <cell r="Z87">
            <v>0.26319444444444451</v>
          </cell>
          <cell r="AF87">
            <v>54.3</v>
          </cell>
          <cell r="AG87">
            <v>17.5</v>
          </cell>
          <cell r="AI87">
            <v>51.6</v>
          </cell>
          <cell r="AU87">
            <v>97.807774624525237</v>
          </cell>
          <cell r="AV87">
            <v>99.744636910447383</v>
          </cell>
          <cell r="AW87" t="str">
            <v>K. Benjamin</v>
          </cell>
        </row>
        <row r="88">
          <cell r="A88" t="str">
            <v>GU079</v>
          </cell>
          <cell r="O88">
            <v>60</v>
          </cell>
          <cell r="R88">
            <v>9.4645941278065582</v>
          </cell>
          <cell r="T88">
            <v>0.86458333333333337</v>
          </cell>
          <cell r="U88">
            <v>0.98402777777777772</v>
          </cell>
          <cell r="V88">
            <v>64</v>
          </cell>
          <cell r="Z88">
            <v>0.2583333333333333</v>
          </cell>
          <cell r="AF88">
            <v>55</v>
          </cell>
          <cell r="AG88">
            <v>17.100000000000001</v>
          </cell>
          <cell r="AI88">
            <v>52.4</v>
          </cell>
          <cell r="AU88">
            <v>97.014543681424854</v>
          </cell>
          <cell r="AV88">
            <v>98.935358859091608</v>
          </cell>
          <cell r="AW88" t="str">
            <v>K. Benjamin</v>
          </cell>
        </row>
        <row r="89">
          <cell r="A89" t="str">
            <v>GU080</v>
          </cell>
          <cell r="O89">
            <v>59</v>
          </cell>
          <cell r="R89">
            <v>10.069686411149815</v>
          </cell>
          <cell r="T89">
            <v>0.96180555555555558</v>
          </cell>
          <cell r="U89">
            <v>1.0847222222222221</v>
          </cell>
          <cell r="V89">
            <v>67</v>
          </cell>
          <cell r="Z89">
            <v>0.26527777777777772</v>
          </cell>
          <cell r="AF89">
            <v>53.9</v>
          </cell>
          <cell r="AG89">
            <v>17.399999999999999</v>
          </cell>
          <cell r="AI89">
            <v>51.3</v>
          </cell>
          <cell r="AU89">
            <v>96.667741026067404</v>
          </cell>
          <cell r="AV89">
            <v>98.58202751890957</v>
          </cell>
          <cell r="AW89" t="str">
            <v>K. Benjamin</v>
          </cell>
        </row>
        <row r="90">
          <cell r="A90" t="str">
            <v>GU081</v>
          </cell>
          <cell r="O90">
            <v>58</v>
          </cell>
          <cell r="R90">
            <v>10.436300174520065</v>
          </cell>
          <cell r="T90">
            <v>1.0618055555555554</v>
          </cell>
          <cell r="U90">
            <v>1.1944444444444444</v>
          </cell>
          <cell r="V90">
            <v>68</v>
          </cell>
          <cell r="Z90">
            <v>0.28472222222222221</v>
          </cell>
          <cell r="AF90">
            <v>54.2</v>
          </cell>
          <cell r="AG90">
            <v>17.100000000000001</v>
          </cell>
          <cell r="AI90">
            <v>51.4</v>
          </cell>
          <cell r="AU90">
            <v>95.010280290434139</v>
          </cell>
          <cell r="AV90">
            <v>96.89207593891868</v>
          </cell>
          <cell r="AW90" t="str">
            <v>R. Regis</v>
          </cell>
        </row>
        <row r="91">
          <cell r="A91" t="str">
            <v>GU082</v>
          </cell>
          <cell r="O91">
            <v>59</v>
          </cell>
          <cell r="R91">
            <v>10.01733102253033</v>
          </cell>
          <cell r="T91">
            <v>1.1708333333333334</v>
          </cell>
          <cell r="U91">
            <v>1.2916666666666667</v>
          </cell>
          <cell r="V91">
            <v>66</v>
          </cell>
          <cell r="Z91">
            <v>0.28472222222222232</v>
          </cell>
          <cell r="AF91">
            <v>53</v>
          </cell>
          <cell r="AG91">
            <v>17.5</v>
          </cell>
          <cell r="AI91">
            <v>51.6</v>
          </cell>
          <cell r="AU91">
            <v>97.886445156995904</v>
          </cell>
          <cell r="AV91">
            <v>99.824523329716314</v>
          </cell>
          <cell r="AW91" t="str">
            <v>R. Regis</v>
          </cell>
        </row>
        <row r="92">
          <cell r="A92" t="str">
            <v>GU083</v>
          </cell>
          <cell r="O92">
            <v>58</v>
          </cell>
          <cell r="R92">
            <v>8.3859649122807038</v>
          </cell>
          <cell r="T92">
            <v>0.28333333333333333</v>
          </cell>
          <cell r="U92">
            <v>0.40277777777777779</v>
          </cell>
          <cell r="V92">
            <v>66</v>
          </cell>
          <cell r="Z92">
            <v>0.25347222222222221</v>
          </cell>
          <cell r="AF92">
            <v>53.9</v>
          </cell>
          <cell r="AG92">
            <v>17.399999999999999</v>
          </cell>
          <cell r="AI92">
            <v>51.4</v>
          </cell>
          <cell r="AU92">
            <v>96.778397165023506</v>
          </cell>
          <cell r="AV92">
            <v>98.695212546430028</v>
          </cell>
          <cell r="AW92" t="str">
            <v>R. Regis</v>
          </cell>
        </row>
      </sheetData>
      <sheetData sheetId="2">
        <row r="5">
          <cell r="D5">
            <v>17.399999999999999</v>
          </cell>
        </row>
        <row r="84">
          <cell r="D84">
            <v>17.600000000000001</v>
          </cell>
        </row>
        <row r="85">
          <cell r="D85">
            <v>17.600000000000001</v>
          </cell>
        </row>
        <row r="86">
          <cell r="D86">
            <v>17.5</v>
          </cell>
        </row>
        <row r="87">
          <cell r="D87">
            <v>17.5</v>
          </cell>
        </row>
        <row r="88">
          <cell r="D88">
            <v>17.5</v>
          </cell>
        </row>
        <row r="89">
          <cell r="D89">
            <v>17.5</v>
          </cell>
        </row>
        <row r="90">
          <cell r="D90">
            <v>17.5</v>
          </cell>
        </row>
        <row r="91">
          <cell r="D91">
            <v>17.399999999999999</v>
          </cell>
        </row>
        <row r="93">
          <cell r="D93">
            <v>17.600000000000001</v>
          </cell>
        </row>
        <row r="94">
          <cell r="D94">
            <v>17.2</v>
          </cell>
        </row>
        <row r="95">
          <cell r="D95">
            <v>17.2</v>
          </cell>
        </row>
        <row r="96">
          <cell r="D96">
            <v>17.2</v>
          </cell>
        </row>
      </sheetData>
      <sheetData sheetId="3"/>
      <sheetData sheetId="4">
        <row r="19">
          <cell r="E19">
            <v>5641</v>
          </cell>
        </row>
      </sheetData>
      <sheetData sheetId="5">
        <row r="19">
          <cell r="E19">
            <v>10995</v>
          </cell>
        </row>
      </sheetData>
      <sheetData sheetId="6">
        <row r="19">
          <cell r="E19">
            <v>494</v>
          </cell>
        </row>
      </sheetData>
      <sheetData sheetId="7"/>
      <sheetData sheetId="8">
        <row r="19">
          <cell r="E19">
            <v>9596</v>
          </cell>
        </row>
      </sheetData>
      <sheetData sheetId="9">
        <row r="19">
          <cell r="E19">
            <v>8752</v>
          </cell>
        </row>
      </sheetData>
      <sheetData sheetId="10">
        <row r="19">
          <cell r="E19">
            <v>9510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 refreshError="1"/>
      <sheetData sheetId="1" refreshError="1"/>
      <sheetData sheetId="2" refreshError="1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V48">
            <v>90.887781982231019</v>
          </cell>
        </row>
        <row r="49">
          <cell r="AV49">
            <v>90.537381275166723</v>
          </cell>
        </row>
        <row r="50">
          <cell r="AV50">
            <v>92.190532473722058</v>
          </cell>
        </row>
        <row r="51">
          <cell r="AV51">
            <v>100.48690648550411</v>
          </cell>
        </row>
        <row r="52">
          <cell r="AV52">
            <v>101.16555777179596</v>
          </cell>
        </row>
        <row r="53">
          <cell r="AV53">
            <v>101.81357333538921</v>
          </cell>
        </row>
        <row r="55">
          <cell r="AV55">
            <v>96.86423362208302</v>
          </cell>
        </row>
        <row r="56">
          <cell r="AV56">
            <v>98.765400463350318</v>
          </cell>
        </row>
        <row r="57">
          <cell r="AV57">
            <v>99.054620267666863</v>
          </cell>
        </row>
        <row r="58">
          <cell r="AV58">
            <v>99.45810140928667</v>
          </cell>
        </row>
        <row r="59">
          <cell r="AV59">
            <v>99.445738552634495</v>
          </cell>
        </row>
        <row r="60">
          <cell r="AV60">
            <v>99.984726394996613</v>
          </cell>
        </row>
        <row r="61">
          <cell r="AV61">
            <v>99.787427077580119</v>
          </cell>
        </row>
        <row r="62">
          <cell r="AV62">
            <v>103.57083663502391</v>
          </cell>
        </row>
        <row r="64">
          <cell r="A64" t="str">
            <v>VM053</v>
          </cell>
          <cell r="R64">
            <v>59</v>
          </cell>
          <cell r="S64">
            <v>6.6666666666666625</v>
          </cell>
          <cell r="V64">
            <v>0.31180555555555556</v>
          </cell>
          <cell r="W64">
            <v>0.46250000000000002</v>
          </cell>
          <cell r="X64">
            <v>87</v>
          </cell>
          <cell r="AB64">
            <v>0.28194444444444444</v>
          </cell>
          <cell r="AE64">
            <v>48.9</v>
          </cell>
          <cell r="AH64">
            <v>14.5</v>
          </cell>
          <cell r="AJ64">
            <v>47.6</v>
          </cell>
          <cell r="AV64">
            <v>98.008773140944655</v>
          </cell>
          <cell r="AW64">
            <v>98.362301407720153</v>
          </cell>
          <cell r="AZ64" t="str">
            <v>R.Sookram</v>
          </cell>
        </row>
        <row r="65">
          <cell r="A65" t="str">
            <v>VM054</v>
          </cell>
          <cell r="R65">
            <v>57</v>
          </cell>
          <cell r="S65">
            <v>8.5029940119760443</v>
          </cell>
          <cell r="V65">
            <v>0.47013888888888888</v>
          </cell>
          <cell r="W65">
            <v>0.60624999999999996</v>
          </cell>
          <cell r="X65">
            <v>83</v>
          </cell>
          <cell r="AB65">
            <v>0.26597222222222217</v>
          </cell>
          <cell r="AE65">
            <v>50.1</v>
          </cell>
          <cell r="AH65">
            <v>14.2</v>
          </cell>
          <cell r="AJ65">
            <v>47.9</v>
          </cell>
          <cell r="AV65">
            <v>97.056247900814512</v>
          </cell>
          <cell r="AW65">
            <v>97.397423260766331</v>
          </cell>
          <cell r="AZ65" t="str">
            <v>R.Sookram</v>
          </cell>
        </row>
        <row r="66">
          <cell r="A66" t="str">
            <v>VM055</v>
          </cell>
          <cell r="R66">
            <v>57</v>
          </cell>
          <cell r="S66">
            <v>0.77087794432548051</v>
          </cell>
          <cell r="V66">
            <v>0.6118055555555556</v>
          </cell>
          <cell r="W66">
            <v>0.74236111111111114</v>
          </cell>
          <cell r="X66">
            <v>75</v>
          </cell>
          <cell r="AB66">
            <v>0.26319444444444445</v>
          </cell>
          <cell r="AE66">
            <v>46.7</v>
          </cell>
          <cell r="AH66">
            <v>14.5</v>
          </cell>
          <cell r="AJ66">
            <v>48.1</v>
          </cell>
          <cell r="AV66">
            <v>99.038277060492405</v>
          </cell>
          <cell r="AW66">
            <v>99.395518859481939</v>
          </cell>
          <cell r="AZ66" t="str">
            <v>R.Sookram</v>
          </cell>
        </row>
        <row r="67">
          <cell r="A67" t="str">
            <v>VM056</v>
          </cell>
          <cell r="R67">
            <v>58</v>
          </cell>
          <cell r="S67">
            <v>7.8378378378378422</v>
          </cell>
          <cell r="V67">
            <v>0.70138888888888884</v>
          </cell>
          <cell r="W67">
            <v>0.83263888888888893</v>
          </cell>
          <cell r="X67">
            <v>78</v>
          </cell>
          <cell r="AB67">
            <v>0.27013888888888893</v>
          </cell>
          <cell r="AE67">
            <v>51.8</v>
          </cell>
          <cell r="AH67">
            <v>14.3</v>
          </cell>
          <cell r="AJ67">
            <v>48.2</v>
          </cell>
          <cell r="AV67">
            <v>97.755191484048893</v>
          </cell>
          <cell r="AW67">
            <v>98.107805054305132</v>
          </cell>
          <cell r="AZ67" t="str">
            <v>K. Benjamin</v>
          </cell>
        </row>
        <row r="68">
          <cell r="A68" t="str">
            <v>VM057</v>
          </cell>
          <cell r="R68">
            <v>56</v>
          </cell>
          <cell r="S68">
            <v>3.8658777120315735</v>
          </cell>
          <cell r="V68">
            <v>0.28125</v>
          </cell>
          <cell r="W68">
            <v>0.40833333333333333</v>
          </cell>
          <cell r="X68">
            <v>77</v>
          </cell>
          <cell r="AB68">
            <v>0.27638888888888891</v>
          </cell>
          <cell r="AE68">
            <v>50.7</v>
          </cell>
          <cell r="AH68">
            <v>14.3</v>
          </cell>
          <cell r="AJ68">
            <v>46.5</v>
          </cell>
          <cell r="AV68">
            <v>94.10791616839218</v>
          </cell>
          <cell r="AW68">
            <v>94.45023164068958</v>
          </cell>
          <cell r="AZ68" t="str">
            <v>R.Sookram</v>
          </cell>
        </row>
        <row r="69">
          <cell r="A69" t="str">
            <v>VM058</v>
          </cell>
          <cell r="R69">
            <v>54</v>
          </cell>
          <cell r="S69">
            <v>5.4580152671755577</v>
          </cell>
          <cell r="V69">
            <v>0.41875000000000001</v>
          </cell>
          <cell r="W69">
            <v>0.54722222222222228</v>
          </cell>
          <cell r="X69">
            <v>87</v>
          </cell>
          <cell r="AB69">
            <v>0.31805555555555565</v>
          </cell>
          <cell r="AE69">
            <v>52.4</v>
          </cell>
          <cell r="AH69">
            <v>14.2</v>
          </cell>
          <cell r="AJ69">
            <v>48.6</v>
          </cell>
          <cell r="AV69">
            <v>97.641436216620463</v>
          </cell>
          <cell r="AW69">
            <v>97.996604790266076</v>
          </cell>
          <cell r="AZ69" t="str">
            <v>G. Mason</v>
          </cell>
        </row>
        <row r="70">
          <cell r="A70" t="str">
            <v>VM059</v>
          </cell>
          <cell r="R70">
            <v>58</v>
          </cell>
          <cell r="S70">
            <v>5.6380952380952261</v>
          </cell>
          <cell r="V70">
            <v>0.53541666666666665</v>
          </cell>
          <cell r="W70">
            <v>0.6645833333333333</v>
          </cell>
          <cell r="X70">
            <v>88</v>
          </cell>
          <cell r="AB70">
            <v>0.26874999999999999</v>
          </cell>
          <cell r="AE70">
            <v>52.5</v>
          </cell>
          <cell r="AH70">
            <v>14.7</v>
          </cell>
          <cell r="AJ70">
            <v>48.6</v>
          </cell>
          <cell r="AV70">
            <v>101.50384828699441</v>
          </cell>
          <cell r="AW70">
            <v>101.86998366861313</v>
          </cell>
          <cell r="AZ70" t="str">
            <v>G. Mason</v>
          </cell>
        </row>
        <row r="71">
          <cell r="A71" t="str">
            <v>VM060</v>
          </cell>
          <cell r="R71">
            <v>60</v>
          </cell>
          <cell r="S71">
            <v>6.9714285714285644</v>
          </cell>
          <cell r="V71">
            <v>0.62777777777777777</v>
          </cell>
          <cell r="W71">
            <v>0.76736111111111116</v>
          </cell>
          <cell r="X71">
            <v>85</v>
          </cell>
          <cell r="AB71">
            <v>0.27430555555555558</v>
          </cell>
          <cell r="AE71">
            <v>52.5</v>
          </cell>
          <cell r="AH71">
            <v>14.2</v>
          </cell>
          <cell r="AJ71">
            <v>48</v>
          </cell>
          <cell r="AV71">
            <v>96.742930981448211</v>
          </cell>
          <cell r="AW71">
            <v>97.090419587734146</v>
          </cell>
          <cell r="AZ71" t="str">
            <v>G. Mason</v>
          </cell>
        </row>
        <row r="72">
          <cell r="A72" t="str">
            <v>VM061</v>
          </cell>
          <cell r="R72">
            <v>60</v>
          </cell>
          <cell r="S72">
            <v>5.6704980842912027</v>
          </cell>
          <cell r="V72">
            <v>0.72986111111111107</v>
          </cell>
          <cell r="W72">
            <v>0.86805555555555558</v>
          </cell>
          <cell r="X72">
            <v>84</v>
          </cell>
          <cell r="AB72">
            <v>0.27777777777777779</v>
          </cell>
          <cell r="AE72">
            <v>52.2</v>
          </cell>
          <cell r="AH72">
            <v>14.3</v>
          </cell>
          <cell r="AJ72">
            <v>48.2</v>
          </cell>
          <cell r="AV72">
            <v>97.755191484048893</v>
          </cell>
          <cell r="AW72">
            <v>98.107805054305132</v>
          </cell>
          <cell r="AZ72" t="str">
            <v>R. Regis</v>
          </cell>
        </row>
        <row r="73">
          <cell r="A73" t="str">
            <v>VM062</v>
          </cell>
          <cell r="R73">
            <v>60</v>
          </cell>
          <cell r="S73">
            <v>7.7333333333333378</v>
          </cell>
          <cell r="V73">
            <v>0.82847222222222228</v>
          </cell>
          <cell r="W73">
            <v>0.97916666666666663</v>
          </cell>
          <cell r="X73">
            <v>85</v>
          </cell>
          <cell r="AB73">
            <v>0.29861111111111105</v>
          </cell>
          <cell r="AE73">
            <v>52.5</v>
          </cell>
          <cell r="AH73">
            <v>14.2</v>
          </cell>
          <cell r="AJ73">
            <v>47.6</v>
          </cell>
          <cell r="AV73">
            <v>95.835062582045694</v>
          </cell>
          <cell r="AW73">
            <v>96.180750039251478</v>
          </cell>
          <cell r="AZ73" t="str">
            <v>R. Regis</v>
          </cell>
        </row>
        <row r="74">
          <cell r="A74" t="str">
            <v>VM063</v>
          </cell>
          <cell r="R74">
            <v>63</v>
          </cell>
          <cell r="S74">
            <v>6.0190476190476128</v>
          </cell>
          <cell r="V74">
            <v>0.92847222222222225</v>
          </cell>
          <cell r="W74">
            <v>1.0736111111111111</v>
          </cell>
          <cell r="X74">
            <v>85</v>
          </cell>
          <cell r="AB74">
            <v>0.29930555555555549</v>
          </cell>
          <cell r="AE74">
            <v>52.5</v>
          </cell>
          <cell r="AH74">
            <v>14.2</v>
          </cell>
          <cell r="AJ74">
            <v>48.6</v>
          </cell>
          <cell r="AV74">
            <v>97.848404232929013</v>
          </cell>
          <cell r="AW74">
            <v>98.201354031672722</v>
          </cell>
          <cell r="AZ74" t="str">
            <v>R. Regis</v>
          </cell>
        </row>
        <row r="75">
          <cell r="A75" t="str">
            <v>VM064</v>
          </cell>
          <cell r="R75">
            <v>58</v>
          </cell>
          <cell r="S75">
            <v>1.9009900990098885</v>
          </cell>
          <cell r="V75">
            <v>1.0305555555555554</v>
          </cell>
          <cell r="W75">
            <v>1.1583333333333334</v>
          </cell>
          <cell r="X75">
            <v>79</v>
          </cell>
          <cell r="AB75">
            <v>0.29027777777777786</v>
          </cell>
          <cell r="AE75">
            <v>50.5</v>
          </cell>
          <cell r="AH75">
            <v>14.2</v>
          </cell>
          <cell r="AJ75">
            <v>48.4</v>
          </cell>
          <cell r="AV75">
            <v>97.445735902752347</v>
          </cell>
          <cell r="AW75">
            <v>97.797233233188479</v>
          </cell>
          <cell r="AZ75" t="str">
            <v>R.Sookram</v>
          </cell>
        </row>
        <row r="76">
          <cell r="A76" t="str">
            <v>VM065</v>
          </cell>
          <cell r="R76">
            <v>60</v>
          </cell>
          <cell r="S76">
            <v>0.9218436873747512</v>
          </cell>
          <cell r="V76">
            <v>1.1201388888888888</v>
          </cell>
          <cell r="W76">
            <v>1.257638888888889</v>
          </cell>
          <cell r="X76">
            <v>85</v>
          </cell>
          <cell r="AB76">
            <v>0.28194444444444455</v>
          </cell>
          <cell r="AE76">
            <v>49.9</v>
          </cell>
          <cell r="AH76">
            <v>14.2</v>
          </cell>
          <cell r="AJ76">
            <v>48.6</v>
          </cell>
          <cell r="AV76">
            <v>97.848404232929013</v>
          </cell>
          <cell r="AW76">
            <v>98.201354031672722</v>
          </cell>
          <cell r="AZ76" t="str">
            <v>R.Sookram</v>
          </cell>
        </row>
        <row r="77">
          <cell r="A77" t="str">
            <v>VM066</v>
          </cell>
          <cell r="R77">
            <v>55</v>
          </cell>
          <cell r="S77">
            <v>6.3178294573643363</v>
          </cell>
          <cell r="V77">
            <v>0.21736111111111112</v>
          </cell>
          <cell r="W77">
            <v>0.35833333333333334</v>
          </cell>
          <cell r="X77">
            <v>87</v>
          </cell>
          <cell r="AB77">
            <v>0.28888888888888886</v>
          </cell>
          <cell r="AE77">
            <v>51.6</v>
          </cell>
          <cell r="AH77">
            <v>14.4</v>
          </cell>
          <cell r="AJ77">
            <v>47.8</v>
          </cell>
          <cell r="AV77">
            <v>97.610908885136041</v>
          </cell>
          <cell r="AW77">
            <v>97.964485761156965</v>
          </cell>
          <cell r="AZ77" t="str">
            <v>R.Sookram</v>
          </cell>
        </row>
      </sheetData>
      <sheetData sheetId="4">
        <row r="5">
          <cell r="D5">
            <v>14.8</v>
          </cell>
        </row>
        <row r="64">
          <cell r="D64">
            <v>14.5</v>
          </cell>
        </row>
        <row r="65">
          <cell r="D65">
            <v>14.2</v>
          </cell>
        </row>
        <row r="66">
          <cell r="D66">
            <v>14.5</v>
          </cell>
        </row>
        <row r="67">
          <cell r="D67">
            <v>14.3</v>
          </cell>
        </row>
        <row r="68">
          <cell r="D68">
            <v>14.3</v>
          </cell>
          <cell r="O68">
            <v>4.0999999999999996</v>
          </cell>
        </row>
        <row r="69">
          <cell r="D69">
            <v>14.2</v>
          </cell>
        </row>
        <row r="70">
          <cell r="D70">
            <v>14.7</v>
          </cell>
          <cell r="O70">
            <v>4.0999999999999996</v>
          </cell>
        </row>
        <row r="71">
          <cell r="D71">
            <v>14.2</v>
          </cell>
        </row>
        <row r="72">
          <cell r="D72">
            <v>14.3</v>
          </cell>
          <cell r="O72">
            <v>4.0999999999999996</v>
          </cell>
        </row>
        <row r="73">
          <cell r="D73">
            <v>14.2</v>
          </cell>
        </row>
        <row r="74">
          <cell r="D74">
            <v>14.2</v>
          </cell>
          <cell r="O74">
            <v>4.0999999999999996</v>
          </cell>
        </row>
        <row r="75">
          <cell r="D75">
            <v>14.2</v>
          </cell>
        </row>
        <row r="76">
          <cell r="D76">
            <v>14.2</v>
          </cell>
          <cell r="O76">
            <v>4.0999999999999996</v>
          </cell>
        </row>
        <row r="77">
          <cell r="D77">
            <v>14.4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  <sheetName val="Summary March '24"/>
      <sheetName val="Summary January'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T18">
            <v>93.502897385814322</v>
          </cell>
        </row>
        <row r="19">
          <cell r="AT19">
            <v>95.829405051357114</v>
          </cell>
        </row>
        <row r="20">
          <cell r="AT20">
            <v>94.712550055902142</v>
          </cell>
        </row>
        <row r="21">
          <cell r="AT21">
            <v>96.201558080682787</v>
          </cell>
        </row>
        <row r="26">
          <cell r="AT26">
            <v>91.626266310300238</v>
          </cell>
        </row>
      </sheetData>
      <sheetData sheetId="8">
        <row r="4">
          <cell r="D4">
            <v>13.5</v>
          </cell>
        </row>
        <row r="23">
          <cell r="D23">
            <v>13.3</v>
          </cell>
          <cell r="Y23">
            <v>1.9</v>
          </cell>
        </row>
        <row r="24">
          <cell r="D24">
            <v>13.3</v>
          </cell>
        </row>
        <row r="25">
          <cell r="D25">
            <v>13.5</v>
          </cell>
          <cell r="Y25">
            <v>1.9</v>
          </cell>
        </row>
        <row r="26">
          <cell r="D26">
            <v>13.4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2025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U10">
            <v>94.811455712610496</v>
          </cell>
        </row>
        <row r="11">
          <cell r="AU11">
            <v>98.883453602895727</v>
          </cell>
        </row>
        <row r="12">
          <cell r="AU12">
            <v>98.52698786953647</v>
          </cell>
        </row>
        <row r="13">
          <cell r="AU13">
            <v>97.731882466029035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'25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November'24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AW26">
            <v>96.678776803355618</v>
          </cell>
        </row>
        <row r="27">
          <cell r="AW27">
            <v>93.942585007034225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  <sheetName val="Summary November '24 "/>
    </sheetNames>
    <sheetDataSet>
      <sheetData sheetId="0" refreshError="1"/>
      <sheetData sheetId="1" refreshError="1"/>
      <sheetData sheetId="2" refreshError="1"/>
      <sheetData sheetId="3" refreshError="1">
        <row r="13">
          <cell r="A13" t="str">
            <v>HA001</v>
          </cell>
          <cell r="AU13">
            <v>96.227257171591688</v>
          </cell>
        </row>
        <row r="14">
          <cell r="AU14">
            <v>97.993893314944387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70">
          <cell r="M70">
            <v>6.5</v>
          </cell>
        </row>
      </sheetData>
      <sheetData sheetId="17" refreshError="1"/>
      <sheetData sheetId="18">
        <row r="65">
          <cell r="L65">
            <v>95.175721461636485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 "/>
      <sheetName val="June 6th"/>
      <sheetName val="June 10th"/>
      <sheetName val="June 11th"/>
      <sheetName val="June 12th "/>
      <sheetName val="June 13th"/>
      <sheetName val="June 16th"/>
      <sheetName val="June 17th "/>
      <sheetName val="June 18th"/>
      <sheetName val="June 20th "/>
      <sheetName val="June 23rd"/>
      <sheetName val="June 24th"/>
      <sheetName val="June 25th "/>
      <sheetName val="June 26th "/>
      <sheetName val="June 27th-29th"/>
      <sheetName val="June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57">
          <cell r="L57">
            <v>97.772657059692847</v>
          </cell>
        </row>
        <row r="62">
          <cell r="L62">
            <v>6.9523809523809526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4th"/>
      <sheetName val="July 7th "/>
      <sheetName val="July 8th "/>
      <sheetName val="July 9th  "/>
      <sheetName val="July 10th "/>
      <sheetName val="July 11th  "/>
      <sheetName val="July 14th"/>
      <sheetName val="July 15th"/>
      <sheetName val="July 16th "/>
      <sheetName val="July 17th "/>
      <sheetName val="July 18th"/>
      <sheetName val="July 21st"/>
      <sheetName val="July 22nd"/>
      <sheetName val="July 23rd"/>
      <sheetName val="July 24th"/>
      <sheetName val="July 25th"/>
      <sheetName val="July 28th"/>
      <sheetName val="July 29th 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9">
          <cell r="L49">
            <v>8.1578947368421044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G3">
            <v>407.2</v>
          </cell>
          <cell r="H3">
            <v>607.4</v>
          </cell>
          <cell r="J3">
            <v>612.29999999999995</v>
          </cell>
          <cell r="P3">
            <v>404.5</v>
          </cell>
          <cell r="R3">
            <v>401.70000000000005</v>
          </cell>
          <cell r="W3">
            <v>449.20000000000005</v>
          </cell>
          <cell r="Y3">
            <v>407.00000000000006</v>
          </cell>
          <cell r="AE3">
            <v>408.09999999999997</v>
          </cell>
          <cell r="AF3">
            <v>409.5</v>
          </cell>
          <cell r="AN3">
            <v>7.036501199419833</v>
          </cell>
          <cell r="AQ3">
            <v>6.2930865311978694</v>
          </cell>
        </row>
        <row r="4">
          <cell r="AN4">
            <v>5.0817131718042061</v>
          </cell>
          <cell r="AQ4">
            <v>5.4868544765685812</v>
          </cell>
        </row>
        <row r="5">
          <cell r="AN5">
            <v>10.387665592755834</v>
          </cell>
          <cell r="AQ5">
            <v>12.922645762818227</v>
          </cell>
        </row>
        <row r="6">
          <cell r="AN6">
            <v>4.3345910844408779</v>
          </cell>
          <cell r="AQ6">
            <v>4.7612385632312364</v>
          </cell>
        </row>
        <row r="7">
          <cell r="G7">
            <v>389.7</v>
          </cell>
          <cell r="H7">
            <v>570.30000000000007</v>
          </cell>
          <cell r="J7">
            <v>578.79999999999995</v>
          </cell>
          <cell r="P7">
            <v>388.2</v>
          </cell>
          <cell r="R7">
            <v>382</v>
          </cell>
          <cell r="W7">
            <v>423.70000000000005</v>
          </cell>
          <cell r="Y7">
            <v>394.4</v>
          </cell>
          <cell r="AE7">
            <v>385.7</v>
          </cell>
          <cell r="AF7">
            <v>385.3</v>
          </cell>
          <cell r="AN7" t="e">
            <v>#DIV/0!</v>
          </cell>
          <cell r="AQ7">
            <v>5.3377569154690221</v>
          </cell>
        </row>
        <row r="8">
          <cell r="AN8">
            <v>6.7916330640214131</v>
          </cell>
          <cell r="AQ8">
            <v>8.5598888260252064</v>
          </cell>
        </row>
        <row r="9">
          <cell r="AN9">
            <v>7.0415942868172152</v>
          </cell>
          <cell r="AQ9">
            <v>4.4974189022907662</v>
          </cell>
        </row>
        <row r="10">
          <cell r="AN10" t="e">
            <v>#DIV/0!</v>
          </cell>
          <cell r="AQ10">
            <v>9.7934336121043764</v>
          </cell>
        </row>
        <row r="11">
          <cell r="G11">
            <v>4.8361605253349556</v>
          </cell>
          <cell r="H11">
            <v>7.0829182363207153</v>
          </cell>
          <cell r="J11">
            <v>7.9767575938245976</v>
          </cell>
          <cell r="P11">
            <v>6.7869942792427791</v>
          </cell>
          <cell r="R11">
            <v>6.6469496671020893</v>
          </cell>
          <cell r="W11">
            <v>9.9641787420059664</v>
          </cell>
          <cell r="Y11">
            <v>4.2756629120265623</v>
          </cell>
          <cell r="AE11">
            <v>7.2447121872549394</v>
          </cell>
          <cell r="AF11">
            <v>7.6591027763218369</v>
          </cell>
          <cell r="AN11" t="e">
            <v>#DIV/0!</v>
          </cell>
          <cell r="AQ11">
            <v>8.1715311054411259</v>
          </cell>
        </row>
        <row r="12">
          <cell r="AN12">
            <v>6.7338207164959769</v>
          </cell>
          <cell r="AQ12">
            <v>6.5966426657431283</v>
          </cell>
        </row>
        <row r="13">
          <cell r="K13">
            <v>399.37</v>
          </cell>
          <cell r="P13">
            <v>396.6</v>
          </cell>
          <cell r="Q13">
            <v>197.3</v>
          </cell>
          <cell r="X13">
            <v>389.7</v>
          </cell>
          <cell r="AF13">
            <v>99.3</v>
          </cell>
        </row>
        <row r="17">
          <cell r="K17">
            <v>377.8</v>
          </cell>
          <cell r="P17">
            <v>371</v>
          </cell>
          <cell r="Q17">
            <v>185</v>
          </cell>
          <cell r="X17">
            <v>382.3</v>
          </cell>
          <cell r="AF17">
            <v>94.6</v>
          </cell>
        </row>
        <row r="21">
          <cell r="P21">
            <v>6.6817341093718534</v>
          </cell>
          <cell r="Q21">
            <v>6.2341611758743118</v>
          </cell>
          <cell r="X21">
            <v>3.3183659291053096</v>
          </cell>
          <cell r="AF21">
            <v>0.24710645753146673</v>
          </cell>
        </row>
        <row r="23">
          <cell r="I23">
            <v>408.6</v>
          </cell>
          <cell r="AE23">
            <v>204.9</v>
          </cell>
        </row>
        <row r="28">
          <cell r="I28">
            <v>384.40000000000003</v>
          </cell>
          <cell r="AE28">
            <v>194.39999999999998</v>
          </cell>
        </row>
        <row r="32">
          <cell r="I32">
            <v>10.553404257187401</v>
          </cell>
          <cell r="AE32">
            <v>10.051578450143497</v>
          </cell>
        </row>
        <row r="34">
          <cell r="K34">
            <v>196</v>
          </cell>
        </row>
        <row r="39">
          <cell r="K39">
            <v>189.3</v>
          </cell>
        </row>
        <row r="55">
          <cell r="G55">
            <v>99</v>
          </cell>
        </row>
        <row r="59">
          <cell r="G59">
            <v>94.9</v>
          </cell>
        </row>
        <row r="65">
          <cell r="I65">
            <v>191.8</v>
          </cell>
          <cell r="W65">
            <v>480.90000000000003</v>
          </cell>
        </row>
        <row r="70">
          <cell r="I70">
            <v>187.89999999999998</v>
          </cell>
          <cell r="W70">
            <v>485.5</v>
          </cell>
        </row>
        <row r="74">
          <cell r="I74">
            <v>5.966075524743097</v>
          </cell>
          <cell r="W74">
            <v>3.6799979349724179</v>
          </cell>
        </row>
      </sheetData>
      <sheetData sheetId="8">
        <row r="3">
          <cell r="E3">
            <v>414</v>
          </cell>
        </row>
      </sheetData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AN13">
            <v>1.0619883040935671</v>
          </cell>
          <cell r="AQ13">
            <v>0.77440689068275237</v>
          </cell>
        </row>
        <row r="14">
          <cell r="AN14">
            <v>0.60493567251461999</v>
          </cell>
          <cell r="AQ14">
            <v>0.74160008792880283</v>
          </cell>
        </row>
        <row r="15">
          <cell r="AN15">
            <v>0.50771929824561401</v>
          </cell>
          <cell r="AQ15">
            <v>0.53918754349338904</v>
          </cell>
        </row>
        <row r="16">
          <cell r="AN16">
            <v>1.016578947368421</v>
          </cell>
          <cell r="AQ16">
            <v>0.82603070175438598</v>
          </cell>
        </row>
        <row r="17">
          <cell r="AN17" t="e">
            <v>#DIV/0!</v>
          </cell>
          <cell r="AQ17">
            <v>0.32596491228070179</v>
          </cell>
        </row>
        <row r="18">
          <cell r="G18">
            <v>0.68368421052631578</v>
          </cell>
          <cell r="H18">
            <v>1.0005263157894737</v>
          </cell>
          <cell r="J18">
            <v>1.015438596491228</v>
          </cell>
          <cell r="P18">
            <v>1.3621052631578947</v>
          </cell>
          <cell r="R18">
            <v>1.3403508771929824</v>
          </cell>
          <cell r="W18">
            <v>0.7433333333333334</v>
          </cell>
          <cell r="Y18">
            <v>1.383859649122807</v>
          </cell>
          <cell r="AE18">
            <v>0.67666666666666664</v>
          </cell>
          <cell r="AF18">
            <v>1.3519298245614035</v>
          </cell>
          <cell r="AN18">
            <v>0.66421052631578947</v>
          </cell>
          <cell r="AQ18">
            <v>0.60705263157894729</v>
          </cell>
        </row>
        <row r="19">
          <cell r="AN19">
            <v>0.33298245614035088</v>
          </cell>
          <cell r="AQ19">
            <v>0.80374720357941831</v>
          </cell>
        </row>
        <row r="20">
          <cell r="AN20" t="e">
            <v>#DIV/0!</v>
          </cell>
          <cell r="AQ20">
            <v>0.32456140350877194</v>
          </cell>
        </row>
        <row r="21">
          <cell r="AN21">
            <v>0</v>
          </cell>
          <cell r="AQ21">
            <v>0.51368421052631585</v>
          </cell>
        </row>
        <row r="22">
          <cell r="AN22">
            <v>0.83141812865497067</v>
          </cell>
          <cell r="AQ22">
            <v>0.73483846645797568</v>
          </cell>
        </row>
        <row r="25">
          <cell r="K25">
            <v>0.4418713450292398</v>
          </cell>
          <cell r="P25">
            <v>0.26035087719298244</v>
          </cell>
          <cell r="Q25">
            <v>0.64912280701754388</v>
          </cell>
          <cell r="X25">
            <v>1.3414035087719298</v>
          </cell>
          <cell r="AF25">
            <v>0.33192982456140346</v>
          </cell>
        </row>
        <row r="32">
          <cell r="I32">
            <v>0.67438596491228076</v>
          </cell>
          <cell r="AE32">
            <v>0.34105263157894733</v>
          </cell>
        </row>
        <row r="39">
          <cell r="K39">
            <v>0.66421052631578947</v>
          </cell>
        </row>
        <row r="53">
          <cell r="G53">
            <v>0.33298245614035088</v>
          </cell>
        </row>
        <row r="60">
          <cell r="I60">
            <v>0.32964912280701753</v>
          </cell>
          <cell r="W60">
            <v>1.7035087719298245</v>
          </cell>
        </row>
      </sheetData>
      <sheetData sheetId="8"/>
      <sheetData sheetId="9">
        <row r="13">
          <cell r="AM13">
            <v>0.69385964912280707</v>
          </cell>
        </row>
      </sheetData>
      <sheetData sheetId="10"/>
      <sheetData sheetId="11"/>
      <sheetData sheetId="1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YTD 2025"/>
      <sheetName val="MTD"/>
    </sheetNames>
    <sheetDataSet>
      <sheetData sheetId="0" refreshError="1"/>
      <sheetData sheetId="1">
        <row r="6">
          <cell r="S6">
            <v>9.8999999999999986</v>
          </cell>
        </row>
      </sheetData>
      <sheetData sheetId="2" refreshError="1"/>
      <sheetData sheetId="3">
        <row r="6">
          <cell r="J6">
            <v>4.0999999999999996</v>
          </cell>
        </row>
        <row r="8">
          <cell r="J8">
            <v>4.0999999999999996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E5">
            <v>6.1826379337190565</v>
          </cell>
        </row>
        <row r="6">
          <cell r="E6">
            <v>5.8398613192243802</v>
          </cell>
        </row>
        <row r="7">
          <cell r="E7">
            <v>11.234664338556245</v>
          </cell>
        </row>
        <row r="8">
          <cell r="E8">
            <v>4.8818566667667298</v>
          </cell>
        </row>
        <row r="9">
          <cell r="E9">
            <v>7.837301587301579</v>
          </cell>
        </row>
        <row r="10">
          <cell r="E10">
            <v>6.9158697961943529</v>
          </cell>
        </row>
        <row r="11">
          <cell r="E11">
            <v>3.0301127264734369</v>
          </cell>
        </row>
        <row r="12">
          <cell r="E12">
            <v>11.483253588516746</v>
          </cell>
        </row>
        <row r="13">
          <cell r="E13">
            <v>7.2653644592663174</v>
          </cell>
        </row>
        <row r="14">
          <cell r="E14">
            <v>6.2499527977071718</v>
          </cell>
        </row>
      </sheetData>
      <sheetData sheetId="11">
        <row r="5">
          <cell r="E5">
            <v>5.0841267135796109</v>
          </cell>
        </row>
        <row r="6">
          <cell r="E6">
            <v>4.8284050813954389</v>
          </cell>
        </row>
        <row r="7">
          <cell r="E7">
            <v>7.8197165153686754</v>
          </cell>
        </row>
        <row r="8">
          <cell r="E8">
            <v>3.992015968063888</v>
          </cell>
        </row>
        <row r="9">
          <cell r="E9" t="e">
            <v>#DIV/0!</v>
          </cell>
        </row>
        <row r="10">
          <cell r="E10">
            <v>5.2552552552552552</v>
          </cell>
        </row>
        <row r="11">
          <cell r="E11">
            <v>4.1414141414141357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5.155273392847997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40" t="s">
        <v>0</v>
      </c>
      <c r="U1" s="540"/>
      <c r="V1" s="540" t="s">
        <v>1</v>
      </c>
      <c r="W1" s="540"/>
      <c r="X1" s="540" t="s">
        <v>2</v>
      </c>
      <c r="Y1" s="540"/>
      <c r="Z1" s="540" t="s">
        <v>124</v>
      </c>
      <c r="AA1" s="540"/>
    </row>
    <row r="2" spans="2:30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59">
        <v>45278</v>
      </c>
      <c r="D4" s="559"/>
      <c r="J4" s="560" t="s">
        <v>153</v>
      </c>
      <c r="K4" s="560"/>
      <c r="L4" s="11"/>
      <c r="M4" s="562" t="s">
        <v>8</v>
      </c>
      <c r="N4" s="563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61"/>
      <c r="K5" s="561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44" t="s">
        <v>151</v>
      </c>
      <c r="K6" s="545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46"/>
      <c r="K7" s="547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152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9"/>
      <c r="P8" s="501" t="s">
        <v>28</v>
      </c>
      <c r="Q8" s="527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49"/>
      <c r="P9" s="558"/>
      <c r="Q9" s="528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29" t="s">
        <v>34</v>
      </c>
      <c r="J48" s="529"/>
      <c r="K48" s="529"/>
      <c r="L48" s="529"/>
      <c r="M48" s="529"/>
      <c r="N48" s="529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42" t="s">
        <v>35</v>
      </c>
      <c r="E49" s="543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30" t="s">
        <v>9</v>
      </c>
      <c r="C50" s="362">
        <v>11.8</v>
      </c>
      <c r="D50" s="533">
        <v>11.73</v>
      </c>
      <c r="E50" s="522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31"/>
      <c r="C51" s="349">
        <v>11.9</v>
      </c>
      <c r="D51" s="534"/>
      <c r="E51" s="517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31"/>
      <c r="C52" s="349"/>
      <c r="D52" s="533"/>
      <c r="E52" s="522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31"/>
      <c r="C53" s="349"/>
      <c r="D53" s="534"/>
      <c r="E53" s="517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31"/>
      <c r="C54" s="349"/>
      <c r="D54" s="533"/>
      <c r="E54" s="522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31"/>
      <c r="C55" s="349"/>
      <c r="D55" s="534"/>
      <c r="E55" s="517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31"/>
      <c r="C56" s="349"/>
      <c r="D56" s="533"/>
      <c r="E56" s="522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31"/>
      <c r="C57" s="349"/>
      <c r="D57" s="534"/>
      <c r="E57" s="517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31"/>
      <c r="C58" s="349"/>
      <c r="D58" s="535"/>
      <c r="E58" s="524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31"/>
      <c r="C59" s="349"/>
      <c r="D59" s="536"/>
      <c r="E59" s="537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31"/>
      <c r="C60" s="349"/>
      <c r="D60" s="535"/>
      <c r="E60" s="524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32"/>
      <c r="C61" s="350"/>
      <c r="D61" s="538"/>
      <c r="E61" s="539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11"/>
      <c r="C62" s="362"/>
      <c r="D62" s="514"/>
      <c r="E62" s="515"/>
      <c r="F62" s="43"/>
      <c r="G62" s="41"/>
      <c r="H62" s="41"/>
      <c r="I62" s="42"/>
      <c r="J62" s="518" t="s">
        <v>129</v>
      </c>
      <c r="K62" s="518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12"/>
      <c r="C63" s="349"/>
      <c r="D63" s="516"/>
      <c r="E63" s="517"/>
      <c r="F63" s="43"/>
      <c r="G63" s="41"/>
      <c r="H63" s="41"/>
      <c r="I63" s="42"/>
      <c r="J63" s="292" t="s">
        <v>17</v>
      </c>
      <c r="K63" s="293" t="s">
        <v>147</v>
      </c>
      <c r="L63" s="519" t="s">
        <v>136</v>
      </c>
      <c r="M63" s="519"/>
      <c r="N63" s="520"/>
      <c r="O63" s="294"/>
      <c r="P63" s="12"/>
      <c r="S63" s="23"/>
    </row>
    <row r="64" spans="1:27" ht="15" customHeight="1" thickBot="1">
      <c r="B64" s="512"/>
      <c r="C64" s="349"/>
      <c r="D64" s="521"/>
      <c r="E64" s="522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12"/>
      <c r="C65" s="349"/>
      <c r="D65" s="516"/>
      <c r="E65" s="517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12"/>
      <c r="C66" s="349"/>
      <c r="D66" s="521"/>
      <c r="E66" s="522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12"/>
      <c r="C67" s="349"/>
      <c r="D67" s="516"/>
      <c r="E67" s="517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12"/>
      <c r="C68" s="349"/>
      <c r="D68" s="521"/>
      <c r="E68" s="522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12"/>
      <c r="C69" s="349"/>
      <c r="D69" s="516"/>
      <c r="E69" s="517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12"/>
      <c r="C70" s="349"/>
      <c r="D70" s="523"/>
      <c r="E70" s="524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13"/>
      <c r="C71" s="350"/>
      <c r="D71" s="525"/>
      <c r="E71" s="526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05">
        <f>AVERAGE(D50:E71)</f>
        <v>11.73</v>
      </c>
      <c r="E72" s="506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495" t="s">
        <v>17</v>
      </c>
      <c r="C77" s="495" t="s">
        <v>44</v>
      </c>
      <c r="D77" s="507" t="s">
        <v>45</v>
      </c>
      <c r="E77" s="509" t="s">
        <v>46</v>
      </c>
      <c r="F77" s="503" t="s">
        <v>47</v>
      </c>
      <c r="G77" s="493" t="s">
        <v>48</v>
      </c>
      <c r="H77" s="495" t="s">
        <v>49</v>
      </c>
      <c r="I77" s="497" t="s">
        <v>50</v>
      </c>
      <c r="J77" s="487" t="s">
        <v>28</v>
      </c>
      <c r="K77" s="499" t="s">
        <v>51</v>
      </c>
      <c r="L77" s="501" t="s">
        <v>52</v>
      </c>
      <c r="M77" s="487" t="s">
        <v>53</v>
      </c>
      <c r="N77" s="77"/>
      <c r="O77" s="13"/>
      <c r="P77" s="50"/>
    </row>
    <row r="78" spans="2:58" ht="28.5" customHeight="1" thickTop="1" thickBot="1">
      <c r="B78" s="496"/>
      <c r="C78" s="496"/>
      <c r="D78" s="508"/>
      <c r="E78" s="510"/>
      <c r="F78" s="504"/>
      <c r="G78" s="494"/>
      <c r="H78" s="496"/>
      <c r="I78" s="498"/>
      <c r="J78" s="488"/>
      <c r="K78" s="500"/>
      <c r="L78" s="502"/>
      <c r="M78" s="488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489" t="s">
        <v>55</v>
      </c>
      <c r="C87" s="490"/>
      <c r="D87" s="490"/>
      <c r="E87" s="490"/>
      <c r="F87" s="491"/>
      <c r="G87" s="489" t="s">
        <v>56</v>
      </c>
      <c r="H87" s="490"/>
      <c r="I87" s="490"/>
      <c r="J87" s="491"/>
      <c r="K87" s="489" t="s">
        <v>51</v>
      </c>
      <c r="L87" s="490"/>
      <c r="M87" s="490"/>
      <c r="N87" s="492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050" priority="157" operator="notBetween">
      <formula>#REF!</formula>
      <formula>#REF!</formula>
    </cfRule>
  </conditionalFormatting>
  <conditionalFormatting sqref="C76">
    <cfRule type="cellIs" dxfId="3049" priority="190" stopIfTrue="1" operator="greaterThan">
      <formula>100</formula>
    </cfRule>
    <cfRule type="cellIs" dxfId="3048" priority="189" stopIfTrue="1" operator="lessThan">
      <formula>96</formula>
    </cfRule>
  </conditionalFormatting>
  <conditionalFormatting sqref="C90">
    <cfRule type="cellIs" dxfId="3047" priority="212" stopIfTrue="1" operator="greaterThan">
      <formula>$F89</formula>
    </cfRule>
    <cfRule type="cellIs" dxfId="3046" priority="106" stopIfTrue="1" operator="lessThanOrEqual">
      <formula>0</formula>
    </cfRule>
  </conditionalFormatting>
  <conditionalFormatting sqref="C91:C93">
    <cfRule type="cellIs" dxfId="3045" priority="105" stopIfTrue="1" operator="greaterThan">
      <formula>$F91</formula>
    </cfRule>
  </conditionalFormatting>
  <conditionalFormatting sqref="C91:C94">
    <cfRule type="cellIs" dxfId="3044" priority="129" stopIfTrue="1" operator="lessThanOrEqual">
      <formula>0</formula>
    </cfRule>
  </conditionalFormatting>
  <conditionalFormatting sqref="C94">
    <cfRule type="cellIs" dxfId="3043" priority="128" stopIfTrue="1" operator="greaterThan">
      <formula>$J94</formula>
    </cfRule>
  </conditionalFormatting>
  <conditionalFormatting sqref="C95:C97">
    <cfRule type="cellIs" dxfId="3042" priority="145" stopIfTrue="1" operator="greaterThan">
      <formula>$F95</formula>
    </cfRule>
    <cfRule type="cellIs" dxfId="3041" priority="146" stopIfTrue="1" operator="lessThanOrEqual">
      <formula>0</formula>
    </cfRule>
  </conditionalFormatting>
  <conditionalFormatting sqref="C100:C104">
    <cfRule type="cellIs" dxfId="3040" priority="181" stopIfTrue="1" operator="lessThanOrEqual">
      <formula>0</formula>
    </cfRule>
  </conditionalFormatting>
  <conditionalFormatting sqref="C101:C104">
    <cfRule type="cellIs" dxfId="3039" priority="180" stopIfTrue="1" operator="greaterThan">
      <formula>$F$100</formula>
    </cfRule>
  </conditionalFormatting>
  <conditionalFormatting sqref="C106">
    <cfRule type="cellIs" dxfId="3038" priority="183" stopIfTrue="1" operator="lessThanOrEqual">
      <formula>0</formula>
    </cfRule>
    <cfRule type="cellIs" dxfId="3037" priority="182" stopIfTrue="1" operator="greaterThan">
      <formula>$F$100</formula>
    </cfRule>
  </conditionalFormatting>
  <conditionalFormatting sqref="C100:D100 D102:D108">
    <cfRule type="cellIs" dxfId="3036" priority="175" stopIfTrue="1" operator="greaterThan">
      <formula>4.5</formula>
    </cfRule>
  </conditionalFormatting>
  <conditionalFormatting sqref="D72:D73">
    <cfRule type="cellIs" dxfId="3035" priority="158" operator="notBetween">
      <formula>#REF!</formula>
      <formula>#REF!</formula>
    </cfRule>
  </conditionalFormatting>
  <conditionalFormatting sqref="D89:D96">
    <cfRule type="cellIs" dxfId="3034" priority="144" stopIfTrue="1" operator="lessThanOrEqual">
      <formula>0</formula>
    </cfRule>
  </conditionalFormatting>
  <conditionalFormatting sqref="D97">
    <cfRule type="cellIs" dxfId="3033" priority="143" stopIfTrue="1" operator="lessThanOrEqual">
      <formula>0</formula>
    </cfRule>
  </conditionalFormatting>
  <conditionalFormatting sqref="D100 D102:D108">
    <cfRule type="cellIs" dxfId="3032" priority="176" stopIfTrue="1" operator="lessThanOrEqual">
      <formula>0</formula>
    </cfRule>
  </conditionalFormatting>
  <conditionalFormatting sqref="D101">
    <cfRule type="cellIs" dxfId="3031" priority="167" stopIfTrue="1" operator="greaterThan">
      <formula>$F$100</formula>
    </cfRule>
    <cfRule type="cellIs" dxfId="3030" priority="168" stopIfTrue="1" operator="lessThanOrEqual">
      <formula>0</formula>
    </cfRule>
  </conditionalFormatting>
  <conditionalFormatting sqref="D89:E97">
    <cfRule type="cellIs" dxfId="3029" priority="135" stopIfTrue="1" operator="greaterThan">
      <formula>$F89</formula>
    </cfRule>
  </conditionalFormatting>
  <conditionalFormatting sqref="E10:E14">
    <cfRule type="cellIs" dxfId="3028" priority="52" operator="lessThan">
      <formula>48</formula>
    </cfRule>
  </conditionalFormatting>
  <conditionalFormatting sqref="E33:E46">
    <cfRule type="cellIs" dxfId="3027" priority="25" operator="lessThan">
      <formula>48</formula>
    </cfRule>
  </conditionalFormatting>
  <conditionalFormatting sqref="E76">
    <cfRule type="cellIs" dxfId="3026" priority="169" stopIfTrue="1" operator="lessThan">
      <formula>96.8</formula>
    </cfRule>
    <cfRule type="cellIs" dxfId="3025" priority="170" stopIfTrue="1" operator="greaterThan">
      <formula>100</formula>
    </cfRule>
  </conditionalFormatting>
  <conditionalFormatting sqref="E89:E97">
    <cfRule type="cellIs" dxfId="3024" priority="136" stopIfTrue="1" operator="lessThanOrEqual">
      <formula>0</formula>
    </cfRule>
  </conditionalFormatting>
  <conditionalFormatting sqref="E100:E108">
    <cfRule type="cellIs" dxfId="3023" priority="161" stopIfTrue="1" operator="greaterThan">
      <formula>4.5</formula>
    </cfRule>
    <cfRule type="cellIs" dxfId="3022" priority="162" stopIfTrue="1" operator="lessThanOrEqual">
      <formula>0</formula>
    </cfRule>
  </conditionalFormatting>
  <conditionalFormatting sqref="E75:F76">
    <cfRule type="cellIs" dxfId="3021" priority="171" stopIfTrue="1" operator="lessThan">
      <formula>96.5</formula>
    </cfRule>
    <cfRule type="cellIs" dxfId="3020" priority="172" stopIfTrue="1" operator="greaterThan">
      <formula>100</formula>
    </cfRule>
  </conditionalFormatting>
  <conditionalFormatting sqref="F10:F12">
    <cfRule type="cellIs" dxfId="3019" priority="62" operator="greaterThan">
      <formula>#REF!</formula>
    </cfRule>
  </conditionalFormatting>
  <conditionalFormatting sqref="F10:F47">
    <cfRule type="cellIs" dxfId="3018" priority="15" operator="greaterThan">
      <formula>$AA10</formula>
    </cfRule>
  </conditionalFormatting>
  <conditionalFormatting sqref="F13">
    <cfRule type="cellIs" dxfId="3017" priority="53" operator="greaterThan">
      <formula>$AA47</formula>
    </cfRule>
  </conditionalFormatting>
  <conditionalFormatting sqref="F14">
    <cfRule type="cellIs" dxfId="3016" priority="196" operator="greaterThan">
      <formula>#REF!</formula>
    </cfRule>
  </conditionalFormatting>
  <conditionalFormatting sqref="F33:F46">
    <cfRule type="cellIs" dxfId="3015" priority="26" operator="greaterThan">
      <formula>$AA48</formula>
    </cfRule>
  </conditionalFormatting>
  <conditionalFormatting sqref="F76">
    <cfRule type="cellIs" dxfId="3014" priority="188" stopIfTrue="1" operator="greaterThan">
      <formula>100</formula>
    </cfRule>
    <cfRule type="cellIs" dxfId="3013" priority="187" stopIfTrue="1" operator="lessThan">
      <formula>96.8</formula>
    </cfRule>
  </conditionalFormatting>
  <conditionalFormatting sqref="F97">
    <cfRule type="cellIs" dxfId="3012" priority="137" stopIfTrue="1" operator="greaterThan">
      <formula>$F97</formula>
    </cfRule>
    <cfRule type="cellIs" dxfId="3011" priority="138" stopIfTrue="1" operator="lessThanOrEqual">
      <formula>0</formula>
    </cfRule>
  </conditionalFormatting>
  <conditionalFormatting sqref="G10:G14">
    <cfRule type="expression" dxfId="3010" priority="54">
      <formula>IF(+(IF(G10&lt;#REF!,0,IF(G10&gt;#REF!,0,1)))=0,1)</formula>
    </cfRule>
  </conditionalFormatting>
  <conditionalFormatting sqref="G33:G46">
    <cfRule type="expression" dxfId="3009" priority="27">
      <formula>IF(+(IF(G33&lt;#REF!,0,IF(G33&gt;#REF!,0,1)))=0,1)</formula>
    </cfRule>
  </conditionalFormatting>
  <conditionalFormatting sqref="G90">
    <cfRule type="cellIs" dxfId="3008" priority="71" stopIfTrue="1" operator="lessThanOrEqual">
      <formula>0</formula>
    </cfRule>
    <cfRule type="cellIs" dxfId="3007" priority="70" stopIfTrue="1" operator="greaterThan">
      <formula>$F89</formula>
    </cfRule>
  </conditionalFormatting>
  <conditionalFormatting sqref="G90:G91">
    <cfRule type="cellIs" dxfId="3006" priority="192" stopIfTrue="1" operator="lessThanOrEqual">
      <formula>0</formula>
    </cfRule>
    <cfRule type="cellIs" dxfId="3005" priority="191" stopIfTrue="1" operator="greaterThan">
      <formula>$F89</formula>
    </cfRule>
  </conditionalFormatting>
  <conditionalFormatting sqref="G92">
    <cfRule type="cellIs" dxfId="3004" priority="140" stopIfTrue="1" operator="lessThanOrEqual">
      <formula>0</formula>
    </cfRule>
    <cfRule type="cellIs" dxfId="3003" priority="139" stopIfTrue="1" operator="greaterThan">
      <formula>$F92</formula>
    </cfRule>
  </conditionalFormatting>
  <conditionalFormatting sqref="G93:G96">
    <cfRule type="cellIs" dxfId="3002" priority="149" stopIfTrue="1" operator="lessThanOrEqual">
      <formula>0</formula>
    </cfRule>
    <cfRule type="cellIs" dxfId="3001" priority="148" stopIfTrue="1" operator="greaterThan">
      <formula>$J93</formula>
    </cfRule>
  </conditionalFormatting>
  <conditionalFormatting sqref="G97">
    <cfRule type="cellIs" dxfId="3000" priority="147" operator="greaterThan">
      <formula>4.5</formula>
    </cfRule>
  </conditionalFormatting>
  <conditionalFormatting sqref="G102:G107 C105 C107">
    <cfRule type="cellIs" dxfId="2999" priority="184" stopIfTrue="1" operator="greaterThan">
      <formula>4.5</formula>
    </cfRule>
    <cfRule type="cellIs" dxfId="2998" priority="185" stopIfTrue="1" operator="lessThanOrEqual">
      <formula>0</formula>
    </cfRule>
  </conditionalFormatting>
  <conditionalFormatting sqref="G62:H62 G63:G73 H63:H74">
    <cfRule type="cellIs" dxfId="2997" priority="163" stopIfTrue="1" operator="greaterThan">
      <formula>0</formula>
    </cfRule>
  </conditionalFormatting>
  <conditionalFormatting sqref="G101:H101">
    <cfRule type="cellIs" dxfId="2996" priority="166" stopIfTrue="1" operator="lessThanOrEqual">
      <formula>0</formula>
    </cfRule>
    <cfRule type="cellIs" dxfId="2995" priority="165" stopIfTrue="1" operator="greaterThan">
      <formula>$F$100</formula>
    </cfRule>
  </conditionalFormatting>
  <conditionalFormatting sqref="H10">
    <cfRule type="expression" dxfId="2994" priority="63">
      <formula>IF(+(IF(H10&lt;T27,0,IF(H10&gt;U27,0,1)))=0,1)</formula>
    </cfRule>
  </conditionalFormatting>
  <conditionalFormatting sqref="H10:H12">
    <cfRule type="expression" dxfId="2993" priority="64">
      <formula>IF(+(IF(H10&lt;#REF!,0,IF(H10&gt;#REF!,0,1)))=0,1)</formula>
    </cfRule>
  </conditionalFormatting>
  <conditionalFormatting sqref="H11:H12">
    <cfRule type="expression" dxfId="2992" priority="207">
      <formula>IF(+(IF(H11&lt;T47,0,IF(H11&gt;U47,0,1)))=0,1)</formula>
    </cfRule>
  </conditionalFormatting>
  <conditionalFormatting sqref="H13">
    <cfRule type="expression" dxfId="2991" priority="55">
      <formula>IF(+(IF(H13&lt;T56,0,IF(H13&gt;U56,0,1)))=0,1)</formula>
    </cfRule>
    <cfRule type="expression" dxfId="2990" priority="56">
      <formula>IF(+(IF(H13&lt;T47,0,IF(H13&gt;U47,0,1)))=0,1)</formula>
    </cfRule>
  </conditionalFormatting>
  <conditionalFormatting sqref="H14">
    <cfRule type="expression" dxfId="2989" priority="197">
      <formula>IF(+(IF(H14&lt;T50,0,IF(H14&gt;U50,0,1)))=0,1)</formula>
    </cfRule>
    <cfRule type="expression" dxfId="2988" priority="198">
      <formula>IF(+(IF(H14&lt;#REF!,0,IF(H14&gt;#REF!,0,1)))=0,1)</formula>
    </cfRule>
  </conditionalFormatting>
  <conditionalFormatting sqref="H15:H32">
    <cfRule type="expression" dxfId="2987" priority="209">
      <formula>IF(+(IF(H15&lt;T66,0,IF(H15&gt;U66,0,1)))=0,1)</formula>
    </cfRule>
  </conditionalFormatting>
  <conditionalFormatting sqref="H33:H46">
    <cfRule type="expression" dxfId="2986" priority="29">
      <formula>IF(+(IF(H33&lt;T48,0,IF(H33&gt;U48,0,1)))=0,1)</formula>
    </cfRule>
    <cfRule type="expression" dxfId="2985" priority="28">
      <formula>IF(+(IF(H33&lt;T57,0,IF(H33&gt;U57,0,1)))=0,1)</formula>
    </cfRule>
  </conditionalFormatting>
  <conditionalFormatting sqref="H47">
    <cfRule type="expression" dxfId="2984" priority="193">
      <formula>IF(+(IF(H47&lt;#REF!,0,IF(H47&gt;#REF!,0,1)))=0,1)</formula>
    </cfRule>
  </conditionalFormatting>
  <conditionalFormatting sqref="H51:H61">
    <cfRule type="cellIs" dxfId="2983" priority="159" stopIfTrue="1" operator="greaterThan">
      <formula>0</formula>
    </cfRule>
  </conditionalFormatting>
  <conditionalFormatting sqref="H79">
    <cfRule type="cellIs" dxfId="2982" priority="12" stopIfTrue="1" operator="lessThanOrEqual">
      <formula>0</formula>
    </cfRule>
    <cfRule type="cellIs" dxfId="2981" priority="14" stopIfTrue="1" operator="lessThanOrEqual">
      <formula>0</formula>
    </cfRule>
    <cfRule type="cellIs" dxfId="2980" priority="13" stopIfTrue="1" operator="greaterThan">
      <formula>$F$54</formula>
    </cfRule>
    <cfRule type="cellIs" dxfId="2979" priority="11" stopIfTrue="1" operator="greaterThan">
      <formula>$F$56</formula>
    </cfRule>
    <cfRule type="cellIs" dxfId="2978" priority="2" stopIfTrue="1" operator="lessThanOrEqual">
      <formula>0</formula>
    </cfRule>
    <cfRule type="cellIs" dxfId="2977" priority="3" stopIfTrue="1" operator="greaterThan">
      <formula>$F$53</formula>
    </cfRule>
  </conditionalFormatting>
  <conditionalFormatting sqref="H80">
    <cfRule type="cellIs" dxfId="2976" priority="92" stopIfTrue="1" operator="lessThanOrEqual">
      <formula>0</formula>
    </cfRule>
    <cfRule type="cellIs" dxfId="2975" priority="93" stopIfTrue="1" operator="greaterThan">
      <formula>$F$88</formula>
    </cfRule>
    <cfRule type="cellIs" dxfId="2974" priority="104" stopIfTrue="1" operator="lessThanOrEqual">
      <formula>0</formula>
    </cfRule>
    <cfRule type="cellIs" dxfId="2973" priority="101" stopIfTrue="1" operator="greaterThan">
      <formula>$F$91</formula>
    </cfRule>
    <cfRule type="cellIs" dxfId="2972" priority="102" stopIfTrue="1" operator="lessThanOrEqual">
      <formula>0</formula>
    </cfRule>
    <cfRule type="cellIs" dxfId="2971" priority="103" stopIfTrue="1" operator="greaterThan">
      <formula>$F$89</formula>
    </cfRule>
  </conditionalFormatting>
  <conditionalFormatting sqref="H81">
    <cfRule type="cellIs" dxfId="2970" priority="45" stopIfTrue="1" operator="lessThanOrEqual">
      <formula>0</formula>
    </cfRule>
    <cfRule type="cellIs" dxfId="2969" priority="36" stopIfTrue="1" operator="greaterThan">
      <formula>$F$72</formula>
    </cfRule>
    <cfRule type="cellIs" dxfId="2968" priority="35" stopIfTrue="1" operator="lessThanOrEqual">
      <formula>0</formula>
    </cfRule>
    <cfRule type="cellIs" dxfId="2967" priority="44" stopIfTrue="1" operator="greaterThan">
      <formula>$F$75</formula>
    </cfRule>
    <cfRule type="cellIs" dxfId="2966" priority="47" stopIfTrue="1" operator="lessThanOrEqual">
      <formula>0</formula>
    </cfRule>
    <cfRule type="cellIs" dxfId="2965" priority="46" stopIfTrue="1" operator="greaterThan">
      <formula>$F$73</formula>
    </cfRule>
  </conditionalFormatting>
  <conditionalFormatting sqref="H82">
    <cfRule type="cellIs" dxfId="2964" priority="84" stopIfTrue="1" operator="greaterThan">
      <formula>#REF!</formula>
    </cfRule>
    <cfRule type="cellIs" dxfId="2963" priority="75" stopIfTrue="1" operator="lessThanOrEqual">
      <formula>0</formula>
    </cfRule>
    <cfRule type="cellIs" dxfId="2962" priority="76" stopIfTrue="1" operator="greaterThan">
      <formula>#REF!</formula>
    </cfRule>
  </conditionalFormatting>
  <conditionalFormatting sqref="H82:H84">
    <cfRule type="cellIs" dxfId="2961" priority="85" stopIfTrue="1" operator="lessThanOrEqual">
      <formula>0</formula>
    </cfRule>
  </conditionalFormatting>
  <conditionalFormatting sqref="H83:H84">
    <cfRule type="cellIs" dxfId="2960" priority="125" stopIfTrue="1" operator="lessThanOrEqual">
      <formula>0</formula>
    </cfRule>
    <cfRule type="cellIs" dxfId="2959" priority="124" stopIfTrue="1" operator="greaterThan">
      <formula>$F$90</formula>
    </cfRule>
    <cfRule type="cellIs" dxfId="2958" priority="122" stopIfTrue="1" operator="greaterThan">
      <formula>$F$92</formula>
    </cfRule>
    <cfRule type="cellIs" dxfId="2957" priority="114" stopIfTrue="1" operator="greaterThan">
      <formula>$F$89</formula>
    </cfRule>
    <cfRule type="cellIs" dxfId="2956" priority="123" stopIfTrue="1" operator="lessThanOrEqual">
      <formula>0</formula>
    </cfRule>
  </conditionalFormatting>
  <conditionalFormatting sqref="H85">
    <cfRule type="cellIs" dxfId="2955" priority="155" stopIfTrue="1" operator="greaterThan">
      <formula>$F$82</formula>
    </cfRule>
    <cfRule type="cellIs" dxfId="2954" priority="156" stopIfTrue="1" operator="lessThanOrEqual">
      <formula>0</formula>
    </cfRule>
    <cfRule type="cellIs" dxfId="2953" priority="153" stopIfTrue="1" operator="greaterThan">
      <formula>$F$86</formula>
    </cfRule>
    <cfRule type="cellIs" dxfId="2952" priority="154" stopIfTrue="1" operator="lessThanOrEqual">
      <formula>0</formula>
    </cfRule>
  </conditionalFormatting>
  <conditionalFormatting sqref="H89:H96">
    <cfRule type="cellIs" dxfId="2951" priority="127" stopIfTrue="1" operator="lessThanOrEqual">
      <formula>0</formula>
    </cfRule>
    <cfRule type="cellIs" dxfId="2950" priority="126" stopIfTrue="1" operator="greaterThan">
      <formula>$J89</formula>
    </cfRule>
  </conditionalFormatting>
  <conditionalFormatting sqref="H97">
    <cfRule type="cellIs" dxfId="2949" priority="132" operator="greaterThan">
      <formula>5.3</formula>
    </cfRule>
  </conditionalFormatting>
  <conditionalFormatting sqref="H100 H102:H108">
    <cfRule type="cellIs" dxfId="2948" priority="177" stopIfTrue="1" operator="greaterThan">
      <formula>4.5</formula>
    </cfRule>
    <cfRule type="cellIs" dxfId="2947" priority="178" stopIfTrue="1" operator="lessThanOrEqual">
      <formula>0</formula>
    </cfRule>
  </conditionalFormatting>
  <conditionalFormatting sqref="H79:I79">
    <cfRule type="cellIs" dxfId="2946" priority="4" stopIfTrue="1" operator="lessThanOrEqual">
      <formula>0</formula>
    </cfRule>
    <cfRule type="cellIs" dxfId="2945" priority="1" stopIfTrue="1" operator="greaterThan">
      <formula>$F$55</formula>
    </cfRule>
  </conditionalFormatting>
  <conditionalFormatting sqref="H80:I80">
    <cfRule type="cellIs" dxfId="2944" priority="94" stopIfTrue="1" operator="lessThanOrEqual">
      <formula>0</formula>
    </cfRule>
    <cfRule type="cellIs" dxfId="2943" priority="91" stopIfTrue="1" operator="greaterThan">
      <formula>$F$90</formula>
    </cfRule>
  </conditionalFormatting>
  <conditionalFormatting sqref="H81:I81">
    <cfRule type="cellIs" dxfId="2942" priority="37" stopIfTrue="1" operator="lessThanOrEqual">
      <formula>0</formula>
    </cfRule>
    <cfRule type="cellIs" dxfId="2941" priority="34" stopIfTrue="1" operator="greaterThan">
      <formula>$F$74</formula>
    </cfRule>
  </conditionalFormatting>
  <conditionalFormatting sqref="H82:I82">
    <cfRule type="cellIs" dxfId="2940" priority="83" stopIfTrue="1" operator="lessThanOrEqual">
      <formula>0</formula>
    </cfRule>
    <cfRule type="cellIs" dxfId="2939" priority="82" stopIfTrue="1" operator="greaterThan">
      <formula>#REF!</formula>
    </cfRule>
    <cfRule type="cellIs" dxfId="2938" priority="74" stopIfTrue="1" operator="greaterThan">
      <formula>#REF!</formula>
    </cfRule>
    <cfRule type="cellIs" dxfId="2937" priority="77" stopIfTrue="1" operator="lessThanOrEqual">
      <formula>0</formula>
    </cfRule>
  </conditionalFormatting>
  <conditionalFormatting sqref="H83:I83">
    <cfRule type="cellIs" dxfId="2936" priority="115" stopIfTrue="1" operator="lessThanOrEqual">
      <formula>0</formula>
    </cfRule>
  </conditionalFormatting>
  <conditionalFormatting sqref="H83:I84">
    <cfRule type="cellIs" dxfId="2935" priority="72" stopIfTrue="1" operator="greaterThan">
      <formula>$F$91</formula>
    </cfRule>
  </conditionalFormatting>
  <conditionalFormatting sqref="H84:I84">
    <cfRule type="cellIs" dxfId="2934" priority="73" stopIfTrue="1" operator="lessThanOrEqual">
      <formula>0</formula>
    </cfRule>
  </conditionalFormatting>
  <conditionalFormatting sqref="I10:I14">
    <cfRule type="cellIs" dxfId="2933" priority="49" operator="lessThan">
      <formula>97.8</formula>
    </cfRule>
  </conditionalFormatting>
  <conditionalFormatting sqref="I10:I47">
    <cfRule type="cellIs" dxfId="2932" priority="21" operator="lessThan">
      <formula>98</formula>
    </cfRule>
  </conditionalFormatting>
  <conditionalFormatting sqref="I33:I46">
    <cfRule type="cellIs" dxfId="2931" priority="22" operator="lessThan">
      <formula>97.8</formula>
    </cfRule>
  </conditionalFormatting>
  <conditionalFormatting sqref="I79">
    <cfRule type="cellIs" dxfId="2930" priority="5" stopIfTrue="1" operator="greaterThan">
      <formula>$F$53</formula>
    </cfRule>
    <cfRule type="cellIs" dxfId="2929" priority="6" stopIfTrue="1" operator="lessThanOrEqual">
      <formula>0</formula>
    </cfRule>
    <cfRule type="cellIs" dxfId="2928" priority="7" stopIfTrue="1" operator="greaterThan">
      <formula>$F$55</formula>
    </cfRule>
    <cfRule type="cellIs" dxfId="2927" priority="8" stopIfTrue="1" operator="lessThanOrEqual">
      <formula>0</formula>
    </cfRule>
    <cfRule type="cellIs" dxfId="2926" priority="9" stopIfTrue="1" operator="greaterThan">
      <formula>$F$53</formula>
    </cfRule>
    <cfRule type="cellIs" dxfId="2925" priority="10" stopIfTrue="1" operator="lessThanOrEqual">
      <formula>0</formula>
    </cfRule>
  </conditionalFormatting>
  <conditionalFormatting sqref="I80">
    <cfRule type="cellIs" dxfId="2924" priority="99" stopIfTrue="1" operator="greaterThan">
      <formula>$F$88</formula>
    </cfRule>
    <cfRule type="cellIs" dxfId="2923" priority="97" stopIfTrue="1" operator="greaterThan">
      <formula>$F$90</formula>
    </cfRule>
    <cfRule type="cellIs" dxfId="2922" priority="96" stopIfTrue="1" operator="lessThanOrEqual">
      <formula>0</formula>
    </cfRule>
    <cfRule type="cellIs" dxfId="2921" priority="95" stopIfTrue="1" operator="greaterThan">
      <formula>$F$88</formula>
    </cfRule>
    <cfRule type="cellIs" dxfId="2920" priority="100" stopIfTrue="1" operator="lessThanOrEqual">
      <formula>0</formula>
    </cfRule>
    <cfRule type="cellIs" dxfId="2919" priority="98" stopIfTrue="1" operator="lessThanOrEqual">
      <formula>0</formula>
    </cfRule>
  </conditionalFormatting>
  <conditionalFormatting sqref="I81">
    <cfRule type="cellIs" dxfId="2918" priority="43" stopIfTrue="1" operator="lessThanOrEqual">
      <formula>0</formula>
    </cfRule>
    <cfRule type="cellIs" dxfId="2917" priority="42" stopIfTrue="1" operator="greaterThan">
      <formula>$F$72</formula>
    </cfRule>
    <cfRule type="cellIs" dxfId="2916" priority="41" stopIfTrue="1" operator="lessThanOrEqual">
      <formula>0</formula>
    </cfRule>
    <cfRule type="cellIs" dxfId="2915" priority="40" stopIfTrue="1" operator="greaterThan">
      <formula>$F$74</formula>
    </cfRule>
    <cfRule type="cellIs" dxfId="2914" priority="39" stopIfTrue="1" operator="lessThanOrEqual">
      <formula>0</formula>
    </cfRule>
    <cfRule type="cellIs" dxfId="2913" priority="38" stopIfTrue="1" operator="greaterThan">
      <formula>$F$72</formula>
    </cfRule>
  </conditionalFormatting>
  <conditionalFormatting sqref="I82">
    <cfRule type="cellIs" dxfId="2912" priority="80" stopIfTrue="1" operator="greaterThan">
      <formula>#REF!</formula>
    </cfRule>
    <cfRule type="cellIs" dxfId="2911" priority="79" stopIfTrue="1" operator="lessThanOrEqual">
      <formula>0</formula>
    </cfRule>
    <cfRule type="cellIs" dxfId="2910" priority="78" stopIfTrue="1" operator="greaterThan">
      <formula>#REF!</formula>
    </cfRule>
    <cfRule type="cellIs" dxfId="2909" priority="81" stopIfTrue="1" operator="lessThanOrEqual">
      <formula>0</formula>
    </cfRule>
  </conditionalFormatting>
  <conditionalFormatting sqref="I83:I84">
    <cfRule type="cellIs" dxfId="2908" priority="118" stopIfTrue="1" operator="greaterThan">
      <formula>$F$91</formula>
    </cfRule>
    <cfRule type="cellIs" dxfId="2907" priority="116" stopIfTrue="1" operator="greaterThan">
      <formula>$F$89</formula>
    </cfRule>
    <cfRule type="cellIs" dxfId="2906" priority="117" stopIfTrue="1" operator="lessThanOrEqual">
      <formula>0</formula>
    </cfRule>
    <cfRule type="cellIs" dxfId="2905" priority="119" stopIfTrue="1" operator="lessThanOrEqual">
      <formula>0</formula>
    </cfRule>
    <cfRule type="cellIs" dxfId="2904" priority="120" stopIfTrue="1" operator="greaterThan">
      <formula>$F$89</formula>
    </cfRule>
    <cfRule type="cellIs" dxfId="2903" priority="121" stopIfTrue="1" operator="lessThanOrEqual">
      <formula>0</formula>
    </cfRule>
  </conditionalFormatting>
  <conditionalFormatting sqref="I89:I97">
    <cfRule type="cellIs" dxfId="2902" priority="133" stopIfTrue="1" operator="greaterThan">
      <formula>$J89</formula>
    </cfRule>
    <cfRule type="cellIs" dxfId="2901" priority="134" stopIfTrue="1" operator="lessThanOrEqual">
      <formula>0</formula>
    </cfRule>
  </conditionalFormatting>
  <conditionalFormatting sqref="I100:I108">
    <cfRule type="cellIs" dxfId="2900" priority="173" stopIfTrue="1" operator="greaterThan">
      <formula>4.5</formula>
    </cfRule>
    <cfRule type="cellIs" dxfId="2899" priority="174" stopIfTrue="1" operator="lessThanOrEqual">
      <formula>0</formula>
    </cfRule>
  </conditionalFormatting>
  <conditionalFormatting sqref="J10:J14">
    <cfRule type="cellIs" dxfId="2898" priority="51" operator="notBetween">
      <formula>98</formula>
      <formula>99.9</formula>
    </cfRule>
  </conditionalFormatting>
  <conditionalFormatting sqref="J10:J47">
    <cfRule type="cellIs" dxfId="2897" priority="20" operator="lessThan">
      <formula>97.4</formula>
    </cfRule>
  </conditionalFormatting>
  <conditionalFormatting sqref="J33:J46">
    <cfRule type="cellIs" dxfId="2896" priority="24" operator="notBetween">
      <formula>98</formula>
      <formula>99.9</formula>
    </cfRule>
  </conditionalFormatting>
  <conditionalFormatting sqref="J50:J52">
    <cfRule type="cellIs" dxfId="2895" priority="108" stopIfTrue="1" operator="greaterThan">
      <formula>100</formula>
    </cfRule>
    <cfRule type="cellIs" dxfId="2894" priority="109" operator="lessThan">
      <formula>98</formula>
    </cfRule>
    <cfRule type="cellIs" dxfId="2893" priority="107" stopIfTrue="1" operator="lessThan">
      <formula>96.8</formula>
    </cfRule>
  </conditionalFormatting>
  <conditionalFormatting sqref="J50:J54">
    <cfRule type="cellIs" dxfId="2892" priority="48" operator="lessThan">
      <formula>97.4</formula>
    </cfRule>
  </conditionalFormatting>
  <conditionalFormatting sqref="J55 L59:M59 L61:M61">
    <cfRule type="cellIs" dxfId="2891" priority="110" operator="lessThan">
      <formula>98</formula>
    </cfRule>
  </conditionalFormatting>
  <conditionalFormatting sqref="J56:J57">
    <cfRule type="cellIs" dxfId="2890" priority="111" stopIfTrue="1" operator="lessThan">
      <formula>96.8</formula>
    </cfRule>
    <cfRule type="cellIs" dxfId="2889" priority="112" stopIfTrue="1" operator="greaterThan">
      <formula>100</formula>
    </cfRule>
  </conditionalFormatting>
  <conditionalFormatting sqref="J56:J58">
    <cfRule type="cellIs" dxfId="2888" priority="113" operator="lessThan">
      <formula>98</formula>
    </cfRule>
  </conditionalFormatting>
  <conditionalFormatting sqref="K10:K14">
    <cfRule type="cellIs" dxfId="2887" priority="50" operator="greaterThan">
      <formula>6.4</formula>
    </cfRule>
  </conditionalFormatting>
  <conditionalFormatting sqref="K10:K47">
    <cfRule type="cellIs" dxfId="2886" priority="17" operator="lessThan">
      <formula>4</formula>
    </cfRule>
    <cfRule type="cellIs" dxfId="2885" priority="16" operator="greaterThan">
      <formula>6</formula>
    </cfRule>
  </conditionalFormatting>
  <conditionalFormatting sqref="K33:K46">
    <cfRule type="cellIs" dxfId="2884" priority="23" operator="greaterThan">
      <formula>6.4</formula>
    </cfRule>
  </conditionalFormatting>
  <conditionalFormatting sqref="K64:K73">
    <cfRule type="cellIs" dxfId="2883" priority="141" operator="notEqual">
      <formula>#REF!</formula>
    </cfRule>
  </conditionalFormatting>
  <conditionalFormatting sqref="K79:K84 J85:K85 L89:N89 K90:N97">
    <cfRule type="cellIs" dxfId="2882" priority="152" stopIfTrue="1" operator="lessThan">
      <formula>100%</formula>
    </cfRule>
  </conditionalFormatting>
  <conditionalFormatting sqref="K100:K105">
    <cfRule type="cellIs" dxfId="2881" priority="179" stopIfTrue="1" operator="lessThan">
      <formula>100%</formula>
    </cfRule>
  </conditionalFormatting>
  <conditionalFormatting sqref="K107:K108">
    <cfRule type="cellIs" dxfId="2880" priority="186" stopIfTrue="1" operator="lessThan">
      <formula>100%</formula>
    </cfRule>
  </conditionalFormatting>
  <conditionalFormatting sqref="L10:L47">
    <cfRule type="cellIs" dxfId="2879" priority="19" operator="greaterThan">
      <formula>65</formula>
    </cfRule>
    <cfRule type="cellIs" dxfId="2878" priority="18" operator="between">
      <formula>61</formula>
      <formula>65</formula>
    </cfRule>
  </conditionalFormatting>
  <conditionalFormatting sqref="L52:L58">
    <cfRule type="cellIs" dxfId="2877" priority="88" operator="lessThan">
      <formula>98</formula>
    </cfRule>
  </conditionalFormatting>
  <conditionalFormatting sqref="L65:N65">
    <cfRule type="cellIs" dxfId="2876" priority="87" operator="notEqual">
      <formula>#REF!</formula>
    </cfRule>
  </conditionalFormatting>
  <conditionalFormatting sqref="L100:N108">
    <cfRule type="cellIs" dxfId="2875" priority="164" stopIfTrue="1" operator="lessThan">
      <formula>100%</formula>
    </cfRule>
  </conditionalFormatting>
  <conditionalFormatting sqref="M10:M11">
    <cfRule type="expression" dxfId="2874" priority="65">
      <formula>IF(+(IF(M10&lt;V23,0,IF(M10&gt;W23,0,1)))=0,1)</formula>
    </cfRule>
  </conditionalFormatting>
  <conditionalFormatting sqref="M13">
    <cfRule type="expression" dxfId="2873" priority="58">
      <formula>IF(+(IF(M13&lt;V47,0,IF(M13&gt;W47,0,1)))=0,1)</formula>
    </cfRule>
    <cfRule type="expression" dxfId="2872" priority="57">
      <formula>IF(+(IF(M13&lt;V52,0,IF(M13&gt;W52,0,1)))=0,1)</formula>
    </cfRule>
  </conditionalFormatting>
  <conditionalFormatting sqref="M14">
    <cfRule type="expression" dxfId="2871" priority="199">
      <formula>IF(+(IF(M14&lt;V27,0,IF(M14&gt;W27,0,1)))=0,1)</formula>
    </cfRule>
  </conditionalFormatting>
  <conditionalFormatting sqref="M15:M32">
    <cfRule type="expression" dxfId="2870" priority="210">
      <formula>IF(+(IF(M15&lt;V62,0,IF(M15&gt;W62,0,1)))=0,1)</formula>
    </cfRule>
  </conditionalFormatting>
  <conditionalFormatting sqref="M33:M46">
    <cfRule type="expression" dxfId="2869" priority="31">
      <formula>IF(+(IF(M33&lt;V48,0,IF(M33&gt;W48,0,1)))=0,1)</formula>
    </cfRule>
    <cfRule type="expression" dxfId="2868" priority="30">
      <formula>IF(+(IF(M33&lt;V53,0,IF(M33&gt;W53,0,1)))=0,1)</formula>
    </cfRule>
  </conditionalFormatting>
  <conditionalFormatting sqref="M50:M58">
    <cfRule type="cellIs" dxfId="2867" priority="86" operator="lessThan">
      <formula>98</formula>
    </cfRule>
  </conditionalFormatting>
  <conditionalFormatting sqref="M10:N12">
    <cfRule type="expression" dxfId="2866" priority="66">
      <formula>IF(+(IF(M10&lt;#REF!,0,IF(M10&gt;#REF!,0,1)))=0,1)</formula>
    </cfRule>
  </conditionalFormatting>
  <conditionalFormatting sqref="M14:N14">
    <cfRule type="expression" dxfId="2865" priority="200">
      <formula>IF(+(IF(M14&lt;#REF!,0,IF(M14&gt;#REF!,0,1)))=0,1)</formula>
    </cfRule>
  </conditionalFormatting>
  <conditionalFormatting sqref="M47:N47">
    <cfRule type="expression" dxfId="2864" priority="194">
      <formula>IF(+(IF(M47&lt;#REF!,0,IF(M47&gt;#REF!,0,1)))=0,1)</formula>
    </cfRule>
  </conditionalFormatting>
  <conditionalFormatting sqref="N10:N11">
    <cfRule type="expression" dxfId="2863" priority="67">
      <formula>IF(+(IF(N10&lt;X23,0,IF(N10&gt;Y23,0,1)))=0,1)</formula>
    </cfRule>
  </conditionalFormatting>
  <conditionalFormatting sqref="N13">
    <cfRule type="expression" dxfId="2862" priority="60">
      <formula>IF(+(IF(N13&lt;X47,0,IF(N13&gt;Y47,0,1)))=0,1)</formula>
    </cfRule>
    <cfRule type="expression" dxfId="2861" priority="59">
      <formula>IF(+(IF(N13&lt;X52,0,IF(N13&gt;Y52,0,1)))=0,1)</formula>
    </cfRule>
  </conditionalFormatting>
  <conditionalFormatting sqref="N14">
    <cfRule type="expression" dxfId="2860" priority="203">
      <formula>IF(+(IF(N14&lt;X27,0,IF(N14&gt;Y27,0,1)))=0,1)</formula>
    </cfRule>
  </conditionalFormatting>
  <conditionalFormatting sqref="N15:N32">
    <cfRule type="expression" dxfId="2859" priority="211">
      <formula>IF(+(IF(N15&lt;X62,0,IF(N15&gt;Y62,0,1)))=0,1)</formula>
    </cfRule>
  </conditionalFormatting>
  <conditionalFormatting sqref="N33:N46">
    <cfRule type="expression" dxfId="2858" priority="33">
      <formula>IF(+(IF(N33&lt;X48,0,IF(N33&gt;Y48,0,1)))=0,1)</formula>
    </cfRule>
    <cfRule type="expression" dxfId="2857" priority="32">
      <formula>IF(+(IF(N33&lt;X53,0,IF(N33&gt;Y53,0,1)))=0,1)</formula>
    </cfRule>
  </conditionalFormatting>
  <conditionalFormatting sqref="P6">
    <cfRule type="cellIs" dxfId="2856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9161-A7BF-4136-8B58-901915725B44}">
  <sheetPr>
    <pageSetUpPr fitToPage="1"/>
  </sheetPr>
  <dimension ref="A1:BE86"/>
  <sheetViews>
    <sheetView topLeftCell="A34" zoomScale="60" zoomScaleNormal="6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42.570312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45874</v>
      </c>
      <c r="J4" s="398" t="s">
        <v>172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171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[22]Brewhouse!$A324</f>
        <v>ST303</v>
      </c>
      <c r="D10" s="279">
        <f>[22]Brewhouse!$AD324</f>
        <v>49.9</v>
      </c>
      <c r="E10" s="279">
        <f>[22]Brewhouse!$AG324</f>
        <v>48.9</v>
      </c>
      <c r="F10" s="278">
        <f>[22]Brewhouse!$V324</f>
        <v>63</v>
      </c>
      <c r="G10" s="463">
        <f>[22]Brewhouse!$AE324</f>
        <v>12.1</v>
      </c>
      <c r="H10" s="396">
        <v>12.1</v>
      </c>
      <c r="I10" s="422">
        <f>[22]Brewhouse!$AS324</f>
        <v>99.121855899264773</v>
      </c>
      <c r="J10" s="422">
        <f>[22]Brewhouse!$AT324</f>
        <v>100.04505848980811</v>
      </c>
      <c r="K10" s="281">
        <f>[22]Brewhouse!$Q324</f>
        <v>11.15241635687731</v>
      </c>
      <c r="L10" s="276">
        <f>[22]Brewhouse!$P324</f>
        <v>60</v>
      </c>
      <c r="M10" s="374">
        <f>[22]Brewhouse!$U324-[22]Brewhouse!$T324</f>
        <v>0.11041666666666666</v>
      </c>
      <c r="N10" s="370">
        <f>[22]Brewhouse!$AW324</f>
        <v>0.24166666666666664</v>
      </c>
      <c r="O10" s="423" t="str">
        <f>[22]Brewhouse!$AV324</f>
        <v>R.Sookram</v>
      </c>
      <c r="P10" s="418"/>
      <c r="R10" s="277" t="str">
        <f t="shared" ref="R10:R33" si="0">B10</f>
        <v>STAG</v>
      </c>
      <c r="S10" s="296">
        <f t="shared" ref="S10:S33" si="1">VLOOKUP($B10,$R$3:$X$9,2,FALSE)</f>
        <v>11.6</v>
      </c>
      <c r="T10" s="296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296">
        <f t="shared" ref="Z10:Z33" si="8">VLOOKUP($B10,$R$3:$Z$9,9,FALSE)</f>
        <v>60</v>
      </c>
    </row>
    <row r="11" spans="2:29" ht="15.75" customHeight="1">
      <c r="B11" s="33" t="s">
        <v>9</v>
      </c>
      <c r="C11" s="366" t="str">
        <f>[22]Brewhouse!$A325</f>
        <v>ST304</v>
      </c>
      <c r="D11" s="279">
        <f>[22]Brewhouse!$AD325</f>
        <v>50.5</v>
      </c>
      <c r="E11" s="279">
        <f>[22]Brewhouse!$AG325</f>
        <v>48.9</v>
      </c>
      <c r="F11" s="278">
        <f>[22]Brewhouse!$V325</f>
        <v>60</v>
      </c>
      <c r="G11" s="279">
        <f>[22]Brewhouse!$AE325</f>
        <v>11.8</v>
      </c>
      <c r="H11" s="396">
        <v>11.8</v>
      </c>
      <c r="I11" s="422">
        <f>[22]Brewhouse!$AS325</f>
        <v>95.100831252620765</v>
      </c>
      <c r="J11" s="422">
        <f>[22]Brewhouse!$AT325</f>
        <v>96.473457129100453</v>
      </c>
      <c r="K11" s="281">
        <f>[22]Brewhouse!$Q325</f>
        <v>3.557312252964421</v>
      </c>
      <c r="L11" s="276">
        <f>[22]Brewhouse!$P325</f>
        <v>59</v>
      </c>
      <c r="M11" s="374">
        <f>[22]Brewhouse!$U325-[22]Brewhouse!$T325</f>
        <v>0.10902777777777778</v>
      </c>
      <c r="N11" s="370">
        <f>[22]Brewhouse!$AW325</f>
        <v>0.24236111111111114</v>
      </c>
      <c r="O11" s="423" t="str">
        <f>[22]Brewhouse!$AV325</f>
        <v>R.Sookram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33" t="s">
        <v>9</v>
      </c>
      <c r="C12" s="366" t="str">
        <f>[22]Brewhouse!$A326</f>
        <v>ST305</v>
      </c>
      <c r="D12" s="279">
        <f>[22]Brewhouse!$AD326</f>
        <v>50.8</v>
      </c>
      <c r="E12" s="279">
        <f>[22]Brewhouse!$AG326</f>
        <v>50.4</v>
      </c>
      <c r="F12" s="278">
        <f>[22]Brewhouse!$V326</f>
        <v>55</v>
      </c>
      <c r="G12" s="279">
        <f>[22]Brewhouse!$AE326</f>
        <v>12</v>
      </c>
      <c r="H12" s="396">
        <v>11.9</v>
      </c>
      <c r="I12" s="422">
        <f>[22]Brewhouse!$AS326</f>
        <v>99.765519886214733</v>
      </c>
      <c r="J12" s="422">
        <f>[22]Brewhouse!$AT326</f>
        <v>101.20547295889088</v>
      </c>
      <c r="K12" s="281">
        <f>[22]Brewhouse!$Q326</f>
        <v>11.296296296296299</v>
      </c>
      <c r="L12" s="276">
        <f>[22]Brewhouse!$P326</f>
        <v>57</v>
      </c>
      <c r="M12" s="374">
        <f>[22]Brewhouse!$U326-[22]Brewhouse!$T326</f>
        <v>0.10972222222222217</v>
      </c>
      <c r="N12" s="370">
        <f>[22]Brewhouse!$AW326</f>
        <v>0.24374999999999997</v>
      </c>
      <c r="O12" s="423" t="str">
        <f>[22]Brewhouse!$AV326</f>
        <v>R.Sookram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[22]Brewhouse!$A327</f>
        <v>ST306</v>
      </c>
      <c r="D13" s="279">
        <f>[22]Brewhouse!$AD327</f>
        <v>50.6</v>
      </c>
      <c r="E13" s="279">
        <f>[22]Brewhouse!$AG327</f>
        <v>50.1</v>
      </c>
      <c r="F13" s="278">
        <f>[22]Brewhouse!$V327</f>
        <v>58</v>
      </c>
      <c r="G13" s="279">
        <f>[22]Brewhouse!$AE327</f>
        <v>11.9</v>
      </c>
      <c r="H13" s="396">
        <v>11.8</v>
      </c>
      <c r="I13" s="422">
        <f>[22]Brewhouse!$AS327</f>
        <v>98.303135744343052</v>
      </c>
      <c r="J13" s="422">
        <f>[22]Brewhouse!$AT327</f>
        <v>99.721981679594123</v>
      </c>
      <c r="K13" s="281">
        <f>[22]Brewhouse!$Q327</f>
        <v>11.743119266055043</v>
      </c>
      <c r="L13" s="276">
        <f>[22]Brewhouse!$P327</f>
        <v>59</v>
      </c>
      <c r="M13" s="374">
        <f>[22]Brewhouse!$U327-[22]Brewhouse!$T327</f>
        <v>0.10972222222222217</v>
      </c>
      <c r="N13" s="370">
        <f>[22]Brewhouse!$AW327</f>
        <v>0.25</v>
      </c>
      <c r="O13" s="423" t="str">
        <f>[22]Brewhouse!$AV327</f>
        <v>K. Benjamin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6" customHeight="1">
      <c r="B14" s="33" t="s">
        <v>9</v>
      </c>
      <c r="C14" s="366" t="str">
        <f>[22]Brewhouse!$A328</f>
        <v>ST307</v>
      </c>
      <c r="D14" s="279">
        <f>[22]Brewhouse!$AD328</f>
        <v>50.8</v>
      </c>
      <c r="E14" s="279">
        <f>[22]Brewhouse!$AG328</f>
        <v>50.6</v>
      </c>
      <c r="F14" s="278">
        <f>[22]Brewhouse!$V328</f>
        <v>59</v>
      </c>
      <c r="G14" s="279">
        <f>[22]Brewhouse!$AE328</f>
        <v>11.9</v>
      </c>
      <c r="H14" s="396">
        <v>11.8</v>
      </c>
      <c r="I14" s="422">
        <f>[22]Brewhouse!$AS328</f>
        <v>99.780556584963307</v>
      </c>
      <c r="J14" s="422">
        <f>[22]Brewhouse!$AT328</f>
        <v>101.21886817263092</v>
      </c>
      <c r="K14" s="281">
        <f>[22]Brewhouse!$Q328</f>
        <v>9.6474953617810684</v>
      </c>
      <c r="L14" s="276">
        <f>[22]Brewhouse!$P328</f>
        <v>61</v>
      </c>
      <c r="M14" s="374">
        <f>[22]Brewhouse!$U328-[22]Brewhouse!$T328</f>
        <v>0.11527777777777781</v>
      </c>
      <c r="N14" s="370">
        <f>[22]Brewhouse!$AW328</f>
        <v>0.25138888888888888</v>
      </c>
      <c r="O14" s="423" t="str">
        <f>[22]Brewhouse!$AV328</f>
        <v>K. Benjamin</v>
      </c>
      <c r="P14" s="418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[22]Brewhouse!$A329</f>
        <v>ST308</v>
      </c>
      <c r="D15" s="279">
        <f>[22]Brewhouse!$AD329</f>
        <v>52.5</v>
      </c>
      <c r="E15" s="279">
        <f>[22]Brewhouse!$AG329</f>
        <v>51.4</v>
      </c>
      <c r="F15" s="278">
        <f>[22]Brewhouse!$V329</f>
        <v>64</v>
      </c>
      <c r="G15" s="279">
        <f>[22]Brewhouse!$AE329</f>
        <v>12</v>
      </c>
      <c r="H15" s="367"/>
      <c r="I15" s="422">
        <f>[22]Brewhouse!$AS329</f>
        <v>102.38160745340335</v>
      </c>
      <c r="J15" s="422">
        <f>[22]Brewhouse!$AT329</f>
        <v>103.85693282156035</v>
      </c>
      <c r="K15" s="281">
        <f>[22]Brewhouse!$Q329</f>
        <v>9.9815157116450983</v>
      </c>
      <c r="L15" s="276">
        <f>[22]Brewhouse!$P329</f>
        <v>59</v>
      </c>
      <c r="M15" s="374">
        <f>[22]Brewhouse!$U329-[22]Brewhouse!$T329</f>
        <v>0.11319444444444449</v>
      </c>
      <c r="N15" s="370">
        <f>[22]Brewhouse!$AW329</f>
        <v>0.24652777777777779</v>
      </c>
      <c r="O15" s="423" t="str">
        <f>[22]Brewhouse!$AV329</f>
        <v>K. Benjamin</v>
      </c>
      <c r="P15" s="418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[22]Brewhouse!$A330</f>
        <v>ST309</v>
      </c>
      <c r="D16" s="279">
        <f>[22]Brewhouse!$AD330</f>
        <v>51</v>
      </c>
      <c r="E16" s="279">
        <f>[22]Brewhouse!$AG330</f>
        <v>50.1</v>
      </c>
      <c r="F16" s="278">
        <f>[22]Brewhouse!$V330</f>
        <v>64</v>
      </c>
      <c r="G16" s="279">
        <f>[22]Brewhouse!$AE330</f>
        <v>11.7</v>
      </c>
      <c r="H16" s="396">
        <v>11.7</v>
      </c>
      <c r="I16" s="422">
        <f>[22]Brewhouse!$AS330</f>
        <v>97.414066657172469</v>
      </c>
      <c r="J16" s="422">
        <f>[22]Brewhouse!$AT330</f>
        <v>98.816893154805797</v>
      </c>
      <c r="K16" s="281">
        <f>[22]Brewhouse!$Q330</f>
        <v>9.7785977859778672</v>
      </c>
      <c r="L16" s="276">
        <f>[22]Brewhouse!$P330</f>
        <v>60</v>
      </c>
      <c r="M16" s="374">
        <f>[22]Brewhouse!$U330-[22]Brewhouse!$T330</f>
        <v>0.11458333333333326</v>
      </c>
      <c r="N16" s="370">
        <f>[22]Brewhouse!$AW330</f>
        <v>0.24583333333333324</v>
      </c>
      <c r="O16" s="423" t="str">
        <f>[22]Brewhouse!$AV330</f>
        <v>R. Regis</v>
      </c>
      <c r="P16" s="418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33" t="s">
        <v>9</v>
      </c>
      <c r="C17" s="366" t="str">
        <f>[22]Brewhouse!$A331</f>
        <v>ST310</v>
      </c>
      <c r="D17" s="279">
        <f>[22]Brewhouse!$AD331</f>
        <v>50.2</v>
      </c>
      <c r="E17" s="279">
        <f>[22]Brewhouse!$AG331</f>
        <v>49.3</v>
      </c>
      <c r="F17" s="278">
        <f>[22]Brewhouse!$V331</f>
        <v>60</v>
      </c>
      <c r="G17" s="279">
        <f>[22]Brewhouse!$AE331</f>
        <v>11.7</v>
      </c>
      <c r="H17" s="396">
        <v>11.7</v>
      </c>
      <c r="I17" s="422">
        <f>[22]Brewhouse!$AS331</f>
        <v>95.738445955419465</v>
      </c>
      <c r="J17" s="422">
        <f>[22]Brewhouse!$AT331</f>
        <v>97.117593245060235</v>
      </c>
      <c r="K17" s="281">
        <f>[22]Brewhouse!$Q331</f>
        <v>8.5343228200370955</v>
      </c>
      <c r="L17" s="276">
        <f>[22]Brewhouse!$P331</f>
        <v>60</v>
      </c>
      <c r="M17" s="374">
        <f>[22]Brewhouse!$U331-[22]Brewhouse!$T331</f>
        <v>0.11111111111111116</v>
      </c>
      <c r="N17" s="370">
        <f>[22]Brewhouse!$AW331</f>
        <v>0.23958333333333326</v>
      </c>
      <c r="O17" s="423" t="str">
        <f>[22]Brewhouse!$AV331</f>
        <v>R. Regis</v>
      </c>
      <c r="P17" s="418"/>
      <c r="R17" s="277" t="str">
        <f t="shared" ref="R17" si="9">B17</f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">
      <c r="B18" s="33"/>
      <c r="C18" s="366"/>
      <c r="D18" s="279"/>
      <c r="E18" s="279"/>
      <c r="F18" s="278"/>
      <c r="G18" s="279"/>
      <c r="H18" s="396"/>
      <c r="I18" s="422"/>
      <c r="J18" s="422"/>
      <c r="K18" s="281"/>
      <c r="L18" s="276"/>
      <c r="M18" s="374"/>
      <c r="N18" s="370"/>
      <c r="O18" s="423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33"/>
      <c r="C19" s="366"/>
      <c r="D19" s="279"/>
      <c r="E19" s="279"/>
      <c r="F19" s="278"/>
      <c r="G19" s="279"/>
      <c r="H19" s="396"/>
      <c r="I19" s="422"/>
      <c r="J19" s="422"/>
      <c r="K19" s="281"/>
      <c r="L19" s="276"/>
      <c r="M19" s="374"/>
      <c r="N19" s="370"/>
      <c r="O19" s="423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33"/>
      <c r="C20" s="366"/>
      <c r="D20" s="279"/>
      <c r="E20" s="279"/>
      <c r="F20" s="278"/>
      <c r="G20" s="279"/>
      <c r="H20" s="396"/>
      <c r="I20" s="422"/>
      <c r="J20" s="422"/>
      <c r="K20" s="281"/>
      <c r="L20" s="276"/>
      <c r="M20" s="374"/>
      <c r="N20" s="370"/>
      <c r="O20" s="423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6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21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29"/>
      <c r="J32" s="529"/>
      <c r="K32" s="529"/>
      <c r="L32" s="529"/>
      <c r="M32" s="529"/>
      <c r="N32" s="529"/>
      <c r="O32" s="1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thickBot="1">
      <c r="B33" s="388" t="s">
        <v>162</v>
      </c>
      <c r="C33" s="388"/>
      <c r="D33" s="542" t="s">
        <v>35</v>
      </c>
      <c r="E33" s="543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customHeight="1">
      <c r="A34" s="28"/>
      <c r="B34" s="566" t="str">
        <f>I40</f>
        <v>STARMALT</v>
      </c>
      <c r="C34" s="362" cm="1">
        <f t="array" ref="C34:C35">[23]Process!$D$63:$D$64</f>
        <v>16.8</v>
      </c>
      <c r="D34" s="533">
        <v>17.07</v>
      </c>
      <c r="E34" s="522"/>
      <c r="F34" s="294"/>
      <c r="G34" s="294"/>
      <c r="H34" s="348"/>
      <c r="I34" s="29" t="s">
        <v>6</v>
      </c>
      <c r="J34" s="280"/>
      <c r="K34" s="284"/>
      <c r="L34" s="305"/>
      <c r="M3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AVERAGE([24]Brewhouse!$AU$102:$AU$171,[24]Brewhouse!$AU$173:$AU$253,[24]Brewhouse!$AU$255:$AU$339,[24]Brewhouse!$AU$341:$AU$346,[24]Brewhouse!$AU$348,[24]Brewhouse!$AU$349:$AU$406,[24]Brewhouse!$AU$408:$AU$491,[24]Brewhouse!$AU$493:$AU$578,[24]Brewhouse!$AU$580:$AU$652)</f>
        <v>97.878593523053169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67"/>
      <c r="C35" s="362">
        <v>17.399999999999999</v>
      </c>
      <c r="D35" s="534"/>
      <c r="E35" s="517"/>
      <c r="F35" s="294"/>
      <c r="G35" s="294"/>
      <c r="H35" s="348"/>
      <c r="I35" s="33" t="s">
        <v>9</v>
      </c>
      <c r="J35" s="280">
        <f>AVERAGE(I10:I17)</f>
        <v>98.450752429175239</v>
      </c>
      <c r="K35" s="284">
        <f>COUNTA([22]Brewhouse!$A$324:$A$331)</f>
        <v>8</v>
      </c>
      <c r="L35" s="302">
        <f>AVERAGE([22]Brewhouse!$AS$324:$AS$331)</f>
        <v>98.450752429175239</v>
      </c>
      <c r="M35" s="302">
        <f>AVERAGE([22]Brewhouse!$AS$15:$AS$64,[22]Brewhouse!$AS$66:$AS$103,[22]Brewhouse!$AS$105:$AS$140,[22]Brewhouse!$AS$142:$AS$193,[22]Brewhouse!$AS$195:$AS$240,[22]Brewhouse!$AS$242:$AS$273,[22]Brewhouse!$AS$275:$AS$322,[22]Brewhouse!$AS$324:$AS$331)</f>
        <v>98.076073470997557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65" customHeight="1">
      <c r="A36" s="28"/>
      <c r="B36" s="567"/>
      <c r="C36" s="362"/>
      <c r="D36" s="533"/>
      <c r="E36" s="522"/>
      <c r="F36" s="294"/>
      <c r="G36" s="294"/>
      <c r="H36" s="348"/>
      <c r="I36" s="34" t="s">
        <v>12</v>
      </c>
      <c r="J36" s="280"/>
      <c r="K36" s="284"/>
      <c r="L36" s="302"/>
      <c r="M36" s="302">
        <f>AVERAGE([25]Brewhouse!$AU$4:$AU$7,[25]Brewhouse!$AU$9:$AU$22,[25]Brewhouse!$AU$24:$AU$35,[25]Brewhouse!$AU$37:$AU$45,[25]Brewhouse!$AU$47:$AU$62,[25]Brewhouse!$AU$64:$AU$79)</f>
        <v>97.0189196363294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65" customHeight="1">
      <c r="A37" s="28"/>
      <c r="B37" s="567"/>
      <c r="C37" s="362"/>
      <c r="D37" s="534"/>
      <c r="E37" s="517"/>
      <c r="F37" s="294"/>
      <c r="G37" s="294"/>
      <c r="H37" s="348"/>
      <c r="I37" s="22" t="s">
        <v>33</v>
      </c>
      <c r="J37" s="280"/>
      <c r="K37" s="284"/>
      <c r="L37" s="302"/>
      <c r="M37" s="302">
        <f>AVERAGE([26]Brewhouse!$AV$5:$AV$14,[26]Brewhouse!$AV$16:$AV$19,[26]Brewhouse!$AV$21:$AV$24,[26]Brewhouse!$AV$26:$AV$33,[26]Brewhouse!$AV$35:$AV$46,[26]Brewhouse!$AV$48:$AV$53,[26]Brewhouse!$AV$55:$AV$62)</f>
        <v>98.77336092730954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65" customHeight="1">
      <c r="A38" s="28"/>
      <c r="B38" s="567"/>
      <c r="C38" s="362"/>
      <c r="D38" s="533"/>
      <c r="E38" s="522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65" customHeight="1">
      <c r="A39" s="28"/>
      <c r="B39" s="567"/>
      <c r="C39" s="362"/>
      <c r="D39" s="534"/>
      <c r="E39" s="517"/>
      <c r="F39" s="417"/>
      <c r="G39" s="294"/>
      <c r="H39" s="348"/>
      <c r="I39" s="36" t="s">
        <v>15</v>
      </c>
      <c r="J39" s="323"/>
      <c r="K39" s="284"/>
      <c r="L39" s="302"/>
      <c r="M39" s="302">
        <f>AVERAGE([27]Brewhouse!$AT$4:$AT$11,[27]Brewhouse!$AT$13:$AT$16,[27]Brewhouse!$AT$18:$AT$21,[27]Brewhouse!$AT$26)</f>
        <v>94.588057846623641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65" customHeight="1">
      <c r="A40" s="28"/>
      <c r="B40" s="567"/>
      <c r="C40" s="349"/>
      <c r="D40" s="533"/>
      <c r="E40" s="522"/>
      <c r="F40" s="417"/>
      <c r="G40" s="294"/>
      <c r="H40" s="348"/>
      <c r="I40" s="37" t="s">
        <v>16</v>
      </c>
      <c r="J40" s="323"/>
      <c r="K40" s="284"/>
      <c r="L40" s="302"/>
      <c r="M40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40" s="30">
        <v>98</v>
      </c>
      <c r="O40" s="11"/>
      <c r="P40" s="31" t="s">
        <v>41</v>
      </c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65" customHeight="1">
      <c r="A41" s="28"/>
      <c r="B41" s="567"/>
      <c r="C41" s="349"/>
      <c r="D41" s="534"/>
      <c r="E41" s="517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AVERAGE([28]Brewhouse!$AU$5:$AU$8,[28]Brewhouse!$AU$10:$AU$13)</f>
        <v>94.247666625193744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65" customHeight="1">
      <c r="A42" s="28"/>
      <c r="B42" s="567"/>
      <c r="C42" s="349"/>
      <c r="D42" s="533"/>
      <c r="E42" s="522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67"/>
      <c r="C43" s="349"/>
      <c r="D43" s="534"/>
      <c r="E43" s="517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67"/>
      <c r="C44" s="349"/>
      <c r="D44" s="533"/>
      <c r="E44" s="522"/>
      <c r="F44" s="294"/>
      <c r="G44" s="294"/>
      <c r="H44" s="348"/>
      <c r="I44" s="1"/>
      <c r="J44" s="39"/>
      <c r="K44" s="404">
        <f>SUM(K34:K43)</f>
        <v>8</v>
      </c>
      <c r="L44" s="405">
        <f>((L34*K34)+(L35*K35)+(L36*K36)+(L37*K37)+(L38*K38)+(K41*L41)+(L39*K39)+(L40*K40)+(L43*K43))/(K44)</f>
        <v>98.450752429175239</v>
      </c>
      <c r="M44" s="405">
        <f>AVERAGE('[31]Jan 31st'!$L$65,'[32]Feb 28th'!$L$35,'[33]Mar. 31st'!$L$35,'[34]Apr. 30th'!$L$45,'[35]May 30th'!$L$37,'[36]June 30th'!$L$57,L44)</f>
        <v>97.771808989462457</v>
      </c>
      <c r="N44" s="4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.75" thickBot="1">
      <c r="B45" s="568"/>
      <c r="C45" s="350"/>
      <c r="D45" s="534"/>
      <c r="E45" s="517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.75" thickBot="1">
      <c r="B46" s="511" t="str">
        <f>I34</f>
        <v>CARIB</v>
      </c>
      <c r="C46" s="362">
        <f>[24]Process!D596</f>
        <v>12</v>
      </c>
      <c r="D46" s="514">
        <v>11.84</v>
      </c>
      <c r="E46" s="515"/>
      <c r="F46" s="294"/>
      <c r="G46" s="42"/>
      <c r="H46" s="41"/>
      <c r="I46" s="42"/>
      <c r="J46" s="569" t="s">
        <v>129</v>
      </c>
      <c r="K46" s="569"/>
      <c r="L46" s="294"/>
      <c r="M46" s="294"/>
      <c r="N46" s="294"/>
      <c r="O46" s="294"/>
      <c r="P46" s="12"/>
    </row>
    <row r="47" spans="1:27" ht="15.75" thickBot="1">
      <c r="B47" s="512"/>
      <c r="C47" s="362">
        <f>[24]Process!D597</f>
        <v>11.8</v>
      </c>
      <c r="D47" s="516"/>
      <c r="E47" s="517"/>
      <c r="F47" s="294"/>
      <c r="G47" s="42"/>
      <c r="H47" s="41"/>
      <c r="I47" s="42"/>
      <c r="J47" s="292" t="s">
        <v>17</v>
      </c>
      <c r="K47" s="293" t="s">
        <v>147</v>
      </c>
      <c r="L47" s="519" t="s">
        <v>136</v>
      </c>
      <c r="M47" s="519"/>
      <c r="N47" s="520"/>
      <c r="O47" s="294"/>
      <c r="P47" s="12"/>
    </row>
    <row r="48" spans="1:27" ht="15" customHeight="1" thickBot="1">
      <c r="B48" s="512"/>
      <c r="C48" s="349">
        <f>[24]Process!D598</f>
        <v>11.9</v>
      </c>
      <c r="D48" s="570">
        <v>11.81</v>
      </c>
      <c r="E48" s="571"/>
      <c r="F48" s="294"/>
      <c r="G48" s="42"/>
      <c r="H48" s="41"/>
      <c r="I48" s="42"/>
      <c r="J48" s="287" t="s">
        <v>6</v>
      </c>
      <c r="K48" s="324"/>
      <c r="L48" s="343" t="s">
        <v>37</v>
      </c>
      <c r="M48" s="307" t="s">
        <v>38</v>
      </c>
      <c r="N48" s="307" t="s">
        <v>84</v>
      </c>
      <c r="O48" s="294"/>
      <c r="P48" s="12"/>
    </row>
    <row r="49" spans="2:57" ht="15.75" customHeight="1" thickBot="1">
      <c r="B49" s="512"/>
      <c r="C49" s="349">
        <f>[24]Process!D599</f>
        <v>11.8</v>
      </c>
      <c r="D49" s="516"/>
      <c r="E49" s="517"/>
      <c r="F49" s="294"/>
      <c r="G49" s="42"/>
      <c r="H49" s="41"/>
      <c r="I49" s="42"/>
      <c r="J49" s="345" t="s">
        <v>9</v>
      </c>
      <c r="K49" s="324">
        <v>8</v>
      </c>
      <c r="L49" s="344">
        <f>K58</f>
        <v>8</v>
      </c>
      <c r="M49" s="325">
        <f>AVERAGE('[31]Jan 29th '!$M$70,'[32]Feb 28th'!$L$40,'[33]Mar. 31st'!$L$40,'[34]Apr. 30th'!$L$50,'[35]May 30th'!$L$42,'[36]June 30th'!$L$62,'[37]July 29th '!$L$49,L49)</f>
        <v>7.0396146092656382</v>
      </c>
      <c r="N49" s="416">
        <v>9.1999999999999993</v>
      </c>
      <c r="O49" s="294"/>
      <c r="P49" s="12"/>
    </row>
    <row r="50" spans="2:57" ht="15" customHeight="1">
      <c r="B50" s="512"/>
      <c r="C50" s="349">
        <f>[24]Process!D600</f>
        <v>11.9</v>
      </c>
      <c r="D50" s="570">
        <v>11.88</v>
      </c>
      <c r="E50" s="571"/>
      <c r="F50" s="294"/>
      <c r="G50" s="42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12"/>
      <c r="C51" s="349">
        <f>[24]Process!D601</f>
        <v>11.9</v>
      </c>
      <c r="D51" s="516"/>
      <c r="E51" s="517"/>
      <c r="F51" s="294"/>
      <c r="G51" s="42"/>
      <c r="H51" s="41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12"/>
      <c r="C52" s="349">
        <f>[24]Process!D602</f>
        <v>11.9</v>
      </c>
      <c r="D52" s="570">
        <v>11.81</v>
      </c>
      <c r="E52" s="571"/>
      <c r="F52" s="294"/>
      <c r="G52" s="42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12"/>
      <c r="C53" s="349">
        <f>[24]Process!D603</f>
        <v>11.9</v>
      </c>
      <c r="D53" s="516"/>
      <c r="E53" s="517"/>
      <c r="F53" s="294"/>
      <c r="G53" s="42"/>
      <c r="H53" s="41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12"/>
      <c r="C54" s="349"/>
      <c r="D54" s="570"/>
      <c r="E54" s="571"/>
      <c r="F54" s="294"/>
      <c r="G54" s="42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13"/>
      <c r="C55" s="350"/>
      <c r="D55" s="572"/>
      <c r="E55" s="573"/>
      <c r="F55" s="294"/>
      <c r="G55" s="42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74">
        <f>AVERAGE(D34:E55)</f>
        <v>12.882</v>
      </c>
      <c r="E56" s="575"/>
      <c r="F56" s="294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1"/>
      <c r="I58" s="42"/>
      <c r="J58" s="346" t="s">
        <v>130</v>
      </c>
      <c r="K58" s="324">
        <f>SUM(K48:K57)</f>
        <v>8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495" t="s">
        <v>17</v>
      </c>
      <c r="C61" s="495" t="s">
        <v>44</v>
      </c>
      <c r="D61" s="507" t="s">
        <v>45</v>
      </c>
      <c r="E61" s="509" t="s">
        <v>46</v>
      </c>
      <c r="F61" s="503" t="s">
        <v>47</v>
      </c>
      <c r="G61" s="493" t="s">
        <v>48</v>
      </c>
      <c r="H61" s="495" t="s">
        <v>49</v>
      </c>
      <c r="I61" s="495" t="s">
        <v>50</v>
      </c>
      <c r="J61" s="487" t="s">
        <v>28</v>
      </c>
      <c r="K61" s="499" t="s">
        <v>51</v>
      </c>
      <c r="L61" s="501" t="s">
        <v>52</v>
      </c>
      <c r="M61" s="487" t="s">
        <v>53</v>
      </c>
      <c r="N61" s="13"/>
      <c r="O61" s="13"/>
      <c r="P61" s="50"/>
    </row>
    <row r="62" spans="2:57" ht="28.5" customHeight="1" thickTop="1" thickBot="1">
      <c r="B62" s="496"/>
      <c r="C62" s="496"/>
      <c r="D62" s="508"/>
      <c r="E62" s="510"/>
      <c r="F62" s="504"/>
      <c r="G62" s="494"/>
      <c r="H62" s="496"/>
      <c r="I62" s="496"/>
      <c r="J62" s="488"/>
      <c r="K62" s="500"/>
      <c r="L62" s="502"/>
      <c r="M62" s="488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7" s="54" customFormat="1" ht="59.45" hidden="1" customHeight="1" thickBot="1">
      <c r="B63" s="424" t="str">
        <f>B78</f>
        <v>STARMALT</v>
      </c>
      <c r="C63" s="445">
        <v>45866</v>
      </c>
      <c r="D63" s="446"/>
      <c r="E63" s="447"/>
      <c r="F63" s="448"/>
      <c r="G63" s="449"/>
      <c r="H63" s="320"/>
      <c r="I63" s="322"/>
      <c r="J63" s="452" t="s">
        <v>163</v>
      </c>
      <c r="K63" s="453"/>
      <c r="L63" s="462" t="e">
        <f>(((D63+E63)-G63)/(D63+E63))*100</f>
        <v>#DIV/0!</v>
      </c>
      <c r="M63" s="46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45" hidden="1" customHeight="1" thickBot="1">
      <c r="B64" s="457"/>
      <c r="C64" s="434"/>
      <c r="D64" s="435"/>
      <c r="E64" s="436"/>
      <c r="F64" s="437"/>
      <c r="G64" s="438"/>
      <c r="H64" s="439"/>
      <c r="I64" s="454"/>
      <c r="J64" s="455"/>
      <c r="K64" s="440"/>
      <c r="L64" s="456"/>
      <c r="M64" s="42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9" customHeight="1" thickBot="1">
      <c r="B65" s="420" t="str">
        <f>I40</f>
        <v>STARMALT</v>
      </c>
      <c r="C65" s="445">
        <v>45873</v>
      </c>
      <c r="D65" s="446">
        <f>[38]August_2025!$G$55</f>
        <v>99</v>
      </c>
      <c r="E65" s="447"/>
      <c r="F65" s="448"/>
      <c r="G65" s="449">
        <f>[38]August_2025!$G$59</f>
        <v>94.9</v>
      </c>
      <c r="H65" s="450"/>
      <c r="I65" s="451"/>
      <c r="J65" s="452" t="s">
        <v>168</v>
      </c>
      <c r="K65" s="453">
        <f>[39]August_2025!$G$53</f>
        <v>0.33298245614035088</v>
      </c>
      <c r="L65" s="459">
        <f>(((D65+E65)-G65)/(D65+E65))*100</f>
        <v>4.1414141414141357</v>
      </c>
      <c r="M65" s="426" t="s">
        <v>167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.75" thickBot="1">
      <c r="B66" s="458"/>
      <c r="C66" s="434"/>
      <c r="D66" s="435"/>
      <c r="E66" s="436"/>
      <c r="F66" s="437"/>
      <c r="G66" s="438"/>
      <c r="H66" s="439"/>
      <c r="I66" s="454"/>
      <c r="J66" s="455"/>
      <c r="K66" s="440"/>
      <c r="L66" s="456"/>
      <c r="M66" s="42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6.6" customHeight="1" thickBot="1">
      <c r="B67" s="387" t="str">
        <f>B72</f>
        <v>CARIB</v>
      </c>
      <c r="C67" s="445">
        <v>45873</v>
      </c>
      <c r="D67" s="446">
        <f>[38]August_2025!$G$3</f>
        <v>407.2</v>
      </c>
      <c r="E67" s="447"/>
      <c r="F67" s="448"/>
      <c r="G67" s="449">
        <f>[38]August_2025!$G$7</f>
        <v>389.7</v>
      </c>
      <c r="H67" s="450"/>
      <c r="I67" s="451"/>
      <c r="J67" s="452" t="s">
        <v>169</v>
      </c>
      <c r="K67" s="453">
        <f>[39]August_2025!$G$18</f>
        <v>0.68368421052631578</v>
      </c>
      <c r="L67" s="459">
        <f>(((D67+E67)-G67)/(D67+E67))*100</f>
        <v>4.2976424361493129</v>
      </c>
      <c r="M67" s="460" t="s">
        <v>170</v>
      </c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41"/>
      <c r="C68" s="427"/>
      <c r="D68" s="428"/>
      <c r="E68" s="429"/>
      <c r="F68" s="430"/>
      <c r="G68" s="431"/>
      <c r="H68" s="432"/>
      <c r="I68" s="442"/>
      <c r="J68" s="443"/>
      <c r="K68" s="433"/>
      <c r="L68" s="444"/>
      <c r="M68" s="426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489" t="s">
        <v>55</v>
      </c>
      <c r="C70" s="490"/>
      <c r="D70" s="490"/>
      <c r="E70" s="490"/>
      <c r="F70" s="491"/>
      <c r="G70" s="489" t="s">
        <v>56</v>
      </c>
      <c r="H70" s="490"/>
      <c r="I70" s="490"/>
      <c r="J70" s="491"/>
      <c r="K70" s="489" t="s">
        <v>51</v>
      </c>
      <c r="L70" s="490"/>
      <c r="M70" s="490"/>
      <c r="N70" s="492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65">
        <f>L67</f>
        <v>4.2976424361493129</v>
      </c>
      <c r="D72" s="76">
        <f>C72</f>
        <v>4.2976424361493129</v>
      </c>
      <c r="E72" s="76">
        <v>6.3203213576869501</v>
      </c>
      <c r="F72" s="66">
        <v>4.8</v>
      </c>
      <c r="G72" s="65">
        <f>[38]August_2025!$G$11</f>
        <v>4.8361605253349556</v>
      </c>
      <c r="H72" s="76">
        <f>G72</f>
        <v>4.8361605253349556</v>
      </c>
      <c r="I72" s="76">
        <v>6.157942626019226</v>
      </c>
      <c r="J72" s="66">
        <v>4.8</v>
      </c>
      <c r="K72" s="67">
        <f>K67</f>
        <v>0.68368421052631578</v>
      </c>
      <c r="L72" s="194">
        <f>K72</f>
        <v>0.68368421052631578</v>
      </c>
      <c r="M72" s="194">
        <v>0.73826684351514205</v>
      </c>
      <c r="N72" s="68">
        <v>1</v>
      </c>
      <c r="O72" s="56"/>
      <c r="P72" s="69"/>
    </row>
    <row r="73" spans="2:57" ht="15">
      <c r="B73" s="33" t="s">
        <v>9</v>
      </c>
      <c r="C73" s="65"/>
      <c r="D73" s="76"/>
      <c r="E73" s="76">
        <v>5.9419799243536175</v>
      </c>
      <c r="F73" s="66">
        <v>4.8</v>
      </c>
      <c r="G73" s="65"/>
      <c r="H73" s="76"/>
      <c r="I73" s="76">
        <v>5.5277535995776326</v>
      </c>
      <c r="J73" s="66">
        <v>4.8</v>
      </c>
      <c r="K73" s="67"/>
      <c r="L73" s="194"/>
      <c r="M73" s="194">
        <v>0.75853637615238823</v>
      </c>
      <c r="N73" s="68">
        <v>1</v>
      </c>
      <c r="P73" s="69"/>
    </row>
    <row r="74" spans="2:57" ht="15">
      <c r="B74" s="34" t="s">
        <v>40</v>
      </c>
      <c r="C74" s="65"/>
      <c r="D74" s="76"/>
      <c r="E74" s="76">
        <v>11.81</v>
      </c>
      <c r="F74" s="66">
        <v>5.5</v>
      </c>
      <c r="G74" s="65"/>
      <c r="H74" s="76"/>
      <c r="I74" s="76">
        <v>13.346478504717604</v>
      </c>
      <c r="J74" s="66">
        <v>5.5</v>
      </c>
      <c r="K74" s="67"/>
      <c r="L74" s="194"/>
      <c r="M74" s="194">
        <v>0.54343799368088475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5.119233255999676</v>
      </c>
      <c r="F75" s="66">
        <v>3.3</v>
      </c>
      <c r="G75" s="65"/>
      <c r="H75" s="76"/>
      <c r="I75" s="76">
        <v>4.8747400258857825</v>
      </c>
      <c r="J75" s="66">
        <v>3.3</v>
      </c>
      <c r="K75" s="67"/>
      <c r="L75" s="194"/>
      <c r="M75" s="194">
        <v>0.77839364035087721</v>
      </c>
      <c r="N75" s="68">
        <v>1</v>
      </c>
      <c r="P75" s="69"/>
    </row>
    <row r="76" spans="2:57" ht="15">
      <c r="B76" s="35" t="s">
        <v>165</v>
      </c>
      <c r="C76" s="65"/>
      <c r="D76" s="76"/>
      <c r="E76" s="76">
        <v>7.837301587301579</v>
      </c>
      <c r="F76" s="66">
        <v>3.3</v>
      </c>
      <c r="G76" s="282"/>
      <c r="H76" s="76"/>
      <c r="I76" s="76">
        <v>5.3377569154690221</v>
      </c>
      <c r="J76" s="66">
        <v>3</v>
      </c>
      <c r="K76" s="67"/>
      <c r="L76" s="194"/>
      <c r="M76" s="194">
        <v>0.32596491228070179</v>
      </c>
      <c r="N76" s="68">
        <v>1</v>
      </c>
      <c r="P76" s="69"/>
    </row>
    <row r="77" spans="2:57" ht="15">
      <c r="B77" s="36" t="s">
        <v>15</v>
      </c>
      <c r="C77" s="282"/>
      <c r="D77" s="76"/>
      <c r="E77" s="76">
        <v>7.3129862357869699</v>
      </c>
      <c r="F77" s="70">
        <f>[21]May_2022!$M$43</f>
        <v>3.4878406700073312</v>
      </c>
      <c r="G77" s="282"/>
      <c r="H77" s="76"/>
      <c r="I77" s="76">
        <v>8.9862703283331644</v>
      </c>
      <c r="J77" s="66">
        <v>5.5</v>
      </c>
      <c r="K77" s="67"/>
      <c r="L77" s="194"/>
      <c r="M77" s="194">
        <v>0.59276315789473688</v>
      </c>
      <c r="N77" s="68">
        <v>1</v>
      </c>
      <c r="P77" s="69"/>
    </row>
    <row r="78" spans="2:57" ht="15">
      <c r="B78" s="37" t="s">
        <v>16</v>
      </c>
      <c r="C78" s="65">
        <f>L65</f>
        <v>4.1414141414141357</v>
      </c>
      <c r="D78" s="76">
        <v>1.8556701030927658</v>
      </c>
      <c r="E78" s="76">
        <v>3.0206926869092796</v>
      </c>
      <c r="F78" s="66">
        <v>3.3</v>
      </c>
      <c r="G78" s="282">
        <f>H78</f>
        <v>4.8250049248144817</v>
      </c>
      <c r="H78" s="76">
        <v>4.8250049248144817</v>
      </c>
      <c r="I78" s="76">
        <v>4.4867289637828334</v>
      </c>
      <c r="J78" s="66">
        <v>3.3</v>
      </c>
      <c r="K78" s="67">
        <f>[39]August_2025!$G$53</f>
        <v>0.33298245614035088</v>
      </c>
      <c r="L78" s="194">
        <v>0.3340350877192983</v>
      </c>
      <c r="M78" s="194">
        <v>0.80384787472035779</v>
      </c>
      <c r="N78" s="71">
        <v>1</v>
      </c>
      <c r="P78" s="69"/>
    </row>
    <row r="79" spans="2:57" ht="15.75" thickBot="1">
      <c r="B79" s="38" t="s">
        <v>164</v>
      </c>
      <c r="C79" s="65"/>
      <c r="D79" s="76"/>
      <c r="E79" s="76">
        <v>11.483253588516746</v>
      </c>
      <c r="F79" s="66">
        <v>7.5</v>
      </c>
      <c r="G79" s="282"/>
      <c r="H79" s="76"/>
      <c r="I79" s="76">
        <v>9.7934336121043764</v>
      </c>
      <c r="J79" s="66">
        <v>7.5</v>
      </c>
      <c r="K79" s="67"/>
      <c r="L79" s="194"/>
      <c r="M79" s="194">
        <v>0.32456140350877194</v>
      </c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>
        <v>7.2653644592663174</v>
      </c>
      <c r="F80" s="66">
        <v>4.8</v>
      </c>
      <c r="G80" s="282"/>
      <c r="H80" s="76"/>
      <c r="I80" s="76">
        <v>8.1715311054411259</v>
      </c>
      <c r="J80" s="66">
        <v>4.8</v>
      </c>
      <c r="K80" s="67"/>
      <c r="L80" s="194"/>
      <c r="M80" s="194">
        <v>0.51368421052631585</v>
      </c>
      <c r="N80" s="71">
        <v>1</v>
      </c>
      <c r="O80" s="74"/>
      <c r="P80" s="75"/>
    </row>
    <row r="81" spans="4:14" ht="15">
      <c r="D81" s="76">
        <v>3.827846092820312</v>
      </c>
      <c r="E81" s="76">
        <v>6.38</v>
      </c>
      <c r="F81" s="341">
        <v>5.5</v>
      </c>
      <c r="H81" s="76">
        <v>4.8332029604320015</v>
      </c>
      <c r="I81" s="76">
        <v>6.5655433927544378</v>
      </c>
      <c r="J81" s="341">
        <v>5.5</v>
      </c>
      <c r="L81" s="194">
        <v>0.50885964912280701</v>
      </c>
      <c r="M81" s="194">
        <v>0.71953347602418238</v>
      </c>
      <c r="N81" s="386">
        <v>1</v>
      </c>
    </row>
    <row r="85" spans="4:14">
      <c r="F85" s="315"/>
    </row>
    <row r="86" spans="4:14" ht="15">
      <c r="F86" s="341"/>
    </row>
  </sheetData>
  <mergeCells count="51">
    <mergeCell ref="M61:M62"/>
    <mergeCell ref="B70:F70"/>
    <mergeCell ref="G70:J70"/>
    <mergeCell ref="K70:N70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2855" priority="128" operator="notBetween">
      <formula>#REF!</formula>
      <formula>#REF!</formula>
    </cfRule>
  </conditionalFormatting>
  <conditionalFormatting sqref="C60">
    <cfRule type="cellIs" dxfId="2854" priority="160" stopIfTrue="1" operator="greaterThan">
      <formula>100</formula>
    </cfRule>
    <cfRule type="cellIs" dxfId="2853" priority="159" stopIfTrue="1" operator="lessThan">
      <formula>96</formula>
    </cfRule>
  </conditionalFormatting>
  <conditionalFormatting sqref="C72:C73">
    <cfRule type="cellIs" dxfId="2852" priority="107" stopIfTrue="1" operator="lessThanOrEqual">
      <formula>0</formula>
    </cfRule>
  </conditionalFormatting>
  <conditionalFormatting sqref="C72:C76">
    <cfRule type="cellIs" dxfId="2851" priority="106" stopIfTrue="1" operator="greaterThan">
      <formula>$F72</formula>
    </cfRule>
  </conditionalFormatting>
  <conditionalFormatting sqref="C73">
    <cfRule type="cellIs" dxfId="2850" priority="163" stopIfTrue="1" operator="greaterThan">
      <formula>$F72</formula>
    </cfRule>
  </conditionalFormatting>
  <conditionalFormatting sqref="C74:C77">
    <cfRule type="cellIs" dxfId="2849" priority="113" stopIfTrue="1" operator="lessThanOrEqual">
      <formula>0</formula>
    </cfRule>
  </conditionalFormatting>
  <conditionalFormatting sqref="C77">
    <cfRule type="cellIs" dxfId="2848" priority="112" stopIfTrue="1" operator="greaterThan">
      <formula>$J77</formula>
    </cfRule>
  </conditionalFormatting>
  <conditionalFormatting sqref="C83:C87">
    <cfRule type="cellIs" dxfId="2847" priority="151" stopIfTrue="1" operator="lessThanOrEqual">
      <formula>0</formula>
    </cfRule>
  </conditionalFormatting>
  <conditionalFormatting sqref="C84:C87">
    <cfRule type="cellIs" dxfId="2846" priority="150" stopIfTrue="1" operator="greaterThan">
      <formula>$F$83</formula>
    </cfRule>
  </conditionalFormatting>
  <conditionalFormatting sqref="C89">
    <cfRule type="cellIs" dxfId="2845" priority="152" stopIfTrue="1" operator="greaterThan">
      <formula>$F$83</formula>
    </cfRule>
    <cfRule type="cellIs" dxfId="2844" priority="153" stopIfTrue="1" operator="lessThanOrEqual">
      <formula>0</formula>
    </cfRule>
  </conditionalFormatting>
  <conditionalFormatting sqref="C83:D83 D85:D91">
    <cfRule type="cellIs" dxfId="2843" priority="145" stopIfTrue="1" operator="greaterThan">
      <formula>4.5</formula>
    </cfRule>
  </conditionalFormatting>
  <conditionalFormatting sqref="D56:D57">
    <cfRule type="cellIs" dxfId="2842" priority="129" operator="notBetween">
      <formula>#REF!</formula>
      <formula>#REF!</formula>
    </cfRule>
  </conditionalFormatting>
  <conditionalFormatting sqref="D72:D79">
    <cfRule type="cellIs" dxfId="2841" priority="123" stopIfTrue="1" operator="lessThanOrEqual">
      <formula>0</formula>
    </cfRule>
  </conditionalFormatting>
  <conditionalFormatting sqref="D80">
    <cfRule type="cellIs" dxfId="2840" priority="122" stopIfTrue="1" operator="lessThanOrEqual">
      <formula>0</formula>
    </cfRule>
  </conditionalFormatting>
  <conditionalFormatting sqref="D83 D85:D91">
    <cfRule type="cellIs" dxfId="2839" priority="146" stopIfTrue="1" operator="lessThanOrEqual">
      <formula>0</formula>
    </cfRule>
  </conditionalFormatting>
  <conditionalFormatting sqref="D84">
    <cfRule type="cellIs" dxfId="2838" priority="137" stopIfTrue="1" operator="greaterThan">
      <formula>$F$83</formula>
    </cfRule>
    <cfRule type="cellIs" dxfId="2837" priority="138" stopIfTrue="1" operator="lessThanOrEqual">
      <formula>0</formula>
    </cfRule>
  </conditionalFormatting>
  <conditionalFormatting sqref="D72:E81">
    <cfRule type="cellIs" dxfId="2836" priority="103" stopIfTrue="1" operator="greaterThan">
      <formula>$F72</formula>
    </cfRule>
  </conditionalFormatting>
  <conditionalFormatting sqref="D81:E81">
    <cfRule type="cellIs" dxfId="2835" priority="104" stopIfTrue="1" operator="lessThanOrEqual">
      <formula>0</formula>
    </cfRule>
  </conditionalFormatting>
  <conditionalFormatting sqref="E10:E31">
    <cfRule type="cellIs" dxfId="2834" priority="2" operator="lessThan">
      <formula>48</formula>
    </cfRule>
  </conditionalFormatting>
  <conditionalFormatting sqref="E59 E60:F60">
    <cfRule type="cellIs" dxfId="2833" priority="142" stopIfTrue="1" operator="greaterThan">
      <formula>100</formula>
    </cfRule>
  </conditionalFormatting>
  <conditionalFormatting sqref="E60">
    <cfRule type="cellIs" dxfId="2832" priority="139" stopIfTrue="1" operator="lessThan">
      <formula>96.8</formula>
    </cfRule>
    <cfRule type="cellIs" dxfId="2831" priority="140" stopIfTrue="1" operator="greaterThan">
      <formula>100</formula>
    </cfRule>
  </conditionalFormatting>
  <conditionalFormatting sqref="E72:E80">
    <cfRule type="cellIs" dxfId="2830" priority="117" stopIfTrue="1" operator="lessThanOrEqual">
      <formula>0</formula>
    </cfRule>
  </conditionalFormatting>
  <conditionalFormatting sqref="E83:E91">
    <cfRule type="cellIs" dxfId="2829" priority="131" stopIfTrue="1" operator="greaterThan">
      <formula>4.5</formula>
    </cfRule>
    <cfRule type="cellIs" dxfId="2828" priority="132" stopIfTrue="1" operator="lessThanOrEqual">
      <formula>0</formula>
    </cfRule>
  </conditionalFormatting>
  <conditionalFormatting sqref="E60:F60 E59">
    <cfRule type="cellIs" dxfId="2827" priority="141" stopIfTrue="1" operator="lessThan">
      <formula>96.5</formula>
    </cfRule>
  </conditionalFormatting>
  <conditionalFormatting sqref="F10:F20">
    <cfRule type="cellIs" dxfId="2826" priority="4" operator="greaterThan">
      <formula>60</formula>
    </cfRule>
  </conditionalFormatting>
  <conditionalFormatting sqref="F23:F31">
    <cfRule type="cellIs" dxfId="2825" priority="41" operator="greaterThan">
      <formula>60</formula>
    </cfRule>
  </conditionalFormatting>
  <conditionalFormatting sqref="F60">
    <cfRule type="cellIs" dxfId="2824" priority="157" stopIfTrue="1" operator="lessThan">
      <formula>96.8</formula>
    </cfRule>
    <cfRule type="cellIs" dxfId="2823" priority="158" stopIfTrue="1" operator="greaterThan">
      <formula>100</formula>
    </cfRule>
  </conditionalFormatting>
  <conditionalFormatting sqref="F81">
    <cfRule type="cellIs" dxfId="2822" priority="119" stopIfTrue="1" operator="lessThanOrEqual">
      <formula>0</formula>
    </cfRule>
    <cfRule type="cellIs" dxfId="2821" priority="118" stopIfTrue="1" operator="greaterThan">
      <formula>$F81</formula>
    </cfRule>
  </conditionalFormatting>
  <conditionalFormatting sqref="F86">
    <cfRule type="cellIs" dxfId="2820" priority="73" stopIfTrue="1" operator="lessThanOrEqual">
      <formula>0</formula>
    </cfRule>
    <cfRule type="cellIs" dxfId="2819" priority="72" stopIfTrue="1" operator="greaterThan">
      <formula>$F86</formula>
    </cfRule>
  </conditionalFormatting>
  <conditionalFormatting sqref="G21:G22">
    <cfRule type="expression" dxfId="2818" priority="40">
      <formula>IF(+(IF(G21&lt;S21,0,IF(G21&gt;T21,0,1)))=0,1)</formula>
    </cfRule>
  </conditionalFormatting>
  <conditionalFormatting sqref="G72:G73 C78:C80">
    <cfRule type="cellIs" dxfId="2817" priority="125" stopIfTrue="1" operator="lessThanOrEqual">
      <formula>0</formula>
    </cfRule>
    <cfRule type="cellIs" dxfId="2816" priority="124" stopIfTrue="1" operator="greaterThan">
      <formula>$F72</formula>
    </cfRule>
  </conditionalFormatting>
  <conditionalFormatting sqref="G72:G73">
    <cfRule type="cellIs" dxfId="2815" priority="109" stopIfTrue="1" operator="lessThanOrEqual">
      <formula>0</formula>
    </cfRule>
    <cfRule type="cellIs" dxfId="2814" priority="108" stopIfTrue="1" operator="greaterThan">
      <formula>$F72</formula>
    </cfRule>
  </conditionalFormatting>
  <conditionalFormatting sqref="G74">
    <cfRule type="cellIs" dxfId="2813" priority="161" stopIfTrue="1" operator="greaterThan">
      <formula>$F73</formula>
    </cfRule>
    <cfRule type="cellIs" dxfId="2812" priority="162" stopIfTrue="1" operator="lessThanOrEqual">
      <formula>0</formula>
    </cfRule>
  </conditionalFormatting>
  <conditionalFormatting sqref="G75">
    <cfRule type="cellIs" dxfId="2811" priority="121" stopIfTrue="1" operator="lessThanOrEqual">
      <formula>0</formula>
    </cfRule>
    <cfRule type="cellIs" dxfId="2810" priority="120" stopIfTrue="1" operator="greaterThan">
      <formula>$F75</formula>
    </cfRule>
  </conditionalFormatting>
  <conditionalFormatting sqref="G76:G80">
    <cfRule type="cellIs" dxfId="2809" priority="127" stopIfTrue="1" operator="lessThanOrEqual">
      <formula>0</formula>
    </cfRule>
    <cfRule type="cellIs" dxfId="2808" priority="126" stopIfTrue="1" operator="greaterThan">
      <formula>$J76</formula>
    </cfRule>
  </conditionalFormatting>
  <conditionalFormatting sqref="G85:G90 C88 C90">
    <cfRule type="cellIs" dxfId="2807" priority="154" stopIfTrue="1" operator="greaterThan">
      <formula>4.5</formula>
    </cfRule>
    <cfRule type="cellIs" dxfId="2806" priority="155" stopIfTrue="1" operator="lessThanOrEqual">
      <formula>0</formula>
    </cfRule>
  </conditionalFormatting>
  <conditionalFormatting sqref="G10:H20">
    <cfRule type="expression" dxfId="2805" priority="8">
      <formula>IF(+(IF(G10&lt;#REF!,0,IF(G10&gt;#REF!,0,1)))=0,1)</formula>
    </cfRule>
  </conditionalFormatting>
  <conditionalFormatting sqref="G23:H31">
    <cfRule type="expression" dxfId="2804" priority="42">
      <formula>IF(+(IF(G23&lt;#REF!,0,IF(G23&gt;#REF!,0,1)))=0,1)</formula>
    </cfRule>
  </conditionalFormatting>
  <conditionalFormatting sqref="G84:H84">
    <cfRule type="cellIs" dxfId="2803" priority="135" stopIfTrue="1" operator="greaterThan">
      <formula>$F$83</formula>
    </cfRule>
    <cfRule type="cellIs" dxfId="2802" priority="136" stopIfTrue="1" operator="lessThanOrEqual">
      <formula>0</formula>
    </cfRule>
  </conditionalFormatting>
  <conditionalFormatting sqref="H21:H22">
    <cfRule type="expression" dxfId="2801" priority="25">
      <formula>IF(+(IF(H21&lt;#REF!,0,IF(H21&gt;#REF!,0,1)))=0,1)</formula>
    </cfRule>
  </conditionalFormatting>
  <conditionalFormatting sqref="H45:H59">
    <cfRule type="cellIs" dxfId="2800" priority="133" stopIfTrue="1" operator="greaterThan">
      <formula>0</formula>
    </cfRule>
  </conditionalFormatting>
  <conditionalFormatting sqref="H63">
    <cfRule type="cellIs" dxfId="2799" priority="39" stopIfTrue="1" operator="lessThanOrEqual">
      <formula>0</formula>
    </cfRule>
    <cfRule type="cellIs" dxfId="2798" priority="38" stopIfTrue="1" operator="greaterThan">
      <formula>$F$28</formula>
    </cfRule>
    <cfRule type="cellIs" dxfId="2797" priority="37" stopIfTrue="1" operator="lessThanOrEqual">
      <formula>0</formula>
    </cfRule>
    <cfRule type="cellIs" dxfId="2796" priority="36" stopIfTrue="1" operator="greaterThan">
      <formula>$F$30</formula>
    </cfRule>
    <cfRule type="cellIs" dxfId="2795" priority="28" stopIfTrue="1" operator="greaterThan">
      <formula>$F$27</formula>
    </cfRule>
    <cfRule type="cellIs" dxfId="2794" priority="27" stopIfTrue="1" operator="lessThanOrEqual">
      <formula>0</formula>
    </cfRule>
  </conditionalFormatting>
  <conditionalFormatting sqref="H64">
    <cfRule type="cellIs" dxfId="2793" priority="70" stopIfTrue="1" operator="greaterThan">
      <formula>$F$30</formula>
    </cfRule>
    <cfRule type="cellIs" dxfId="2792" priority="71" stopIfTrue="1" operator="lessThanOrEqual">
      <formula>0</formula>
    </cfRule>
    <cfRule type="cellIs" dxfId="2791" priority="68" stopIfTrue="1" operator="greaterThan">
      <formula>$F$32</formula>
    </cfRule>
    <cfRule type="cellIs" dxfId="2790" priority="59" stopIfTrue="1" operator="lessThanOrEqual">
      <formula>0</formula>
    </cfRule>
    <cfRule type="cellIs" dxfId="2789" priority="60" stopIfTrue="1" operator="greaterThan">
      <formula>$F$29</formula>
    </cfRule>
    <cfRule type="cellIs" dxfId="2788" priority="69" stopIfTrue="1" operator="lessThanOrEqual">
      <formula>0</formula>
    </cfRule>
  </conditionalFormatting>
  <conditionalFormatting sqref="H65:H67">
    <cfRule type="cellIs" dxfId="2787" priority="55" stopIfTrue="1" operator="lessThanOrEqual">
      <formula>0</formula>
    </cfRule>
    <cfRule type="cellIs" dxfId="2786" priority="45" stopIfTrue="1" operator="lessThanOrEqual">
      <formula>0</formula>
    </cfRule>
    <cfRule type="cellIs" dxfId="2785" priority="46" stopIfTrue="1" operator="greaterThan">
      <formula>$F$28</formula>
    </cfRule>
    <cfRule type="cellIs" dxfId="2784" priority="54" stopIfTrue="1" operator="greaterThan">
      <formula>$F$31</formula>
    </cfRule>
    <cfRule type="cellIs" dxfId="2783" priority="56" stopIfTrue="1" operator="greaterThan">
      <formula>$F$29</formula>
    </cfRule>
    <cfRule type="cellIs" dxfId="2782" priority="57" stopIfTrue="1" operator="lessThanOrEqual">
      <formula>0</formula>
    </cfRule>
  </conditionalFormatting>
  <conditionalFormatting sqref="H68">
    <cfRule type="cellIs" dxfId="2781" priority="88" stopIfTrue="1" operator="greaterThan">
      <formula>$F$45</formula>
    </cfRule>
    <cfRule type="cellIs" dxfId="2780" priority="89" stopIfTrue="1" operator="lessThanOrEqual">
      <formula>0</formula>
    </cfRule>
    <cfRule type="cellIs" dxfId="2779" priority="77" stopIfTrue="1" operator="lessThanOrEqual">
      <formula>0</formula>
    </cfRule>
    <cfRule type="cellIs" dxfId="2778" priority="78" stopIfTrue="1" operator="greaterThan">
      <formula>$F$44</formula>
    </cfRule>
    <cfRule type="cellIs" dxfId="2777" priority="87" stopIfTrue="1" operator="lessThanOrEqual">
      <formula>0</formula>
    </cfRule>
    <cfRule type="cellIs" dxfId="2776" priority="86" stopIfTrue="1" operator="greaterThan">
      <formula>$F$47</formula>
    </cfRule>
  </conditionalFormatting>
  <conditionalFormatting sqref="H72:H79">
    <cfRule type="cellIs" dxfId="2775" priority="111" stopIfTrue="1" operator="lessThanOrEqual">
      <formula>0</formula>
    </cfRule>
    <cfRule type="cellIs" dxfId="2774" priority="110" stopIfTrue="1" operator="greaterThan">
      <formula>$J72</formula>
    </cfRule>
  </conditionalFormatting>
  <conditionalFormatting sqref="H80">
    <cfRule type="cellIs" dxfId="2773" priority="114" operator="greaterThan">
      <formula>5.3</formula>
    </cfRule>
  </conditionalFormatting>
  <conditionalFormatting sqref="H83 H85:H91">
    <cfRule type="cellIs" dxfId="2772" priority="148" stopIfTrue="1" operator="lessThanOrEqual">
      <formula>0</formula>
    </cfRule>
    <cfRule type="cellIs" dxfId="2771" priority="147" stopIfTrue="1" operator="greaterThan">
      <formula>4.5</formula>
    </cfRule>
  </conditionalFormatting>
  <conditionalFormatting sqref="H63:I63">
    <cfRule type="cellIs" dxfId="2770" priority="26" stopIfTrue="1" operator="greaterThan">
      <formula>$F$29</formula>
    </cfRule>
    <cfRule type="cellIs" dxfId="2769" priority="29" stopIfTrue="1" operator="lessThanOrEqual">
      <formula>0</formula>
    </cfRule>
  </conditionalFormatting>
  <conditionalFormatting sqref="H64:I64">
    <cfRule type="cellIs" dxfId="2768" priority="58" stopIfTrue="1" operator="greaterThan">
      <formula>$F$31</formula>
    </cfRule>
    <cfRule type="cellIs" dxfId="2767" priority="61" stopIfTrue="1" operator="lessThanOrEqual">
      <formula>0</formula>
    </cfRule>
  </conditionalFormatting>
  <conditionalFormatting sqref="H65:I67">
    <cfRule type="cellIs" dxfId="2766" priority="47" stopIfTrue="1" operator="lessThanOrEqual">
      <formula>0</formula>
    </cfRule>
    <cfRule type="cellIs" dxfId="2765" priority="44" stopIfTrue="1" operator="greaterThan">
      <formula>$F$30</formula>
    </cfRule>
  </conditionalFormatting>
  <conditionalFormatting sqref="H68:I68">
    <cfRule type="cellIs" dxfId="2764" priority="76" stopIfTrue="1" operator="greaterThan">
      <formula>$F$46</formula>
    </cfRule>
    <cfRule type="cellIs" dxfId="2763" priority="79" stopIfTrue="1" operator="lessThanOrEqual">
      <formula>0</formula>
    </cfRule>
  </conditionalFormatting>
  <conditionalFormatting sqref="H81:I81">
    <cfRule type="cellIs" dxfId="2762" priority="101" stopIfTrue="1" operator="greaterThan">
      <formula>$J81</formula>
    </cfRule>
    <cfRule type="cellIs" dxfId="2761" priority="102" stopIfTrue="1" operator="lessThanOrEqual">
      <formula>0</formula>
    </cfRule>
  </conditionalFormatting>
  <conditionalFormatting sqref="I63">
    <cfRule type="cellIs" dxfId="2760" priority="34" stopIfTrue="1" operator="greaterThan">
      <formula>$F$27</formula>
    </cfRule>
    <cfRule type="cellIs" dxfId="2759" priority="33" stopIfTrue="1" operator="lessThanOrEqual">
      <formula>0</formula>
    </cfRule>
    <cfRule type="cellIs" dxfId="2758" priority="32" stopIfTrue="1" operator="greaterThan">
      <formula>$F$29</formula>
    </cfRule>
    <cfRule type="cellIs" dxfId="2757" priority="31" stopIfTrue="1" operator="lessThanOrEqual">
      <formula>0</formula>
    </cfRule>
    <cfRule type="cellIs" dxfId="2756" priority="35" stopIfTrue="1" operator="lessThanOrEqual">
      <formula>0</formula>
    </cfRule>
    <cfRule type="cellIs" dxfId="2755" priority="30" stopIfTrue="1" operator="greaterThan">
      <formula>$F$27</formula>
    </cfRule>
  </conditionalFormatting>
  <conditionalFormatting sqref="I64">
    <cfRule type="cellIs" dxfId="2754" priority="63" stopIfTrue="1" operator="lessThanOrEqual">
      <formula>0</formula>
    </cfRule>
    <cfRule type="cellIs" dxfId="2753" priority="62" stopIfTrue="1" operator="greaterThan">
      <formula>$F$29</formula>
    </cfRule>
    <cfRule type="cellIs" dxfId="2752" priority="66" stopIfTrue="1" operator="greaterThan">
      <formula>$F$29</formula>
    </cfRule>
    <cfRule type="cellIs" dxfId="2751" priority="67" stopIfTrue="1" operator="lessThanOrEqual">
      <formula>0</formula>
    </cfRule>
    <cfRule type="cellIs" dxfId="2750" priority="65" stopIfTrue="1" operator="lessThanOrEqual">
      <formula>0</formula>
    </cfRule>
    <cfRule type="cellIs" dxfId="2749" priority="64" stopIfTrue="1" operator="greaterThan">
      <formula>$F$31</formula>
    </cfRule>
  </conditionalFormatting>
  <conditionalFormatting sqref="I65:I67">
    <cfRule type="cellIs" dxfId="2748" priority="51" stopIfTrue="1" operator="lessThanOrEqual">
      <formula>0</formula>
    </cfRule>
    <cfRule type="cellIs" dxfId="2747" priority="53" stopIfTrue="1" operator="lessThanOrEqual">
      <formula>0</formula>
    </cfRule>
    <cfRule type="cellIs" dxfId="2746" priority="52" stopIfTrue="1" operator="greaterThan">
      <formula>$F$28</formula>
    </cfRule>
    <cfRule type="cellIs" dxfId="2745" priority="50" stopIfTrue="1" operator="greaterThan">
      <formula>$F$30</formula>
    </cfRule>
    <cfRule type="cellIs" dxfId="2744" priority="48" stopIfTrue="1" operator="greaterThan">
      <formula>$F$28</formula>
    </cfRule>
    <cfRule type="cellIs" dxfId="2743" priority="49" stopIfTrue="1" operator="lessThanOrEqual">
      <formula>0</formula>
    </cfRule>
  </conditionalFormatting>
  <conditionalFormatting sqref="I68">
    <cfRule type="cellIs" dxfId="2742" priority="81" stopIfTrue="1" operator="lessThanOrEqual">
      <formula>0</formula>
    </cfRule>
    <cfRule type="cellIs" dxfId="2741" priority="80" stopIfTrue="1" operator="greaterThan">
      <formula>$F$44</formula>
    </cfRule>
    <cfRule type="cellIs" dxfId="2740" priority="82" stopIfTrue="1" operator="greaterThan">
      <formula>$F$46</formula>
    </cfRule>
    <cfRule type="cellIs" dxfId="2739" priority="84" stopIfTrue="1" operator="greaterThan">
      <formula>$F$44</formula>
    </cfRule>
    <cfRule type="cellIs" dxfId="2738" priority="83" stopIfTrue="1" operator="lessThanOrEqual">
      <formula>0</formula>
    </cfRule>
    <cfRule type="cellIs" dxfId="2737" priority="85" stopIfTrue="1" operator="lessThanOrEqual">
      <formula>0</formula>
    </cfRule>
  </conditionalFormatting>
  <conditionalFormatting sqref="I72:I80">
    <cfRule type="cellIs" dxfId="2736" priority="115" stopIfTrue="1" operator="greaterThan">
      <formula>$J72</formula>
    </cfRule>
    <cfRule type="cellIs" dxfId="2735" priority="116" stopIfTrue="1" operator="lessThanOrEqual">
      <formula>0</formula>
    </cfRule>
  </conditionalFormatting>
  <conditionalFormatting sqref="I83:I91">
    <cfRule type="cellIs" dxfId="2734" priority="143" stopIfTrue="1" operator="greaterThan">
      <formula>4.5</formula>
    </cfRule>
    <cfRule type="cellIs" dxfId="2733" priority="144" stopIfTrue="1" operator="lessThanOrEqual">
      <formula>0</formula>
    </cfRule>
  </conditionalFormatting>
  <conditionalFormatting sqref="I10:J31">
    <cfRule type="cellIs" dxfId="2732" priority="3" operator="lessThan">
      <formula>97.9</formula>
    </cfRule>
  </conditionalFormatting>
  <conditionalFormatting sqref="J34:J36">
    <cfRule type="cellIs" dxfId="2731" priority="92" stopIfTrue="1" operator="greaterThan">
      <formula>100</formula>
    </cfRule>
    <cfRule type="cellIs" dxfId="2730" priority="91" stopIfTrue="1" operator="lessThan">
      <formula>96.8</formula>
    </cfRule>
    <cfRule type="cellIs" dxfId="2729" priority="93" operator="lessThan">
      <formula>98</formula>
    </cfRule>
  </conditionalFormatting>
  <conditionalFormatting sqref="J34:J38">
    <cfRule type="cellIs" dxfId="2728" priority="90" operator="lessThan">
      <formula>97.4</formula>
    </cfRule>
  </conditionalFormatting>
  <conditionalFormatting sqref="J39">
    <cfRule type="cellIs" dxfId="2727" priority="94" operator="lessThan">
      <formula>98</formula>
    </cfRule>
  </conditionalFormatting>
  <conditionalFormatting sqref="J41:J42">
    <cfRule type="cellIs" dxfId="2726" priority="96" stopIfTrue="1" operator="greaterThan">
      <formula>100</formula>
    </cfRule>
    <cfRule type="cellIs" dxfId="2725" priority="95" stopIfTrue="1" operator="lessThan">
      <formula>96.8</formula>
    </cfRule>
  </conditionalFormatting>
  <conditionalFormatting sqref="J41:J43">
    <cfRule type="cellIs" dxfId="2724" priority="97" operator="lessThan">
      <formula>98</formula>
    </cfRule>
  </conditionalFormatting>
  <conditionalFormatting sqref="J81">
    <cfRule type="cellIs" dxfId="2723" priority="99" stopIfTrue="1" operator="lessThanOrEqual">
      <formula>0</formula>
    </cfRule>
    <cfRule type="cellIs" dxfId="2722" priority="98" stopIfTrue="1" operator="greaterThan">
      <formula>$F81</formula>
    </cfRule>
  </conditionalFormatting>
  <conditionalFormatting sqref="K10:K31">
    <cfRule type="cellIs" dxfId="2721" priority="7" operator="greaterThan">
      <formula>6.4</formula>
    </cfRule>
    <cfRule type="cellIs" dxfId="2720" priority="6" operator="lessThan">
      <formula>4</formula>
    </cfRule>
    <cfRule type="cellIs" dxfId="2719" priority="5" operator="greaterThan">
      <formula>6</formula>
    </cfRule>
  </conditionalFormatting>
  <conditionalFormatting sqref="K63:K68">
    <cfRule type="cellIs" dxfId="2718" priority="74" stopIfTrue="1" operator="lessThan">
      <formula>100%</formula>
    </cfRule>
  </conditionalFormatting>
  <conditionalFormatting sqref="K83:K88">
    <cfRule type="cellIs" dxfId="2717" priority="149" stopIfTrue="1" operator="lessThan">
      <formula>100%</formula>
    </cfRule>
  </conditionalFormatting>
  <conditionalFormatting sqref="K90:K91">
    <cfRule type="cellIs" dxfId="2716" priority="156" stopIfTrue="1" operator="lessThan">
      <formula>100%</formula>
    </cfRule>
  </conditionalFormatting>
  <conditionalFormatting sqref="K72:N80">
    <cfRule type="cellIs" dxfId="2715" priority="43" stopIfTrue="1" operator="lessThan">
      <formula>100%</formula>
    </cfRule>
  </conditionalFormatting>
  <conditionalFormatting sqref="L21:L31">
    <cfRule type="cellIs" dxfId="2714" priority="17" operator="greaterThan">
      <formula>65</formula>
    </cfRule>
    <cfRule type="cellIs" dxfId="2713" priority="16" operator="between">
      <formula>61</formula>
      <formula>65</formula>
    </cfRule>
  </conditionalFormatting>
  <conditionalFormatting sqref="L10:M20">
    <cfRule type="cellIs" dxfId="2712" priority="10" operator="greaterThan">
      <formula>65</formula>
    </cfRule>
    <cfRule type="cellIs" dxfId="2711" priority="9" operator="between">
      <formula>61</formula>
      <formula>65</formula>
    </cfRule>
  </conditionalFormatting>
  <conditionalFormatting sqref="L34:M45">
    <cfRule type="cellIs" dxfId="2710" priority="105" operator="lessThan">
      <formula>98</formula>
    </cfRule>
  </conditionalFormatting>
  <conditionalFormatting sqref="L49:N49">
    <cfRule type="cellIs" dxfId="2709" priority="12" operator="notEqual">
      <formula>#REF!</formula>
    </cfRule>
  </conditionalFormatting>
  <conditionalFormatting sqref="L81:N81">
    <cfRule type="cellIs" dxfId="2708" priority="100" stopIfTrue="1" operator="lessThan">
      <formula>100%</formula>
    </cfRule>
  </conditionalFormatting>
  <conditionalFormatting sqref="L83:N91">
    <cfRule type="cellIs" dxfId="2707" priority="134" stopIfTrue="1" operator="lessThan">
      <formula>100%</formula>
    </cfRule>
  </conditionalFormatting>
  <conditionalFormatting sqref="M10:M31">
    <cfRule type="expression" dxfId="2706" priority="11">
      <formula>IF(+(IF(M10&lt;U10,0,IF(M10&gt;V10,0,1)))=0,1)</formula>
    </cfRule>
  </conditionalFormatting>
  <conditionalFormatting sqref="N10:N31">
    <cfRule type="expression" dxfId="2705" priority="1">
      <formula>IF(+(IF(N10&lt;W10,0,IF(N10&gt;X10,0,1)))=0,1)</formula>
    </cfRule>
  </conditionalFormatting>
  <conditionalFormatting sqref="P6">
    <cfRule type="cellIs" dxfId="2704" priority="130" operator="greaterThanOrEqual">
      <formula>19</formula>
    </cfRule>
  </conditionalFormatting>
  <dataValidations disablePrompts="1" count="1">
    <dataValidation type="list" allowBlank="1" showInputMessage="1" showErrorMessage="1" sqref="R8" xr:uid="{47FC24B1-9B47-4D6E-BF9A-B476ABE9907A}">
      <formula1>ProductList</formula1>
    </dataValidation>
  </dataValidations>
  <pageMargins left="0.7" right="0.7" top="0.75" bottom="0.75" header="0.3" footer="0.3"/>
  <pageSetup scale="44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F2A7-9722-4FDF-AE1E-D92D5AF74786}">
  <sheetPr>
    <pageSetUpPr fitToPage="1"/>
  </sheetPr>
  <dimension ref="A1:BE86"/>
  <sheetViews>
    <sheetView topLeftCell="A41" zoomScale="80" zoomScaleNormal="80" workbookViewId="0">
      <selection activeCell="S9" sqref="S9:T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45875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2" t="s">
        <v>33</v>
      </c>
      <c r="C10" s="366" t="str">
        <f>[26]Brewhouse!A64</f>
        <v>VM053</v>
      </c>
      <c r="D10" s="279">
        <f>[26]Brewhouse!AE64</f>
        <v>48.9</v>
      </c>
      <c r="E10" s="279">
        <f>[26]Brewhouse!AJ64</f>
        <v>47.6</v>
      </c>
      <c r="F10" s="278">
        <f>[26]Brewhouse!X64</f>
        <v>87</v>
      </c>
      <c r="G10" s="279">
        <f>[26]Brewhouse!AH64</f>
        <v>14.5</v>
      </c>
      <c r="H10" s="396">
        <v>14.5</v>
      </c>
      <c r="I10" s="368">
        <f>[26]Brewhouse!AV64</f>
        <v>98.008773140944655</v>
      </c>
      <c r="J10" s="368">
        <f>[26]Brewhouse!AW64</f>
        <v>98.362301407720153</v>
      </c>
      <c r="K10" s="281">
        <f>[26]Brewhouse!S64</f>
        <v>6.6666666666666625</v>
      </c>
      <c r="L10" s="276">
        <f>[26]Brewhouse!R64</f>
        <v>59</v>
      </c>
      <c r="M10" s="374">
        <f>[26]Brewhouse!$W64-[26]Brewhouse!$V64</f>
        <v>0.15069444444444446</v>
      </c>
      <c r="N10" s="370">
        <f>[26]Brewhouse!AB64</f>
        <v>0.28194444444444444</v>
      </c>
      <c r="O10" s="371" t="str">
        <f>[26]Brewhouse!$AZ64</f>
        <v>R.Sookram</v>
      </c>
      <c r="P10" s="418"/>
      <c r="R10" s="277" t="str">
        <f t="shared" ref="R10:R33" si="0">B10</f>
        <v>VITAMALT</v>
      </c>
      <c r="S10" s="296">
        <f t="shared" ref="S10:S33" si="1">VLOOKUP($B10,$R$3:$X$9,2,FALSE)</f>
        <v>14.2</v>
      </c>
      <c r="T10" s="296">
        <f t="shared" ref="T10:T33" si="2">VLOOKUP($B10,$R$3:$X$9,3,FALSE)</f>
        <v>14.6</v>
      </c>
      <c r="U10" s="297">
        <f t="shared" ref="U10:U33" si="3">VLOOKUP($B10,$R$3:$X$9,4,FALSE)</f>
        <v>0</v>
      </c>
      <c r="V10" s="297">
        <f t="shared" ref="V10:V33" si="4">VLOOKUP($B10,$R$3:$X$9,5,FALSE)</f>
        <v>0.13905092592592591</v>
      </c>
      <c r="W10" s="297">
        <f t="shared" ref="W10:W33" si="5">VLOOKUP($B10,$R$3:$X$9,6,FALSE)</f>
        <v>0.26041666666666669</v>
      </c>
      <c r="X10" s="297">
        <f t="shared" ref="X10:X33" si="6">VLOOKUP($B10,$R$3:$X$9,7,FALSE)</f>
        <v>0.2951388888888889</v>
      </c>
      <c r="Y10" s="297">
        <f t="shared" ref="Y10:Y33" si="7">VLOOKUP($B10,$R$3:$Z$9,8,FALSE)</f>
        <v>0</v>
      </c>
      <c r="Z10" s="296">
        <f t="shared" ref="Z10:Z33" si="8">VLOOKUP($B10,$R$3:$Z$9,9,FALSE)</f>
        <v>75</v>
      </c>
    </row>
    <row r="11" spans="2:29" ht="15.75" customHeight="1">
      <c r="B11" s="22" t="s">
        <v>33</v>
      </c>
      <c r="C11" s="366" t="str">
        <f>[26]Brewhouse!A65</f>
        <v>VM054</v>
      </c>
      <c r="D11" s="279">
        <f>[26]Brewhouse!AE65</f>
        <v>50.1</v>
      </c>
      <c r="E11" s="279">
        <f>[26]Brewhouse!AJ65</f>
        <v>47.9</v>
      </c>
      <c r="F11" s="278">
        <f>[26]Brewhouse!X65</f>
        <v>83</v>
      </c>
      <c r="G11" s="279">
        <f>[26]Brewhouse!AH65</f>
        <v>14.2</v>
      </c>
      <c r="H11" s="396">
        <v>14.3</v>
      </c>
      <c r="I11" s="368">
        <f>[26]Brewhouse!AV65</f>
        <v>97.056247900814512</v>
      </c>
      <c r="J11" s="368">
        <f>[26]Brewhouse!AW65</f>
        <v>97.397423260766331</v>
      </c>
      <c r="K11" s="281">
        <f>[26]Brewhouse!S65</f>
        <v>8.5029940119760443</v>
      </c>
      <c r="L11" s="276">
        <f>[26]Brewhouse!R65</f>
        <v>57</v>
      </c>
      <c r="M11" s="374">
        <f>[26]Brewhouse!$W65-[26]Brewhouse!$V65</f>
        <v>0.13611111111111107</v>
      </c>
      <c r="N11" s="370">
        <f>[26]Brewhouse!AB65</f>
        <v>0.26597222222222217</v>
      </c>
      <c r="O11" s="371" t="str">
        <f>[26]Brewhouse!$AZ65</f>
        <v>R.Sookram</v>
      </c>
      <c r="P11" s="418"/>
      <c r="R11" s="277" t="str">
        <f t="shared" si="0"/>
        <v>VITAMALT</v>
      </c>
      <c r="S11" s="296">
        <f t="shared" si="1"/>
        <v>14.2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.6" customHeight="1">
      <c r="B12" s="22" t="s">
        <v>33</v>
      </c>
      <c r="C12" s="366" t="str">
        <f>[26]Brewhouse!A66</f>
        <v>VM055</v>
      </c>
      <c r="D12" s="279">
        <f>[26]Brewhouse!AE66</f>
        <v>46.7</v>
      </c>
      <c r="E12" s="279">
        <f>[26]Brewhouse!AJ66</f>
        <v>48.1</v>
      </c>
      <c r="F12" s="278">
        <f>[26]Brewhouse!X66</f>
        <v>75</v>
      </c>
      <c r="G12" s="279">
        <f>[26]Brewhouse!AH66</f>
        <v>14.5</v>
      </c>
      <c r="H12" s="396">
        <v>14.4</v>
      </c>
      <c r="I12" s="368">
        <f>[26]Brewhouse!AV66</f>
        <v>99.038277060492405</v>
      </c>
      <c r="J12" s="368">
        <f>[26]Brewhouse!AW66</f>
        <v>99.395518859481939</v>
      </c>
      <c r="K12" s="281">
        <f>[26]Brewhouse!S66</f>
        <v>0.77087794432548051</v>
      </c>
      <c r="L12" s="276">
        <f>[26]Brewhouse!R66</f>
        <v>57</v>
      </c>
      <c r="M12" s="374">
        <f>[26]Brewhouse!$W66-[26]Brewhouse!$V66</f>
        <v>0.13055555555555554</v>
      </c>
      <c r="N12" s="370">
        <f>[26]Brewhouse!AB66</f>
        <v>0.26319444444444445</v>
      </c>
      <c r="O12" s="371" t="str">
        <f>[26]Brewhouse!$AZ66</f>
        <v>R.Sookram</v>
      </c>
      <c r="P12" s="418"/>
      <c r="R12" s="277" t="str">
        <f t="shared" si="0"/>
        <v>VITAMALT</v>
      </c>
      <c r="S12" s="296">
        <f t="shared" si="1"/>
        <v>14.2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.75" customHeight="1">
      <c r="B13" s="22" t="s">
        <v>33</v>
      </c>
      <c r="C13" s="366" t="str">
        <f>[26]Brewhouse!A67</f>
        <v>VM056</v>
      </c>
      <c r="D13" s="279">
        <f>[26]Brewhouse!AE67</f>
        <v>51.8</v>
      </c>
      <c r="E13" s="279">
        <f>[26]Brewhouse!AJ67</f>
        <v>48.2</v>
      </c>
      <c r="F13" s="278">
        <f>[26]Brewhouse!X67</f>
        <v>78</v>
      </c>
      <c r="G13" s="279">
        <f>[26]Brewhouse!AH67</f>
        <v>14.3</v>
      </c>
      <c r="H13" s="396">
        <v>14.3</v>
      </c>
      <c r="I13" s="368">
        <f>[26]Brewhouse!AV67</f>
        <v>97.755191484048893</v>
      </c>
      <c r="J13" s="368">
        <f>[26]Brewhouse!AW67</f>
        <v>98.107805054305132</v>
      </c>
      <c r="K13" s="281">
        <f>[26]Brewhouse!S67</f>
        <v>7.8378378378378422</v>
      </c>
      <c r="L13" s="276">
        <f>[26]Brewhouse!R67</f>
        <v>58</v>
      </c>
      <c r="M13" s="374">
        <f>[26]Brewhouse!$W67-[26]Brewhouse!$V67</f>
        <v>0.13125000000000009</v>
      </c>
      <c r="N13" s="370">
        <f>[26]Brewhouse!AB67</f>
        <v>0.27013888888888893</v>
      </c>
      <c r="O13" s="371" t="str">
        <f>[26]Brewhouse!$AZ67</f>
        <v>K. Benjamin</v>
      </c>
      <c r="P13" s="418"/>
      <c r="R13" s="277" t="str">
        <f t="shared" si="0"/>
        <v>VITAMALT</v>
      </c>
      <c r="S13" s="296">
        <f t="shared" si="1"/>
        <v>14.2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.6" customHeight="1">
      <c r="B14" s="33"/>
      <c r="C14" s="366"/>
      <c r="D14" s="279"/>
      <c r="E14" s="279"/>
      <c r="F14" s="278"/>
      <c r="G14" s="279"/>
      <c r="H14" s="396"/>
      <c r="I14" s="422"/>
      <c r="J14" s="422"/>
      <c r="K14" s="281"/>
      <c r="L14" s="276"/>
      <c r="M14" s="374"/>
      <c r="N14" s="370"/>
      <c r="O14" s="423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2"/>
      <c r="J15" s="422"/>
      <c r="K15" s="281"/>
      <c r="L15" s="276"/>
      <c r="M15" s="374"/>
      <c r="N15" s="370"/>
      <c r="O15" s="423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 t="s">
        <v>6</v>
      </c>
      <c r="C16" s="366" t="str">
        <f>[24]Brewhouse!$A655</f>
        <v>CA547</v>
      </c>
      <c r="D16" s="279">
        <f>[24]Brewhouse!$AF655</f>
        <v>52.3</v>
      </c>
      <c r="E16" s="279">
        <f>[24]Brewhouse!$AI655</f>
        <v>49.7</v>
      </c>
      <c r="F16" s="278">
        <f>[24]Brewhouse!$V655</f>
        <v>60</v>
      </c>
      <c r="G16" s="279">
        <f>[24]Brewhouse!AG655</f>
        <v>11.9</v>
      </c>
      <c r="H16" s="396">
        <v>11.7</v>
      </c>
      <c r="I16" s="368">
        <f>[24]Brewhouse!$AU655</f>
        <v>96.304712396353338</v>
      </c>
      <c r="J16" s="368">
        <f>[24]Brewhouse!$AV655</f>
        <v>97.912270782605574</v>
      </c>
      <c r="K16" s="281">
        <f>[24]Brewhouse!$Q655</f>
        <v>9.3090909090909051</v>
      </c>
      <c r="L16" s="276">
        <f>[24]Brewhouse!$P655</f>
        <v>64</v>
      </c>
      <c r="M16" s="397">
        <f>[24]Brewhouse!$U655-[24]Brewhouse!$T655</f>
        <v>0.1166666666666667</v>
      </c>
      <c r="N16" s="370">
        <f>[24]Brewhouse!$Z655</f>
        <v>0.24513888888888891</v>
      </c>
      <c r="O16" s="371" t="str">
        <f>[24]Brewhouse!$AX655</f>
        <v>K.Benjamin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[24]Brewhouse!$A656</f>
        <v>CA548</v>
      </c>
      <c r="D17" s="279">
        <f>[24]Brewhouse!$AF656</f>
        <v>53</v>
      </c>
      <c r="E17" s="279">
        <f>[24]Brewhouse!$AI656</f>
        <v>52.2</v>
      </c>
      <c r="F17" s="278">
        <f>[24]Brewhouse!$V656</f>
        <v>61</v>
      </c>
      <c r="G17" s="279">
        <f>[24]Brewhouse!AG656</f>
        <v>11.7</v>
      </c>
      <c r="H17" s="396">
        <v>11.8</v>
      </c>
      <c r="I17" s="368">
        <f>[24]Brewhouse!$AU656</f>
        <v>99.118181278953728</v>
      </c>
      <c r="J17" s="368">
        <f>[24]Brewhouse!$AV656</f>
        <v>100.77306229523796</v>
      </c>
      <c r="K17" s="281">
        <f>[24]Brewhouse!$Q656</f>
        <v>8.2032667876588068</v>
      </c>
      <c r="L17" s="276">
        <f>[24]Brewhouse!$P656</f>
        <v>60</v>
      </c>
      <c r="M17" s="397">
        <f>[24]Brewhouse!$U656-[24]Brewhouse!$T656</f>
        <v>0.11388888888888882</v>
      </c>
      <c r="N17" s="370">
        <f>[24]Brewhouse!$Z656</f>
        <v>0.23541666666666661</v>
      </c>
      <c r="O17" s="371" t="str">
        <f>[24]Brewhouse!$AX656</f>
        <v>K.Benjamin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">
      <c r="B18" s="29" t="s">
        <v>6</v>
      </c>
      <c r="C18" s="366" t="str">
        <f>[24]Brewhouse!$A657</f>
        <v>CA549</v>
      </c>
      <c r="D18" s="279">
        <f>[24]Brewhouse!$AF657</f>
        <v>52.4</v>
      </c>
      <c r="E18" s="279">
        <f>[24]Brewhouse!$AI657</f>
        <v>50.5</v>
      </c>
      <c r="F18" s="278">
        <f>[24]Brewhouse!$V657</f>
        <v>55</v>
      </c>
      <c r="G18" s="279">
        <f>[24]Brewhouse!AG657</f>
        <v>11.9</v>
      </c>
      <c r="H18" s="396">
        <v>11.9</v>
      </c>
      <c r="I18" s="368">
        <f>[24]Brewhouse!$AU657</f>
        <v>97.615120353834655</v>
      </c>
      <c r="J18" s="368">
        <f>[24]Brewhouse!$AV657</f>
        <v>99.244906206353761</v>
      </c>
      <c r="K18" s="281">
        <f>[24]Brewhouse!$Q657</f>
        <v>8.2647584973166328</v>
      </c>
      <c r="L18" s="276">
        <f>[24]Brewhouse!$P657</f>
        <v>60</v>
      </c>
      <c r="M18" s="397">
        <f>[24]Brewhouse!$U657-[24]Brewhouse!$T657</f>
        <v>0.10555555555555562</v>
      </c>
      <c r="N18" s="370">
        <f>[24]Brewhouse!$Z657</f>
        <v>0.25069444444444455</v>
      </c>
      <c r="O18" s="371" t="str">
        <f>[24]Brewhouse!$AX657</f>
        <v>R. Regis</v>
      </c>
      <c r="P18" s="418" t="s">
        <v>176</v>
      </c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6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1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29"/>
      <c r="J32" s="529"/>
      <c r="K32" s="529"/>
      <c r="L32" s="529"/>
      <c r="M32" s="529"/>
      <c r="N32" s="529"/>
      <c r="O32" s="1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thickBot="1">
      <c r="B33" s="388" t="s">
        <v>162</v>
      </c>
      <c r="C33" s="388"/>
      <c r="D33" s="542" t="s">
        <v>35</v>
      </c>
      <c r="E33" s="543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customHeight="1">
      <c r="A34" s="28"/>
      <c r="B34" s="576" t="str">
        <f>I34</f>
        <v>CARIB</v>
      </c>
      <c r="C34" s="362">
        <f>[24]Process!D612</f>
        <v>12.2</v>
      </c>
      <c r="D34" s="533">
        <v>11.8</v>
      </c>
      <c r="E34" s="522"/>
      <c r="F34" s="294"/>
      <c r="G34" s="294"/>
      <c r="H34" s="348"/>
      <c r="I34" s="29" t="s">
        <v>6</v>
      </c>
      <c r="J34" s="280">
        <f>AVERAGE(I16:I18)</f>
        <v>97.679338009713902</v>
      </c>
      <c r="K34" s="284">
        <f>COUNTA([24]Brewhouse!$A$655:$A$657)</f>
        <v>3</v>
      </c>
      <c r="L34" s="305">
        <f>AVERAGE([24]Brewhouse!$AU$655:$AU$657)</f>
        <v>97.679338009713902</v>
      </c>
      <c r="M3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$657)</f>
        <v>97.877500714022062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12"/>
      <c r="C35" s="362">
        <f>[24]Process!D613</f>
        <v>12</v>
      </c>
      <c r="D35" s="534"/>
      <c r="E35" s="517"/>
      <c r="F35" s="294"/>
      <c r="G35" s="294"/>
      <c r="H35" s="348"/>
      <c r="I35" s="33" t="s">
        <v>9</v>
      </c>
      <c r="J35" s="280"/>
      <c r="K35" s="284">
        <f>COUNTA([22]Brewhouse!$A$324:$A$331)</f>
        <v>8</v>
      </c>
      <c r="L35" s="302">
        <f>AVERAGE([22]Brewhouse!$AS$324:$AS$331)</f>
        <v>98.450752429175239</v>
      </c>
      <c r="M35" s="302">
        <f>AVERAGE([22]Brewhouse!$AS$15:$AS$64,[22]Brewhouse!$AS$66:$AS$103,[22]Brewhouse!$AS$105:$AS$140,[22]Brewhouse!$AS$142:$AS$193,[22]Brewhouse!$AS$195:$AS$240,[22]Brewhouse!$AS$242:$AS$273,[22]Brewhouse!$AS$275:$AS$322,[22]Brewhouse!$AS$324:$AS$331)</f>
        <v>98.076073470997557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65" customHeight="1">
      <c r="A36" s="28"/>
      <c r="B36" s="512"/>
      <c r="C36" s="362">
        <f>[24]Process!D614</f>
        <v>12</v>
      </c>
      <c r="D36" s="533">
        <v>11.9</v>
      </c>
      <c r="E36" s="522"/>
      <c r="F36" s="294"/>
      <c r="G36" s="294"/>
      <c r="H36" s="348"/>
      <c r="I36" s="34" t="s">
        <v>12</v>
      </c>
      <c r="J36" s="280"/>
      <c r="K36" s="284"/>
      <c r="L36" s="302"/>
      <c r="M36" s="302">
        <f>AVERAGE([25]Brewhouse!$AU$4:$AU$7,[25]Brewhouse!$AU$9:$AU$22,[25]Brewhouse!$AU$24:$AU$35,[25]Brewhouse!$AU$37:$AU$45,[25]Brewhouse!$AU$47:$AU$62,[25]Brewhouse!$AU$64:$AU$79)</f>
        <v>97.0189196363294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65" customHeight="1">
      <c r="A37" s="28"/>
      <c r="B37" s="512"/>
      <c r="C37" s="362">
        <f>[24]Process!D615</f>
        <v>11.8</v>
      </c>
      <c r="D37" s="534"/>
      <c r="E37" s="517"/>
      <c r="F37" s="294"/>
      <c r="G37" s="294"/>
      <c r="H37" s="348"/>
      <c r="I37" s="22" t="s">
        <v>33</v>
      </c>
      <c r="J37" s="280">
        <f>AVERAGE(I10:I13)</f>
        <v>97.964622396575123</v>
      </c>
      <c r="K37" s="284">
        <f>COUNTA([26]Brewhouse!$A$64:$A$67)</f>
        <v>4</v>
      </c>
      <c r="L37" s="302">
        <f>AVERAGE([26]Brewhouse!$AV$64:$AV$67)</f>
        <v>97.964622396575123</v>
      </c>
      <c r="M37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65" customHeight="1">
      <c r="A38" s="28"/>
      <c r="B38" s="512"/>
      <c r="C38" s="362">
        <f>[24]Process!D616</f>
        <v>12</v>
      </c>
      <c r="D38" s="533">
        <v>11.92</v>
      </c>
      <c r="E38" s="522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65" customHeight="1">
      <c r="A39" s="28"/>
      <c r="B39" s="512"/>
      <c r="C39" s="362">
        <f>[24]Process!D617</f>
        <v>11.8</v>
      </c>
      <c r="D39" s="534"/>
      <c r="E39" s="517"/>
      <c r="F39" s="417"/>
      <c r="G39" s="294"/>
      <c r="H39" s="348"/>
      <c r="I39" s="36" t="s">
        <v>15</v>
      </c>
      <c r="J39" s="323"/>
      <c r="K39" s="284"/>
      <c r="L39" s="302"/>
      <c r="M39" s="302">
        <f>AVERAGE([27]Brewhouse!$AT$4:$AT$11,[27]Brewhouse!$AT$13:$AT$16,[27]Brewhouse!$AT$18:$AT$21,[27]Brewhouse!$AT$26)</f>
        <v>94.588057846623641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65" customHeight="1">
      <c r="A40" s="28"/>
      <c r="B40" s="512"/>
      <c r="C40" s="349">
        <f>[24]Process!D618</f>
        <v>12</v>
      </c>
      <c r="D40" s="533">
        <v>11.82</v>
      </c>
      <c r="E40" s="522"/>
      <c r="F40" s="417"/>
      <c r="G40" s="294"/>
      <c r="H40" s="348"/>
      <c r="I40" s="37" t="s">
        <v>16</v>
      </c>
      <c r="J40" s="323"/>
      <c r="K40" s="284"/>
      <c r="L40" s="302"/>
      <c r="M40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40" s="30">
        <v>98</v>
      </c>
      <c r="O40" s="11"/>
      <c r="P40" s="31" t="s">
        <v>41</v>
      </c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65" customHeight="1">
      <c r="A41" s="28"/>
      <c r="B41" s="512"/>
      <c r="C41" s="349">
        <f>[24]Process!D619</f>
        <v>11.7</v>
      </c>
      <c r="D41" s="534"/>
      <c r="E41" s="517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AVERAGE([28]Brewhouse!$AU$5:$AU$8,[28]Brewhouse!$AU$10:$AU$13)</f>
        <v>94.247666625193744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65" customHeight="1">
      <c r="A42" s="28"/>
      <c r="B42" s="512"/>
      <c r="C42" s="349">
        <f>[24]Process!D606</f>
        <v>12</v>
      </c>
      <c r="D42" s="533">
        <v>11.92</v>
      </c>
      <c r="E42" s="522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12"/>
      <c r="C43" s="349">
        <f>[24]Process!D607</f>
        <v>11.9</v>
      </c>
      <c r="D43" s="534"/>
      <c r="E43" s="517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12"/>
      <c r="C44" s="349">
        <f>[24]Process!D604</f>
        <v>12.1</v>
      </c>
      <c r="D44" s="533">
        <v>11.82</v>
      </c>
      <c r="E44" s="522"/>
      <c r="F44" s="294"/>
      <c r="G44" s="294"/>
      <c r="H44" s="348"/>
      <c r="I44" s="1"/>
      <c r="J44" s="39"/>
      <c r="K44" s="404">
        <f>SUM(K34:K43)</f>
        <v>15</v>
      </c>
      <c r="L44" s="405">
        <f>((L34*K34)+(L35*K35)+(L36*K36)+(L37*K37)+(L38*K38)+(K41*L41)+(L39*K39)+(L40*K40)+(L43*K43))/(K44)</f>
        <v>98.166834869922937</v>
      </c>
      <c r="M44" s="405">
        <f>AVERAGE('[31]Jan 31st'!$L$65,'[32]Feb 28th'!$L$35,'[33]Mar. 31st'!$L$35,'[34]Apr. 30th'!$L$45,'[35]May 30th'!$L$37,'[36]June 30th'!$L$57,L44)</f>
        <v>97.731249338140699</v>
      </c>
      <c r="N44" s="4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.75" thickBot="1">
      <c r="B45" s="513"/>
      <c r="C45" s="350">
        <f>[24]Process!D605</f>
        <v>12.1</v>
      </c>
      <c r="D45" s="534"/>
      <c r="E45" s="517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.75" thickBot="1">
      <c r="B46" s="511"/>
      <c r="C46" s="362"/>
      <c r="D46" s="514"/>
      <c r="E46" s="515"/>
      <c r="F46" s="294"/>
      <c r="G46" s="42"/>
      <c r="H46" s="41"/>
      <c r="I46" s="42"/>
      <c r="J46" s="569" t="s">
        <v>129</v>
      </c>
      <c r="K46" s="569"/>
      <c r="L46" s="294"/>
      <c r="M46" s="294"/>
      <c r="N46" s="294"/>
      <c r="O46" s="294"/>
      <c r="P46" s="12"/>
    </row>
    <row r="47" spans="1:27" ht="15.75" thickBot="1">
      <c r="B47" s="512"/>
      <c r="C47" s="362"/>
      <c r="D47" s="516"/>
      <c r="E47" s="517"/>
      <c r="F47" s="294"/>
      <c r="G47" s="42"/>
      <c r="H47" s="41"/>
      <c r="I47" s="42"/>
      <c r="J47" s="292" t="s">
        <v>17</v>
      </c>
      <c r="K47" s="293" t="s">
        <v>147</v>
      </c>
      <c r="L47" s="519" t="s">
        <v>136</v>
      </c>
      <c r="M47" s="519"/>
      <c r="N47" s="520"/>
      <c r="O47" s="294"/>
      <c r="P47" s="12"/>
    </row>
    <row r="48" spans="1:27" ht="15" customHeight="1" thickBot="1">
      <c r="B48" s="512"/>
      <c r="C48" s="349"/>
      <c r="D48" s="570"/>
      <c r="E48" s="571"/>
      <c r="F48" s="294"/>
      <c r="G48" s="42"/>
      <c r="H48" s="41"/>
      <c r="I48" s="42"/>
      <c r="J48" s="287" t="s">
        <v>6</v>
      </c>
      <c r="K48" s="324">
        <v>3</v>
      </c>
      <c r="L48" s="343" t="s">
        <v>37</v>
      </c>
      <c r="M48" s="307" t="s">
        <v>38</v>
      </c>
      <c r="N48" s="307" t="s">
        <v>84</v>
      </c>
      <c r="O48" s="294"/>
      <c r="P48" s="12"/>
    </row>
    <row r="49" spans="2:57" ht="15.75" customHeight="1" thickBot="1">
      <c r="B49" s="512"/>
      <c r="C49" s="349"/>
      <c r="D49" s="516"/>
      <c r="E49" s="517"/>
      <c r="F49" s="294"/>
      <c r="G49" s="42"/>
      <c r="H49" s="41"/>
      <c r="I49" s="42"/>
      <c r="J49" s="345" t="s">
        <v>9</v>
      </c>
      <c r="K49" s="324"/>
      <c r="L49" s="344">
        <f>AVERAGE('Aug 4th '!K58,K58)</f>
        <v>7.5</v>
      </c>
      <c r="M49" s="325">
        <f>AVERAGE('[31]Jan 29th '!$M$70,'[32]Feb 28th'!$L$40,'[33]Mar. 31st'!$L$40,'[34]Apr. 30th'!$L$50,'[35]May 30th'!$L$42,'[36]June 30th'!$L$62,'[37]July 29th '!$L$49,L49)</f>
        <v>6.9771146092656382</v>
      </c>
      <c r="N49" s="416">
        <v>9.1999999999999993</v>
      </c>
      <c r="O49" s="294"/>
      <c r="P49" s="12"/>
    </row>
    <row r="50" spans="2:57" ht="15" customHeight="1">
      <c r="B50" s="512"/>
      <c r="C50" s="349"/>
      <c r="D50" s="570"/>
      <c r="E50" s="571"/>
      <c r="F50" s="294"/>
      <c r="G50" s="42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12"/>
      <c r="C51" s="349"/>
      <c r="D51" s="516"/>
      <c r="E51" s="517"/>
      <c r="F51" s="294"/>
      <c r="G51" s="42"/>
      <c r="H51" s="41"/>
      <c r="I51" s="42"/>
      <c r="J51" s="289" t="s">
        <v>33</v>
      </c>
      <c r="K51" s="324">
        <v>4</v>
      </c>
      <c r="L51" s="294"/>
      <c r="M51" s="294"/>
      <c r="N51" s="294"/>
      <c r="O51" s="294"/>
      <c r="P51" s="12"/>
    </row>
    <row r="52" spans="2:57" ht="15">
      <c r="B52" s="512"/>
      <c r="C52" s="349"/>
      <c r="D52" s="570"/>
      <c r="E52" s="571"/>
      <c r="F52" s="294"/>
      <c r="G52" s="42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12"/>
      <c r="C53" s="349"/>
      <c r="D53" s="516"/>
      <c r="E53" s="517"/>
      <c r="F53" s="294"/>
      <c r="G53" s="42"/>
      <c r="H53" s="41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12"/>
      <c r="C54" s="349"/>
      <c r="D54" s="570"/>
      <c r="E54" s="571"/>
      <c r="F54" s="294"/>
      <c r="G54" s="42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13"/>
      <c r="C55" s="350"/>
      <c r="D55" s="572"/>
      <c r="E55" s="573"/>
      <c r="F55" s="294"/>
      <c r="G55" s="42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74">
        <f>AVERAGE(D34:E55)</f>
        <v>11.863333333333335</v>
      </c>
      <c r="E56" s="575"/>
      <c r="F56" s="294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1"/>
      <c r="I58" s="42"/>
      <c r="J58" s="346" t="s">
        <v>130</v>
      </c>
      <c r="K58" s="324">
        <f>SUM(K48:K57)</f>
        <v>7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495" t="s">
        <v>17</v>
      </c>
      <c r="C61" s="495" t="s">
        <v>44</v>
      </c>
      <c r="D61" s="507" t="s">
        <v>45</v>
      </c>
      <c r="E61" s="509" t="s">
        <v>46</v>
      </c>
      <c r="F61" s="503" t="s">
        <v>47</v>
      </c>
      <c r="G61" s="493" t="s">
        <v>48</v>
      </c>
      <c r="H61" s="495" t="s">
        <v>49</v>
      </c>
      <c r="I61" s="495" t="s">
        <v>50</v>
      </c>
      <c r="J61" s="487" t="s">
        <v>28</v>
      </c>
      <c r="K61" s="499" t="s">
        <v>51</v>
      </c>
      <c r="L61" s="501" t="s">
        <v>52</v>
      </c>
      <c r="M61" s="487" t="s">
        <v>53</v>
      </c>
      <c r="N61" s="13"/>
      <c r="O61" s="13"/>
      <c r="P61" s="50"/>
    </row>
    <row r="62" spans="2:57" ht="28.5" customHeight="1" thickTop="1" thickBot="1">
      <c r="B62" s="496"/>
      <c r="C62" s="496"/>
      <c r="D62" s="508"/>
      <c r="E62" s="510"/>
      <c r="F62" s="504"/>
      <c r="G62" s="494"/>
      <c r="H62" s="496"/>
      <c r="I62" s="496"/>
      <c r="J62" s="488"/>
      <c r="K62" s="500"/>
      <c r="L62" s="502"/>
      <c r="M62" s="488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7" s="54" customFormat="1" ht="59.45" customHeight="1" thickBot="1">
      <c r="B63" s="467" t="str">
        <f>B72</f>
        <v>CARIB</v>
      </c>
      <c r="C63" s="445">
        <v>45874</v>
      </c>
      <c r="D63" s="446">
        <f>[38]August_2025!$H$3</f>
        <v>607.4</v>
      </c>
      <c r="E63" s="447"/>
      <c r="F63" s="448"/>
      <c r="G63" s="449">
        <f>[38]August_2025!$H$7</f>
        <v>570.30000000000007</v>
      </c>
      <c r="H63" s="450"/>
      <c r="I63" s="451"/>
      <c r="J63" s="452" t="s">
        <v>169</v>
      </c>
      <c r="K63" s="453">
        <f>[39]August_2025!$H$18</f>
        <v>1.0005263157894737</v>
      </c>
      <c r="L63" s="466">
        <f>(((D63+E63)-G63)/(D63+E63))*100</f>
        <v>6.1080013170892178</v>
      </c>
      <c r="M63" s="465" t="s">
        <v>175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45" customHeight="1">
      <c r="B64" s="457"/>
      <c r="C64" s="434"/>
      <c r="D64" s="435"/>
      <c r="E64" s="436"/>
      <c r="F64" s="437"/>
      <c r="G64" s="438"/>
      <c r="H64" s="439"/>
      <c r="I64" s="454"/>
      <c r="J64" s="455"/>
      <c r="K64" s="440"/>
      <c r="L64" s="456"/>
      <c r="M64" s="42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9" hidden="1" customHeight="1" thickBot="1">
      <c r="B65" s="420"/>
      <c r="C65" s="445">
        <v>45874</v>
      </c>
      <c r="D65" s="446"/>
      <c r="E65" s="447"/>
      <c r="F65" s="448"/>
      <c r="G65" s="449"/>
      <c r="H65" s="450"/>
      <c r="I65" s="451"/>
      <c r="J65" s="452" t="s">
        <v>163</v>
      </c>
      <c r="K65" s="453"/>
      <c r="L65" s="464" t="e">
        <f>(((D65+E65)-G65)/(D65+E65))*100</f>
        <v>#DIV/0!</v>
      </c>
      <c r="M65" s="46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>
      <c r="B66" s="458"/>
      <c r="C66" s="434"/>
      <c r="D66" s="435"/>
      <c r="E66" s="436"/>
      <c r="F66" s="437"/>
      <c r="G66" s="438"/>
      <c r="H66" s="439"/>
      <c r="I66" s="454"/>
      <c r="J66" s="455"/>
      <c r="K66" s="440"/>
      <c r="L66" s="456"/>
      <c r="M66" s="42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6.6" hidden="1" customHeight="1" thickBot="1">
      <c r="B67" s="387"/>
      <c r="C67" s="445">
        <v>45873</v>
      </c>
      <c r="D67" s="446"/>
      <c r="E67" s="447"/>
      <c r="F67" s="448"/>
      <c r="G67" s="449"/>
      <c r="H67" s="450"/>
      <c r="I67" s="451"/>
      <c r="J67" s="452" t="s">
        <v>163</v>
      </c>
      <c r="K67" s="453"/>
      <c r="L67" s="459" t="e">
        <f>(((D67+E67)-G67)/(D67+E67))*100</f>
        <v>#DIV/0!</v>
      </c>
      <c r="M67" s="46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41"/>
      <c r="C68" s="427"/>
      <c r="D68" s="428"/>
      <c r="E68" s="429"/>
      <c r="F68" s="430"/>
      <c r="G68" s="431"/>
      <c r="H68" s="432"/>
      <c r="I68" s="442"/>
      <c r="J68" s="443"/>
      <c r="K68" s="433"/>
      <c r="L68" s="444"/>
      <c r="M68" s="426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489" t="s">
        <v>55</v>
      </c>
      <c r="C70" s="490"/>
      <c r="D70" s="490"/>
      <c r="E70" s="490"/>
      <c r="F70" s="491"/>
      <c r="G70" s="489" t="s">
        <v>56</v>
      </c>
      <c r="H70" s="490"/>
      <c r="I70" s="490"/>
      <c r="J70" s="491"/>
      <c r="K70" s="489" t="s">
        <v>51</v>
      </c>
      <c r="L70" s="490"/>
      <c r="M70" s="490"/>
      <c r="N70" s="492"/>
      <c r="O70" s="56"/>
      <c r="P70" s="50"/>
    </row>
    <row r="71" spans="2:57" ht="15">
      <c r="B71" s="61" t="s">
        <v>17</v>
      </c>
      <c r="C71" s="62" t="s">
        <v>36</v>
      </c>
      <c r="D71" s="62"/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65">
        <f>L63</f>
        <v>6.1080013170892178</v>
      </c>
      <c r="D72" s="76">
        <v>5.3814311058545155</v>
      </c>
      <c r="E72" s="76">
        <v>6.3156823154923822</v>
      </c>
      <c r="F72" s="66">
        <v>4.8</v>
      </c>
      <c r="G72" s="65">
        <f>[38]August_2025!$H$11</f>
        <v>7.0829182363207153</v>
      </c>
      <c r="H72" s="76">
        <v>6.1846617295237811</v>
      </c>
      <c r="I72" s="76">
        <v>6.1784093545484549</v>
      </c>
      <c r="J72" s="66">
        <v>4.8</v>
      </c>
      <c r="K72" s="67">
        <f>K63</f>
        <v>1.0005263157894737</v>
      </c>
      <c r="L72" s="194">
        <v>0.84210526315789469</v>
      </c>
      <c r="M72" s="194">
        <v>0.74175772252090733</v>
      </c>
      <c r="N72" s="68">
        <v>1</v>
      </c>
      <c r="O72" s="56"/>
      <c r="P72" s="69"/>
    </row>
    <row r="73" spans="2:57" ht="15">
      <c r="B73" s="33" t="s">
        <v>9</v>
      </c>
      <c r="C73" s="65"/>
      <c r="D73" s="76"/>
      <c r="E73" s="76">
        <v>5.9419799243536175</v>
      </c>
      <c r="F73" s="66">
        <v>4.8</v>
      </c>
      <c r="G73" s="65"/>
      <c r="H73" s="76"/>
      <c r="I73" s="76">
        <v>5.5277535995776326</v>
      </c>
      <c r="J73" s="66">
        <v>4.8</v>
      </c>
      <c r="K73" s="67"/>
      <c r="L73" s="194"/>
      <c r="M73" s="194">
        <v>0.75853637615238823</v>
      </c>
      <c r="N73" s="68">
        <v>1</v>
      </c>
      <c r="P73" s="69"/>
    </row>
    <row r="74" spans="2:57" ht="15">
      <c r="B74" s="34" t="s">
        <v>40</v>
      </c>
      <c r="C74" s="65"/>
      <c r="D74" s="76"/>
      <c r="E74" s="76">
        <v>11.810347142051688</v>
      </c>
      <c r="F74" s="66">
        <v>5.5</v>
      </c>
      <c r="G74" s="65"/>
      <c r="H74" s="76"/>
      <c r="I74" s="76">
        <v>13.346478504717604</v>
      </c>
      <c r="J74" s="66">
        <v>5.5</v>
      </c>
      <c r="K74" s="67"/>
      <c r="L74" s="194"/>
      <c r="M74" s="194">
        <v>0.54343799368088475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5.119233255999676</v>
      </c>
      <c r="F75" s="66">
        <v>3.3</v>
      </c>
      <c r="G75" s="65"/>
      <c r="H75" s="76"/>
      <c r="I75" s="76">
        <v>4.8747400258857825</v>
      </c>
      <c r="J75" s="66">
        <v>3.3</v>
      </c>
      <c r="K75" s="67"/>
      <c r="L75" s="194"/>
      <c r="M75" s="194">
        <v>0.77839364035087721</v>
      </c>
      <c r="N75" s="68">
        <v>1</v>
      </c>
      <c r="P75" s="69"/>
    </row>
    <row r="76" spans="2:57" ht="15">
      <c r="B76" s="35" t="s">
        <v>165</v>
      </c>
      <c r="C76" s="65"/>
      <c r="D76" s="76"/>
      <c r="E76" s="76">
        <v>7.837301587301579</v>
      </c>
      <c r="F76" s="66">
        <v>3.3</v>
      </c>
      <c r="G76" s="282"/>
      <c r="H76" s="76"/>
      <c r="I76" s="76">
        <v>5.3377569154690221</v>
      </c>
      <c r="J76" s="66">
        <v>3</v>
      </c>
      <c r="K76" s="67"/>
      <c r="L76" s="194"/>
      <c r="M76" s="194">
        <v>0.32596491228070179</v>
      </c>
      <c r="N76" s="68">
        <v>1</v>
      </c>
      <c r="P76" s="69"/>
    </row>
    <row r="77" spans="2:57" ht="15">
      <c r="B77" s="36" t="s">
        <v>15</v>
      </c>
      <c r="C77" s="282"/>
      <c r="D77" s="76"/>
      <c r="E77" s="76">
        <v>7.3129862357869699</v>
      </c>
      <c r="F77" s="70">
        <f>[21]May_2022!$M$43</f>
        <v>3.4878406700073312</v>
      </c>
      <c r="G77" s="282"/>
      <c r="H77" s="76"/>
      <c r="I77" s="76">
        <v>8.9862703283331644</v>
      </c>
      <c r="J77" s="66">
        <v>5.5</v>
      </c>
      <c r="K77" s="67"/>
      <c r="L77" s="194"/>
      <c r="M77" s="194">
        <v>0.59276315789473688</v>
      </c>
      <c r="N77" s="68">
        <v>1</v>
      </c>
      <c r="P77" s="69"/>
    </row>
    <row r="78" spans="2:57" ht="15">
      <c r="B78" s="37" t="s">
        <v>16</v>
      </c>
      <c r="C78" s="65"/>
      <c r="D78" s="76">
        <v>3.8383838383838214</v>
      </c>
      <c r="E78" s="76">
        <v>3.0206926869092796</v>
      </c>
      <c r="F78" s="66">
        <v>3.3</v>
      </c>
      <c r="G78" s="282"/>
      <c r="H78" s="76">
        <v>6.7477320980505571</v>
      </c>
      <c r="I78" s="76">
        <v>4.4881222182352793</v>
      </c>
      <c r="J78" s="66">
        <v>3.3</v>
      </c>
      <c r="K78" s="67"/>
      <c r="L78" s="194">
        <v>0.3340350877192983</v>
      </c>
      <c r="M78" s="194">
        <v>0.80384787472035779</v>
      </c>
      <c r="N78" s="71">
        <v>1</v>
      </c>
      <c r="P78" s="69"/>
    </row>
    <row r="79" spans="2:57" ht="15.75" thickBot="1">
      <c r="B79" s="38" t="s">
        <v>164</v>
      </c>
      <c r="C79" s="65"/>
      <c r="D79" s="76"/>
      <c r="E79" s="76">
        <v>11.483253588516746</v>
      </c>
      <c r="F79" s="66">
        <v>7.5</v>
      </c>
      <c r="G79" s="282"/>
      <c r="H79" s="76"/>
      <c r="I79" s="76">
        <v>9.7934336121043764</v>
      </c>
      <c r="J79" s="66">
        <v>7.5</v>
      </c>
      <c r="K79" s="67"/>
      <c r="L79" s="194"/>
      <c r="M79" s="194">
        <v>0.32456140350877194</v>
      </c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>
        <v>7.2653644592663174</v>
      </c>
      <c r="F80" s="66">
        <v>4.8</v>
      </c>
      <c r="G80" s="282"/>
      <c r="H80" s="76"/>
      <c r="I80" s="76">
        <v>8.1715311054411259</v>
      </c>
      <c r="J80" s="66">
        <v>4.8</v>
      </c>
      <c r="K80" s="67"/>
      <c r="L80" s="194"/>
      <c r="M80" s="194">
        <v>0.51368421052631585</v>
      </c>
      <c r="N80" s="71">
        <v>1</v>
      </c>
      <c r="O80" s="74"/>
      <c r="P80" s="75"/>
    </row>
    <row r="81" spans="4:14" ht="15">
      <c r="D81" s="76">
        <v>5.2442528735632061</v>
      </c>
      <c r="E81" s="76">
        <v>6.376740594200113</v>
      </c>
      <c r="F81" s="341">
        <v>5.5</v>
      </c>
      <c r="H81" s="76">
        <v>6.2569141658254921</v>
      </c>
      <c r="I81" s="76">
        <v>6.5710979115771089</v>
      </c>
      <c r="J81" s="341">
        <v>5.5</v>
      </c>
      <c r="L81" s="194">
        <v>0.67274853801169598</v>
      </c>
      <c r="M81" s="194">
        <v>0.72132624431012615</v>
      </c>
      <c r="N81" s="386">
        <v>1</v>
      </c>
    </row>
    <row r="85" spans="4:14">
      <c r="F85" s="315"/>
    </row>
    <row r="86" spans="4:14" ht="15">
      <c r="F86" s="341"/>
    </row>
  </sheetData>
  <mergeCells count="51">
    <mergeCell ref="M61:M62"/>
    <mergeCell ref="B70:F70"/>
    <mergeCell ref="G70:J70"/>
    <mergeCell ref="K70:N70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2703" priority="141" operator="notBetween">
      <formula>#REF!</formula>
      <formula>#REF!</formula>
    </cfRule>
  </conditionalFormatting>
  <conditionalFormatting sqref="C60">
    <cfRule type="cellIs" dxfId="2702" priority="173" stopIfTrue="1" operator="greaterThan">
      <formula>100</formula>
    </cfRule>
    <cfRule type="cellIs" dxfId="2701" priority="172" stopIfTrue="1" operator="lessThan">
      <formula>96</formula>
    </cfRule>
  </conditionalFormatting>
  <conditionalFormatting sqref="C72:C73">
    <cfRule type="cellIs" dxfId="2700" priority="120" stopIfTrue="1" operator="lessThanOrEqual">
      <formula>0</formula>
    </cfRule>
  </conditionalFormatting>
  <conditionalFormatting sqref="C72:C76">
    <cfRule type="cellIs" dxfId="2699" priority="119" stopIfTrue="1" operator="greaterThan">
      <formula>$F72</formula>
    </cfRule>
  </conditionalFormatting>
  <conditionalFormatting sqref="C73">
    <cfRule type="cellIs" dxfId="2698" priority="176" stopIfTrue="1" operator="greaterThan">
      <formula>$F72</formula>
    </cfRule>
  </conditionalFormatting>
  <conditionalFormatting sqref="C74:C77">
    <cfRule type="cellIs" dxfId="2697" priority="126" stopIfTrue="1" operator="lessThanOrEqual">
      <formula>0</formula>
    </cfRule>
  </conditionalFormatting>
  <conditionalFormatting sqref="C77">
    <cfRule type="cellIs" dxfId="2696" priority="125" stopIfTrue="1" operator="greaterThan">
      <formula>$J77</formula>
    </cfRule>
  </conditionalFormatting>
  <conditionalFormatting sqref="C83:C87">
    <cfRule type="cellIs" dxfId="2695" priority="164" stopIfTrue="1" operator="lessThanOrEqual">
      <formula>0</formula>
    </cfRule>
  </conditionalFormatting>
  <conditionalFormatting sqref="C84:C87">
    <cfRule type="cellIs" dxfId="2694" priority="163" stopIfTrue="1" operator="greaterThan">
      <formula>$F$83</formula>
    </cfRule>
  </conditionalFormatting>
  <conditionalFormatting sqref="C89">
    <cfRule type="cellIs" dxfId="2693" priority="166" stopIfTrue="1" operator="lessThanOrEqual">
      <formula>0</formula>
    </cfRule>
    <cfRule type="cellIs" dxfId="2692" priority="165" stopIfTrue="1" operator="greaterThan">
      <formula>$F$83</formula>
    </cfRule>
  </conditionalFormatting>
  <conditionalFormatting sqref="C83:D83 D85:D91">
    <cfRule type="cellIs" dxfId="2691" priority="158" stopIfTrue="1" operator="greaterThan">
      <formula>4.5</formula>
    </cfRule>
  </conditionalFormatting>
  <conditionalFormatting sqref="D56:D57">
    <cfRule type="cellIs" dxfId="2690" priority="142" operator="notBetween">
      <formula>#REF!</formula>
      <formula>#REF!</formula>
    </cfRule>
  </conditionalFormatting>
  <conditionalFormatting sqref="D72:D79">
    <cfRule type="cellIs" dxfId="2689" priority="136" stopIfTrue="1" operator="lessThanOrEqual">
      <formula>0</formula>
    </cfRule>
  </conditionalFormatting>
  <conditionalFormatting sqref="D80">
    <cfRule type="cellIs" dxfId="2688" priority="135" stopIfTrue="1" operator="lessThanOrEqual">
      <formula>0</formula>
    </cfRule>
  </conditionalFormatting>
  <conditionalFormatting sqref="D83 D85:D91">
    <cfRule type="cellIs" dxfId="2687" priority="159" stopIfTrue="1" operator="lessThanOrEqual">
      <formula>0</formula>
    </cfRule>
  </conditionalFormatting>
  <conditionalFormatting sqref="D84">
    <cfRule type="cellIs" dxfId="2686" priority="151" stopIfTrue="1" operator="lessThanOrEqual">
      <formula>0</formula>
    </cfRule>
    <cfRule type="cellIs" dxfId="2685" priority="150" stopIfTrue="1" operator="greaterThan">
      <formula>$F$83</formula>
    </cfRule>
  </conditionalFormatting>
  <conditionalFormatting sqref="D72:E81">
    <cfRule type="cellIs" dxfId="2684" priority="116" stopIfTrue="1" operator="greaterThan">
      <formula>$F72</formula>
    </cfRule>
  </conditionalFormatting>
  <conditionalFormatting sqref="D81:E81">
    <cfRule type="cellIs" dxfId="2683" priority="117" stopIfTrue="1" operator="lessThanOrEqual">
      <formula>0</formula>
    </cfRule>
  </conditionalFormatting>
  <conditionalFormatting sqref="E10:E31">
    <cfRule type="cellIs" dxfId="2682" priority="7" operator="lessThan">
      <formula>48</formula>
    </cfRule>
  </conditionalFormatting>
  <conditionalFormatting sqref="E59 E60:F60">
    <cfRule type="cellIs" dxfId="2681" priority="155" stopIfTrue="1" operator="greaterThan">
      <formula>100</formula>
    </cfRule>
  </conditionalFormatting>
  <conditionalFormatting sqref="E60">
    <cfRule type="cellIs" dxfId="2680" priority="153" stopIfTrue="1" operator="greaterThan">
      <formula>100</formula>
    </cfRule>
    <cfRule type="cellIs" dxfId="2679" priority="152" stopIfTrue="1" operator="lessThan">
      <formula>96.8</formula>
    </cfRule>
  </conditionalFormatting>
  <conditionalFormatting sqref="E72:E80">
    <cfRule type="cellIs" dxfId="2678" priority="130" stopIfTrue="1" operator="lessThanOrEqual">
      <formula>0</formula>
    </cfRule>
  </conditionalFormatting>
  <conditionalFormatting sqref="E83:E91">
    <cfRule type="cellIs" dxfId="2677" priority="145" stopIfTrue="1" operator="lessThanOrEqual">
      <formula>0</formula>
    </cfRule>
    <cfRule type="cellIs" dxfId="2676" priority="144" stopIfTrue="1" operator="greaterThan">
      <formula>4.5</formula>
    </cfRule>
  </conditionalFormatting>
  <conditionalFormatting sqref="E60:F60 E59">
    <cfRule type="cellIs" dxfId="2675" priority="154" stopIfTrue="1" operator="lessThan">
      <formula>96.5</formula>
    </cfRule>
  </conditionalFormatting>
  <conditionalFormatting sqref="F10:F31">
    <cfRule type="cellIs" dxfId="2674" priority="8" operator="greaterThan">
      <formula>60</formula>
    </cfRule>
  </conditionalFormatting>
  <conditionalFormatting sqref="F60">
    <cfRule type="cellIs" dxfId="2673" priority="171" stopIfTrue="1" operator="greaterThan">
      <formula>100</formula>
    </cfRule>
    <cfRule type="cellIs" dxfId="2672" priority="170" stopIfTrue="1" operator="lessThan">
      <formula>96.8</formula>
    </cfRule>
  </conditionalFormatting>
  <conditionalFormatting sqref="F81">
    <cfRule type="cellIs" dxfId="2671" priority="131" stopIfTrue="1" operator="greaterThan">
      <formula>$F81</formula>
    </cfRule>
    <cfRule type="cellIs" dxfId="2670" priority="132" stopIfTrue="1" operator="lessThanOrEqual">
      <formula>0</formula>
    </cfRule>
  </conditionalFormatting>
  <conditionalFormatting sqref="F86">
    <cfRule type="cellIs" dxfId="2669" priority="87" stopIfTrue="1" operator="lessThanOrEqual">
      <formula>0</formula>
    </cfRule>
    <cfRule type="cellIs" dxfId="2668" priority="86" stopIfTrue="1" operator="greaterThan">
      <formula>$F86</formula>
    </cfRule>
  </conditionalFormatting>
  <conditionalFormatting sqref="G10:G13">
    <cfRule type="expression" dxfId="2667" priority="23">
      <formula>IF(+(IF(G10&lt;$S$10,0,IF(G10&gt;$T$10,0,1)))=0,1)</formula>
    </cfRule>
  </conditionalFormatting>
  <conditionalFormatting sqref="G72:G73 C78:C80">
    <cfRule type="cellIs" dxfId="2666" priority="137" stopIfTrue="1" operator="greaterThan">
      <formula>$F72</formula>
    </cfRule>
    <cfRule type="cellIs" dxfId="2665" priority="138" stopIfTrue="1" operator="lessThanOrEqual">
      <formula>0</formula>
    </cfRule>
  </conditionalFormatting>
  <conditionalFormatting sqref="G72:G73">
    <cfRule type="cellIs" dxfId="2664" priority="121" stopIfTrue="1" operator="greaterThan">
      <formula>$F72</formula>
    </cfRule>
    <cfRule type="cellIs" dxfId="2663" priority="122" stopIfTrue="1" operator="lessThanOrEqual">
      <formula>0</formula>
    </cfRule>
  </conditionalFormatting>
  <conditionalFormatting sqref="G74">
    <cfRule type="cellIs" dxfId="2662" priority="174" stopIfTrue="1" operator="greaterThan">
      <formula>$F73</formula>
    </cfRule>
    <cfRule type="cellIs" dxfId="2661" priority="175" stopIfTrue="1" operator="lessThanOrEqual">
      <formula>0</formula>
    </cfRule>
  </conditionalFormatting>
  <conditionalFormatting sqref="G75">
    <cfRule type="cellIs" dxfId="2660" priority="134" stopIfTrue="1" operator="lessThanOrEqual">
      <formula>0</formula>
    </cfRule>
    <cfRule type="cellIs" dxfId="2659" priority="133" stopIfTrue="1" operator="greaterThan">
      <formula>$F75</formula>
    </cfRule>
  </conditionalFormatting>
  <conditionalFormatting sqref="G76:G80">
    <cfRule type="cellIs" dxfId="2658" priority="140" stopIfTrue="1" operator="lessThanOrEqual">
      <formula>0</formula>
    </cfRule>
    <cfRule type="cellIs" dxfId="2657" priority="139" stopIfTrue="1" operator="greaterThan">
      <formula>$J76</formula>
    </cfRule>
  </conditionalFormatting>
  <conditionalFormatting sqref="G85:G90 C88 C90">
    <cfRule type="cellIs" dxfId="2656" priority="167" stopIfTrue="1" operator="greaterThan">
      <formula>4.5</formula>
    </cfRule>
    <cfRule type="cellIs" dxfId="2655" priority="168" stopIfTrue="1" operator="lessThanOrEqual">
      <formula>0</formula>
    </cfRule>
  </conditionalFormatting>
  <conditionalFormatting sqref="G14:H31">
    <cfRule type="expression" dxfId="2654" priority="6">
      <formula>IF(+(IF(G14&lt;#REF!,0,IF(G14&gt;#REF!,0,1)))=0,1)</formula>
    </cfRule>
  </conditionalFormatting>
  <conditionalFormatting sqref="G84:H84">
    <cfRule type="cellIs" dxfId="2653" priority="148" stopIfTrue="1" operator="greaterThan">
      <formula>$F$83</formula>
    </cfRule>
    <cfRule type="cellIs" dxfId="2652" priority="149" stopIfTrue="1" operator="lessThanOrEqual">
      <formula>0</formula>
    </cfRule>
  </conditionalFormatting>
  <conditionalFormatting sqref="H10:H13">
    <cfRule type="expression" dxfId="2651" priority="24">
      <formula>IF(+(IF(H10&lt;#REF!,0,IF(H10&gt;#REF!,0,1)))=0,1)</formula>
    </cfRule>
  </conditionalFormatting>
  <conditionalFormatting sqref="H45:H59">
    <cfRule type="cellIs" dxfId="2650" priority="146" stopIfTrue="1" operator="greaterThan">
      <formula>0</formula>
    </cfRule>
  </conditionalFormatting>
  <conditionalFormatting sqref="H63">
    <cfRule type="cellIs" dxfId="2649" priority="53" stopIfTrue="1" operator="lessThanOrEqual">
      <formula>0</formula>
    </cfRule>
    <cfRule type="cellIs" dxfId="2648" priority="52" stopIfTrue="1" operator="greaterThan">
      <formula>$F$28</formula>
    </cfRule>
    <cfRule type="cellIs" dxfId="2647" priority="51" stopIfTrue="1" operator="lessThanOrEqual">
      <formula>0</formula>
    </cfRule>
    <cfRule type="cellIs" dxfId="2646" priority="50" stopIfTrue="1" operator="greaterThan">
      <formula>$F$30</formula>
    </cfRule>
    <cfRule type="cellIs" dxfId="2645" priority="42" stopIfTrue="1" operator="greaterThan">
      <formula>$F$27</formula>
    </cfRule>
    <cfRule type="cellIs" dxfId="2644" priority="41" stopIfTrue="1" operator="lessThanOrEqual">
      <formula>0</formula>
    </cfRule>
  </conditionalFormatting>
  <conditionalFormatting sqref="H64">
    <cfRule type="cellIs" dxfId="2643" priority="73" stopIfTrue="1" operator="lessThanOrEqual">
      <formula>0</formula>
    </cfRule>
    <cfRule type="cellIs" dxfId="2642" priority="74" stopIfTrue="1" operator="greaterThan">
      <formula>$F$29</formula>
    </cfRule>
    <cfRule type="cellIs" dxfId="2641" priority="82" stopIfTrue="1" operator="greaterThan">
      <formula>$F$32</formula>
    </cfRule>
    <cfRule type="cellIs" dxfId="2640" priority="83" stopIfTrue="1" operator="lessThanOrEqual">
      <formula>0</formula>
    </cfRule>
    <cfRule type="cellIs" dxfId="2639" priority="84" stopIfTrue="1" operator="greaterThan">
      <formula>$F$30</formula>
    </cfRule>
    <cfRule type="cellIs" dxfId="2638" priority="85" stopIfTrue="1" operator="lessThanOrEqual">
      <formula>0</formula>
    </cfRule>
  </conditionalFormatting>
  <conditionalFormatting sqref="H65:H67">
    <cfRule type="cellIs" dxfId="2637" priority="68" stopIfTrue="1" operator="greaterThan">
      <formula>$F$31</formula>
    </cfRule>
    <cfRule type="cellIs" dxfId="2636" priority="69" stopIfTrue="1" operator="lessThanOrEqual">
      <formula>0</formula>
    </cfRule>
    <cfRule type="cellIs" dxfId="2635" priority="70" stopIfTrue="1" operator="greaterThan">
      <formula>$F$29</formula>
    </cfRule>
    <cfRule type="cellIs" dxfId="2634" priority="71" stopIfTrue="1" operator="lessThanOrEqual">
      <formula>0</formula>
    </cfRule>
    <cfRule type="cellIs" dxfId="2633" priority="59" stopIfTrue="1" operator="lessThanOrEqual">
      <formula>0</formula>
    </cfRule>
    <cfRule type="cellIs" dxfId="2632" priority="60" stopIfTrue="1" operator="greaterThan">
      <formula>$F$28</formula>
    </cfRule>
  </conditionalFormatting>
  <conditionalFormatting sqref="H68">
    <cfRule type="cellIs" dxfId="2631" priority="101" stopIfTrue="1" operator="greaterThan">
      <formula>$F$45</formula>
    </cfRule>
    <cfRule type="cellIs" dxfId="2630" priority="102" stopIfTrue="1" operator="lessThanOrEqual">
      <formula>0</formula>
    </cfRule>
    <cfRule type="cellIs" dxfId="2629" priority="90" stopIfTrue="1" operator="lessThanOrEqual">
      <formula>0</formula>
    </cfRule>
    <cfRule type="cellIs" dxfId="2628" priority="91" stopIfTrue="1" operator="greaterThan">
      <formula>$F$44</formula>
    </cfRule>
    <cfRule type="cellIs" dxfId="2627" priority="99" stopIfTrue="1" operator="greaterThan">
      <formula>$F$47</formula>
    </cfRule>
    <cfRule type="cellIs" dxfId="2626" priority="100" stopIfTrue="1" operator="lessThanOrEqual">
      <formula>0</formula>
    </cfRule>
  </conditionalFormatting>
  <conditionalFormatting sqref="H72:H79">
    <cfRule type="cellIs" dxfId="2625" priority="123" stopIfTrue="1" operator="greaterThan">
      <formula>$J72</formula>
    </cfRule>
    <cfRule type="cellIs" dxfId="2624" priority="124" stopIfTrue="1" operator="lessThanOrEqual">
      <formula>0</formula>
    </cfRule>
  </conditionalFormatting>
  <conditionalFormatting sqref="H80">
    <cfRule type="cellIs" dxfId="2623" priority="127" operator="greaterThan">
      <formula>5.3</formula>
    </cfRule>
  </conditionalFormatting>
  <conditionalFormatting sqref="H83 H85:H91">
    <cfRule type="cellIs" dxfId="2622" priority="161" stopIfTrue="1" operator="lessThanOrEqual">
      <formula>0</formula>
    </cfRule>
    <cfRule type="cellIs" dxfId="2621" priority="160" stopIfTrue="1" operator="greaterThan">
      <formula>4.5</formula>
    </cfRule>
  </conditionalFormatting>
  <conditionalFormatting sqref="H63:I63">
    <cfRule type="cellIs" dxfId="2620" priority="40" stopIfTrue="1" operator="greaterThan">
      <formula>$F$29</formula>
    </cfRule>
    <cfRule type="cellIs" dxfId="2619" priority="43" stopIfTrue="1" operator="lessThanOrEqual">
      <formula>0</formula>
    </cfRule>
  </conditionalFormatting>
  <conditionalFormatting sqref="H64:I64">
    <cfRule type="cellIs" dxfId="2618" priority="72" stopIfTrue="1" operator="greaterThan">
      <formula>$F$31</formula>
    </cfRule>
    <cfRule type="cellIs" dxfId="2617" priority="75" stopIfTrue="1" operator="lessThanOrEqual">
      <formula>0</formula>
    </cfRule>
  </conditionalFormatting>
  <conditionalFormatting sqref="H65:I67">
    <cfRule type="cellIs" dxfId="2616" priority="61" stopIfTrue="1" operator="lessThanOrEqual">
      <formula>0</formula>
    </cfRule>
    <cfRule type="cellIs" dxfId="2615" priority="58" stopIfTrue="1" operator="greaterThan">
      <formula>$F$30</formula>
    </cfRule>
  </conditionalFormatting>
  <conditionalFormatting sqref="H68:I68">
    <cfRule type="cellIs" dxfId="2614" priority="92" stopIfTrue="1" operator="lessThanOrEqual">
      <formula>0</formula>
    </cfRule>
    <cfRule type="cellIs" dxfId="2613" priority="89" stopIfTrue="1" operator="greaterThan">
      <formula>$F$46</formula>
    </cfRule>
  </conditionalFormatting>
  <conditionalFormatting sqref="H81:I81">
    <cfRule type="cellIs" dxfId="2612" priority="114" stopIfTrue="1" operator="greaterThan">
      <formula>$J81</formula>
    </cfRule>
    <cfRule type="cellIs" dxfId="2611" priority="115" stopIfTrue="1" operator="lessThanOrEqual">
      <formula>0</formula>
    </cfRule>
  </conditionalFormatting>
  <conditionalFormatting sqref="I63">
    <cfRule type="cellIs" dxfId="2610" priority="45" stopIfTrue="1" operator="lessThanOrEqual">
      <formula>0</formula>
    </cfRule>
    <cfRule type="cellIs" dxfId="2609" priority="46" stopIfTrue="1" operator="greaterThan">
      <formula>$F$29</formula>
    </cfRule>
    <cfRule type="cellIs" dxfId="2608" priority="47" stopIfTrue="1" operator="lessThanOrEqual">
      <formula>0</formula>
    </cfRule>
    <cfRule type="cellIs" dxfId="2607" priority="48" stopIfTrue="1" operator="greaterThan">
      <formula>$F$27</formula>
    </cfRule>
    <cfRule type="cellIs" dxfId="2606" priority="49" stopIfTrue="1" operator="lessThanOrEqual">
      <formula>0</formula>
    </cfRule>
    <cfRule type="cellIs" dxfId="2605" priority="44" stopIfTrue="1" operator="greaterThan">
      <formula>$F$27</formula>
    </cfRule>
  </conditionalFormatting>
  <conditionalFormatting sqref="I64">
    <cfRule type="cellIs" dxfId="2604" priority="80" stopIfTrue="1" operator="greaterThan">
      <formula>$F$29</formula>
    </cfRule>
    <cfRule type="cellIs" dxfId="2603" priority="79" stopIfTrue="1" operator="lessThanOrEqual">
      <formula>0</formula>
    </cfRule>
    <cfRule type="cellIs" dxfId="2602" priority="78" stopIfTrue="1" operator="greaterThan">
      <formula>$F$31</formula>
    </cfRule>
    <cfRule type="cellIs" dxfId="2601" priority="77" stopIfTrue="1" operator="lessThanOrEqual">
      <formula>0</formula>
    </cfRule>
    <cfRule type="cellIs" dxfId="2600" priority="76" stopIfTrue="1" operator="greaterThan">
      <formula>$F$29</formula>
    </cfRule>
    <cfRule type="cellIs" dxfId="2599" priority="81" stopIfTrue="1" operator="lessThanOrEqual">
      <formula>0</formula>
    </cfRule>
  </conditionalFormatting>
  <conditionalFormatting sqref="I65:I67">
    <cfRule type="cellIs" dxfId="2598" priority="66" stopIfTrue="1" operator="greaterThan">
      <formula>$F$28</formula>
    </cfRule>
    <cfRule type="cellIs" dxfId="2597" priority="65" stopIfTrue="1" operator="lessThanOrEqual">
      <formula>0</formula>
    </cfRule>
    <cfRule type="cellIs" dxfId="2596" priority="64" stopIfTrue="1" operator="greaterThan">
      <formula>$F$30</formula>
    </cfRule>
    <cfRule type="cellIs" dxfId="2595" priority="63" stopIfTrue="1" operator="lessThanOrEqual">
      <formula>0</formula>
    </cfRule>
    <cfRule type="cellIs" dxfId="2594" priority="62" stopIfTrue="1" operator="greaterThan">
      <formula>$F$28</formula>
    </cfRule>
    <cfRule type="cellIs" dxfId="2593" priority="67" stopIfTrue="1" operator="lessThanOrEqual">
      <formula>0</formula>
    </cfRule>
  </conditionalFormatting>
  <conditionalFormatting sqref="I68">
    <cfRule type="cellIs" dxfId="2592" priority="93" stopIfTrue="1" operator="greaterThan">
      <formula>$F$44</formula>
    </cfRule>
    <cfRule type="cellIs" dxfId="2591" priority="98" stopIfTrue="1" operator="lessThanOrEqual">
      <formula>0</formula>
    </cfRule>
    <cfRule type="cellIs" dxfId="2590" priority="97" stopIfTrue="1" operator="greaterThan">
      <formula>$F$44</formula>
    </cfRule>
    <cfRule type="cellIs" dxfId="2589" priority="96" stopIfTrue="1" operator="lessThanOrEqual">
      <formula>0</formula>
    </cfRule>
    <cfRule type="cellIs" dxfId="2588" priority="95" stopIfTrue="1" operator="greaterThan">
      <formula>$F$46</formula>
    </cfRule>
    <cfRule type="cellIs" dxfId="2587" priority="94" stopIfTrue="1" operator="lessThanOrEqual">
      <formula>0</formula>
    </cfRule>
  </conditionalFormatting>
  <conditionalFormatting sqref="I72:I80">
    <cfRule type="cellIs" dxfId="2586" priority="128" stopIfTrue="1" operator="greaterThan">
      <formula>$J72</formula>
    </cfRule>
    <cfRule type="cellIs" dxfId="2585" priority="129" stopIfTrue="1" operator="lessThanOrEqual">
      <formula>0</formula>
    </cfRule>
  </conditionalFormatting>
  <conditionalFormatting sqref="I83:I91">
    <cfRule type="cellIs" dxfId="2584" priority="157" stopIfTrue="1" operator="lessThanOrEqual">
      <formula>0</formula>
    </cfRule>
    <cfRule type="cellIs" dxfId="2583" priority="156" stopIfTrue="1" operator="greaterThan">
      <formula>4.5</formula>
    </cfRule>
  </conditionalFormatting>
  <conditionalFormatting sqref="I10:J31">
    <cfRule type="cellIs" dxfId="2582" priority="9" operator="lessThan">
      <formula>97.9</formula>
    </cfRule>
  </conditionalFormatting>
  <conditionalFormatting sqref="J34:J36">
    <cfRule type="cellIs" dxfId="2581" priority="104" stopIfTrue="1" operator="lessThan">
      <formula>96.8</formula>
    </cfRule>
    <cfRule type="cellIs" dxfId="2580" priority="105" stopIfTrue="1" operator="greaterThan">
      <formula>100</formula>
    </cfRule>
    <cfRule type="cellIs" dxfId="2579" priority="106" operator="lessThan">
      <formula>98</formula>
    </cfRule>
  </conditionalFormatting>
  <conditionalFormatting sqref="J34:J38">
    <cfRule type="cellIs" dxfId="2578" priority="103" operator="lessThan">
      <formula>97.4</formula>
    </cfRule>
  </conditionalFormatting>
  <conditionalFormatting sqref="J39">
    <cfRule type="cellIs" dxfId="2577" priority="107" operator="lessThan">
      <formula>98</formula>
    </cfRule>
  </conditionalFormatting>
  <conditionalFormatting sqref="J41:J42">
    <cfRule type="cellIs" dxfId="2576" priority="109" stopIfTrue="1" operator="greaterThan">
      <formula>100</formula>
    </cfRule>
    <cfRule type="cellIs" dxfId="2575" priority="108" stopIfTrue="1" operator="lessThan">
      <formula>96.8</formula>
    </cfRule>
  </conditionalFormatting>
  <conditionalFormatting sqref="J41:J43">
    <cfRule type="cellIs" dxfId="2574" priority="110" operator="lessThan">
      <formula>98</formula>
    </cfRule>
  </conditionalFormatting>
  <conditionalFormatting sqref="J81">
    <cfRule type="cellIs" dxfId="2573" priority="111" stopIfTrue="1" operator="greaterThan">
      <formula>$F81</formula>
    </cfRule>
    <cfRule type="cellIs" dxfId="2572" priority="112" stopIfTrue="1" operator="lessThanOrEqual">
      <formula>0</formula>
    </cfRule>
  </conditionalFormatting>
  <conditionalFormatting sqref="K10:K31">
    <cfRule type="cellIs" dxfId="2571" priority="3" operator="greaterThan">
      <formula>6</formula>
    </cfRule>
    <cfRule type="cellIs" dxfId="2570" priority="5" operator="greaterThan">
      <formula>6.4</formula>
    </cfRule>
    <cfRule type="cellIs" dxfId="2569" priority="4" operator="lessThan">
      <formula>4</formula>
    </cfRule>
  </conditionalFormatting>
  <conditionalFormatting sqref="K63:K68">
    <cfRule type="cellIs" dxfId="2568" priority="88" stopIfTrue="1" operator="lessThan">
      <formula>100%</formula>
    </cfRule>
  </conditionalFormatting>
  <conditionalFormatting sqref="K83:K88">
    <cfRule type="cellIs" dxfId="2567" priority="162" stopIfTrue="1" operator="lessThan">
      <formula>100%</formula>
    </cfRule>
  </conditionalFormatting>
  <conditionalFormatting sqref="K90:K91">
    <cfRule type="cellIs" dxfId="2566" priority="169" stopIfTrue="1" operator="lessThan">
      <formula>100%</formula>
    </cfRule>
  </conditionalFormatting>
  <conditionalFormatting sqref="K72:N80">
    <cfRule type="cellIs" dxfId="2565" priority="57" stopIfTrue="1" operator="lessThan">
      <formula>100%</formula>
    </cfRule>
  </conditionalFormatting>
  <conditionalFormatting sqref="L10:L13">
    <cfRule type="cellIs" dxfId="2564" priority="21" operator="between">
      <formula>61</formula>
      <formula>65</formula>
    </cfRule>
    <cfRule type="cellIs" dxfId="2563" priority="22" operator="greaterThan">
      <formula>65</formula>
    </cfRule>
  </conditionalFormatting>
  <conditionalFormatting sqref="L16:L31">
    <cfRule type="cellIs" dxfId="2562" priority="12" operator="greaterThan">
      <formula>65</formula>
    </cfRule>
    <cfRule type="cellIs" dxfId="2561" priority="11" operator="between">
      <formula>61</formula>
      <formula>65</formula>
    </cfRule>
  </conditionalFormatting>
  <conditionalFormatting sqref="L14:M15">
    <cfRule type="cellIs" dxfId="2560" priority="33" operator="between">
      <formula>61</formula>
      <formula>65</formula>
    </cfRule>
    <cfRule type="cellIs" dxfId="2559" priority="34" operator="greaterThan">
      <formula>65</formula>
    </cfRule>
  </conditionalFormatting>
  <conditionalFormatting sqref="L34:M45">
    <cfRule type="cellIs" dxfId="2558" priority="118" operator="lessThan">
      <formula>98</formula>
    </cfRule>
  </conditionalFormatting>
  <conditionalFormatting sqref="L49:N49">
    <cfRule type="cellIs" dxfId="2557" priority="36" operator="notEqual">
      <formula>#REF!</formula>
    </cfRule>
  </conditionalFormatting>
  <conditionalFormatting sqref="L81:N81">
    <cfRule type="cellIs" dxfId="2556" priority="113" stopIfTrue="1" operator="lessThan">
      <formula>100%</formula>
    </cfRule>
  </conditionalFormatting>
  <conditionalFormatting sqref="L83:N91">
    <cfRule type="cellIs" dxfId="2555" priority="147" stopIfTrue="1" operator="lessThan">
      <formula>100%</formula>
    </cfRule>
  </conditionalFormatting>
  <conditionalFormatting sqref="M10:M13">
    <cfRule type="expression" dxfId="2554" priority="20">
      <formula>IF(+(IF(M10&lt;U10,0,IF(M10&gt;V10,0,1)))=0,1)</formula>
    </cfRule>
  </conditionalFormatting>
  <conditionalFormatting sqref="M14:M15">
    <cfRule type="expression" dxfId="2553" priority="35">
      <formula>IF(+(IF(M14&lt;U14,0,IF(M14&gt;V14,0,1)))=0,1)</formula>
    </cfRule>
  </conditionalFormatting>
  <conditionalFormatting sqref="M16:M31">
    <cfRule type="expression" dxfId="2552" priority="10">
      <formula>IF(+(IF(M16&lt;U16,0,IF(M16&gt;V16,0,1)))=0,1)</formula>
    </cfRule>
  </conditionalFormatting>
  <conditionalFormatting sqref="N10:N31">
    <cfRule type="expression" dxfId="2551" priority="2">
      <formula>IF(+(IF(N10&lt;W10,0,IF(N10&gt;X10,0,1)))=0,1)</formula>
    </cfRule>
  </conditionalFormatting>
  <conditionalFormatting sqref="P6">
    <cfRule type="cellIs" dxfId="2550" priority="143" operator="greaterThanOrEqual">
      <formula>19</formula>
    </cfRule>
  </conditionalFormatting>
  <dataValidations disablePrompts="1" count="1">
    <dataValidation type="list" allowBlank="1" showInputMessage="1" showErrorMessage="1" sqref="R8" xr:uid="{B0FB2A85-6336-4B2F-BA54-110424B0696A}">
      <formula1>ProductList</formula1>
    </dataValidation>
  </dataValidations>
  <pageMargins left="0.7" right="0.7" top="0.75" bottom="0.75" header="0.3" footer="0.3"/>
  <pageSetup scale="44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B71F-E3AB-471E-BDD2-60D6F66C5AF8}">
  <sheetPr>
    <pageSetUpPr fitToPage="1"/>
  </sheetPr>
  <dimension ref="A1:BE86"/>
  <sheetViews>
    <sheetView topLeftCell="A5" zoomScale="60" zoomScaleNormal="60" workbookViewId="0">
      <selection activeCell="C29" sqref="C2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45875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2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18"/>
      <c r="R10" s="277">
        <f t="shared" ref="R10:R33" si="0">B10</f>
        <v>0</v>
      </c>
      <c r="S10" s="296" t="e">
        <f t="shared" ref="S10:S33" si="1">VLOOKUP($B10,$R$3:$X$9,2,FALSE)</f>
        <v>#N/A</v>
      </c>
      <c r="T10" s="296" t="e">
        <f t="shared" ref="T10:T33" si="2">VLOOKUP($B10,$R$3:$X$9,3,FALSE)</f>
        <v>#N/A</v>
      </c>
      <c r="U10" s="297" t="e">
        <f t="shared" ref="U10:U33" si="3">VLOOKUP($B10,$R$3:$X$9,4,FALSE)</f>
        <v>#N/A</v>
      </c>
      <c r="V10" s="297" t="e">
        <f t="shared" ref="V10:V33" si="4">VLOOKUP($B10,$R$3:$X$9,5,FALSE)</f>
        <v>#N/A</v>
      </c>
      <c r="W10" s="297" t="e">
        <f t="shared" ref="W10:W33" si="5">VLOOKUP($B10,$R$3:$X$9,6,FALSE)</f>
        <v>#N/A</v>
      </c>
      <c r="X10" s="297" t="e">
        <f t="shared" ref="X10:X33" si="6">VLOOKUP($B10,$R$3:$X$9,7,FALSE)</f>
        <v>#N/A</v>
      </c>
      <c r="Y10" s="297" t="e">
        <f t="shared" ref="Y10:Y33" si="7">VLOOKUP($B10,$R$3:$Z$9,8,FALSE)</f>
        <v>#N/A</v>
      </c>
      <c r="Z10" s="296" t="e">
        <f t="shared" ref="Z10:Z33" si="8">VLOOKUP($B10,$R$3:$Z$9,9,FALSE)</f>
        <v>#N/A</v>
      </c>
    </row>
    <row r="11" spans="2:29" ht="15.75" hidden="1" customHeight="1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8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6" hidden="1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6" hidden="1" customHeight="1">
      <c r="B14" s="33"/>
      <c r="C14" s="366"/>
      <c r="D14" s="279"/>
      <c r="E14" s="279"/>
      <c r="F14" s="278"/>
      <c r="G14" s="279"/>
      <c r="H14" s="396"/>
      <c r="I14" s="422"/>
      <c r="J14" s="422"/>
      <c r="K14" s="281"/>
      <c r="L14" s="276"/>
      <c r="M14" s="374"/>
      <c r="N14" s="370"/>
      <c r="O14" s="423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2"/>
      <c r="J15" s="422"/>
      <c r="K15" s="281"/>
      <c r="L15" s="276"/>
      <c r="M15" s="374"/>
      <c r="N15" s="370"/>
      <c r="O15" s="423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" hidden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 t="s">
        <v>6</v>
      </c>
      <c r="C19" s="366" t="str">
        <f>[24]Brewhouse!$A658</f>
        <v>CA550</v>
      </c>
      <c r="D19" s="279">
        <f>[24]Brewhouse!$AF658</f>
        <v>53.7</v>
      </c>
      <c r="E19" s="279">
        <f>[24]Brewhouse!$AI658</f>
        <v>52.8</v>
      </c>
      <c r="F19" s="278">
        <f>[24]Brewhouse!$V658</f>
        <v>65</v>
      </c>
      <c r="G19" s="279">
        <f>[24]Brewhouse!AG658</f>
        <v>11.9</v>
      </c>
      <c r="H19" s="396">
        <v>11.8</v>
      </c>
      <c r="I19" s="368">
        <f>[24]Brewhouse!$AU658</f>
        <v>103.15419336170059</v>
      </c>
      <c r="J19" s="368">
        <f>[24]Brewhouse!$AV658</f>
        <v>104.94946773172981</v>
      </c>
      <c r="K19" s="281">
        <f>[24]Brewhouse!$Q658</f>
        <v>7.769784172661871</v>
      </c>
      <c r="L19" s="276">
        <f>[24]Brewhouse!$P658</f>
        <v>60</v>
      </c>
      <c r="M19" s="397">
        <f>[24]Brewhouse!$U658-[24]Brewhouse!$T658</f>
        <v>0.11319444444444438</v>
      </c>
      <c r="N19" s="370">
        <f>[24]Brewhouse!$Z658</f>
        <v>0.25</v>
      </c>
      <c r="O19" s="371" t="str">
        <f>[24]Brewhouse!$AX658</f>
        <v>R. Regis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 t="s">
        <v>6</v>
      </c>
      <c r="C20" s="366" t="str">
        <f>[24]Brewhouse!$A659</f>
        <v>CA551</v>
      </c>
      <c r="D20" s="279">
        <f>[24]Brewhouse!$AF659</f>
        <v>52.1</v>
      </c>
      <c r="E20" s="279">
        <f>[24]Brewhouse!$AI659</f>
        <v>50.3</v>
      </c>
      <c r="F20" s="278">
        <f>[24]Brewhouse!$V659</f>
        <v>57</v>
      </c>
      <c r="G20" s="279">
        <f>[24]Brewhouse!AG659</f>
        <v>12</v>
      </c>
      <c r="H20" s="396">
        <v>12</v>
      </c>
      <c r="I20" s="368">
        <f>[24]Brewhouse!$AU659</f>
        <v>98.649637600523405</v>
      </c>
      <c r="J20" s="368">
        <f>[24]Brewhouse!$AV659</f>
        <v>100.3668892693979</v>
      </c>
      <c r="K20" s="281">
        <f>[24]Brewhouse!$Q659</f>
        <v>8.4135472370766458</v>
      </c>
      <c r="L20" s="276">
        <f>[24]Brewhouse!$P659</f>
        <v>60</v>
      </c>
      <c r="M20" s="397">
        <f>[24]Brewhouse!$U659-[24]Brewhouse!$T659</f>
        <v>0.10624999999999998</v>
      </c>
      <c r="N20" s="370">
        <f>[24]Brewhouse!$Z659</f>
        <v>0.25</v>
      </c>
      <c r="O20" s="371" t="str">
        <f>[24]Brewhouse!$AX659</f>
        <v>R. Regis</v>
      </c>
      <c r="P20" s="418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6" customHeight="1">
      <c r="B21" s="29" t="s">
        <v>6</v>
      </c>
      <c r="C21" s="366" t="str">
        <f>[24]Brewhouse!$A660</f>
        <v>CA552</v>
      </c>
      <c r="D21" s="279">
        <f>[24]Brewhouse!$AF660</f>
        <v>52.4</v>
      </c>
      <c r="E21" s="279">
        <f>[24]Brewhouse!$AI660</f>
        <v>50.9</v>
      </c>
      <c r="F21" s="278">
        <f>[24]Brewhouse!$V660</f>
        <v>62</v>
      </c>
      <c r="G21" s="279">
        <f>[24]Brewhouse!AG660</f>
        <v>11.8</v>
      </c>
      <c r="H21" s="396">
        <v>11.8</v>
      </c>
      <c r="I21" s="368">
        <f>[24]Brewhouse!$AU660</f>
        <v>97.957124540291332</v>
      </c>
      <c r="J21" s="368">
        <f>[24]Brewhouse!$AV660</f>
        <v>99.662413420354952</v>
      </c>
      <c r="K21" s="281">
        <f>[24]Brewhouse!$Q660</f>
        <v>4.1187384044526887</v>
      </c>
      <c r="L21" s="276">
        <f>[24]Brewhouse!$P660</f>
        <v>57</v>
      </c>
      <c r="M21" s="397">
        <f>[24]Brewhouse!$U660-[24]Brewhouse!$T660</f>
        <v>0.10208333333333336</v>
      </c>
      <c r="N21" s="370">
        <f>[24]Brewhouse!$Z660</f>
        <v>0.25277777777777777</v>
      </c>
      <c r="O21" s="371" t="str">
        <f>[24]Brewhouse!$AX660</f>
        <v>R. Sookram</v>
      </c>
      <c r="P21" s="418"/>
      <c r="R21" s="277" t="str">
        <f t="shared" si="0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29" t="s">
        <v>6</v>
      </c>
      <c r="C22" s="366" t="str">
        <f>[24]Brewhouse!$A661</f>
        <v>CA553</v>
      </c>
      <c r="D22" s="279">
        <f>[24]Brewhouse!$AF661</f>
        <v>52.5</v>
      </c>
      <c r="E22" s="279">
        <f>[24]Brewhouse!$AI661</f>
        <v>50.4</v>
      </c>
      <c r="F22" s="278">
        <f>[24]Brewhouse!$V661</f>
        <v>70</v>
      </c>
      <c r="G22" s="279">
        <f>[24]Brewhouse!AG661</f>
        <v>11.7</v>
      </c>
      <c r="H22" s="396">
        <v>11.7</v>
      </c>
      <c r="I22" s="368">
        <f>[24]Brewhouse!$AU661</f>
        <v>96.012096709224608</v>
      </c>
      <c r="J22" s="368">
        <f>[24]Brewhouse!$AV661</f>
        <v>97.683615663776763</v>
      </c>
      <c r="K22" s="281">
        <f>[24]Brewhouse!$Q661</f>
        <v>6.7513611615244979</v>
      </c>
      <c r="L22" s="276">
        <f>[24]Brewhouse!$P661</f>
        <v>59</v>
      </c>
      <c r="M22" s="397">
        <f>[24]Brewhouse!$U661-[24]Brewhouse!$T661</f>
        <v>0.11180555555555555</v>
      </c>
      <c r="N22" s="370">
        <f>[24]Brewhouse!$Z661</f>
        <v>0.27152777777777776</v>
      </c>
      <c r="O22" s="371" t="str">
        <f>[24]Brewhouse!$AX661</f>
        <v>R. Sookram</v>
      </c>
      <c r="P22" s="421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29" t="s">
        <v>6</v>
      </c>
      <c r="C23" s="366" t="str">
        <f>[24]Brewhouse!$A662</f>
        <v>CA554</v>
      </c>
      <c r="D23" s="279">
        <f>[24]Brewhouse!$AF662</f>
        <v>53.1</v>
      </c>
      <c r="E23" s="279">
        <f>[24]Brewhouse!$AI662</f>
        <v>51.3</v>
      </c>
      <c r="F23" s="278">
        <f>[24]Brewhouse!$V662</f>
        <v>61</v>
      </c>
      <c r="G23" s="279">
        <f>[24]Brewhouse!AG662</f>
        <v>11.8</v>
      </c>
      <c r="H23" s="396">
        <v>11.9</v>
      </c>
      <c r="I23" s="368">
        <f>[24]Brewhouse!$AU662</f>
        <v>98.848570813828061</v>
      </c>
      <c r="J23" s="368">
        <f>[24]Brewhouse!$AV662</f>
        <v>100.56928542895204</v>
      </c>
      <c r="K23" s="281">
        <f>[24]Brewhouse!$Q662</f>
        <v>6.003616636528017</v>
      </c>
      <c r="L23" s="276">
        <f>[24]Brewhouse!$P662</f>
        <v>60</v>
      </c>
      <c r="M23" s="397">
        <f>[24]Brewhouse!$U662-[24]Brewhouse!$T662</f>
        <v>0.10833333333333339</v>
      </c>
      <c r="N23" s="370">
        <f>[24]Brewhouse!$Z662</f>
        <v>0.24722222222222223</v>
      </c>
      <c r="O23" s="371" t="str">
        <f>[24]Brewhouse!$AX662</f>
        <v>R. Sookram</v>
      </c>
      <c r="P23" s="418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29" t="s">
        <v>6</v>
      </c>
      <c r="C24" s="366" t="str">
        <f>[24]Brewhouse!$A663</f>
        <v>CA555</v>
      </c>
      <c r="D24" s="279">
        <f>[24]Brewhouse!$AF663</f>
        <v>53.1</v>
      </c>
      <c r="E24" s="279">
        <f>[24]Brewhouse!$AI663</f>
        <v>50</v>
      </c>
      <c r="F24" s="278">
        <f>[24]Brewhouse!$V663</f>
        <v>59</v>
      </c>
      <c r="G24" s="279">
        <f>[24]Brewhouse!AG663</f>
        <v>11.8</v>
      </c>
      <c r="H24" s="396">
        <v>11.8</v>
      </c>
      <c r="I24" s="368">
        <f>[24]Brewhouse!$AU663</f>
        <v>95.560563500415711</v>
      </c>
      <c r="J24" s="368">
        <f>[24]Brewhouse!$AV663</f>
        <v>97.15639085039119</v>
      </c>
      <c r="K24" s="281">
        <f>[24]Brewhouse!$Q663</f>
        <v>6.8131868131868112</v>
      </c>
      <c r="L24" s="276">
        <f>[24]Brewhouse!$P663</f>
        <v>61</v>
      </c>
      <c r="M24" s="397">
        <f>[24]Brewhouse!$U663-[24]Brewhouse!$T663</f>
        <v>0.1118055555555556</v>
      </c>
      <c r="N24" s="370">
        <f>[24]Brewhouse!$Z663</f>
        <v>0.23819444444444449</v>
      </c>
      <c r="O24" s="371" t="str">
        <f>[24]Brewhouse!$AX663</f>
        <v>K.Benjamin</v>
      </c>
      <c r="P24" s="418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 t="s">
        <v>6</v>
      </c>
      <c r="C25" s="366" t="str">
        <f>[24]Brewhouse!$A664</f>
        <v>CA556</v>
      </c>
      <c r="D25" s="279">
        <f>[24]Brewhouse!$AF664</f>
        <v>52</v>
      </c>
      <c r="E25" s="279">
        <f>[24]Brewhouse!$AI664</f>
        <v>50</v>
      </c>
      <c r="F25" s="278">
        <f>[24]Brewhouse!$V664</f>
        <v>54</v>
      </c>
      <c r="G25" s="279">
        <f>[24]Brewhouse!AG664</f>
        <v>11.9</v>
      </c>
      <c r="H25" s="396">
        <v>11.8</v>
      </c>
      <c r="I25" s="368">
        <f>[24]Brewhouse!$AU664</f>
        <v>96.767185693620888</v>
      </c>
      <c r="J25" s="368">
        <f>[24]Brewhouse!$AV664</f>
        <v>98.382639351098504</v>
      </c>
      <c r="K25" s="281">
        <f>[24]Brewhouse!$Q664</f>
        <v>7.2826086956521792</v>
      </c>
      <c r="L25" s="276">
        <f>[24]Brewhouse!$P664</f>
        <v>61</v>
      </c>
      <c r="M25" s="397">
        <f>[24]Brewhouse!$U664-[24]Brewhouse!$T664</f>
        <v>0.10277777777777786</v>
      </c>
      <c r="N25" s="370">
        <f>[24]Brewhouse!$Z664</f>
        <v>0.23541666666666672</v>
      </c>
      <c r="O25" s="371" t="str">
        <f>[24]Brewhouse!$AX664</f>
        <v>K.Benjamin</v>
      </c>
      <c r="P25" s="418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[24]Brewhouse!$A665</f>
        <v>CA557</v>
      </c>
      <c r="D26" s="279">
        <f>[24]Brewhouse!$AF665</f>
        <v>51.9</v>
      </c>
      <c r="E26" s="279">
        <f>[24]Brewhouse!$AI665</f>
        <v>50.7</v>
      </c>
      <c r="F26" s="278">
        <f>[24]Brewhouse!$V665</f>
        <v>58</v>
      </c>
      <c r="G26" s="279">
        <f>[24]Brewhouse!AG665</f>
        <v>12</v>
      </c>
      <c r="H26" s="396">
        <v>11.7</v>
      </c>
      <c r="I26" s="368">
        <f>[24]Brewhouse!$AU665</f>
        <v>98.867593495342305</v>
      </c>
      <c r="J26" s="368">
        <f>[24]Brewhouse!$AV665</f>
        <v>100.51829068822846</v>
      </c>
      <c r="K26" s="281">
        <f>[24]Brewhouse!$Q665</f>
        <v>6.1732851985559476</v>
      </c>
      <c r="L26" s="276">
        <f>[24]Brewhouse!$P665</f>
        <v>62</v>
      </c>
      <c r="M26" s="397">
        <f>[24]Brewhouse!$U665-[24]Brewhouse!$T665</f>
        <v>0.11041666666666661</v>
      </c>
      <c r="N26" s="370">
        <f>[24]Brewhouse!$Z665</f>
        <v>0.24444444444444435</v>
      </c>
      <c r="O26" s="371" t="str">
        <f>[24]Brewhouse!$AX665</f>
        <v>K.Benjamin</v>
      </c>
      <c r="P26" s="418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 t="s">
        <v>6</v>
      </c>
      <c r="C27" s="366" t="str">
        <f>[24]Brewhouse!$A666</f>
        <v>CA558</v>
      </c>
      <c r="D27" s="279">
        <f>[24]Brewhouse!$AF666</f>
        <v>52.7</v>
      </c>
      <c r="E27" s="279">
        <f>[24]Brewhouse!$AI666</f>
        <v>50.9</v>
      </c>
      <c r="F27" s="278">
        <f>[24]Brewhouse!$V666</f>
        <v>59</v>
      </c>
      <c r="G27" s="279">
        <f>[24]Brewhouse!AG666</f>
        <v>11.7</v>
      </c>
      <c r="H27" s="396">
        <v>11.7</v>
      </c>
      <c r="I27" s="368">
        <f>[24]Brewhouse!$AU666</f>
        <v>97.323462586589443</v>
      </c>
      <c r="J27" s="368">
        <f>[24]Brewhouse!$AV666</f>
        <v>99.017536936354915</v>
      </c>
      <c r="K27" s="281">
        <f>[24]Brewhouse!$Q666</f>
        <v>5.8333333333333304</v>
      </c>
      <c r="L27" s="276">
        <f>[24]Brewhouse!$P666</f>
        <v>60</v>
      </c>
      <c r="M27" s="397">
        <f>[24]Brewhouse!$U666-[24]Brewhouse!$T666</f>
        <v>0.10833333333333339</v>
      </c>
      <c r="N27" s="370">
        <f>[24]Brewhouse!$Z666</f>
        <v>0.25000000000000011</v>
      </c>
      <c r="O27" s="371" t="str">
        <f>[24]Brewhouse!$AX666</f>
        <v>R. Regis</v>
      </c>
      <c r="P27" s="418"/>
      <c r="R27" s="277" t="str">
        <f t="shared" si="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29" t="s">
        <v>6</v>
      </c>
      <c r="C28" s="366" t="str">
        <f>[24]Brewhouse!$A667</f>
        <v>CA559</v>
      </c>
      <c r="D28" s="279">
        <f>[24]Brewhouse!$AF667</f>
        <v>53.9</v>
      </c>
      <c r="E28" s="279">
        <f>[24]Brewhouse!$AI667</f>
        <v>52.2</v>
      </c>
      <c r="F28" s="278">
        <f>[24]Brewhouse!$V667</f>
        <v>65</v>
      </c>
      <c r="G28" s="279">
        <f>[24]Brewhouse!AG667</f>
        <v>11.6</v>
      </c>
      <c r="H28" s="396">
        <v>11.7</v>
      </c>
      <c r="I28" s="368">
        <f>[24]Brewhouse!$AU667</f>
        <v>99.15607004057388</v>
      </c>
      <c r="J28" s="368">
        <f>[24]Brewhouse!$AV667</f>
        <v>100.881856137368</v>
      </c>
      <c r="K28" s="281">
        <f>[24]Brewhouse!$Q667</f>
        <v>6.690647482014386</v>
      </c>
      <c r="L28" s="276">
        <f>[24]Brewhouse!$P667</f>
        <v>60</v>
      </c>
      <c r="M28" s="397">
        <f>[24]Brewhouse!$U667-[24]Brewhouse!$T667</f>
        <v>0.12569444444444455</v>
      </c>
      <c r="N28" s="370">
        <f>[24]Brewhouse!$Z667</f>
        <v>0.28125</v>
      </c>
      <c r="O28" s="371" t="str">
        <f>[24]Brewhouse!$AX667</f>
        <v>R. Regis</v>
      </c>
      <c r="P28" s="418"/>
      <c r="R28" s="277" t="str">
        <f t="shared" si="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 t="s">
        <v>6</v>
      </c>
      <c r="C29" s="366" t="str">
        <f>[24]Brewhouse!$A668</f>
        <v>CA560</v>
      </c>
      <c r="D29" s="279">
        <f>[24]Brewhouse!$AF668</f>
        <v>51.8</v>
      </c>
      <c r="E29" s="279">
        <f>[24]Brewhouse!$AI668</f>
        <v>50.1</v>
      </c>
      <c r="F29" s="278">
        <f>[24]Brewhouse!$V668</f>
        <v>66</v>
      </c>
      <c r="G29" s="279">
        <f>[24]Brewhouse!AG668</f>
        <v>11.9</v>
      </c>
      <c r="H29" s="396">
        <v>11.8</v>
      </c>
      <c r="I29" s="368">
        <f>[24]Brewhouse!$AU668</f>
        <v>97.637464665363979</v>
      </c>
      <c r="J29" s="368">
        <f>[24]Brewhouse!$AV668</f>
        <v>99.336912393604095</v>
      </c>
      <c r="K29" s="281">
        <f>[24]Brewhouse!$Q668</f>
        <v>8.4587813620071675</v>
      </c>
      <c r="L29" s="276">
        <f>[24]Brewhouse!$P668</f>
        <v>61</v>
      </c>
      <c r="M29" s="397">
        <f>[24]Brewhouse!$U668-[24]Brewhouse!$T668</f>
        <v>0.12708333333333321</v>
      </c>
      <c r="N29" s="370">
        <f>[24]Brewhouse!$Z668</f>
        <v>0.30486111111111103</v>
      </c>
      <c r="O29" s="371" t="str">
        <f>[24]Brewhouse!$AX668</f>
        <v>R. Regis</v>
      </c>
      <c r="P29" s="418"/>
      <c r="R29" s="277" t="str">
        <f t="shared" si="0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29"/>
      <c r="J32" s="529"/>
      <c r="K32" s="529"/>
      <c r="L32" s="529"/>
      <c r="M32" s="529"/>
      <c r="N32" s="529"/>
      <c r="O32" s="1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thickBot="1">
      <c r="B33" s="388" t="s">
        <v>162</v>
      </c>
      <c r="C33" s="388"/>
      <c r="D33" s="542" t="s">
        <v>35</v>
      </c>
      <c r="E33" s="543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customHeight="1">
      <c r="A34" s="28"/>
      <c r="B34" s="577" t="str">
        <f>I36</f>
        <v>GUINNESS</v>
      </c>
      <c r="C34" s="362">
        <f>[25]Process!D84</f>
        <v>17.600000000000001</v>
      </c>
      <c r="D34" s="533">
        <v>17.45</v>
      </c>
      <c r="E34" s="522"/>
      <c r="F34" s="294"/>
      <c r="G34" s="294"/>
      <c r="H34" s="348"/>
      <c r="I34" s="29" t="s">
        <v>6</v>
      </c>
      <c r="J34" s="280">
        <f>AVERAGE(I19:I29)</f>
        <v>98.175814818861312</v>
      </c>
      <c r="K34" s="284">
        <f>COUNTA([24]Brewhouse!$A$655:$A$668)</f>
        <v>14</v>
      </c>
      <c r="L34" s="305">
        <f>AVERAGE([24]Brewhouse!$AU$655:$AU$668)</f>
        <v>98.069426931186854</v>
      </c>
      <c r="M3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$668)</f>
        <v>97.88338145802426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78"/>
      <c r="C35" s="362">
        <f>[25]Process!D85</f>
        <v>17.600000000000001</v>
      </c>
      <c r="D35" s="534"/>
      <c r="E35" s="517"/>
      <c r="F35" s="294"/>
      <c r="G35" s="294"/>
      <c r="H35" s="348"/>
      <c r="I35" s="33" t="s">
        <v>9</v>
      </c>
      <c r="J35" s="280"/>
      <c r="K35" s="284">
        <f>COUNTA([22]Brewhouse!$A$324:$A$331)</f>
        <v>8</v>
      </c>
      <c r="L35" s="302">
        <f>AVERAGE([22]Brewhouse!$AS$324:$AS$331)</f>
        <v>98.450752429175239</v>
      </c>
      <c r="M35" s="302">
        <f>AVERAGE([22]Brewhouse!$AS$15:$AS$64,[22]Brewhouse!$AS$66:$AS$103,[22]Brewhouse!$AS$105:$AS$140,[22]Brewhouse!$AS$142:$AS$193,[22]Brewhouse!$AS$195:$AS$240,[22]Brewhouse!$AS$242:$AS$273,[22]Brewhouse!$AS$275:$AS$322,[22]Brewhouse!$AS$324:$AS$331)</f>
        <v>98.076073470997557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65" customHeight="1">
      <c r="A36" s="28"/>
      <c r="B36" s="578"/>
      <c r="C36" s="362">
        <f>[25]Process!D86</f>
        <v>17.5</v>
      </c>
      <c r="D36" s="533">
        <v>17.28</v>
      </c>
      <c r="E36" s="522"/>
      <c r="F36" s="294"/>
      <c r="G36" s="294"/>
      <c r="H36" s="348"/>
      <c r="I36" s="34" t="s">
        <v>12</v>
      </c>
      <c r="J36" s="280"/>
      <c r="K36" s="284"/>
      <c r="L36" s="302"/>
      <c r="M36" s="302">
        <f>AVERAGE([25]Brewhouse!$AU$4:$AU$7,[25]Brewhouse!$AU$9:$AU$22,[25]Brewhouse!$AU$24:$AU$35,[25]Brewhouse!$AU$37:$AU$45,[25]Brewhouse!$AU$47:$AU$62,[25]Brewhouse!$AU$64:$AU$79)</f>
        <v>97.0189196363294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65" customHeight="1">
      <c r="A37" s="28"/>
      <c r="B37" s="578"/>
      <c r="C37" s="362">
        <f>[25]Process!D87</f>
        <v>17.5</v>
      </c>
      <c r="D37" s="534"/>
      <c r="E37" s="517"/>
      <c r="F37" s="294"/>
      <c r="G37" s="294"/>
      <c r="H37" s="348"/>
      <c r="I37" s="22" t="s">
        <v>33</v>
      </c>
      <c r="J37" s="280"/>
      <c r="K37" s="284">
        <f>COUNTA([26]Brewhouse!$A$64:$A$67)</f>
        <v>4</v>
      </c>
      <c r="L37" s="302">
        <f>AVERAGE([26]Brewhouse!$AV$64:$AV$67)</f>
        <v>97.964622396575123</v>
      </c>
      <c r="M37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65" customHeight="1">
      <c r="A38" s="28"/>
      <c r="B38" s="578"/>
      <c r="C38" s="362">
        <f>[25]Process!D88</f>
        <v>17.5</v>
      </c>
      <c r="D38" s="533">
        <v>17.399999999999999</v>
      </c>
      <c r="E38" s="522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65" customHeight="1">
      <c r="A39" s="28"/>
      <c r="B39" s="578"/>
      <c r="C39" s="362">
        <f>[25]Process!D89</f>
        <v>17.5</v>
      </c>
      <c r="D39" s="534"/>
      <c r="E39" s="517"/>
      <c r="F39" s="417"/>
      <c r="G39" s="294"/>
      <c r="H39" s="348"/>
      <c r="I39" s="36" t="s">
        <v>15</v>
      </c>
      <c r="J39" s="323"/>
      <c r="K39" s="284"/>
      <c r="L39" s="302"/>
      <c r="M39" s="302">
        <f>AVERAGE([27]Brewhouse!$AT$4:$AT$11,[27]Brewhouse!$AT$13:$AT$16,[27]Brewhouse!$AT$18:$AT$21,[27]Brewhouse!$AT$26)</f>
        <v>94.588057846623641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65" customHeight="1">
      <c r="A40" s="28"/>
      <c r="B40" s="578"/>
      <c r="C40" s="349">
        <f>[25]Process!D90</f>
        <v>17.5</v>
      </c>
      <c r="D40" s="533">
        <v>17.23</v>
      </c>
      <c r="E40" s="522"/>
      <c r="F40" s="417"/>
      <c r="G40" s="294"/>
      <c r="H40" s="348"/>
      <c r="I40" s="37" t="s">
        <v>16</v>
      </c>
      <c r="J40" s="323"/>
      <c r="K40" s="284"/>
      <c r="L40" s="302"/>
      <c r="M40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40" s="30">
        <v>98</v>
      </c>
      <c r="O40" s="11"/>
      <c r="P40" s="31" t="s">
        <v>41</v>
      </c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65" customHeight="1">
      <c r="A41" s="28"/>
      <c r="B41" s="578"/>
      <c r="C41" s="349">
        <f>[25]Process!D91</f>
        <v>17.399999999999999</v>
      </c>
      <c r="D41" s="534"/>
      <c r="E41" s="517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AVERAGE([28]Brewhouse!$AU$5:$AU$8,[28]Brewhouse!$AU$10:$AU$13)</f>
        <v>94.247666625193744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65" customHeight="1">
      <c r="A42" s="28"/>
      <c r="B42" s="578"/>
      <c r="C42" s="349"/>
      <c r="D42" s="533"/>
      <c r="E42" s="522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78"/>
      <c r="C43" s="349"/>
      <c r="D43" s="534"/>
      <c r="E43" s="517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78"/>
      <c r="C44" s="349"/>
      <c r="D44" s="533"/>
      <c r="E44" s="522"/>
      <c r="F44" s="294"/>
      <c r="G44" s="294"/>
      <c r="H44" s="348"/>
      <c r="I44" s="1"/>
      <c r="J44" s="39"/>
      <c r="K44" s="404">
        <f>SUM(K34:K43)</f>
        <v>26</v>
      </c>
      <c r="L44" s="405">
        <f>((L34*K34)+(L35*K35)+(L36*K36)+(L37*K37)+(L38*K38)+(K41*L41)+(L39*K39)+(L40*K40)+(L43*K43))/(K44)</f>
        <v>98.170634079089169</v>
      </c>
      <c r="M44" s="405">
        <f>AVERAGE('[31]Jan 31st'!$L$65,'[32]Feb 28th'!$L$35,'[33]Mar. 31st'!$L$35,'[34]Apr. 30th'!$L$45,'[35]May 30th'!$L$37,'[36]June 30th'!$L$57,L44)</f>
        <v>97.731792082307294</v>
      </c>
      <c r="N44" s="4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.75" thickBot="1">
      <c r="B45" s="579"/>
      <c r="C45" s="350"/>
      <c r="D45" s="534"/>
      <c r="E45" s="517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.75" thickBot="1">
      <c r="B46" s="580" t="str">
        <f>I37</f>
        <v>VITAMALT</v>
      </c>
      <c r="C46" s="362">
        <f>[26]Process!D64</f>
        <v>14.5</v>
      </c>
      <c r="D46" s="514">
        <v>16.45</v>
      </c>
      <c r="E46" s="515"/>
      <c r="F46" s="294"/>
      <c r="G46" s="42"/>
      <c r="H46" s="41"/>
      <c r="I46" s="42"/>
      <c r="J46" s="569" t="s">
        <v>129</v>
      </c>
      <c r="K46" s="569"/>
      <c r="L46" s="294"/>
      <c r="M46" s="294"/>
      <c r="N46" s="294"/>
      <c r="O46" s="294"/>
      <c r="P46" s="12"/>
    </row>
    <row r="47" spans="1:27" ht="15.75" thickBot="1">
      <c r="B47" s="581"/>
      <c r="C47" s="362">
        <f>[26]Process!D65</f>
        <v>14.2</v>
      </c>
      <c r="D47" s="516"/>
      <c r="E47" s="517"/>
      <c r="F47" s="294"/>
      <c r="G47" s="42"/>
      <c r="H47" s="41"/>
      <c r="I47" s="42"/>
      <c r="J47" s="292" t="s">
        <v>17</v>
      </c>
      <c r="K47" s="293" t="s">
        <v>147</v>
      </c>
      <c r="L47" s="519" t="s">
        <v>136</v>
      </c>
      <c r="M47" s="519"/>
      <c r="N47" s="520"/>
      <c r="O47" s="294"/>
      <c r="P47" s="12"/>
    </row>
    <row r="48" spans="1:27" ht="15" customHeight="1" thickBot="1">
      <c r="B48" s="581"/>
      <c r="C48" s="349">
        <f>[26]Process!D66</f>
        <v>14.5</v>
      </c>
      <c r="D48" s="570">
        <v>16.53</v>
      </c>
      <c r="E48" s="571"/>
      <c r="F48" s="294"/>
      <c r="G48" s="42"/>
      <c r="H48" s="41"/>
      <c r="I48" s="42"/>
      <c r="J48" s="287" t="s">
        <v>6</v>
      </c>
      <c r="K48" s="324">
        <v>11</v>
      </c>
      <c r="L48" s="343" t="s">
        <v>37</v>
      </c>
      <c r="M48" s="307" t="s">
        <v>38</v>
      </c>
      <c r="N48" s="307" t="s">
        <v>84</v>
      </c>
      <c r="O48" s="294"/>
      <c r="P48" s="12"/>
    </row>
    <row r="49" spans="2:57" ht="15.75" customHeight="1" thickBot="1">
      <c r="B49" s="581"/>
      <c r="C49" s="349">
        <f>[26]Process!D67</f>
        <v>14.3</v>
      </c>
      <c r="D49" s="516"/>
      <c r="E49" s="517"/>
      <c r="F49" s="294"/>
      <c r="G49" s="42"/>
      <c r="H49" s="41"/>
      <c r="I49" s="42"/>
      <c r="J49" s="345" t="s">
        <v>9</v>
      </c>
      <c r="K49" s="324"/>
      <c r="L49" s="344">
        <f>AVERAGE('Aug 4th '!K58,'Aug 5th '!K58,K58)</f>
        <v>8.6666666666666661</v>
      </c>
      <c r="M49" s="325">
        <f>AVERAGE('[31]Jan 29th '!$M$70,'[32]Feb 28th'!$L$40,'[33]Mar. 31st'!$L$40,'[34]Apr. 30th'!$L$50,'[35]May 30th'!$L$42,'[36]June 30th'!$L$62,'[37]July 29th '!$L$49,L49)</f>
        <v>7.1229479425989712</v>
      </c>
      <c r="N49" s="416">
        <v>9.1999999999999993</v>
      </c>
      <c r="O49" s="294"/>
      <c r="P49" s="12"/>
    </row>
    <row r="50" spans="2:57" ht="15" customHeight="1">
      <c r="B50" s="581"/>
      <c r="C50" s="349"/>
      <c r="D50" s="570"/>
      <c r="E50" s="571"/>
      <c r="F50" s="294"/>
      <c r="G50" s="42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81"/>
      <c r="C51" s="349"/>
      <c r="D51" s="516"/>
      <c r="E51" s="517"/>
      <c r="F51" s="294"/>
      <c r="G51" s="42"/>
      <c r="H51" s="41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81"/>
      <c r="C52" s="349"/>
      <c r="D52" s="570"/>
      <c r="E52" s="571"/>
      <c r="F52" s="294"/>
      <c r="G52" s="42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81"/>
      <c r="C53" s="349"/>
      <c r="D53" s="516"/>
      <c r="E53" s="517"/>
      <c r="F53" s="294"/>
      <c r="G53" s="42"/>
      <c r="H53" s="41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81"/>
      <c r="C54" s="349"/>
      <c r="D54" s="570"/>
      <c r="E54" s="571"/>
      <c r="F54" s="294"/>
      <c r="G54" s="42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82"/>
      <c r="C55" s="350"/>
      <c r="D55" s="572"/>
      <c r="E55" s="573"/>
      <c r="F55" s="294"/>
      <c r="G55" s="42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74">
        <f>AVERAGE(D34:E55)</f>
        <v>17.056666666666668</v>
      </c>
      <c r="E56" s="575"/>
      <c r="F56" s="294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1"/>
      <c r="I58" s="42"/>
      <c r="J58" s="346" t="s">
        <v>130</v>
      </c>
      <c r="K58" s="324">
        <f>SUM(K48:K57)</f>
        <v>11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495" t="s">
        <v>17</v>
      </c>
      <c r="C61" s="495" t="s">
        <v>44</v>
      </c>
      <c r="D61" s="507" t="s">
        <v>45</v>
      </c>
      <c r="E61" s="509" t="s">
        <v>46</v>
      </c>
      <c r="F61" s="503" t="s">
        <v>47</v>
      </c>
      <c r="G61" s="493" t="s">
        <v>48</v>
      </c>
      <c r="H61" s="495" t="s">
        <v>49</v>
      </c>
      <c r="I61" s="495" t="s">
        <v>50</v>
      </c>
      <c r="J61" s="487" t="s">
        <v>28</v>
      </c>
      <c r="K61" s="499" t="s">
        <v>51</v>
      </c>
      <c r="L61" s="501" t="s">
        <v>52</v>
      </c>
      <c r="M61" s="487" t="s">
        <v>53</v>
      </c>
      <c r="N61" s="13"/>
      <c r="O61" s="13"/>
      <c r="P61" s="50"/>
    </row>
    <row r="62" spans="2:57" ht="28.5" customHeight="1" thickTop="1" thickBot="1">
      <c r="B62" s="496"/>
      <c r="C62" s="496"/>
      <c r="D62" s="508"/>
      <c r="E62" s="510"/>
      <c r="F62" s="504"/>
      <c r="G62" s="494"/>
      <c r="H62" s="496"/>
      <c r="I62" s="496"/>
      <c r="J62" s="488"/>
      <c r="K62" s="500"/>
      <c r="L62" s="502"/>
      <c r="M62" s="488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7" s="54" customFormat="1" ht="59.45" customHeight="1" thickBot="1">
      <c r="B63" s="468" t="str">
        <f>B74</f>
        <v>GUINN</v>
      </c>
      <c r="C63" s="445">
        <v>45875</v>
      </c>
      <c r="D63" s="446">
        <f>[38]August_2025!$I$23</f>
        <v>408.6</v>
      </c>
      <c r="E63" s="447">
        <f>[40]GUINNESS!$S$6</f>
        <v>9.8999999999999986</v>
      </c>
      <c r="F63" s="448"/>
      <c r="G63" s="449">
        <f>[38]August_2025!$I$28</f>
        <v>384.40000000000003</v>
      </c>
      <c r="H63" s="450"/>
      <c r="I63" s="451"/>
      <c r="J63" s="452" t="s">
        <v>178</v>
      </c>
      <c r="K63" s="453">
        <f>[39]August_2025!$I$32</f>
        <v>0.67438596491228076</v>
      </c>
      <c r="L63" s="466">
        <f>(((D63+E63)-G63)/(D63+E63))*100</f>
        <v>8.1481481481481399</v>
      </c>
      <c r="M63" s="465" t="s">
        <v>177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45" customHeight="1" thickBot="1">
      <c r="B64" s="469"/>
      <c r="C64" s="434"/>
      <c r="D64" s="435"/>
      <c r="E64" s="436"/>
      <c r="F64" s="437"/>
      <c r="G64" s="438"/>
      <c r="H64" s="439"/>
      <c r="I64" s="454"/>
      <c r="J64" s="455"/>
      <c r="K64" s="440"/>
      <c r="L64" s="456"/>
      <c r="M64" s="42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9" customHeight="1" thickBot="1">
      <c r="B65" s="470" t="str">
        <f>B75</f>
        <v>VITAMALT</v>
      </c>
      <c r="C65" s="445">
        <v>45875</v>
      </c>
      <c r="D65" s="446">
        <f>[38]August_2025!$I$65</f>
        <v>191.8</v>
      </c>
      <c r="E65" s="447">
        <f>[40]VITAMALT!$J$6+[40]VITAMALT!$J$8</f>
        <v>8.1999999999999993</v>
      </c>
      <c r="F65" s="448"/>
      <c r="G65" s="449">
        <f>[38]August_2025!$I$70</f>
        <v>187.89999999999998</v>
      </c>
      <c r="H65" s="450"/>
      <c r="I65" s="451"/>
      <c r="J65" s="452" t="s">
        <v>178</v>
      </c>
      <c r="K65" s="453">
        <f>[39]August_2025!$I$60</f>
        <v>0.32964912280701753</v>
      </c>
      <c r="L65" s="466">
        <f>(((D65+E65)-G65)/(D65+E65))*100</f>
        <v>6.0500000000000114</v>
      </c>
      <c r="M65" s="465" t="s">
        <v>170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>
      <c r="B66" s="458"/>
      <c r="C66" s="434"/>
      <c r="D66" s="435"/>
      <c r="E66" s="436"/>
      <c r="F66" s="437"/>
      <c r="G66" s="438"/>
      <c r="H66" s="439"/>
      <c r="I66" s="454"/>
      <c r="J66" s="455"/>
      <c r="K66" s="440"/>
      <c r="L66" s="456"/>
      <c r="M66" s="42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6.6" hidden="1" customHeight="1" thickBot="1">
      <c r="B67" s="387"/>
      <c r="C67" s="445">
        <v>45873</v>
      </c>
      <c r="D67" s="446"/>
      <c r="E67" s="447"/>
      <c r="F67" s="448"/>
      <c r="G67" s="449"/>
      <c r="H67" s="450"/>
      <c r="I67" s="451"/>
      <c r="J67" s="452" t="s">
        <v>163</v>
      </c>
      <c r="K67" s="453"/>
      <c r="L67" s="459" t="e">
        <f>(((D67+E67)-G67)/(D67+E67))*100</f>
        <v>#DIV/0!</v>
      </c>
      <c r="M67" s="46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41"/>
      <c r="C68" s="427"/>
      <c r="D68" s="428"/>
      <c r="E68" s="429"/>
      <c r="F68" s="430"/>
      <c r="G68" s="431"/>
      <c r="H68" s="432"/>
      <c r="I68" s="442"/>
      <c r="J68" s="443"/>
      <c r="K68" s="433"/>
      <c r="L68" s="444"/>
      <c r="M68" s="426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489" t="s">
        <v>55</v>
      </c>
      <c r="C70" s="490"/>
      <c r="D70" s="490"/>
      <c r="E70" s="490"/>
      <c r="F70" s="491"/>
      <c r="G70" s="489" t="s">
        <v>56</v>
      </c>
      <c r="H70" s="490"/>
      <c r="I70" s="490"/>
      <c r="J70" s="491"/>
      <c r="K70" s="489" t="s">
        <v>51</v>
      </c>
      <c r="L70" s="490"/>
      <c r="M70" s="490"/>
      <c r="N70" s="492"/>
      <c r="O70" s="56"/>
      <c r="P70" s="50"/>
    </row>
    <row r="71" spans="2:57" ht="15">
      <c r="B71" s="61" t="s">
        <v>17</v>
      </c>
      <c r="C71" s="62" t="s">
        <v>36</v>
      </c>
      <c r="D71" s="62"/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65"/>
      <c r="D72" s="76">
        <v>5.3814311058545155</v>
      </c>
      <c r="E72" s="76">
        <v>6.3156823154923822</v>
      </c>
      <c r="F72" s="66">
        <v>4.8</v>
      </c>
      <c r="G72" s="65"/>
      <c r="H72" s="76">
        <v>6.1846617295237811</v>
      </c>
      <c r="I72" s="76">
        <v>6.1784093545484549</v>
      </c>
      <c r="J72" s="66">
        <v>4.8</v>
      </c>
      <c r="K72" s="67"/>
      <c r="L72" s="194">
        <v>0.84210526315789469</v>
      </c>
      <c r="M72" s="194">
        <v>0.74175772252090733</v>
      </c>
      <c r="N72" s="68">
        <v>1</v>
      </c>
      <c r="O72" s="56"/>
      <c r="P72" s="69"/>
    </row>
    <row r="73" spans="2:57" ht="15">
      <c r="B73" s="33" t="s">
        <v>9</v>
      </c>
      <c r="C73" s="65"/>
      <c r="D73" s="76"/>
      <c r="E73" s="76">
        <v>5.9419799243536175</v>
      </c>
      <c r="F73" s="66">
        <v>4.8</v>
      </c>
      <c r="G73" s="65"/>
      <c r="H73" s="76"/>
      <c r="I73" s="76">
        <v>5.5277535995776326</v>
      </c>
      <c r="J73" s="66">
        <v>4.8</v>
      </c>
      <c r="K73" s="67"/>
      <c r="L73" s="194"/>
      <c r="M73" s="194">
        <v>0.75853637615238823</v>
      </c>
      <c r="N73" s="68">
        <v>1</v>
      </c>
      <c r="P73" s="69"/>
    </row>
    <row r="74" spans="2:57" ht="15">
      <c r="B74" s="34" t="s">
        <v>40</v>
      </c>
      <c r="C74" s="65">
        <f>L63</f>
        <v>8.1481481481481399</v>
      </c>
      <c r="D74" s="76">
        <v>8.0382775119617147</v>
      </c>
      <c r="E74" s="76">
        <v>11.429743886837057</v>
      </c>
      <c r="F74" s="66">
        <v>5.5</v>
      </c>
      <c r="G74" s="65">
        <f>[38]August_2025!$I$32</f>
        <v>10.553404257187401</v>
      </c>
      <c r="H74" s="76">
        <v>10.370027728825649</v>
      </c>
      <c r="I74" s="76">
        <v>13.047305235287777</v>
      </c>
      <c r="J74" s="66">
        <v>5.5</v>
      </c>
      <c r="K74" s="67">
        <f>K63</f>
        <v>0.67438596491228076</v>
      </c>
      <c r="L74" s="194">
        <v>0.67438596491228076</v>
      </c>
      <c r="M74" s="194">
        <v>0.55172216056233814</v>
      </c>
      <c r="N74" s="68">
        <v>1</v>
      </c>
      <c r="P74" s="69"/>
    </row>
    <row r="75" spans="2:57" ht="15">
      <c r="B75" s="22" t="s">
        <v>33</v>
      </c>
      <c r="C75" s="65">
        <f>L65</f>
        <v>6.0500000000000114</v>
      </c>
      <c r="D75" s="76">
        <v>6.0500000000000114</v>
      </c>
      <c r="E75" s="76">
        <v>5.1850280988230084</v>
      </c>
      <c r="F75" s="66">
        <v>3.3</v>
      </c>
      <c r="G75" s="65">
        <f>[38]August_2025!$I$74</f>
        <v>5.966075524743097</v>
      </c>
      <c r="H75" s="76">
        <v>5.966075524743097</v>
      </c>
      <c r="I75" s="76">
        <v>4.9519881827605072</v>
      </c>
      <c r="J75" s="66">
        <v>3.3</v>
      </c>
      <c r="K75" s="67">
        <f>K65</f>
        <v>0.32964912280701753</v>
      </c>
      <c r="L75" s="194">
        <v>0.32964912280701753</v>
      </c>
      <c r="M75" s="194">
        <v>0.72853313840155942</v>
      </c>
      <c r="N75" s="68">
        <v>1</v>
      </c>
      <c r="P75" s="69"/>
    </row>
    <row r="76" spans="2:57" ht="15">
      <c r="B76" s="35" t="s">
        <v>165</v>
      </c>
      <c r="C76" s="65"/>
      <c r="D76" s="76"/>
      <c r="E76" s="76">
        <v>7.837301587301579</v>
      </c>
      <c r="F76" s="66">
        <v>3.3</v>
      </c>
      <c r="G76" s="282"/>
      <c r="H76" s="76"/>
      <c r="I76" s="76">
        <v>5.3377569154690221</v>
      </c>
      <c r="J76" s="66">
        <v>3</v>
      </c>
      <c r="K76" s="67"/>
      <c r="L76" s="194"/>
      <c r="M76" s="194">
        <v>0.32596491228070179</v>
      </c>
      <c r="N76" s="68">
        <v>1</v>
      </c>
      <c r="P76" s="69"/>
    </row>
    <row r="77" spans="2:57" ht="15">
      <c r="B77" s="36" t="s">
        <v>15</v>
      </c>
      <c r="C77" s="282"/>
      <c r="D77" s="76"/>
      <c r="E77" s="76">
        <v>7.3129862357869699</v>
      </c>
      <c r="F77" s="70">
        <f>[21]May_2022!$M$43</f>
        <v>3.4878406700073312</v>
      </c>
      <c r="G77" s="282"/>
      <c r="H77" s="76"/>
      <c r="I77" s="76">
        <v>8.9862703283331644</v>
      </c>
      <c r="J77" s="66">
        <v>5.5</v>
      </c>
      <c r="K77" s="67"/>
      <c r="L77" s="194"/>
      <c r="M77" s="194">
        <v>0.59276315789473688</v>
      </c>
      <c r="N77" s="68">
        <v>1</v>
      </c>
      <c r="P77" s="69"/>
    </row>
    <row r="78" spans="2:57" ht="15">
      <c r="B78" s="37" t="s">
        <v>16</v>
      </c>
      <c r="C78" s="65"/>
      <c r="D78" s="76">
        <v>3.8383838383838214</v>
      </c>
      <c r="E78" s="76">
        <v>3.0206926869092796</v>
      </c>
      <c r="F78" s="66">
        <v>3.3</v>
      </c>
      <c r="G78" s="282"/>
      <c r="H78" s="76">
        <v>6.7477320980505571</v>
      </c>
      <c r="I78" s="76">
        <v>4.4881222182352793</v>
      </c>
      <c r="J78" s="66">
        <v>3.3</v>
      </c>
      <c r="K78" s="67"/>
      <c r="L78" s="194">
        <v>0.3340350877192983</v>
      </c>
      <c r="M78" s="194">
        <v>0.80384787472035779</v>
      </c>
      <c r="N78" s="71">
        <v>1</v>
      </c>
      <c r="P78" s="69"/>
    </row>
    <row r="79" spans="2:57" ht="15.75" thickBot="1">
      <c r="B79" s="38" t="s">
        <v>164</v>
      </c>
      <c r="C79" s="65"/>
      <c r="D79" s="76"/>
      <c r="E79" s="76">
        <v>11.483253588516746</v>
      </c>
      <c r="F79" s="66">
        <v>7.5</v>
      </c>
      <c r="G79" s="282"/>
      <c r="H79" s="76"/>
      <c r="I79" s="76">
        <v>9.7934336121043764</v>
      </c>
      <c r="J79" s="66">
        <v>7.5</v>
      </c>
      <c r="K79" s="67"/>
      <c r="L79" s="194"/>
      <c r="M79" s="194">
        <v>0.32456140350877194</v>
      </c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>
        <v>7.2653644592663174</v>
      </c>
      <c r="F80" s="66">
        <v>4.8</v>
      </c>
      <c r="G80" s="282"/>
      <c r="H80" s="76"/>
      <c r="I80" s="76">
        <v>8.1715311054411259</v>
      </c>
      <c r="J80" s="66">
        <v>4.8</v>
      </c>
      <c r="K80" s="67"/>
      <c r="L80" s="194"/>
      <c r="M80" s="194">
        <v>0.51368421052631585</v>
      </c>
      <c r="N80" s="71">
        <v>1</v>
      </c>
      <c r="O80" s="74"/>
      <c r="P80" s="75"/>
    </row>
    <row r="81" spans="4:14" ht="15">
      <c r="D81" s="76">
        <v>6.011781011780994</v>
      </c>
      <c r="E81" s="76">
        <v>6.3883707990824119</v>
      </c>
      <c r="F81" s="341">
        <v>5.5</v>
      </c>
      <c r="H81" s="76">
        <v>7.4759906779986203</v>
      </c>
      <c r="I81" s="76">
        <v>6.6093638533966024</v>
      </c>
      <c r="J81" s="341">
        <v>5.5</v>
      </c>
      <c r="L81" s="194">
        <v>0.60445614035087725</v>
      </c>
      <c r="M81" s="194">
        <v>0.71856307102858819</v>
      </c>
      <c r="N81" s="386">
        <v>1</v>
      </c>
    </row>
    <row r="85" spans="4:14">
      <c r="F85" s="315"/>
    </row>
    <row r="86" spans="4:14" ht="15">
      <c r="F86" s="341"/>
    </row>
  </sheetData>
  <mergeCells count="51">
    <mergeCell ref="M61:M62"/>
    <mergeCell ref="B70:F70"/>
    <mergeCell ref="G70:J70"/>
    <mergeCell ref="K70:N70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2549" priority="119" operator="notBetween">
      <formula>#REF!</formula>
      <formula>#REF!</formula>
    </cfRule>
  </conditionalFormatting>
  <conditionalFormatting sqref="C60">
    <cfRule type="cellIs" dxfId="2548" priority="151" stopIfTrue="1" operator="greaterThan">
      <formula>100</formula>
    </cfRule>
    <cfRule type="cellIs" dxfId="2547" priority="150" stopIfTrue="1" operator="lessThan">
      <formula>96</formula>
    </cfRule>
  </conditionalFormatting>
  <conditionalFormatting sqref="C72:C73">
    <cfRule type="cellIs" dxfId="2546" priority="98" stopIfTrue="1" operator="lessThanOrEqual">
      <formula>0</formula>
    </cfRule>
  </conditionalFormatting>
  <conditionalFormatting sqref="C72:C76">
    <cfRule type="cellIs" dxfId="2545" priority="97" stopIfTrue="1" operator="greaterThan">
      <formula>$F72</formula>
    </cfRule>
  </conditionalFormatting>
  <conditionalFormatting sqref="C73">
    <cfRule type="cellIs" dxfId="2544" priority="154" stopIfTrue="1" operator="greaterThan">
      <formula>$F72</formula>
    </cfRule>
  </conditionalFormatting>
  <conditionalFormatting sqref="C74:C77">
    <cfRule type="cellIs" dxfId="2543" priority="104" stopIfTrue="1" operator="lessThanOrEqual">
      <formula>0</formula>
    </cfRule>
  </conditionalFormatting>
  <conditionalFormatting sqref="C77">
    <cfRule type="cellIs" dxfId="2542" priority="103" stopIfTrue="1" operator="greaterThan">
      <formula>$J77</formula>
    </cfRule>
  </conditionalFormatting>
  <conditionalFormatting sqref="C83:C87">
    <cfRule type="cellIs" dxfId="2541" priority="142" stopIfTrue="1" operator="lessThanOrEqual">
      <formula>0</formula>
    </cfRule>
  </conditionalFormatting>
  <conditionalFormatting sqref="C84:C87">
    <cfRule type="cellIs" dxfId="2540" priority="141" stopIfTrue="1" operator="greaterThan">
      <formula>$F$83</formula>
    </cfRule>
  </conditionalFormatting>
  <conditionalFormatting sqref="C89">
    <cfRule type="cellIs" dxfId="2539" priority="144" stopIfTrue="1" operator="lessThanOrEqual">
      <formula>0</formula>
    </cfRule>
    <cfRule type="cellIs" dxfId="2538" priority="143" stopIfTrue="1" operator="greaterThan">
      <formula>$F$83</formula>
    </cfRule>
  </conditionalFormatting>
  <conditionalFormatting sqref="C83:D83 D85:D91">
    <cfRule type="cellIs" dxfId="2537" priority="136" stopIfTrue="1" operator="greaterThan">
      <formula>4.5</formula>
    </cfRule>
  </conditionalFormatting>
  <conditionalFormatting sqref="D56:D57">
    <cfRule type="cellIs" dxfId="2536" priority="120" operator="notBetween">
      <formula>#REF!</formula>
      <formula>#REF!</formula>
    </cfRule>
  </conditionalFormatting>
  <conditionalFormatting sqref="D72:D79">
    <cfRule type="cellIs" dxfId="2535" priority="114" stopIfTrue="1" operator="lessThanOrEqual">
      <formula>0</formula>
    </cfRule>
  </conditionalFormatting>
  <conditionalFormatting sqref="D80">
    <cfRule type="cellIs" dxfId="2534" priority="113" stopIfTrue="1" operator="lessThanOrEqual">
      <formula>0</formula>
    </cfRule>
  </conditionalFormatting>
  <conditionalFormatting sqref="D83 D85:D91">
    <cfRule type="cellIs" dxfId="2533" priority="137" stopIfTrue="1" operator="lessThanOrEqual">
      <formula>0</formula>
    </cfRule>
  </conditionalFormatting>
  <conditionalFormatting sqref="D84">
    <cfRule type="cellIs" dxfId="2532" priority="129" stopIfTrue="1" operator="lessThanOrEqual">
      <formula>0</formula>
    </cfRule>
    <cfRule type="cellIs" dxfId="2531" priority="128" stopIfTrue="1" operator="greaterThan">
      <formula>$F$83</formula>
    </cfRule>
  </conditionalFormatting>
  <conditionalFormatting sqref="D72:E81">
    <cfRule type="cellIs" dxfId="2530" priority="94" stopIfTrue="1" operator="greaterThan">
      <formula>$F72</formula>
    </cfRule>
  </conditionalFormatting>
  <conditionalFormatting sqref="D81:E81">
    <cfRule type="cellIs" dxfId="2529" priority="95" stopIfTrue="1" operator="lessThanOrEqual">
      <formula>0</formula>
    </cfRule>
  </conditionalFormatting>
  <conditionalFormatting sqref="E10:E31">
    <cfRule type="cellIs" dxfId="2528" priority="6" operator="lessThan">
      <formula>48</formula>
    </cfRule>
  </conditionalFormatting>
  <conditionalFormatting sqref="E59 E60:F60">
    <cfRule type="cellIs" dxfId="2527" priority="133" stopIfTrue="1" operator="greaterThan">
      <formula>100</formula>
    </cfRule>
  </conditionalFormatting>
  <conditionalFormatting sqref="E60">
    <cfRule type="cellIs" dxfId="2526" priority="131" stopIfTrue="1" operator="greaterThan">
      <formula>100</formula>
    </cfRule>
    <cfRule type="cellIs" dxfId="2525" priority="130" stopIfTrue="1" operator="lessThan">
      <formula>96.8</formula>
    </cfRule>
  </conditionalFormatting>
  <conditionalFormatting sqref="E72:E80">
    <cfRule type="cellIs" dxfId="2524" priority="108" stopIfTrue="1" operator="lessThanOrEqual">
      <formula>0</formula>
    </cfRule>
  </conditionalFormatting>
  <conditionalFormatting sqref="E83:E91">
    <cfRule type="cellIs" dxfId="2523" priority="123" stopIfTrue="1" operator="lessThanOrEqual">
      <formula>0</formula>
    </cfRule>
    <cfRule type="cellIs" dxfId="2522" priority="122" stopIfTrue="1" operator="greaterThan">
      <formula>4.5</formula>
    </cfRule>
  </conditionalFormatting>
  <conditionalFormatting sqref="E60:F60 E59">
    <cfRule type="cellIs" dxfId="2521" priority="132" stopIfTrue="1" operator="lessThan">
      <formula>96.5</formula>
    </cfRule>
  </conditionalFormatting>
  <conditionalFormatting sqref="F10:F31">
    <cfRule type="cellIs" dxfId="2520" priority="7" operator="greaterThan">
      <formula>60</formula>
    </cfRule>
  </conditionalFormatting>
  <conditionalFormatting sqref="F60">
    <cfRule type="cellIs" dxfId="2519" priority="149" stopIfTrue="1" operator="greaterThan">
      <formula>100</formula>
    </cfRule>
    <cfRule type="cellIs" dxfId="2518" priority="148" stopIfTrue="1" operator="lessThan">
      <formula>96.8</formula>
    </cfRule>
  </conditionalFormatting>
  <conditionalFormatting sqref="F81">
    <cfRule type="cellIs" dxfId="2517" priority="109" stopIfTrue="1" operator="greaterThan">
      <formula>$F81</formula>
    </cfRule>
    <cfRule type="cellIs" dxfId="2516" priority="110" stopIfTrue="1" operator="lessThanOrEqual">
      <formula>0</formula>
    </cfRule>
  </conditionalFormatting>
  <conditionalFormatting sqref="F86">
    <cfRule type="cellIs" dxfId="2515" priority="65" stopIfTrue="1" operator="lessThanOrEqual">
      <formula>0</formula>
    </cfRule>
    <cfRule type="cellIs" dxfId="2514" priority="64" stopIfTrue="1" operator="greaterThan">
      <formula>$F86</formula>
    </cfRule>
  </conditionalFormatting>
  <conditionalFormatting sqref="G10:G13">
    <cfRule type="expression" dxfId="2513" priority="15">
      <formula>IF(+(IF(G10&lt;$S$10,0,IF(G10&gt;$T$10,0,1)))=0,1)</formula>
    </cfRule>
  </conditionalFormatting>
  <conditionalFormatting sqref="G72:G73 C78:C80">
    <cfRule type="cellIs" dxfId="2512" priority="115" stopIfTrue="1" operator="greaterThan">
      <formula>$F72</formula>
    </cfRule>
    <cfRule type="cellIs" dxfId="2511" priority="116" stopIfTrue="1" operator="lessThanOrEqual">
      <formula>0</formula>
    </cfRule>
  </conditionalFormatting>
  <conditionalFormatting sqref="G72:G73">
    <cfRule type="cellIs" dxfId="2510" priority="99" stopIfTrue="1" operator="greaterThan">
      <formula>$F72</formula>
    </cfRule>
    <cfRule type="cellIs" dxfId="2509" priority="100" stopIfTrue="1" operator="lessThanOrEqual">
      <formula>0</formula>
    </cfRule>
  </conditionalFormatting>
  <conditionalFormatting sqref="G74">
    <cfRule type="cellIs" dxfId="2508" priority="152" stopIfTrue="1" operator="greaterThan">
      <formula>$F73</formula>
    </cfRule>
    <cfRule type="cellIs" dxfId="2507" priority="153" stopIfTrue="1" operator="lessThanOrEqual">
      <formula>0</formula>
    </cfRule>
  </conditionalFormatting>
  <conditionalFormatting sqref="G75">
    <cfRule type="cellIs" dxfId="2506" priority="112" stopIfTrue="1" operator="lessThanOrEqual">
      <formula>0</formula>
    </cfRule>
    <cfRule type="cellIs" dxfId="2505" priority="111" stopIfTrue="1" operator="greaterThan">
      <formula>$F75</formula>
    </cfRule>
  </conditionalFormatting>
  <conditionalFormatting sqref="G76:G80">
    <cfRule type="cellIs" dxfId="2504" priority="118" stopIfTrue="1" operator="lessThanOrEqual">
      <formula>0</formula>
    </cfRule>
    <cfRule type="cellIs" dxfId="2503" priority="117" stopIfTrue="1" operator="greaterThan">
      <formula>$J76</formula>
    </cfRule>
  </conditionalFormatting>
  <conditionalFormatting sqref="G85:G90 C88 C90">
    <cfRule type="cellIs" dxfId="2502" priority="145" stopIfTrue="1" operator="greaterThan">
      <formula>4.5</formula>
    </cfRule>
    <cfRule type="cellIs" dxfId="2501" priority="146" stopIfTrue="1" operator="lessThanOrEqual">
      <formula>0</formula>
    </cfRule>
  </conditionalFormatting>
  <conditionalFormatting sqref="G14:H31">
    <cfRule type="expression" dxfId="2500" priority="5">
      <formula>IF(+(IF(G14&lt;#REF!,0,IF(G14&gt;#REF!,0,1)))=0,1)</formula>
    </cfRule>
  </conditionalFormatting>
  <conditionalFormatting sqref="G84:H84">
    <cfRule type="cellIs" dxfId="2499" priority="126" stopIfTrue="1" operator="greaterThan">
      <formula>$F$83</formula>
    </cfRule>
    <cfRule type="cellIs" dxfId="2498" priority="127" stopIfTrue="1" operator="lessThanOrEqual">
      <formula>0</formula>
    </cfRule>
  </conditionalFormatting>
  <conditionalFormatting sqref="H10:H13">
    <cfRule type="expression" dxfId="2497" priority="16">
      <formula>IF(+(IF(H10&lt;#REF!,0,IF(H10&gt;#REF!,0,1)))=0,1)</formula>
    </cfRule>
  </conditionalFormatting>
  <conditionalFormatting sqref="H45:H59">
    <cfRule type="cellIs" dxfId="2496" priority="124" stopIfTrue="1" operator="greaterThan">
      <formula>0</formula>
    </cfRule>
  </conditionalFormatting>
  <conditionalFormatting sqref="H63">
    <cfRule type="cellIs" dxfId="2495" priority="34" stopIfTrue="1" operator="lessThanOrEqual">
      <formula>0</formula>
    </cfRule>
    <cfRule type="cellIs" dxfId="2494" priority="33" stopIfTrue="1" operator="greaterThan">
      <formula>$F$28</formula>
    </cfRule>
    <cfRule type="cellIs" dxfId="2493" priority="32" stopIfTrue="1" operator="lessThanOrEqual">
      <formula>0</formula>
    </cfRule>
    <cfRule type="cellIs" dxfId="2492" priority="31" stopIfTrue="1" operator="greaterThan">
      <formula>$F$30</formula>
    </cfRule>
    <cfRule type="cellIs" dxfId="2491" priority="23" stopIfTrue="1" operator="greaterThan">
      <formula>$F$27</formula>
    </cfRule>
    <cfRule type="cellIs" dxfId="2490" priority="22" stopIfTrue="1" operator="lessThanOrEqual">
      <formula>0</formula>
    </cfRule>
  </conditionalFormatting>
  <conditionalFormatting sqref="H64">
    <cfRule type="cellIs" dxfId="2489" priority="51" stopIfTrue="1" operator="lessThanOrEqual">
      <formula>0</formula>
    </cfRule>
    <cfRule type="cellIs" dxfId="2488" priority="52" stopIfTrue="1" operator="greaterThan">
      <formula>$F$29</formula>
    </cfRule>
    <cfRule type="cellIs" dxfId="2487" priority="60" stopIfTrue="1" operator="greaterThan">
      <formula>$F$32</formula>
    </cfRule>
    <cfRule type="cellIs" dxfId="2486" priority="61" stopIfTrue="1" operator="lessThanOrEqual">
      <formula>0</formula>
    </cfRule>
    <cfRule type="cellIs" dxfId="2485" priority="62" stopIfTrue="1" operator="greaterThan">
      <formula>$F$30</formula>
    </cfRule>
    <cfRule type="cellIs" dxfId="2484" priority="63" stopIfTrue="1" operator="lessThanOrEqual">
      <formula>0</formula>
    </cfRule>
  </conditionalFormatting>
  <conditionalFormatting sqref="H65:H67">
    <cfRule type="cellIs" dxfId="2483" priority="46" stopIfTrue="1" operator="greaterThan">
      <formula>$F$31</formula>
    </cfRule>
    <cfRule type="cellIs" dxfId="2482" priority="47" stopIfTrue="1" operator="lessThanOrEqual">
      <formula>0</formula>
    </cfRule>
    <cfRule type="cellIs" dxfId="2481" priority="48" stopIfTrue="1" operator="greaterThan">
      <formula>$F$29</formula>
    </cfRule>
    <cfRule type="cellIs" dxfId="2480" priority="49" stopIfTrue="1" operator="lessThanOrEqual">
      <formula>0</formula>
    </cfRule>
    <cfRule type="cellIs" dxfId="2479" priority="37" stopIfTrue="1" operator="lessThanOrEqual">
      <formula>0</formula>
    </cfRule>
    <cfRule type="cellIs" dxfId="2478" priority="38" stopIfTrue="1" operator="greaterThan">
      <formula>$F$28</formula>
    </cfRule>
  </conditionalFormatting>
  <conditionalFormatting sqref="H68">
    <cfRule type="cellIs" dxfId="2477" priority="79" stopIfTrue="1" operator="greaterThan">
      <formula>$F$45</formula>
    </cfRule>
    <cfRule type="cellIs" dxfId="2476" priority="80" stopIfTrue="1" operator="lessThanOrEqual">
      <formula>0</formula>
    </cfRule>
    <cfRule type="cellIs" dxfId="2475" priority="68" stopIfTrue="1" operator="lessThanOrEqual">
      <formula>0</formula>
    </cfRule>
    <cfRule type="cellIs" dxfId="2474" priority="69" stopIfTrue="1" operator="greaterThan">
      <formula>$F$44</formula>
    </cfRule>
    <cfRule type="cellIs" dxfId="2473" priority="77" stopIfTrue="1" operator="greaterThan">
      <formula>$F$47</formula>
    </cfRule>
    <cfRule type="cellIs" dxfId="2472" priority="78" stopIfTrue="1" operator="lessThanOrEqual">
      <formula>0</formula>
    </cfRule>
  </conditionalFormatting>
  <conditionalFormatting sqref="H72:H79">
    <cfRule type="cellIs" dxfId="2471" priority="101" stopIfTrue="1" operator="greaterThan">
      <formula>$J72</formula>
    </cfRule>
    <cfRule type="cellIs" dxfId="2470" priority="102" stopIfTrue="1" operator="lessThanOrEqual">
      <formula>0</formula>
    </cfRule>
  </conditionalFormatting>
  <conditionalFormatting sqref="H80">
    <cfRule type="cellIs" dxfId="2469" priority="105" operator="greaterThan">
      <formula>5.3</formula>
    </cfRule>
  </conditionalFormatting>
  <conditionalFormatting sqref="H83 H85:H91">
    <cfRule type="cellIs" dxfId="2468" priority="139" stopIfTrue="1" operator="lessThanOrEqual">
      <formula>0</formula>
    </cfRule>
    <cfRule type="cellIs" dxfId="2467" priority="138" stopIfTrue="1" operator="greaterThan">
      <formula>4.5</formula>
    </cfRule>
  </conditionalFormatting>
  <conditionalFormatting sqref="H63:I63">
    <cfRule type="cellIs" dxfId="2466" priority="21" stopIfTrue="1" operator="greaterThan">
      <formula>$F$29</formula>
    </cfRule>
    <cfRule type="cellIs" dxfId="2465" priority="24" stopIfTrue="1" operator="lessThanOrEqual">
      <formula>0</formula>
    </cfRule>
  </conditionalFormatting>
  <conditionalFormatting sqref="H64:I64">
    <cfRule type="cellIs" dxfId="2464" priority="50" stopIfTrue="1" operator="greaterThan">
      <formula>$F$31</formula>
    </cfRule>
    <cfRule type="cellIs" dxfId="2463" priority="53" stopIfTrue="1" operator="lessThanOrEqual">
      <formula>0</formula>
    </cfRule>
  </conditionalFormatting>
  <conditionalFormatting sqref="H65:I67">
    <cfRule type="cellIs" dxfId="2462" priority="39" stopIfTrue="1" operator="lessThanOrEqual">
      <formula>0</formula>
    </cfRule>
    <cfRule type="cellIs" dxfId="2461" priority="36" stopIfTrue="1" operator="greaterThan">
      <formula>$F$30</formula>
    </cfRule>
  </conditionalFormatting>
  <conditionalFormatting sqref="H68:I68">
    <cfRule type="cellIs" dxfId="2460" priority="70" stopIfTrue="1" operator="lessThanOrEqual">
      <formula>0</formula>
    </cfRule>
    <cfRule type="cellIs" dxfId="2459" priority="67" stopIfTrue="1" operator="greaterThan">
      <formula>$F$46</formula>
    </cfRule>
  </conditionalFormatting>
  <conditionalFormatting sqref="H81:I81">
    <cfRule type="cellIs" dxfId="2458" priority="92" stopIfTrue="1" operator="greaterThan">
      <formula>$J81</formula>
    </cfRule>
    <cfRule type="cellIs" dxfId="2457" priority="93" stopIfTrue="1" operator="lessThanOrEqual">
      <formula>0</formula>
    </cfRule>
  </conditionalFormatting>
  <conditionalFormatting sqref="I63">
    <cfRule type="cellIs" dxfId="2456" priority="26" stopIfTrue="1" operator="lessThanOrEqual">
      <formula>0</formula>
    </cfRule>
    <cfRule type="cellIs" dxfId="2455" priority="27" stopIfTrue="1" operator="greaterThan">
      <formula>$F$29</formula>
    </cfRule>
    <cfRule type="cellIs" dxfId="2454" priority="28" stopIfTrue="1" operator="lessThanOrEqual">
      <formula>0</formula>
    </cfRule>
    <cfRule type="cellIs" dxfId="2453" priority="29" stopIfTrue="1" operator="greaterThan">
      <formula>$F$27</formula>
    </cfRule>
    <cfRule type="cellIs" dxfId="2452" priority="30" stopIfTrue="1" operator="lessThanOrEqual">
      <formula>0</formula>
    </cfRule>
    <cfRule type="cellIs" dxfId="2451" priority="25" stopIfTrue="1" operator="greaterThan">
      <formula>$F$27</formula>
    </cfRule>
  </conditionalFormatting>
  <conditionalFormatting sqref="I64">
    <cfRule type="cellIs" dxfId="2450" priority="58" stopIfTrue="1" operator="greaterThan">
      <formula>$F$29</formula>
    </cfRule>
    <cfRule type="cellIs" dxfId="2449" priority="57" stopIfTrue="1" operator="lessThanOrEqual">
      <formula>0</formula>
    </cfRule>
    <cfRule type="cellIs" dxfId="2448" priority="56" stopIfTrue="1" operator="greaterThan">
      <formula>$F$31</formula>
    </cfRule>
    <cfRule type="cellIs" dxfId="2447" priority="55" stopIfTrue="1" operator="lessThanOrEqual">
      <formula>0</formula>
    </cfRule>
    <cfRule type="cellIs" dxfId="2446" priority="54" stopIfTrue="1" operator="greaterThan">
      <formula>$F$29</formula>
    </cfRule>
    <cfRule type="cellIs" dxfId="2445" priority="59" stopIfTrue="1" operator="lessThanOrEqual">
      <formula>0</formula>
    </cfRule>
  </conditionalFormatting>
  <conditionalFormatting sqref="I65:I67">
    <cfRule type="cellIs" dxfId="2444" priority="44" stopIfTrue="1" operator="greaterThan">
      <formula>$F$28</formula>
    </cfRule>
    <cfRule type="cellIs" dxfId="2443" priority="43" stopIfTrue="1" operator="lessThanOrEqual">
      <formula>0</formula>
    </cfRule>
    <cfRule type="cellIs" dxfId="2442" priority="42" stopIfTrue="1" operator="greaterThan">
      <formula>$F$30</formula>
    </cfRule>
    <cfRule type="cellIs" dxfId="2441" priority="41" stopIfTrue="1" operator="lessThanOrEqual">
      <formula>0</formula>
    </cfRule>
    <cfRule type="cellIs" dxfId="2440" priority="40" stopIfTrue="1" operator="greaterThan">
      <formula>$F$28</formula>
    </cfRule>
    <cfRule type="cellIs" dxfId="2439" priority="45" stopIfTrue="1" operator="lessThanOrEqual">
      <formula>0</formula>
    </cfRule>
  </conditionalFormatting>
  <conditionalFormatting sqref="I68">
    <cfRule type="cellIs" dxfId="2438" priority="71" stopIfTrue="1" operator="greaterThan">
      <formula>$F$44</formula>
    </cfRule>
    <cfRule type="cellIs" dxfId="2437" priority="76" stopIfTrue="1" operator="lessThanOrEqual">
      <formula>0</formula>
    </cfRule>
    <cfRule type="cellIs" dxfId="2436" priority="75" stopIfTrue="1" operator="greaterThan">
      <formula>$F$44</formula>
    </cfRule>
    <cfRule type="cellIs" dxfId="2435" priority="74" stopIfTrue="1" operator="lessThanOrEqual">
      <formula>0</formula>
    </cfRule>
    <cfRule type="cellIs" dxfId="2434" priority="73" stopIfTrue="1" operator="greaterThan">
      <formula>$F$46</formula>
    </cfRule>
    <cfRule type="cellIs" dxfId="2433" priority="72" stopIfTrue="1" operator="lessThanOrEqual">
      <formula>0</formula>
    </cfRule>
  </conditionalFormatting>
  <conditionalFormatting sqref="I72:I80">
    <cfRule type="cellIs" dxfId="2432" priority="106" stopIfTrue="1" operator="greaterThan">
      <formula>$J72</formula>
    </cfRule>
    <cfRule type="cellIs" dxfId="2431" priority="107" stopIfTrue="1" operator="lessThanOrEqual">
      <formula>0</formula>
    </cfRule>
  </conditionalFormatting>
  <conditionalFormatting sqref="I83:I91">
    <cfRule type="cellIs" dxfId="2430" priority="135" stopIfTrue="1" operator="lessThanOrEqual">
      <formula>0</formula>
    </cfRule>
    <cfRule type="cellIs" dxfId="2429" priority="134" stopIfTrue="1" operator="greaterThan">
      <formula>4.5</formula>
    </cfRule>
  </conditionalFormatting>
  <conditionalFormatting sqref="I10:J31">
    <cfRule type="cellIs" dxfId="2428" priority="8" operator="lessThan">
      <formula>97.9</formula>
    </cfRule>
  </conditionalFormatting>
  <conditionalFormatting sqref="J34:J36">
    <cfRule type="cellIs" dxfId="2427" priority="82" stopIfTrue="1" operator="lessThan">
      <formula>96.8</formula>
    </cfRule>
    <cfRule type="cellIs" dxfId="2426" priority="83" stopIfTrue="1" operator="greaterThan">
      <formula>100</formula>
    </cfRule>
    <cfRule type="cellIs" dxfId="2425" priority="84" operator="lessThan">
      <formula>98</formula>
    </cfRule>
  </conditionalFormatting>
  <conditionalFormatting sqref="J34:J38">
    <cfRule type="cellIs" dxfId="2424" priority="81" operator="lessThan">
      <formula>97.4</formula>
    </cfRule>
  </conditionalFormatting>
  <conditionalFormatting sqref="J39">
    <cfRule type="cellIs" dxfId="2423" priority="85" operator="lessThan">
      <formula>98</formula>
    </cfRule>
  </conditionalFormatting>
  <conditionalFormatting sqref="J41:J42">
    <cfRule type="cellIs" dxfId="2422" priority="87" stopIfTrue="1" operator="greaterThan">
      <formula>100</formula>
    </cfRule>
    <cfRule type="cellIs" dxfId="2421" priority="86" stopIfTrue="1" operator="lessThan">
      <formula>96.8</formula>
    </cfRule>
  </conditionalFormatting>
  <conditionalFormatting sqref="J41:J43">
    <cfRule type="cellIs" dxfId="2420" priority="88" operator="lessThan">
      <formula>98</formula>
    </cfRule>
  </conditionalFormatting>
  <conditionalFormatting sqref="J81">
    <cfRule type="cellIs" dxfId="2419" priority="89" stopIfTrue="1" operator="greaterThan">
      <formula>$F81</formula>
    </cfRule>
    <cfRule type="cellIs" dxfId="2418" priority="90" stopIfTrue="1" operator="lessThanOrEqual">
      <formula>0</formula>
    </cfRule>
  </conditionalFormatting>
  <conditionalFormatting sqref="K10:K31">
    <cfRule type="cellIs" dxfId="2417" priority="2" operator="greaterThan">
      <formula>6</formula>
    </cfRule>
    <cfRule type="cellIs" dxfId="2416" priority="4" operator="greaterThan">
      <formula>6.4</formula>
    </cfRule>
    <cfRule type="cellIs" dxfId="2415" priority="3" operator="lessThan">
      <formula>4</formula>
    </cfRule>
  </conditionalFormatting>
  <conditionalFormatting sqref="K63:K68">
    <cfRule type="cellIs" dxfId="2414" priority="66" stopIfTrue="1" operator="lessThan">
      <formula>100%</formula>
    </cfRule>
  </conditionalFormatting>
  <conditionalFormatting sqref="K83:K88">
    <cfRule type="cellIs" dxfId="2413" priority="140" stopIfTrue="1" operator="lessThan">
      <formula>100%</formula>
    </cfRule>
  </conditionalFormatting>
  <conditionalFormatting sqref="K90:K91">
    <cfRule type="cellIs" dxfId="2412" priority="147" stopIfTrue="1" operator="lessThan">
      <formula>100%</formula>
    </cfRule>
  </conditionalFormatting>
  <conditionalFormatting sqref="K72:N80">
    <cfRule type="cellIs" dxfId="2411" priority="35" stopIfTrue="1" operator="lessThan">
      <formula>100%</formula>
    </cfRule>
  </conditionalFormatting>
  <conditionalFormatting sqref="L10:L13">
    <cfRule type="cellIs" dxfId="2410" priority="13" operator="between">
      <formula>61</formula>
      <formula>65</formula>
    </cfRule>
    <cfRule type="cellIs" dxfId="2409" priority="14" operator="greaterThan">
      <formula>65</formula>
    </cfRule>
  </conditionalFormatting>
  <conditionalFormatting sqref="L16:L31">
    <cfRule type="cellIs" dxfId="2408" priority="11" operator="greaterThan">
      <formula>65</formula>
    </cfRule>
    <cfRule type="cellIs" dxfId="2407" priority="10" operator="between">
      <formula>61</formula>
      <formula>65</formula>
    </cfRule>
  </conditionalFormatting>
  <conditionalFormatting sqref="L14:M15">
    <cfRule type="cellIs" dxfId="2406" priority="17" operator="between">
      <formula>61</formula>
      <formula>65</formula>
    </cfRule>
    <cfRule type="cellIs" dxfId="2405" priority="18" operator="greaterThan">
      <formula>65</formula>
    </cfRule>
  </conditionalFormatting>
  <conditionalFormatting sqref="L34:M45">
    <cfRule type="cellIs" dxfId="2404" priority="96" operator="lessThan">
      <formula>98</formula>
    </cfRule>
  </conditionalFormatting>
  <conditionalFormatting sqref="L49:N49">
    <cfRule type="cellIs" dxfId="2403" priority="20" operator="notEqual">
      <formula>#REF!</formula>
    </cfRule>
  </conditionalFormatting>
  <conditionalFormatting sqref="L81:N81">
    <cfRule type="cellIs" dxfId="2402" priority="91" stopIfTrue="1" operator="lessThan">
      <formula>100%</formula>
    </cfRule>
  </conditionalFormatting>
  <conditionalFormatting sqref="L83:N91">
    <cfRule type="cellIs" dxfId="2401" priority="125" stopIfTrue="1" operator="lessThan">
      <formula>100%</formula>
    </cfRule>
  </conditionalFormatting>
  <conditionalFormatting sqref="M10:M13">
    <cfRule type="expression" dxfId="2400" priority="12">
      <formula>IF(+(IF(M10&lt;U10,0,IF(M10&gt;V10,0,1)))=0,1)</formula>
    </cfRule>
  </conditionalFormatting>
  <conditionalFormatting sqref="M14:M15">
    <cfRule type="expression" dxfId="2399" priority="19">
      <formula>IF(+(IF(M14&lt;U14,0,IF(M14&gt;V14,0,1)))=0,1)</formula>
    </cfRule>
  </conditionalFormatting>
  <conditionalFormatting sqref="M16:M31">
    <cfRule type="expression" dxfId="2398" priority="9">
      <formula>IF(+(IF(M16&lt;U16,0,IF(M16&gt;V16,0,1)))=0,1)</formula>
    </cfRule>
  </conditionalFormatting>
  <conditionalFormatting sqref="N10:N31">
    <cfRule type="expression" dxfId="2397" priority="1">
      <formula>IF(+(IF(N10&lt;W10,0,IF(N10&gt;X10,0,1)))=0,1)</formula>
    </cfRule>
  </conditionalFormatting>
  <conditionalFormatting sqref="P6">
    <cfRule type="cellIs" dxfId="2396" priority="121" operator="greaterThanOrEqual">
      <formula>19</formula>
    </cfRule>
  </conditionalFormatting>
  <dataValidations count="1">
    <dataValidation type="list" allowBlank="1" showInputMessage="1" showErrorMessage="1" sqref="R8" xr:uid="{8C018612-5C97-402F-84E6-F866036B42A6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893F-796A-4931-B57B-DE23E922BE0C}">
  <sheetPr>
    <pageSetUpPr fitToPage="1"/>
  </sheetPr>
  <dimension ref="A1:BE86"/>
  <sheetViews>
    <sheetView topLeftCell="A27" zoomScale="60" zoomScaleNormal="60" workbookViewId="0">
      <selection activeCell="B21" sqref="B21:O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45877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[24]Brewhouse!$A669</f>
        <v>CA561</v>
      </c>
      <c r="D10" s="279">
        <f>[24]Brewhouse!$AF669</f>
        <v>51.2</v>
      </c>
      <c r="E10" s="279">
        <f>[24]Brewhouse!$AI669</f>
        <v>51.1</v>
      </c>
      <c r="F10" s="278">
        <f>[24]Brewhouse!$V669</f>
        <v>61</v>
      </c>
      <c r="G10" s="279">
        <f>[24]Brewhouse!AG669</f>
        <v>11.7</v>
      </c>
      <c r="H10" s="396">
        <v>11.7</v>
      </c>
      <c r="I10" s="368">
        <f>[24]Brewhouse!$AU669</f>
        <v>97.705873048619281</v>
      </c>
      <c r="J10" s="368">
        <f>[24]Brewhouse!$AV669</f>
        <v>99.406603879130401</v>
      </c>
      <c r="K10" s="281">
        <f>[24]Brewhouse!$Q669</f>
        <v>9.2086330935251741</v>
      </c>
      <c r="L10" s="276">
        <f>[24]Brewhouse!$P669</f>
        <v>60</v>
      </c>
      <c r="M10" s="397">
        <f>[24]Brewhouse!$U669-[24]Brewhouse!$T669</f>
        <v>0.11458333333333334</v>
      </c>
      <c r="N10" s="370">
        <f>[24]Brewhouse!$Z669</f>
        <v>0.28472222222222221</v>
      </c>
      <c r="O10" s="371" t="str">
        <f>[24]Brewhouse!$AX669</f>
        <v>R. Regis</v>
      </c>
      <c r="P10" s="418"/>
      <c r="R10" s="277" t="str">
        <f t="shared" ref="R10:R33" si="0">B10</f>
        <v>CARIB</v>
      </c>
      <c r="S10" s="296">
        <f t="shared" ref="S10:S33" si="1">VLOOKUP($B10,$R$3:$X$9,2,FALSE)</f>
        <v>11.6</v>
      </c>
      <c r="T10" s="296">
        <f t="shared" ref="T10:T33" si="2">VLOOKUP($B10,$R$3:$X$9,3,FALSE)</f>
        <v>12</v>
      </c>
      <c r="U10" s="297">
        <f t="shared" ref="U10:U33" si="3">VLOOKUP($B10,$R$3:$X$9,4,FALSE)</f>
        <v>0</v>
      </c>
      <c r="V10" s="297">
        <f t="shared" ref="V10:V33" si="4">VLOOKUP($B10,$R$3:$X$9,5,FALSE)</f>
        <v>0.118055555555556</v>
      </c>
      <c r="W10" s="297">
        <f t="shared" ref="W10:W33" si="5">VLOOKUP($B10,$R$3:$X$9,6,FALSE)</f>
        <v>0.22569444444444445</v>
      </c>
      <c r="X10" s="297">
        <f t="shared" ref="X10:X33" si="6">VLOOKUP($B10,$R$3:$X$9,7,FALSE)</f>
        <v>0.2638888888888889</v>
      </c>
      <c r="Y10" s="297">
        <f t="shared" ref="Y10:Y33" si="7">VLOOKUP($B10,$R$3:$Z$9,8,FALSE)</f>
        <v>0</v>
      </c>
      <c r="Z10" s="296">
        <f t="shared" ref="Z10:Z33" si="8">VLOOKUP($B10,$R$3:$Z$9,9,FALSE)</f>
        <v>60</v>
      </c>
    </row>
    <row r="11" spans="2:29" ht="15.75" customHeight="1">
      <c r="B11" s="29" t="s">
        <v>6</v>
      </c>
      <c r="C11" s="366" t="str">
        <f>[24]Brewhouse!$A670</f>
        <v>CA562</v>
      </c>
      <c r="D11" s="279">
        <f>[24]Brewhouse!$AF670</f>
        <v>53.5</v>
      </c>
      <c r="E11" s="279">
        <f>[24]Brewhouse!$AI670</f>
        <v>52</v>
      </c>
      <c r="F11" s="278">
        <f>[24]Brewhouse!$V670</f>
        <v>62</v>
      </c>
      <c r="G11" s="279">
        <f>[24]Brewhouse!AG670</f>
        <v>11.6</v>
      </c>
      <c r="H11" s="396">
        <v>11.6</v>
      </c>
      <c r="I11" s="368">
        <f>[24]Brewhouse!$AU670</f>
        <v>94.605058854812228</v>
      </c>
      <c r="J11" s="368">
        <f>[24]Brewhouse!$AV670</f>
        <v>96.189215982554941</v>
      </c>
      <c r="K11" s="281">
        <f>[24]Brewhouse!$Q670</f>
        <v>4.2105263157894743</v>
      </c>
      <c r="L11" s="276">
        <f>[24]Brewhouse!$P670</f>
        <v>58</v>
      </c>
      <c r="M11" s="397">
        <f>[24]Brewhouse!$U670-[24]Brewhouse!$T670</f>
        <v>0.12013888888888891</v>
      </c>
      <c r="N11" s="370">
        <f>[24]Brewhouse!$Z670</f>
        <v>0.25</v>
      </c>
      <c r="O11" s="371" t="str">
        <f>[24]Brewhouse!$AX670</f>
        <v>D. Gomez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6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8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2"/>
      <c r="J13" s="422"/>
      <c r="K13" s="281"/>
      <c r="L13" s="276"/>
      <c r="M13" s="374"/>
      <c r="N13" s="370"/>
      <c r="O13" s="423"/>
      <c r="P13" s="418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6" hidden="1" customHeight="1">
      <c r="B14" s="33"/>
      <c r="C14" s="366"/>
      <c r="D14" s="279"/>
      <c r="E14" s="279"/>
      <c r="F14" s="278"/>
      <c r="G14" s="279"/>
      <c r="H14" s="396"/>
      <c r="I14" s="422"/>
      <c r="J14" s="422"/>
      <c r="K14" s="281"/>
      <c r="L14" s="276"/>
      <c r="M14" s="374"/>
      <c r="N14" s="370"/>
      <c r="O14" s="423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2"/>
      <c r="J15" s="422"/>
      <c r="K15" s="281"/>
      <c r="L15" s="276"/>
      <c r="M15" s="374"/>
      <c r="N15" s="370"/>
      <c r="O15" s="423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279"/>
      <c r="F16" s="278"/>
      <c r="G16" s="279"/>
      <c r="H16" s="396"/>
      <c r="I16" s="422"/>
      <c r="J16" s="422"/>
      <c r="K16" s="281"/>
      <c r="L16" s="276"/>
      <c r="M16" s="374"/>
      <c r="N16" s="370"/>
      <c r="O16" s="423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279"/>
      <c r="F17" s="278"/>
      <c r="G17" s="279"/>
      <c r="H17" s="396"/>
      <c r="I17" s="422"/>
      <c r="J17" s="422"/>
      <c r="K17" s="281"/>
      <c r="L17" s="276"/>
      <c r="M17" s="374"/>
      <c r="N17" s="370"/>
      <c r="O17" s="423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">
      <c r="B18" s="33" t="s">
        <v>9</v>
      </c>
      <c r="C18" s="366" t="str">
        <f>[22]Brewhouse!$A332</f>
        <v>ST311</v>
      </c>
      <c r="D18" s="279">
        <f>[22]Brewhouse!$AD332</f>
        <v>51.3</v>
      </c>
      <c r="E18" s="279">
        <f>[22]Brewhouse!$AG332</f>
        <v>50.9</v>
      </c>
      <c r="F18" s="278">
        <f>[22]Brewhouse!$V332</f>
        <v>65</v>
      </c>
      <c r="G18" s="463">
        <f>[22]Brewhouse!$AE332</f>
        <v>10.4</v>
      </c>
      <c r="H18" s="471">
        <v>10.5</v>
      </c>
      <c r="I18" s="422">
        <f>[22]Brewhouse!$AS332</f>
        <v>87.041642336261077</v>
      </c>
      <c r="J18" s="422">
        <f>[22]Brewhouse!$AT332</f>
        <v>88.296732506261321</v>
      </c>
      <c r="K18" s="281">
        <f>[22]Brewhouse!$Q332</f>
        <v>4.3643263757115829</v>
      </c>
      <c r="L18" s="276">
        <f>[22]Brewhouse!$P332</f>
        <v>61</v>
      </c>
      <c r="M18" s="374">
        <f>[22]Brewhouse!$U332-[22]Brewhouse!$T332</f>
        <v>0.10833333333333334</v>
      </c>
      <c r="N18" s="370">
        <f>[22]Brewhouse!$AW332</f>
        <v>0.25624999999999998</v>
      </c>
      <c r="O18" s="423" t="str">
        <f>[22]Brewhouse!$AV332</f>
        <v>R.Sookram</v>
      </c>
      <c r="P18" s="418"/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33" t="s">
        <v>9</v>
      </c>
      <c r="C19" s="366" t="str">
        <f>[22]Brewhouse!$A333</f>
        <v>ST312</v>
      </c>
      <c r="D19" s="279">
        <f>[22]Brewhouse!$AD333</f>
        <v>52.4</v>
      </c>
      <c r="E19" s="279">
        <f>[22]Brewhouse!$AG333</f>
        <v>51.4</v>
      </c>
      <c r="F19" s="278">
        <f>[22]Brewhouse!$V333</f>
        <v>56</v>
      </c>
      <c r="G19" s="472">
        <f>[22]Brewhouse!$AE333</f>
        <v>12</v>
      </c>
      <c r="H19" s="473">
        <v>12</v>
      </c>
      <c r="I19" s="422">
        <f>[22]Brewhouse!$AS333</f>
        <v>101.9986872683758</v>
      </c>
      <c r="J19" s="422">
        <f>[22]Brewhouse!$AT333</f>
        <v>103.46992492602902</v>
      </c>
      <c r="K19" s="281">
        <f>[22]Brewhouse!$Q333</f>
        <v>6.0218978102189737</v>
      </c>
      <c r="L19" s="276">
        <f>[22]Brewhouse!$P333</f>
        <v>60</v>
      </c>
      <c r="M19" s="374">
        <f>[22]Brewhouse!$U333-[22]Brewhouse!$T333</f>
        <v>0.10416666666666663</v>
      </c>
      <c r="N19" s="370">
        <f>[22]Brewhouse!$AW333</f>
        <v>0.26458333333333334</v>
      </c>
      <c r="O19" s="423" t="str">
        <f>[22]Brewhouse!$AV333</f>
        <v>R.Sookram</v>
      </c>
      <c r="P19" s="418"/>
      <c r="R19" s="277" t="str">
        <f t="shared" si="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33" t="s">
        <v>9</v>
      </c>
      <c r="C20" s="366" t="str">
        <f>[22]Brewhouse!$A334</f>
        <v>ST313</v>
      </c>
      <c r="D20" s="279">
        <f>[22]Brewhouse!$AD334</f>
        <v>51.4</v>
      </c>
      <c r="E20" s="279">
        <f>[22]Brewhouse!$AG334</f>
        <v>49.1</v>
      </c>
      <c r="F20" s="278">
        <f>[22]Brewhouse!$V334</f>
        <v>51</v>
      </c>
      <c r="G20" s="463">
        <f>[22]Brewhouse!$AE334</f>
        <v>12.1</v>
      </c>
      <c r="H20" s="471">
        <v>12.1</v>
      </c>
      <c r="I20" s="422">
        <f>[22]Brewhouse!$AS334</f>
        <v>98.410561007255168</v>
      </c>
      <c r="J20" s="422">
        <f>[22]Brewhouse!$AT334</f>
        <v>99.829584412940136</v>
      </c>
      <c r="K20" s="281">
        <f>[22]Brewhouse!$Q334</f>
        <v>3.4416826003824035</v>
      </c>
      <c r="L20" s="276">
        <f>[22]Brewhouse!$P334</f>
        <v>59</v>
      </c>
      <c r="M20" s="374">
        <f>[22]Brewhouse!$U334-[22]Brewhouse!$T334</f>
        <v>0.10624999999999996</v>
      </c>
      <c r="N20" s="370">
        <f>[22]Brewhouse!$AW334</f>
        <v>0.26180555555555551</v>
      </c>
      <c r="O20" s="423" t="str">
        <f>[22]Brewhouse!$AV334</f>
        <v>K. Benjamin</v>
      </c>
      <c r="P20" s="418" t="s">
        <v>180</v>
      </c>
      <c r="R20" s="277" t="str">
        <f t="shared" si="0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6" customHeight="1">
      <c r="B21" s="33" t="s">
        <v>9</v>
      </c>
      <c r="C21" s="366" t="str">
        <f>[22]Brewhouse!$A335</f>
        <v>ST314</v>
      </c>
      <c r="D21" s="279">
        <f>[22]Brewhouse!$AD335</f>
        <v>53.5</v>
      </c>
      <c r="E21" s="279">
        <f>[22]Brewhouse!$AG335</f>
        <v>51.7</v>
      </c>
      <c r="F21" s="278">
        <f>[22]Brewhouse!$V335</f>
        <v>60</v>
      </c>
      <c r="G21" s="463">
        <f>[22]Brewhouse!$AE335</f>
        <v>12.2</v>
      </c>
      <c r="H21" s="471">
        <v>12.2</v>
      </c>
      <c r="I21" s="422">
        <f>[22]Brewhouse!$AS335</f>
        <v>104.78294066497524</v>
      </c>
      <c r="J21" s="422">
        <f>[22]Brewhouse!$AT335</f>
        <v>106.29286939493277</v>
      </c>
      <c r="K21" s="281">
        <f>[22]Brewhouse!$Q335</f>
        <v>2.9520295202952052</v>
      </c>
      <c r="L21" s="276">
        <f>[22]Brewhouse!$P335</f>
        <v>60</v>
      </c>
      <c r="M21" s="374">
        <f>[22]Brewhouse!$U335-[22]Brewhouse!$T335</f>
        <v>0.12777777777777777</v>
      </c>
      <c r="N21" s="370">
        <f>[22]Brewhouse!$AW335</f>
        <v>0.28541666666666665</v>
      </c>
      <c r="O21" s="423" t="str">
        <f>[22]Brewhouse!$AV335</f>
        <v>K. Benjamin</v>
      </c>
      <c r="P21" s="418" t="s">
        <v>180</v>
      </c>
      <c r="R21" s="277" t="str">
        <f t="shared" si="0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1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customHeight="1">
      <c r="B24" s="29" t="s">
        <v>6</v>
      </c>
      <c r="C24" s="366" t="str">
        <f>[24]Brewhouse!$A671</f>
        <v>CA563</v>
      </c>
      <c r="D24" s="279">
        <f>[24]Brewhouse!$AF671</f>
        <v>51.6</v>
      </c>
      <c r="E24" s="279">
        <f>[24]Brewhouse!$AI671</f>
        <v>48.7</v>
      </c>
      <c r="F24" s="278">
        <f>[24]Brewhouse!$V671</f>
        <v>61</v>
      </c>
      <c r="G24" s="279">
        <f>[24]Brewhouse!AG671</f>
        <v>12</v>
      </c>
      <c r="H24" s="396">
        <v>11.6</v>
      </c>
      <c r="I24" s="368">
        <f>[24]Brewhouse!$AU671</f>
        <v>95.083980735081909</v>
      </c>
      <c r="J24" s="368">
        <f>[24]Brewhouse!$AV671</f>
        <v>96.671334581791371</v>
      </c>
      <c r="K24" s="281">
        <f>[24]Brewhouse!$Q671</f>
        <v>7.658802177858437</v>
      </c>
      <c r="L24" s="276">
        <f>[24]Brewhouse!$P671</f>
        <v>59</v>
      </c>
      <c r="M24" s="397">
        <f>[24]Brewhouse!$U671-[24]Brewhouse!$T671</f>
        <v>0.12430555555555567</v>
      </c>
      <c r="N24" s="370">
        <f>[24]Brewhouse!$Z671</f>
        <v>0.25625000000000009</v>
      </c>
      <c r="O24" s="371" t="str">
        <f>[24]Brewhouse!$AX671</f>
        <v>K.Benjamin</v>
      </c>
      <c r="P24" s="418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 t="s">
        <v>6</v>
      </c>
      <c r="C25" s="366" t="str">
        <f>[24]Brewhouse!$A672</f>
        <v>CA564</v>
      </c>
      <c r="D25" s="279">
        <f>[24]Brewhouse!$AF672</f>
        <v>53.1</v>
      </c>
      <c r="E25" s="279">
        <f>[24]Brewhouse!$AI672</f>
        <v>51.3</v>
      </c>
      <c r="F25" s="278">
        <f>[24]Brewhouse!$V672</f>
        <v>60</v>
      </c>
      <c r="G25" s="279">
        <f>[24]Brewhouse!AG672</f>
        <v>11.9</v>
      </c>
      <c r="H25" s="396">
        <v>11.7</v>
      </c>
      <c r="I25" s="368">
        <f>[24]Brewhouse!$AU672</f>
        <v>98.919122365093997</v>
      </c>
      <c r="J25" s="368">
        <f>[24]Brewhouse!$AV672</f>
        <v>100.57103645102447</v>
      </c>
      <c r="K25" s="281">
        <f>[24]Brewhouse!$Q672</f>
        <v>9.2063492063492038</v>
      </c>
      <c r="L25" s="276">
        <f>[24]Brewhouse!$P672</f>
        <v>59</v>
      </c>
      <c r="M25" s="397">
        <f>[24]Brewhouse!$U672-[24]Brewhouse!$T672</f>
        <v>0.10902777777777783</v>
      </c>
      <c r="N25" s="370">
        <f>[24]Brewhouse!$Z672</f>
        <v>0.24930555555555556</v>
      </c>
      <c r="O25" s="371" t="str">
        <f>[24]Brewhouse!$AX672</f>
        <v>R. Regis</v>
      </c>
      <c r="P25" s="418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[24]Brewhouse!$A673</f>
        <v>CA565</v>
      </c>
      <c r="D26" s="279">
        <f>[24]Brewhouse!$AF673</f>
        <v>52.9</v>
      </c>
      <c r="E26" s="279">
        <f>[24]Brewhouse!$AI673</f>
        <v>50.9</v>
      </c>
      <c r="F26" s="278">
        <f>[24]Brewhouse!$V673</f>
        <v>58</v>
      </c>
      <c r="G26" s="279">
        <f>[24]Brewhouse!AG673</f>
        <v>11.8</v>
      </c>
      <c r="H26" s="396">
        <v>11.8</v>
      </c>
      <c r="I26" s="368">
        <f>[24]Brewhouse!$AU673</f>
        <v>97.638634437393492</v>
      </c>
      <c r="J26" s="368">
        <f>[24]Brewhouse!$AV673</f>
        <v>99.268636260660372</v>
      </c>
      <c r="K26" s="281">
        <f>[24]Brewhouse!$Q673</f>
        <v>6.151079136690651</v>
      </c>
      <c r="L26" s="276">
        <f>[24]Brewhouse!$P673</f>
        <v>60</v>
      </c>
      <c r="M26" s="397">
        <f>[24]Brewhouse!$U673-[24]Brewhouse!$T673</f>
        <v>0.10763888888888884</v>
      </c>
      <c r="N26" s="370">
        <f>[24]Brewhouse!$Z673</f>
        <v>0.2534722222222221</v>
      </c>
      <c r="O26" s="371" t="str">
        <f>[24]Brewhouse!$AX673</f>
        <v>R. Regis</v>
      </c>
      <c r="P26" s="418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 t="s">
        <v>6</v>
      </c>
      <c r="C27" s="366" t="str">
        <f>[24]Brewhouse!$A674</f>
        <v>CA566</v>
      </c>
      <c r="D27" s="279">
        <f>[24]Brewhouse!$AF674</f>
        <v>53.6</v>
      </c>
      <c r="E27" s="279">
        <f>[24]Brewhouse!$AI674</f>
        <v>51.7</v>
      </c>
      <c r="F27" s="278">
        <f>[24]Brewhouse!$V674</f>
        <v>62</v>
      </c>
      <c r="G27" s="279">
        <f>[24]Brewhouse!AG674</f>
        <v>11.8</v>
      </c>
      <c r="H27" s="396"/>
      <c r="I27" s="368">
        <f>[24]Brewhouse!$AU674</f>
        <v>98.930528450895224</v>
      </c>
      <c r="J27" s="368">
        <f>[24]Brewhouse!$AV674</f>
        <v>100.58245492918194</v>
      </c>
      <c r="K27" s="281">
        <f>[24]Brewhouse!$Q674</f>
        <v>6.2857142857142794</v>
      </c>
      <c r="L27" s="276">
        <f>[24]Brewhouse!$P674</f>
        <v>60</v>
      </c>
      <c r="M27" s="397">
        <f>[24]Brewhouse!$U674-[24]Brewhouse!$T674</f>
        <v>0.11111111111111113</v>
      </c>
      <c r="N27" s="370">
        <f>[24]Brewhouse!$Z674</f>
        <v>0.25277777777777777</v>
      </c>
      <c r="O27" s="371" t="str">
        <f>[24]Brewhouse!$AX674</f>
        <v>R. Regis</v>
      </c>
      <c r="P27" s="418"/>
      <c r="R27" s="277" t="str">
        <f t="shared" si="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29"/>
      <c r="J32" s="529"/>
      <c r="K32" s="529"/>
      <c r="L32" s="529"/>
      <c r="M32" s="529"/>
      <c r="N32" s="529"/>
      <c r="O32" s="1"/>
      <c r="P32" s="12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thickBot="1">
      <c r="B33" s="388" t="s">
        <v>162</v>
      </c>
      <c r="C33" s="388"/>
      <c r="D33" s="542" t="s">
        <v>35</v>
      </c>
      <c r="E33" s="543"/>
      <c r="F33" s="294"/>
      <c r="G33" s="294"/>
      <c r="H33" s="348"/>
      <c r="I33" s="24" t="s">
        <v>17</v>
      </c>
      <c r="J33" s="25" t="s">
        <v>36</v>
      </c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" customHeight="1">
      <c r="A34" s="28"/>
      <c r="B34" s="583" t="str">
        <f>I34</f>
        <v>CARIB</v>
      </c>
      <c r="C34" s="362">
        <f>[24]Process!D608</f>
        <v>11.9</v>
      </c>
      <c r="D34" s="533">
        <v>11.6</v>
      </c>
      <c r="E34" s="522"/>
      <c r="F34" s="294"/>
      <c r="G34" s="294"/>
      <c r="H34" s="348"/>
      <c r="I34" s="29" t="s">
        <v>6</v>
      </c>
      <c r="J34" s="280">
        <f>AVERAGE(I10:I11,I24:I26)</f>
        <v>96.790533888200173</v>
      </c>
      <c r="K34" s="284">
        <f>COUNTA([24]Brewhouse!$A$655:$A$673)</f>
        <v>19</v>
      </c>
      <c r="L34" s="305">
        <f>AVERAGE([24]Brewhouse!$AU$655:$AU$673)</f>
        <v>97.732876130400882</v>
      </c>
      <c r="M3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$673)</f>
        <v>97.873675884579981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5" customHeight="1">
      <c r="A35" s="28"/>
      <c r="B35" s="584"/>
      <c r="C35" s="362">
        <f>[24]Process!D609</f>
        <v>11.9</v>
      </c>
      <c r="D35" s="534"/>
      <c r="E35" s="517"/>
      <c r="F35" s="294"/>
      <c r="G35" s="294"/>
      <c r="H35" s="348"/>
      <c r="I35" s="33" t="s">
        <v>9</v>
      </c>
      <c r="J35" s="280">
        <f>AVERAGE(I18:I21)</f>
        <v>98.058457819216827</v>
      </c>
      <c r="K35" s="284">
        <f>COUNTA([22]Brewhouse!$A$324:$A$335)</f>
        <v>12</v>
      </c>
      <c r="L35" s="302">
        <f>AVERAGE([22]Brewhouse!$AS$324:$AS$335)</f>
        <v>98.319987559189101</v>
      </c>
      <c r="M35" s="302">
        <f>AVERAGE([22]Brewhouse!$AS$15:$AS$64,[22]Brewhouse!$AS$66:$AS$103,[22]Brewhouse!$AS$105:$AS$140,[22]Brewhouse!$AS$142:$AS$193,[22]Brewhouse!$AS$195:$AS$240,[22]Brewhouse!$AS$242:$AS$273,[22]Brewhouse!$AS$275:$AS$322,[22]Brewhouse!$AS$324:$AS$335)</f>
        <v>98.075849067790173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65" customHeight="1">
      <c r="A36" s="28"/>
      <c r="B36" s="584"/>
      <c r="C36" s="362">
        <f>[24]Process!D610</f>
        <v>12</v>
      </c>
      <c r="D36" s="533">
        <v>11.6</v>
      </c>
      <c r="E36" s="522"/>
      <c r="F36" s="294"/>
      <c r="G36" s="294"/>
      <c r="H36" s="348"/>
      <c r="I36" s="34" t="s">
        <v>12</v>
      </c>
      <c r="J36" s="280"/>
      <c r="K36" s="284"/>
      <c r="L36" s="302"/>
      <c r="M36" s="302">
        <f>AVERAGE([25]Brewhouse!$AU$4:$AU$7,[25]Brewhouse!$AU$9:$AU$22,[25]Brewhouse!$AU$24:$AU$35,[25]Brewhouse!$AU$37:$AU$45,[25]Brewhouse!$AU$47:$AU$62,[25]Brewhouse!$AU$64:$AU$79)</f>
        <v>97.0189196363294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65" customHeight="1">
      <c r="A37" s="28"/>
      <c r="B37" s="584"/>
      <c r="C37" s="362">
        <f>[24]Process!D611</f>
        <v>11.8</v>
      </c>
      <c r="D37" s="534"/>
      <c r="E37" s="517"/>
      <c r="F37" s="294"/>
      <c r="G37" s="294"/>
      <c r="H37" s="348"/>
      <c r="I37" s="22" t="s">
        <v>33</v>
      </c>
      <c r="J37" s="280"/>
      <c r="K37" s="284">
        <f>COUNTA([26]Brewhouse!$A$64:$A$67)</f>
        <v>4</v>
      </c>
      <c r="L37" s="302">
        <f>AVERAGE([26]Brewhouse!$AV$64:$AV$67)</f>
        <v>97.964622396575123</v>
      </c>
      <c r="M37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65" customHeight="1">
      <c r="A38" s="28"/>
      <c r="B38" s="584"/>
      <c r="C38" s="362">
        <f>[24]Process!D620</f>
        <v>12.1</v>
      </c>
      <c r="D38" s="533">
        <v>11.61</v>
      </c>
      <c r="E38" s="522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65" customHeight="1">
      <c r="A39" s="28"/>
      <c r="B39" s="584"/>
      <c r="C39" s="362">
        <f>[24]Process!D621</f>
        <v>11.9</v>
      </c>
      <c r="D39" s="534"/>
      <c r="E39" s="517"/>
      <c r="F39" s="417"/>
      <c r="G39" s="294"/>
      <c r="H39" s="348"/>
      <c r="I39" s="36" t="s">
        <v>15</v>
      </c>
      <c r="J39" s="323"/>
      <c r="K39" s="284"/>
      <c r="L39" s="302"/>
      <c r="M39" s="302">
        <f>AVERAGE([27]Brewhouse!$AT$4:$AT$11,[27]Brewhouse!$AT$13:$AT$16,[27]Brewhouse!$AT$18:$AT$21,[27]Brewhouse!$AT$26)</f>
        <v>94.588057846623641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65" customHeight="1">
      <c r="A40" s="28"/>
      <c r="B40" s="584"/>
      <c r="C40" s="349">
        <f>[24]Process!D622</f>
        <v>12</v>
      </c>
      <c r="D40" s="533">
        <v>11.6</v>
      </c>
      <c r="E40" s="522"/>
      <c r="F40" s="417"/>
      <c r="G40" s="294"/>
      <c r="H40" s="348"/>
      <c r="I40" s="37" t="s">
        <v>16</v>
      </c>
      <c r="J40" s="323"/>
      <c r="K40" s="284"/>
      <c r="L40" s="302"/>
      <c r="M40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40" s="30">
        <v>98</v>
      </c>
      <c r="O40" s="11"/>
      <c r="P40" s="31" t="s">
        <v>41</v>
      </c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65" customHeight="1">
      <c r="A41" s="28"/>
      <c r="B41" s="584"/>
      <c r="C41" s="349">
        <f>[24]Process!D623</f>
        <v>12</v>
      </c>
      <c r="D41" s="534"/>
      <c r="E41" s="517"/>
      <c r="F41" s="294"/>
      <c r="G41" s="294"/>
      <c r="H41" s="348"/>
      <c r="I41" s="411" t="s">
        <v>158</v>
      </c>
      <c r="J41" s="326"/>
      <c r="K41" s="284"/>
      <c r="L41" s="305"/>
      <c r="M41" s="305">
        <f>AVERAGE([28]Brewhouse!$AU$5:$AU$8,[28]Brewhouse!$AU$10:$AU$13)</f>
        <v>94.247666625193744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65" customHeight="1">
      <c r="A42" s="28"/>
      <c r="B42" s="584"/>
      <c r="C42" s="349">
        <f>[24]Process!D624</f>
        <v>11.9</v>
      </c>
      <c r="D42" s="533">
        <v>11.63</v>
      </c>
      <c r="E42" s="522"/>
      <c r="F42" s="294"/>
      <c r="G42" s="294"/>
      <c r="H42" s="348"/>
      <c r="I42" s="410" t="s">
        <v>157</v>
      </c>
      <c r="J42" s="326"/>
      <c r="K42" s="284"/>
      <c r="L42" s="305"/>
      <c r="M42" s="305">
        <f>AVERAGE([29]Brewhouse!$AW$26:$AW$27)</f>
        <v>95.310680905194914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84"/>
      <c r="C43" s="349">
        <f>[24]Process!D625</f>
        <v>11.8</v>
      </c>
      <c r="D43" s="534"/>
      <c r="E43" s="517"/>
      <c r="F43" s="294"/>
      <c r="G43" s="294"/>
      <c r="H43" s="348"/>
      <c r="I43" s="406" t="s">
        <v>156</v>
      </c>
      <c r="J43" s="327"/>
      <c r="K43" s="407"/>
      <c r="L43" s="408"/>
      <c r="M43" s="408">
        <f>AVERAGE([30]Brewhouse!$AU$13:$AU$14)</f>
        <v>97.110575243268045</v>
      </c>
      <c r="N43" s="409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84"/>
      <c r="C44" s="349">
        <f>[24]Process!D626</f>
        <v>11.8</v>
      </c>
      <c r="D44" s="533">
        <v>11.64</v>
      </c>
      <c r="E44" s="522"/>
      <c r="F44" s="294"/>
      <c r="G44" s="294"/>
      <c r="H44" s="348"/>
      <c r="I44" s="1"/>
      <c r="J44" s="39"/>
      <c r="K44" s="404">
        <f>SUM(K34:K43)</f>
        <v>35</v>
      </c>
      <c r="L44" s="405">
        <f>((L34*K34)+(L35*K35)+(L36*K36)+(L37*K37)+(L38*K38)+(K41*L41)+(L39*K39)+(L40*K40)+(L43*K43))/(K44)</f>
        <v>97.960656764976761</v>
      </c>
      <c r="M44" s="405">
        <f>AVERAGE('[31]Jan 31st'!$L$65,'[32]Feb 28th'!$L$35,'[33]Mar. 31st'!$L$35,'[34]Apr. 30th'!$L$45,'[35]May 30th'!$L$37,'[36]June 30th'!$L$57,L44)</f>
        <v>97.701795323148389</v>
      </c>
      <c r="N44" s="4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.75" thickBot="1">
      <c r="B45" s="585"/>
      <c r="C45" s="350">
        <f>[24]Process!D627</f>
        <v>11.7</v>
      </c>
      <c r="D45" s="534"/>
      <c r="E45" s="517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.75" thickBot="1">
      <c r="B46" s="580"/>
      <c r="C46" s="362"/>
      <c r="D46" s="514"/>
      <c r="E46" s="515"/>
      <c r="F46" s="294"/>
      <c r="G46" s="42"/>
      <c r="H46" s="41"/>
      <c r="I46" s="42"/>
      <c r="J46" s="569" t="s">
        <v>129</v>
      </c>
      <c r="K46" s="569"/>
      <c r="L46" s="294"/>
      <c r="M46" s="294"/>
      <c r="N46" s="294"/>
      <c r="O46" s="294"/>
      <c r="P46" s="12"/>
    </row>
    <row r="47" spans="1:27" ht="15.75" thickBot="1">
      <c r="B47" s="581"/>
      <c r="C47" s="362"/>
      <c r="D47" s="516"/>
      <c r="E47" s="517"/>
      <c r="F47" s="294"/>
      <c r="G47" s="42"/>
      <c r="H47" s="41"/>
      <c r="I47" s="42"/>
      <c r="J47" s="292" t="s">
        <v>17</v>
      </c>
      <c r="K47" s="293" t="s">
        <v>147</v>
      </c>
      <c r="L47" s="519" t="s">
        <v>136</v>
      </c>
      <c r="M47" s="519"/>
      <c r="N47" s="520"/>
      <c r="O47" s="294"/>
      <c r="P47" s="12"/>
    </row>
    <row r="48" spans="1:27" ht="15" customHeight="1" thickBot="1">
      <c r="B48" s="581"/>
      <c r="C48" s="349"/>
      <c r="D48" s="570"/>
      <c r="E48" s="571"/>
      <c r="F48" s="294"/>
      <c r="G48" s="42"/>
      <c r="H48" s="41"/>
      <c r="I48" s="42"/>
      <c r="J48" s="287" t="s">
        <v>6</v>
      </c>
      <c r="K48" s="324">
        <v>5</v>
      </c>
      <c r="L48" s="343" t="s">
        <v>37</v>
      </c>
      <c r="M48" s="307" t="s">
        <v>38</v>
      </c>
      <c r="N48" s="307" t="s">
        <v>84</v>
      </c>
      <c r="O48" s="294"/>
      <c r="P48" s="12"/>
    </row>
    <row r="49" spans="2:57" ht="15.75" customHeight="1" thickBot="1">
      <c r="B49" s="581"/>
      <c r="C49" s="349"/>
      <c r="D49" s="516"/>
      <c r="E49" s="517"/>
      <c r="F49" s="294"/>
      <c r="G49" s="42"/>
      <c r="H49" s="41"/>
      <c r="I49" s="42"/>
      <c r="J49" s="345" t="s">
        <v>9</v>
      </c>
      <c r="K49" s="324">
        <v>4</v>
      </c>
      <c r="L49" s="344">
        <f>AVERAGE('Aug 4th '!K58,'Aug 5th '!K58,K58)</f>
        <v>8</v>
      </c>
      <c r="M49" s="325">
        <f>AVERAGE('[31]Jan 29th '!$M$70,'[32]Feb 28th'!$L$40,'[33]Mar. 31st'!$L$40,'[34]Apr. 30th'!$L$50,'[35]May 30th'!$L$42,'[36]June 30th'!$L$62,'[37]July 29th '!$L$49,L49)</f>
        <v>7.0396146092656382</v>
      </c>
      <c r="N49" s="416">
        <v>9.1999999999999993</v>
      </c>
      <c r="O49" s="294"/>
      <c r="P49" s="12"/>
    </row>
    <row r="50" spans="2:57" ht="15" customHeight="1">
      <c r="B50" s="581"/>
      <c r="C50" s="349"/>
      <c r="D50" s="570"/>
      <c r="E50" s="571"/>
      <c r="F50" s="294"/>
      <c r="G50" s="42"/>
      <c r="H50" s="41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81"/>
      <c r="C51" s="349"/>
      <c r="D51" s="516"/>
      <c r="E51" s="517"/>
      <c r="F51" s="294"/>
      <c r="G51" s="42"/>
      <c r="H51" s="41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81"/>
      <c r="C52" s="349"/>
      <c r="D52" s="570"/>
      <c r="E52" s="571"/>
      <c r="F52" s="294"/>
      <c r="G52" s="42"/>
      <c r="H52" s="41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81"/>
      <c r="C53" s="349"/>
      <c r="D53" s="516"/>
      <c r="E53" s="517"/>
      <c r="F53" s="294"/>
      <c r="G53" s="42"/>
      <c r="H53" s="41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81"/>
      <c r="C54" s="349"/>
      <c r="D54" s="570"/>
      <c r="E54" s="571"/>
      <c r="F54" s="294"/>
      <c r="G54" s="42"/>
      <c r="H54" s="41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82"/>
      <c r="C55" s="350"/>
      <c r="D55" s="572"/>
      <c r="E55" s="573"/>
      <c r="F55" s="294"/>
      <c r="G55" s="42"/>
      <c r="H55" s="41"/>
      <c r="I55" s="42"/>
      <c r="J55" s="291" t="s">
        <v>148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74">
        <f>AVERAGE(D34:E55)</f>
        <v>11.613333333333335</v>
      </c>
      <c r="E56" s="575"/>
      <c r="F56" s="294"/>
      <c r="H56" s="41"/>
      <c r="I56" s="42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1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1"/>
      <c r="I58" s="42"/>
      <c r="J58" s="346" t="s">
        <v>130</v>
      </c>
      <c r="K58" s="324">
        <f>SUM(K48:K57)</f>
        <v>9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495" t="s">
        <v>17</v>
      </c>
      <c r="C61" s="495" t="s">
        <v>44</v>
      </c>
      <c r="D61" s="507" t="s">
        <v>45</v>
      </c>
      <c r="E61" s="509" t="s">
        <v>46</v>
      </c>
      <c r="F61" s="503" t="s">
        <v>47</v>
      </c>
      <c r="G61" s="493" t="s">
        <v>48</v>
      </c>
      <c r="H61" s="495" t="s">
        <v>49</v>
      </c>
      <c r="I61" s="495" t="s">
        <v>50</v>
      </c>
      <c r="J61" s="487" t="s">
        <v>28</v>
      </c>
      <c r="K61" s="499" t="s">
        <v>51</v>
      </c>
      <c r="L61" s="501" t="s">
        <v>52</v>
      </c>
      <c r="M61" s="487" t="s">
        <v>53</v>
      </c>
      <c r="N61" s="13"/>
      <c r="O61" s="13"/>
      <c r="P61" s="50"/>
    </row>
    <row r="62" spans="2:57" ht="28.5" customHeight="1" thickTop="1" thickBot="1">
      <c r="B62" s="496"/>
      <c r="C62" s="496"/>
      <c r="D62" s="508"/>
      <c r="E62" s="510"/>
      <c r="F62" s="504"/>
      <c r="G62" s="494"/>
      <c r="H62" s="496"/>
      <c r="I62" s="496"/>
      <c r="J62" s="488"/>
      <c r="K62" s="500"/>
      <c r="L62" s="502"/>
      <c r="M62" s="488"/>
      <c r="N62" s="13"/>
      <c r="O62" s="13"/>
      <c r="P62" s="50"/>
      <c r="Q62" s="355"/>
      <c r="AB62" s="51">
        <v>43474</v>
      </c>
      <c r="AC62" s="51">
        <v>43475</v>
      </c>
      <c r="AD62" s="51">
        <v>43476</v>
      </c>
      <c r="AE62" s="51">
        <v>43477</v>
      </c>
      <c r="AF62" s="51">
        <v>43478</v>
      </c>
      <c r="AG62" s="51">
        <v>43479</v>
      </c>
      <c r="AH62" s="51">
        <v>43480</v>
      </c>
      <c r="AI62" s="51">
        <v>43481</v>
      </c>
      <c r="AJ62" s="51">
        <v>43482</v>
      </c>
      <c r="AK62" s="51">
        <v>43483</v>
      </c>
      <c r="AL62" s="51">
        <v>43484</v>
      </c>
      <c r="AM62" s="51">
        <v>43485</v>
      </c>
      <c r="AN62" s="51">
        <v>43486</v>
      </c>
      <c r="AO62" s="51">
        <v>43487</v>
      </c>
      <c r="AP62" s="51">
        <v>43488</v>
      </c>
      <c r="AQ62" s="51">
        <v>43489</v>
      </c>
      <c r="AR62" s="51">
        <v>43490</v>
      </c>
      <c r="AS62" s="51">
        <v>43491</v>
      </c>
      <c r="AT62" s="51">
        <v>43492</v>
      </c>
      <c r="AU62" s="51">
        <v>43493</v>
      </c>
      <c r="AV62" s="51">
        <v>43494</v>
      </c>
      <c r="AW62" s="51">
        <v>43495</v>
      </c>
      <c r="AX62" s="51">
        <v>43496</v>
      </c>
    </row>
    <row r="63" spans="2:57" s="54" customFormat="1" ht="59.45" customHeight="1" thickBot="1">
      <c r="B63" s="387" t="str">
        <f>B72</f>
        <v>CARIB</v>
      </c>
      <c r="C63" s="445">
        <v>45876</v>
      </c>
      <c r="D63" s="446">
        <f>[38]August_2025!$J$3</f>
        <v>612.29999999999995</v>
      </c>
      <c r="E63" s="447"/>
      <c r="F63" s="448"/>
      <c r="G63" s="449">
        <f>[38]August_2025!$J$7</f>
        <v>578.79999999999995</v>
      </c>
      <c r="H63" s="450"/>
      <c r="I63" s="451"/>
      <c r="J63" s="452" t="s">
        <v>178</v>
      </c>
      <c r="K63" s="453">
        <f>[39]August_2025!$J$18</f>
        <v>1.015438596491228</v>
      </c>
      <c r="L63" s="466">
        <f>(((D63+E63)-G63)/(D63+E63))*100</f>
        <v>5.4711742609831786</v>
      </c>
      <c r="M63" s="465" t="s">
        <v>179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[20]January_2019!L7</f>
        <v>285.8</v>
      </c>
      <c r="AC63" s="57">
        <f>[20]January_2019!M7</f>
        <v>508.1</v>
      </c>
      <c r="AD63" s="57">
        <f>[20]January_2019!N7</f>
        <v>0</v>
      </c>
      <c r="AE63" s="57">
        <f>[20]January_2019!O7</f>
        <v>0</v>
      </c>
      <c r="AF63" s="57">
        <f>[20]January_2019!P7</f>
        <v>109.56666666666666</v>
      </c>
      <c r="AG63" s="57">
        <f>[20]January_2019!Q7</f>
        <v>297.64999999999998</v>
      </c>
      <c r="AH63" s="57">
        <f>[20]January_2019!R7</f>
        <v>122.3</v>
      </c>
      <c r="AI63" s="57">
        <f>[20]January_2019!S7</f>
        <v>0</v>
      </c>
      <c r="AJ63" s="57">
        <f>[20]January_2019!T7</f>
        <v>294.7</v>
      </c>
      <c r="AK63" s="57">
        <f>[20]January_2019!U7</f>
        <v>280.5</v>
      </c>
      <c r="AL63" s="57">
        <f>[20]January_2019!V7</f>
        <v>0</v>
      </c>
      <c r="AM63" s="57">
        <f>[20]January_2019!W7</f>
        <v>0</v>
      </c>
      <c r="AN63" s="57">
        <f>[20]January_2019!X7</f>
        <v>188.25</v>
      </c>
      <c r="AO63" s="57">
        <f>[20]January_2019!Y7</f>
        <v>295.7</v>
      </c>
      <c r="AP63" s="57">
        <f>[20]January_2019!Z7</f>
        <v>257.8</v>
      </c>
      <c r="AQ63" s="57">
        <f>[20]January_2019!AA7</f>
        <v>291.2</v>
      </c>
      <c r="AR63" s="57">
        <f>[20]January_2019!AB7</f>
        <v>187</v>
      </c>
      <c r="AS63" s="57">
        <f>[20]January_2019!AC7</f>
        <v>0</v>
      </c>
      <c r="AT63" s="57">
        <f>[20]January_2019!AD7</f>
        <v>0</v>
      </c>
      <c r="AU63" s="57">
        <f>[20]January_2019!AE7</f>
        <v>485.1</v>
      </c>
      <c r="AV63" s="57">
        <f>[20]January_2019!AF7</f>
        <v>171.55</v>
      </c>
      <c r="AW63" s="57">
        <f>[20]January_2019!AG7</f>
        <v>423.8</v>
      </c>
      <c r="AX63" s="277">
        <f>[20]January_2019!AH7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20.45" customHeight="1">
      <c r="B64" s="469"/>
      <c r="C64" s="434"/>
      <c r="D64" s="435"/>
      <c r="E64" s="436"/>
      <c r="F64" s="437"/>
      <c r="G64" s="438"/>
      <c r="H64" s="439"/>
      <c r="I64" s="454"/>
      <c r="J64" s="455"/>
      <c r="K64" s="440"/>
      <c r="L64" s="456"/>
      <c r="M64" s="42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9" hidden="1" customHeight="1" thickBot="1">
      <c r="B65" s="470"/>
      <c r="C65" s="445"/>
      <c r="D65" s="446"/>
      <c r="E65" s="447"/>
      <c r="F65" s="448"/>
      <c r="G65" s="449"/>
      <c r="H65" s="450"/>
      <c r="I65" s="451"/>
      <c r="J65" s="452" t="s">
        <v>178</v>
      </c>
      <c r="K65" s="453"/>
      <c r="L65" s="466" t="e">
        <f>(((D65+E65)-G65)/(D65+E65))*100</f>
        <v>#DIV/0!</v>
      </c>
      <c r="M65" s="465" t="s">
        <v>170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>
      <c r="B66" s="458"/>
      <c r="C66" s="434"/>
      <c r="D66" s="435"/>
      <c r="E66" s="436"/>
      <c r="F66" s="437"/>
      <c r="G66" s="438"/>
      <c r="H66" s="439"/>
      <c r="I66" s="454"/>
      <c r="J66" s="455"/>
      <c r="K66" s="440"/>
      <c r="L66" s="456"/>
      <c r="M66" s="42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6.6" hidden="1" customHeight="1" thickBot="1">
      <c r="B67" s="387"/>
      <c r="C67" s="445">
        <v>45873</v>
      </c>
      <c r="D67" s="446"/>
      <c r="E67" s="447"/>
      <c r="F67" s="448"/>
      <c r="G67" s="449"/>
      <c r="H67" s="450"/>
      <c r="I67" s="451"/>
      <c r="J67" s="452" t="s">
        <v>163</v>
      </c>
      <c r="K67" s="453"/>
      <c r="L67" s="459" t="e">
        <f>(((D67+E67)-G67)/(D67+E67))*100</f>
        <v>#DIV/0!</v>
      </c>
      <c r="M67" s="46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41"/>
      <c r="C68" s="427"/>
      <c r="D68" s="428"/>
      <c r="E68" s="429"/>
      <c r="F68" s="430"/>
      <c r="G68" s="431"/>
      <c r="H68" s="432"/>
      <c r="I68" s="442"/>
      <c r="J68" s="443"/>
      <c r="K68" s="433"/>
      <c r="L68" s="444"/>
      <c r="M68" s="426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489" t="s">
        <v>55</v>
      </c>
      <c r="C70" s="490"/>
      <c r="D70" s="490"/>
      <c r="E70" s="490"/>
      <c r="F70" s="491"/>
      <c r="G70" s="489" t="s">
        <v>56</v>
      </c>
      <c r="H70" s="490"/>
      <c r="I70" s="490"/>
      <c r="J70" s="491"/>
      <c r="K70" s="489" t="s">
        <v>51</v>
      </c>
      <c r="L70" s="490"/>
      <c r="M70" s="490"/>
      <c r="N70" s="492"/>
      <c r="O70" s="56"/>
      <c r="P70" s="50"/>
    </row>
    <row r="71" spans="2:57" ht="15">
      <c r="B71" s="61" t="s">
        <v>17</v>
      </c>
      <c r="C71" s="62" t="s">
        <v>36</v>
      </c>
      <c r="D71" s="62"/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65">
        <f>L63</f>
        <v>5.4711742609831786</v>
      </c>
      <c r="D72" s="76">
        <v>5.4152068350851392</v>
      </c>
      <c r="E72" s="76">
        <v>6.2974824219348164</v>
      </c>
      <c r="F72" s="66">
        <v>4.8</v>
      </c>
      <c r="G72" s="65">
        <f>[38]August_2025!$J$11</f>
        <v>7.9767575938245976</v>
      </c>
      <c r="H72" s="76">
        <v>6.8578570389878051</v>
      </c>
      <c r="I72" s="76">
        <v>6.2174321894032589</v>
      </c>
      <c r="J72" s="66">
        <v>4.8</v>
      </c>
      <c r="K72" s="67">
        <f>K63</f>
        <v>1.015438596491228</v>
      </c>
      <c r="L72" s="194">
        <v>0.89988304093567251</v>
      </c>
      <c r="M72" s="194">
        <v>0.74535277634725416</v>
      </c>
      <c r="N72" s="68">
        <v>1</v>
      </c>
      <c r="O72" s="56"/>
      <c r="P72" s="69"/>
    </row>
    <row r="73" spans="2:57" ht="15">
      <c r="B73" s="33" t="s">
        <v>9</v>
      </c>
      <c r="C73" s="65"/>
      <c r="D73" s="76"/>
      <c r="E73" s="76">
        <v>5.9419799243536175</v>
      </c>
      <c r="F73" s="66">
        <v>4.8</v>
      </c>
      <c r="G73" s="65"/>
      <c r="H73" s="76"/>
      <c r="I73" s="76">
        <v>5.5277535995776326</v>
      </c>
      <c r="J73" s="66">
        <v>4.8</v>
      </c>
      <c r="K73" s="67"/>
      <c r="L73" s="194"/>
      <c r="M73" s="194">
        <v>0.75853637615238823</v>
      </c>
      <c r="N73" s="68">
        <v>1</v>
      </c>
      <c r="P73" s="69"/>
    </row>
    <row r="74" spans="2:57" ht="15">
      <c r="B74" s="34" t="s">
        <v>40</v>
      </c>
      <c r="C74" s="65"/>
      <c r="D74" s="76">
        <v>8.0382775119617147</v>
      </c>
      <c r="E74" s="76">
        <v>11.429743886837057</v>
      </c>
      <c r="F74" s="66">
        <v>5.5</v>
      </c>
      <c r="G74" s="65"/>
      <c r="H74" s="76">
        <v>10.370027728825649</v>
      </c>
      <c r="I74" s="76">
        <v>13.047305235287777</v>
      </c>
      <c r="J74" s="66">
        <v>5.5</v>
      </c>
      <c r="K74" s="67"/>
      <c r="L74" s="194">
        <v>0.67438596491228076</v>
      </c>
      <c r="M74" s="194">
        <v>0.55172216056233814</v>
      </c>
      <c r="N74" s="68">
        <v>1</v>
      </c>
      <c r="P74" s="69"/>
    </row>
    <row r="75" spans="2:57" ht="15">
      <c r="B75" s="22" t="s">
        <v>33</v>
      </c>
      <c r="C75" s="65"/>
      <c r="D75" s="76">
        <v>6.0500000000000114</v>
      </c>
      <c r="E75" s="76">
        <v>5.1850280988230084</v>
      </c>
      <c r="F75" s="66">
        <v>3.3</v>
      </c>
      <c r="G75" s="65"/>
      <c r="H75" s="76">
        <v>5.966075524743097</v>
      </c>
      <c r="I75" s="76">
        <v>4.9519881827605072</v>
      </c>
      <c r="J75" s="66">
        <v>3.3</v>
      </c>
      <c r="K75" s="67"/>
      <c r="L75" s="194">
        <v>0.32964912280701753</v>
      </c>
      <c r="M75" s="194">
        <v>0.72853313840155942</v>
      </c>
      <c r="N75" s="68">
        <v>1</v>
      </c>
      <c r="P75" s="69"/>
    </row>
    <row r="76" spans="2:57" ht="15">
      <c r="B76" s="35" t="s">
        <v>165</v>
      </c>
      <c r="C76" s="65"/>
      <c r="D76" s="76"/>
      <c r="E76" s="76">
        <v>7.837301587301579</v>
      </c>
      <c r="F76" s="66">
        <v>3.3</v>
      </c>
      <c r="G76" s="282"/>
      <c r="H76" s="76"/>
      <c r="I76" s="76">
        <v>5.3377569154690221</v>
      </c>
      <c r="J76" s="66">
        <v>3</v>
      </c>
      <c r="K76" s="67"/>
      <c r="L76" s="194"/>
      <c r="M76" s="194">
        <v>0.32596491228070179</v>
      </c>
      <c r="N76" s="68">
        <v>1</v>
      </c>
      <c r="P76" s="69"/>
    </row>
    <row r="77" spans="2:57" ht="15">
      <c r="B77" s="36" t="s">
        <v>15</v>
      </c>
      <c r="C77" s="282"/>
      <c r="D77" s="76"/>
      <c r="E77" s="76">
        <v>7.3129862357869699</v>
      </c>
      <c r="F77" s="70">
        <f>[21]May_2022!$M$43</f>
        <v>3.4878406700073312</v>
      </c>
      <c r="G77" s="282"/>
      <c r="H77" s="76"/>
      <c r="I77" s="76">
        <v>8.9862703283331644</v>
      </c>
      <c r="J77" s="66">
        <v>5.5</v>
      </c>
      <c r="K77" s="67"/>
      <c r="L77" s="194"/>
      <c r="M77" s="194">
        <v>0.59276315789473688</v>
      </c>
      <c r="N77" s="68">
        <v>1</v>
      </c>
      <c r="P77" s="69"/>
    </row>
    <row r="78" spans="2:57" ht="15">
      <c r="B78" s="37" t="s">
        <v>16</v>
      </c>
      <c r="C78" s="65"/>
      <c r="D78" s="76">
        <v>3.8383838383838214</v>
      </c>
      <c r="E78" s="76">
        <v>3.0206926869092796</v>
      </c>
      <c r="F78" s="66">
        <v>3.3</v>
      </c>
      <c r="G78" s="282"/>
      <c r="H78" s="76">
        <v>6.7477320980505571</v>
      </c>
      <c r="I78" s="76">
        <v>4.4881222182352793</v>
      </c>
      <c r="J78" s="66">
        <v>3.3</v>
      </c>
      <c r="K78" s="67"/>
      <c r="L78" s="194">
        <v>0.3340350877192983</v>
      </c>
      <c r="M78" s="194">
        <v>0.80384787472035779</v>
      </c>
      <c r="N78" s="71">
        <v>1</v>
      </c>
      <c r="P78" s="69"/>
    </row>
    <row r="79" spans="2:57" ht="15.75" thickBot="1">
      <c r="B79" s="38" t="s">
        <v>164</v>
      </c>
      <c r="C79" s="65"/>
      <c r="D79" s="76"/>
      <c r="E79" s="76">
        <v>11.483253588516746</v>
      </c>
      <c r="F79" s="66">
        <v>7.5</v>
      </c>
      <c r="G79" s="282"/>
      <c r="H79" s="76"/>
      <c r="I79" s="76">
        <v>9.7934336121043764</v>
      </c>
      <c r="J79" s="66">
        <v>7.5</v>
      </c>
      <c r="K79" s="67"/>
      <c r="L79" s="194"/>
      <c r="M79" s="194">
        <v>0.32456140350877194</v>
      </c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>
        <v>7.2653644592663174</v>
      </c>
      <c r="F80" s="66">
        <v>4.8</v>
      </c>
      <c r="G80" s="282"/>
      <c r="H80" s="76"/>
      <c r="I80" s="76">
        <v>8.1715311054411259</v>
      </c>
      <c r="J80" s="66">
        <v>4.8</v>
      </c>
      <c r="K80" s="67"/>
      <c r="L80" s="194"/>
      <c r="M80" s="194">
        <v>0.51368421052631585</v>
      </c>
      <c r="N80" s="71">
        <v>1</v>
      </c>
      <c r="O80" s="74"/>
      <c r="P80" s="75"/>
    </row>
    <row r="81" spans="4:14" ht="15">
      <c r="D81" s="76">
        <v>5.8705576176458187</v>
      </c>
      <c r="E81" s="76">
        <v>6.378105888072878</v>
      </c>
      <c r="F81" s="341">
        <v>5.5</v>
      </c>
      <c r="H81" s="76">
        <v>7.5895129844051281</v>
      </c>
      <c r="I81" s="76">
        <v>6.6234141867883665</v>
      </c>
      <c r="J81" s="341">
        <v>5.5</v>
      </c>
      <c r="L81" s="194">
        <v>0.67295321637426897</v>
      </c>
      <c r="M81" s="194">
        <v>0.72042159985356036</v>
      </c>
      <c r="N81" s="386">
        <v>1</v>
      </c>
    </row>
    <row r="85" spans="4:14">
      <c r="F85" s="315"/>
    </row>
    <row r="86" spans="4:14" ht="15">
      <c r="F86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B46:B55"/>
    <mergeCell ref="D46:E47"/>
    <mergeCell ref="J46:K46"/>
    <mergeCell ref="L47:N47"/>
    <mergeCell ref="D48:E49"/>
    <mergeCell ref="D50:E51"/>
    <mergeCell ref="D52:E53"/>
    <mergeCell ref="D54:E55"/>
    <mergeCell ref="D56:E56"/>
    <mergeCell ref="B61:B62"/>
    <mergeCell ref="C61:C62"/>
    <mergeCell ref="D61:D62"/>
    <mergeCell ref="E61:E62"/>
    <mergeCell ref="M61:M62"/>
    <mergeCell ref="B70:F70"/>
    <mergeCell ref="G70:J70"/>
    <mergeCell ref="K70:N70"/>
    <mergeCell ref="G61:G62"/>
    <mergeCell ref="H61:H62"/>
    <mergeCell ref="I61:I62"/>
    <mergeCell ref="J61:J62"/>
    <mergeCell ref="K61:K62"/>
    <mergeCell ref="L61:L62"/>
    <mergeCell ref="F61:F62"/>
  </mergeCells>
  <conditionalFormatting sqref="B56:B57">
    <cfRule type="cellIs" dxfId="2395" priority="152" operator="notBetween">
      <formula>#REF!</formula>
      <formula>#REF!</formula>
    </cfRule>
  </conditionalFormatting>
  <conditionalFormatting sqref="C60">
    <cfRule type="cellIs" dxfId="2394" priority="184" stopIfTrue="1" operator="greaterThan">
      <formula>100</formula>
    </cfRule>
    <cfRule type="cellIs" dxfId="2393" priority="183" stopIfTrue="1" operator="lessThan">
      <formula>96</formula>
    </cfRule>
  </conditionalFormatting>
  <conditionalFormatting sqref="C72:C73">
    <cfRule type="cellIs" dxfId="2392" priority="131" stopIfTrue="1" operator="lessThanOrEqual">
      <formula>0</formula>
    </cfRule>
  </conditionalFormatting>
  <conditionalFormatting sqref="C72:C76">
    <cfRule type="cellIs" dxfId="2391" priority="130" stopIfTrue="1" operator="greaterThan">
      <formula>$F72</formula>
    </cfRule>
  </conditionalFormatting>
  <conditionalFormatting sqref="C73">
    <cfRule type="cellIs" dxfId="2390" priority="187" stopIfTrue="1" operator="greaterThan">
      <formula>$F72</formula>
    </cfRule>
  </conditionalFormatting>
  <conditionalFormatting sqref="C74:C77">
    <cfRule type="cellIs" dxfId="2389" priority="137" stopIfTrue="1" operator="lessThanOrEqual">
      <formula>0</formula>
    </cfRule>
  </conditionalFormatting>
  <conditionalFormatting sqref="C77">
    <cfRule type="cellIs" dxfId="2388" priority="136" stopIfTrue="1" operator="greaterThan">
      <formula>$J77</formula>
    </cfRule>
  </conditionalFormatting>
  <conditionalFormatting sqref="C83:C87">
    <cfRule type="cellIs" dxfId="2387" priority="175" stopIfTrue="1" operator="lessThanOrEqual">
      <formula>0</formula>
    </cfRule>
  </conditionalFormatting>
  <conditionalFormatting sqref="C84:C87">
    <cfRule type="cellIs" dxfId="2386" priority="174" stopIfTrue="1" operator="greaterThan">
      <formula>$F$83</formula>
    </cfRule>
  </conditionalFormatting>
  <conditionalFormatting sqref="C89">
    <cfRule type="cellIs" dxfId="2385" priority="176" stopIfTrue="1" operator="greaterThan">
      <formula>$F$83</formula>
    </cfRule>
    <cfRule type="cellIs" dxfId="2384" priority="177" stopIfTrue="1" operator="lessThanOrEqual">
      <formula>0</formula>
    </cfRule>
  </conditionalFormatting>
  <conditionalFormatting sqref="C83:D83 D85:D91">
    <cfRule type="cellIs" dxfId="2383" priority="169" stopIfTrue="1" operator="greaterThan">
      <formula>4.5</formula>
    </cfRule>
  </conditionalFormatting>
  <conditionalFormatting sqref="D56:D57">
    <cfRule type="cellIs" dxfId="2382" priority="153" operator="notBetween">
      <formula>#REF!</formula>
      <formula>#REF!</formula>
    </cfRule>
  </conditionalFormatting>
  <conditionalFormatting sqref="D72:D79">
    <cfRule type="cellIs" dxfId="2381" priority="147" stopIfTrue="1" operator="lessThanOrEqual">
      <formula>0</formula>
    </cfRule>
  </conditionalFormatting>
  <conditionalFormatting sqref="D80">
    <cfRule type="cellIs" dxfId="2380" priority="146" stopIfTrue="1" operator="lessThanOrEqual">
      <formula>0</formula>
    </cfRule>
  </conditionalFormatting>
  <conditionalFormatting sqref="D83 D85:D91">
    <cfRule type="cellIs" dxfId="2379" priority="170" stopIfTrue="1" operator="lessThanOrEqual">
      <formula>0</formula>
    </cfRule>
  </conditionalFormatting>
  <conditionalFormatting sqref="D84">
    <cfRule type="cellIs" dxfId="2378" priority="162" stopIfTrue="1" operator="lessThanOrEqual">
      <formula>0</formula>
    </cfRule>
    <cfRule type="cellIs" dxfId="2377" priority="161" stopIfTrue="1" operator="greaterThan">
      <formula>$F$83</formula>
    </cfRule>
  </conditionalFormatting>
  <conditionalFormatting sqref="D72:E81">
    <cfRule type="cellIs" dxfId="2376" priority="127" stopIfTrue="1" operator="greaterThan">
      <formula>$F72</formula>
    </cfRule>
  </conditionalFormatting>
  <conditionalFormatting sqref="D81:E81">
    <cfRule type="cellIs" dxfId="2375" priority="128" stopIfTrue="1" operator="lessThanOrEqual">
      <formula>0</formula>
    </cfRule>
  </conditionalFormatting>
  <conditionalFormatting sqref="E10:E31">
    <cfRule type="cellIs" dxfId="2374" priority="6" operator="lessThan">
      <formula>48</formula>
    </cfRule>
  </conditionalFormatting>
  <conditionalFormatting sqref="E59 E60:F60">
    <cfRule type="cellIs" dxfId="2373" priority="166" stopIfTrue="1" operator="greaterThan">
      <formula>100</formula>
    </cfRule>
  </conditionalFormatting>
  <conditionalFormatting sqref="E60">
    <cfRule type="cellIs" dxfId="2372" priority="164" stopIfTrue="1" operator="greaterThan">
      <formula>100</formula>
    </cfRule>
    <cfRule type="cellIs" dxfId="2371" priority="163" stopIfTrue="1" operator="lessThan">
      <formula>96.8</formula>
    </cfRule>
  </conditionalFormatting>
  <conditionalFormatting sqref="E72:E80">
    <cfRule type="cellIs" dxfId="2370" priority="141" stopIfTrue="1" operator="lessThanOrEqual">
      <formula>0</formula>
    </cfRule>
  </conditionalFormatting>
  <conditionalFormatting sqref="E83:E91">
    <cfRule type="cellIs" dxfId="2369" priority="155" stopIfTrue="1" operator="greaterThan">
      <formula>4.5</formula>
    </cfRule>
    <cfRule type="cellIs" dxfId="2368" priority="156" stopIfTrue="1" operator="lessThanOrEqual">
      <formula>0</formula>
    </cfRule>
  </conditionalFormatting>
  <conditionalFormatting sqref="E60:F60 E59">
    <cfRule type="cellIs" dxfId="2367" priority="165" stopIfTrue="1" operator="lessThan">
      <formula>96.5</formula>
    </cfRule>
  </conditionalFormatting>
  <conditionalFormatting sqref="F10:F31">
    <cfRule type="cellIs" dxfId="2366" priority="7" operator="greaterThan">
      <formula>60</formula>
    </cfRule>
  </conditionalFormatting>
  <conditionalFormatting sqref="F60">
    <cfRule type="cellIs" dxfId="2365" priority="181" stopIfTrue="1" operator="lessThan">
      <formula>96.8</formula>
    </cfRule>
    <cfRule type="cellIs" dxfId="2364" priority="182" stopIfTrue="1" operator="greaterThan">
      <formula>100</formula>
    </cfRule>
  </conditionalFormatting>
  <conditionalFormatting sqref="F81">
    <cfRule type="cellIs" dxfId="2363" priority="142" stopIfTrue="1" operator="greaterThan">
      <formula>$F81</formula>
    </cfRule>
    <cfRule type="cellIs" dxfId="2362" priority="143" stopIfTrue="1" operator="lessThanOrEqual">
      <formula>0</formula>
    </cfRule>
  </conditionalFormatting>
  <conditionalFormatting sqref="F86">
    <cfRule type="cellIs" dxfId="2361" priority="97" stopIfTrue="1" operator="greaterThan">
      <formula>$F86</formula>
    </cfRule>
    <cfRule type="cellIs" dxfId="2360" priority="98" stopIfTrue="1" operator="lessThanOrEqual">
      <formula>0</formula>
    </cfRule>
  </conditionalFormatting>
  <conditionalFormatting sqref="G12">
    <cfRule type="expression" dxfId="2359" priority="48">
      <formula>IF(+(IF(G12&lt;$S$10,0,IF(G12&gt;$T$10,0,1)))=0,1)</formula>
    </cfRule>
  </conditionalFormatting>
  <conditionalFormatting sqref="G72:G73 C78:C80">
    <cfRule type="cellIs" dxfId="2358" priority="149" stopIfTrue="1" operator="lessThanOrEqual">
      <formula>0</formula>
    </cfRule>
    <cfRule type="cellIs" dxfId="2357" priority="148" stopIfTrue="1" operator="greaterThan">
      <formula>$F72</formula>
    </cfRule>
  </conditionalFormatting>
  <conditionalFormatting sqref="G72:G73">
    <cfRule type="cellIs" dxfId="2356" priority="132" stopIfTrue="1" operator="greaterThan">
      <formula>$F72</formula>
    </cfRule>
    <cfRule type="cellIs" dxfId="2355" priority="133" stopIfTrue="1" operator="lessThanOrEqual">
      <formula>0</formula>
    </cfRule>
  </conditionalFormatting>
  <conditionalFormatting sqref="G74">
    <cfRule type="cellIs" dxfId="2354" priority="185" stopIfTrue="1" operator="greaterThan">
      <formula>$F73</formula>
    </cfRule>
    <cfRule type="cellIs" dxfId="2353" priority="186" stopIfTrue="1" operator="lessThanOrEqual">
      <formula>0</formula>
    </cfRule>
  </conditionalFormatting>
  <conditionalFormatting sqref="G75">
    <cfRule type="cellIs" dxfId="2352" priority="145" stopIfTrue="1" operator="lessThanOrEqual">
      <formula>0</formula>
    </cfRule>
    <cfRule type="cellIs" dxfId="2351" priority="144" stopIfTrue="1" operator="greaterThan">
      <formula>$F75</formula>
    </cfRule>
  </conditionalFormatting>
  <conditionalFormatting sqref="G76:G80">
    <cfRule type="cellIs" dxfId="2350" priority="151" stopIfTrue="1" operator="lessThanOrEqual">
      <formula>0</formula>
    </cfRule>
    <cfRule type="cellIs" dxfId="2349" priority="150" stopIfTrue="1" operator="greaterThan">
      <formula>$J76</formula>
    </cfRule>
  </conditionalFormatting>
  <conditionalFormatting sqref="G85:G90 C88 C90">
    <cfRule type="cellIs" dxfId="2348" priority="178" stopIfTrue="1" operator="greaterThan">
      <formula>4.5</formula>
    </cfRule>
    <cfRule type="cellIs" dxfId="2347" priority="179" stopIfTrue="1" operator="lessThanOrEqual">
      <formula>0</formula>
    </cfRule>
  </conditionalFormatting>
  <conditionalFormatting sqref="G10:H11">
    <cfRule type="expression" dxfId="2346" priority="27">
      <formula>IF(+(IF(G10&lt;#REF!,0,IF(G10&gt;#REF!,0,1)))=0,1)</formula>
    </cfRule>
  </conditionalFormatting>
  <conditionalFormatting sqref="G13:H31">
    <cfRule type="expression" dxfId="2345" priority="5">
      <formula>IF(+(IF(G13&lt;#REF!,0,IF(G13&gt;#REF!,0,1)))=0,1)</formula>
    </cfRule>
  </conditionalFormatting>
  <conditionalFormatting sqref="G84:H84">
    <cfRule type="cellIs" dxfId="2344" priority="159" stopIfTrue="1" operator="greaterThan">
      <formula>$F$83</formula>
    </cfRule>
    <cfRule type="cellIs" dxfId="2343" priority="160" stopIfTrue="1" operator="lessThanOrEqual">
      <formula>0</formula>
    </cfRule>
  </conditionalFormatting>
  <conditionalFormatting sqref="H12">
    <cfRule type="expression" dxfId="2342" priority="49">
      <formula>IF(+(IF(H12&lt;#REF!,0,IF(H12&gt;#REF!,0,1)))=0,1)</formula>
    </cfRule>
  </conditionalFormatting>
  <conditionalFormatting sqref="H45:H59">
    <cfRule type="cellIs" dxfId="2341" priority="157" stopIfTrue="1" operator="greaterThan">
      <formula>0</formula>
    </cfRule>
  </conditionalFormatting>
  <conditionalFormatting sqref="H63">
    <cfRule type="cellIs" dxfId="2340" priority="67" stopIfTrue="1" operator="lessThanOrEqual">
      <formula>0</formula>
    </cfRule>
    <cfRule type="cellIs" dxfId="2339" priority="66" stopIfTrue="1" operator="greaterThan">
      <formula>$F$28</formula>
    </cfRule>
    <cfRule type="cellIs" dxfId="2338" priority="65" stopIfTrue="1" operator="lessThanOrEqual">
      <formula>0</formula>
    </cfRule>
    <cfRule type="cellIs" dxfId="2337" priority="55" stopIfTrue="1" operator="lessThanOrEqual">
      <formula>0</formula>
    </cfRule>
    <cfRule type="cellIs" dxfId="2336" priority="64" stopIfTrue="1" operator="greaterThan">
      <formula>$F$30</formula>
    </cfRule>
    <cfRule type="cellIs" dxfId="2335" priority="56" stopIfTrue="1" operator="greaterThan">
      <formula>$F$27</formula>
    </cfRule>
  </conditionalFormatting>
  <conditionalFormatting sqref="H64">
    <cfRule type="cellIs" dxfId="2334" priority="93" stopIfTrue="1" operator="greaterThan">
      <formula>$F$32</formula>
    </cfRule>
    <cfRule type="cellIs" dxfId="2333" priority="94" stopIfTrue="1" operator="lessThanOrEqual">
      <formula>0</formula>
    </cfRule>
    <cfRule type="cellIs" dxfId="2332" priority="95" stopIfTrue="1" operator="greaterThan">
      <formula>$F$30</formula>
    </cfRule>
    <cfRule type="cellIs" dxfId="2331" priority="96" stopIfTrue="1" operator="lessThanOrEqual">
      <formula>0</formula>
    </cfRule>
    <cfRule type="cellIs" dxfId="2330" priority="85" stopIfTrue="1" operator="greaterThan">
      <formula>$F$29</formula>
    </cfRule>
    <cfRule type="cellIs" dxfId="2329" priority="84" stopIfTrue="1" operator="lessThanOrEqual">
      <formula>0</formula>
    </cfRule>
  </conditionalFormatting>
  <conditionalFormatting sqref="H65:H67">
    <cfRule type="cellIs" dxfId="2328" priority="79" stopIfTrue="1" operator="greaterThan">
      <formula>$F$31</formula>
    </cfRule>
    <cfRule type="cellIs" dxfId="2327" priority="80" stopIfTrue="1" operator="lessThanOrEqual">
      <formula>0</formula>
    </cfRule>
    <cfRule type="cellIs" dxfId="2326" priority="81" stopIfTrue="1" operator="greaterThan">
      <formula>$F$29</formula>
    </cfRule>
    <cfRule type="cellIs" dxfId="2325" priority="82" stopIfTrue="1" operator="lessThanOrEqual">
      <formula>0</formula>
    </cfRule>
    <cfRule type="cellIs" dxfId="2324" priority="70" stopIfTrue="1" operator="lessThanOrEqual">
      <formula>0</formula>
    </cfRule>
    <cfRule type="cellIs" dxfId="2323" priority="71" stopIfTrue="1" operator="greaterThan">
      <formula>$F$28</formula>
    </cfRule>
  </conditionalFormatting>
  <conditionalFormatting sqref="H68">
    <cfRule type="cellIs" dxfId="2322" priority="113" stopIfTrue="1" operator="lessThanOrEqual">
      <formula>0</formula>
    </cfRule>
    <cfRule type="cellIs" dxfId="2321" priority="101" stopIfTrue="1" operator="lessThanOrEqual">
      <formula>0</formula>
    </cfRule>
    <cfRule type="cellIs" dxfId="2320" priority="102" stopIfTrue="1" operator="greaterThan">
      <formula>$F$44</formula>
    </cfRule>
    <cfRule type="cellIs" dxfId="2319" priority="110" stopIfTrue="1" operator="greaterThan">
      <formula>$F$47</formula>
    </cfRule>
    <cfRule type="cellIs" dxfId="2318" priority="111" stopIfTrue="1" operator="lessThanOrEqual">
      <formula>0</formula>
    </cfRule>
    <cfRule type="cellIs" dxfId="2317" priority="112" stopIfTrue="1" operator="greaterThan">
      <formula>$F$45</formula>
    </cfRule>
  </conditionalFormatting>
  <conditionalFormatting sqref="H72:H79">
    <cfRule type="cellIs" dxfId="2316" priority="134" stopIfTrue="1" operator="greaterThan">
      <formula>$J72</formula>
    </cfRule>
    <cfRule type="cellIs" dxfId="2315" priority="135" stopIfTrue="1" operator="lessThanOrEqual">
      <formula>0</formula>
    </cfRule>
  </conditionalFormatting>
  <conditionalFormatting sqref="H80">
    <cfRule type="cellIs" dxfId="2314" priority="138" operator="greaterThan">
      <formula>5.3</formula>
    </cfRule>
  </conditionalFormatting>
  <conditionalFormatting sqref="H83 H85:H91">
    <cfRule type="cellIs" dxfId="2313" priority="172" stopIfTrue="1" operator="lessThanOrEqual">
      <formula>0</formula>
    </cfRule>
    <cfRule type="cellIs" dxfId="2312" priority="171" stopIfTrue="1" operator="greaterThan">
      <formula>4.5</formula>
    </cfRule>
  </conditionalFormatting>
  <conditionalFormatting sqref="H63:I63">
    <cfRule type="cellIs" dxfId="2311" priority="54" stopIfTrue="1" operator="greaterThan">
      <formula>$F$29</formula>
    </cfRule>
    <cfRule type="cellIs" dxfId="2310" priority="57" stopIfTrue="1" operator="lessThanOrEqual">
      <formula>0</formula>
    </cfRule>
  </conditionalFormatting>
  <conditionalFormatting sqref="H64:I64">
    <cfRule type="cellIs" dxfId="2309" priority="86" stopIfTrue="1" operator="lessThanOrEqual">
      <formula>0</formula>
    </cfRule>
    <cfRule type="cellIs" dxfId="2308" priority="83" stopIfTrue="1" operator="greaterThan">
      <formula>$F$31</formula>
    </cfRule>
  </conditionalFormatting>
  <conditionalFormatting sqref="H65:I67">
    <cfRule type="cellIs" dxfId="2307" priority="69" stopIfTrue="1" operator="greaterThan">
      <formula>$F$30</formula>
    </cfRule>
    <cfRule type="cellIs" dxfId="2306" priority="72" stopIfTrue="1" operator="lessThanOrEqual">
      <formula>0</formula>
    </cfRule>
  </conditionalFormatting>
  <conditionalFormatting sqref="H68:I68">
    <cfRule type="cellIs" dxfId="2305" priority="100" stopIfTrue="1" operator="greaterThan">
      <formula>$F$46</formula>
    </cfRule>
    <cfRule type="cellIs" dxfId="2304" priority="103" stopIfTrue="1" operator="lessThanOrEqual">
      <formula>0</formula>
    </cfRule>
  </conditionalFormatting>
  <conditionalFormatting sqref="H81:I81">
    <cfRule type="cellIs" dxfId="2303" priority="126" stopIfTrue="1" operator="lessThanOrEqual">
      <formula>0</formula>
    </cfRule>
    <cfRule type="cellIs" dxfId="2302" priority="125" stopIfTrue="1" operator="greaterThan">
      <formula>$J81</formula>
    </cfRule>
  </conditionalFormatting>
  <conditionalFormatting sqref="I63">
    <cfRule type="cellIs" dxfId="2301" priority="58" stopIfTrue="1" operator="greaterThan">
      <formula>$F$27</formula>
    </cfRule>
    <cfRule type="cellIs" dxfId="2300" priority="59" stopIfTrue="1" operator="lessThanOrEqual">
      <formula>0</formula>
    </cfRule>
    <cfRule type="cellIs" dxfId="2299" priority="60" stopIfTrue="1" operator="greaterThan">
      <formula>$F$29</formula>
    </cfRule>
    <cfRule type="cellIs" dxfId="2298" priority="61" stopIfTrue="1" operator="lessThanOrEqual">
      <formula>0</formula>
    </cfRule>
    <cfRule type="cellIs" dxfId="2297" priority="62" stopIfTrue="1" operator="greaterThan">
      <formula>$F$27</formula>
    </cfRule>
    <cfRule type="cellIs" dxfId="2296" priority="63" stopIfTrue="1" operator="lessThanOrEqual">
      <formula>0</formula>
    </cfRule>
  </conditionalFormatting>
  <conditionalFormatting sqref="I64">
    <cfRule type="cellIs" dxfId="2295" priority="87" stopIfTrue="1" operator="greaterThan">
      <formula>$F$29</formula>
    </cfRule>
    <cfRule type="cellIs" dxfId="2294" priority="88" stopIfTrue="1" operator="lessThanOrEqual">
      <formula>0</formula>
    </cfRule>
    <cfRule type="cellIs" dxfId="2293" priority="89" stopIfTrue="1" operator="greaterThan">
      <formula>$F$31</formula>
    </cfRule>
    <cfRule type="cellIs" dxfId="2292" priority="92" stopIfTrue="1" operator="lessThanOrEqual">
      <formula>0</formula>
    </cfRule>
    <cfRule type="cellIs" dxfId="2291" priority="91" stopIfTrue="1" operator="greaterThan">
      <formula>$F$29</formula>
    </cfRule>
    <cfRule type="cellIs" dxfId="2290" priority="90" stopIfTrue="1" operator="lessThanOrEqual">
      <formula>0</formula>
    </cfRule>
  </conditionalFormatting>
  <conditionalFormatting sqref="I65:I67">
    <cfRule type="cellIs" dxfId="2289" priority="74" stopIfTrue="1" operator="lessThanOrEqual">
      <formula>0</formula>
    </cfRule>
    <cfRule type="cellIs" dxfId="2288" priority="78" stopIfTrue="1" operator="lessThanOrEqual">
      <formula>0</formula>
    </cfRule>
    <cfRule type="cellIs" dxfId="2287" priority="75" stopIfTrue="1" operator="greaterThan">
      <formula>$F$30</formula>
    </cfRule>
    <cfRule type="cellIs" dxfId="2286" priority="76" stopIfTrue="1" operator="lessThanOrEqual">
      <formula>0</formula>
    </cfRule>
    <cfRule type="cellIs" dxfId="2285" priority="77" stopIfTrue="1" operator="greaterThan">
      <formula>$F$28</formula>
    </cfRule>
    <cfRule type="cellIs" dxfId="2284" priority="73" stopIfTrue="1" operator="greaterThan">
      <formula>$F$28</formula>
    </cfRule>
  </conditionalFormatting>
  <conditionalFormatting sqref="I68">
    <cfRule type="cellIs" dxfId="2283" priority="108" stopIfTrue="1" operator="greaterThan">
      <formula>$F$44</formula>
    </cfRule>
    <cfRule type="cellIs" dxfId="2282" priority="106" stopIfTrue="1" operator="greaterThan">
      <formula>$F$46</formula>
    </cfRule>
    <cfRule type="cellIs" dxfId="2281" priority="105" stopIfTrue="1" operator="lessThanOrEqual">
      <formula>0</formula>
    </cfRule>
    <cfRule type="cellIs" dxfId="2280" priority="104" stopIfTrue="1" operator="greaterThan">
      <formula>$F$44</formula>
    </cfRule>
    <cfRule type="cellIs" dxfId="2279" priority="107" stopIfTrue="1" operator="lessThanOrEqual">
      <formula>0</formula>
    </cfRule>
    <cfRule type="cellIs" dxfId="2278" priority="109" stopIfTrue="1" operator="lessThanOrEqual">
      <formula>0</formula>
    </cfRule>
  </conditionalFormatting>
  <conditionalFormatting sqref="I72:I80">
    <cfRule type="cellIs" dxfId="2277" priority="140" stopIfTrue="1" operator="lessThanOrEqual">
      <formula>0</formula>
    </cfRule>
    <cfRule type="cellIs" dxfId="2276" priority="139" stopIfTrue="1" operator="greaterThan">
      <formula>$J72</formula>
    </cfRule>
  </conditionalFormatting>
  <conditionalFormatting sqref="I83:I91">
    <cfRule type="cellIs" dxfId="2275" priority="168" stopIfTrue="1" operator="lessThanOrEqual">
      <formula>0</formula>
    </cfRule>
    <cfRule type="cellIs" dxfId="2274" priority="167" stopIfTrue="1" operator="greaterThan">
      <formula>4.5</formula>
    </cfRule>
  </conditionalFormatting>
  <conditionalFormatting sqref="I10:J31">
    <cfRule type="cellIs" dxfId="2273" priority="8" operator="lessThan">
      <formula>97.9</formula>
    </cfRule>
  </conditionalFormatting>
  <conditionalFormatting sqref="J34:J36">
    <cfRule type="cellIs" dxfId="2272" priority="116" stopIfTrue="1" operator="greaterThan">
      <formula>100</formula>
    </cfRule>
    <cfRule type="cellIs" dxfId="2271" priority="115" stopIfTrue="1" operator="lessThan">
      <formula>96.8</formula>
    </cfRule>
    <cfRule type="cellIs" dxfId="2270" priority="117" operator="lessThan">
      <formula>98</formula>
    </cfRule>
  </conditionalFormatting>
  <conditionalFormatting sqref="J34:J38">
    <cfRule type="cellIs" dxfId="2269" priority="114" operator="lessThan">
      <formula>97.4</formula>
    </cfRule>
  </conditionalFormatting>
  <conditionalFormatting sqref="J39">
    <cfRule type="cellIs" dxfId="2268" priority="118" operator="lessThan">
      <formula>98</formula>
    </cfRule>
  </conditionalFormatting>
  <conditionalFormatting sqref="J41:J42">
    <cfRule type="cellIs" dxfId="2267" priority="120" stopIfTrue="1" operator="greaterThan">
      <formula>100</formula>
    </cfRule>
    <cfRule type="cellIs" dxfId="2266" priority="119" stopIfTrue="1" operator="lessThan">
      <formula>96.8</formula>
    </cfRule>
  </conditionalFormatting>
  <conditionalFormatting sqref="J41:J43">
    <cfRule type="cellIs" dxfId="2265" priority="121" operator="lessThan">
      <formula>98</formula>
    </cfRule>
  </conditionalFormatting>
  <conditionalFormatting sqref="J81">
    <cfRule type="cellIs" dxfId="2264" priority="122" stopIfTrue="1" operator="greaterThan">
      <formula>$F81</formula>
    </cfRule>
    <cfRule type="cellIs" dxfId="2263" priority="123" stopIfTrue="1" operator="lessThanOrEqual">
      <formula>0</formula>
    </cfRule>
  </conditionalFormatting>
  <conditionalFormatting sqref="K10:K31">
    <cfRule type="cellIs" dxfId="2262" priority="4" operator="greaterThan">
      <formula>6.4</formula>
    </cfRule>
    <cfRule type="cellIs" dxfId="2261" priority="3" operator="lessThan">
      <formula>4</formula>
    </cfRule>
    <cfRule type="cellIs" dxfId="2260" priority="2" operator="greaterThan">
      <formula>6</formula>
    </cfRule>
  </conditionalFormatting>
  <conditionalFormatting sqref="K63:K68">
    <cfRule type="cellIs" dxfId="2259" priority="99" stopIfTrue="1" operator="lessThan">
      <formula>100%</formula>
    </cfRule>
  </conditionalFormatting>
  <conditionalFormatting sqref="K83:K88">
    <cfRule type="cellIs" dxfId="2258" priority="173" stopIfTrue="1" operator="lessThan">
      <formula>100%</formula>
    </cfRule>
  </conditionalFormatting>
  <conditionalFormatting sqref="K90:K91">
    <cfRule type="cellIs" dxfId="2257" priority="180" stopIfTrue="1" operator="lessThan">
      <formula>100%</formula>
    </cfRule>
  </conditionalFormatting>
  <conditionalFormatting sqref="K72:N80">
    <cfRule type="cellIs" dxfId="2256" priority="68" stopIfTrue="1" operator="lessThan">
      <formula>100%</formula>
    </cfRule>
  </conditionalFormatting>
  <conditionalFormatting sqref="L10:L12">
    <cfRule type="cellIs" dxfId="2255" priority="33" operator="greaterThan">
      <formula>65</formula>
    </cfRule>
    <cfRule type="cellIs" dxfId="2254" priority="32" operator="between">
      <formula>61</formula>
      <formula>65</formula>
    </cfRule>
  </conditionalFormatting>
  <conditionalFormatting sqref="L22:L31">
    <cfRule type="cellIs" dxfId="2253" priority="11" operator="greaterThan">
      <formula>65</formula>
    </cfRule>
    <cfRule type="cellIs" dxfId="2252" priority="10" operator="between">
      <formula>61</formula>
      <formula>65</formula>
    </cfRule>
  </conditionalFormatting>
  <conditionalFormatting sqref="L13:M21">
    <cfRule type="cellIs" dxfId="2251" priority="21" operator="greaterThan">
      <formula>65</formula>
    </cfRule>
    <cfRule type="cellIs" dxfId="2250" priority="20" operator="between">
      <formula>61</formula>
      <formula>65</formula>
    </cfRule>
  </conditionalFormatting>
  <conditionalFormatting sqref="L34:M45">
    <cfRule type="cellIs" dxfId="2249" priority="129" operator="lessThan">
      <formula>98</formula>
    </cfRule>
  </conditionalFormatting>
  <conditionalFormatting sqref="L49:N49">
    <cfRule type="cellIs" dxfId="2248" priority="53" operator="notEqual">
      <formula>#REF!</formula>
    </cfRule>
  </conditionalFormatting>
  <conditionalFormatting sqref="L81:N81">
    <cfRule type="cellIs" dxfId="2247" priority="124" stopIfTrue="1" operator="lessThan">
      <formula>100%</formula>
    </cfRule>
  </conditionalFormatting>
  <conditionalFormatting sqref="L83:N91">
    <cfRule type="cellIs" dxfId="2246" priority="158" stopIfTrue="1" operator="lessThan">
      <formula>100%</formula>
    </cfRule>
  </conditionalFormatting>
  <conditionalFormatting sqref="M10:M23">
    <cfRule type="expression" dxfId="2245" priority="22">
      <formula>IF(+(IF(M10&lt;U10,0,IF(M10&gt;V10,0,1)))=0,1)</formula>
    </cfRule>
  </conditionalFormatting>
  <conditionalFormatting sqref="M24:M31">
    <cfRule type="expression" dxfId="2244" priority="9">
      <formula>IF(+(IF(M24&lt;U24,0,IF(M24&gt;V24,0,1)))=0,1)</formula>
    </cfRule>
  </conditionalFormatting>
  <conditionalFormatting sqref="N10:N31">
    <cfRule type="expression" dxfId="2243" priority="1">
      <formula>IF(+(IF(N10&lt;W10,0,IF(N10&gt;X10,0,1)))=0,1)</formula>
    </cfRule>
  </conditionalFormatting>
  <conditionalFormatting sqref="P6">
    <cfRule type="cellIs" dxfId="2242" priority="154" operator="greaterThanOrEqual">
      <formula>19</formula>
    </cfRule>
  </conditionalFormatting>
  <dataValidations count="1">
    <dataValidation type="list" allowBlank="1" showInputMessage="1" showErrorMessage="1" sqref="R8" xr:uid="{8F98F07F-92BD-4377-AE5E-7B9E6D5E1D5A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E8B1-BE20-4A97-979B-3B5EAE09BA23}">
  <sheetPr>
    <pageSetUpPr fitToPage="1"/>
  </sheetPr>
  <dimension ref="A1:BE76"/>
  <sheetViews>
    <sheetView topLeftCell="A22" zoomScale="60" zoomScaleNormal="60" workbookViewId="0">
      <selection activeCell="M55" sqref="M5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45882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[24]Brewhouse!$A675</f>
        <v>CA567</v>
      </c>
      <c r="D10" s="279">
        <f>[24]Brewhouse!$AF675</f>
        <v>53.3</v>
      </c>
      <c r="E10" s="279">
        <f>[24]Brewhouse!$AI675</f>
        <v>51.4</v>
      </c>
      <c r="F10" s="278">
        <f>[24]Brewhouse!$V675</f>
        <v>63</v>
      </c>
      <c r="G10" s="279">
        <f>[24]Brewhouse!AG675</f>
        <v>11.7</v>
      </c>
      <c r="H10" s="396">
        <v>11.7</v>
      </c>
      <c r="I10" s="368">
        <f>[24]Brewhouse!$AU675</f>
        <v>94.474085231602828</v>
      </c>
      <c r="J10" s="368">
        <f>[24]Brewhouse!$AV675</f>
        <v>96.055889454475164</v>
      </c>
      <c r="K10" s="281">
        <f>[24]Brewhouse!$Q675</f>
        <v>6.4412811387900435</v>
      </c>
      <c r="L10" s="276">
        <f>[24]Brewhouse!$P675</f>
        <v>60</v>
      </c>
      <c r="M10" s="397">
        <f>[24]Brewhouse!$U675-[24]Brewhouse!$T675</f>
        <v>0.10416666666666669</v>
      </c>
      <c r="N10" s="370">
        <f>[24]Brewhouse!$Z675</f>
        <v>0.26805555555555555</v>
      </c>
      <c r="O10" s="371" t="str">
        <f>[24]Brewhouse!$AX675</f>
        <v>R. Regis</v>
      </c>
      <c r="P10" s="418"/>
      <c r="R10" s="277" t="str">
        <f t="shared" ref="R10:R23" si="0">B10</f>
        <v>CARIB</v>
      </c>
      <c r="S10" s="296">
        <f t="shared" ref="S10:S23" si="1">VLOOKUP($B10,$R$3:$X$9,2,FALSE)</f>
        <v>11.6</v>
      </c>
      <c r="T10" s="296">
        <f t="shared" ref="T10:T23" si="2">VLOOKUP($B10,$R$3:$X$9,3,FALSE)</f>
        <v>12</v>
      </c>
      <c r="U10" s="297">
        <f t="shared" ref="U10:U23" si="3">VLOOKUP($B10,$R$3:$X$9,4,FALSE)</f>
        <v>0</v>
      </c>
      <c r="V10" s="297">
        <f t="shared" ref="V10:V23" si="4">VLOOKUP($B10,$R$3:$X$9,5,FALSE)</f>
        <v>0.118055555555556</v>
      </c>
      <c r="W10" s="297">
        <f t="shared" ref="W10:W23" si="5">VLOOKUP($B10,$R$3:$X$9,6,FALSE)</f>
        <v>0.22569444444444445</v>
      </c>
      <c r="X10" s="297">
        <f t="shared" ref="X10:X23" si="6">VLOOKUP($B10,$R$3:$X$9,7,FALSE)</f>
        <v>0.2638888888888889</v>
      </c>
      <c r="Y10" s="297">
        <f t="shared" ref="Y10:Y23" si="7">VLOOKUP($B10,$R$3:$Z$9,8,FALSE)</f>
        <v>0</v>
      </c>
      <c r="Z10" s="296">
        <f t="shared" ref="Z10:Z23" si="8">VLOOKUP($B10,$R$3:$Z$9,9,FALSE)</f>
        <v>60</v>
      </c>
    </row>
    <row r="11" spans="2:29" ht="15.75" customHeight="1">
      <c r="B11" s="29" t="s">
        <v>6</v>
      </c>
      <c r="C11" s="366" t="str">
        <f>[24]Brewhouse!$A676</f>
        <v>CA568</v>
      </c>
      <c r="D11" s="279">
        <f>[24]Brewhouse!$AF676</f>
        <v>53.7</v>
      </c>
      <c r="E11" s="279">
        <f>[24]Brewhouse!$AI676</f>
        <v>52</v>
      </c>
      <c r="F11" s="278">
        <f>[24]Brewhouse!$V676</f>
        <v>61</v>
      </c>
      <c r="G11" s="279">
        <f>[24]Brewhouse!AG676</f>
        <v>11.6</v>
      </c>
      <c r="H11" s="367"/>
      <c r="I11" s="368">
        <f>[24]Brewhouse!$AU676</f>
        <v>94.381470916534838</v>
      </c>
      <c r="J11" s="368">
        <f>[24]Brewhouse!$AV676</f>
        <v>95.96220214763116</v>
      </c>
      <c r="K11" s="281">
        <f>[24]Brewhouse!$Q676</f>
        <v>3.8475499092558936</v>
      </c>
      <c r="L11" s="276">
        <f>[24]Brewhouse!$P676</f>
        <v>62</v>
      </c>
      <c r="M11" s="397">
        <f>[24]Brewhouse!$U676-[24]Brewhouse!$T676</f>
        <v>0.1076388888888889</v>
      </c>
      <c r="N11" s="370">
        <f>[24]Brewhouse!$Z676</f>
        <v>0.24513888888888891</v>
      </c>
      <c r="O11" s="371" t="str">
        <f>[24]Brewhouse!$AX676</f>
        <v>D. Gomez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[24]Brewhouse!$A677</f>
        <v>CA569</v>
      </c>
      <c r="D12" s="279">
        <f>[24]Brewhouse!$AF677</f>
        <v>53.5</v>
      </c>
      <c r="E12" s="279">
        <f>[24]Brewhouse!$AI677</f>
        <v>51.3</v>
      </c>
      <c r="F12" s="278">
        <f>[24]Brewhouse!$V677</f>
        <v>59</v>
      </c>
      <c r="G12" s="279">
        <f>[24]Brewhouse!AG677</f>
        <v>11.9</v>
      </c>
      <c r="H12" s="396">
        <v>11.8</v>
      </c>
      <c r="I12" s="368">
        <f>[24]Brewhouse!$AU677</f>
        <v>96.558973422687743</v>
      </c>
      <c r="J12" s="368">
        <f>[24]Brewhouse!$AV677</f>
        <v>98.174863218775059</v>
      </c>
      <c r="K12" s="281">
        <f>[24]Brewhouse!$Q677</f>
        <v>3.8615664845172994</v>
      </c>
      <c r="L12" s="276">
        <f>[24]Brewhouse!$P677</f>
        <v>59</v>
      </c>
      <c r="M12" s="397">
        <f>[24]Brewhouse!$U677-[24]Brewhouse!$T677</f>
        <v>0.12013888888888891</v>
      </c>
      <c r="N12" s="370">
        <f>[24]Brewhouse!$Z677</f>
        <v>0.39097222222222217</v>
      </c>
      <c r="O12" s="371" t="str">
        <f>[24]Brewhouse!$AX677</f>
        <v>D. Gomez</v>
      </c>
      <c r="P12" s="418" t="s">
        <v>183</v>
      </c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[24]Brewhouse!$A678</f>
        <v>CA570</v>
      </c>
      <c r="D13" s="279">
        <f>[24]Brewhouse!$AF678</f>
        <v>54.4</v>
      </c>
      <c r="E13" s="279">
        <f>[24]Brewhouse!$AI678</f>
        <v>52.2</v>
      </c>
      <c r="F13" s="278">
        <f>[24]Brewhouse!$V678</f>
        <v>54</v>
      </c>
      <c r="G13" s="279">
        <f>[24]Brewhouse!AG678</f>
        <v>11.9</v>
      </c>
      <c r="H13" s="396">
        <v>11.9</v>
      </c>
      <c r="I13" s="368">
        <f>[24]Brewhouse!$AU678</f>
        <v>97.902606175842621</v>
      </c>
      <c r="J13" s="368">
        <f>[24]Brewhouse!$AV678</f>
        <v>99.541482727799746</v>
      </c>
      <c r="K13" s="281">
        <f>[24]Brewhouse!$Q678</f>
        <v>3.7992831541218597</v>
      </c>
      <c r="L13" s="276">
        <f>[24]Brewhouse!$P678</f>
        <v>59</v>
      </c>
      <c r="M13" s="397">
        <f>[24]Brewhouse!$U678-[24]Brewhouse!$T678</f>
        <v>0.12430555555555556</v>
      </c>
      <c r="N13" s="370">
        <f>[24]Brewhouse!$Z678</f>
        <v>0.28125</v>
      </c>
      <c r="O13" s="371" t="str">
        <f>[24]Brewhouse!$AX678</f>
        <v>K.Benjamin</v>
      </c>
      <c r="P13" s="418" t="s">
        <v>181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18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18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29"/>
      <c r="J22" s="529"/>
      <c r="K22" s="529"/>
      <c r="L22" s="529"/>
      <c r="M22" s="529"/>
      <c r="N22" s="529"/>
      <c r="O22" s="1"/>
      <c r="P22" s="12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thickBot="1">
      <c r="B23" s="388" t="s">
        <v>162</v>
      </c>
      <c r="C23" s="388"/>
      <c r="D23" s="542" t="s">
        <v>35</v>
      </c>
      <c r="E23" s="543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" customHeight="1">
      <c r="A24" s="28"/>
      <c r="B24" s="530" t="s">
        <v>9</v>
      </c>
      <c r="C24" s="362" cm="1">
        <f t="array" ref="C24:C31">[22]Process!$D$303:$D$310</f>
        <v>11.9</v>
      </c>
      <c r="D24" s="533">
        <v>11.82</v>
      </c>
      <c r="E24" s="522"/>
      <c r="F24" s="294"/>
      <c r="G24" s="294"/>
      <c r="H24" s="348"/>
      <c r="I24" s="29" t="s">
        <v>6</v>
      </c>
      <c r="J24" s="280">
        <f>AVERAGE(I10:I13)</f>
        <v>95.829283936667011</v>
      </c>
      <c r="K24" s="284">
        <f>COUNTA([24]Brewhouse!$A$655:$A$678)</f>
        <v>24</v>
      </c>
      <c r="L24" s="305">
        <f>AVERAGE([24]Brewhouse!$AU$655:$AU$678)</f>
        <v>97.465512944799173</v>
      </c>
      <c r="M24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$678)</f>
        <v>97.861139414112841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1:27" ht="15" customHeight="1">
      <c r="A25" s="28"/>
      <c r="B25" s="531"/>
      <c r="C25" s="362">
        <v>11.9</v>
      </c>
      <c r="D25" s="534"/>
      <c r="E25" s="517"/>
      <c r="F25" s="294"/>
      <c r="G25" s="294"/>
      <c r="H25" s="348"/>
      <c r="I25" s="33" t="s">
        <v>9</v>
      </c>
      <c r="J25" s="280"/>
      <c r="K25" s="284">
        <f>COUNTA([22]Brewhouse!$A$324:$A$335)</f>
        <v>12</v>
      </c>
      <c r="L25" s="302">
        <f>AVERAGE([22]Brewhouse!$AS$324:$AS$335)</f>
        <v>98.319987559189101</v>
      </c>
      <c r="M25" s="302">
        <f>AVERAGE([22]Brewhouse!$AS$15:$AS$64,[22]Brewhouse!$AS$66:$AS$103,[22]Brewhouse!$AS$105:$AS$140,[22]Brewhouse!$AS$142:$AS$193,[22]Brewhouse!$AS$195:$AS$240,[22]Brewhouse!$AS$242:$AS$273,[22]Brewhouse!$AS$275:$AS$322,[22]Brewhouse!$AS$324:$AS$335)</f>
        <v>98.075849067790173</v>
      </c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</row>
    <row r="26" spans="1:27" ht="14.65" customHeight="1">
      <c r="A26" s="28"/>
      <c r="B26" s="531"/>
      <c r="C26" s="362">
        <v>12</v>
      </c>
      <c r="D26" s="533">
        <v>11.94</v>
      </c>
      <c r="E26" s="522"/>
      <c r="F26" s="294"/>
      <c r="G26" s="294"/>
      <c r="H26" s="348"/>
      <c r="I26" s="34" t="s">
        <v>12</v>
      </c>
      <c r="J26" s="280"/>
      <c r="K26" s="284"/>
      <c r="L26" s="302"/>
      <c r="M26" s="302">
        <f>AVERAGE([25]Brewhouse!$AU$4:$AU$7,[25]Brewhouse!$AU$9:$AU$22,[25]Brewhouse!$AU$24:$AU$35,[25]Brewhouse!$AU$37:$AU$45,[25]Brewhouse!$AU$47:$AU$62,[25]Brewhouse!$AU$64:$AU$79)</f>
        <v>97.0189196363294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1:27" ht="14.65" customHeight="1">
      <c r="A27" s="28"/>
      <c r="B27" s="531"/>
      <c r="C27" s="362">
        <v>12.1</v>
      </c>
      <c r="D27" s="534"/>
      <c r="E27" s="517"/>
      <c r="F27" s="294"/>
      <c r="G27" s="294"/>
      <c r="H27" s="348"/>
      <c r="I27" s="22" t="s">
        <v>33</v>
      </c>
      <c r="J27" s="280"/>
      <c r="K27" s="284">
        <f>COUNTA([26]Brewhouse!$A$64:$A$67)</f>
        <v>4</v>
      </c>
      <c r="L27" s="302">
        <f>AVERAGE([26]Brewhouse!$AV$64:$AV$67)</f>
        <v>97.964622396575123</v>
      </c>
      <c r="M27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4.65" customHeight="1">
      <c r="A28" s="28"/>
      <c r="B28" s="531"/>
      <c r="C28" s="362">
        <v>11.8</v>
      </c>
      <c r="D28" s="533">
        <v>11.94</v>
      </c>
      <c r="E28" s="522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65" customHeight="1">
      <c r="A29" s="28"/>
      <c r="B29" s="531"/>
      <c r="C29" s="362">
        <v>11.8</v>
      </c>
      <c r="D29" s="534"/>
      <c r="E29" s="517"/>
      <c r="F29" s="417"/>
      <c r="G29" s="294"/>
      <c r="H29" s="348"/>
      <c r="I29" s="36" t="s">
        <v>15</v>
      </c>
      <c r="J29" s="323"/>
      <c r="K29" s="284"/>
      <c r="L29" s="302"/>
      <c r="M29" s="302">
        <f>AVERAGE([27]Brewhouse!$AT$4:$AT$11,[27]Brewhouse!$AT$13:$AT$16,[27]Brewhouse!$AT$18:$AT$21,[27]Brewhouse!$AT$26)</f>
        <v>94.588057846623641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4.65" customHeight="1">
      <c r="A30" s="28"/>
      <c r="B30" s="531"/>
      <c r="C30" s="349">
        <v>11.7</v>
      </c>
      <c r="D30" s="533">
        <v>11.81</v>
      </c>
      <c r="E30" s="522"/>
      <c r="F30" s="417"/>
      <c r="G30" s="294"/>
      <c r="H30" s="348"/>
      <c r="I30" s="37" t="s">
        <v>16</v>
      </c>
      <c r="J30" s="323"/>
      <c r="K30" s="284"/>
      <c r="L30" s="302"/>
      <c r="M30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0" s="30">
        <v>98</v>
      </c>
      <c r="O30" s="11"/>
      <c r="P30" s="31" t="s">
        <v>41</v>
      </c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65" customHeight="1">
      <c r="A31" s="28"/>
      <c r="B31" s="531"/>
      <c r="C31" s="349">
        <v>11.9</v>
      </c>
      <c r="D31" s="534"/>
      <c r="E31" s="517"/>
      <c r="F31" s="294"/>
      <c r="G31" s="294"/>
      <c r="H31" s="348"/>
      <c r="I31" s="411" t="s">
        <v>158</v>
      </c>
      <c r="J31" s="326"/>
      <c r="K31" s="284"/>
      <c r="L31" s="305"/>
      <c r="M31" s="305">
        <f>AVERAGE([28]Brewhouse!$AU$5:$AU$8,[28]Brewhouse!$AU$10:$AU$13)</f>
        <v>94.247666625193744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65" customHeight="1">
      <c r="A32" s="28"/>
      <c r="B32" s="531"/>
      <c r="C32" s="349"/>
      <c r="D32" s="533"/>
      <c r="E32" s="522"/>
      <c r="F32" s="294"/>
      <c r="G32" s="294"/>
      <c r="H32" s="348"/>
      <c r="I32" s="410" t="s">
        <v>157</v>
      </c>
      <c r="J32" s="326"/>
      <c r="K32" s="284"/>
      <c r="L32" s="305"/>
      <c r="M32" s="305">
        <f>AVERAGE([29]Brewhouse!$AW$26:$AW$27)</f>
        <v>95.310680905194914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5" customHeight="1" thickBot="1">
      <c r="A33" s="28"/>
      <c r="B33" s="531"/>
      <c r="C33" s="349"/>
      <c r="D33" s="534"/>
      <c r="E33" s="517"/>
      <c r="F33" s="294"/>
      <c r="G33" s="294"/>
      <c r="H33" s="348"/>
      <c r="I33" s="406" t="s">
        <v>156</v>
      </c>
      <c r="J33" s="327"/>
      <c r="K33" s="407"/>
      <c r="L33" s="408"/>
      <c r="M33" s="408">
        <f>AVERAGE([30]Brewhouse!$AU$13:$AU$14)</f>
        <v>97.110575243268045</v>
      </c>
      <c r="N33" s="409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531"/>
      <c r="C34" s="349"/>
      <c r="D34" s="533"/>
      <c r="E34" s="522"/>
      <c r="F34" s="294"/>
      <c r="G34" s="294"/>
      <c r="H34" s="348"/>
      <c r="I34" s="1"/>
      <c r="J34" s="39"/>
      <c r="K34" s="404">
        <f>SUM(K24:K33)</f>
        <v>40</v>
      </c>
      <c r="L34" s="405">
        <f>((L24*K24)+(L25*K25)+(L26*K26)+(L27*K27)+(L28*K28)+(K31*L31)+(L29*K29)+(L30*K30)+(L33*K33))/(K34)</f>
        <v>97.771766274293753</v>
      </c>
      <c r="M34" s="405">
        <f>AVERAGE('[31]Jan 31st'!$L$65,'[32]Feb 28th'!$L$35,'[33]Mar. 31st'!$L$35,'[34]Apr. 30th'!$L$45,'[35]May 30th'!$L$37,'[36]June 30th'!$L$57,L34)</f>
        <v>97.674810967336526</v>
      </c>
      <c r="N34" s="4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.75" thickBot="1">
      <c r="B35" s="532"/>
      <c r="C35" s="350"/>
      <c r="D35" s="534"/>
      <c r="E35" s="517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.75" thickBot="1">
      <c r="B36" s="586" t="s">
        <v>15</v>
      </c>
      <c r="C36" s="362" cm="1">
        <f t="array" ref="C36:C39">[27]Process!$D$23:$D$26</f>
        <v>13.3</v>
      </c>
      <c r="D36" s="514">
        <v>14.12</v>
      </c>
      <c r="E36" s="515"/>
      <c r="F36" s="294"/>
      <c r="G36" s="42"/>
      <c r="H36" s="41"/>
      <c r="I36" s="42"/>
      <c r="J36" s="569" t="s">
        <v>129</v>
      </c>
      <c r="K36" s="569"/>
      <c r="L36" s="294"/>
      <c r="M36" s="294"/>
      <c r="N36" s="294"/>
      <c r="O36" s="294"/>
      <c r="P36" s="12"/>
    </row>
    <row r="37" spans="1:56" ht="15.75" thickBot="1">
      <c r="B37" s="587"/>
      <c r="C37" s="362">
        <v>13.3</v>
      </c>
      <c r="D37" s="516"/>
      <c r="E37" s="517"/>
      <c r="F37" s="294"/>
      <c r="G37" s="42"/>
      <c r="H37" s="41"/>
      <c r="I37" s="42"/>
      <c r="J37" s="292" t="s">
        <v>17</v>
      </c>
      <c r="K37" s="293" t="s">
        <v>147</v>
      </c>
      <c r="L37" s="519" t="s">
        <v>136</v>
      </c>
      <c r="M37" s="519"/>
      <c r="N37" s="520"/>
      <c r="O37" s="294"/>
      <c r="P37" s="12"/>
    </row>
    <row r="38" spans="1:56" ht="15" customHeight="1" thickBot="1">
      <c r="B38" s="587"/>
      <c r="C38" s="349">
        <v>13.5</v>
      </c>
      <c r="D38" s="570">
        <v>14.36</v>
      </c>
      <c r="E38" s="571"/>
      <c r="F38" s="294"/>
      <c r="G38" s="42"/>
      <c r="H38" s="41"/>
      <c r="I38" s="42"/>
      <c r="J38" s="287" t="s">
        <v>6</v>
      </c>
      <c r="K38" s="324">
        <v>4</v>
      </c>
      <c r="L38" s="343" t="s">
        <v>37</v>
      </c>
      <c r="M38" s="307" t="s">
        <v>38</v>
      </c>
      <c r="N38" s="307" t="s">
        <v>84</v>
      </c>
      <c r="O38" s="294"/>
      <c r="P38" s="12"/>
    </row>
    <row r="39" spans="1:56" ht="15.75" customHeight="1" thickBot="1">
      <c r="B39" s="587"/>
      <c r="C39" s="349">
        <v>13.4</v>
      </c>
      <c r="D39" s="516"/>
      <c r="E39" s="517"/>
      <c r="F39" s="294"/>
      <c r="G39" s="42"/>
      <c r="H39" s="41"/>
      <c r="I39" s="42"/>
      <c r="J39" s="345" t="s">
        <v>9</v>
      </c>
      <c r="K39" s="324"/>
      <c r="L39" s="344">
        <f>AVERAGE('Aug 4th '!K58,'Aug 5th '!K58,'Aug 6th '!K58,'Aug 7th '!K58,K48)</f>
        <v>7.8</v>
      </c>
      <c r="M39" s="325">
        <f>AVERAGE('[31]Jan 29th '!$M$70,'[32]Feb 28th'!$L$40,'[33]Mar. 31st'!$L$40,'[34]Apr. 30th'!$L$50,'[35]May 30th'!$L$42,'[36]June 30th'!$L$62,'[37]July 29th '!$L$49,L39)</f>
        <v>7.0146146092656378</v>
      </c>
      <c r="N39" s="416">
        <v>9.1999999999999993</v>
      </c>
      <c r="O39" s="294"/>
      <c r="P39" s="12"/>
    </row>
    <row r="40" spans="1:56" ht="15" customHeight="1">
      <c r="B40" s="587"/>
      <c r="C40" s="349"/>
      <c r="D40" s="570"/>
      <c r="E40" s="571"/>
      <c r="F40" s="294"/>
      <c r="G40" s="42"/>
      <c r="H40" s="41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87"/>
      <c r="C41" s="349"/>
      <c r="D41" s="516"/>
      <c r="E41" s="517"/>
      <c r="F41" s="294"/>
      <c r="G41" s="42"/>
      <c r="H41" s="41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87"/>
      <c r="C42" s="349"/>
      <c r="D42" s="570"/>
      <c r="E42" s="571"/>
      <c r="F42" s="294"/>
      <c r="G42" s="42"/>
      <c r="H42" s="41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87"/>
      <c r="C43" s="349"/>
      <c r="D43" s="516"/>
      <c r="E43" s="517"/>
      <c r="F43" s="294"/>
      <c r="G43" s="42"/>
      <c r="H43" s="41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87"/>
      <c r="C44" s="349"/>
      <c r="D44" s="570"/>
      <c r="E44" s="571"/>
      <c r="F44" s="294"/>
      <c r="G44" s="42"/>
      <c r="H44" s="41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88"/>
      <c r="C45" s="350"/>
      <c r="D45" s="572"/>
      <c r="E45" s="573"/>
      <c r="F45" s="294"/>
      <c r="G45" s="42"/>
      <c r="H45" s="41"/>
      <c r="I45" s="42"/>
      <c r="J45" s="291" t="s">
        <v>148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74">
        <f>AVERAGE(D24:E45)</f>
        <v>12.664999999999999</v>
      </c>
      <c r="E46" s="575"/>
      <c r="F46" s="294"/>
      <c r="H46" s="41"/>
      <c r="I46" s="42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1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1"/>
      <c r="I48" s="42"/>
      <c r="J48" s="346" t="s">
        <v>130</v>
      </c>
      <c r="K48" s="324">
        <f>SUM(K38:K47)</f>
        <v>4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495" t="s">
        <v>17</v>
      </c>
      <c r="C51" s="495" t="s">
        <v>44</v>
      </c>
      <c r="D51" s="507" t="s">
        <v>45</v>
      </c>
      <c r="E51" s="509" t="s">
        <v>46</v>
      </c>
      <c r="F51" s="503" t="s">
        <v>47</v>
      </c>
      <c r="G51" s="493" t="s">
        <v>48</v>
      </c>
      <c r="H51" s="495" t="s">
        <v>49</v>
      </c>
      <c r="I51" s="495" t="s">
        <v>50</v>
      </c>
      <c r="J51" s="487" t="s">
        <v>28</v>
      </c>
      <c r="K51" s="499" t="s">
        <v>51</v>
      </c>
      <c r="L51" s="501" t="s">
        <v>52</v>
      </c>
      <c r="M51" s="487" t="s">
        <v>53</v>
      </c>
      <c r="N51" s="13"/>
      <c r="O51" s="13"/>
      <c r="P51" s="50"/>
    </row>
    <row r="52" spans="2:57" ht="28.5" customHeight="1" thickTop="1" thickBot="1">
      <c r="B52" s="496"/>
      <c r="C52" s="496"/>
      <c r="D52" s="508"/>
      <c r="E52" s="510"/>
      <c r="F52" s="504"/>
      <c r="G52" s="494"/>
      <c r="H52" s="496"/>
      <c r="I52" s="496"/>
      <c r="J52" s="488"/>
      <c r="K52" s="500"/>
      <c r="L52" s="502"/>
      <c r="M52" s="488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59.45" customHeight="1" thickBot="1">
      <c r="B53" s="474" t="str">
        <f>J39</f>
        <v>STAG</v>
      </c>
      <c r="C53" s="445">
        <v>45877</v>
      </c>
      <c r="D53" s="446">
        <f>[38]August_2025!$K$13</f>
        <v>399.37</v>
      </c>
      <c r="E53" s="447"/>
      <c r="F53" s="448"/>
      <c r="G53" s="449">
        <f>[38]August_2025!$K$17</f>
        <v>377.8</v>
      </c>
      <c r="H53" s="450"/>
      <c r="I53" s="451"/>
      <c r="J53" s="452" t="s">
        <v>182</v>
      </c>
      <c r="K53" s="453">
        <f>[39]August_2025!$K$25</f>
        <v>0.4418713450292398</v>
      </c>
      <c r="L53" s="466">
        <f>(((D53+E53)-G53)/(D53+E53))*100</f>
        <v>5.4010065853719595</v>
      </c>
      <c r="M53" s="465" t="s">
        <v>179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[20]January_2019!L7</f>
        <v>285.8</v>
      </c>
      <c r="AC53" s="57">
        <f>[20]January_2019!M7</f>
        <v>508.1</v>
      </c>
      <c r="AD53" s="57">
        <f>[20]January_2019!N7</f>
        <v>0</v>
      </c>
      <c r="AE53" s="57">
        <f>[20]January_2019!O7</f>
        <v>0</v>
      </c>
      <c r="AF53" s="57">
        <f>[20]January_2019!P7</f>
        <v>109.56666666666666</v>
      </c>
      <c r="AG53" s="57">
        <f>[20]January_2019!Q7</f>
        <v>297.64999999999998</v>
      </c>
      <c r="AH53" s="57">
        <f>[20]January_2019!R7</f>
        <v>122.3</v>
      </c>
      <c r="AI53" s="57">
        <f>[20]January_2019!S7</f>
        <v>0</v>
      </c>
      <c r="AJ53" s="57">
        <f>[20]January_2019!T7</f>
        <v>294.7</v>
      </c>
      <c r="AK53" s="57">
        <f>[20]January_2019!U7</f>
        <v>280.5</v>
      </c>
      <c r="AL53" s="57">
        <f>[20]January_2019!V7</f>
        <v>0</v>
      </c>
      <c r="AM53" s="57">
        <f>[20]January_2019!W7</f>
        <v>0</v>
      </c>
      <c r="AN53" s="57">
        <f>[20]January_2019!X7</f>
        <v>188.25</v>
      </c>
      <c r="AO53" s="57">
        <f>[20]January_2019!Y7</f>
        <v>295.7</v>
      </c>
      <c r="AP53" s="57">
        <f>[20]January_2019!Z7</f>
        <v>257.8</v>
      </c>
      <c r="AQ53" s="57">
        <f>[20]January_2019!AA7</f>
        <v>291.2</v>
      </c>
      <c r="AR53" s="57">
        <f>[20]January_2019!AB7</f>
        <v>187</v>
      </c>
      <c r="AS53" s="57">
        <f>[20]January_2019!AC7</f>
        <v>0</v>
      </c>
      <c r="AT53" s="57">
        <f>[20]January_2019!AD7</f>
        <v>0</v>
      </c>
      <c r="AU53" s="57">
        <f>[20]January_2019!AE7</f>
        <v>485.1</v>
      </c>
      <c r="AV53" s="57">
        <f>[20]January_2019!AF7</f>
        <v>171.55</v>
      </c>
      <c r="AW53" s="57">
        <f>[20]January_2019!AG7</f>
        <v>423.8</v>
      </c>
      <c r="AX53" s="277">
        <f>[20]January_2019!AH7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20.45" customHeight="1" thickBot="1">
      <c r="B54" s="469"/>
      <c r="C54" s="434"/>
      <c r="D54" s="435"/>
      <c r="E54" s="436"/>
      <c r="F54" s="437"/>
      <c r="G54" s="438"/>
      <c r="H54" s="439"/>
      <c r="I54" s="454"/>
      <c r="J54" s="455"/>
      <c r="K54" s="440"/>
      <c r="L54" s="456"/>
      <c r="M54" s="42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9" customHeight="1" thickBot="1">
      <c r="B55" s="420" t="str">
        <f>J43</f>
        <v>MACKESON</v>
      </c>
      <c r="C55" s="445">
        <v>45877</v>
      </c>
      <c r="D55" s="446">
        <f>[38]August_2025!$K$34</f>
        <v>196</v>
      </c>
      <c r="E55" s="447">
        <f>SUM([27]Process!$Y$23:$Y$26)</f>
        <v>3.8</v>
      </c>
      <c r="F55" s="448"/>
      <c r="G55" s="449">
        <f>[38]August_2025!$K$39</f>
        <v>189.3</v>
      </c>
      <c r="H55" s="450"/>
      <c r="I55" s="451"/>
      <c r="J55" s="452" t="s">
        <v>150</v>
      </c>
      <c r="K55" s="453">
        <f>[39]August_2025!$K$39</f>
        <v>0.66421052631578947</v>
      </c>
      <c r="L55" s="466">
        <f>(((D55+E55)-G55)/(D55+E55))*100</f>
        <v>5.2552552552552552</v>
      </c>
      <c r="M55" s="465" t="s">
        <v>170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">
      <c r="B56" s="458"/>
      <c r="C56" s="434"/>
      <c r="D56" s="435"/>
      <c r="E56" s="436"/>
      <c r="F56" s="437"/>
      <c r="G56" s="438"/>
      <c r="H56" s="439"/>
      <c r="I56" s="454"/>
      <c r="J56" s="455"/>
      <c r="K56" s="440"/>
      <c r="L56" s="456"/>
      <c r="M56" s="42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6.6" hidden="1" customHeight="1" thickBot="1">
      <c r="B57" s="387"/>
      <c r="C57" s="445">
        <v>45873</v>
      </c>
      <c r="D57" s="446"/>
      <c r="E57" s="447"/>
      <c r="F57" s="448"/>
      <c r="G57" s="449"/>
      <c r="H57" s="450"/>
      <c r="I57" s="451"/>
      <c r="J57" s="452" t="s">
        <v>163</v>
      </c>
      <c r="K57" s="453"/>
      <c r="L57" s="459" t="e">
        <f>(((D57+E57)-G57)/(D57+E57))*100</f>
        <v>#DIV/0!</v>
      </c>
      <c r="M57" s="46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customHeight="1" thickBot="1">
      <c r="B58" s="441"/>
      <c r="C58" s="427"/>
      <c r="D58" s="428"/>
      <c r="E58" s="429"/>
      <c r="F58" s="430"/>
      <c r="G58" s="431"/>
      <c r="H58" s="432"/>
      <c r="I58" s="442"/>
      <c r="J58" s="443"/>
      <c r="K58" s="433"/>
      <c r="L58" s="444"/>
      <c r="M58" s="426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5"/>
      <c r="AC58" s="415"/>
      <c r="AD58" s="415"/>
      <c r="AE58" s="415"/>
      <c r="AF58" s="415"/>
      <c r="AG58" s="415"/>
      <c r="AH58" s="415"/>
      <c r="AI58" s="415"/>
      <c r="AJ58" s="415"/>
      <c r="AK58" s="415"/>
      <c r="AL58" s="415"/>
      <c r="AM58" s="415"/>
      <c r="AN58" s="415"/>
      <c r="AO58" s="415"/>
      <c r="AP58" s="415"/>
      <c r="AQ58" s="415"/>
      <c r="AR58" s="415"/>
      <c r="AS58" s="415"/>
      <c r="AT58" s="415"/>
      <c r="AU58" s="415"/>
      <c r="AV58" s="415"/>
      <c r="AW58" s="415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489" t="s">
        <v>55</v>
      </c>
      <c r="C60" s="490"/>
      <c r="D60" s="490"/>
      <c r="E60" s="490"/>
      <c r="F60" s="491"/>
      <c r="G60" s="489" t="s">
        <v>56</v>
      </c>
      <c r="H60" s="490"/>
      <c r="I60" s="490"/>
      <c r="J60" s="491"/>
      <c r="K60" s="489" t="s">
        <v>51</v>
      </c>
      <c r="L60" s="490"/>
      <c r="M60" s="490"/>
      <c r="N60" s="492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/>
      <c r="D62" s="76">
        <v>5.4152068350851392</v>
      </c>
      <c r="E62" s="76">
        <v>6.2974824219348164</v>
      </c>
      <c r="F62" s="66">
        <v>4.8</v>
      </c>
      <c r="G62" s="65"/>
      <c r="H62" s="76">
        <v>6.8578570389878051</v>
      </c>
      <c r="I62" s="76">
        <v>6.2174321894032589</v>
      </c>
      <c r="J62" s="66">
        <v>4.8</v>
      </c>
      <c r="K62" s="67"/>
      <c r="L62" s="194">
        <v>0.89988304093567251</v>
      </c>
      <c r="M62" s="194">
        <v>0.74535277634725416</v>
      </c>
      <c r="N62" s="68">
        <v>1</v>
      </c>
      <c r="O62" s="56"/>
      <c r="P62" s="69"/>
    </row>
    <row r="63" spans="2:57" ht="15">
      <c r="B63" s="33" t="s">
        <v>9</v>
      </c>
      <c r="C63" s="65"/>
      <c r="D63" s="76">
        <v>5.4010065853719595</v>
      </c>
      <c r="E63" s="76">
        <v>5.9276538972630206</v>
      </c>
      <c r="F63" s="66">
        <v>4.8</v>
      </c>
      <c r="G63" s="65"/>
      <c r="H63" s="76">
        <v>5.781227619996673</v>
      </c>
      <c r="I63" s="76">
        <v>5.5345014014211698</v>
      </c>
      <c r="J63" s="66">
        <v>4.8</v>
      </c>
      <c r="K63" s="67"/>
      <c r="L63" s="194">
        <v>0.4418713450292398</v>
      </c>
      <c r="M63" s="194">
        <v>0.75087758833458496</v>
      </c>
      <c r="N63" s="68">
        <v>1</v>
      </c>
      <c r="P63" s="69"/>
    </row>
    <row r="64" spans="2:57" ht="15">
      <c r="B64" s="34" t="s">
        <v>40</v>
      </c>
      <c r="C64" s="65"/>
      <c r="D64" s="76">
        <v>8.0382775119617147</v>
      </c>
      <c r="E64" s="76">
        <v>11.429743886837057</v>
      </c>
      <c r="F64" s="66">
        <v>5.5</v>
      </c>
      <c r="G64" s="65"/>
      <c r="H64" s="76">
        <v>10.370027728825649</v>
      </c>
      <c r="I64" s="76">
        <v>13.047305235287777</v>
      </c>
      <c r="J64" s="66">
        <v>5.5</v>
      </c>
      <c r="K64" s="67"/>
      <c r="L64" s="194">
        <v>0.67438596491228076</v>
      </c>
      <c r="M64" s="194">
        <v>0.55172216056233814</v>
      </c>
      <c r="N64" s="68">
        <v>1</v>
      </c>
      <c r="P64" s="69"/>
    </row>
    <row r="65" spans="2:16" ht="15">
      <c r="B65" s="22" t="s">
        <v>33</v>
      </c>
      <c r="C65" s="65"/>
      <c r="D65" s="76">
        <v>6.0500000000000114</v>
      </c>
      <c r="E65" s="76">
        <v>5.1850280988230084</v>
      </c>
      <c r="F65" s="66">
        <v>3.3</v>
      </c>
      <c r="G65" s="65"/>
      <c r="H65" s="76">
        <v>5.966075524743097</v>
      </c>
      <c r="I65" s="76">
        <v>4.9519881827605072</v>
      </c>
      <c r="J65" s="66">
        <v>3.3</v>
      </c>
      <c r="K65" s="67"/>
      <c r="L65" s="194">
        <v>0.32964912280701753</v>
      </c>
      <c r="M65" s="194">
        <v>0.72853313840155942</v>
      </c>
      <c r="N65" s="68">
        <v>1</v>
      </c>
      <c r="P65" s="69"/>
    </row>
    <row r="66" spans="2:16" ht="15">
      <c r="B66" s="35" t="s">
        <v>165</v>
      </c>
      <c r="C66" s="65"/>
      <c r="D66" s="76"/>
      <c r="E66" s="76">
        <v>7.837301587301579</v>
      </c>
      <c r="F66" s="66">
        <v>3.3</v>
      </c>
      <c r="G66" s="282"/>
      <c r="H66" s="76"/>
      <c r="I66" s="76">
        <v>5.3377569154690221</v>
      </c>
      <c r="J66" s="66">
        <v>3</v>
      </c>
      <c r="K66" s="67"/>
      <c r="L66" s="194"/>
      <c r="M66" s="194">
        <v>0.32596491228070179</v>
      </c>
      <c r="N66" s="68">
        <v>1</v>
      </c>
      <c r="P66" s="69"/>
    </row>
    <row r="67" spans="2:16" ht="15">
      <c r="B67" s="36" t="s">
        <v>15</v>
      </c>
      <c r="C67" s="65"/>
      <c r="D67" s="76">
        <v>5.2552552552552552</v>
      </c>
      <c r="E67" s="76">
        <v>6.9158697961943529</v>
      </c>
      <c r="F67" s="70">
        <f>[21]May_2022!$M$43</f>
        <v>3.4878406700073312</v>
      </c>
      <c r="G67" s="282"/>
      <c r="H67" s="76">
        <v>6.7916330640214131</v>
      </c>
      <c r="I67" s="76">
        <v>8.5598888260252064</v>
      </c>
      <c r="J67" s="66">
        <v>5.5</v>
      </c>
      <c r="K67" s="67"/>
      <c r="L67" s="194">
        <v>0.66421052631578947</v>
      </c>
      <c r="M67" s="194">
        <v>0.60705263157894729</v>
      </c>
      <c r="N67" s="68">
        <v>1</v>
      </c>
      <c r="P67" s="69"/>
    </row>
    <row r="68" spans="2:16" ht="15">
      <c r="B68" s="37" t="s">
        <v>16</v>
      </c>
      <c r="C68" s="65"/>
      <c r="D68" s="76">
        <v>3.8383838383838214</v>
      </c>
      <c r="E68" s="76">
        <v>3.0206926869092796</v>
      </c>
      <c r="F68" s="66">
        <v>3.3</v>
      </c>
      <c r="G68" s="282"/>
      <c r="H68" s="76">
        <v>6.7477320980505571</v>
      </c>
      <c r="I68" s="76">
        <v>4.4881222182352793</v>
      </c>
      <c r="J68" s="66">
        <v>3.3</v>
      </c>
      <c r="K68" s="67"/>
      <c r="L68" s="194">
        <v>0.3340350877192983</v>
      </c>
      <c r="M68" s="194">
        <v>0.80384787472035779</v>
      </c>
      <c r="N68" s="71">
        <v>1</v>
      </c>
      <c r="P68" s="69"/>
    </row>
    <row r="69" spans="2:16" ht="15.75" thickBot="1">
      <c r="B69" s="38" t="s">
        <v>164</v>
      </c>
      <c r="C69" s="65"/>
      <c r="D69" s="76"/>
      <c r="E69" s="76">
        <v>11.483253588516746</v>
      </c>
      <c r="F69" s="66">
        <v>7.5</v>
      </c>
      <c r="G69" s="282"/>
      <c r="H69" s="76"/>
      <c r="I69" s="76">
        <v>9.7934336121043764</v>
      </c>
      <c r="J69" s="66">
        <v>7.5</v>
      </c>
      <c r="K69" s="67"/>
      <c r="M69" s="194">
        <v>0.32456140350877194</v>
      </c>
      <c r="N69" s="71">
        <v>1</v>
      </c>
      <c r="P69" s="69"/>
    </row>
    <row r="70" spans="2:16" ht="15.75" thickBot="1">
      <c r="B70" s="414" t="s">
        <v>161</v>
      </c>
      <c r="C70" s="65"/>
      <c r="D70" s="76"/>
      <c r="E70" s="76">
        <v>7.2653644592663174</v>
      </c>
      <c r="F70" s="66">
        <v>4.8</v>
      </c>
      <c r="G70" s="282"/>
      <c r="H70" s="76"/>
      <c r="I70" s="76">
        <v>8.1715311054411259</v>
      </c>
      <c r="J70" s="66">
        <v>4.8</v>
      </c>
      <c r="K70" s="67"/>
      <c r="L70" s="194"/>
      <c r="M70" s="194">
        <v>0.51368421052631585</v>
      </c>
      <c r="N70" s="71">
        <v>1</v>
      </c>
      <c r="O70" s="74"/>
      <c r="P70" s="75"/>
    </row>
    <row r="71" spans="2:16" ht="15">
      <c r="D71" s="76">
        <v>5.7650684489325794</v>
      </c>
      <c r="E71" s="76">
        <v>6.3669944749363454</v>
      </c>
      <c r="F71" s="341">
        <v>5.5</v>
      </c>
      <c r="H71" s="76">
        <v>7.3152716694652868</v>
      </c>
      <c r="I71" s="76">
        <v>6.6185203757420359</v>
      </c>
      <c r="J71" s="341">
        <v>5.5</v>
      </c>
      <c r="L71" s="194">
        <v>0.64297514619883045</v>
      </c>
      <c r="M71" s="194">
        <v>0.71835180966843837</v>
      </c>
      <c r="N71" s="386">
        <v>1</v>
      </c>
    </row>
    <row r="75" spans="2:16">
      <c r="F75" s="315"/>
    </row>
    <row r="76" spans="2:16" ht="15">
      <c r="F76" s="341"/>
    </row>
  </sheetData>
  <mergeCells count="51">
    <mergeCell ref="M51:M52"/>
    <mergeCell ref="B60:F60"/>
    <mergeCell ref="G60:J60"/>
    <mergeCell ref="K60:N60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2241" priority="110" operator="notBetween">
      <formula>#REF!</formula>
      <formula>#REF!</formula>
    </cfRule>
  </conditionalFormatting>
  <conditionalFormatting sqref="C50">
    <cfRule type="cellIs" dxfId="2240" priority="142" stopIfTrue="1" operator="greaterThan">
      <formula>100</formula>
    </cfRule>
    <cfRule type="cellIs" dxfId="2239" priority="141" stopIfTrue="1" operator="lessThan">
      <formula>96</formula>
    </cfRule>
  </conditionalFormatting>
  <conditionalFormatting sqref="C62:C66">
    <cfRule type="cellIs" dxfId="2238" priority="91" stopIfTrue="1" operator="lessThanOrEqual">
      <formula>0</formula>
    </cfRule>
  </conditionalFormatting>
  <conditionalFormatting sqref="C62:C70">
    <cfRule type="cellIs" dxfId="2237" priority="90" stopIfTrue="1" operator="greaterThan">
      <formula>$F62</formula>
    </cfRule>
  </conditionalFormatting>
  <conditionalFormatting sqref="C63">
    <cfRule type="cellIs" dxfId="2236" priority="145" stopIfTrue="1" operator="greaterThan">
      <formula>$F62</formula>
    </cfRule>
  </conditionalFormatting>
  <conditionalFormatting sqref="C67">
    <cfRule type="cellIs" dxfId="2235" priority="1" stopIfTrue="1" operator="lessThanOrEqual">
      <formula>0</formula>
    </cfRule>
    <cfRule type="cellIs" dxfId="2234" priority="2" stopIfTrue="1" operator="greaterThan">
      <formula>$F66</formula>
    </cfRule>
  </conditionalFormatting>
  <conditionalFormatting sqref="C73:C77">
    <cfRule type="cellIs" dxfId="2233" priority="133" stopIfTrue="1" operator="lessThanOrEqual">
      <formula>0</formula>
    </cfRule>
  </conditionalFormatting>
  <conditionalFormatting sqref="C74:C77">
    <cfRule type="cellIs" dxfId="2232" priority="132" stopIfTrue="1" operator="greaterThan">
      <formula>$F$73</formula>
    </cfRule>
  </conditionalFormatting>
  <conditionalFormatting sqref="C79">
    <cfRule type="cellIs" dxfId="2231" priority="135" stopIfTrue="1" operator="lessThanOrEqual">
      <formula>0</formula>
    </cfRule>
    <cfRule type="cellIs" dxfId="2230" priority="134" stopIfTrue="1" operator="greaterThan">
      <formula>$F$73</formula>
    </cfRule>
  </conditionalFormatting>
  <conditionalFormatting sqref="C73:D73 D75:D81">
    <cfRule type="cellIs" dxfId="2229" priority="127" stopIfTrue="1" operator="greaterThan">
      <formula>4.5</formula>
    </cfRule>
  </conditionalFormatting>
  <conditionalFormatting sqref="D46:D47">
    <cfRule type="cellIs" dxfId="2228" priority="111" operator="notBetween">
      <formula>#REF!</formula>
      <formula>#REF!</formula>
    </cfRule>
  </conditionalFormatting>
  <conditionalFormatting sqref="D62:D69">
    <cfRule type="cellIs" dxfId="2227" priority="105" stopIfTrue="1" operator="lessThanOrEqual">
      <formula>0</formula>
    </cfRule>
  </conditionalFormatting>
  <conditionalFormatting sqref="D70">
    <cfRule type="cellIs" dxfId="2226" priority="104" stopIfTrue="1" operator="lessThanOrEqual">
      <formula>0</formula>
    </cfRule>
  </conditionalFormatting>
  <conditionalFormatting sqref="D73 D75:D81">
    <cfRule type="cellIs" dxfId="2225" priority="128" stopIfTrue="1" operator="lessThanOrEqual">
      <formula>0</formula>
    </cfRule>
  </conditionalFormatting>
  <conditionalFormatting sqref="D74">
    <cfRule type="cellIs" dxfId="2224" priority="119" stopIfTrue="1" operator="greaterThan">
      <formula>$F$73</formula>
    </cfRule>
    <cfRule type="cellIs" dxfId="2223" priority="120" stopIfTrue="1" operator="lessThanOrEqual">
      <formula>0</formula>
    </cfRule>
  </conditionalFormatting>
  <conditionalFormatting sqref="D62:E71">
    <cfRule type="cellIs" dxfId="2222" priority="87" stopIfTrue="1" operator="greaterThan">
      <formula>$F62</formula>
    </cfRule>
  </conditionalFormatting>
  <conditionalFormatting sqref="D71:E71">
    <cfRule type="cellIs" dxfId="2221" priority="88" stopIfTrue="1" operator="lessThanOrEqual">
      <formula>0</formula>
    </cfRule>
  </conditionalFormatting>
  <conditionalFormatting sqref="E10:E21">
    <cfRule type="cellIs" dxfId="2220" priority="7" operator="lessThan">
      <formula>48</formula>
    </cfRule>
  </conditionalFormatting>
  <conditionalFormatting sqref="E49 E50:F50">
    <cfRule type="cellIs" dxfId="2219" priority="124" stopIfTrue="1" operator="greaterThan">
      <formula>100</formula>
    </cfRule>
  </conditionalFormatting>
  <conditionalFormatting sqref="E50">
    <cfRule type="cellIs" dxfId="2218" priority="121" stopIfTrue="1" operator="lessThan">
      <formula>96.8</formula>
    </cfRule>
    <cfRule type="cellIs" dxfId="2217" priority="122" stopIfTrue="1" operator="greaterThan">
      <formula>100</formula>
    </cfRule>
  </conditionalFormatting>
  <conditionalFormatting sqref="E62:E70">
    <cfRule type="cellIs" dxfId="2216" priority="99" stopIfTrue="1" operator="lessThanOrEqual">
      <formula>0</formula>
    </cfRule>
  </conditionalFormatting>
  <conditionalFormatting sqref="E73:E81">
    <cfRule type="cellIs" dxfId="2215" priority="113" stopIfTrue="1" operator="greaterThan">
      <formula>4.5</formula>
    </cfRule>
    <cfRule type="cellIs" dxfId="2214" priority="114" stopIfTrue="1" operator="lessThanOrEqual">
      <formula>0</formula>
    </cfRule>
  </conditionalFormatting>
  <conditionalFormatting sqref="E50:F50 E49">
    <cfRule type="cellIs" dxfId="2213" priority="123" stopIfTrue="1" operator="lessThan">
      <formula>96.5</formula>
    </cfRule>
  </conditionalFormatting>
  <conditionalFormatting sqref="F10:F21">
    <cfRule type="cellIs" dxfId="2212" priority="8" operator="greaterThan">
      <formula>60</formula>
    </cfRule>
  </conditionalFormatting>
  <conditionalFormatting sqref="F50">
    <cfRule type="cellIs" dxfId="2211" priority="139" stopIfTrue="1" operator="lessThan">
      <formula>96.8</formula>
    </cfRule>
    <cfRule type="cellIs" dxfId="2210" priority="140" stopIfTrue="1" operator="greaterThan">
      <formula>100</formula>
    </cfRule>
  </conditionalFormatting>
  <conditionalFormatting sqref="F71">
    <cfRule type="cellIs" dxfId="2209" priority="100" stopIfTrue="1" operator="greaterThan">
      <formula>$F71</formula>
    </cfRule>
    <cfRule type="cellIs" dxfId="2208" priority="101" stopIfTrue="1" operator="lessThanOrEqual">
      <formula>0</formula>
    </cfRule>
  </conditionalFormatting>
  <conditionalFormatting sqref="F76">
    <cfRule type="cellIs" dxfId="2207" priority="58" stopIfTrue="1" operator="lessThanOrEqual">
      <formula>0</formula>
    </cfRule>
    <cfRule type="cellIs" dxfId="2206" priority="57" stopIfTrue="1" operator="greaterThan">
      <formula>$F76</formula>
    </cfRule>
  </conditionalFormatting>
  <conditionalFormatting sqref="G62:G63 C68:C70">
    <cfRule type="cellIs" dxfId="2205" priority="107" stopIfTrue="1" operator="lessThanOrEqual">
      <formula>0</formula>
    </cfRule>
  </conditionalFormatting>
  <conditionalFormatting sqref="G62:G63">
    <cfRule type="cellIs" dxfId="2204" priority="92" stopIfTrue="1" operator="greaterThan">
      <formula>$F62</formula>
    </cfRule>
    <cfRule type="cellIs" dxfId="2203" priority="106" stopIfTrue="1" operator="greaterThan">
      <formula>$F62</formula>
    </cfRule>
    <cfRule type="cellIs" dxfId="2202" priority="93" stopIfTrue="1" operator="lessThanOrEqual">
      <formula>0</formula>
    </cfRule>
  </conditionalFormatting>
  <conditionalFormatting sqref="G64">
    <cfRule type="cellIs" dxfId="2201" priority="143" stopIfTrue="1" operator="greaterThan">
      <formula>$F63</formula>
    </cfRule>
    <cfRule type="cellIs" dxfId="2200" priority="144" stopIfTrue="1" operator="lessThanOrEqual">
      <formula>0</formula>
    </cfRule>
  </conditionalFormatting>
  <conditionalFormatting sqref="G65">
    <cfRule type="cellIs" dxfId="2199" priority="102" stopIfTrue="1" operator="greaterThan">
      <formula>$F65</formula>
    </cfRule>
    <cfRule type="cellIs" dxfId="2198" priority="103" stopIfTrue="1" operator="lessThanOrEqual">
      <formula>0</formula>
    </cfRule>
  </conditionalFormatting>
  <conditionalFormatting sqref="G66:G70">
    <cfRule type="cellIs" dxfId="2197" priority="109" stopIfTrue="1" operator="lessThanOrEqual">
      <formula>0</formula>
    </cfRule>
    <cfRule type="cellIs" dxfId="2196" priority="108" stopIfTrue="1" operator="greaterThan">
      <formula>$J66</formula>
    </cfRule>
  </conditionalFormatting>
  <conditionalFormatting sqref="G75:G80 C78 C80">
    <cfRule type="cellIs" dxfId="2195" priority="136" stopIfTrue="1" operator="greaterThan">
      <formula>4.5</formula>
    </cfRule>
    <cfRule type="cellIs" dxfId="2194" priority="137" stopIfTrue="1" operator="lessThanOrEqual">
      <formula>0</formula>
    </cfRule>
  </conditionalFormatting>
  <conditionalFormatting sqref="G10:H21">
    <cfRule type="expression" dxfId="2193" priority="11">
      <formula>IF(+(IF(G10&lt;#REF!,0,IF(G10&gt;#REF!,0,1)))=0,1)</formula>
    </cfRule>
  </conditionalFormatting>
  <conditionalFormatting sqref="G74:H74">
    <cfRule type="cellIs" dxfId="2192" priority="118" stopIfTrue="1" operator="lessThanOrEqual">
      <formula>0</formula>
    </cfRule>
    <cfRule type="cellIs" dxfId="2191" priority="117" stopIfTrue="1" operator="greaterThan">
      <formula>$F$73</formula>
    </cfRule>
  </conditionalFormatting>
  <conditionalFormatting sqref="H35:H49">
    <cfRule type="cellIs" dxfId="2190" priority="115" stopIfTrue="1" operator="greaterThan">
      <formula>0</formula>
    </cfRule>
  </conditionalFormatting>
  <conditionalFormatting sqref="H53">
    <cfRule type="cellIs" dxfId="2189" priority="27" stopIfTrue="1" operator="greaterThan">
      <formula>$F$18</formula>
    </cfRule>
    <cfRule type="cellIs" dxfId="2188" priority="26" stopIfTrue="1" operator="lessThanOrEqual">
      <formula>0</formula>
    </cfRule>
    <cfRule type="cellIs" dxfId="2187" priority="25" stopIfTrue="1" operator="greaterThan">
      <formula>$F$20</formula>
    </cfRule>
    <cfRule type="cellIs" dxfId="2186" priority="17" stopIfTrue="1" operator="greaterThan">
      <formula>$F$14</formula>
    </cfRule>
    <cfRule type="cellIs" dxfId="2185" priority="16" stopIfTrue="1" operator="lessThanOrEqual">
      <formula>0</formula>
    </cfRule>
    <cfRule type="cellIs" dxfId="2184" priority="28" stopIfTrue="1" operator="lessThanOrEqual">
      <formula>0</formula>
    </cfRule>
  </conditionalFormatting>
  <conditionalFormatting sqref="H54">
    <cfRule type="cellIs" dxfId="2183" priority="54" stopIfTrue="1" operator="lessThanOrEqual">
      <formula>0</formula>
    </cfRule>
    <cfRule type="cellIs" dxfId="2182" priority="56" stopIfTrue="1" operator="lessThanOrEqual">
      <formula>0</formula>
    </cfRule>
    <cfRule type="cellIs" dxfId="2181" priority="55" stopIfTrue="1" operator="greaterThan">
      <formula>$F$20</formula>
    </cfRule>
    <cfRule type="cellIs" dxfId="2180" priority="44" stopIfTrue="1" operator="lessThanOrEqual">
      <formula>0</formula>
    </cfRule>
    <cfRule type="cellIs" dxfId="2179" priority="45" stopIfTrue="1" operator="greaterThan">
      <formula>$F$19</formula>
    </cfRule>
    <cfRule type="cellIs" dxfId="2178" priority="53" stopIfTrue="1" operator="greaterThan">
      <formula>$F$22</formula>
    </cfRule>
  </conditionalFormatting>
  <conditionalFormatting sqref="H55:H57">
    <cfRule type="cellIs" dxfId="2177" priority="31" stopIfTrue="1" operator="greaterThan">
      <formula>$F$18</formula>
    </cfRule>
    <cfRule type="cellIs" dxfId="2176" priority="39" stopIfTrue="1" operator="greaterThan">
      <formula>$F$21</formula>
    </cfRule>
    <cfRule type="cellIs" dxfId="2175" priority="40" stopIfTrue="1" operator="lessThanOrEqual">
      <formula>0</formula>
    </cfRule>
    <cfRule type="cellIs" dxfId="2174" priority="41" stopIfTrue="1" operator="greaterThan">
      <formula>$F$19</formula>
    </cfRule>
    <cfRule type="cellIs" dxfId="2173" priority="42" stopIfTrue="1" operator="lessThanOrEqual">
      <formula>0</formula>
    </cfRule>
    <cfRule type="cellIs" dxfId="2172" priority="30" stopIfTrue="1" operator="lessThanOrEqual">
      <formula>0</formula>
    </cfRule>
  </conditionalFormatting>
  <conditionalFormatting sqref="H58">
    <cfRule type="cellIs" dxfId="2171" priority="72" stopIfTrue="1" operator="greaterThan">
      <formula>$F$35</formula>
    </cfRule>
    <cfRule type="cellIs" dxfId="2170" priority="71" stopIfTrue="1" operator="lessThanOrEqual">
      <formula>0</formula>
    </cfRule>
    <cfRule type="cellIs" dxfId="2169" priority="70" stopIfTrue="1" operator="greaterThan">
      <formula>$F$37</formula>
    </cfRule>
    <cfRule type="cellIs" dxfId="2168" priority="73" stopIfTrue="1" operator="lessThanOrEqual">
      <formula>0</formula>
    </cfRule>
    <cfRule type="cellIs" dxfId="2167" priority="62" stopIfTrue="1" operator="greaterThan">
      <formula>$F$34</formula>
    </cfRule>
    <cfRule type="cellIs" dxfId="2166" priority="61" stopIfTrue="1" operator="lessThanOrEqual">
      <formula>0</formula>
    </cfRule>
  </conditionalFormatting>
  <conditionalFormatting sqref="H62:H69">
    <cfRule type="cellIs" dxfId="2165" priority="95" stopIfTrue="1" operator="lessThanOrEqual">
      <formula>0</formula>
    </cfRule>
    <cfRule type="cellIs" dxfId="2164" priority="94" stopIfTrue="1" operator="greaterThan">
      <formula>$J62</formula>
    </cfRule>
  </conditionalFormatting>
  <conditionalFormatting sqref="H70">
    <cfRule type="cellIs" dxfId="2163" priority="96" operator="greaterThan">
      <formula>5.3</formula>
    </cfRule>
  </conditionalFormatting>
  <conditionalFormatting sqref="H73 H75:H81">
    <cfRule type="cellIs" dxfId="2162" priority="129" stopIfTrue="1" operator="greaterThan">
      <formula>4.5</formula>
    </cfRule>
    <cfRule type="cellIs" dxfId="2161" priority="130" stopIfTrue="1" operator="lessThanOrEqual">
      <formula>0</formula>
    </cfRule>
  </conditionalFormatting>
  <conditionalFormatting sqref="H53:I53">
    <cfRule type="cellIs" dxfId="2160" priority="18" stopIfTrue="1" operator="lessThanOrEqual">
      <formula>0</formula>
    </cfRule>
    <cfRule type="cellIs" dxfId="2159" priority="15" stopIfTrue="1" operator="greaterThan">
      <formula>$F$19</formula>
    </cfRule>
  </conditionalFormatting>
  <conditionalFormatting sqref="H54:I54">
    <cfRule type="cellIs" dxfId="2158" priority="43" stopIfTrue="1" operator="greaterThan">
      <formula>$F$21</formula>
    </cfRule>
    <cfRule type="cellIs" dxfId="2157" priority="46" stopIfTrue="1" operator="lessThanOrEqual">
      <formula>0</formula>
    </cfRule>
  </conditionalFormatting>
  <conditionalFormatting sqref="H55:I57">
    <cfRule type="cellIs" dxfId="2156" priority="29" stopIfTrue="1" operator="greaterThan">
      <formula>$F$20</formula>
    </cfRule>
    <cfRule type="cellIs" dxfId="2155" priority="32" stopIfTrue="1" operator="lessThanOrEqual">
      <formula>0</formula>
    </cfRule>
  </conditionalFormatting>
  <conditionalFormatting sqref="H58:I58">
    <cfRule type="cellIs" dxfId="2154" priority="60" stopIfTrue="1" operator="greaterThan">
      <formula>$F$36</formula>
    </cfRule>
    <cfRule type="cellIs" dxfId="2153" priority="63" stopIfTrue="1" operator="lessThanOrEqual">
      <formula>0</formula>
    </cfRule>
  </conditionalFormatting>
  <conditionalFormatting sqref="H71:I71">
    <cfRule type="cellIs" dxfId="2152" priority="85" stopIfTrue="1" operator="greaterThan">
      <formula>$J71</formula>
    </cfRule>
    <cfRule type="cellIs" dxfId="2151" priority="86" stopIfTrue="1" operator="lessThanOrEqual">
      <formula>0</formula>
    </cfRule>
  </conditionalFormatting>
  <conditionalFormatting sqref="I53">
    <cfRule type="cellIs" dxfId="2150" priority="21" stopIfTrue="1" operator="greaterThan">
      <formula>$F$19</formula>
    </cfRule>
    <cfRule type="cellIs" dxfId="2149" priority="22" stopIfTrue="1" operator="lessThanOrEqual">
      <formula>0</formula>
    </cfRule>
    <cfRule type="cellIs" dxfId="2148" priority="23" stopIfTrue="1" operator="greaterThan">
      <formula>$F$14</formula>
    </cfRule>
    <cfRule type="cellIs" dxfId="2147" priority="24" stopIfTrue="1" operator="lessThanOrEqual">
      <formula>0</formula>
    </cfRule>
    <cfRule type="cellIs" dxfId="2146" priority="19" stopIfTrue="1" operator="greaterThan">
      <formula>$F$14</formula>
    </cfRule>
    <cfRule type="cellIs" dxfId="2145" priority="20" stopIfTrue="1" operator="lessThanOrEqual">
      <formula>0</formula>
    </cfRule>
  </conditionalFormatting>
  <conditionalFormatting sqref="I54">
    <cfRule type="cellIs" dxfId="2144" priority="52" stopIfTrue="1" operator="lessThanOrEqual">
      <formula>0</formula>
    </cfRule>
    <cfRule type="cellIs" dxfId="2143" priority="48" stopIfTrue="1" operator="lessThanOrEqual">
      <formula>0</formula>
    </cfRule>
    <cfRule type="cellIs" dxfId="2142" priority="49" stopIfTrue="1" operator="greaterThan">
      <formula>$F$21</formula>
    </cfRule>
    <cfRule type="cellIs" dxfId="2141" priority="47" stopIfTrue="1" operator="greaterThan">
      <formula>$F$19</formula>
    </cfRule>
    <cfRule type="cellIs" dxfId="2140" priority="51" stopIfTrue="1" operator="greaterThan">
      <formula>$F$19</formula>
    </cfRule>
    <cfRule type="cellIs" dxfId="2139" priority="50" stopIfTrue="1" operator="lessThanOrEqual">
      <formula>0</formula>
    </cfRule>
  </conditionalFormatting>
  <conditionalFormatting sqref="I55:I57">
    <cfRule type="cellIs" dxfId="2138" priority="38" stopIfTrue="1" operator="lessThanOrEqual">
      <formula>0</formula>
    </cfRule>
    <cfRule type="cellIs" dxfId="2137" priority="35" stopIfTrue="1" operator="greaterThan">
      <formula>$F$20</formula>
    </cfRule>
    <cfRule type="cellIs" dxfId="2136" priority="34" stopIfTrue="1" operator="lessThanOrEqual">
      <formula>0</formula>
    </cfRule>
    <cfRule type="cellIs" dxfId="2135" priority="37" stopIfTrue="1" operator="greaterThan">
      <formula>$F$18</formula>
    </cfRule>
    <cfRule type="cellIs" dxfId="2134" priority="36" stopIfTrue="1" operator="lessThanOrEqual">
      <formula>0</formula>
    </cfRule>
    <cfRule type="cellIs" dxfId="2133" priority="33" stopIfTrue="1" operator="greaterThan">
      <formula>$F$18</formula>
    </cfRule>
  </conditionalFormatting>
  <conditionalFormatting sqref="I58">
    <cfRule type="cellIs" dxfId="2132" priority="64" stopIfTrue="1" operator="greaterThan">
      <formula>$F$34</formula>
    </cfRule>
    <cfRule type="cellIs" dxfId="2131" priority="69" stopIfTrue="1" operator="lessThanOrEqual">
      <formula>0</formula>
    </cfRule>
    <cfRule type="cellIs" dxfId="2130" priority="68" stopIfTrue="1" operator="greaterThan">
      <formula>$F$34</formula>
    </cfRule>
    <cfRule type="cellIs" dxfId="2129" priority="65" stopIfTrue="1" operator="lessThanOrEqual">
      <formula>0</formula>
    </cfRule>
    <cfRule type="cellIs" dxfId="2128" priority="66" stopIfTrue="1" operator="greaterThan">
      <formula>$F$36</formula>
    </cfRule>
    <cfRule type="cellIs" dxfId="2127" priority="67" stopIfTrue="1" operator="lessThanOrEqual">
      <formula>0</formula>
    </cfRule>
  </conditionalFormatting>
  <conditionalFormatting sqref="I62:I70">
    <cfRule type="cellIs" dxfId="2126" priority="98" stopIfTrue="1" operator="lessThanOrEqual">
      <formula>0</formula>
    </cfRule>
    <cfRule type="cellIs" dxfId="2125" priority="97" stopIfTrue="1" operator="greaterThan">
      <formula>$J62</formula>
    </cfRule>
  </conditionalFormatting>
  <conditionalFormatting sqref="I73:I81">
    <cfRule type="cellIs" dxfId="2124" priority="126" stopIfTrue="1" operator="lessThanOrEqual">
      <formula>0</formula>
    </cfRule>
    <cfRule type="cellIs" dxfId="2123" priority="125" stopIfTrue="1" operator="greaterThan">
      <formula>4.5</formula>
    </cfRule>
  </conditionalFormatting>
  <conditionalFormatting sqref="I10:J21">
    <cfRule type="cellIs" dxfId="2122" priority="9" operator="lessThan">
      <formula>97.9</formula>
    </cfRule>
  </conditionalFormatting>
  <conditionalFormatting sqref="J24:J26">
    <cfRule type="cellIs" dxfId="2121" priority="77" operator="lessThan">
      <formula>98</formula>
    </cfRule>
    <cfRule type="cellIs" dxfId="2120" priority="76" stopIfTrue="1" operator="greaterThan">
      <formula>100</formula>
    </cfRule>
    <cfRule type="cellIs" dxfId="2119" priority="75" stopIfTrue="1" operator="lessThan">
      <formula>96.8</formula>
    </cfRule>
  </conditionalFormatting>
  <conditionalFormatting sqref="J24:J28">
    <cfRule type="cellIs" dxfId="2118" priority="74" operator="lessThan">
      <formula>97.4</formula>
    </cfRule>
  </conditionalFormatting>
  <conditionalFormatting sqref="J29">
    <cfRule type="cellIs" dxfId="2117" priority="78" operator="lessThan">
      <formula>98</formula>
    </cfRule>
  </conditionalFormatting>
  <conditionalFormatting sqref="J31:J32">
    <cfRule type="cellIs" dxfId="2116" priority="79" stopIfTrue="1" operator="lessThan">
      <formula>96.8</formula>
    </cfRule>
    <cfRule type="cellIs" dxfId="2115" priority="80" stopIfTrue="1" operator="greaterThan">
      <formula>100</formula>
    </cfRule>
  </conditionalFormatting>
  <conditionalFormatting sqref="J31:J33">
    <cfRule type="cellIs" dxfId="2114" priority="81" operator="lessThan">
      <formula>98</formula>
    </cfRule>
  </conditionalFormatting>
  <conditionalFormatting sqref="J71">
    <cfRule type="cellIs" dxfId="2113" priority="83" stopIfTrue="1" operator="lessThanOrEqual">
      <formula>0</formula>
    </cfRule>
    <cfRule type="cellIs" dxfId="2112" priority="82" stopIfTrue="1" operator="greaterThan">
      <formula>$F71</formula>
    </cfRule>
  </conditionalFormatting>
  <conditionalFormatting sqref="K10:K21">
    <cfRule type="cellIs" dxfId="2111" priority="6" operator="greaterThan">
      <formula>6.4</formula>
    </cfRule>
    <cfRule type="cellIs" dxfId="2110" priority="5" operator="lessThan">
      <formula>4</formula>
    </cfRule>
    <cfRule type="cellIs" dxfId="2109" priority="4" operator="greaterThan">
      <formula>6</formula>
    </cfRule>
  </conditionalFormatting>
  <conditionalFormatting sqref="K53:K58 K62:N68 K69 M69:N69 K70:N70">
    <cfRule type="cellIs" dxfId="2108" priority="59" stopIfTrue="1" operator="lessThan">
      <formula>100%</formula>
    </cfRule>
  </conditionalFormatting>
  <conditionalFormatting sqref="K73:K78">
    <cfRule type="cellIs" dxfId="2107" priority="131" stopIfTrue="1" operator="lessThan">
      <formula>100%</formula>
    </cfRule>
  </conditionalFormatting>
  <conditionalFormatting sqref="K80:K81">
    <cfRule type="cellIs" dxfId="2106" priority="138" stopIfTrue="1" operator="lessThan">
      <formula>100%</formula>
    </cfRule>
  </conditionalFormatting>
  <conditionalFormatting sqref="L10:L21">
    <cfRule type="cellIs" dxfId="2105" priority="13" operator="greaterThan">
      <formula>65</formula>
    </cfRule>
    <cfRule type="cellIs" dxfId="2104" priority="12" operator="between">
      <formula>61</formula>
      <formula>65</formula>
    </cfRule>
  </conditionalFormatting>
  <conditionalFormatting sqref="L24:M35">
    <cfRule type="cellIs" dxfId="2103" priority="89" operator="lessThan">
      <formula>98</formula>
    </cfRule>
  </conditionalFormatting>
  <conditionalFormatting sqref="L39:N39">
    <cfRule type="cellIs" dxfId="2102" priority="14" operator="notEqual">
      <formula>#REF!</formula>
    </cfRule>
  </conditionalFormatting>
  <conditionalFormatting sqref="L71:N71">
    <cfRule type="cellIs" dxfId="2101" priority="84" stopIfTrue="1" operator="lessThan">
      <formula>100%</formula>
    </cfRule>
  </conditionalFormatting>
  <conditionalFormatting sqref="L73:N81">
    <cfRule type="cellIs" dxfId="2100" priority="116" stopIfTrue="1" operator="lessThan">
      <formula>100%</formula>
    </cfRule>
  </conditionalFormatting>
  <conditionalFormatting sqref="M10:M21">
    <cfRule type="expression" dxfId="2099" priority="10">
      <formula>IF(+(IF(M10&lt;U10,0,IF(M10&gt;V10,0,1)))=0,1)</formula>
    </cfRule>
  </conditionalFormatting>
  <conditionalFormatting sqref="N10:N21">
    <cfRule type="expression" dxfId="2098" priority="3">
      <formula>IF(+(IF(N10&lt;W10,0,IF(N10&gt;X10,0,1)))=0,1)</formula>
    </cfRule>
  </conditionalFormatting>
  <conditionalFormatting sqref="P6">
    <cfRule type="cellIs" dxfId="2097" priority="112" operator="greaterThanOrEqual">
      <formula>19</formula>
    </cfRule>
  </conditionalFormatting>
  <dataValidations count="1">
    <dataValidation type="list" allowBlank="1" showInputMessage="1" showErrorMessage="1" sqref="R8" xr:uid="{49A5B680-42D5-46DB-B28B-87C587016B4B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13E4-F20B-41E3-934D-6EE629CE055B}">
  <sheetPr>
    <pageSetUpPr fitToPage="1"/>
  </sheetPr>
  <dimension ref="A1:BE80"/>
  <sheetViews>
    <sheetView topLeftCell="A9" zoomScale="90" zoomScaleNormal="90" workbookViewId="0">
      <selection activeCell="L38" sqref="L3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45883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[24]Brewhouse!$A679</f>
        <v>CA571</v>
      </c>
      <c r="D10" s="279">
        <f>[24]Brewhouse!$AF679</f>
        <v>46.8</v>
      </c>
      <c r="E10" s="279">
        <f>[24]Process!$AD679</f>
        <v>56.1</v>
      </c>
      <c r="F10" s="278">
        <f>[24]Brewhouse!$V679</f>
        <v>61</v>
      </c>
      <c r="G10" s="279">
        <f>[24]Brewhouse!AG679</f>
        <v>11.6</v>
      </c>
      <c r="H10" s="396">
        <v>11.7</v>
      </c>
      <c r="I10" s="368">
        <f>[24]Brewhouse!$AU679</f>
        <v>95.140303221190877</v>
      </c>
      <c r="J10" s="368">
        <f>[24]Brewhouse!$AV679</f>
        <v>96.715197847917025</v>
      </c>
      <c r="K10" s="281">
        <f>[24]Brewhouse!$Q679</f>
        <v>11.456692913385815</v>
      </c>
      <c r="L10" s="276">
        <f>[24]Brewhouse!$P679</f>
        <v>60</v>
      </c>
      <c r="M10" s="397">
        <f>[24]Brewhouse!$U679-[24]Brewhouse!$T679</f>
        <v>0.11805555555555547</v>
      </c>
      <c r="N10" s="370">
        <f>[24]Brewhouse!$Z679</f>
        <v>0.23680555555555549</v>
      </c>
      <c r="O10" s="371" t="str">
        <f>[24]Brewhouse!$AX679</f>
        <v>R. Regis</v>
      </c>
      <c r="P10" s="418"/>
      <c r="R10" s="277" t="str">
        <f t="shared" ref="R10:R13" si="0">B10</f>
        <v>CARIB</v>
      </c>
      <c r="S10" s="296">
        <f t="shared" ref="S10:S22" si="1">VLOOKUP($B10,$R$3:$X$9,2,FALSE)</f>
        <v>11.6</v>
      </c>
      <c r="T10" s="296">
        <f t="shared" ref="T10:T22" si="2">VLOOKUP($B10,$R$3:$X$9,3,FALSE)</f>
        <v>12</v>
      </c>
      <c r="U10" s="297">
        <f t="shared" ref="U10:U22" si="3">VLOOKUP($B10,$R$3:$X$9,4,FALSE)</f>
        <v>0</v>
      </c>
      <c r="V10" s="297">
        <f t="shared" ref="V10:V22" si="4">VLOOKUP($B10,$R$3:$X$9,5,FALSE)</f>
        <v>0.118055555555556</v>
      </c>
      <c r="W10" s="297">
        <f t="shared" ref="W10:W22" si="5">VLOOKUP($B10,$R$3:$X$9,6,FALSE)</f>
        <v>0.22569444444444445</v>
      </c>
      <c r="X10" s="297">
        <f t="shared" ref="X10:X22" si="6">VLOOKUP($B10,$R$3:$X$9,7,FALSE)</f>
        <v>0.2638888888888889</v>
      </c>
      <c r="Y10" s="297">
        <f t="shared" ref="Y10:Y22" si="7">VLOOKUP($B10,$R$3:$Z$9,8,FALSE)</f>
        <v>0</v>
      </c>
      <c r="Z10" s="296">
        <f t="shared" ref="Z10:Z22" si="8">VLOOKUP($B10,$R$3:$Z$9,9,FALSE)</f>
        <v>60</v>
      </c>
    </row>
    <row r="11" spans="2:29" ht="15.75" customHeight="1">
      <c r="B11" s="29" t="s">
        <v>6</v>
      </c>
      <c r="C11" s="366" t="str">
        <f>[24]Brewhouse!$A680</f>
        <v>CA572</v>
      </c>
      <c r="D11" s="279">
        <f>[24]Brewhouse!$AF680</f>
        <v>53.7</v>
      </c>
      <c r="E11" s="279">
        <f>[24]Brewhouse!$AI680</f>
        <v>50.1</v>
      </c>
      <c r="F11" s="278">
        <f>[24]Brewhouse!$V680</f>
        <v>63</v>
      </c>
      <c r="G11" s="279">
        <f>[24]Brewhouse!AG680</f>
        <v>11.7</v>
      </c>
      <c r="H11" s="367"/>
      <c r="I11" s="368">
        <f>[24]Brewhouse!$AU680</f>
        <v>94.898144488922568</v>
      </c>
      <c r="J11" s="368">
        <f>[24]Brewhouse!$AV680</f>
        <v>96.482909677510946</v>
      </c>
      <c r="K11" s="281">
        <f>[24]Brewhouse!$Q680</f>
        <v>8.0072463768115973</v>
      </c>
      <c r="L11" s="276">
        <f>[24]Brewhouse!$P680</f>
        <v>60</v>
      </c>
      <c r="M11" s="397">
        <f>[24]Brewhouse!$U680-[24]Brewhouse!$T680</f>
        <v>0.1166666666666667</v>
      </c>
      <c r="N11" s="370">
        <f>[24]Brewhouse!$Z680</f>
        <v>0.24513888888888891</v>
      </c>
      <c r="O11" s="371" t="str">
        <f>[24]Brewhouse!$AX680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[24]Brewhouse!$A681</f>
        <v>CA573</v>
      </c>
      <c r="D12" s="279">
        <f>[24]Brewhouse!$AF681</f>
        <v>52.5</v>
      </c>
      <c r="E12" s="279">
        <f>[24]Brewhouse!$AI681</f>
        <v>51.5</v>
      </c>
      <c r="F12" s="278">
        <f>[24]Brewhouse!$V681</f>
        <v>100</v>
      </c>
      <c r="G12" s="279">
        <f>[24]Brewhouse!AG681</f>
        <v>11.9</v>
      </c>
      <c r="H12" s="396">
        <v>11.9</v>
      </c>
      <c r="I12" s="368">
        <f>[24]Brewhouse!$AU681</f>
        <v>99.426283632825474</v>
      </c>
      <c r="J12" s="368">
        <f>[24]Brewhouse!$AV681</f>
        <v>101.08648815353855</v>
      </c>
      <c r="K12" s="281">
        <f>[24]Brewhouse!$Q681</f>
        <v>6.0254083484573506</v>
      </c>
      <c r="L12" s="276">
        <f>[24]Brewhouse!$P681</f>
        <v>57</v>
      </c>
      <c r="M12" s="397">
        <f>[24]Brewhouse!$U681-[24]Brewhouse!$T681</f>
        <v>0.13888888888888895</v>
      </c>
      <c r="N12" s="370">
        <f>[24]Brewhouse!$Z681</f>
        <v>0.27013888888888893</v>
      </c>
      <c r="O12" s="371" t="str">
        <f>[24]Brewhouse!$AX681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[24]Brewhouse!$A682</f>
        <v>CA574</v>
      </c>
      <c r="D13" s="279">
        <f>[24]Brewhouse!$AF682</f>
        <v>52.2</v>
      </c>
      <c r="E13" s="279">
        <f>[24]Brewhouse!$AI682</f>
        <v>50</v>
      </c>
      <c r="F13" s="278">
        <f>[24]Brewhouse!$V682</f>
        <v>61</v>
      </c>
      <c r="G13" s="279">
        <f>[24]Brewhouse!AG682</f>
        <v>11.5</v>
      </c>
      <c r="H13" s="396">
        <v>11.5</v>
      </c>
      <c r="I13" s="368">
        <f>[24]Brewhouse!$AU682</f>
        <v>91.882136575823367</v>
      </c>
      <c r="J13" s="368">
        <f>[24]Brewhouse!$AV682</f>
        <v>93.418167545814839</v>
      </c>
      <c r="K13" s="281">
        <f>[24]Brewhouse!$Q682</f>
        <v>5.1933701657458444</v>
      </c>
      <c r="L13" s="276">
        <f>[24]Brewhouse!$P682</f>
        <v>58</v>
      </c>
      <c r="M13" s="397">
        <f>[24]Brewhouse!$U682-[24]Brewhouse!$T682</f>
        <v>0.13749999999999996</v>
      </c>
      <c r="N13" s="370">
        <f>[24]Brewhouse!$Z682</f>
        <v>0.28541666666666665</v>
      </c>
      <c r="O13" s="371" t="str">
        <f>[24]Brewhouse!$AX682</f>
        <v>R.Sookram</v>
      </c>
      <c r="P13" s="418" t="s">
        <v>185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[24]Brewhouse!$A683</f>
        <v>CA575</v>
      </c>
      <c r="D14" s="279">
        <f>[24]Brewhouse!$AF683</f>
        <v>59.9</v>
      </c>
      <c r="E14" s="279">
        <f>[24]Brewhouse!$AI683</f>
        <v>58.4</v>
      </c>
      <c r="F14" s="278">
        <f>[24]Brewhouse!$V683</f>
        <v>74</v>
      </c>
      <c r="G14" s="279">
        <f>[24]Brewhouse!AG683</f>
        <v>12</v>
      </c>
      <c r="H14" s="396">
        <v>11.5</v>
      </c>
      <c r="I14" s="368">
        <f>[24]Brewhouse!$AU683</f>
        <v>112.50466711601209</v>
      </c>
      <c r="J14" s="368">
        <f>[24]Brewhouse!$AV683</f>
        <v>114.38505749499643</v>
      </c>
      <c r="K14" s="281">
        <f>[24]Brewhouse!$Q683</f>
        <v>5.8450704225351995</v>
      </c>
      <c r="L14" s="276">
        <f>[24]Brewhouse!$P683</f>
        <v>70</v>
      </c>
      <c r="M14" s="397">
        <f>[24]Brewhouse!$U683-[24]Brewhouse!$T683</f>
        <v>0.13333333333333341</v>
      </c>
      <c r="N14" s="370">
        <f>[24]Brewhouse!$Z683</f>
        <v>0.31805555555555565</v>
      </c>
      <c r="O14" s="371" t="str">
        <f>[24]Brewhouse!$AX683</f>
        <v>R.Sookram</v>
      </c>
      <c r="P14" s="418" t="s">
        <v>186</v>
      </c>
      <c r="R14" s="277" t="str">
        <f t="shared" ref="R14:R22" si="9">B14</f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[24]Brewhouse!$A684</f>
        <v>CA576</v>
      </c>
      <c r="D15" s="279">
        <f>[24]Brewhouse!$AF684</f>
        <v>53.6</v>
      </c>
      <c r="E15" s="279">
        <f>[24]Brewhouse!$AI684</f>
        <v>51.5</v>
      </c>
      <c r="F15" s="278">
        <f>[24]Brewhouse!$V684</f>
        <v>65</v>
      </c>
      <c r="G15" s="279">
        <f>[24]Brewhouse!AG684</f>
        <v>11.8</v>
      </c>
      <c r="H15" s="396">
        <v>11.8</v>
      </c>
      <c r="I15" s="368">
        <f>[24]Brewhouse!$AU684</f>
        <v>95.622664620561409</v>
      </c>
      <c r="J15" s="368">
        <f>[24]Brewhouse!$AV684</f>
        <v>97.223537723785157</v>
      </c>
      <c r="K15" s="281">
        <f>[24]Brewhouse!$Q684</f>
        <v>3.5036496350364867</v>
      </c>
      <c r="L15" s="276">
        <f>[24]Brewhouse!$P684</f>
        <v>62</v>
      </c>
      <c r="M15" s="397">
        <f>[24]Brewhouse!$U684-[24]Brewhouse!$T684</f>
        <v>0.10902777777777772</v>
      </c>
      <c r="N15" s="370">
        <f>[24]Brewhouse!$Z684</f>
        <v>0.3388888888888888</v>
      </c>
      <c r="O15" s="371" t="str">
        <f>[24]Brewhouse!$AX684</f>
        <v>D. Gomez</v>
      </c>
      <c r="P15" s="418" t="s">
        <v>187</v>
      </c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ref="R23:R27" si="10">B23</f>
        <v>0</v>
      </c>
      <c r="S23" s="296" t="e">
        <f t="shared" ref="S23:S27" si="11">VLOOKUP($B23,$R$3:$X$9,2,FALSE)</f>
        <v>#N/A</v>
      </c>
      <c r="T23" s="296" t="e">
        <f t="shared" ref="T23:T27" si="12">VLOOKUP($B23,$R$3:$X$9,3,FALSE)</f>
        <v>#N/A</v>
      </c>
      <c r="U23" s="297" t="e">
        <f t="shared" ref="U23:U27" si="13">VLOOKUP($B23,$R$3:$X$9,4,FALSE)</f>
        <v>#N/A</v>
      </c>
      <c r="V23" s="297" t="e">
        <f t="shared" ref="V23:V27" si="14">VLOOKUP($B23,$R$3:$X$9,5,FALSE)</f>
        <v>#N/A</v>
      </c>
      <c r="W23" s="297" t="e">
        <f t="shared" ref="W23:W27" si="15">VLOOKUP($B23,$R$3:$X$9,6,FALSE)</f>
        <v>#N/A</v>
      </c>
      <c r="X23" s="297" t="e">
        <f t="shared" ref="X23:X27" si="16">VLOOKUP($B23,$R$3:$X$9,7,FALSE)</f>
        <v>#N/A</v>
      </c>
      <c r="Y23" s="297" t="e">
        <f t="shared" ref="Y23:Y27" si="17">VLOOKUP($B23,$R$3:$Z$9,8,FALSE)</f>
        <v>#N/A</v>
      </c>
      <c r="Z23" s="296" t="e">
        <f t="shared" ref="Z23:Z27" si="18">VLOOKUP($B23,$R$3:$Z$9,9,FALSE)</f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10"/>
        <v>0</v>
      </c>
      <c r="S24" s="296" t="e">
        <f t="shared" si="11"/>
        <v>#N/A</v>
      </c>
      <c r="T24" s="296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296" t="e">
        <f t="shared" si="18"/>
        <v>#N/A</v>
      </c>
    </row>
    <row r="25" spans="1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10"/>
        <v>0</v>
      </c>
      <c r="S25" s="296" t="e">
        <f t="shared" si="11"/>
        <v>#N/A</v>
      </c>
      <c r="T25" s="296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296" t="e">
        <f t="shared" si="1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29"/>
      <c r="J26" s="529"/>
      <c r="K26" s="529"/>
      <c r="L26" s="529"/>
      <c r="M26" s="529"/>
      <c r="N26" s="529"/>
      <c r="O26" s="1"/>
      <c r="P26" s="12"/>
      <c r="R26" s="277">
        <f t="shared" si="10"/>
        <v>0</v>
      </c>
      <c r="S26" s="296" t="e">
        <f t="shared" si="11"/>
        <v>#N/A</v>
      </c>
      <c r="T26" s="296" t="e">
        <f t="shared" si="12"/>
        <v>#N/A</v>
      </c>
      <c r="U26" s="297" t="e">
        <f t="shared" si="13"/>
        <v>#N/A</v>
      </c>
      <c r="V26" s="297" t="e">
        <f t="shared" si="14"/>
        <v>#N/A</v>
      </c>
      <c r="W26" s="297" t="e">
        <f t="shared" si="15"/>
        <v>#N/A</v>
      </c>
      <c r="X26" s="297" t="e">
        <f t="shared" si="16"/>
        <v>#N/A</v>
      </c>
      <c r="Y26" s="297" t="e">
        <f t="shared" si="17"/>
        <v>#N/A</v>
      </c>
      <c r="Z26" s="296" t="e">
        <f t="shared" si="18"/>
        <v>#N/A</v>
      </c>
    </row>
    <row r="27" spans="1:26" ht="15.75" thickBot="1">
      <c r="B27" s="388" t="s">
        <v>162</v>
      </c>
      <c r="C27" s="388"/>
      <c r="D27" s="542" t="s">
        <v>35</v>
      </c>
      <c r="E27" s="543"/>
      <c r="F27" s="294"/>
      <c r="G27" s="294"/>
      <c r="H27" s="348"/>
      <c r="I27" s="24" t="s">
        <v>17</v>
      </c>
      <c r="J27" s="25" t="s">
        <v>36</v>
      </c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10"/>
        <v xml:space="preserve">BRAND </v>
      </c>
      <c r="S27" s="296" t="e">
        <f t="shared" si="11"/>
        <v>#N/A</v>
      </c>
      <c r="T27" s="296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296" t="e">
        <f t="shared" si="18"/>
        <v>#N/A</v>
      </c>
    </row>
    <row r="28" spans="1:26" ht="15" customHeight="1">
      <c r="A28" s="28"/>
      <c r="B28" s="583" t="str">
        <f>I28</f>
        <v>CARIB</v>
      </c>
      <c r="C28" s="362" cm="1">
        <f t="array" ref="C28:C35">[24]Process!$D$628:$D$635</f>
        <v>12.1</v>
      </c>
      <c r="D28" s="533">
        <v>11.66</v>
      </c>
      <c r="E28" s="522"/>
      <c r="F28" s="294"/>
      <c r="G28" s="294"/>
      <c r="H28" s="348"/>
      <c r="I28" s="29" t="s">
        <v>6</v>
      </c>
      <c r="J28" s="280">
        <f>AVERAGE(I10:I15)</f>
        <v>98.245699942555973</v>
      </c>
      <c r="K28" s="284">
        <f>COUNTA([24]Brewhouse!$A$655:$A$684)</f>
        <v>30</v>
      </c>
      <c r="L28" s="305">
        <f>AVERAGE([24]Brewhouse!$AU$655:$AU$684)</f>
        <v>97.621550344350538</v>
      </c>
      <c r="M28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$684)</f>
        <v>97.865159210577403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6" ht="15" customHeight="1">
      <c r="A29" s="28"/>
      <c r="B29" s="584"/>
      <c r="C29" s="362">
        <v>12</v>
      </c>
      <c r="D29" s="534"/>
      <c r="E29" s="517"/>
      <c r="F29" s="294"/>
      <c r="G29" s="294"/>
      <c r="H29" s="348"/>
      <c r="I29" s="33" t="s">
        <v>9</v>
      </c>
      <c r="J29" s="280"/>
      <c r="K29" s="284">
        <f>COUNTA([22]Brewhouse!$A$324:$A$335)</f>
        <v>12</v>
      </c>
      <c r="L29" s="302">
        <f>AVERAGE([22]Brewhouse!$AS$324:$AS$335)</f>
        <v>98.319987559189101</v>
      </c>
      <c r="M29" s="302">
        <f>AVERAGE([22]Brewhouse!$AS$15:$AS$64,[22]Brewhouse!$AS$66:$AS$103,[22]Brewhouse!$AS$105:$AS$140,[22]Brewhouse!$AS$142:$AS$193,[22]Brewhouse!$AS$195:$AS$240,[22]Brewhouse!$AS$242:$AS$273,[22]Brewhouse!$AS$275:$AS$322,[22]Brewhouse!$AS$324:$AS$335)</f>
        <v>98.075849067790173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6" ht="14.65" customHeight="1">
      <c r="A30" s="28"/>
      <c r="B30" s="584"/>
      <c r="C30" s="362">
        <v>12</v>
      </c>
      <c r="D30" s="533">
        <v>11.62</v>
      </c>
      <c r="E30" s="522"/>
      <c r="F30" s="294"/>
      <c r="G30" s="294"/>
      <c r="H30" s="348"/>
      <c r="I30" s="34" t="s">
        <v>12</v>
      </c>
      <c r="J30" s="280"/>
      <c r="K30" s="284"/>
      <c r="L30" s="302"/>
      <c r="M30" s="302">
        <f>AVERAGE([25]Brewhouse!$AU$4:$AU$7,[25]Brewhouse!$AU$9:$AU$22,[25]Brewhouse!$AU$24:$AU$35,[25]Brewhouse!$AU$37:$AU$45,[25]Brewhouse!$AU$47:$AU$62,[25]Brewhouse!$AU$64:$AU$79)</f>
        <v>97.0189196363294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4.65" customHeight="1">
      <c r="A31" s="28"/>
      <c r="B31" s="584"/>
      <c r="C31" s="362">
        <v>11.9</v>
      </c>
      <c r="D31" s="534"/>
      <c r="E31" s="517"/>
      <c r="F31" s="294"/>
      <c r="G31" s="294"/>
      <c r="H31" s="348"/>
      <c r="I31" s="22" t="s">
        <v>33</v>
      </c>
      <c r="J31" s="280"/>
      <c r="K31" s="284">
        <f>COUNTA([26]Brewhouse!$A$64:$A$67)</f>
        <v>4</v>
      </c>
      <c r="L31" s="302">
        <f>AVERAGE([26]Brewhouse!$AV$64:$AV$67)</f>
        <v>97.964622396575123</v>
      </c>
      <c r="M31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65" customHeight="1">
      <c r="A32" s="28"/>
      <c r="B32" s="584"/>
      <c r="C32" s="362">
        <v>11.9</v>
      </c>
      <c r="D32" s="533">
        <v>11.61</v>
      </c>
      <c r="E32" s="522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65" customHeight="1">
      <c r="A33" s="28"/>
      <c r="B33" s="584"/>
      <c r="C33" s="362">
        <v>11.9</v>
      </c>
      <c r="D33" s="534"/>
      <c r="E33" s="517"/>
      <c r="F33" s="417"/>
      <c r="G33" s="294"/>
      <c r="H33" s="348"/>
      <c r="I33" s="36" t="s">
        <v>15</v>
      </c>
      <c r="J33" s="323"/>
      <c r="K33" s="284"/>
      <c r="L33" s="302"/>
      <c r="M33" s="302">
        <f>AVERAGE([27]Brewhouse!$AT$4:$AT$11,[27]Brewhouse!$AT$13:$AT$16,[27]Brewhouse!$AT$18:$AT$21,[27]Brewhouse!$AT$26)</f>
        <v>94.588057846623641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84"/>
      <c r="C34" s="349">
        <v>11.9</v>
      </c>
      <c r="D34" s="533">
        <v>11.72</v>
      </c>
      <c r="E34" s="522"/>
      <c r="F34" s="417"/>
      <c r="G34" s="294"/>
      <c r="H34" s="348"/>
      <c r="I34" s="37" t="s">
        <v>16</v>
      </c>
      <c r="J34" s="323"/>
      <c r="K34" s="284"/>
      <c r="L34" s="302"/>
      <c r="M34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4" s="30">
        <v>98</v>
      </c>
      <c r="O34" s="11"/>
      <c r="P34" s="31" t="s">
        <v>41</v>
      </c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84"/>
      <c r="C35" s="349">
        <v>12.1</v>
      </c>
      <c r="D35" s="534"/>
      <c r="E35" s="517"/>
      <c r="F35" s="294"/>
      <c r="G35" s="294"/>
      <c r="H35" s="348"/>
      <c r="I35" s="411" t="s">
        <v>158</v>
      </c>
      <c r="J35" s="326"/>
      <c r="K35" s="284"/>
      <c r="L35" s="305"/>
      <c r="M35" s="305">
        <f>AVERAGE([28]Brewhouse!$AU$5:$AU$8,[28]Brewhouse!$AU$10:$AU$13)</f>
        <v>94.247666625193744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84"/>
      <c r="C36" s="349"/>
      <c r="D36" s="533"/>
      <c r="E36" s="522"/>
      <c r="F36" s="294"/>
      <c r="G36" s="294"/>
      <c r="H36" s="348"/>
      <c r="I36" s="410" t="s">
        <v>157</v>
      </c>
      <c r="J36" s="326"/>
      <c r="K36" s="284"/>
      <c r="L36" s="305"/>
      <c r="M36" s="305">
        <f>AVERAGE([29]Brewhouse!$AW$26:$AW$27)</f>
        <v>95.310680905194914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84"/>
      <c r="C37" s="349"/>
      <c r="D37" s="534"/>
      <c r="E37" s="517"/>
      <c r="F37" s="294"/>
      <c r="G37" s="294"/>
      <c r="H37" s="348"/>
      <c r="I37" s="406" t="s">
        <v>156</v>
      </c>
      <c r="J37" s="327"/>
      <c r="K37" s="407"/>
      <c r="L37" s="408"/>
      <c r="M37" s="408">
        <f>AVERAGE([30]Brewhouse!$AU$13:$AU$14)</f>
        <v>97.110575243268045</v>
      </c>
      <c r="N37" s="409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84"/>
      <c r="C38" s="349"/>
      <c r="D38" s="533"/>
      <c r="E38" s="522"/>
      <c r="F38" s="294"/>
      <c r="G38" s="294"/>
      <c r="H38" s="348"/>
      <c r="I38" s="1"/>
      <c r="J38" s="39"/>
      <c r="K38" s="404">
        <f>SUM(K28:K37)</f>
        <v>46</v>
      </c>
      <c r="L38" s="405">
        <f>((L28*K28)+(L29*K29)+(L30*K30)+(L31*K31)+(L32*K32)+(K35*L35)+(L33*K33)+(L34*K34)+(L37*K37))/(K38)</f>
        <v>97.833583709284483</v>
      </c>
      <c r="M38" s="405">
        <f>AVERAGE('[31]Jan 31st'!$L$65,'[32]Feb 28th'!$L$35,'[33]Mar. 31st'!$L$35,'[34]Apr. 30th'!$L$45,'[35]May 30th'!$L$37,'[36]June 30th'!$L$57,L38)</f>
        <v>97.683642029478051</v>
      </c>
      <c r="N38" s="4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85"/>
      <c r="C39" s="350"/>
      <c r="D39" s="534"/>
      <c r="E39" s="517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.75" thickBot="1">
      <c r="B40" s="586"/>
      <c r="C40" s="362"/>
      <c r="D40" s="514"/>
      <c r="E40" s="515"/>
      <c r="F40" s="294"/>
      <c r="G40" s="42"/>
      <c r="H40" s="41"/>
      <c r="I40" s="42"/>
      <c r="J40" s="569" t="s">
        <v>129</v>
      </c>
      <c r="K40" s="569"/>
      <c r="L40" s="294"/>
      <c r="M40" s="294"/>
      <c r="N40" s="294"/>
      <c r="O40" s="294"/>
      <c r="P40" s="12"/>
    </row>
    <row r="41" spans="1:56" ht="15.75" thickBot="1">
      <c r="B41" s="587"/>
      <c r="C41" s="362"/>
      <c r="D41" s="516"/>
      <c r="E41" s="517"/>
      <c r="F41" s="294"/>
      <c r="G41" s="42"/>
      <c r="H41" s="41"/>
      <c r="I41" s="42"/>
      <c r="J41" s="292" t="s">
        <v>17</v>
      </c>
      <c r="K41" s="293" t="s">
        <v>147</v>
      </c>
      <c r="L41" s="519" t="s">
        <v>136</v>
      </c>
      <c r="M41" s="519"/>
      <c r="N41" s="520"/>
      <c r="O41" s="294"/>
      <c r="P41" s="12"/>
    </row>
    <row r="42" spans="1:56" ht="15" customHeight="1" thickBot="1">
      <c r="B42" s="587"/>
      <c r="C42" s="349"/>
      <c r="D42" s="570"/>
      <c r="E42" s="571"/>
      <c r="F42" s="294"/>
      <c r="G42" s="42"/>
      <c r="H42" s="41"/>
      <c r="I42" s="42"/>
      <c r="J42" s="287" t="s">
        <v>6</v>
      </c>
      <c r="K42" s="324">
        <v>6</v>
      </c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87"/>
      <c r="C43" s="349"/>
      <c r="D43" s="516"/>
      <c r="E43" s="517"/>
      <c r="F43" s="294"/>
      <c r="G43" s="42"/>
      <c r="H43" s="41"/>
      <c r="I43" s="42"/>
      <c r="J43" s="345" t="s">
        <v>9</v>
      </c>
      <c r="K43" s="324"/>
      <c r="L43" s="344">
        <f>AVERAGE('Aug 4th '!K58,'Aug 5th '!K58,'Aug 6th '!K58,'Aug 7th '!K58,'Aug 8th '!K48,K52)</f>
        <v>7.5</v>
      </c>
      <c r="M43" s="325">
        <f>AVERAGE('[31]Jan 29th '!$M$70,'[32]Feb 28th'!$L$40,'[33]Mar. 31st'!$L$40,'[34]Apr. 30th'!$L$50,'[35]May 30th'!$L$42,'[36]June 30th'!$L$62,'[37]July 29th '!$L$49,L43)</f>
        <v>6.9771146092656382</v>
      </c>
      <c r="N43" s="416">
        <v>9.1999999999999993</v>
      </c>
      <c r="O43" s="294"/>
      <c r="P43" s="12"/>
    </row>
    <row r="44" spans="1:56" ht="15" customHeight="1">
      <c r="B44" s="587"/>
      <c r="C44" s="349"/>
      <c r="D44" s="570"/>
      <c r="E44" s="571"/>
      <c r="F44" s="294"/>
      <c r="G44" s="42"/>
      <c r="H44" s="41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87"/>
      <c r="C45" s="349"/>
      <c r="D45" s="516"/>
      <c r="E45" s="517"/>
      <c r="F45" s="294"/>
      <c r="G45" s="42"/>
      <c r="H45" s="41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87"/>
      <c r="C46" s="349"/>
      <c r="D46" s="570"/>
      <c r="E46" s="571"/>
      <c r="F46" s="294"/>
      <c r="G46" s="42"/>
      <c r="H46" s="41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87"/>
      <c r="C47" s="349"/>
      <c r="D47" s="516"/>
      <c r="E47" s="517"/>
      <c r="F47" s="294"/>
      <c r="G47" s="42"/>
      <c r="H47" s="41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7"/>
      <c r="C48" s="349"/>
      <c r="D48" s="570"/>
      <c r="E48" s="571"/>
      <c r="F48" s="294"/>
      <c r="G48" s="42"/>
      <c r="H48" s="41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88"/>
      <c r="C49" s="350"/>
      <c r="D49" s="572"/>
      <c r="E49" s="573"/>
      <c r="F49" s="294"/>
      <c r="G49" s="42"/>
      <c r="H49" s="41"/>
      <c r="I49" s="42"/>
      <c r="J49" s="291" t="s">
        <v>148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74">
        <f>AVERAGE(D28:E49)</f>
        <v>11.6525</v>
      </c>
      <c r="E50" s="575"/>
      <c r="F50" s="294"/>
      <c r="H50" s="41"/>
      <c r="I50" s="42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1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1"/>
      <c r="I52" s="42"/>
      <c r="J52" s="346" t="s">
        <v>130</v>
      </c>
      <c r="K52" s="324">
        <f>SUM(K42:K51)</f>
        <v>6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495" t="s">
        <v>17</v>
      </c>
      <c r="C55" s="495" t="s">
        <v>44</v>
      </c>
      <c r="D55" s="507" t="s">
        <v>45</v>
      </c>
      <c r="E55" s="509" t="s">
        <v>46</v>
      </c>
      <c r="F55" s="503" t="s">
        <v>47</v>
      </c>
      <c r="G55" s="493" t="s">
        <v>48</v>
      </c>
      <c r="H55" s="495" t="s">
        <v>49</v>
      </c>
      <c r="I55" s="495" t="s">
        <v>50</v>
      </c>
      <c r="J55" s="487" t="s">
        <v>28</v>
      </c>
      <c r="K55" s="499" t="s">
        <v>51</v>
      </c>
      <c r="L55" s="501" t="s">
        <v>52</v>
      </c>
      <c r="M55" s="487" t="s">
        <v>53</v>
      </c>
      <c r="N55" s="13"/>
      <c r="O55" s="13"/>
      <c r="P55" s="50"/>
    </row>
    <row r="56" spans="2:57" ht="28.5" customHeight="1" thickTop="1" thickBot="1">
      <c r="B56" s="496"/>
      <c r="C56" s="496"/>
      <c r="D56" s="508"/>
      <c r="E56" s="510"/>
      <c r="F56" s="504"/>
      <c r="G56" s="494"/>
      <c r="H56" s="496"/>
      <c r="I56" s="496"/>
      <c r="J56" s="488"/>
      <c r="K56" s="500"/>
      <c r="L56" s="502"/>
      <c r="M56" s="488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59.45" customHeight="1" thickBot="1">
      <c r="B57" s="475" t="str">
        <f>J42</f>
        <v>CARIB</v>
      </c>
      <c r="C57" s="445">
        <v>45882</v>
      </c>
      <c r="D57" s="446">
        <f>[38]August_2025!$P$3</f>
        <v>404.5</v>
      </c>
      <c r="E57" s="447"/>
      <c r="F57" s="448"/>
      <c r="G57" s="449">
        <f>[38]August_2025!$P$7</f>
        <v>388.2</v>
      </c>
      <c r="H57" s="450"/>
      <c r="I57" s="451"/>
      <c r="J57" s="452" t="s">
        <v>150</v>
      </c>
      <c r="K57" s="453">
        <f>[39]August_2025!$P$18</f>
        <v>1.3621052631578947</v>
      </c>
      <c r="L57" s="464">
        <f>(((D57+E57)-G57)/(D57+E57))*100</f>
        <v>4.0296662546353552</v>
      </c>
      <c r="M57" s="465" t="s">
        <v>184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[20]January_2019!L7</f>
        <v>285.8</v>
      </c>
      <c r="AC57" s="57">
        <f>[20]January_2019!M7</f>
        <v>508.1</v>
      </c>
      <c r="AD57" s="57">
        <f>[20]January_2019!N7</f>
        <v>0</v>
      </c>
      <c r="AE57" s="57">
        <f>[20]January_2019!O7</f>
        <v>0</v>
      </c>
      <c r="AF57" s="57">
        <f>[20]January_2019!P7</f>
        <v>109.56666666666666</v>
      </c>
      <c r="AG57" s="57">
        <f>[20]January_2019!Q7</f>
        <v>297.64999999999998</v>
      </c>
      <c r="AH57" s="57">
        <f>[20]January_2019!R7</f>
        <v>122.3</v>
      </c>
      <c r="AI57" s="57">
        <f>[20]January_2019!S7</f>
        <v>0</v>
      </c>
      <c r="AJ57" s="57">
        <f>[20]January_2019!T7</f>
        <v>294.7</v>
      </c>
      <c r="AK57" s="57">
        <f>[20]January_2019!U7</f>
        <v>280.5</v>
      </c>
      <c r="AL57" s="57">
        <f>[20]January_2019!V7</f>
        <v>0</v>
      </c>
      <c r="AM57" s="57">
        <f>[20]January_2019!W7</f>
        <v>0</v>
      </c>
      <c r="AN57" s="57">
        <f>[20]January_2019!X7</f>
        <v>188.25</v>
      </c>
      <c r="AO57" s="57">
        <f>[20]January_2019!Y7</f>
        <v>295.7</v>
      </c>
      <c r="AP57" s="57">
        <f>[20]January_2019!Z7</f>
        <v>257.8</v>
      </c>
      <c r="AQ57" s="57">
        <f>[20]January_2019!AA7</f>
        <v>291.2</v>
      </c>
      <c r="AR57" s="57">
        <f>[20]January_2019!AB7</f>
        <v>187</v>
      </c>
      <c r="AS57" s="57">
        <f>[20]January_2019!AC7</f>
        <v>0</v>
      </c>
      <c r="AT57" s="57">
        <f>[20]January_2019!AD7</f>
        <v>0</v>
      </c>
      <c r="AU57" s="57">
        <f>[20]January_2019!AE7</f>
        <v>485.1</v>
      </c>
      <c r="AV57" s="57">
        <f>[20]January_2019!AF7</f>
        <v>171.55</v>
      </c>
      <c r="AW57" s="57">
        <f>[20]January_2019!AG7</f>
        <v>423.8</v>
      </c>
      <c r="AX57" s="277">
        <f>[20]January_2019!AH7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20.45" hidden="1" customHeight="1">
      <c r="B58" s="469"/>
      <c r="C58" s="434"/>
      <c r="D58" s="435"/>
      <c r="E58" s="436"/>
      <c r="F58" s="437"/>
      <c r="G58" s="438"/>
      <c r="H58" s="439"/>
      <c r="I58" s="454"/>
      <c r="J58" s="455"/>
      <c r="K58" s="440"/>
      <c r="L58" s="456"/>
      <c r="M58" s="42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9" hidden="1" customHeight="1" thickBot="1">
      <c r="B59" s="420" t="str">
        <f>J47</f>
        <v>MACKESON</v>
      </c>
      <c r="C59" s="445">
        <v>45877</v>
      </c>
      <c r="D59" s="446"/>
      <c r="E59" s="447"/>
      <c r="F59" s="448"/>
      <c r="G59" s="449"/>
      <c r="H59" s="450"/>
      <c r="I59" s="451"/>
      <c r="J59" s="452" t="s">
        <v>150</v>
      </c>
      <c r="K59" s="453"/>
      <c r="L59" s="466" t="e">
        <f>(((D59+E59)-G59)/(D59+E59))*100</f>
        <v>#DIV/0!</v>
      </c>
      <c r="M59" s="465" t="s">
        <v>170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8"/>
      <c r="C60" s="434"/>
      <c r="D60" s="435"/>
      <c r="E60" s="436"/>
      <c r="F60" s="437"/>
      <c r="G60" s="438"/>
      <c r="H60" s="439"/>
      <c r="I60" s="454"/>
      <c r="J60" s="455"/>
      <c r="K60" s="440"/>
      <c r="L60" s="456"/>
      <c r="M60" s="42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6.6" hidden="1" customHeight="1" thickBot="1">
      <c r="B61" s="387"/>
      <c r="C61" s="445">
        <v>45873</v>
      </c>
      <c r="D61" s="446"/>
      <c r="E61" s="447"/>
      <c r="F61" s="448"/>
      <c r="G61" s="449"/>
      <c r="H61" s="450"/>
      <c r="I61" s="451"/>
      <c r="J61" s="452" t="s">
        <v>163</v>
      </c>
      <c r="K61" s="453"/>
      <c r="L61" s="459" t="e">
        <f>(((D61+E61)-G61)/(D61+E61))*100</f>
        <v>#DIV/0!</v>
      </c>
      <c r="M61" s="46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41"/>
      <c r="C62" s="427"/>
      <c r="D62" s="428"/>
      <c r="E62" s="429"/>
      <c r="F62" s="430"/>
      <c r="G62" s="431"/>
      <c r="H62" s="432"/>
      <c r="I62" s="442"/>
      <c r="J62" s="443"/>
      <c r="K62" s="433"/>
      <c r="L62" s="444"/>
      <c r="M62" s="426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489" t="s">
        <v>55</v>
      </c>
      <c r="C64" s="490"/>
      <c r="D64" s="490"/>
      <c r="E64" s="490"/>
      <c r="F64" s="491"/>
      <c r="G64" s="489" t="s">
        <v>56</v>
      </c>
      <c r="H64" s="490"/>
      <c r="I64" s="490"/>
      <c r="J64" s="491"/>
      <c r="K64" s="489" t="s">
        <v>51</v>
      </c>
      <c r="L64" s="490"/>
      <c r="M64" s="490"/>
      <c r="N64" s="492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L57</f>
        <v>4.0296662546353552</v>
      </c>
      <c r="D66" s="76">
        <v>5.139312789209427</v>
      </c>
      <c r="E66" s="76">
        <v>6.2656486790649684</v>
      </c>
      <c r="F66" s="66">
        <v>4.8</v>
      </c>
      <c r="G66" s="65">
        <f>[38]August_2025!$P$11</f>
        <v>6.7869942792427791</v>
      </c>
      <c r="H66" s="76">
        <v>6.8436955577488883</v>
      </c>
      <c r="I66" s="76">
        <v>6.2255324914301324</v>
      </c>
      <c r="J66" s="66">
        <v>4.8</v>
      </c>
      <c r="K66" s="67">
        <f>K57</f>
        <v>1.3621052631578947</v>
      </c>
      <c r="L66" s="194">
        <v>1.015438596491228</v>
      </c>
      <c r="M66" s="194">
        <v>0.75334935363846212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5.4010065853719595</v>
      </c>
      <c r="E67" s="76">
        <v>5.9276538972630206</v>
      </c>
      <c r="F67" s="66">
        <v>4.8</v>
      </c>
      <c r="G67" s="65"/>
      <c r="H67" s="76">
        <v>5.781227619996673</v>
      </c>
      <c r="I67" s="76">
        <v>5.5345014014211698</v>
      </c>
      <c r="J67" s="66">
        <v>4.8</v>
      </c>
      <c r="K67" s="67"/>
      <c r="L67" s="194">
        <v>0.4418713450292398</v>
      </c>
      <c r="M67" s="194">
        <v>0.75087758833458496</v>
      </c>
      <c r="N67" s="68">
        <v>1</v>
      </c>
      <c r="P67" s="69"/>
    </row>
    <row r="68" spans="2:16" ht="15">
      <c r="B68" s="34" t="s">
        <v>40</v>
      </c>
      <c r="C68" s="65"/>
      <c r="D68" s="76">
        <v>8.0382775119617147</v>
      </c>
      <c r="E68" s="76">
        <v>11.429743886837057</v>
      </c>
      <c r="F68" s="66">
        <v>5.5</v>
      </c>
      <c r="G68" s="65"/>
      <c r="H68" s="76">
        <v>10.370027728825649</v>
      </c>
      <c r="I68" s="76">
        <v>13.047305235287777</v>
      </c>
      <c r="J68" s="66">
        <v>5.5</v>
      </c>
      <c r="K68" s="67"/>
      <c r="L68" s="194">
        <v>0.67438596491228076</v>
      </c>
      <c r="M68" s="194">
        <v>0.55172216056233814</v>
      </c>
      <c r="N68" s="68">
        <v>1</v>
      </c>
      <c r="P68" s="69"/>
    </row>
    <row r="69" spans="2:16" ht="15">
      <c r="B69" s="22" t="s">
        <v>33</v>
      </c>
      <c r="C69" s="65"/>
      <c r="D69" s="76">
        <v>6.0500000000000114</v>
      </c>
      <c r="E69" s="76">
        <v>5.1850280988230084</v>
      </c>
      <c r="F69" s="66">
        <v>3.3</v>
      </c>
      <c r="G69" s="65"/>
      <c r="H69" s="76">
        <v>5.966075524743097</v>
      </c>
      <c r="I69" s="76">
        <v>4.9519881827605072</v>
      </c>
      <c r="J69" s="66">
        <v>3.3</v>
      </c>
      <c r="K69" s="67"/>
      <c r="L69" s="194">
        <v>0.32964912280701753</v>
      </c>
      <c r="M69" s="194">
        <v>0.72853313840155942</v>
      </c>
      <c r="N69" s="68">
        <v>1</v>
      </c>
      <c r="P69" s="69"/>
    </row>
    <row r="70" spans="2:16" ht="15">
      <c r="B70" s="35" t="s">
        <v>165</v>
      </c>
      <c r="C70" s="65"/>
      <c r="D70" s="76"/>
      <c r="E70" s="76">
        <v>7.837301587301579</v>
      </c>
      <c r="F70" s="66">
        <v>3.3</v>
      </c>
      <c r="G70" s="282"/>
      <c r="H70" s="76"/>
      <c r="I70" s="76">
        <v>5.3377569154690221</v>
      </c>
      <c r="J70" s="66">
        <v>3</v>
      </c>
      <c r="K70" s="67"/>
      <c r="L70" s="194"/>
      <c r="M70" s="194">
        <v>0.32596491228070179</v>
      </c>
      <c r="N70" s="68">
        <v>1</v>
      </c>
      <c r="P70" s="69"/>
    </row>
    <row r="71" spans="2:16" ht="15">
      <c r="B71" s="36" t="s">
        <v>15</v>
      </c>
      <c r="C71" s="65"/>
      <c r="D71" s="76">
        <v>5.2552552552552552</v>
      </c>
      <c r="E71" s="76">
        <v>6.9158697961943529</v>
      </c>
      <c r="F71" s="70">
        <f>[21]May_2022!$M$43</f>
        <v>3.4878406700073312</v>
      </c>
      <c r="G71" s="282"/>
      <c r="H71" s="76">
        <v>6.7916330640214131</v>
      </c>
      <c r="I71" s="76">
        <v>8.5598888260252064</v>
      </c>
      <c r="J71" s="66">
        <v>5.5</v>
      </c>
      <c r="K71" s="67"/>
      <c r="L71" s="194">
        <v>0.66421052631578947</v>
      </c>
      <c r="M71" s="194">
        <v>0.60705263157894729</v>
      </c>
      <c r="N71" s="68">
        <v>1</v>
      </c>
      <c r="P71" s="69"/>
    </row>
    <row r="72" spans="2:16" ht="15">
      <c r="B72" s="37" t="s">
        <v>16</v>
      </c>
      <c r="C72" s="65"/>
      <c r="D72" s="76">
        <v>3.8383838383838214</v>
      </c>
      <c r="E72" s="76">
        <v>3.0206926869092796</v>
      </c>
      <c r="F72" s="66">
        <v>3.3</v>
      </c>
      <c r="G72" s="282"/>
      <c r="H72" s="76">
        <v>6.7477320980505571</v>
      </c>
      <c r="I72" s="76">
        <v>4.4881222182352793</v>
      </c>
      <c r="J72" s="66">
        <v>3.3</v>
      </c>
      <c r="K72" s="67"/>
      <c r="L72" s="194">
        <v>0.3340350877192983</v>
      </c>
      <c r="M72" s="194">
        <v>0.80384787472035779</v>
      </c>
      <c r="N72" s="71">
        <v>1</v>
      </c>
      <c r="P72" s="69"/>
    </row>
    <row r="73" spans="2:16" ht="15.75" thickBot="1">
      <c r="B73" s="38" t="s">
        <v>164</v>
      </c>
      <c r="C73" s="65"/>
      <c r="D73" s="76"/>
      <c r="E73" s="76">
        <v>11.483253588516746</v>
      </c>
      <c r="F73" s="66">
        <v>7.5</v>
      </c>
      <c r="G73" s="282"/>
      <c r="H73" s="76"/>
      <c r="I73" s="76">
        <v>9.7934336121043764</v>
      </c>
      <c r="J73" s="66">
        <v>7.5</v>
      </c>
      <c r="K73" s="67"/>
      <c r="M73" s="194">
        <v>0.32456140350877194</v>
      </c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>
        <v>7.2653644592663174</v>
      </c>
      <c r="F74" s="66">
        <v>4.8</v>
      </c>
      <c r="G74" s="282"/>
      <c r="H74" s="76"/>
      <c r="I74" s="76">
        <v>8.1715311054411259</v>
      </c>
      <c r="J74" s="66">
        <v>4.8</v>
      </c>
      <c r="K74" s="67"/>
      <c r="L74" s="194">
        <v>0</v>
      </c>
      <c r="M74" s="194">
        <v>0.51368421052631585</v>
      </c>
      <c r="N74" s="71">
        <v>1</v>
      </c>
      <c r="O74" s="74"/>
      <c r="P74" s="75"/>
    </row>
    <row r="75" spans="2:16" ht="15">
      <c r="D75" s="76">
        <v>5.5553730019088539</v>
      </c>
      <c r="E75" s="76">
        <v>6.3500248679557361</v>
      </c>
      <c r="F75" s="341">
        <v>5.5</v>
      </c>
      <c r="H75" s="76">
        <v>7.2579620010111547</v>
      </c>
      <c r="I75" s="76">
        <v>6.6196513792974434</v>
      </c>
      <c r="J75" s="341">
        <v>5.5</v>
      </c>
      <c r="L75" s="194">
        <v>0.72287849252761538</v>
      </c>
      <c r="M75" s="194">
        <v>0.72230760385223514</v>
      </c>
      <c r="N75" s="386">
        <v>1</v>
      </c>
    </row>
    <row r="79" spans="2:16">
      <c r="F79" s="315"/>
    </row>
    <row r="80" spans="2:16" ht="15">
      <c r="F80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4:F64"/>
    <mergeCell ref="G64:J64"/>
    <mergeCell ref="K64:N64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2096" priority="121" operator="notBetween">
      <formula>#REF!</formula>
      <formula>#REF!</formula>
    </cfRule>
  </conditionalFormatting>
  <conditionalFormatting sqref="C54">
    <cfRule type="cellIs" dxfId="2095" priority="153" stopIfTrue="1" operator="greaterThan">
      <formula>100</formula>
    </cfRule>
    <cfRule type="cellIs" dxfId="2094" priority="152" stopIfTrue="1" operator="lessThan">
      <formula>96</formula>
    </cfRule>
  </conditionalFormatting>
  <conditionalFormatting sqref="C66:C70">
    <cfRule type="cellIs" dxfId="2093" priority="100" stopIfTrue="1" operator="lessThanOrEqual">
      <formula>0</formula>
    </cfRule>
  </conditionalFormatting>
  <conditionalFormatting sqref="C66:C74">
    <cfRule type="cellIs" dxfId="2092" priority="99" stopIfTrue="1" operator="greaterThan">
      <formula>$F66</formula>
    </cfRule>
  </conditionalFormatting>
  <conditionalFormatting sqref="C67">
    <cfRule type="cellIs" dxfId="2091" priority="156" stopIfTrue="1" operator="greaterThan">
      <formula>$F66</formula>
    </cfRule>
  </conditionalFormatting>
  <conditionalFormatting sqref="C71">
    <cfRule type="cellIs" dxfId="2090" priority="1" stopIfTrue="1" operator="lessThanOrEqual">
      <formula>0</formula>
    </cfRule>
    <cfRule type="cellIs" dxfId="2089" priority="2" stopIfTrue="1" operator="greaterThan">
      <formula>$F70</formula>
    </cfRule>
  </conditionalFormatting>
  <conditionalFormatting sqref="C77:C81">
    <cfRule type="cellIs" dxfId="2088" priority="144" stopIfTrue="1" operator="lessThanOrEqual">
      <formula>0</formula>
    </cfRule>
  </conditionalFormatting>
  <conditionalFormatting sqref="C78:C81">
    <cfRule type="cellIs" dxfId="2087" priority="143" stopIfTrue="1" operator="greaterThan">
      <formula>$F$77</formula>
    </cfRule>
  </conditionalFormatting>
  <conditionalFormatting sqref="C83">
    <cfRule type="cellIs" dxfId="2086" priority="146" stopIfTrue="1" operator="lessThanOrEqual">
      <formula>0</formula>
    </cfRule>
    <cfRule type="cellIs" dxfId="2085" priority="145" stopIfTrue="1" operator="greaterThan">
      <formula>$F$77</formula>
    </cfRule>
  </conditionalFormatting>
  <conditionalFormatting sqref="C77:D77 D79:D85">
    <cfRule type="cellIs" dxfId="2084" priority="138" stopIfTrue="1" operator="greaterThan">
      <formula>4.5</formula>
    </cfRule>
  </conditionalFormatting>
  <conditionalFormatting sqref="D50:D51">
    <cfRule type="cellIs" dxfId="2083" priority="122" operator="notBetween">
      <formula>#REF!</formula>
      <formula>#REF!</formula>
    </cfRule>
  </conditionalFormatting>
  <conditionalFormatting sqref="D66:D73">
    <cfRule type="cellIs" dxfId="2082" priority="116" stopIfTrue="1" operator="lessThanOrEqual">
      <formula>0</formula>
    </cfRule>
  </conditionalFormatting>
  <conditionalFormatting sqref="D74">
    <cfRule type="cellIs" dxfId="2081" priority="115" stopIfTrue="1" operator="lessThanOrEqual">
      <formula>0</formula>
    </cfRule>
  </conditionalFormatting>
  <conditionalFormatting sqref="D77 D79:D85">
    <cfRule type="cellIs" dxfId="2080" priority="139" stopIfTrue="1" operator="lessThanOrEqual">
      <formula>0</formula>
    </cfRule>
  </conditionalFormatting>
  <conditionalFormatting sqref="D78">
    <cfRule type="cellIs" dxfId="2079" priority="130" stopIfTrue="1" operator="greaterThan">
      <formula>$F$77</formula>
    </cfRule>
    <cfRule type="cellIs" dxfId="2078" priority="131" stopIfTrue="1" operator="lessThanOrEqual">
      <formula>0</formula>
    </cfRule>
  </conditionalFormatting>
  <conditionalFormatting sqref="D66:E75">
    <cfRule type="cellIs" dxfId="2077" priority="96" stopIfTrue="1" operator="greaterThan">
      <formula>$F66</formula>
    </cfRule>
  </conditionalFormatting>
  <conditionalFormatting sqref="D75:E75">
    <cfRule type="cellIs" dxfId="2076" priority="97" stopIfTrue="1" operator="lessThanOrEqual">
      <formula>0</formula>
    </cfRule>
  </conditionalFormatting>
  <conditionalFormatting sqref="E10:E25">
    <cfRule type="cellIs" dxfId="2075" priority="8" operator="lessThan">
      <formula>48</formula>
    </cfRule>
  </conditionalFormatting>
  <conditionalFormatting sqref="E53 E54:F54">
    <cfRule type="cellIs" dxfId="2074" priority="135" stopIfTrue="1" operator="greaterThan">
      <formula>100</formula>
    </cfRule>
  </conditionalFormatting>
  <conditionalFormatting sqref="E54">
    <cfRule type="cellIs" dxfId="2073" priority="132" stopIfTrue="1" operator="lessThan">
      <formula>96.8</formula>
    </cfRule>
    <cfRule type="cellIs" dxfId="2072" priority="133" stopIfTrue="1" operator="greaterThan">
      <formula>100</formula>
    </cfRule>
  </conditionalFormatting>
  <conditionalFormatting sqref="E66:E74">
    <cfRule type="cellIs" dxfId="2071" priority="110" stopIfTrue="1" operator="lessThanOrEqual">
      <formula>0</formula>
    </cfRule>
  </conditionalFormatting>
  <conditionalFormatting sqref="E77:E85">
    <cfRule type="cellIs" dxfId="2070" priority="124" stopIfTrue="1" operator="greaterThan">
      <formula>4.5</formula>
    </cfRule>
    <cfRule type="cellIs" dxfId="2069" priority="125" stopIfTrue="1" operator="lessThanOrEqual">
      <formula>0</formula>
    </cfRule>
  </conditionalFormatting>
  <conditionalFormatting sqref="E54:F54 E53">
    <cfRule type="cellIs" dxfId="2068" priority="134" stopIfTrue="1" operator="lessThan">
      <formula>96.5</formula>
    </cfRule>
  </conditionalFormatting>
  <conditionalFormatting sqref="F10:F25">
    <cfRule type="cellIs" dxfId="2067" priority="9" operator="greaterThan">
      <formula>60</formula>
    </cfRule>
  </conditionalFormatting>
  <conditionalFormatting sqref="F54">
    <cfRule type="cellIs" dxfId="2066" priority="150" stopIfTrue="1" operator="lessThan">
      <formula>96.8</formula>
    </cfRule>
    <cfRule type="cellIs" dxfId="2065" priority="151" stopIfTrue="1" operator="greaterThan">
      <formula>100</formula>
    </cfRule>
  </conditionalFormatting>
  <conditionalFormatting sqref="F75">
    <cfRule type="cellIs" dxfId="2064" priority="111" stopIfTrue="1" operator="greaterThan">
      <formula>$F75</formula>
    </cfRule>
    <cfRule type="cellIs" dxfId="2063" priority="112" stopIfTrue="1" operator="lessThanOrEqual">
      <formula>0</formula>
    </cfRule>
  </conditionalFormatting>
  <conditionalFormatting sqref="F80">
    <cfRule type="cellIs" dxfId="2062" priority="67" stopIfTrue="1" operator="lessThanOrEqual">
      <formula>0</formula>
    </cfRule>
    <cfRule type="cellIs" dxfId="2061" priority="66" stopIfTrue="1" operator="greaterThan">
      <formula>$F80</formula>
    </cfRule>
  </conditionalFormatting>
  <conditionalFormatting sqref="G66:G67 C72:C74">
    <cfRule type="cellIs" dxfId="2060" priority="118" stopIfTrue="1" operator="lessThanOrEqual">
      <formula>0</formula>
    </cfRule>
  </conditionalFormatting>
  <conditionalFormatting sqref="G66:G67">
    <cfRule type="cellIs" dxfId="2059" priority="101" stopIfTrue="1" operator="greaterThan">
      <formula>$F66</formula>
    </cfRule>
    <cfRule type="cellIs" dxfId="2058" priority="117" stopIfTrue="1" operator="greaterThan">
      <formula>$F66</formula>
    </cfRule>
    <cfRule type="cellIs" dxfId="2057" priority="102" stopIfTrue="1" operator="lessThanOrEqual">
      <formula>0</formula>
    </cfRule>
  </conditionalFormatting>
  <conditionalFormatting sqref="G68">
    <cfRule type="cellIs" dxfId="2056" priority="154" stopIfTrue="1" operator="greaterThan">
      <formula>$F67</formula>
    </cfRule>
    <cfRule type="cellIs" dxfId="2055" priority="155" stopIfTrue="1" operator="lessThanOrEqual">
      <formula>0</formula>
    </cfRule>
  </conditionalFormatting>
  <conditionalFormatting sqref="G69">
    <cfRule type="cellIs" dxfId="2054" priority="113" stopIfTrue="1" operator="greaterThan">
      <formula>$F69</formula>
    </cfRule>
    <cfRule type="cellIs" dxfId="2053" priority="114" stopIfTrue="1" operator="lessThanOrEqual">
      <formula>0</formula>
    </cfRule>
  </conditionalFormatting>
  <conditionalFormatting sqref="G70:G74">
    <cfRule type="cellIs" dxfId="2052" priority="120" stopIfTrue="1" operator="lessThanOrEqual">
      <formula>0</formula>
    </cfRule>
    <cfRule type="cellIs" dxfId="2051" priority="119" stopIfTrue="1" operator="greaterThan">
      <formula>$J70</formula>
    </cfRule>
  </conditionalFormatting>
  <conditionalFormatting sqref="G79:G84 C82 C84">
    <cfRule type="cellIs" dxfId="2050" priority="147" stopIfTrue="1" operator="greaterThan">
      <formula>4.5</formula>
    </cfRule>
    <cfRule type="cellIs" dxfId="2049" priority="148" stopIfTrue="1" operator="lessThanOrEqual">
      <formula>0</formula>
    </cfRule>
  </conditionalFormatting>
  <conditionalFormatting sqref="G10:H25">
    <cfRule type="expression" dxfId="2048" priority="17">
      <formula>IF(+(IF(G10&lt;#REF!,0,IF(G10&gt;#REF!,0,1)))=0,1)</formula>
    </cfRule>
  </conditionalFormatting>
  <conditionalFormatting sqref="G78:H78">
    <cfRule type="cellIs" dxfId="2047" priority="129" stopIfTrue="1" operator="lessThanOrEqual">
      <formula>0</formula>
    </cfRule>
    <cfRule type="cellIs" dxfId="2046" priority="128" stopIfTrue="1" operator="greaterThan">
      <formula>$F$77</formula>
    </cfRule>
  </conditionalFormatting>
  <conditionalFormatting sqref="H39:H53">
    <cfRule type="cellIs" dxfId="2045" priority="126" stopIfTrue="1" operator="greaterThan">
      <formula>0</formula>
    </cfRule>
  </conditionalFormatting>
  <conditionalFormatting sqref="H57">
    <cfRule type="cellIs" dxfId="2044" priority="35" stopIfTrue="1" operator="greaterThan">
      <formula>$F$22</formula>
    </cfRule>
    <cfRule type="cellIs" dxfId="2043" priority="34" stopIfTrue="1" operator="lessThanOrEqual">
      <formula>0</formula>
    </cfRule>
    <cfRule type="cellIs" dxfId="2042" priority="33" stopIfTrue="1" operator="greaterThan">
      <formula>$F$24</formula>
    </cfRule>
    <cfRule type="cellIs" dxfId="2041" priority="25" stopIfTrue="1" operator="greaterThan">
      <formula>$F$10</formula>
    </cfRule>
    <cfRule type="cellIs" dxfId="2040" priority="24" stopIfTrue="1" operator="lessThanOrEqual">
      <formula>0</formula>
    </cfRule>
    <cfRule type="cellIs" dxfId="2039" priority="36" stopIfTrue="1" operator="lessThanOrEqual">
      <formula>0</formula>
    </cfRule>
  </conditionalFormatting>
  <conditionalFormatting sqref="H58">
    <cfRule type="cellIs" dxfId="2038" priority="63" stopIfTrue="1" operator="lessThanOrEqual">
      <formula>0</formula>
    </cfRule>
    <cfRule type="cellIs" dxfId="2037" priority="65" stopIfTrue="1" operator="lessThanOrEqual">
      <formula>0</formula>
    </cfRule>
    <cfRule type="cellIs" dxfId="2036" priority="64" stopIfTrue="1" operator="greaterThan">
      <formula>$F$24</formula>
    </cfRule>
    <cfRule type="cellIs" dxfId="2035" priority="53" stopIfTrue="1" operator="lessThanOrEqual">
      <formula>0</formula>
    </cfRule>
    <cfRule type="cellIs" dxfId="2034" priority="54" stopIfTrue="1" operator="greaterThan">
      <formula>$F$23</formula>
    </cfRule>
    <cfRule type="cellIs" dxfId="2033" priority="62" stopIfTrue="1" operator="greaterThan">
      <formula>$F$26</formula>
    </cfRule>
  </conditionalFormatting>
  <conditionalFormatting sqref="H59:H61">
    <cfRule type="cellIs" dxfId="2032" priority="40" stopIfTrue="1" operator="greaterThan">
      <formula>$F$22</formula>
    </cfRule>
    <cfRule type="cellIs" dxfId="2031" priority="48" stopIfTrue="1" operator="greaterThan">
      <formula>$F$25</formula>
    </cfRule>
    <cfRule type="cellIs" dxfId="2030" priority="49" stopIfTrue="1" operator="lessThanOrEqual">
      <formula>0</formula>
    </cfRule>
    <cfRule type="cellIs" dxfId="2029" priority="50" stopIfTrue="1" operator="greaterThan">
      <formula>$F$23</formula>
    </cfRule>
    <cfRule type="cellIs" dxfId="2028" priority="51" stopIfTrue="1" operator="lessThanOrEqual">
      <formula>0</formula>
    </cfRule>
    <cfRule type="cellIs" dxfId="2027" priority="39" stopIfTrue="1" operator="lessThanOrEqual">
      <formula>0</formula>
    </cfRule>
  </conditionalFormatting>
  <conditionalFormatting sqref="H62">
    <cfRule type="cellIs" dxfId="2026" priority="81" stopIfTrue="1" operator="greaterThan">
      <formula>$F$39</formula>
    </cfRule>
    <cfRule type="cellIs" dxfId="2025" priority="80" stopIfTrue="1" operator="lessThanOrEqual">
      <formula>0</formula>
    </cfRule>
    <cfRule type="cellIs" dxfId="2024" priority="79" stopIfTrue="1" operator="greaterThan">
      <formula>$F$41</formula>
    </cfRule>
    <cfRule type="cellIs" dxfId="2023" priority="82" stopIfTrue="1" operator="lessThanOrEqual">
      <formula>0</formula>
    </cfRule>
    <cfRule type="cellIs" dxfId="2022" priority="71" stopIfTrue="1" operator="greaterThan">
      <formula>$F$38</formula>
    </cfRule>
    <cfRule type="cellIs" dxfId="2021" priority="70" stopIfTrue="1" operator="lessThanOrEqual">
      <formula>0</formula>
    </cfRule>
  </conditionalFormatting>
  <conditionalFormatting sqref="H66:H73">
    <cfRule type="cellIs" dxfId="2020" priority="104" stopIfTrue="1" operator="lessThanOrEqual">
      <formula>0</formula>
    </cfRule>
    <cfRule type="cellIs" dxfId="2019" priority="103" stopIfTrue="1" operator="greaterThan">
      <formula>$J66</formula>
    </cfRule>
  </conditionalFormatting>
  <conditionalFormatting sqref="H74">
    <cfRule type="cellIs" dxfId="2018" priority="107" operator="greaterThan">
      <formula>5.3</formula>
    </cfRule>
  </conditionalFormatting>
  <conditionalFormatting sqref="H77 H79:H85">
    <cfRule type="cellIs" dxfId="2017" priority="140" stopIfTrue="1" operator="greaterThan">
      <formula>4.5</formula>
    </cfRule>
    <cfRule type="cellIs" dxfId="2016" priority="141" stopIfTrue="1" operator="lessThanOrEqual">
      <formula>0</formula>
    </cfRule>
  </conditionalFormatting>
  <conditionalFormatting sqref="H57:I57">
    <cfRule type="cellIs" dxfId="2015" priority="26" stopIfTrue="1" operator="lessThanOrEqual">
      <formula>0</formula>
    </cfRule>
    <cfRule type="cellIs" dxfId="2014" priority="23" stopIfTrue="1" operator="greaterThan">
      <formula>$F$23</formula>
    </cfRule>
  </conditionalFormatting>
  <conditionalFormatting sqref="H58:I58">
    <cfRule type="cellIs" dxfId="2013" priority="52" stopIfTrue="1" operator="greaterThan">
      <formula>$F$25</formula>
    </cfRule>
    <cfRule type="cellIs" dxfId="2012" priority="55" stopIfTrue="1" operator="lessThanOrEqual">
      <formula>0</formula>
    </cfRule>
  </conditionalFormatting>
  <conditionalFormatting sqref="H59:I61">
    <cfRule type="cellIs" dxfId="2011" priority="38" stopIfTrue="1" operator="greaterThan">
      <formula>$F$24</formula>
    </cfRule>
    <cfRule type="cellIs" dxfId="2010" priority="41" stopIfTrue="1" operator="lessThanOrEqual">
      <formula>0</formula>
    </cfRule>
  </conditionalFormatting>
  <conditionalFormatting sqref="H62:I62">
    <cfRule type="cellIs" dxfId="2009" priority="69" stopIfTrue="1" operator="greaterThan">
      <formula>$F$40</formula>
    </cfRule>
    <cfRule type="cellIs" dxfId="2008" priority="72" stopIfTrue="1" operator="lessThanOrEqual">
      <formula>0</formula>
    </cfRule>
  </conditionalFormatting>
  <conditionalFormatting sqref="H75:I75">
    <cfRule type="cellIs" dxfId="2007" priority="94" stopIfTrue="1" operator="greaterThan">
      <formula>$J75</formula>
    </cfRule>
    <cfRule type="cellIs" dxfId="2006" priority="95" stopIfTrue="1" operator="lessThanOrEqual">
      <formula>0</formula>
    </cfRule>
  </conditionalFormatting>
  <conditionalFormatting sqref="I57">
    <cfRule type="cellIs" dxfId="2005" priority="29" stopIfTrue="1" operator="greaterThan">
      <formula>$F$23</formula>
    </cfRule>
    <cfRule type="cellIs" dxfId="2004" priority="30" stopIfTrue="1" operator="lessThanOrEqual">
      <formula>0</formula>
    </cfRule>
    <cfRule type="cellIs" dxfId="2003" priority="31" stopIfTrue="1" operator="greaterThan">
      <formula>$F$10</formula>
    </cfRule>
    <cfRule type="cellIs" dxfId="2002" priority="32" stopIfTrue="1" operator="lessThanOrEqual">
      <formula>0</formula>
    </cfRule>
    <cfRule type="cellIs" dxfId="2001" priority="27" stopIfTrue="1" operator="greaterThan">
      <formula>$F$10</formula>
    </cfRule>
    <cfRule type="cellIs" dxfId="2000" priority="28" stopIfTrue="1" operator="lessThanOrEqual">
      <formula>0</formula>
    </cfRule>
  </conditionalFormatting>
  <conditionalFormatting sqref="I58">
    <cfRule type="cellIs" dxfId="1999" priority="61" stopIfTrue="1" operator="lessThanOrEqual">
      <formula>0</formula>
    </cfRule>
    <cfRule type="cellIs" dxfId="1998" priority="57" stopIfTrue="1" operator="lessThanOrEqual">
      <formula>0</formula>
    </cfRule>
    <cfRule type="cellIs" dxfId="1997" priority="58" stopIfTrue="1" operator="greaterThan">
      <formula>$F$25</formula>
    </cfRule>
    <cfRule type="cellIs" dxfId="1996" priority="56" stopIfTrue="1" operator="greaterThan">
      <formula>$F$23</formula>
    </cfRule>
    <cfRule type="cellIs" dxfId="1995" priority="60" stopIfTrue="1" operator="greaterThan">
      <formula>$F$23</formula>
    </cfRule>
    <cfRule type="cellIs" dxfId="1994" priority="59" stopIfTrue="1" operator="lessThanOrEqual">
      <formula>0</formula>
    </cfRule>
  </conditionalFormatting>
  <conditionalFormatting sqref="I59:I61">
    <cfRule type="cellIs" dxfId="1993" priority="47" stopIfTrue="1" operator="lessThanOrEqual">
      <formula>0</formula>
    </cfRule>
    <cfRule type="cellIs" dxfId="1992" priority="44" stopIfTrue="1" operator="greaterThan">
      <formula>$F$24</formula>
    </cfRule>
    <cfRule type="cellIs" dxfId="1991" priority="43" stopIfTrue="1" operator="lessThanOrEqual">
      <formula>0</formula>
    </cfRule>
    <cfRule type="cellIs" dxfId="1990" priority="46" stopIfTrue="1" operator="greaterThan">
      <formula>$F$22</formula>
    </cfRule>
    <cfRule type="cellIs" dxfId="1989" priority="45" stopIfTrue="1" operator="lessThanOrEqual">
      <formula>0</formula>
    </cfRule>
    <cfRule type="cellIs" dxfId="1988" priority="42" stopIfTrue="1" operator="greaterThan">
      <formula>$F$22</formula>
    </cfRule>
  </conditionalFormatting>
  <conditionalFormatting sqref="I62">
    <cfRule type="cellIs" dxfId="1987" priority="73" stopIfTrue="1" operator="greaterThan">
      <formula>$F$38</formula>
    </cfRule>
    <cfRule type="cellIs" dxfId="1986" priority="78" stopIfTrue="1" operator="lessThanOrEqual">
      <formula>0</formula>
    </cfRule>
    <cfRule type="cellIs" dxfId="1985" priority="77" stopIfTrue="1" operator="greaterThan">
      <formula>$F$38</formula>
    </cfRule>
    <cfRule type="cellIs" dxfId="1984" priority="74" stopIfTrue="1" operator="lessThanOrEqual">
      <formula>0</formula>
    </cfRule>
    <cfRule type="cellIs" dxfId="1983" priority="75" stopIfTrue="1" operator="greaterThan">
      <formula>$F$40</formula>
    </cfRule>
    <cfRule type="cellIs" dxfId="1982" priority="76" stopIfTrue="1" operator="lessThanOrEqual">
      <formula>0</formula>
    </cfRule>
  </conditionalFormatting>
  <conditionalFormatting sqref="I66:I74">
    <cfRule type="cellIs" dxfId="1981" priority="109" stopIfTrue="1" operator="lessThanOrEqual">
      <formula>0</formula>
    </cfRule>
    <cfRule type="cellIs" dxfId="1980" priority="108" stopIfTrue="1" operator="greaterThan">
      <formula>$J66</formula>
    </cfRule>
  </conditionalFormatting>
  <conditionalFormatting sqref="I77:I85">
    <cfRule type="cellIs" dxfId="1979" priority="137" stopIfTrue="1" operator="lessThanOrEqual">
      <formula>0</formula>
    </cfRule>
    <cfRule type="cellIs" dxfId="1978" priority="136" stopIfTrue="1" operator="greaterThan">
      <formula>4.5</formula>
    </cfRule>
  </conditionalFormatting>
  <conditionalFormatting sqref="I10:J25">
    <cfRule type="cellIs" dxfId="1977" priority="10" operator="lessThan">
      <formula>97.9</formula>
    </cfRule>
  </conditionalFormatting>
  <conditionalFormatting sqref="J28:J30">
    <cfRule type="cellIs" dxfId="1976" priority="86" operator="lessThan">
      <formula>98</formula>
    </cfRule>
    <cfRule type="cellIs" dxfId="1975" priority="85" stopIfTrue="1" operator="greaterThan">
      <formula>100</formula>
    </cfRule>
    <cfRule type="cellIs" dxfId="1974" priority="84" stopIfTrue="1" operator="lessThan">
      <formula>96.8</formula>
    </cfRule>
  </conditionalFormatting>
  <conditionalFormatting sqref="J28:J32">
    <cfRule type="cellIs" dxfId="1973" priority="83" operator="lessThan">
      <formula>97.4</formula>
    </cfRule>
  </conditionalFormatting>
  <conditionalFormatting sqref="J33">
    <cfRule type="cellIs" dxfId="1972" priority="87" operator="lessThan">
      <formula>98</formula>
    </cfRule>
  </conditionalFormatting>
  <conditionalFormatting sqref="J35:J36">
    <cfRule type="cellIs" dxfId="1971" priority="88" stopIfTrue="1" operator="lessThan">
      <formula>96.8</formula>
    </cfRule>
    <cfRule type="cellIs" dxfId="1970" priority="89" stopIfTrue="1" operator="greaterThan">
      <formula>100</formula>
    </cfRule>
  </conditionalFormatting>
  <conditionalFormatting sqref="J35:J37">
    <cfRule type="cellIs" dxfId="1969" priority="90" operator="lessThan">
      <formula>98</formula>
    </cfRule>
  </conditionalFormatting>
  <conditionalFormatting sqref="J75">
    <cfRule type="cellIs" dxfId="1968" priority="92" stopIfTrue="1" operator="lessThanOrEqual">
      <formula>0</formula>
    </cfRule>
    <cfRule type="cellIs" dxfId="1967" priority="91" stopIfTrue="1" operator="greaterThan">
      <formula>$F75</formula>
    </cfRule>
  </conditionalFormatting>
  <conditionalFormatting sqref="K10:K25">
    <cfRule type="cellIs" dxfId="1966" priority="6" operator="greaterThan">
      <formula>6.4</formula>
    </cfRule>
    <cfRule type="cellIs" dxfId="1965" priority="5" operator="lessThan">
      <formula>4</formula>
    </cfRule>
    <cfRule type="cellIs" dxfId="1964" priority="4" operator="greaterThan">
      <formula>6</formula>
    </cfRule>
  </conditionalFormatting>
  <conditionalFormatting sqref="K57:K62 K66:N72 K73 M73:N73 K74:N74">
    <cfRule type="cellIs" dxfId="1963" priority="68" stopIfTrue="1" operator="lessThan">
      <formula>100%</formula>
    </cfRule>
  </conditionalFormatting>
  <conditionalFormatting sqref="K77:K82">
    <cfRule type="cellIs" dxfId="1962" priority="142" stopIfTrue="1" operator="lessThan">
      <formula>100%</formula>
    </cfRule>
  </conditionalFormatting>
  <conditionalFormatting sqref="K84:K85">
    <cfRule type="cellIs" dxfId="1961" priority="149" stopIfTrue="1" operator="lessThan">
      <formula>100%</formula>
    </cfRule>
  </conditionalFormatting>
  <conditionalFormatting sqref="L10:L25">
    <cfRule type="cellIs" dxfId="1960" priority="19" operator="greaterThan">
      <formula>65</formula>
    </cfRule>
    <cfRule type="cellIs" dxfId="1959" priority="18" operator="between">
      <formula>61</formula>
      <formula>65</formula>
    </cfRule>
  </conditionalFormatting>
  <conditionalFormatting sqref="L28:M39">
    <cfRule type="cellIs" dxfId="1958" priority="98" operator="lessThan">
      <formula>98</formula>
    </cfRule>
  </conditionalFormatting>
  <conditionalFormatting sqref="L43:N43">
    <cfRule type="cellIs" dxfId="1957" priority="22" operator="notEqual">
      <formula>#REF!</formula>
    </cfRule>
  </conditionalFormatting>
  <conditionalFormatting sqref="L75:N75">
    <cfRule type="cellIs" dxfId="1956" priority="93" stopIfTrue="1" operator="lessThan">
      <formula>100%</formula>
    </cfRule>
  </conditionalFormatting>
  <conditionalFormatting sqref="L77:N85">
    <cfRule type="cellIs" dxfId="1955" priority="127" stopIfTrue="1" operator="lessThan">
      <formula>100%</formula>
    </cfRule>
  </conditionalFormatting>
  <conditionalFormatting sqref="M10:M25">
    <cfRule type="expression" dxfId="1954" priority="11">
      <formula>IF(+(IF(M10&lt;U10,0,IF(M10&gt;V10,0,1)))=0,1)</formula>
    </cfRule>
  </conditionalFormatting>
  <conditionalFormatting sqref="N10:N25">
    <cfRule type="expression" dxfId="1953" priority="3">
      <formula>IF(+(IF(N10&lt;W10,0,IF(N10&gt;X10,0,1)))=0,1)</formula>
    </cfRule>
  </conditionalFormatting>
  <conditionalFormatting sqref="P6">
    <cfRule type="cellIs" dxfId="1952" priority="123" operator="greaterThanOrEqual">
      <formula>19</formula>
    </cfRule>
  </conditionalFormatting>
  <dataValidations count="1">
    <dataValidation type="list" allowBlank="1" showInputMessage="1" showErrorMessage="1" sqref="R8" xr:uid="{379814BE-9786-4580-B840-98DD945E5EB3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4CBF-C076-48D6-BD93-AB3B199E1726}">
  <sheetPr>
    <pageSetUpPr fitToPage="1"/>
  </sheetPr>
  <dimension ref="A1:BE79"/>
  <sheetViews>
    <sheetView topLeftCell="A42" zoomScale="90" zoomScaleNormal="90" workbookViewId="0">
      <selection activeCell="G13" sqref="G13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12.140625" style="275" customWidth="1"/>
    <col min="8" max="8" width="15.5703125" style="275" customWidth="1"/>
    <col min="9" max="9" width="1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45884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>
      <c r="B10" s="29" t="s">
        <v>6</v>
      </c>
      <c r="C10" s="366" t="str">
        <f>[24]Brewhouse!$A685</f>
        <v>CA577</v>
      </c>
      <c r="D10" s="279">
        <f>[24]Brewhouse!$AF685</f>
        <v>50.9</v>
      </c>
      <c r="E10" s="279">
        <f>[24]Brewhouse!$AI685</f>
        <v>50.9</v>
      </c>
      <c r="F10" s="278">
        <f>[24]Brewhouse!$V685</f>
        <v>60</v>
      </c>
      <c r="G10" s="279">
        <f>[24]Brewhouse!AG685</f>
        <v>11.6</v>
      </c>
      <c r="H10" s="396">
        <v>10.7</v>
      </c>
      <c r="I10" s="368">
        <f>[24]Brewhouse!$AU685</f>
        <v>92.823695592109161</v>
      </c>
      <c r="J10" s="368">
        <f>[24]Brewhouse!$AV685</f>
        <v>94.377709572004903</v>
      </c>
      <c r="K10" s="281">
        <f>[24]Brewhouse!$Q685</f>
        <v>8.9292196007259559</v>
      </c>
      <c r="L10" s="276">
        <f>[24]Brewhouse!$P685</f>
        <v>60</v>
      </c>
      <c r="M10" s="397">
        <f>[24]Brewhouse!$U685-[24]Brewhouse!$T685</f>
        <v>0.12222222222222223</v>
      </c>
      <c r="N10" s="370">
        <f>[24]Brewhouse!$Z685</f>
        <v>0.3034722222222222</v>
      </c>
      <c r="O10" s="371" t="str">
        <f>[24]Brewhouse!$AX685</f>
        <v>D. Gomez</v>
      </c>
      <c r="P10" s="418" t="s">
        <v>189</v>
      </c>
      <c r="R10" s="277" t="str">
        <f t="shared" ref="R10" si="0">B10</f>
        <v>CARIB</v>
      </c>
      <c r="S10" s="296">
        <f t="shared" ref="S10:S19" si="1">VLOOKUP($B10,$R$3:$X$9,2,FALSE)</f>
        <v>11.6</v>
      </c>
      <c r="T10" s="296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296">
        <f t="shared" ref="Z10:Z19" si="8">VLOOKUP($B10,$R$3:$Z$9,9,FALSE)</f>
        <v>60</v>
      </c>
    </row>
    <row r="11" spans="2:29" ht="15.75" customHeight="1">
      <c r="B11" s="29" t="s">
        <v>6</v>
      </c>
      <c r="C11" s="366" t="str">
        <f>[24]Brewhouse!$A686</f>
        <v>CA578</v>
      </c>
      <c r="D11" s="279">
        <f>[24]Brewhouse!$AF686</f>
        <v>50.6</v>
      </c>
      <c r="E11" s="279">
        <f>[24]Brewhouse!$AI686</f>
        <v>50.3</v>
      </c>
      <c r="F11" s="278">
        <f>[24]Brewhouse!$V686</f>
        <v>57</v>
      </c>
      <c r="G11" s="279">
        <f>[24]Brewhouse!AG686</f>
        <v>11.7</v>
      </c>
      <c r="H11" s="396">
        <v>11.7</v>
      </c>
      <c r="I11" s="368">
        <f>[24]Brewhouse!$AU686</f>
        <v>92.782356776262588</v>
      </c>
      <c r="J11" s="368">
        <f>[24]Brewhouse!$AV686</f>
        <v>94.335363019849467</v>
      </c>
      <c r="K11" s="281">
        <f>[24]Brewhouse!$Q686</f>
        <v>1.4229249011857685</v>
      </c>
      <c r="L11" s="276">
        <f>[24]Brewhouse!$P686</f>
        <v>60</v>
      </c>
      <c r="M11" s="397">
        <f>[24]Brewhouse!$U686-[24]Brewhouse!$T686</f>
        <v>7.7777777777777779E-2</v>
      </c>
      <c r="N11" s="370">
        <f>[24]Brewhouse!$Z686</f>
        <v>0.31944444444444442</v>
      </c>
      <c r="O11" s="371" t="str">
        <f>[24]Brewhouse!$AX686</f>
        <v>R. Regis</v>
      </c>
      <c r="P11" s="418" t="s">
        <v>188</v>
      </c>
      <c r="R11" s="277" t="str">
        <f t="shared" ref="R11:R19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[24]Brewhouse!$A687</f>
        <v>CA579</v>
      </c>
      <c r="D12" s="279">
        <f>[24]Brewhouse!$AF687</f>
        <v>52</v>
      </c>
      <c r="E12" s="279">
        <f>[24]Brewhouse!$AI687</f>
        <v>51.3</v>
      </c>
      <c r="F12" s="278">
        <f>[24]Brewhouse!$V687</f>
        <v>61</v>
      </c>
      <c r="G12" s="279">
        <f>[24]Brewhouse!AG687</f>
        <v>11.6</v>
      </c>
      <c r="H12" s="396">
        <v>11.6</v>
      </c>
      <c r="I12" s="368">
        <f>[24]Brewhouse!$AU687</f>
        <v>93.553154889493129</v>
      </c>
      <c r="J12" s="368">
        <f>[24]Brewhouse!$AV687</f>
        <v>95.119381159997104</v>
      </c>
      <c r="K12" s="281">
        <f>[24]Brewhouse!$Q687</f>
        <v>8.2647584973166328</v>
      </c>
      <c r="L12" s="276">
        <f>[24]Brewhouse!$P687</f>
        <v>60</v>
      </c>
      <c r="M12" s="397">
        <f>[24]Brewhouse!$U687-[24]Brewhouse!$T687</f>
        <v>0.11597222222222214</v>
      </c>
      <c r="N12" s="370">
        <f>[24]Brewhouse!$Z687</f>
        <v>0.24583333333333329</v>
      </c>
      <c r="O12" s="371" t="str">
        <f>[24]Brewhouse!$AX687</f>
        <v>R. Regis</v>
      </c>
      <c r="P12" s="418"/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[24]Brewhouse!$A688</f>
        <v>CA580</v>
      </c>
      <c r="D13" s="279">
        <f>[24]Brewhouse!$AF688</f>
        <v>51.6</v>
      </c>
      <c r="E13" s="279">
        <f>[24]Brewhouse!$AI688</f>
        <v>46.2</v>
      </c>
      <c r="F13" s="278">
        <f>[24]Brewhouse!$V688</f>
        <v>59</v>
      </c>
      <c r="G13" s="279">
        <f>[24]Brewhouse!AG688</f>
        <v>11.5</v>
      </c>
      <c r="H13" s="396">
        <v>11.5</v>
      </c>
      <c r="I13" s="368">
        <f>[24]Brewhouse!$AU688</f>
        <v>86.147235929491302</v>
      </c>
      <c r="J13" s="368">
        <f>[24]Brewhouse!$AV688</f>
        <v>87.585553536872055</v>
      </c>
      <c r="K13" s="281">
        <f>[24]Brewhouse!$Q688</f>
        <v>10.967741935483867</v>
      </c>
      <c r="L13" s="276">
        <f>[24]Brewhouse!$P688</f>
        <v>57</v>
      </c>
      <c r="M13" s="397">
        <f>[24]Brewhouse!$U688-[24]Brewhouse!$T688</f>
        <v>0.1069444444444444</v>
      </c>
      <c r="N13" s="370">
        <f>[24]Brewhouse!$Z688</f>
        <v>0.23611111111111105</v>
      </c>
      <c r="O13" s="371" t="str">
        <f>[24]Brewhouse!$AX688</f>
        <v>R. Regis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[24]Brewhouse!$A689</f>
        <v>CA581</v>
      </c>
      <c r="D14" s="279">
        <f>[24]Brewhouse!$AF689</f>
        <v>52.1</v>
      </c>
      <c r="E14" s="279">
        <f>[24]Brewhouse!$AI689</f>
        <v>50.1</v>
      </c>
      <c r="F14" s="278">
        <f>[24]Brewhouse!$V689</f>
        <v>61</v>
      </c>
      <c r="G14" s="279">
        <f>[24]Brewhouse!AG689</f>
        <v>11.9</v>
      </c>
      <c r="H14" s="396">
        <v>12</v>
      </c>
      <c r="I14" s="368">
        <f>[24]Brewhouse!$AU689</f>
        <v>100.87711898473853</v>
      </c>
      <c r="J14" s="368">
        <f>[24]Brewhouse!$AV689</f>
        <v>102.63038917439627</v>
      </c>
      <c r="K14" s="281">
        <f>[24]Brewhouse!$Q689</f>
        <v>8.3093525179856069</v>
      </c>
      <c r="L14" s="276">
        <f>[24]Brewhouse!$P689</f>
        <v>57</v>
      </c>
      <c r="M14" s="397">
        <f>[24]Brewhouse!$U689-[24]Brewhouse!$T689</f>
        <v>0.10416666666666663</v>
      </c>
      <c r="N14" s="370">
        <f>[24]Brewhouse!$Z689</f>
        <v>0.23888888888888893</v>
      </c>
      <c r="O14" s="371" t="str">
        <f>[24]Brewhouse!$AX689</f>
        <v>R.Sookram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[24]Brewhouse!$A690</f>
        <v>CA582</v>
      </c>
      <c r="D15" s="279">
        <f>[24]Brewhouse!$AF690</f>
        <v>52.1</v>
      </c>
      <c r="E15" s="279">
        <f>[24]Brewhouse!$AI690</f>
        <v>51.8</v>
      </c>
      <c r="F15" s="278">
        <f>[24]Brewhouse!$V690</f>
        <v>61</v>
      </c>
      <c r="G15" s="279">
        <f>[24]Brewhouse!AG690</f>
        <v>11.8</v>
      </c>
      <c r="H15" s="396">
        <v>11.9</v>
      </c>
      <c r="I15" s="368">
        <f>[24]Brewhouse!$AU690</f>
        <v>100.18232401839731</v>
      </c>
      <c r="J15" s="368">
        <f>[24]Brewhouse!$AV690</f>
        <v>101.92597180379992</v>
      </c>
      <c r="K15" s="281">
        <f>[24]Brewhouse!$Q690</f>
        <v>7.6449275362318811</v>
      </c>
      <c r="L15" s="276">
        <f>[24]Brewhouse!$P690</f>
        <v>57</v>
      </c>
      <c r="M15" s="397">
        <f>[24]Brewhouse!$U690-[24]Brewhouse!$T690</f>
        <v>0.11388888888888893</v>
      </c>
      <c r="N15" s="370">
        <f>[24]Brewhouse!$Z690</f>
        <v>0.24791666666666679</v>
      </c>
      <c r="O15" s="371" t="str">
        <f>[24]Brewhouse!$AX690</f>
        <v>R.Sookram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[24]Brewhouse!$A691</f>
        <v>CA583</v>
      </c>
      <c r="D16" s="279">
        <f>[24]Brewhouse!$AF691</f>
        <v>52.5</v>
      </c>
      <c r="E16" s="279">
        <f>[24]Brewhouse!$AI691</f>
        <v>50.8</v>
      </c>
      <c r="F16" s="278">
        <f>[24]Brewhouse!$V691</f>
        <v>63</v>
      </c>
      <c r="G16" s="279">
        <f>[24]Brewhouse!AG691</f>
        <v>11.9</v>
      </c>
      <c r="H16" s="396">
        <v>11.8</v>
      </c>
      <c r="I16" s="368">
        <f>[24]Brewhouse!$AU691</f>
        <v>99.246837552545273</v>
      </c>
      <c r="J16" s="368">
        <f>[24]Brewhouse!$AV691</f>
        <v>100.97410910552793</v>
      </c>
      <c r="K16" s="281">
        <f>[24]Brewhouse!$Q691</f>
        <v>5.338208409506402</v>
      </c>
      <c r="L16" s="276">
        <f>[24]Brewhouse!$P691</f>
        <v>59</v>
      </c>
      <c r="M16" s="397">
        <f>[24]Brewhouse!$U691-[24]Brewhouse!$T691</f>
        <v>0.10625000000000007</v>
      </c>
      <c r="N16" s="370">
        <f>[24]Brewhouse!$Z691</f>
        <v>0.24375000000000002</v>
      </c>
      <c r="O16" s="371" t="str">
        <f>[24]Brewhouse!$AX691</f>
        <v>R.Sookram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ref="R20:R26" si="10">B20</f>
        <v>0</v>
      </c>
      <c r="S20" s="296" t="e">
        <f t="shared" ref="S20:S26" si="11">VLOOKUP($B20,$R$3:$X$9,2,FALSE)</f>
        <v>#N/A</v>
      </c>
      <c r="T20" s="296" t="e">
        <f t="shared" ref="T20:T26" si="12">VLOOKUP($B20,$R$3:$X$9,3,FALSE)</f>
        <v>#N/A</v>
      </c>
      <c r="U20" s="297" t="e">
        <f t="shared" ref="U20:U26" si="13">VLOOKUP($B20,$R$3:$X$9,4,FALSE)</f>
        <v>#N/A</v>
      </c>
      <c r="V20" s="297" t="e">
        <f t="shared" ref="V20:V26" si="14">VLOOKUP($B20,$R$3:$X$9,5,FALSE)</f>
        <v>#N/A</v>
      </c>
      <c r="W20" s="297" t="e">
        <f t="shared" ref="W20:W26" si="15">VLOOKUP($B20,$R$3:$X$9,6,FALSE)</f>
        <v>#N/A</v>
      </c>
      <c r="X20" s="297" t="e">
        <f t="shared" ref="X20:X26" si="16">VLOOKUP($B20,$R$3:$X$9,7,FALSE)</f>
        <v>#N/A</v>
      </c>
      <c r="Y20" s="297" t="e">
        <f t="shared" ref="Y20:Y26" si="17">VLOOKUP($B20,$R$3:$Z$9,8,FALSE)</f>
        <v>#N/A</v>
      </c>
      <c r="Z20" s="296" t="e">
        <f t="shared" ref="Z20:Z26" si="18">VLOOKUP($B20,$R$3:$Z$9,9,FALSE)</f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10"/>
        <v>0</v>
      </c>
      <c r="S21" s="296" t="e">
        <f t="shared" si="11"/>
        <v>#N/A</v>
      </c>
      <c r="T21" s="296" t="e">
        <f t="shared" si="12"/>
        <v>#N/A</v>
      </c>
      <c r="U21" s="297" t="e">
        <f t="shared" si="13"/>
        <v>#N/A</v>
      </c>
      <c r="V21" s="297" t="e">
        <f t="shared" si="14"/>
        <v>#N/A</v>
      </c>
      <c r="W21" s="297" t="e">
        <f t="shared" si="15"/>
        <v>#N/A</v>
      </c>
      <c r="X21" s="297" t="e">
        <f t="shared" si="16"/>
        <v>#N/A</v>
      </c>
      <c r="Y21" s="297" t="e">
        <f t="shared" si="17"/>
        <v>#N/A</v>
      </c>
      <c r="Z21" s="296" t="e">
        <f t="shared" si="18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296" t="e">
        <f t="shared" si="11"/>
        <v>#N/A</v>
      </c>
      <c r="T22" s="296" t="e">
        <f t="shared" si="12"/>
        <v>#N/A</v>
      </c>
      <c r="U22" s="297" t="e">
        <f t="shared" si="13"/>
        <v>#N/A</v>
      </c>
      <c r="V22" s="297" t="e">
        <f t="shared" si="14"/>
        <v>#N/A</v>
      </c>
      <c r="W22" s="297" t="e">
        <f t="shared" si="15"/>
        <v>#N/A</v>
      </c>
      <c r="X22" s="297" t="e">
        <f t="shared" si="16"/>
        <v>#N/A</v>
      </c>
      <c r="Y22" s="297" t="e">
        <f t="shared" si="17"/>
        <v>#N/A</v>
      </c>
      <c r="Z22" s="296" t="e">
        <f t="shared" si="18"/>
        <v>#N/A</v>
      </c>
    </row>
    <row r="23" spans="1:27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10"/>
        <v>0</v>
      </c>
      <c r="S23" s="296" t="e">
        <f t="shared" si="11"/>
        <v>#N/A</v>
      </c>
      <c r="T23" s="296" t="e">
        <f t="shared" si="12"/>
        <v>#N/A</v>
      </c>
      <c r="U23" s="297" t="e">
        <f t="shared" si="13"/>
        <v>#N/A</v>
      </c>
      <c r="V23" s="297" t="e">
        <f t="shared" si="14"/>
        <v>#N/A</v>
      </c>
      <c r="W23" s="297" t="e">
        <f t="shared" si="15"/>
        <v>#N/A</v>
      </c>
      <c r="X23" s="297" t="e">
        <f t="shared" si="16"/>
        <v>#N/A</v>
      </c>
      <c r="Y23" s="297" t="e">
        <f t="shared" si="17"/>
        <v>#N/A</v>
      </c>
      <c r="Z23" s="296" t="e">
        <f t="shared" si="18"/>
        <v>#N/A</v>
      </c>
    </row>
    <row r="24" spans="1:27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10"/>
        <v>0</v>
      </c>
      <c r="S24" s="296" t="e">
        <f t="shared" si="11"/>
        <v>#N/A</v>
      </c>
      <c r="T24" s="296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296" t="e">
        <f t="shared" si="1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9"/>
      <c r="J25" s="529"/>
      <c r="K25" s="529"/>
      <c r="L25" s="529"/>
      <c r="M25" s="529"/>
      <c r="N25" s="529"/>
      <c r="O25" s="1"/>
      <c r="P25" s="12"/>
      <c r="R25" s="277">
        <f t="shared" si="10"/>
        <v>0</v>
      </c>
      <c r="S25" s="296" t="e">
        <f t="shared" si="11"/>
        <v>#N/A</v>
      </c>
      <c r="T25" s="296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296" t="e">
        <f t="shared" si="18"/>
        <v>#N/A</v>
      </c>
    </row>
    <row r="26" spans="1:27" ht="15.75" thickBot="1">
      <c r="B26" s="388" t="s">
        <v>162</v>
      </c>
      <c r="C26" s="388"/>
      <c r="D26" s="542" t="s">
        <v>35</v>
      </c>
      <c r="E26" s="543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10"/>
        <v xml:space="preserve">BRAND </v>
      </c>
      <c r="S26" s="296" t="e">
        <f t="shared" si="11"/>
        <v>#N/A</v>
      </c>
      <c r="T26" s="296" t="e">
        <f t="shared" si="12"/>
        <v>#N/A</v>
      </c>
      <c r="U26" s="297" t="e">
        <f t="shared" si="13"/>
        <v>#N/A</v>
      </c>
      <c r="V26" s="297" t="e">
        <f t="shared" si="14"/>
        <v>#N/A</v>
      </c>
      <c r="W26" s="297" t="e">
        <f t="shared" si="15"/>
        <v>#N/A</v>
      </c>
      <c r="X26" s="297" t="e">
        <f t="shared" si="16"/>
        <v>#N/A</v>
      </c>
      <c r="Y26" s="297" t="e">
        <f t="shared" si="17"/>
        <v>#N/A</v>
      </c>
      <c r="Z26" s="296" t="e">
        <f t="shared" si="18"/>
        <v>#N/A</v>
      </c>
    </row>
    <row r="27" spans="1:27" ht="15" customHeight="1">
      <c r="A27" s="28"/>
      <c r="B27" s="530" t="str">
        <f>I28</f>
        <v>STAG</v>
      </c>
      <c r="C27" s="362" cm="1">
        <f t="array" ref="C27:C34">[22]Process!$D$315:$D$322</f>
        <v>11.9</v>
      </c>
      <c r="D27" s="533">
        <v>11.68</v>
      </c>
      <c r="E27" s="522"/>
      <c r="F27" s="294"/>
      <c r="G27" s="294"/>
      <c r="H27" s="348"/>
      <c r="I27" s="29" t="s">
        <v>6</v>
      </c>
      <c r="J27" s="280">
        <f>AVERAGE(I10:I16)</f>
        <v>95.087531963291056</v>
      </c>
      <c r="K27" s="284">
        <f>COUNTA([24]Brewhouse!$A$655:$A$691)</f>
        <v>37</v>
      </c>
      <c r="L27" s="305">
        <f>AVERAGE([24]Brewhouse!$AU$655:$AU$691)</f>
        <v>97.142141461447395</v>
      </c>
      <c r="M27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$691)</f>
        <v>97.831693822055868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5" customHeight="1">
      <c r="A28" s="28"/>
      <c r="B28" s="531"/>
      <c r="C28" s="362">
        <v>11.9</v>
      </c>
      <c r="D28" s="534"/>
      <c r="E28" s="517"/>
      <c r="F28" s="294"/>
      <c r="G28" s="294"/>
      <c r="H28" s="348"/>
      <c r="I28" s="33" t="s">
        <v>9</v>
      </c>
      <c r="J28" s="280"/>
      <c r="K28" s="284">
        <f>COUNTA([22]Brewhouse!$A$324:$A$335)</f>
        <v>12</v>
      </c>
      <c r="L28" s="302">
        <f>AVERAGE([22]Brewhouse!$AS$324:$AS$335)</f>
        <v>98.319987559189101</v>
      </c>
      <c r="M28" s="302">
        <f>AVERAGE([22]Brewhouse!$AS$15:$AS$64,[22]Brewhouse!$AS$66:$AS$103,[22]Brewhouse!$AS$105:$AS$140,[22]Brewhouse!$AS$142:$AS$193,[22]Brewhouse!$AS$195:$AS$240,[22]Brewhouse!$AS$242:$AS$273,[22]Brewhouse!$AS$275:$AS$322,[22]Brewhouse!$AS$324:$AS$335)</f>
        <v>98.075849067790173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65" customHeight="1">
      <c r="A29" s="28"/>
      <c r="B29" s="531"/>
      <c r="C29" s="362">
        <v>12</v>
      </c>
      <c r="D29" s="533">
        <v>11.85</v>
      </c>
      <c r="E29" s="522"/>
      <c r="F29" s="294"/>
      <c r="G29" s="294"/>
      <c r="H29" s="348"/>
      <c r="I29" s="34" t="s">
        <v>12</v>
      </c>
      <c r="J29" s="280"/>
      <c r="K29" s="284"/>
      <c r="L29" s="302"/>
      <c r="M29" s="302">
        <f>AVERAGE([25]Brewhouse!$AU$4:$AU$7,[25]Brewhouse!$AU$9:$AU$22,[25]Brewhouse!$AU$24:$AU$35,[25]Brewhouse!$AU$37:$AU$45,[25]Brewhouse!$AU$47:$AU$62,[25]Brewhouse!$AU$64:$AU$79)</f>
        <v>97.0189196363294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4.65" customHeight="1">
      <c r="A30" s="28"/>
      <c r="B30" s="531"/>
      <c r="C30" s="362">
        <v>11.7</v>
      </c>
      <c r="D30" s="534"/>
      <c r="E30" s="517"/>
      <c r="F30" s="294"/>
      <c r="G30" s="294"/>
      <c r="H30" s="348"/>
      <c r="I30" s="22" t="s">
        <v>33</v>
      </c>
      <c r="J30" s="280"/>
      <c r="K30" s="284">
        <f>COUNTA([26]Brewhouse!$A$64:$A$67)</f>
        <v>4</v>
      </c>
      <c r="L30" s="302">
        <f>AVERAGE([26]Brewhouse!$AV$64:$AV$67)</f>
        <v>97.964622396575123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7" ht="14.65" customHeight="1">
      <c r="A31" s="28"/>
      <c r="B31" s="531"/>
      <c r="C31" s="362">
        <v>11.9</v>
      </c>
      <c r="D31" s="533">
        <v>11.85</v>
      </c>
      <c r="E31" s="522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7" ht="14.65" customHeight="1">
      <c r="A32" s="28"/>
      <c r="B32" s="531"/>
      <c r="C32" s="362">
        <v>11.8</v>
      </c>
      <c r="D32" s="534"/>
      <c r="E32" s="517"/>
      <c r="F32" s="417"/>
      <c r="G32" s="294"/>
      <c r="H32" s="348"/>
      <c r="I32" s="36" t="s">
        <v>15</v>
      </c>
      <c r="J32" s="323"/>
      <c r="K32" s="284"/>
      <c r="L32" s="302"/>
      <c r="M32" s="302">
        <f>AVERAGE([27]Brewhouse!$AT$4:$AT$11,[27]Brewhouse!$AT$13:$AT$16,[27]Brewhouse!$AT$18:$AT$21,[27]Brewhouse!$AT$26)</f>
        <v>94.588057846623641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31"/>
      <c r="C33" s="349">
        <v>11.7</v>
      </c>
      <c r="D33" s="533">
        <v>11.71</v>
      </c>
      <c r="E33" s="522"/>
      <c r="F33" s="417"/>
      <c r="G33" s="294"/>
      <c r="H33" s="348"/>
      <c r="I33" s="37" t="s">
        <v>16</v>
      </c>
      <c r="J33" s="323"/>
      <c r="K33" s="284"/>
      <c r="L33" s="302"/>
      <c r="M33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31"/>
      <c r="C34" s="349">
        <v>11.7</v>
      </c>
      <c r="D34" s="534"/>
      <c r="E34" s="517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AVERAGE([28]Brewhouse!$AU$5:$AU$8,[28]Brewhouse!$AU$10:$AU$13)</f>
        <v>94.247666625193744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31"/>
      <c r="C35" s="349"/>
      <c r="D35" s="533"/>
      <c r="E35" s="522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31"/>
      <c r="C36" s="349"/>
      <c r="D36" s="534"/>
      <c r="E36" s="517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31"/>
      <c r="C37" s="349"/>
      <c r="D37" s="533"/>
      <c r="E37" s="522"/>
      <c r="F37" s="294"/>
      <c r="G37" s="294"/>
      <c r="H37" s="348"/>
      <c r="I37" s="1"/>
      <c r="J37" s="39"/>
      <c r="K37" s="404">
        <f>SUM(K27:K36)</f>
        <v>53</v>
      </c>
      <c r="L37" s="405">
        <f>((L27*K27)+(L28*K28)+(L29*K29)+(L30*K30)+(L31*K31)+(K34*L34)+(L32*K32)+(L33*K33)+(L36*K36))/(K37)</f>
        <v>97.470897629624972</v>
      </c>
      <c r="M37" s="405">
        <f>AVERAGE('[31]Jan 31st'!$L$65,'[32]Feb 28th'!$L$35,'[33]Mar. 31st'!$L$35,'[34]Apr. 30th'!$L$45,'[35]May 30th'!$L$37,'[36]June 30th'!$L$57,L37)</f>
        <v>97.631829732383849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32"/>
      <c r="C38" s="350"/>
      <c r="D38" s="534"/>
      <c r="E38" s="51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89" t="str">
        <f>I28</f>
        <v>STAG</v>
      </c>
      <c r="C39" s="362" cm="1">
        <f t="array" ref="C39:C42">[22]Process!$D$311:$D$314</f>
        <v>11.6</v>
      </c>
      <c r="D39" s="514">
        <v>11.9</v>
      </c>
      <c r="E39" s="515"/>
      <c r="F39" s="294"/>
      <c r="G39" s="42"/>
      <c r="H39" s="41"/>
      <c r="I39" s="42"/>
      <c r="J39" s="569" t="s">
        <v>129</v>
      </c>
      <c r="K39" s="569"/>
      <c r="L39" s="294"/>
      <c r="M39" s="294"/>
      <c r="N39" s="294"/>
      <c r="O39" s="294"/>
      <c r="P39" s="12"/>
    </row>
    <row r="40" spans="1:56" ht="15.75" thickBot="1">
      <c r="B40" s="531"/>
      <c r="C40" s="362">
        <v>12.2</v>
      </c>
      <c r="D40" s="516"/>
      <c r="E40" s="517"/>
      <c r="F40" s="294"/>
      <c r="G40" s="42"/>
      <c r="H40" s="41"/>
      <c r="I40" s="42"/>
      <c r="J40" s="292" t="s">
        <v>17</v>
      </c>
      <c r="K40" s="293" t="s">
        <v>147</v>
      </c>
      <c r="L40" s="519" t="s">
        <v>136</v>
      </c>
      <c r="M40" s="519"/>
      <c r="N40" s="520"/>
      <c r="O40" s="294"/>
      <c r="P40" s="12"/>
    </row>
    <row r="41" spans="1:56" ht="15" customHeight="1" thickBot="1">
      <c r="B41" s="531"/>
      <c r="C41" s="349">
        <v>12</v>
      </c>
      <c r="D41" s="570">
        <v>11.9</v>
      </c>
      <c r="E41" s="571"/>
      <c r="F41" s="294"/>
      <c r="G41" s="42"/>
      <c r="H41" s="41"/>
      <c r="I41" s="42"/>
      <c r="J41" s="287" t="s">
        <v>6</v>
      </c>
      <c r="K41" s="324">
        <v>7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31"/>
      <c r="C42" s="349">
        <v>11.8</v>
      </c>
      <c r="D42" s="516"/>
      <c r="E42" s="517"/>
      <c r="F42" s="294"/>
      <c r="G42" s="42"/>
      <c r="H42" s="41"/>
      <c r="I42" s="42"/>
      <c r="J42" s="345" t="s">
        <v>9</v>
      </c>
      <c r="K42" s="324"/>
      <c r="L42" s="344">
        <f>AVERAGE('Aug 4th '!K58,'Aug 5th '!K58,'Aug 6th '!K58,'Aug 7th '!K58,'Aug 8th '!K48,'Aug 13th'!K52,K51)</f>
        <v>7.4285714285714288</v>
      </c>
      <c r="M42" s="325">
        <f>AVERAGE('[31]Jan 29th '!$M$70,'[32]Feb 28th'!$L$40,'[33]Mar. 31st'!$L$40,'[34]Apr. 30th'!$L$50,'[35]May 30th'!$L$42,'[36]June 30th'!$L$62,'[37]July 29th '!$L$49,L42)</f>
        <v>6.968186037837067</v>
      </c>
      <c r="N42" s="416">
        <v>9.1999999999999993</v>
      </c>
      <c r="O42" s="294"/>
      <c r="P42" s="12"/>
    </row>
    <row r="43" spans="1:56" ht="15" customHeight="1">
      <c r="B43" s="531"/>
      <c r="C43" s="349"/>
      <c r="D43" s="570"/>
      <c r="E43" s="571"/>
      <c r="F43" s="294"/>
      <c r="G43" s="42"/>
      <c r="H43" s="41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31"/>
      <c r="C44" s="349"/>
      <c r="D44" s="516"/>
      <c r="E44" s="517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31"/>
      <c r="C45" s="349"/>
      <c r="D45" s="570"/>
      <c r="E45" s="571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31"/>
      <c r="C46" s="349"/>
      <c r="D46" s="516"/>
      <c r="E46" s="517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31"/>
      <c r="C47" s="349"/>
      <c r="D47" s="570"/>
      <c r="E47" s="571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32"/>
      <c r="C48" s="350"/>
      <c r="D48" s="572"/>
      <c r="E48" s="573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4">
        <f>AVERAGE(D27:E48)</f>
        <v>11.815</v>
      </c>
      <c r="E49" s="575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7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95" t="s">
        <v>17</v>
      </c>
      <c r="C54" s="495" t="s">
        <v>44</v>
      </c>
      <c r="D54" s="507" t="s">
        <v>45</v>
      </c>
      <c r="E54" s="509" t="s">
        <v>46</v>
      </c>
      <c r="F54" s="503" t="s">
        <v>47</v>
      </c>
      <c r="G54" s="493" t="s">
        <v>48</v>
      </c>
      <c r="H54" s="495" t="s">
        <v>49</v>
      </c>
      <c r="I54" s="495" t="s">
        <v>50</v>
      </c>
      <c r="J54" s="487" t="s">
        <v>28</v>
      </c>
      <c r="K54" s="499" t="s">
        <v>51</v>
      </c>
      <c r="L54" s="501" t="s">
        <v>52</v>
      </c>
      <c r="M54" s="487" t="s">
        <v>53</v>
      </c>
      <c r="N54" s="13"/>
      <c r="O54" s="13"/>
      <c r="P54" s="50"/>
    </row>
    <row r="55" spans="2:57" ht="28.5" customHeight="1" thickTop="1" thickBot="1">
      <c r="B55" s="496"/>
      <c r="C55" s="496"/>
      <c r="D55" s="508"/>
      <c r="E55" s="510"/>
      <c r="F55" s="504"/>
      <c r="G55" s="494"/>
      <c r="H55" s="496"/>
      <c r="I55" s="496"/>
      <c r="J55" s="488"/>
      <c r="K55" s="500"/>
      <c r="L55" s="502"/>
      <c r="M55" s="488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474" t="str">
        <f>J42</f>
        <v>STAG</v>
      </c>
      <c r="C56" s="445">
        <v>45883</v>
      </c>
      <c r="D56" s="446">
        <f>[38]August_2025!$P$13</f>
        <v>396.6</v>
      </c>
      <c r="E56" s="447"/>
      <c r="F56" s="448"/>
      <c r="G56" s="449">
        <f>[38]August_2025!$P$17</f>
        <v>371</v>
      </c>
      <c r="H56" s="450"/>
      <c r="I56" s="451"/>
      <c r="J56" s="452" t="s">
        <v>190</v>
      </c>
      <c r="K56" s="453">
        <f>[39]August_2025!$P$25</f>
        <v>0.26035087719298244</v>
      </c>
      <c r="L56" s="466">
        <f>(((D56+E56)-G56)/(D56+E56))*100</f>
        <v>6.4548663640948103</v>
      </c>
      <c r="M56" s="465" t="s">
        <v>184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customHeight="1" thickBot="1">
      <c r="B57" s="469"/>
      <c r="C57" s="434"/>
      <c r="D57" s="435"/>
      <c r="E57" s="436"/>
      <c r="F57" s="437"/>
      <c r="G57" s="438"/>
      <c r="H57" s="439"/>
      <c r="I57" s="454"/>
      <c r="J57" s="455"/>
      <c r="K57" s="440"/>
      <c r="L57" s="456"/>
      <c r="M57" s="42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customHeight="1" thickBot="1">
      <c r="B58" s="474" t="str">
        <f>J42</f>
        <v>STAG</v>
      </c>
      <c r="C58" s="445">
        <v>45883</v>
      </c>
      <c r="D58" s="446">
        <f>[38]August_2025!$Q$13</f>
        <v>197.3</v>
      </c>
      <c r="E58" s="447"/>
      <c r="F58" s="448"/>
      <c r="G58" s="449">
        <f>[38]August_2025!$Q$17</f>
        <v>185</v>
      </c>
      <c r="H58" s="450"/>
      <c r="I58" s="451"/>
      <c r="J58" s="452" t="s">
        <v>150</v>
      </c>
      <c r="K58" s="453">
        <f>[39]August_2025!$Q$25</f>
        <v>0.64912280701754388</v>
      </c>
      <c r="L58" s="466">
        <f>(((D58+E58)-G58)/(D58+E58))*100</f>
        <v>6.2341611758743092</v>
      </c>
      <c r="M58" s="465" t="s">
        <v>175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" hidden="1">
      <c r="B59" s="458"/>
      <c r="C59" s="434"/>
      <c r="D59" s="435"/>
      <c r="E59" s="436"/>
      <c r="F59" s="437"/>
      <c r="G59" s="438"/>
      <c r="H59" s="439"/>
      <c r="I59" s="454"/>
      <c r="J59" s="455"/>
      <c r="K59" s="440"/>
      <c r="L59" s="456"/>
      <c r="M59" s="42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5">
        <v>45873</v>
      </c>
      <c r="D60" s="446"/>
      <c r="E60" s="447"/>
      <c r="F60" s="448"/>
      <c r="G60" s="449"/>
      <c r="H60" s="450"/>
      <c r="I60" s="451"/>
      <c r="J60" s="452" t="s">
        <v>163</v>
      </c>
      <c r="K60" s="453"/>
      <c r="L60" s="459" t="e">
        <f>(((D60+E60)-G60)/(D60+E60))*100</f>
        <v>#DIV/0!</v>
      </c>
      <c r="M60" s="46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41"/>
      <c r="C61" s="427"/>
      <c r="D61" s="428"/>
      <c r="E61" s="429"/>
      <c r="F61" s="430"/>
      <c r="G61" s="431"/>
      <c r="H61" s="432"/>
      <c r="I61" s="442"/>
      <c r="J61" s="443"/>
      <c r="K61" s="433"/>
      <c r="L61" s="444"/>
      <c r="M61" s="42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89" t="s">
        <v>55</v>
      </c>
      <c r="C63" s="490"/>
      <c r="D63" s="490"/>
      <c r="E63" s="490"/>
      <c r="F63" s="491"/>
      <c r="G63" s="489" t="s">
        <v>56</v>
      </c>
      <c r="H63" s="490"/>
      <c r="I63" s="490"/>
      <c r="J63" s="491"/>
      <c r="K63" s="489" t="s">
        <v>51</v>
      </c>
      <c r="L63" s="490"/>
      <c r="M63" s="490"/>
      <c r="N63" s="49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/>
      <c r="D65" s="76">
        <v>5.139312789209427</v>
      </c>
      <c r="E65" s="76">
        <v>6.2656486790649684</v>
      </c>
      <c r="F65" s="66">
        <v>4.8</v>
      </c>
      <c r="G65" s="65"/>
      <c r="H65" s="76">
        <v>6.8436955577488883</v>
      </c>
      <c r="I65" s="76">
        <v>6.2255324914301324</v>
      </c>
      <c r="J65" s="66">
        <v>4.8</v>
      </c>
      <c r="K65" s="67"/>
      <c r="L65" s="194">
        <v>1.015438596491228</v>
      </c>
      <c r="M65" s="194">
        <v>0.75334935363846212</v>
      </c>
      <c r="N65" s="68">
        <v>1</v>
      </c>
      <c r="O65" s="56"/>
      <c r="P65" s="69"/>
    </row>
    <row r="66" spans="2:16" ht="15">
      <c r="B66" s="33" t="s">
        <v>9</v>
      </c>
      <c r="C66" s="65">
        <f>AVERAGE(L56,L58)</f>
        <v>6.3445137699845597</v>
      </c>
      <c r="D66" s="76">
        <v>5.9872944919306859</v>
      </c>
      <c r="E66" s="76">
        <v>5.9448513978541291</v>
      </c>
      <c r="F66" s="66">
        <v>4.8</v>
      </c>
      <c r="G66" s="65">
        <f>AVERAGE([38]August_2025!$P$21:$Q$21)</f>
        <v>6.4579476426230826</v>
      </c>
      <c r="H66" s="76">
        <v>6.2297427957809166</v>
      </c>
      <c r="I66" s="76">
        <v>5.5723746878474767</v>
      </c>
      <c r="J66" s="66">
        <v>4.8</v>
      </c>
      <c r="K66" s="67">
        <f>AVERAGE(K56,K58)</f>
        <v>0.45473684210526316</v>
      </c>
      <c r="L66" s="194">
        <v>0.45044834307992204</v>
      </c>
      <c r="M66" s="194">
        <v>0.73721374514882176</v>
      </c>
      <c r="N66" s="68">
        <v>1</v>
      </c>
      <c r="P66" s="69"/>
    </row>
    <row r="67" spans="2:16" ht="15">
      <c r="B67" s="34" t="s">
        <v>40</v>
      </c>
      <c r="C67" s="65"/>
      <c r="D67" s="76">
        <v>8.0382775119617147</v>
      </c>
      <c r="E67" s="76">
        <v>11.429743886837057</v>
      </c>
      <c r="F67" s="66">
        <v>5.5</v>
      </c>
      <c r="G67" s="65"/>
      <c r="H67" s="76">
        <v>10.370027728825649</v>
      </c>
      <c r="I67" s="76">
        <v>13.047305235287777</v>
      </c>
      <c r="J67" s="66">
        <v>5.5</v>
      </c>
      <c r="K67" s="67"/>
      <c r="L67" s="194">
        <v>0.67438596491228076</v>
      </c>
      <c r="M67" s="194">
        <v>0.55172216056233814</v>
      </c>
      <c r="N67" s="68">
        <v>1</v>
      </c>
      <c r="P67" s="69"/>
    </row>
    <row r="68" spans="2:16" ht="15">
      <c r="B68" s="22" t="s">
        <v>33</v>
      </c>
      <c r="C68" s="65"/>
      <c r="D68" s="76">
        <v>6.0500000000000114</v>
      </c>
      <c r="E68" s="76">
        <v>5.1850280988230084</v>
      </c>
      <c r="F68" s="66">
        <v>3.3</v>
      </c>
      <c r="G68" s="65"/>
      <c r="H68" s="76">
        <v>5.966075524743097</v>
      </c>
      <c r="I68" s="76">
        <v>4.9519881827605072</v>
      </c>
      <c r="J68" s="66">
        <v>3.3</v>
      </c>
      <c r="K68" s="67"/>
      <c r="L68" s="194">
        <v>0.32964912280701753</v>
      </c>
      <c r="M68" s="194">
        <v>0.72853313840155942</v>
      </c>
      <c r="N68" s="68">
        <v>1</v>
      </c>
      <c r="P68" s="69"/>
    </row>
    <row r="69" spans="2:16" ht="15">
      <c r="B69" s="35" t="s">
        <v>165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>
        <v>5.2552552552552552</v>
      </c>
      <c r="E70" s="76">
        <v>6.9158697961943529</v>
      </c>
      <c r="F70" s="70">
        <f>[21]May_2022!$M$43</f>
        <v>3.4878406700073312</v>
      </c>
      <c r="G70" s="282"/>
      <c r="H70" s="76">
        <v>6.7916330640214131</v>
      </c>
      <c r="I70" s="76">
        <v>8.5598888260252064</v>
      </c>
      <c r="J70" s="66">
        <v>5.5</v>
      </c>
      <c r="K70" s="67"/>
      <c r="L70" s="194">
        <v>0.66421052631578947</v>
      </c>
      <c r="M70" s="194">
        <v>0.60705263157894729</v>
      </c>
      <c r="N70" s="68">
        <v>1</v>
      </c>
      <c r="P70" s="69"/>
    </row>
    <row r="71" spans="2:16" ht="15">
      <c r="B71" s="37" t="s">
        <v>16</v>
      </c>
      <c r="C71" s="65"/>
      <c r="D71" s="76">
        <v>4.1414141414141357</v>
      </c>
      <c r="E71" s="76">
        <v>3.0301127264734369</v>
      </c>
      <c r="F71" s="66">
        <v>3.3</v>
      </c>
      <c r="G71" s="282"/>
      <c r="H71" s="76">
        <v>7.0415942868172152</v>
      </c>
      <c r="I71" s="76">
        <v>4.4974189022907662</v>
      </c>
      <c r="J71" s="66">
        <v>3.3</v>
      </c>
      <c r="K71" s="67"/>
      <c r="L71" s="194">
        <v>0.33298245614035088</v>
      </c>
      <c r="M71" s="194">
        <v>0.80374720357941831</v>
      </c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>
        <v>0</v>
      </c>
      <c r="M73" s="194">
        <v>0.51368421052631585</v>
      </c>
      <c r="N73" s="71">
        <v>1</v>
      </c>
      <c r="O73" s="74"/>
      <c r="P73" s="75"/>
    </row>
    <row r="74" spans="2:16" ht="15">
      <c r="D74" s="76">
        <v>5.6874719330604977</v>
      </c>
      <c r="E74" s="76">
        <v>6.3508901106180504</v>
      </c>
      <c r="F74" s="341">
        <v>5.5</v>
      </c>
      <c r="H74" s="76">
        <v>7.1693252618113217</v>
      </c>
      <c r="I74" s="76">
        <v>6.6195277636048271</v>
      </c>
      <c r="J74" s="341">
        <v>5.5</v>
      </c>
      <c r="L74" s="194">
        <v>0.67402977139819231</v>
      </c>
      <c r="M74" s="194">
        <v>0.7190527511537097</v>
      </c>
      <c r="N74" s="386">
        <v>1</v>
      </c>
    </row>
    <row r="78" spans="2:16">
      <c r="F78" s="315"/>
    </row>
    <row r="79" spans="2:16" ht="15">
      <c r="F79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1951" priority="124" operator="notBetween">
      <formula>#REF!</formula>
      <formula>#REF!</formula>
    </cfRule>
  </conditionalFormatting>
  <conditionalFormatting sqref="C53">
    <cfRule type="cellIs" dxfId="1950" priority="156" stopIfTrue="1" operator="greaterThan">
      <formula>100</formula>
    </cfRule>
    <cfRule type="cellIs" dxfId="1949" priority="155" stopIfTrue="1" operator="lessThan">
      <formula>96</formula>
    </cfRule>
  </conditionalFormatting>
  <conditionalFormatting sqref="C65:C69">
    <cfRule type="cellIs" dxfId="1948" priority="105" stopIfTrue="1" operator="lessThanOrEqual">
      <formula>0</formula>
    </cfRule>
  </conditionalFormatting>
  <conditionalFormatting sqref="C65:C73">
    <cfRule type="cellIs" dxfId="1947" priority="104" stopIfTrue="1" operator="greaterThan">
      <formula>$F65</formula>
    </cfRule>
  </conditionalFormatting>
  <conditionalFormatting sqref="C66">
    <cfRule type="cellIs" dxfId="1946" priority="159" stopIfTrue="1" operator="greaterThan">
      <formula>$F65</formula>
    </cfRule>
  </conditionalFormatting>
  <conditionalFormatting sqref="C70">
    <cfRule type="cellIs" dxfId="1945" priority="15" stopIfTrue="1" operator="lessThanOrEqual">
      <formula>0</formula>
    </cfRule>
    <cfRule type="cellIs" dxfId="1944" priority="16" stopIfTrue="1" operator="greaterThan">
      <formula>$F69</formula>
    </cfRule>
  </conditionalFormatting>
  <conditionalFormatting sqref="C76:C80">
    <cfRule type="cellIs" dxfId="1943" priority="147" stopIfTrue="1" operator="lessThanOrEqual">
      <formula>0</formula>
    </cfRule>
  </conditionalFormatting>
  <conditionalFormatting sqref="C77:C80">
    <cfRule type="cellIs" dxfId="1942" priority="146" stopIfTrue="1" operator="greaterThan">
      <formula>$F$76</formula>
    </cfRule>
  </conditionalFormatting>
  <conditionalFormatting sqref="C82">
    <cfRule type="cellIs" dxfId="1941" priority="149" stopIfTrue="1" operator="lessThanOrEqual">
      <formula>0</formula>
    </cfRule>
    <cfRule type="cellIs" dxfId="1940" priority="148" stopIfTrue="1" operator="greaterThan">
      <formula>$F$76</formula>
    </cfRule>
  </conditionalFormatting>
  <conditionalFormatting sqref="C76:D76 D78:D84">
    <cfRule type="cellIs" dxfId="1939" priority="141" stopIfTrue="1" operator="greaterThan">
      <formula>4.5</formula>
    </cfRule>
  </conditionalFormatting>
  <conditionalFormatting sqref="D49:D50">
    <cfRule type="cellIs" dxfId="1938" priority="125" operator="notBetween">
      <formula>#REF!</formula>
      <formula>#REF!</formula>
    </cfRule>
  </conditionalFormatting>
  <conditionalFormatting sqref="D65:D72">
    <cfRule type="cellIs" dxfId="1937" priority="119" stopIfTrue="1" operator="lessThanOrEqual">
      <formula>0</formula>
    </cfRule>
  </conditionalFormatting>
  <conditionalFormatting sqref="D73">
    <cfRule type="cellIs" dxfId="1936" priority="118" stopIfTrue="1" operator="lessThanOrEqual">
      <formula>0</formula>
    </cfRule>
  </conditionalFormatting>
  <conditionalFormatting sqref="D76 D78:D84">
    <cfRule type="cellIs" dxfId="1935" priority="142" stopIfTrue="1" operator="lessThanOrEqual">
      <formula>0</formula>
    </cfRule>
  </conditionalFormatting>
  <conditionalFormatting sqref="D77">
    <cfRule type="cellIs" dxfId="1934" priority="133" stopIfTrue="1" operator="greaterThan">
      <formula>$F$76</formula>
    </cfRule>
    <cfRule type="cellIs" dxfId="1933" priority="134" stopIfTrue="1" operator="lessThanOrEqual">
      <formula>0</formula>
    </cfRule>
  </conditionalFormatting>
  <conditionalFormatting sqref="D65:E74">
    <cfRule type="cellIs" dxfId="1932" priority="101" stopIfTrue="1" operator="greaterThan">
      <formula>$F65</formula>
    </cfRule>
  </conditionalFormatting>
  <conditionalFormatting sqref="D74:E74">
    <cfRule type="cellIs" dxfId="1931" priority="102" stopIfTrue="1" operator="lessThanOrEqual">
      <formula>0</formula>
    </cfRule>
  </conditionalFormatting>
  <conditionalFormatting sqref="E10:E24">
    <cfRule type="cellIs" dxfId="1930" priority="21" operator="lessThan">
      <formula>48</formula>
    </cfRule>
  </conditionalFormatting>
  <conditionalFormatting sqref="E52 E53:F53">
    <cfRule type="cellIs" dxfId="1929" priority="138" stopIfTrue="1" operator="greaterThan">
      <formula>100</formula>
    </cfRule>
  </conditionalFormatting>
  <conditionalFormatting sqref="E53">
    <cfRule type="cellIs" dxfId="1928" priority="136" stopIfTrue="1" operator="greaterThan">
      <formula>100</formula>
    </cfRule>
    <cfRule type="cellIs" dxfId="1927" priority="135" stopIfTrue="1" operator="lessThan">
      <formula>96.8</formula>
    </cfRule>
  </conditionalFormatting>
  <conditionalFormatting sqref="E65:E73">
    <cfRule type="cellIs" dxfId="1926" priority="113" stopIfTrue="1" operator="lessThanOrEqual">
      <formula>0</formula>
    </cfRule>
  </conditionalFormatting>
  <conditionalFormatting sqref="E76:E84">
    <cfRule type="cellIs" dxfId="1925" priority="128" stopIfTrue="1" operator="lessThanOrEqual">
      <formula>0</formula>
    </cfRule>
    <cfRule type="cellIs" dxfId="1924" priority="127" stopIfTrue="1" operator="greaterThan">
      <formula>4.5</formula>
    </cfRule>
  </conditionalFormatting>
  <conditionalFormatting sqref="E53:F53 E52">
    <cfRule type="cellIs" dxfId="1923" priority="137" stopIfTrue="1" operator="lessThan">
      <formula>96.5</formula>
    </cfRule>
  </conditionalFormatting>
  <conditionalFormatting sqref="F10:F24">
    <cfRule type="cellIs" dxfId="1922" priority="22" operator="greaterThan">
      <formula>60</formula>
    </cfRule>
  </conditionalFormatting>
  <conditionalFormatting sqref="F53">
    <cfRule type="cellIs" dxfId="1921" priority="154" stopIfTrue="1" operator="greaterThan">
      <formula>100</formula>
    </cfRule>
    <cfRule type="cellIs" dxfId="1920" priority="153" stopIfTrue="1" operator="lessThan">
      <formula>96.8</formula>
    </cfRule>
  </conditionalFormatting>
  <conditionalFormatting sqref="F74">
    <cfRule type="cellIs" dxfId="1919" priority="114" stopIfTrue="1" operator="greaterThan">
      <formula>$F74</formula>
    </cfRule>
    <cfRule type="cellIs" dxfId="1918" priority="115" stopIfTrue="1" operator="lessThanOrEqual">
      <formula>0</formula>
    </cfRule>
  </conditionalFormatting>
  <conditionalFormatting sqref="F79">
    <cfRule type="cellIs" dxfId="1917" priority="72" stopIfTrue="1" operator="lessThanOrEqual">
      <formula>0</formula>
    </cfRule>
    <cfRule type="cellIs" dxfId="1916" priority="71" stopIfTrue="1" operator="greaterThan">
      <formula>$F79</formula>
    </cfRule>
  </conditionalFormatting>
  <conditionalFormatting sqref="G65:G66 C71:C73">
    <cfRule type="cellIs" dxfId="1915" priority="121" stopIfTrue="1" operator="lessThanOrEqual">
      <formula>0</formula>
    </cfRule>
  </conditionalFormatting>
  <conditionalFormatting sqref="G65:G66">
    <cfRule type="cellIs" dxfId="1914" priority="106" stopIfTrue="1" operator="greaterThan">
      <formula>$F65</formula>
    </cfRule>
    <cfRule type="cellIs" dxfId="1913" priority="120" stopIfTrue="1" operator="greaterThan">
      <formula>$F65</formula>
    </cfRule>
    <cfRule type="cellIs" dxfId="1912" priority="107" stopIfTrue="1" operator="lessThanOrEqual">
      <formula>0</formula>
    </cfRule>
  </conditionalFormatting>
  <conditionalFormatting sqref="G67">
    <cfRule type="cellIs" dxfId="1911" priority="157" stopIfTrue="1" operator="greaterThan">
      <formula>$F66</formula>
    </cfRule>
    <cfRule type="cellIs" dxfId="1910" priority="158" stopIfTrue="1" operator="lessThanOrEqual">
      <formula>0</formula>
    </cfRule>
  </conditionalFormatting>
  <conditionalFormatting sqref="G68">
    <cfRule type="cellIs" dxfId="1909" priority="117" stopIfTrue="1" operator="lessThanOrEqual">
      <formula>0</formula>
    </cfRule>
    <cfRule type="cellIs" dxfId="1908" priority="116" stopIfTrue="1" operator="greaterThan">
      <formula>$F68</formula>
    </cfRule>
  </conditionalFormatting>
  <conditionalFormatting sqref="G69:G73">
    <cfRule type="cellIs" dxfId="1907" priority="122" stopIfTrue="1" operator="greaterThan">
      <formula>$J69</formula>
    </cfRule>
    <cfRule type="cellIs" dxfId="1906" priority="123" stopIfTrue="1" operator="lessThanOrEqual">
      <formula>0</formula>
    </cfRule>
  </conditionalFormatting>
  <conditionalFormatting sqref="G78:G83 C81 C83">
    <cfRule type="cellIs" dxfId="1905" priority="151" stopIfTrue="1" operator="lessThanOrEqual">
      <formula>0</formula>
    </cfRule>
    <cfRule type="cellIs" dxfId="1904" priority="150" stopIfTrue="1" operator="greaterThan">
      <formula>4.5</formula>
    </cfRule>
  </conditionalFormatting>
  <conditionalFormatting sqref="G10:H24">
    <cfRule type="expression" dxfId="1903" priority="25">
      <formula>IF(+(IF(G10&lt;#REF!,0,IF(G10&gt;#REF!,0,1)))=0,1)</formula>
    </cfRule>
  </conditionalFormatting>
  <conditionalFormatting sqref="G77:H77">
    <cfRule type="cellIs" dxfId="1902" priority="132" stopIfTrue="1" operator="lessThanOrEqual">
      <formula>0</formula>
    </cfRule>
    <cfRule type="cellIs" dxfId="1901" priority="131" stopIfTrue="1" operator="greaterThan">
      <formula>$F$76</formula>
    </cfRule>
  </conditionalFormatting>
  <conditionalFormatting sqref="H38:H52">
    <cfRule type="cellIs" dxfId="1900" priority="129" stopIfTrue="1" operator="greaterThan">
      <formula>0</formula>
    </cfRule>
  </conditionalFormatting>
  <conditionalFormatting sqref="H56">
    <cfRule type="cellIs" dxfId="1899" priority="30" stopIfTrue="1" operator="lessThanOrEqual">
      <formula>0</formula>
    </cfRule>
    <cfRule type="cellIs" dxfId="1898" priority="42" stopIfTrue="1" operator="lessThanOrEqual">
      <formula>0</formula>
    </cfRule>
    <cfRule type="cellIs" dxfId="1897" priority="41" stopIfTrue="1" operator="greaterThan">
      <formula>$F$21</formula>
    </cfRule>
    <cfRule type="cellIs" dxfId="1896" priority="31" stopIfTrue="1" operator="greaterThan">
      <formula>#REF!</formula>
    </cfRule>
    <cfRule type="cellIs" dxfId="1895" priority="39" stopIfTrue="1" operator="greaterThan">
      <formula>$F$23</formula>
    </cfRule>
    <cfRule type="cellIs" dxfId="1894" priority="40" stopIfTrue="1" operator="lessThanOrEqual">
      <formula>0</formula>
    </cfRule>
  </conditionalFormatting>
  <conditionalFormatting sqref="H57">
    <cfRule type="cellIs" dxfId="1893" priority="70" stopIfTrue="1" operator="lessThanOrEqual">
      <formula>0</formula>
    </cfRule>
    <cfRule type="cellIs" dxfId="1892" priority="67" stopIfTrue="1" operator="greaterThan">
      <formula>$F$25</formula>
    </cfRule>
    <cfRule type="cellIs" dxfId="1891" priority="68" stopIfTrue="1" operator="lessThanOrEqual">
      <formula>0</formula>
    </cfRule>
    <cfRule type="cellIs" dxfId="1890" priority="69" stopIfTrue="1" operator="greaterThan">
      <formula>$F$23</formula>
    </cfRule>
    <cfRule type="cellIs" dxfId="1889" priority="58" stopIfTrue="1" operator="lessThanOrEqual">
      <formula>0</formula>
    </cfRule>
    <cfRule type="cellIs" dxfId="1888" priority="59" stopIfTrue="1" operator="greaterThan">
      <formula>$F$22</formula>
    </cfRule>
  </conditionalFormatting>
  <conditionalFormatting sqref="H58">
    <cfRule type="cellIs" dxfId="1887" priority="13" stopIfTrue="1" operator="greaterThan">
      <formula>$F$21</formula>
    </cfRule>
    <cfRule type="cellIs" dxfId="1886" priority="11" stopIfTrue="1" operator="greaterThan">
      <formula>$F$23</formula>
    </cfRule>
    <cfRule type="cellIs" dxfId="1885" priority="3" stopIfTrue="1" operator="greaterThan">
      <formula>#REF!</formula>
    </cfRule>
    <cfRule type="cellIs" dxfId="1884" priority="2" stopIfTrue="1" operator="lessThanOrEqual">
      <formula>0</formula>
    </cfRule>
    <cfRule type="cellIs" dxfId="1883" priority="14" stopIfTrue="1" operator="lessThanOrEqual">
      <formula>0</formula>
    </cfRule>
    <cfRule type="cellIs" dxfId="1882" priority="12" stopIfTrue="1" operator="lessThanOrEqual">
      <formula>0</formula>
    </cfRule>
  </conditionalFormatting>
  <conditionalFormatting sqref="H59:H60">
    <cfRule type="cellIs" dxfId="1881" priority="45" stopIfTrue="1" operator="greaterThan">
      <formula>$F$21</formula>
    </cfRule>
    <cfRule type="cellIs" dxfId="1880" priority="44" stopIfTrue="1" operator="lessThanOrEqual">
      <formula>0</formula>
    </cfRule>
    <cfRule type="cellIs" dxfId="1879" priority="53" stopIfTrue="1" operator="greaterThan">
      <formula>$F$24</formula>
    </cfRule>
    <cfRule type="cellIs" dxfId="1878" priority="56" stopIfTrue="1" operator="lessThanOrEqual">
      <formula>0</formula>
    </cfRule>
    <cfRule type="cellIs" dxfId="1877" priority="55" stopIfTrue="1" operator="greaterThan">
      <formula>$F$22</formula>
    </cfRule>
    <cfRule type="cellIs" dxfId="1876" priority="54" stopIfTrue="1" operator="lessThanOrEqual">
      <formula>0</formula>
    </cfRule>
  </conditionalFormatting>
  <conditionalFormatting sqref="H61">
    <cfRule type="cellIs" dxfId="1875" priority="75" stopIfTrue="1" operator="lessThanOrEqual">
      <formula>0</formula>
    </cfRule>
    <cfRule type="cellIs" dxfId="1874" priority="76" stopIfTrue="1" operator="greaterThan">
      <formula>$F$37</formula>
    </cfRule>
    <cfRule type="cellIs" dxfId="1873" priority="86" stopIfTrue="1" operator="greaterThan">
      <formula>$F$38</formula>
    </cfRule>
    <cfRule type="cellIs" dxfId="1872" priority="85" stopIfTrue="1" operator="lessThanOrEqual">
      <formula>0</formula>
    </cfRule>
    <cfRule type="cellIs" dxfId="1871" priority="84" stopIfTrue="1" operator="greaterThan">
      <formula>$F$40</formula>
    </cfRule>
    <cfRule type="cellIs" dxfId="1870" priority="87" stopIfTrue="1" operator="lessThanOrEqual">
      <formula>0</formula>
    </cfRule>
  </conditionalFormatting>
  <conditionalFormatting sqref="H65:H72">
    <cfRule type="cellIs" dxfId="1869" priority="108" stopIfTrue="1" operator="greaterThan">
      <formula>$J65</formula>
    </cfRule>
    <cfRule type="cellIs" dxfId="1868" priority="109" stopIfTrue="1" operator="lessThanOrEqual">
      <formula>0</formula>
    </cfRule>
  </conditionalFormatting>
  <conditionalFormatting sqref="H73">
    <cfRule type="cellIs" dxfId="1867" priority="110" operator="greaterThan">
      <formula>5.3</formula>
    </cfRule>
  </conditionalFormatting>
  <conditionalFormatting sqref="H76 H78:H84">
    <cfRule type="cellIs" dxfId="1866" priority="144" stopIfTrue="1" operator="lessThanOrEqual">
      <formula>0</formula>
    </cfRule>
    <cfRule type="cellIs" dxfId="1865" priority="143" stopIfTrue="1" operator="greaterThan">
      <formula>4.5</formula>
    </cfRule>
  </conditionalFormatting>
  <conditionalFormatting sqref="H56:I56">
    <cfRule type="cellIs" dxfId="1864" priority="32" stopIfTrue="1" operator="lessThanOrEqual">
      <formula>0</formula>
    </cfRule>
    <cfRule type="cellIs" dxfId="1863" priority="29" stopIfTrue="1" operator="greaterThan">
      <formula>$F$22</formula>
    </cfRule>
  </conditionalFormatting>
  <conditionalFormatting sqref="H57:I57">
    <cfRule type="cellIs" dxfId="1862" priority="60" stopIfTrue="1" operator="lessThanOrEqual">
      <formula>0</formula>
    </cfRule>
    <cfRule type="cellIs" dxfId="1861" priority="57" stopIfTrue="1" operator="greaterThan">
      <formula>$F$24</formula>
    </cfRule>
  </conditionalFormatting>
  <conditionalFormatting sqref="H58:I58">
    <cfRule type="cellIs" dxfId="1860" priority="1" stopIfTrue="1" operator="greaterThan">
      <formula>$F$22</formula>
    </cfRule>
    <cfRule type="cellIs" dxfId="1859" priority="4" stopIfTrue="1" operator="lessThanOrEqual">
      <formula>0</formula>
    </cfRule>
  </conditionalFormatting>
  <conditionalFormatting sqref="H59:I60">
    <cfRule type="cellIs" dxfId="1858" priority="43" stopIfTrue="1" operator="greaterThan">
      <formula>$F$23</formula>
    </cfRule>
    <cfRule type="cellIs" dxfId="1857" priority="46" stopIfTrue="1" operator="lessThanOrEqual">
      <formula>0</formula>
    </cfRule>
  </conditionalFormatting>
  <conditionalFormatting sqref="H61:I61">
    <cfRule type="cellIs" dxfId="1856" priority="77" stopIfTrue="1" operator="lessThanOrEqual">
      <formula>0</formula>
    </cfRule>
    <cfRule type="cellIs" dxfId="1855" priority="74" stopIfTrue="1" operator="greaterThan">
      <formula>$F$39</formula>
    </cfRule>
  </conditionalFormatting>
  <conditionalFormatting sqref="H74:I74">
    <cfRule type="cellIs" dxfId="1854" priority="100" stopIfTrue="1" operator="lessThanOrEqual">
      <formula>0</formula>
    </cfRule>
    <cfRule type="cellIs" dxfId="1853" priority="99" stopIfTrue="1" operator="greaterThan">
      <formula>$J74</formula>
    </cfRule>
  </conditionalFormatting>
  <conditionalFormatting sqref="I56">
    <cfRule type="cellIs" dxfId="1852" priority="38" stopIfTrue="1" operator="lessThanOrEqual">
      <formula>0</formula>
    </cfRule>
    <cfRule type="cellIs" dxfId="1851" priority="37" stopIfTrue="1" operator="greaterThan">
      <formula>#REF!</formula>
    </cfRule>
    <cfRule type="cellIs" dxfId="1850" priority="36" stopIfTrue="1" operator="lessThanOrEqual">
      <formula>0</formula>
    </cfRule>
    <cfRule type="cellIs" dxfId="1849" priority="35" stopIfTrue="1" operator="greaterThan">
      <formula>$F$22</formula>
    </cfRule>
    <cfRule type="cellIs" dxfId="1848" priority="34" stopIfTrue="1" operator="lessThanOrEqual">
      <formula>0</formula>
    </cfRule>
    <cfRule type="cellIs" dxfId="1847" priority="33" stopIfTrue="1" operator="greaterThan">
      <formula>#REF!</formula>
    </cfRule>
  </conditionalFormatting>
  <conditionalFormatting sqref="I57">
    <cfRule type="cellIs" dxfId="1846" priority="66" stopIfTrue="1" operator="lessThanOrEqual">
      <formula>0</formula>
    </cfRule>
    <cfRule type="cellIs" dxfId="1845" priority="65" stopIfTrue="1" operator="greaterThan">
      <formula>$F$22</formula>
    </cfRule>
    <cfRule type="cellIs" dxfId="1844" priority="64" stopIfTrue="1" operator="lessThanOrEqual">
      <formula>0</formula>
    </cfRule>
    <cfRule type="cellIs" dxfId="1843" priority="63" stopIfTrue="1" operator="greaterThan">
      <formula>$F$24</formula>
    </cfRule>
    <cfRule type="cellIs" dxfId="1842" priority="62" stopIfTrue="1" operator="lessThanOrEqual">
      <formula>0</formula>
    </cfRule>
    <cfRule type="cellIs" dxfId="1841" priority="61" stopIfTrue="1" operator="greaterThan">
      <formula>$F$22</formula>
    </cfRule>
  </conditionalFormatting>
  <conditionalFormatting sqref="I58">
    <cfRule type="cellIs" dxfId="1840" priority="9" stopIfTrue="1" operator="greaterThan">
      <formula>#REF!</formula>
    </cfRule>
    <cfRule type="cellIs" dxfId="1839" priority="5" stopIfTrue="1" operator="greaterThan">
      <formula>#REF!</formula>
    </cfRule>
    <cfRule type="cellIs" dxfId="1838" priority="6" stopIfTrue="1" operator="lessThanOrEqual">
      <formula>0</formula>
    </cfRule>
    <cfRule type="cellIs" dxfId="1837" priority="7" stopIfTrue="1" operator="greaterThan">
      <formula>$F$22</formula>
    </cfRule>
    <cfRule type="cellIs" dxfId="1836" priority="8" stopIfTrue="1" operator="lessThanOrEqual">
      <formula>0</formula>
    </cfRule>
    <cfRule type="cellIs" dxfId="1835" priority="10" stopIfTrue="1" operator="lessThanOrEqual">
      <formula>0</formula>
    </cfRule>
  </conditionalFormatting>
  <conditionalFormatting sqref="I59:I60">
    <cfRule type="cellIs" dxfId="1834" priority="49" stopIfTrue="1" operator="greaterThan">
      <formula>$F$23</formula>
    </cfRule>
    <cfRule type="cellIs" dxfId="1833" priority="48" stopIfTrue="1" operator="lessThanOrEqual">
      <formula>0</formula>
    </cfRule>
    <cfRule type="cellIs" dxfId="1832" priority="47" stopIfTrue="1" operator="greaterThan">
      <formula>$F$21</formula>
    </cfRule>
    <cfRule type="cellIs" dxfId="1831" priority="51" stopIfTrue="1" operator="greaterThan">
      <formula>$F$21</formula>
    </cfRule>
    <cfRule type="cellIs" dxfId="1830" priority="52" stopIfTrue="1" operator="lessThanOrEqual">
      <formula>0</formula>
    </cfRule>
    <cfRule type="cellIs" dxfId="1829" priority="50" stopIfTrue="1" operator="lessThanOrEqual">
      <formula>0</formula>
    </cfRule>
  </conditionalFormatting>
  <conditionalFormatting sqref="I61">
    <cfRule type="cellIs" dxfId="1828" priority="80" stopIfTrue="1" operator="greaterThan">
      <formula>$F$39</formula>
    </cfRule>
    <cfRule type="cellIs" dxfId="1827" priority="78" stopIfTrue="1" operator="greaterThan">
      <formula>$F$37</formula>
    </cfRule>
    <cfRule type="cellIs" dxfId="1826" priority="79" stopIfTrue="1" operator="lessThanOrEqual">
      <formula>0</formula>
    </cfRule>
    <cfRule type="cellIs" dxfId="1825" priority="83" stopIfTrue="1" operator="lessThanOrEqual">
      <formula>0</formula>
    </cfRule>
    <cfRule type="cellIs" dxfId="1824" priority="82" stopIfTrue="1" operator="greaterThan">
      <formula>$F$37</formula>
    </cfRule>
    <cfRule type="cellIs" dxfId="1823" priority="81" stopIfTrue="1" operator="lessThanOrEqual">
      <formula>0</formula>
    </cfRule>
  </conditionalFormatting>
  <conditionalFormatting sqref="I65:I73">
    <cfRule type="cellIs" dxfId="1822" priority="112" stopIfTrue="1" operator="lessThanOrEqual">
      <formula>0</formula>
    </cfRule>
    <cfRule type="cellIs" dxfId="1821" priority="111" stopIfTrue="1" operator="greaterThan">
      <formula>$J65</formula>
    </cfRule>
  </conditionalFormatting>
  <conditionalFormatting sqref="I76:I84">
    <cfRule type="cellIs" dxfId="1820" priority="140" stopIfTrue="1" operator="lessThanOrEqual">
      <formula>0</formula>
    </cfRule>
    <cfRule type="cellIs" dxfId="1819" priority="139" stopIfTrue="1" operator="greaterThan">
      <formula>4.5</formula>
    </cfRule>
  </conditionalFormatting>
  <conditionalFormatting sqref="I10:J24">
    <cfRule type="cellIs" dxfId="1818" priority="23" operator="lessThan">
      <formula>97.9</formula>
    </cfRule>
  </conditionalFormatting>
  <conditionalFormatting sqref="J27:J29">
    <cfRule type="cellIs" dxfId="1817" priority="91" operator="lessThan">
      <formula>98</formula>
    </cfRule>
    <cfRule type="cellIs" dxfId="1816" priority="90" stopIfTrue="1" operator="greaterThan">
      <formula>100</formula>
    </cfRule>
    <cfRule type="cellIs" dxfId="1815" priority="89" stopIfTrue="1" operator="lessThan">
      <formula>96.8</formula>
    </cfRule>
  </conditionalFormatting>
  <conditionalFormatting sqref="J27:J31">
    <cfRule type="cellIs" dxfId="1814" priority="88" operator="lessThan">
      <formula>97.4</formula>
    </cfRule>
  </conditionalFormatting>
  <conditionalFormatting sqref="J32">
    <cfRule type="cellIs" dxfId="1813" priority="92" operator="lessThan">
      <formula>98</formula>
    </cfRule>
  </conditionalFormatting>
  <conditionalFormatting sqref="J34:J35">
    <cfRule type="cellIs" dxfId="1812" priority="93" stopIfTrue="1" operator="lessThan">
      <formula>96.8</formula>
    </cfRule>
    <cfRule type="cellIs" dxfId="1811" priority="94" stopIfTrue="1" operator="greaterThan">
      <formula>100</formula>
    </cfRule>
  </conditionalFormatting>
  <conditionalFormatting sqref="J34:J36">
    <cfRule type="cellIs" dxfId="1810" priority="95" operator="lessThan">
      <formula>98</formula>
    </cfRule>
  </conditionalFormatting>
  <conditionalFormatting sqref="J74">
    <cfRule type="cellIs" dxfId="1809" priority="97" stopIfTrue="1" operator="lessThanOrEqual">
      <formula>0</formula>
    </cfRule>
    <cfRule type="cellIs" dxfId="1808" priority="96" stopIfTrue="1" operator="greaterThan">
      <formula>$F74</formula>
    </cfRule>
  </conditionalFormatting>
  <conditionalFormatting sqref="K10:K24">
    <cfRule type="cellIs" dxfId="1807" priority="20" operator="greaterThan">
      <formula>6.4</formula>
    </cfRule>
    <cfRule type="cellIs" dxfId="1806" priority="18" operator="greaterThan">
      <formula>6</formula>
    </cfRule>
    <cfRule type="cellIs" dxfId="1805" priority="19" operator="lessThan">
      <formula>4</formula>
    </cfRule>
  </conditionalFormatting>
  <conditionalFormatting sqref="K56:K61 K65:N71 K72 M72:N72 K73:N73">
    <cfRule type="cellIs" dxfId="1804" priority="73" stopIfTrue="1" operator="lessThan">
      <formula>100%</formula>
    </cfRule>
  </conditionalFormatting>
  <conditionalFormatting sqref="K76:K81">
    <cfRule type="cellIs" dxfId="1803" priority="145" stopIfTrue="1" operator="lessThan">
      <formula>100%</formula>
    </cfRule>
  </conditionalFormatting>
  <conditionalFormatting sqref="K83:K84">
    <cfRule type="cellIs" dxfId="1802" priority="152" stopIfTrue="1" operator="lessThan">
      <formula>100%</formula>
    </cfRule>
  </conditionalFormatting>
  <conditionalFormatting sqref="L10:L24">
    <cfRule type="cellIs" dxfId="1801" priority="26" operator="between">
      <formula>61</formula>
      <formula>65</formula>
    </cfRule>
    <cfRule type="cellIs" dxfId="1800" priority="27" operator="greaterThan">
      <formula>65</formula>
    </cfRule>
  </conditionalFormatting>
  <conditionalFormatting sqref="L27:M38">
    <cfRule type="cellIs" dxfId="1799" priority="103" operator="lessThan">
      <formula>98</formula>
    </cfRule>
  </conditionalFormatting>
  <conditionalFormatting sqref="L42:N42">
    <cfRule type="cellIs" dxfId="1798" priority="28" operator="notEqual">
      <formula>#REF!</formula>
    </cfRule>
  </conditionalFormatting>
  <conditionalFormatting sqref="L74:N74">
    <cfRule type="cellIs" dxfId="1797" priority="98" stopIfTrue="1" operator="lessThan">
      <formula>100%</formula>
    </cfRule>
  </conditionalFormatting>
  <conditionalFormatting sqref="L76:N84">
    <cfRule type="cellIs" dxfId="1796" priority="130" stopIfTrue="1" operator="lessThan">
      <formula>100%</formula>
    </cfRule>
  </conditionalFormatting>
  <conditionalFormatting sqref="M10:M24">
    <cfRule type="expression" dxfId="1795" priority="24">
      <formula>IF(+(IF(M10&lt;U10,0,IF(M10&gt;V10,0,1)))=0,1)</formula>
    </cfRule>
  </conditionalFormatting>
  <conditionalFormatting sqref="N10:N24">
    <cfRule type="expression" dxfId="1794" priority="17">
      <formula>IF(+(IF(N10&lt;W10,0,IF(N10&gt;X10,0,1)))=0,1)</formula>
    </cfRule>
  </conditionalFormatting>
  <conditionalFormatting sqref="P6">
    <cfRule type="cellIs" dxfId="1793" priority="126" operator="greaterThanOrEqual">
      <formula>19</formula>
    </cfRule>
  </conditionalFormatting>
  <dataValidations count="1">
    <dataValidation type="list" allowBlank="1" showInputMessage="1" showErrorMessage="1" sqref="R8" xr:uid="{5D40275F-908B-4A25-926D-ED4D4FD0721A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4B2F-40F7-4BFF-83ED-A044759F38F5}">
  <sheetPr>
    <pageSetUpPr fitToPage="1"/>
  </sheetPr>
  <dimension ref="A1:BE85"/>
  <sheetViews>
    <sheetView topLeftCell="A4" zoomScale="90" zoomScaleNormal="90" workbookViewId="0">
      <selection activeCell="C25" sqref="C2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45887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[22]Brewhouse!$A336</f>
        <v>ST315</v>
      </c>
      <c r="D10" s="279">
        <f>[22]Brewhouse!$AD336</f>
        <v>47.7</v>
      </c>
      <c r="E10" s="279">
        <f>[22]Brewhouse!$AG336</f>
        <v>47.3</v>
      </c>
      <c r="F10" s="278">
        <f>[22]Brewhouse!$V336</f>
        <v>60</v>
      </c>
      <c r="G10" s="279">
        <f>[22]Brewhouse!$AE336</f>
        <v>11.8</v>
      </c>
      <c r="H10" s="396">
        <v>11.8</v>
      </c>
      <c r="I10" s="422">
        <f>[22]Brewhouse!$AS336</f>
        <v>92.564718768769609</v>
      </c>
      <c r="J10" s="422">
        <f>[22]Brewhouse!$AT336</f>
        <v>93.898582156859476</v>
      </c>
      <c r="K10" s="281">
        <f>[22]Brewhouse!$Q336</f>
        <v>11.695906432748524</v>
      </c>
      <c r="L10" s="276">
        <f>[22]Brewhouse!$P336</f>
        <v>60</v>
      </c>
      <c r="M10" s="374">
        <f>[22]Brewhouse!$U336-[22]Brewhouse!$T336</f>
        <v>0.11388888888888893</v>
      </c>
      <c r="N10" s="370">
        <f>[22]Brewhouse!$AW336</f>
        <v>0.24375000000000013</v>
      </c>
      <c r="O10" s="423" t="str">
        <f>[22]Brewhouse!$AV336</f>
        <v>D. Gomaz</v>
      </c>
      <c r="P10" s="418"/>
      <c r="R10" s="277" t="str">
        <f t="shared" ref="R10:R12" si="0">B10</f>
        <v>STAG</v>
      </c>
      <c r="S10" s="296">
        <f t="shared" ref="S10:S21" si="1">VLOOKUP($B10,$R$3:$X$9,2,FALSE)</f>
        <v>11.6</v>
      </c>
      <c r="T10" s="296">
        <f t="shared" ref="T10:T21" si="2">VLOOKUP($B10,$R$3:$X$9,3,FALSE)</f>
        <v>12</v>
      </c>
      <c r="U10" s="297">
        <f t="shared" ref="U10:U21" si="3">VLOOKUP($B10,$R$3:$X$9,4,FALSE)</f>
        <v>0</v>
      </c>
      <c r="V10" s="297">
        <f t="shared" ref="V10:V21" si="4">VLOOKUP($B10,$R$3:$X$9,5,FALSE)</f>
        <v>0.118055555555556</v>
      </c>
      <c r="W10" s="297">
        <f t="shared" ref="W10:W21" si="5">VLOOKUP($B10,$R$3:$X$9,6,FALSE)</f>
        <v>0.22569444444444445</v>
      </c>
      <c r="X10" s="297">
        <f t="shared" ref="X10:X21" si="6">VLOOKUP($B10,$R$3:$X$9,7,FALSE)</f>
        <v>0.2638888888888889</v>
      </c>
      <c r="Y10" s="297">
        <f t="shared" ref="Y10:Y21" si="7">VLOOKUP($B10,$R$3:$Z$9,8,FALSE)</f>
        <v>0</v>
      </c>
      <c r="Z10" s="296">
        <f t="shared" ref="Z10:Z21" si="8">VLOOKUP($B10,$R$3:$Z$9,9,FALSE)</f>
        <v>60</v>
      </c>
    </row>
    <row r="11" spans="2:29" ht="15.75" customHeight="1">
      <c r="B11" s="33" t="s">
        <v>9</v>
      </c>
      <c r="C11" s="366" t="str">
        <f>[22]Brewhouse!$A337</f>
        <v>ST316</v>
      </c>
      <c r="D11" s="279">
        <f>[22]Brewhouse!$AD337</f>
        <v>52.4</v>
      </c>
      <c r="E11" s="279">
        <f>[22]Brewhouse!$AG337</f>
        <v>48.9</v>
      </c>
      <c r="F11" s="278">
        <f>[22]Brewhouse!$V337</f>
        <v>62</v>
      </c>
      <c r="G11" s="279">
        <f>[22]Brewhouse!$AE337</f>
        <v>12.2</v>
      </c>
      <c r="H11" s="396">
        <v>11.7</v>
      </c>
      <c r="I11" s="422">
        <f>[22]Brewhouse!$AS337</f>
        <v>98.984174791371231</v>
      </c>
      <c r="J11" s="422">
        <f>[22]Brewhouse!$AT337</f>
        <v>100.41100673609904</v>
      </c>
      <c r="K11" s="281">
        <f>[22]Brewhouse!$Q337</f>
        <v>9.1603053435114443</v>
      </c>
      <c r="L11" s="276">
        <f>[22]Brewhouse!$P337</f>
        <v>62</v>
      </c>
      <c r="M11" s="374">
        <f>[22]Brewhouse!$U337-[22]Brewhouse!$T337</f>
        <v>0.11458333333333334</v>
      </c>
      <c r="N11" s="370">
        <f>[22]Brewhouse!$AW337</f>
        <v>0.24375000000000002</v>
      </c>
      <c r="O11" s="423" t="str">
        <f>[22]Brewhouse!$AV337</f>
        <v>D. Gomaz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[22]Brewhouse!$A338</f>
        <v>ST317</v>
      </c>
      <c r="D12" s="279">
        <f>[22]Brewhouse!$AD338</f>
        <v>54.1</v>
      </c>
      <c r="E12" s="279">
        <f>[22]Brewhouse!$AG338</f>
        <v>48.8</v>
      </c>
      <c r="F12" s="278">
        <f>[22]Brewhouse!$V338</f>
        <v>56</v>
      </c>
      <c r="G12" s="279">
        <f>[22]Brewhouse!$AE338</f>
        <v>12</v>
      </c>
      <c r="H12" s="396">
        <v>11.9</v>
      </c>
      <c r="I12" s="422">
        <f>[22]Brewhouse!$AS338</f>
        <v>97.202771278717563</v>
      </c>
      <c r="J12" s="422">
        <f>[22]Brewhouse!$AT338</f>
        <v>98.603469293621487</v>
      </c>
      <c r="K12" s="281">
        <f>[22]Brewhouse!$Q338</f>
        <v>14.048059149722739</v>
      </c>
      <c r="L12" s="276">
        <f>[22]Brewhouse!$P338</f>
        <v>60</v>
      </c>
      <c r="M12" s="374">
        <f>[22]Brewhouse!$U338-[22]Brewhouse!$T338</f>
        <v>0.11458333333333337</v>
      </c>
      <c r="N12" s="370">
        <f>[22]Brewhouse!$AW338</f>
        <v>0.25416666666666665</v>
      </c>
      <c r="O12" s="423" t="str">
        <f>[22]Brewhouse!$AV338</f>
        <v>R. Regis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[22]Brewhouse!$A339</f>
        <v>ST318</v>
      </c>
      <c r="D13" s="279">
        <f>[22]Brewhouse!$AD339</f>
        <v>54.1</v>
      </c>
      <c r="E13" s="279">
        <f>[22]Brewhouse!$AG339</f>
        <v>50.7</v>
      </c>
      <c r="F13" s="278">
        <f>[22]Brewhouse!$V339</f>
        <v>60</v>
      </c>
      <c r="G13" s="279">
        <f>[22]Brewhouse!$AE339</f>
        <v>11.7</v>
      </c>
      <c r="H13" s="396">
        <v>11.8</v>
      </c>
      <c r="I13" s="422">
        <f>[22]Brewhouse!$AS339</f>
        <v>98.457184785796485</v>
      </c>
      <c r="J13" s="422">
        <f>[22]Brewhouse!$AT339</f>
        <v>99.875496501512245</v>
      </c>
      <c r="K13" s="281">
        <f>[22]Brewhouse!$Q339</f>
        <v>12.569316081330864</v>
      </c>
      <c r="L13" s="276">
        <f>[22]Brewhouse!$P339</f>
        <v>60</v>
      </c>
      <c r="M13" s="374">
        <f>[22]Brewhouse!$U339-[22]Brewhouse!$T339</f>
        <v>0.11805555555555558</v>
      </c>
      <c r="N13" s="370">
        <f>[22]Brewhouse!$AW339</f>
        <v>0.26527777777777778</v>
      </c>
      <c r="O13" s="423" t="str">
        <f>[22]Brewhouse!$AV339</f>
        <v>R. Regis</v>
      </c>
      <c r="P13" s="418"/>
      <c r="R13" s="277" t="str">
        <f t="shared" ref="R13:R32" si="9">B13</f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[22]Brewhouse!$A340</f>
        <v>ST319</v>
      </c>
      <c r="D14" s="279">
        <f>[22]Brewhouse!$AD340</f>
        <v>53</v>
      </c>
      <c r="E14" s="279">
        <f>[22]Brewhouse!$AG340</f>
        <v>50.5</v>
      </c>
      <c r="F14" s="278">
        <f>[22]Brewhouse!$V340</f>
        <v>64</v>
      </c>
      <c r="G14" s="279">
        <f>[22]Brewhouse!$AE340</f>
        <v>11.7</v>
      </c>
      <c r="H14" s="396">
        <v>11.7</v>
      </c>
      <c r="I14" s="422">
        <f>[22]Brewhouse!$AS340</f>
        <v>97.823655817296242</v>
      </c>
      <c r="J14" s="422">
        <f>[22]Brewhouse!$AT340</f>
        <v>99.233759173356589</v>
      </c>
      <c r="K14" s="281">
        <f>[22]Brewhouse!$Q340</f>
        <v>12.641509433962256</v>
      </c>
      <c r="L14" s="276">
        <f>[22]Brewhouse!$P340</f>
        <v>60</v>
      </c>
      <c r="M14" s="374">
        <f>[22]Brewhouse!$U340-[22]Brewhouse!$T340</f>
        <v>0.12013888888888891</v>
      </c>
      <c r="N14" s="370">
        <f>[22]Brewhouse!$AW340</f>
        <v>0.25694444444444448</v>
      </c>
      <c r="O14" s="423" t="str">
        <f>[22]Brewhouse!$AV340</f>
        <v>R. Regis</v>
      </c>
      <c r="P14" s="418"/>
      <c r="R14" s="277" t="str">
        <f t="shared" ref="R14:R28" si="10">B14</f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[22]Brewhouse!$A341</f>
        <v>ST320</v>
      </c>
      <c r="D15" s="279">
        <f>[22]Brewhouse!$AD341</f>
        <v>53.7</v>
      </c>
      <c r="E15" s="279">
        <f>[22]Brewhouse!$AG341</f>
        <v>49.5</v>
      </c>
      <c r="F15" s="278">
        <f>[22]Brewhouse!$V341</f>
        <v>61</v>
      </c>
      <c r="G15" s="279">
        <f>[22]Brewhouse!$AE341</f>
        <v>11.9</v>
      </c>
      <c r="H15" s="396">
        <v>11.9</v>
      </c>
      <c r="I15" s="422">
        <f>[22]Brewhouse!$AS341</f>
        <v>97.733563925602468</v>
      </c>
      <c r="J15" s="422">
        <f>[22]Brewhouse!$AT341</f>
        <v>99.141910695753126</v>
      </c>
      <c r="K15" s="281">
        <f>[22]Brewhouse!$Q341</f>
        <v>13.221601489757917</v>
      </c>
      <c r="L15" s="276">
        <f>[22]Brewhouse!$P341</f>
        <v>61</v>
      </c>
      <c r="M15" s="374">
        <f>[22]Brewhouse!$U341-[22]Brewhouse!$T341</f>
        <v>0.12152777777777779</v>
      </c>
      <c r="N15" s="370">
        <f>[22]Brewhouse!$AW341</f>
        <v>0.25555555555555559</v>
      </c>
      <c r="O15" s="423" t="str">
        <f>[22]Brewhouse!$AV341</f>
        <v>R. Regis</v>
      </c>
      <c r="P15" s="418"/>
      <c r="R15" s="277" t="str">
        <f t="shared" si="1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[22]Brewhouse!$A342</f>
        <v>ST321</v>
      </c>
      <c r="D16" s="279">
        <f>[22]Brewhouse!$AD342</f>
        <v>53.1</v>
      </c>
      <c r="E16" s="279">
        <f>[22]Brewhouse!$AG342</f>
        <v>49.9</v>
      </c>
      <c r="F16" s="278">
        <f>[22]Brewhouse!$V342</f>
        <v>57</v>
      </c>
      <c r="G16" s="279">
        <f>[22]Brewhouse!$AE342</f>
        <v>11.9</v>
      </c>
      <c r="H16" s="396">
        <v>11.9</v>
      </c>
      <c r="I16" s="422">
        <f>[22]Brewhouse!$AS342</f>
        <v>98.523330098738654</v>
      </c>
      <c r="J16" s="422">
        <f>[22]Brewhouse!$AT342</f>
        <v>99.943057448850141</v>
      </c>
      <c r="K16" s="281">
        <f>[22]Brewhouse!$Q342</f>
        <v>8.851224105461398</v>
      </c>
      <c r="L16" s="276">
        <f>[22]Brewhouse!$P342</f>
        <v>57</v>
      </c>
      <c r="M16" s="374">
        <f>[22]Brewhouse!$U342-[22]Brewhouse!$T342</f>
        <v>0.10763888888888895</v>
      </c>
      <c r="N16" s="370">
        <f>[22]Brewhouse!$AW342</f>
        <v>0.24791666666666667</v>
      </c>
      <c r="O16" s="423" t="str">
        <f>[22]Brewhouse!$AV342</f>
        <v>R.Sookram</v>
      </c>
      <c r="P16" s="418"/>
      <c r="R16" s="277" t="str">
        <f t="shared" ref="R16:R21" si="11">B16</f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33" t="s">
        <v>9</v>
      </c>
      <c r="C17" s="366" t="str">
        <f>[22]Brewhouse!$A343</f>
        <v>ST322</v>
      </c>
      <c r="D17" s="279">
        <f>[22]Brewhouse!$AD343</f>
        <v>53</v>
      </c>
      <c r="E17" s="279">
        <f>[22]Brewhouse!$AG343</f>
        <v>50.6</v>
      </c>
      <c r="F17" s="278">
        <f>[22]Brewhouse!$V343</f>
        <v>58</v>
      </c>
      <c r="G17" s="279">
        <f>[22]Brewhouse!$AE343</f>
        <v>11.8</v>
      </c>
      <c r="H17" s="396">
        <v>11.8</v>
      </c>
      <c r="I17" s="422">
        <f>[22]Brewhouse!$AS343</f>
        <v>99.02272240380006</v>
      </c>
      <c r="J17" s="422">
        <f>[22]Brewhouse!$AT343</f>
        <v>100.44964602826829</v>
      </c>
      <c r="K17" s="281">
        <f>[22]Brewhouse!$Q343</f>
        <v>9.9999999999999947</v>
      </c>
      <c r="L17" s="276">
        <f>[22]Brewhouse!$P343</f>
        <v>56</v>
      </c>
      <c r="M17" s="374">
        <f>[22]Brewhouse!$U343-[22]Brewhouse!$T343</f>
        <v>0.10972222222222228</v>
      </c>
      <c r="N17" s="370">
        <f>[22]Brewhouse!$AW343</f>
        <v>0.24652777777777779</v>
      </c>
      <c r="O17" s="423" t="str">
        <f>[22]Brewhouse!$AV343</f>
        <v>R.Sookram</v>
      </c>
      <c r="P17" s="418"/>
      <c r="R17" s="277" t="str">
        <f t="shared" si="11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33"/>
      <c r="C18" s="366"/>
      <c r="D18" s="279"/>
      <c r="E18" s="279"/>
      <c r="F18" s="278"/>
      <c r="G18" s="463"/>
      <c r="H18" s="471"/>
      <c r="I18" s="422"/>
      <c r="J18" s="422"/>
      <c r="K18" s="281"/>
      <c r="L18" s="276"/>
      <c r="M18" s="374"/>
      <c r="N18" s="370"/>
      <c r="O18" s="423"/>
      <c r="P18" s="418"/>
      <c r="R18" s="277">
        <f t="shared" si="11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 t="s">
        <v>6</v>
      </c>
      <c r="C19" s="366" t="str">
        <f>[24]Brewhouse!$A692</f>
        <v>CA584</v>
      </c>
      <c r="D19" s="279">
        <f>[24]Brewhouse!$AF692</f>
        <v>50.4</v>
      </c>
      <c r="E19" s="279">
        <f>[24]Brewhouse!$AI692</f>
        <v>48.5</v>
      </c>
      <c r="F19" s="278">
        <f>[24]Brewhouse!$V692</f>
        <v>58</v>
      </c>
      <c r="G19" s="279">
        <f>[24]Brewhouse!AG692</f>
        <v>12.1</v>
      </c>
      <c r="H19" s="471">
        <v>12.1</v>
      </c>
      <c r="I19" s="368">
        <f>[24]Brewhouse!$AU692</f>
        <v>92.680701282459751</v>
      </c>
      <c r="J19" s="368">
        <f>[24]Brewhouse!$AV692</f>
        <v>94.232005999786068</v>
      </c>
      <c r="K19" s="281">
        <f>[24]Brewhouse!$Q692</f>
        <v>10.807899461400364</v>
      </c>
      <c r="L19" s="276">
        <f>[24]Brewhouse!$P692</f>
        <v>59</v>
      </c>
      <c r="M19" s="397">
        <f>[24]Brewhouse!$U692-[24]Brewhouse!$T692</f>
        <v>0.11319444444444438</v>
      </c>
      <c r="N19" s="370">
        <f>[24]Brewhouse!$Z692</f>
        <v>0.24652777777777768</v>
      </c>
      <c r="O19" s="371" t="str">
        <f>[24]Brewhouse!$AX692</f>
        <v>D. Gomez</v>
      </c>
      <c r="P19" s="418"/>
      <c r="R19" s="277" t="str">
        <f t="shared" si="11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/>
      <c r="C20" s="366"/>
      <c r="D20" s="279"/>
      <c r="E20" s="279"/>
      <c r="F20" s="278"/>
      <c r="G20" s="279"/>
      <c r="H20" s="471"/>
      <c r="I20" s="368"/>
      <c r="J20" s="368"/>
      <c r="K20" s="281"/>
      <c r="L20" s="276"/>
      <c r="M20" s="397"/>
      <c r="N20" s="370"/>
      <c r="O20" s="371"/>
      <c r="P20" s="418"/>
      <c r="R20" s="277">
        <f t="shared" si="11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34" t="s">
        <v>12</v>
      </c>
      <c r="C21" s="366" t="str">
        <f>[25]Brewhouse!$A81</f>
        <v>GU072</v>
      </c>
      <c r="D21" s="279">
        <f>[25]Brewhouse!$AF81</f>
        <v>52.8</v>
      </c>
      <c r="E21" s="279">
        <f>[25]Brewhouse!$AI81</f>
        <v>50.6</v>
      </c>
      <c r="F21" s="278">
        <f>[25]Brewhouse!$V81</f>
        <v>62</v>
      </c>
      <c r="G21" s="279">
        <f>[25]Brewhouse!$AG81</f>
        <v>17.600000000000001</v>
      </c>
      <c r="H21" s="396">
        <v>17.399999999999999</v>
      </c>
      <c r="I21" s="422">
        <f>[25]Brewhouse!$AU81</f>
        <v>96.452079426676278</v>
      </c>
      <c r="J21" s="422">
        <f>[25]Brewhouse!$AV81</f>
        <v>97.890229501463267</v>
      </c>
      <c r="K21" s="476">
        <f>[25]Brewhouse!$R81</f>
        <v>9.1036906854130049</v>
      </c>
      <c r="L21" s="276">
        <f>[25]Brewhouse!$O81</f>
        <v>60</v>
      </c>
      <c r="M21" s="374">
        <f>[25]Brewhouse!$U81-[25]Brewhouse!$T81</f>
        <v>0.11250000000000004</v>
      </c>
      <c r="N21" s="370">
        <f>[25]Brewhouse!$Z81</f>
        <v>0.26111111111111118</v>
      </c>
      <c r="O21" s="423" t="str">
        <f>[25]Brewhouse!$AW81</f>
        <v>D. Gomaz</v>
      </c>
      <c r="P21" s="418"/>
      <c r="R21" s="277" t="str">
        <f t="shared" si="11"/>
        <v>GUINNESS</v>
      </c>
      <c r="S21" s="296">
        <f t="shared" si="1"/>
        <v>17</v>
      </c>
      <c r="T21" s="296">
        <f t="shared" si="2"/>
        <v>17.5</v>
      </c>
      <c r="U21" s="297">
        <f t="shared" si="3"/>
        <v>0</v>
      </c>
      <c r="V21" s="297">
        <f t="shared" si="4"/>
        <v>0.1076388888888889</v>
      </c>
      <c r="W21" s="297">
        <f t="shared" si="5"/>
        <v>0.24652777777777779</v>
      </c>
      <c r="X21" s="297">
        <f t="shared" si="6"/>
        <v>0.28472222222222221</v>
      </c>
      <c r="Y21" s="297">
        <f t="shared" si="7"/>
        <v>0</v>
      </c>
      <c r="Z21" s="296">
        <f t="shared" si="8"/>
        <v>60</v>
      </c>
    </row>
    <row r="22" spans="2:26" ht="15.75" customHeight="1">
      <c r="B22" s="477">
        <v>45885</v>
      </c>
      <c r="C22" s="366"/>
      <c r="D22" s="279"/>
      <c r="E22" s="279"/>
      <c r="F22" s="278"/>
      <c r="G22" s="279"/>
      <c r="H22" s="396"/>
      <c r="I22" s="422"/>
      <c r="J22" s="422"/>
      <c r="K22" s="476"/>
      <c r="L22" s="276"/>
      <c r="M22" s="374"/>
      <c r="N22" s="370"/>
      <c r="O22" s="423"/>
      <c r="P22" s="418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customHeight="1">
      <c r="B23" s="34" t="s">
        <v>12</v>
      </c>
      <c r="C23" s="366" t="str">
        <f>[25]Brewhouse!$A82</f>
        <v>GU073</v>
      </c>
      <c r="D23" s="279">
        <f>[25]Brewhouse!$AF82</f>
        <v>54</v>
      </c>
      <c r="E23" s="279">
        <f>[25]Brewhouse!$AI82</f>
        <v>51.7</v>
      </c>
      <c r="F23" s="278">
        <f>[25]Brewhouse!$V82</f>
        <v>65</v>
      </c>
      <c r="G23" s="279">
        <f>[25]Brewhouse!$AG82</f>
        <v>17.2</v>
      </c>
      <c r="H23" s="396">
        <v>17.100000000000001</v>
      </c>
      <c r="I23" s="422">
        <f>[25]Brewhouse!$AU82</f>
        <v>96.065985252726961</v>
      </c>
      <c r="J23" s="422">
        <f>[25]Brewhouse!$AV82</f>
        <v>97.498627677311788</v>
      </c>
      <c r="K23" s="476">
        <f>[25]Brewhouse!$R82</f>
        <v>7.9652173913043454</v>
      </c>
      <c r="L23" s="276">
        <f>[25]Brewhouse!$O82</f>
        <v>63</v>
      </c>
      <c r="M23" s="374">
        <f>[25]Brewhouse!$U82-[25]Brewhouse!$T82</f>
        <v>0.11319444444444443</v>
      </c>
      <c r="N23" s="370">
        <f>[25]Brewhouse!$Z82</f>
        <v>0.2631944444444444</v>
      </c>
      <c r="O23" s="423" t="str">
        <f>[25]Brewhouse!$AW82</f>
        <v>D. Gomaz</v>
      </c>
      <c r="P23" s="418"/>
      <c r="R23" s="277" t="str">
        <f t="shared" si="10"/>
        <v>GUINNESS</v>
      </c>
      <c r="S23" s="296">
        <f t="shared" ref="S23:S32" si="12">VLOOKUP($B23,$R$3:$X$9,2,FALSE)</f>
        <v>17</v>
      </c>
      <c r="T23" s="296">
        <f t="shared" ref="T23:T32" si="13">VLOOKUP($B23,$R$3:$X$9,3,FALSE)</f>
        <v>17.5</v>
      </c>
      <c r="U23" s="297">
        <f t="shared" ref="U23:U32" si="14">VLOOKUP($B23,$R$3:$X$9,4,FALSE)</f>
        <v>0</v>
      </c>
      <c r="V23" s="297">
        <f t="shared" ref="V23:V32" si="15">VLOOKUP($B23,$R$3:$X$9,5,FALSE)</f>
        <v>0.1076388888888889</v>
      </c>
      <c r="W23" s="297">
        <f t="shared" ref="W23:W32" si="16">VLOOKUP($B23,$R$3:$X$9,6,FALSE)</f>
        <v>0.24652777777777779</v>
      </c>
      <c r="X23" s="297">
        <f t="shared" ref="X23:X32" si="17">VLOOKUP($B23,$R$3:$X$9,7,FALSE)</f>
        <v>0.28472222222222221</v>
      </c>
      <c r="Y23" s="297">
        <f t="shared" ref="Y23:Y32" si="18">VLOOKUP($B23,$R$3:$Z$9,8,FALSE)</f>
        <v>0</v>
      </c>
      <c r="Z23" s="296">
        <f t="shared" ref="Z23:Z32" si="19">VLOOKUP($B23,$R$3:$Z$9,9,FALSE)</f>
        <v>60</v>
      </c>
    </row>
    <row r="24" spans="2:26" ht="15.75" customHeight="1">
      <c r="B24" s="34" t="s">
        <v>12</v>
      </c>
      <c r="C24" s="366" t="str">
        <f>[25]Brewhouse!$A83</f>
        <v>GU074</v>
      </c>
      <c r="D24" s="279">
        <f>[25]Brewhouse!$AF83</f>
        <v>53.8</v>
      </c>
      <c r="E24" s="279">
        <f>[25]Brewhouse!$AI83</f>
        <v>51.2</v>
      </c>
      <c r="F24" s="278">
        <f>[25]Brewhouse!$V83</f>
        <v>64</v>
      </c>
      <c r="G24" s="279">
        <f>[25]Brewhouse!$AG83</f>
        <v>17.2</v>
      </c>
      <c r="H24" s="396">
        <v>17.100000000000001</v>
      </c>
      <c r="I24" s="422">
        <f>[25]Brewhouse!$AU83</f>
        <v>95.441460527610872</v>
      </c>
      <c r="J24" s="422">
        <f>[25]Brewhouse!$AV83</f>
        <v>96.863796608424892</v>
      </c>
      <c r="K24" s="476">
        <f>[25]Brewhouse!$R83</f>
        <v>7.6707530647986033</v>
      </c>
      <c r="L24" s="276">
        <f>[25]Brewhouse!$O83</f>
        <v>55</v>
      </c>
      <c r="M24" s="374">
        <f>[25]Brewhouse!$U83-[25]Brewhouse!$T83</f>
        <v>0.10972222222222222</v>
      </c>
      <c r="N24" s="370">
        <f>[25]Brewhouse!$Z83</f>
        <v>0.25902777777777775</v>
      </c>
      <c r="O24" s="423" t="str">
        <f>[25]Brewhouse!$AW83</f>
        <v>D. Gomaz</v>
      </c>
      <c r="P24" s="418"/>
      <c r="R24" s="277" t="str">
        <f t="shared" si="10"/>
        <v>GUINNESS</v>
      </c>
      <c r="S24" s="296">
        <f t="shared" si="12"/>
        <v>17</v>
      </c>
      <c r="T24" s="296">
        <f t="shared" si="13"/>
        <v>17.5</v>
      </c>
      <c r="U24" s="297">
        <f t="shared" si="14"/>
        <v>0</v>
      </c>
      <c r="V24" s="297">
        <f t="shared" si="15"/>
        <v>0.1076388888888889</v>
      </c>
      <c r="W24" s="297">
        <f t="shared" si="16"/>
        <v>0.24652777777777779</v>
      </c>
      <c r="X24" s="297">
        <f t="shared" si="17"/>
        <v>0.28472222222222221</v>
      </c>
      <c r="Y24" s="297">
        <f t="shared" si="18"/>
        <v>0</v>
      </c>
      <c r="Z24" s="296">
        <f t="shared" si="19"/>
        <v>60</v>
      </c>
    </row>
    <row r="25" spans="2:26" ht="15.75" customHeight="1">
      <c r="B25" s="34" t="s">
        <v>12</v>
      </c>
      <c r="C25" s="366" t="str">
        <f>[25]Brewhouse!$A84</f>
        <v>GU075</v>
      </c>
      <c r="D25" s="279">
        <f>[25]Brewhouse!$AF84</f>
        <v>53.9</v>
      </c>
      <c r="E25" s="279">
        <f>[25]Brewhouse!$AI84</f>
        <v>51.4</v>
      </c>
      <c r="F25" s="278">
        <f>[25]Brewhouse!$V84</f>
        <v>65</v>
      </c>
      <c r="G25" s="279">
        <f>[25]Brewhouse!$AG84</f>
        <v>17.2</v>
      </c>
      <c r="H25" s="396">
        <v>17.2</v>
      </c>
      <c r="I25" s="422">
        <f>[25]Brewhouse!$AU84</f>
        <v>96.121978763783517</v>
      </c>
      <c r="J25" s="422">
        <f>[25]Brewhouse!$AV84</f>
        <v>97.553450189741071</v>
      </c>
      <c r="K25" s="476">
        <f>[25]Brewhouse!$R84</f>
        <v>5.5098389982110882</v>
      </c>
      <c r="L25" s="276">
        <f>[25]Brewhouse!$O84</f>
        <v>59</v>
      </c>
      <c r="M25" s="374">
        <f>[25]Brewhouse!$U84-[25]Brewhouse!$T84</f>
        <v>0.11041666666666672</v>
      </c>
      <c r="N25" s="370">
        <f>[25]Brewhouse!$Z84</f>
        <v>0.27083333333333337</v>
      </c>
      <c r="O25" s="423" t="str">
        <f>[25]Brewhouse!$AW84</f>
        <v>D. Gomaz</v>
      </c>
      <c r="P25" s="418"/>
      <c r="R25" s="277" t="str">
        <f t="shared" si="10"/>
        <v>GUINNESS</v>
      </c>
      <c r="S25" s="296">
        <f t="shared" si="12"/>
        <v>17</v>
      </c>
      <c r="T25" s="296">
        <f t="shared" si="13"/>
        <v>17.5</v>
      </c>
      <c r="U25" s="297">
        <f t="shared" si="14"/>
        <v>0</v>
      </c>
      <c r="V25" s="297">
        <f t="shared" si="15"/>
        <v>0.1076388888888889</v>
      </c>
      <c r="W25" s="297">
        <f t="shared" si="16"/>
        <v>0.24652777777777779</v>
      </c>
      <c r="X25" s="297">
        <f t="shared" si="17"/>
        <v>0.28472222222222221</v>
      </c>
      <c r="Y25" s="297">
        <f t="shared" si="18"/>
        <v>0</v>
      </c>
      <c r="Z25" s="296">
        <f t="shared" si="19"/>
        <v>60</v>
      </c>
    </row>
    <row r="26" spans="2:26" ht="15.75" customHeight="1">
      <c r="B26" s="33"/>
      <c r="C26" s="366"/>
      <c r="D26" s="279"/>
      <c r="E26" s="279"/>
      <c r="F26" s="278"/>
      <c r="G26" s="463"/>
      <c r="H26" s="471"/>
      <c r="I26" s="422"/>
      <c r="J26" s="422"/>
      <c r="K26" s="281"/>
      <c r="L26" s="276"/>
      <c r="M26" s="374"/>
      <c r="N26" s="370"/>
      <c r="O26" s="423"/>
      <c r="P26" s="418"/>
      <c r="R26" s="277">
        <f t="shared" si="10"/>
        <v>0</v>
      </c>
      <c r="S26" s="296" t="e">
        <f t="shared" si="12"/>
        <v>#N/A</v>
      </c>
      <c r="T26" s="296" t="e">
        <f t="shared" si="13"/>
        <v>#N/A</v>
      </c>
      <c r="U26" s="297" t="e">
        <f t="shared" si="14"/>
        <v>#N/A</v>
      </c>
      <c r="V26" s="297" t="e">
        <f t="shared" si="15"/>
        <v>#N/A</v>
      </c>
      <c r="W26" s="297" t="e">
        <f t="shared" si="16"/>
        <v>#N/A</v>
      </c>
      <c r="X26" s="297" t="e">
        <f t="shared" si="17"/>
        <v>#N/A</v>
      </c>
      <c r="Y26" s="297" t="e">
        <f t="shared" si="18"/>
        <v>#N/A</v>
      </c>
      <c r="Z26" s="296" t="e">
        <f t="shared" si="19"/>
        <v>#N/A</v>
      </c>
    </row>
    <row r="27" spans="2:26" ht="15.7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10"/>
        <v>0</v>
      </c>
      <c r="S27" s="296" t="e">
        <f t="shared" si="12"/>
        <v>#N/A</v>
      </c>
      <c r="T27" s="296" t="e">
        <f t="shared" si="13"/>
        <v>#N/A</v>
      </c>
      <c r="U27" s="297" t="e">
        <f t="shared" si="14"/>
        <v>#N/A</v>
      </c>
      <c r="V27" s="297" t="e">
        <f t="shared" si="15"/>
        <v>#N/A</v>
      </c>
      <c r="W27" s="297" t="e">
        <f t="shared" si="16"/>
        <v>#N/A</v>
      </c>
      <c r="X27" s="297" t="e">
        <f t="shared" si="17"/>
        <v>#N/A</v>
      </c>
      <c r="Y27" s="297" t="e">
        <f t="shared" si="18"/>
        <v>#N/A</v>
      </c>
      <c r="Z27" s="296" t="e">
        <f t="shared" si="19"/>
        <v>#N/A</v>
      </c>
    </row>
    <row r="28" spans="2:26" ht="15.7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10"/>
        <v>0</v>
      </c>
      <c r="S28" s="296" t="e">
        <f t="shared" si="12"/>
        <v>#N/A</v>
      </c>
      <c r="T28" s="296" t="e">
        <f t="shared" si="13"/>
        <v>#N/A</v>
      </c>
      <c r="U28" s="297" t="e">
        <f t="shared" si="14"/>
        <v>#N/A</v>
      </c>
      <c r="V28" s="297" t="e">
        <f t="shared" si="15"/>
        <v>#N/A</v>
      </c>
      <c r="W28" s="297" t="e">
        <f t="shared" si="16"/>
        <v>#N/A</v>
      </c>
      <c r="X28" s="297" t="e">
        <f t="shared" si="17"/>
        <v>#N/A</v>
      </c>
      <c r="Y28" s="297" t="e">
        <f t="shared" si="18"/>
        <v>#N/A</v>
      </c>
      <c r="Z28" s="296" t="e">
        <f t="shared" si="19"/>
        <v>#N/A</v>
      </c>
    </row>
    <row r="29" spans="2:26" ht="15.75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9"/>
        <v>0</v>
      </c>
      <c r="S29" s="296" t="e">
        <f t="shared" si="12"/>
        <v>#N/A</v>
      </c>
      <c r="T29" s="296" t="e">
        <f t="shared" si="13"/>
        <v>#N/A</v>
      </c>
      <c r="U29" s="297" t="e">
        <f t="shared" si="14"/>
        <v>#N/A</v>
      </c>
      <c r="V29" s="297" t="e">
        <f t="shared" si="15"/>
        <v>#N/A</v>
      </c>
      <c r="W29" s="297" t="e">
        <f t="shared" si="16"/>
        <v>#N/A</v>
      </c>
      <c r="X29" s="297" t="e">
        <f t="shared" si="17"/>
        <v>#N/A</v>
      </c>
      <c r="Y29" s="297" t="e">
        <f t="shared" si="18"/>
        <v>#N/A</v>
      </c>
      <c r="Z29" s="296" t="e">
        <f t="shared" si="19"/>
        <v>#N/A</v>
      </c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9"/>
        <v>0</v>
      </c>
      <c r="S30" s="296" t="e">
        <f t="shared" si="12"/>
        <v>#N/A</v>
      </c>
      <c r="T30" s="296" t="e">
        <f t="shared" si="13"/>
        <v>#N/A</v>
      </c>
      <c r="U30" s="297" t="e">
        <f t="shared" si="14"/>
        <v>#N/A</v>
      </c>
      <c r="V30" s="297" t="e">
        <f t="shared" si="15"/>
        <v>#N/A</v>
      </c>
      <c r="W30" s="297" t="e">
        <f t="shared" si="16"/>
        <v>#N/A</v>
      </c>
      <c r="X30" s="297" t="e">
        <f t="shared" si="17"/>
        <v>#N/A</v>
      </c>
      <c r="Y30" s="297" t="e">
        <f t="shared" si="18"/>
        <v>#N/A</v>
      </c>
      <c r="Z30" s="296" t="e">
        <f t="shared" si="19"/>
        <v>#N/A</v>
      </c>
    </row>
    <row r="31" spans="2:26" ht="15.75" customHeight="1" thickBot="1">
      <c r="B31" s="358"/>
      <c r="C31" s="358"/>
      <c r="D31" s="358"/>
      <c r="E31" s="358"/>
      <c r="F31" s="294"/>
      <c r="G31" s="294"/>
      <c r="H31" s="348"/>
      <c r="I31" s="529"/>
      <c r="J31" s="529"/>
      <c r="K31" s="529"/>
      <c r="L31" s="529"/>
      <c r="M31" s="529"/>
      <c r="N31" s="529"/>
      <c r="O31" s="1"/>
      <c r="P31" s="12"/>
      <c r="R31" s="277">
        <f t="shared" si="9"/>
        <v>0</v>
      </c>
      <c r="S31" s="296" t="e">
        <f t="shared" si="12"/>
        <v>#N/A</v>
      </c>
      <c r="T31" s="296" t="e">
        <f t="shared" si="13"/>
        <v>#N/A</v>
      </c>
      <c r="U31" s="297" t="e">
        <f t="shared" si="14"/>
        <v>#N/A</v>
      </c>
      <c r="V31" s="297" t="e">
        <f t="shared" si="15"/>
        <v>#N/A</v>
      </c>
      <c r="W31" s="297" t="e">
        <f t="shared" si="16"/>
        <v>#N/A</v>
      </c>
      <c r="X31" s="297" t="e">
        <f t="shared" si="17"/>
        <v>#N/A</v>
      </c>
      <c r="Y31" s="297" t="e">
        <f t="shared" si="18"/>
        <v>#N/A</v>
      </c>
      <c r="Z31" s="296" t="e">
        <f t="shared" si="19"/>
        <v>#N/A</v>
      </c>
    </row>
    <row r="32" spans="2:26" ht="15.75" thickBot="1">
      <c r="B32" s="388" t="s">
        <v>162</v>
      </c>
      <c r="C32" s="388"/>
      <c r="D32" s="542" t="s">
        <v>35</v>
      </c>
      <c r="E32" s="543"/>
      <c r="F32" s="294"/>
      <c r="G32" s="294"/>
      <c r="H32" s="348"/>
      <c r="I32" s="24" t="s">
        <v>17</v>
      </c>
      <c r="J32" s="25" t="s">
        <v>36</v>
      </c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9"/>
        <v xml:space="preserve">BRAND </v>
      </c>
      <c r="S32" s="296" t="e">
        <f t="shared" si="12"/>
        <v>#N/A</v>
      </c>
      <c r="T32" s="296" t="e">
        <f t="shared" si="13"/>
        <v>#N/A</v>
      </c>
      <c r="U32" s="297" t="e">
        <f t="shared" si="14"/>
        <v>#N/A</v>
      </c>
      <c r="V32" s="297" t="e">
        <f t="shared" si="15"/>
        <v>#N/A</v>
      </c>
      <c r="W32" s="297" t="e">
        <f t="shared" si="16"/>
        <v>#N/A</v>
      </c>
      <c r="X32" s="297" t="e">
        <f t="shared" si="17"/>
        <v>#N/A</v>
      </c>
      <c r="Y32" s="297" t="e">
        <f t="shared" si="18"/>
        <v>#N/A</v>
      </c>
      <c r="Z32" s="296" t="e">
        <f t="shared" si="19"/>
        <v>#N/A</v>
      </c>
    </row>
    <row r="33" spans="1:27" ht="15" customHeight="1">
      <c r="A33" s="28"/>
      <c r="B33" s="583" t="str">
        <f>I33</f>
        <v>CARIB</v>
      </c>
      <c r="C33" s="362" cm="1">
        <f t="array" ref="C33:C40">[24]Process!$D$636:$D$643</f>
        <v>12.2</v>
      </c>
      <c r="D33" s="533">
        <v>11.73</v>
      </c>
      <c r="E33" s="522"/>
      <c r="F33" s="294"/>
      <c r="G33" s="294"/>
      <c r="H33" s="348"/>
      <c r="I33" s="29" t="s">
        <v>6</v>
      </c>
      <c r="J33" s="280">
        <f>I19</f>
        <v>92.680701282459751</v>
      </c>
      <c r="K33" s="284">
        <f>COUNTA([24]Brewhouse!$A$655:$A$691)</f>
        <v>37</v>
      </c>
      <c r="L33" s="305">
        <f>AVERAGE([24]Brewhouse!$AU$655:$AU$691)</f>
        <v>97.142141461447395</v>
      </c>
      <c r="M33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$691)</f>
        <v>97.831693822055868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5" customHeight="1">
      <c r="A34" s="28"/>
      <c r="B34" s="584"/>
      <c r="C34" s="362">
        <v>12.1</v>
      </c>
      <c r="D34" s="534"/>
      <c r="E34" s="517"/>
      <c r="F34" s="294"/>
      <c r="G34" s="294"/>
      <c r="H34" s="348"/>
      <c r="I34" s="33" t="s">
        <v>9</v>
      </c>
      <c r="J34" s="280">
        <f>AVERAGE(I10:I17)</f>
        <v>97.539015233761546</v>
      </c>
      <c r="K34" s="284">
        <f>COUNTA([22]Brewhouse!$A$324:$A$343)</f>
        <v>20</v>
      </c>
      <c r="L34" s="302">
        <f>AVERAGE([22]Brewhouse!$AS$324:$AS$343)</f>
        <v>98.007598629018077</v>
      </c>
      <c r="M34" s="302">
        <f>AVERAGE([22]Brewhouse!$AS$15:$AS$64,[22]Brewhouse!$AS$66:$AS$103,[22]Brewhouse!$AS$105:$AS$140,[22]Brewhouse!$AS$142:$AS$193,[22]Brewhouse!$AS$195:$AS$240,[22]Brewhouse!$AS$242:$AS$273,[22]Brewhouse!$AS$275:$AS$322,[22]Brewhouse!$AS$324:$AS$343)</f>
        <v>98.062511581230439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4.65" customHeight="1">
      <c r="A35" s="28"/>
      <c r="B35" s="584"/>
      <c r="C35" s="362">
        <v>12.1</v>
      </c>
      <c r="D35" s="533">
        <v>11.8</v>
      </c>
      <c r="E35" s="522"/>
      <c r="F35" s="294"/>
      <c r="G35" s="294"/>
      <c r="H35" s="348"/>
      <c r="I35" s="34" t="s">
        <v>12</v>
      </c>
      <c r="J35" s="280">
        <f>AVERAGE(I21,I23:I25)</f>
        <v>96.0203759926994</v>
      </c>
      <c r="K35" s="284">
        <f>COUNTA([25]Brewhouse!$A$81:$A$84)</f>
        <v>4</v>
      </c>
      <c r="L35" s="302">
        <f>AVERAGE([25]Brewhouse!$AU$81:$AU$84)</f>
        <v>96.0203759926994</v>
      </c>
      <c r="M35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65" customHeight="1">
      <c r="A36" s="28"/>
      <c r="B36" s="584"/>
      <c r="C36" s="362">
        <v>11.9</v>
      </c>
      <c r="D36" s="534"/>
      <c r="E36" s="517"/>
      <c r="F36" s="294"/>
      <c r="G36" s="294"/>
      <c r="H36" s="348"/>
      <c r="I36" s="22" t="s">
        <v>33</v>
      </c>
      <c r="J36" s="280"/>
      <c r="K36" s="284">
        <f>COUNTA([26]Brewhouse!$A$64:$A$67)</f>
        <v>4</v>
      </c>
      <c r="L36" s="302">
        <f>AVERAGE([26]Brewhouse!$AV$64:$AV$67)</f>
        <v>97.964622396575123</v>
      </c>
      <c r="M36" s="302">
        <f>AVERAGE([26]Brewhouse!$AV$5:$AV$14,[26]Brewhouse!$AV$16:$AV$19,[26]Brewhouse!$AV$21:$AV$24,[26]Brewhouse!$AV$26:$AV$33,[26]Brewhouse!$AV$35:$AV$46,[26]Brewhouse!$AV$48:$AV$53,[26]Brewhouse!$AV$55:$AV$62,[26]Brewhouse!$AV$64:$AV$67)</f>
        <v>98.715593889399926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65" customHeight="1">
      <c r="A37" s="28"/>
      <c r="B37" s="584"/>
      <c r="C37" s="362">
        <v>12</v>
      </c>
      <c r="D37" s="533">
        <v>11.82</v>
      </c>
      <c r="E37" s="522"/>
      <c r="F37" s="417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65" customHeight="1">
      <c r="A38" s="28"/>
      <c r="B38" s="584"/>
      <c r="C38" s="362">
        <v>11.9</v>
      </c>
      <c r="D38" s="534"/>
      <c r="E38" s="517"/>
      <c r="F38" s="417"/>
      <c r="G38" s="294"/>
      <c r="H38" s="348"/>
      <c r="I38" s="36" t="s">
        <v>15</v>
      </c>
      <c r="J38" s="323"/>
      <c r="K38" s="284"/>
      <c r="L38" s="302"/>
      <c r="M38" s="302">
        <f>AVERAGE([27]Brewhouse!$AT$4:$AT$11,[27]Brewhouse!$AT$13:$AT$16,[27]Brewhouse!$AT$18:$AT$21,[27]Brewhouse!$AT$26)</f>
        <v>94.588057846623641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65" customHeight="1">
      <c r="A39" s="28"/>
      <c r="B39" s="584"/>
      <c r="C39" s="349">
        <v>11.9</v>
      </c>
      <c r="D39" s="533">
        <v>11.79</v>
      </c>
      <c r="E39" s="522"/>
      <c r="F39" s="417"/>
      <c r="G39" s="294"/>
      <c r="H39" s="348"/>
      <c r="I39" s="37" t="s">
        <v>16</v>
      </c>
      <c r="J39" s="323"/>
      <c r="K39" s="284"/>
      <c r="L39" s="302"/>
      <c r="M39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9" s="30">
        <v>98</v>
      </c>
      <c r="O39" s="11"/>
      <c r="P39" s="31" t="s">
        <v>41</v>
      </c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65" customHeight="1">
      <c r="A40" s="28"/>
      <c r="B40" s="584"/>
      <c r="C40" s="349">
        <v>11.8</v>
      </c>
      <c r="D40" s="534"/>
      <c r="E40" s="517"/>
      <c r="F40" s="294"/>
      <c r="G40" s="294"/>
      <c r="H40" s="348"/>
      <c r="I40" s="411" t="s">
        <v>158</v>
      </c>
      <c r="J40" s="326"/>
      <c r="K40" s="284"/>
      <c r="L40" s="305"/>
      <c r="M40" s="305">
        <f>AVERAGE([28]Brewhouse!$AU$5:$AU$8,[28]Brewhouse!$AU$10:$AU$13)</f>
        <v>94.247666625193744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65" customHeight="1">
      <c r="A41" s="28"/>
      <c r="B41" s="584"/>
      <c r="C41" s="349"/>
      <c r="D41" s="533"/>
      <c r="E41" s="522"/>
      <c r="F41" s="294"/>
      <c r="G41" s="294"/>
      <c r="H41" s="348"/>
      <c r="I41" s="410" t="s">
        <v>157</v>
      </c>
      <c r="J41" s="326"/>
      <c r="K41" s="284"/>
      <c r="L41" s="305"/>
      <c r="M41" s="305">
        <f>AVERAGE([29]Brewhouse!$AW$26:$AW$27)</f>
        <v>95.310680905194914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customHeight="1" thickBot="1">
      <c r="A42" s="28"/>
      <c r="B42" s="584"/>
      <c r="C42" s="349"/>
      <c r="D42" s="534"/>
      <c r="E42" s="517"/>
      <c r="F42" s="294"/>
      <c r="G42" s="294"/>
      <c r="H42" s="348"/>
      <c r="I42" s="406" t="s">
        <v>156</v>
      </c>
      <c r="J42" s="327"/>
      <c r="K42" s="407"/>
      <c r="L42" s="408"/>
      <c r="M42" s="408">
        <f>AVERAGE([30]Brewhouse!$AU$13:$AU$14)</f>
        <v>97.110575243268045</v>
      </c>
      <c r="N42" s="409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84"/>
      <c r="C43" s="349"/>
      <c r="D43" s="533"/>
      <c r="E43" s="522"/>
      <c r="F43" s="294"/>
      <c r="G43" s="294"/>
      <c r="H43" s="348"/>
      <c r="I43" s="1"/>
      <c r="J43" s="39"/>
      <c r="K43" s="404">
        <f>SUM(K33:K42)</f>
        <v>65</v>
      </c>
      <c r="L43" s="405">
        <f>((L33*K33)+(L34*K34)+(L35*K35)+(L36*K36)+(L37*K37)+(K40*L40)+(L38*K38)+(L39*K39)+(L42*K42))/(K43)</f>
        <v>97.390018464784816</v>
      </c>
      <c r="M43" s="405">
        <f>AVERAGE('[31]Jan 31st'!$L$65,'[32]Feb 28th'!$L$35,'[33]Mar. 31st'!$L$35,'[34]Apr. 30th'!$L$45,'[35]May 30th'!$L$37,'[36]June 30th'!$L$57,L43)</f>
        <v>97.620275565978105</v>
      </c>
      <c r="N43" s="4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.75" thickBot="1">
      <c r="B44" s="585"/>
      <c r="C44" s="350"/>
      <c r="D44" s="534"/>
      <c r="E44" s="517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.75" thickBot="1">
      <c r="B45" s="589"/>
      <c r="C45" s="362"/>
      <c r="D45" s="514"/>
      <c r="E45" s="515"/>
      <c r="F45" s="294"/>
      <c r="G45" s="42"/>
      <c r="H45" s="41"/>
      <c r="I45" s="42"/>
      <c r="J45" s="569" t="s">
        <v>129</v>
      </c>
      <c r="K45" s="569"/>
      <c r="L45" s="294"/>
      <c r="M45" s="294"/>
      <c r="N45" s="294"/>
      <c r="O45" s="294"/>
      <c r="P45" s="12"/>
    </row>
    <row r="46" spans="1:27" ht="15.75" thickBot="1">
      <c r="B46" s="531"/>
      <c r="C46" s="362"/>
      <c r="D46" s="516"/>
      <c r="E46" s="517"/>
      <c r="F46" s="294"/>
      <c r="G46" s="42"/>
      <c r="H46" s="41"/>
      <c r="I46" s="292" t="s">
        <v>17</v>
      </c>
      <c r="J46" s="293" t="s">
        <v>147</v>
      </c>
      <c r="K46" s="293" t="s">
        <v>191</v>
      </c>
      <c r="L46" s="519" t="s">
        <v>136</v>
      </c>
      <c r="M46" s="519"/>
      <c r="N46" s="520"/>
      <c r="O46" s="294"/>
      <c r="P46" s="12"/>
    </row>
    <row r="47" spans="1:27" ht="15" customHeight="1" thickBot="1">
      <c r="B47" s="531"/>
      <c r="C47" s="349"/>
      <c r="D47" s="570"/>
      <c r="E47" s="571"/>
      <c r="F47" s="294"/>
      <c r="G47" s="42"/>
      <c r="H47" s="41"/>
      <c r="I47" s="287" t="s">
        <v>6</v>
      </c>
      <c r="J47" s="324">
        <v>1</v>
      </c>
      <c r="K47" s="324"/>
      <c r="L47" s="343" t="s">
        <v>37</v>
      </c>
      <c r="M47" s="307" t="s">
        <v>38</v>
      </c>
      <c r="N47" s="307" t="s">
        <v>84</v>
      </c>
      <c r="O47" s="294"/>
      <c r="P47" s="12"/>
    </row>
    <row r="48" spans="1:27" ht="15.75" customHeight="1" thickBot="1">
      <c r="B48" s="531"/>
      <c r="C48" s="349"/>
      <c r="D48" s="516"/>
      <c r="E48" s="517"/>
      <c r="F48" s="294"/>
      <c r="G48" s="42"/>
      <c r="H48" s="41"/>
      <c r="I48" s="345" t="s">
        <v>9</v>
      </c>
      <c r="J48" s="324">
        <v>8</v>
      </c>
      <c r="K48" s="324"/>
      <c r="L48" s="344">
        <f>AVERAGE('Aug 4th '!K58,'Aug 5th '!K58,'Aug 6th '!K58,'Aug 7th '!K58,'Aug 8th '!K48,'Aug 13th'!K52,'Aug 14th'!K51,J57,K57)</f>
        <v>7.2222222222222223</v>
      </c>
      <c r="M48" s="325">
        <f>AVERAGE('[31]Jan 29th '!$M$70,'[32]Feb 28th'!$L$40,'[33]Mar. 31st'!$L$40,'[34]Apr. 30th'!$L$50,'[35]May 30th'!$L$42,'[36]June 30th'!$L$62,'[37]July 29th '!$L$49,L48)</f>
        <v>6.9423923870434159</v>
      </c>
      <c r="N48" s="416">
        <v>9.1999999999999993</v>
      </c>
      <c r="O48" s="294"/>
      <c r="P48" s="12"/>
    </row>
    <row r="49" spans="2:57" ht="15" customHeight="1">
      <c r="B49" s="531"/>
      <c r="C49" s="349"/>
      <c r="D49" s="570"/>
      <c r="E49" s="571"/>
      <c r="F49" s="294"/>
      <c r="G49" s="42"/>
      <c r="H49" s="41"/>
      <c r="I49" s="288" t="s">
        <v>40</v>
      </c>
      <c r="J49" s="324">
        <v>1</v>
      </c>
      <c r="K49" s="324">
        <v>3</v>
      </c>
      <c r="L49" s="294"/>
      <c r="M49" s="294"/>
      <c r="N49" s="294"/>
      <c r="O49" s="294"/>
      <c r="P49" s="12"/>
    </row>
    <row r="50" spans="2:57" ht="15" customHeight="1">
      <c r="B50" s="531"/>
      <c r="C50" s="349"/>
      <c r="D50" s="516"/>
      <c r="E50" s="517"/>
      <c r="F50" s="294"/>
      <c r="G50" s="42"/>
      <c r="H50" s="41"/>
      <c r="I50" s="289" t="s">
        <v>33</v>
      </c>
      <c r="J50" s="324"/>
      <c r="K50" s="324"/>
      <c r="L50" s="294"/>
      <c r="M50" s="294"/>
      <c r="N50" s="294"/>
      <c r="O50" s="294"/>
      <c r="P50" s="12"/>
    </row>
    <row r="51" spans="2:57" ht="15">
      <c r="B51" s="531"/>
      <c r="C51" s="349"/>
      <c r="D51" s="570"/>
      <c r="E51" s="571"/>
      <c r="F51" s="294"/>
      <c r="G51" s="42"/>
      <c r="H51" s="41"/>
      <c r="I51" s="290" t="s">
        <v>16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31"/>
      <c r="C52" s="349"/>
      <c r="D52" s="516"/>
      <c r="E52" s="517"/>
      <c r="F52" s="294"/>
      <c r="G52" s="42"/>
      <c r="H52" s="41"/>
      <c r="I52" s="291" t="s">
        <v>15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31"/>
      <c r="C53" s="349"/>
      <c r="D53" s="570"/>
      <c r="E53" s="571"/>
      <c r="F53" s="294"/>
      <c r="G53" s="42"/>
      <c r="H53" s="41"/>
      <c r="I53" s="291" t="s">
        <v>149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32"/>
      <c r="C54" s="350"/>
      <c r="D54" s="572"/>
      <c r="E54" s="573"/>
      <c r="F54" s="294"/>
      <c r="G54" s="42"/>
      <c r="H54" s="41"/>
      <c r="I54" s="291" t="s">
        <v>148</v>
      </c>
      <c r="J54" s="324"/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74">
        <f>AVERAGE(D33:E54)</f>
        <v>11.785</v>
      </c>
      <c r="E55" s="575"/>
      <c r="F55" s="294"/>
      <c r="H55" s="41"/>
      <c r="I55" s="295" t="s">
        <v>134</v>
      </c>
      <c r="J55" s="324"/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1"/>
      <c r="I56" s="295" t="s">
        <v>131</v>
      </c>
      <c r="J56" s="324"/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1"/>
      <c r="I57" s="346" t="s">
        <v>130</v>
      </c>
      <c r="J57" s="324">
        <f>SUM(J47:J56)</f>
        <v>10</v>
      </c>
      <c r="K57" s="324">
        <f>SUM(K47:K56)</f>
        <v>3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495" t="s">
        <v>17</v>
      </c>
      <c r="C60" s="495" t="s">
        <v>44</v>
      </c>
      <c r="D60" s="507" t="s">
        <v>45</v>
      </c>
      <c r="E60" s="509" t="s">
        <v>46</v>
      </c>
      <c r="F60" s="503" t="s">
        <v>47</v>
      </c>
      <c r="G60" s="493" t="s">
        <v>48</v>
      </c>
      <c r="H60" s="495" t="s">
        <v>49</v>
      </c>
      <c r="I60" s="495" t="s">
        <v>50</v>
      </c>
      <c r="J60" s="487" t="s">
        <v>28</v>
      </c>
      <c r="K60" s="499" t="s">
        <v>51</v>
      </c>
      <c r="L60" s="501" t="s">
        <v>52</v>
      </c>
      <c r="M60" s="487" t="s">
        <v>53</v>
      </c>
      <c r="N60" s="13"/>
      <c r="O60" s="13"/>
      <c r="P60" s="50"/>
    </row>
    <row r="61" spans="2:57" ht="28.5" customHeight="1" thickTop="1" thickBot="1">
      <c r="B61" s="496"/>
      <c r="C61" s="496"/>
      <c r="D61" s="508"/>
      <c r="E61" s="510"/>
      <c r="F61" s="504"/>
      <c r="G61" s="494"/>
      <c r="H61" s="496"/>
      <c r="I61" s="496"/>
      <c r="J61" s="488"/>
      <c r="K61" s="500"/>
      <c r="L61" s="502"/>
      <c r="M61" s="488"/>
      <c r="N61" s="13"/>
      <c r="O61" s="13"/>
      <c r="P61" s="50"/>
      <c r="Q61" s="355"/>
      <c r="AB61" s="51">
        <v>43474</v>
      </c>
      <c r="AC61" s="51">
        <v>43475</v>
      </c>
      <c r="AD61" s="51">
        <v>43476</v>
      </c>
      <c r="AE61" s="51">
        <v>43477</v>
      </c>
      <c r="AF61" s="51">
        <v>43478</v>
      </c>
      <c r="AG61" s="51">
        <v>43479</v>
      </c>
      <c r="AH61" s="51">
        <v>43480</v>
      </c>
      <c r="AI61" s="51">
        <v>43481</v>
      </c>
      <c r="AJ61" s="51">
        <v>43482</v>
      </c>
      <c r="AK61" s="51">
        <v>43483</v>
      </c>
      <c r="AL61" s="51">
        <v>43484</v>
      </c>
      <c r="AM61" s="51">
        <v>43485</v>
      </c>
      <c r="AN61" s="51">
        <v>43486</v>
      </c>
      <c r="AO61" s="51">
        <v>43487</v>
      </c>
      <c r="AP61" s="51">
        <v>43488</v>
      </c>
      <c r="AQ61" s="51">
        <v>43489</v>
      </c>
      <c r="AR61" s="51">
        <v>43490</v>
      </c>
      <c r="AS61" s="51">
        <v>43491</v>
      </c>
      <c r="AT61" s="51">
        <v>43492</v>
      </c>
      <c r="AU61" s="51">
        <v>43493</v>
      </c>
      <c r="AV61" s="51">
        <v>43494</v>
      </c>
      <c r="AW61" s="51">
        <v>43495</v>
      </c>
      <c r="AX61" s="51">
        <v>43496</v>
      </c>
    </row>
    <row r="62" spans="2:57" s="54" customFormat="1" ht="59.45" customHeight="1" thickBot="1">
      <c r="B62" s="475" t="str">
        <f>I47</f>
        <v>CARIB</v>
      </c>
      <c r="C62" s="445">
        <v>45884</v>
      </c>
      <c r="D62" s="446">
        <f>[38]August_2025!$R$3</f>
        <v>401.70000000000005</v>
      </c>
      <c r="E62" s="447"/>
      <c r="F62" s="448"/>
      <c r="G62" s="449">
        <f>[38]August_2025!$R$7</f>
        <v>382</v>
      </c>
      <c r="H62" s="450"/>
      <c r="I62" s="451"/>
      <c r="J62" s="452" t="s">
        <v>150</v>
      </c>
      <c r="K62" s="453">
        <f>[39]August_2025!$R$18</f>
        <v>1.3403508771929824</v>
      </c>
      <c r="L62" s="466">
        <f>(((D62+E62)-G62)/(D62+E62))*100</f>
        <v>4.9041573313418079</v>
      </c>
      <c r="M62" s="465" t="s">
        <v>177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[20]January_2019!L7</f>
        <v>285.8</v>
      </c>
      <c r="AC62" s="57">
        <f>[20]January_2019!M7</f>
        <v>508.1</v>
      </c>
      <c r="AD62" s="57">
        <f>[20]January_2019!N7</f>
        <v>0</v>
      </c>
      <c r="AE62" s="57">
        <f>[20]January_2019!O7</f>
        <v>0</v>
      </c>
      <c r="AF62" s="57">
        <f>[20]January_2019!P7</f>
        <v>109.56666666666666</v>
      </c>
      <c r="AG62" s="57">
        <f>[20]January_2019!Q7</f>
        <v>297.64999999999998</v>
      </c>
      <c r="AH62" s="57">
        <f>[20]January_2019!R7</f>
        <v>122.3</v>
      </c>
      <c r="AI62" s="57">
        <f>[20]January_2019!S7</f>
        <v>0</v>
      </c>
      <c r="AJ62" s="57">
        <f>[20]January_2019!T7</f>
        <v>294.7</v>
      </c>
      <c r="AK62" s="57">
        <f>[20]January_2019!U7</f>
        <v>280.5</v>
      </c>
      <c r="AL62" s="57">
        <f>[20]January_2019!V7</f>
        <v>0</v>
      </c>
      <c r="AM62" s="57">
        <f>[20]January_2019!W7</f>
        <v>0</v>
      </c>
      <c r="AN62" s="57">
        <f>[20]January_2019!X7</f>
        <v>188.25</v>
      </c>
      <c r="AO62" s="57">
        <f>[20]January_2019!Y7</f>
        <v>295.7</v>
      </c>
      <c r="AP62" s="57">
        <f>[20]January_2019!Z7</f>
        <v>257.8</v>
      </c>
      <c r="AQ62" s="57">
        <f>[20]January_2019!AA7</f>
        <v>291.2</v>
      </c>
      <c r="AR62" s="57">
        <f>[20]January_2019!AB7</f>
        <v>187</v>
      </c>
      <c r="AS62" s="57">
        <f>[20]January_2019!AC7</f>
        <v>0</v>
      </c>
      <c r="AT62" s="57">
        <f>[20]January_2019!AD7</f>
        <v>0</v>
      </c>
      <c r="AU62" s="57">
        <f>[20]January_2019!AE7</f>
        <v>485.1</v>
      </c>
      <c r="AV62" s="57">
        <f>[20]January_2019!AF7</f>
        <v>171.55</v>
      </c>
      <c r="AW62" s="57">
        <f>[20]January_2019!AG7</f>
        <v>423.8</v>
      </c>
      <c r="AX62" s="277">
        <f>[20]January_2019!AH7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20.45" hidden="1" customHeight="1" thickBot="1">
      <c r="B63" s="469"/>
      <c r="C63" s="434"/>
      <c r="D63" s="435"/>
      <c r="E63" s="436"/>
      <c r="F63" s="437"/>
      <c r="G63" s="438"/>
      <c r="H63" s="439"/>
      <c r="I63" s="454"/>
      <c r="J63" s="455"/>
      <c r="K63" s="440"/>
      <c r="L63" s="456"/>
      <c r="M63" s="42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59.45" hidden="1" customHeight="1" thickBot="1">
      <c r="B64" s="474"/>
      <c r="C64" s="445"/>
      <c r="D64" s="446"/>
      <c r="E64" s="447"/>
      <c r="F64" s="448"/>
      <c r="G64" s="449"/>
      <c r="H64" s="450"/>
      <c r="I64" s="451"/>
      <c r="J64" s="452"/>
      <c r="K64" s="453"/>
      <c r="L64" s="466"/>
      <c r="M64" s="46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8"/>
      <c r="C65" s="434"/>
      <c r="D65" s="435"/>
      <c r="E65" s="436"/>
      <c r="F65" s="437"/>
      <c r="G65" s="438"/>
      <c r="H65" s="439"/>
      <c r="I65" s="454"/>
      <c r="J65" s="455"/>
      <c r="K65" s="440"/>
      <c r="L65" s="456"/>
      <c r="M65" s="42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6.6" hidden="1" customHeight="1" thickBot="1">
      <c r="B66" s="387"/>
      <c r="C66" s="445">
        <v>45873</v>
      </c>
      <c r="D66" s="446"/>
      <c r="E66" s="447"/>
      <c r="F66" s="448"/>
      <c r="G66" s="449"/>
      <c r="H66" s="450"/>
      <c r="I66" s="451"/>
      <c r="J66" s="452" t="s">
        <v>163</v>
      </c>
      <c r="K66" s="453"/>
      <c r="L66" s="459" t="e">
        <f>(((D66+E66)-G66)/(D66+E66))*100</f>
        <v>#DIV/0!</v>
      </c>
      <c r="M66" s="46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41"/>
      <c r="C67" s="427"/>
      <c r="D67" s="428"/>
      <c r="E67" s="429"/>
      <c r="F67" s="430"/>
      <c r="G67" s="431"/>
      <c r="H67" s="432"/>
      <c r="I67" s="442"/>
      <c r="J67" s="443"/>
      <c r="K67" s="433"/>
      <c r="L67" s="444"/>
      <c r="M67" s="426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489" t="s">
        <v>55</v>
      </c>
      <c r="C69" s="490"/>
      <c r="D69" s="490"/>
      <c r="E69" s="490"/>
      <c r="F69" s="491"/>
      <c r="G69" s="489" t="s">
        <v>56</v>
      </c>
      <c r="H69" s="490"/>
      <c r="I69" s="490"/>
      <c r="J69" s="491"/>
      <c r="K69" s="489" t="s">
        <v>51</v>
      </c>
      <c r="L69" s="490"/>
      <c r="M69" s="490"/>
      <c r="N69" s="492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 t="s">
        <v>36</v>
      </c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65">
        <f>L62</f>
        <v>4.9041573313418079</v>
      </c>
      <c r="D71" s="76">
        <v>5.1004890879947533</v>
      </c>
      <c r="E71" s="76">
        <v>6.2469304056433739</v>
      </c>
      <c r="F71" s="66">
        <v>4.8</v>
      </c>
      <c r="G71" s="65">
        <f>[38]August_2025!$R$11</f>
        <v>6.6469496671020893</v>
      </c>
      <c r="H71" s="76">
        <v>6.8110718157386199</v>
      </c>
      <c r="I71" s="76">
        <v>6.231410738201248</v>
      </c>
      <c r="J71" s="66">
        <v>4.8</v>
      </c>
      <c r="K71" s="67">
        <f>K62</f>
        <v>1.3403508771929824</v>
      </c>
      <c r="L71" s="194">
        <v>1.0804210526315789</v>
      </c>
      <c r="M71" s="194">
        <v>0.76086277514299661</v>
      </c>
      <c r="N71" s="68">
        <v>1</v>
      </c>
      <c r="O71" s="56"/>
      <c r="P71" s="69"/>
    </row>
    <row r="72" spans="2:57" ht="15">
      <c r="B72" s="33" t="s">
        <v>9</v>
      </c>
      <c r="C72" s="65"/>
      <c r="D72" s="76">
        <v>5.9872944919306859</v>
      </c>
      <c r="E72" s="76">
        <v>5.9448513978541291</v>
      </c>
      <c r="F72" s="66">
        <v>4.8</v>
      </c>
      <c r="G72" s="65"/>
      <c r="H72" s="76">
        <v>6.2297427957809166</v>
      </c>
      <c r="I72" s="76">
        <v>5.5723746878474767</v>
      </c>
      <c r="J72" s="66">
        <v>4.8</v>
      </c>
      <c r="K72" s="67"/>
      <c r="L72" s="194">
        <v>0.45044834307992204</v>
      </c>
      <c r="M72" s="194">
        <v>0.73721374514882176</v>
      </c>
      <c r="N72" s="68">
        <v>1</v>
      </c>
      <c r="P72" s="69"/>
    </row>
    <row r="73" spans="2:57" ht="15">
      <c r="B73" s="34" t="s">
        <v>40</v>
      </c>
      <c r="C73" s="65"/>
      <c r="D73" s="76">
        <v>8.0382775119617147</v>
      </c>
      <c r="E73" s="76">
        <v>11.429743886837057</v>
      </c>
      <c r="F73" s="66">
        <v>5.5</v>
      </c>
      <c r="G73" s="65"/>
      <c r="H73" s="76">
        <v>10.370027728825649</v>
      </c>
      <c r="I73" s="76">
        <v>13.047305235287777</v>
      </c>
      <c r="J73" s="66">
        <v>5.5</v>
      </c>
      <c r="K73" s="67"/>
      <c r="L73" s="194">
        <v>0.67438596491228076</v>
      </c>
      <c r="M73" s="194">
        <v>0.55172216056233814</v>
      </c>
      <c r="N73" s="68">
        <v>1</v>
      </c>
      <c r="P73" s="69"/>
    </row>
    <row r="74" spans="2:57" ht="15">
      <c r="B74" s="22" t="s">
        <v>33</v>
      </c>
      <c r="C74" s="65"/>
      <c r="D74" s="76">
        <v>6.0500000000000114</v>
      </c>
      <c r="E74" s="76">
        <v>5.1850280988230084</v>
      </c>
      <c r="F74" s="66">
        <v>3.3</v>
      </c>
      <c r="G74" s="65"/>
      <c r="H74" s="76">
        <v>5.966075524743097</v>
      </c>
      <c r="I74" s="76">
        <v>4.9519881827605072</v>
      </c>
      <c r="J74" s="66">
        <v>3.3</v>
      </c>
      <c r="K74" s="67"/>
      <c r="L74" s="194">
        <v>0.32964912280701753</v>
      </c>
      <c r="M74" s="194">
        <v>0.72853313840155942</v>
      </c>
      <c r="N74" s="68">
        <v>1</v>
      </c>
      <c r="P74" s="69"/>
    </row>
    <row r="75" spans="2:57" ht="15">
      <c r="B75" s="35" t="s">
        <v>165</v>
      </c>
      <c r="C75" s="65"/>
      <c r="D75" s="76"/>
      <c r="E75" s="76">
        <v>7.837301587301579</v>
      </c>
      <c r="F75" s="66">
        <v>3.3</v>
      </c>
      <c r="G75" s="282"/>
      <c r="H75" s="76"/>
      <c r="I75" s="76">
        <v>5.3377569154690221</v>
      </c>
      <c r="J75" s="66">
        <v>3</v>
      </c>
      <c r="K75" s="67"/>
      <c r="L75" s="194"/>
      <c r="M75" s="194">
        <v>0.32596491228070179</v>
      </c>
      <c r="N75" s="68">
        <v>1</v>
      </c>
      <c r="P75" s="69"/>
    </row>
    <row r="76" spans="2:57" ht="15">
      <c r="B76" s="36" t="s">
        <v>15</v>
      </c>
      <c r="C76" s="65"/>
      <c r="D76" s="76">
        <v>5.2552552552552552</v>
      </c>
      <c r="E76" s="76">
        <v>6.9158697961943529</v>
      </c>
      <c r="F76" s="70">
        <f>[21]May_2022!$M$43</f>
        <v>3.4878406700073312</v>
      </c>
      <c r="G76" s="282"/>
      <c r="H76" s="76">
        <v>6.7916330640214131</v>
      </c>
      <c r="I76" s="76">
        <v>8.5598888260252064</v>
      </c>
      <c r="J76" s="66">
        <v>5.5</v>
      </c>
      <c r="K76" s="67"/>
      <c r="L76" s="194">
        <v>0.66421052631578947</v>
      </c>
      <c r="M76" s="194">
        <v>0.60705263157894729</v>
      </c>
      <c r="N76" s="68">
        <v>1</v>
      </c>
      <c r="P76" s="69"/>
    </row>
    <row r="77" spans="2:57" ht="15">
      <c r="B77" s="37" t="s">
        <v>16</v>
      </c>
      <c r="C77" s="65"/>
      <c r="D77" s="76">
        <v>4.1414141414141357</v>
      </c>
      <c r="E77" s="76">
        <v>3.0301127264734369</v>
      </c>
      <c r="F77" s="66">
        <v>3.3</v>
      </c>
      <c r="G77" s="282"/>
      <c r="H77" s="76">
        <v>7.0415942868172152</v>
      </c>
      <c r="I77" s="76">
        <v>4.4974189022907662</v>
      </c>
      <c r="J77" s="66">
        <v>3.3</v>
      </c>
      <c r="K77" s="67"/>
      <c r="L77" s="194">
        <v>0.33298245614035088</v>
      </c>
      <c r="M77" s="194">
        <v>0.80374720357941831</v>
      </c>
      <c r="N77" s="71">
        <v>1</v>
      </c>
      <c r="P77" s="69"/>
    </row>
    <row r="78" spans="2:57" ht="15.75" thickBot="1">
      <c r="B78" s="38" t="s">
        <v>164</v>
      </c>
      <c r="C78" s="65"/>
      <c r="D78" s="76"/>
      <c r="E78" s="76">
        <v>11.483253588516746</v>
      </c>
      <c r="F78" s="66">
        <v>7.5</v>
      </c>
      <c r="G78" s="282"/>
      <c r="H78" s="76"/>
      <c r="I78" s="76">
        <v>9.7934336121043764</v>
      </c>
      <c r="J78" s="66">
        <v>7.5</v>
      </c>
      <c r="K78" s="67"/>
      <c r="M78" s="194">
        <v>0.32456140350877194</v>
      </c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>
        <v>7.2653644592663174</v>
      </c>
      <c r="F79" s="66">
        <v>4.8</v>
      </c>
      <c r="G79" s="282"/>
      <c r="H79" s="76"/>
      <c r="I79" s="76">
        <v>8.1715311054411259</v>
      </c>
      <c r="J79" s="66">
        <v>4.8</v>
      </c>
      <c r="K79" s="67"/>
      <c r="L79" s="194">
        <v>0</v>
      </c>
      <c r="M79" s="194">
        <v>0.51368421052631585</v>
      </c>
      <c r="N79" s="71">
        <v>1</v>
      </c>
      <c r="O79" s="74"/>
      <c r="P79" s="75"/>
    </row>
    <row r="80" spans="2:57" ht="15">
      <c r="D80" s="76">
        <v>5.61502312826806</v>
      </c>
      <c r="E80" s="76">
        <v>6.3406422903103055</v>
      </c>
      <c r="F80" s="341">
        <v>5.5</v>
      </c>
      <c r="H80" s="76">
        <v>7.1247836009503684</v>
      </c>
      <c r="I80" s="76">
        <v>6.6197079109367607</v>
      </c>
      <c r="J80" s="341">
        <v>5.5</v>
      </c>
      <c r="L80" s="194">
        <v>0.7295565302144249</v>
      </c>
      <c r="M80" s="194">
        <v>0.7228014537242865</v>
      </c>
      <c r="N80" s="386">
        <v>1</v>
      </c>
    </row>
    <row r="84" spans="6:6">
      <c r="F84" s="315"/>
    </row>
    <row r="85" spans="6:6" ht="15">
      <c r="F85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B45:B54"/>
    <mergeCell ref="D45:E46"/>
    <mergeCell ref="J45:K45"/>
    <mergeCell ref="L46:N46"/>
    <mergeCell ref="D47:E48"/>
    <mergeCell ref="D49:E50"/>
    <mergeCell ref="D51:E52"/>
    <mergeCell ref="D53:E54"/>
    <mergeCell ref="D55:E55"/>
    <mergeCell ref="B60:B61"/>
    <mergeCell ref="C60:C61"/>
    <mergeCell ref="D60:D61"/>
    <mergeCell ref="E60:E61"/>
    <mergeCell ref="M60:M61"/>
    <mergeCell ref="B69:F69"/>
    <mergeCell ref="G69:J69"/>
    <mergeCell ref="K69:N69"/>
    <mergeCell ref="G60:G61"/>
    <mergeCell ref="H60:H61"/>
    <mergeCell ref="I60:I61"/>
    <mergeCell ref="J60:J61"/>
    <mergeCell ref="K60:K61"/>
    <mergeCell ref="L60:L61"/>
    <mergeCell ref="F60:F61"/>
  </mergeCells>
  <conditionalFormatting sqref="B55:B56">
    <cfRule type="cellIs" dxfId="1792" priority="170" operator="notBetween">
      <formula>#REF!</formula>
      <formula>#REF!</formula>
    </cfRule>
  </conditionalFormatting>
  <conditionalFormatting sqref="C59">
    <cfRule type="cellIs" dxfId="1791" priority="201" stopIfTrue="1" operator="lessThan">
      <formula>96</formula>
    </cfRule>
    <cfRule type="cellIs" dxfId="1790" priority="202" stopIfTrue="1" operator="greaterThan">
      <formula>100</formula>
    </cfRule>
  </conditionalFormatting>
  <conditionalFormatting sqref="C71:C75">
    <cfRule type="cellIs" dxfId="1789" priority="151" stopIfTrue="1" operator="lessThanOrEqual">
      <formula>0</formula>
    </cfRule>
  </conditionalFormatting>
  <conditionalFormatting sqref="C71:C79">
    <cfRule type="cellIs" dxfId="1788" priority="150" stopIfTrue="1" operator="greaterThan">
      <formula>$F71</formula>
    </cfRule>
  </conditionalFormatting>
  <conditionalFormatting sqref="C72">
    <cfRule type="cellIs" dxfId="1787" priority="205" stopIfTrue="1" operator="greaterThan">
      <formula>$F71</formula>
    </cfRule>
  </conditionalFormatting>
  <conditionalFormatting sqref="C76">
    <cfRule type="cellIs" dxfId="1786" priority="62" stopIfTrue="1" operator="greaterThan">
      <formula>$F75</formula>
    </cfRule>
    <cfRule type="cellIs" dxfId="1785" priority="61" stopIfTrue="1" operator="lessThanOrEqual">
      <formula>0</formula>
    </cfRule>
  </conditionalFormatting>
  <conditionalFormatting sqref="C82:C86">
    <cfRule type="cellIs" dxfId="1784" priority="193" stopIfTrue="1" operator="lessThanOrEqual">
      <formula>0</formula>
    </cfRule>
  </conditionalFormatting>
  <conditionalFormatting sqref="C83:C86">
    <cfRule type="cellIs" dxfId="1783" priority="192" stopIfTrue="1" operator="greaterThan">
      <formula>$F$82</formula>
    </cfRule>
  </conditionalFormatting>
  <conditionalFormatting sqref="C88">
    <cfRule type="cellIs" dxfId="1782" priority="195" stopIfTrue="1" operator="lessThanOrEqual">
      <formula>0</formula>
    </cfRule>
    <cfRule type="cellIs" dxfId="1781" priority="194" stopIfTrue="1" operator="greaterThan">
      <formula>$F$82</formula>
    </cfRule>
  </conditionalFormatting>
  <conditionalFormatting sqref="C82:D82 D84:D90">
    <cfRule type="cellIs" dxfId="1780" priority="187" stopIfTrue="1" operator="greaterThan">
      <formula>4.5</formula>
    </cfRule>
  </conditionalFormatting>
  <conditionalFormatting sqref="D55:D56">
    <cfRule type="cellIs" dxfId="1779" priority="171" operator="notBetween">
      <formula>#REF!</formula>
      <formula>#REF!</formula>
    </cfRule>
  </conditionalFormatting>
  <conditionalFormatting sqref="D71:D78">
    <cfRule type="cellIs" dxfId="1778" priority="165" stopIfTrue="1" operator="lessThanOrEqual">
      <formula>0</formula>
    </cfRule>
  </conditionalFormatting>
  <conditionalFormatting sqref="D79">
    <cfRule type="cellIs" dxfId="1777" priority="164" stopIfTrue="1" operator="lessThanOrEqual">
      <formula>0</formula>
    </cfRule>
  </conditionalFormatting>
  <conditionalFormatting sqref="D82 D84:D90">
    <cfRule type="cellIs" dxfId="1776" priority="188" stopIfTrue="1" operator="lessThanOrEqual">
      <formula>0</formula>
    </cfRule>
  </conditionalFormatting>
  <conditionalFormatting sqref="D83">
    <cfRule type="cellIs" dxfId="1775" priority="180" stopIfTrue="1" operator="lessThanOrEqual">
      <formula>0</formula>
    </cfRule>
    <cfRule type="cellIs" dxfId="1774" priority="179" stopIfTrue="1" operator="greaterThan">
      <formula>$F$82</formula>
    </cfRule>
  </conditionalFormatting>
  <conditionalFormatting sqref="D71:E80">
    <cfRule type="cellIs" dxfId="1773" priority="147" stopIfTrue="1" operator="greaterThan">
      <formula>$F71</formula>
    </cfRule>
  </conditionalFormatting>
  <conditionalFormatting sqref="D80:E80">
    <cfRule type="cellIs" dxfId="1772" priority="148" stopIfTrue="1" operator="lessThanOrEqual">
      <formula>0</formula>
    </cfRule>
  </conditionalFormatting>
  <conditionalFormatting sqref="E10:E30">
    <cfRule type="cellIs" dxfId="1771" priority="28" operator="lessThan">
      <formula>48</formula>
    </cfRule>
  </conditionalFormatting>
  <conditionalFormatting sqref="E58 E59:F59">
    <cfRule type="cellIs" dxfId="1770" priority="184" stopIfTrue="1" operator="greaterThan">
      <formula>100</formula>
    </cfRule>
  </conditionalFormatting>
  <conditionalFormatting sqref="E59">
    <cfRule type="cellIs" dxfId="1769" priority="182" stopIfTrue="1" operator="greaterThan">
      <formula>100</formula>
    </cfRule>
    <cfRule type="cellIs" dxfId="1768" priority="181" stopIfTrue="1" operator="lessThan">
      <formula>96.8</formula>
    </cfRule>
  </conditionalFormatting>
  <conditionalFormatting sqref="E71:E79">
    <cfRule type="cellIs" dxfId="1767" priority="159" stopIfTrue="1" operator="lessThanOrEqual">
      <formula>0</formula>
    </cfRule>
  </conditionalFormatting>
  <conditionalFormatting sqref="E82:E90">
    <cfRule type="cellIs" dxfId="1766" priority="173" stopIfTrue="1" operator="greaterThan">
      <formula>4.5</formula>
    </cfRule>
    <cfRule type="cellIs" dxfId="1765" priority="174" stopIfTrue="1" operator="lessThanOrEqual">
      <formula>0</formula>
    </cfRule>
  </conditionalFormatting>
  <conditionalFormatting sqref="E59:F59 E58">
    <cfRule type="cellIs" dxfId="1764" priority="183" stopIfTrue="1" operator="lessThan">
      <formula>96.5</formula>
    </cfRule>
  </conditionalFormatting>
  <conditionalFormatting sqref="F10:F30">
    <cfRule type="cellIs" dxfId="1763" priority="29" operator="greaterThan">
      <formula>60</formula>
    </cfRule>
  </conditionalFormatting>
  <conditionalFormatting sqref="F59">
    <cfRule type="cellIs" dxfId="1762" priority="199" stopIfTrue="1" operator="lessThan">
      <formula>96.8</formula>
    </cfRule>
    <cfRule type="cellIs" dxfId="1761" priority="200" stopIfTrue="1" operator="greaterThan">
      <formula>100</formula>
    </cfRule>
  </conditionalFormatting>
  <conditionalFormatting sqref="F80">
    <cfRule type="cellIs" dxfId="1760" priority="161" stopIfTrue="1" operator="lessThanOrEqual">
      <formula>0</formula>
    </cfRule>
    <cfRule type="cellIs" dxfId="1759" priority="160" stopIfTrue="1" operator="greaterThan">
      <formula>$F80</formula>
    </cfRule>
  </conditionalFormatting>
  <conditionalFormatting sqref="F85">
    <cfRule type="cellIs" dxfId="1758" priority="118" stopIfTrue="1" operator="lessThanOrEqual">
      <formula>0</formula>
    </cfRule>
    <cfRule type="cellIs" dxfId="1757" priority="117" stopIfTrue="1" operator="greaterThan">
      <formula>$F85</formula>
    </cfRule>
  </conditionalFormatting>
  <conditionalFormatting sqref="G10 G12:G17">
    <cfRule type="expression" dxfId="1756" priority="3">
      <formula>IF(+(IF(G10&lt;#REF!,0,IF(G10&gt;#REF!,0,1)))=0,1)</formula>
    </cfRule>
  </conditionalFormatting>
  <conditionalFormatting sqref="G11">
    <cfRule type="expression" dxfId="1755" priority="2">
      <formula>IF(+(IF(G11&lt;S11,0,IF(G11&gt;T11,0,1)))=0,1)</formula>
    </cfRule>
  </conditionalFormatting>
  <conditionalFormatting sqref="G19">
    <cfRule type="expression" dxfId="1754" priority="1">
      <formula>IF(+(IF(G19&lt;S19,0,IF(G19&gt;T19,0,1)))=0,1)</formula>
    </cfRule>
  </conditionalFormatting>
  <conditionalFormatting sqref="G21:G25">
    <cfRule type="expression" dxfId="1753" priority="14">
      <formula>IF(+(IF(G21&lt;S21,0,IF(G21&gt;T21,0,1)))=0,1)</formula>
    </cfRule>
  </conditionalFormatting>
  <conditionalFormatting sqref="G71:G72 C77:C79">
    <cfRule type="cellIs" dxfId="1752" priority="167" stopIfTrue="1" operator="lessThanOrEqual">
      <formula>0</formula>
    </cfRule>
  </conditionalFormatting>
  <conditionalFormatting sqref="G71:G72">
    <cfRule type="cellIs" dxfId="1751" priority="152" stopIfTrue="1" operator="greaterThan">
      <formula>$F71</formula>
    </cfRule>
    <cfRule type="cellIs" dxfId="1750" priority="153" stopIfTrue="1" operator="lessThanOrEqual">
      <formula>0</formula>
    </cfRule>
    <cfRule type="cellIs" dxfId="1749" priority="166" stopIfTrue="1" operator="greaterThan">
      <formula>$F71</formula>
    </cfRule>
  </conditionalFormatting>
  <conditionalFormatting sqref="G73">
    <cfRule type="cellIs" dxfId="1748" priority="204" stopIfTrue="1" operator="lessThanOrEqual">
      <formula>0</formula>
    </cfRule>
    <cfRule type="cellIs" dxfId="1747" priority="203" stopIfTrue="1" operator="greaterThan">
      <formula>$F72</formula>
    </cfRule>
  </conditionalFormatting>
  <conditionalFormatting sqref="G74">
    <cfRule type="cellIs" dxfId="1746" priority="163" stopIfTrue="1" operator="lessThanOrEqual">
      <formula>0</formula>
    </cfRule>
    <cfRule type="cellIs" dxfId="1745" priority="162" stopIfTrue="1" operator="greaterThan">
      <formula>$F74</formula>
    </cfRule>
  </conditionalFormatting>
  <conditionalFormatting sqref="G75:G79">
    <cfRule type="cellIs" dxfId="1744" priority="168" stopIfTrue="1" operator="greaterThan">
      <formula>$J75</formula>
    </cfRule>
    <cfRule type="cellIs" dxfId="1743" priority="169" stopIfTrue="1" operator="lessThanOrEqual">
      <formula>0</formula>
    </cfRule>
  </conditionalFormatting>
  <conditionalFormatting sqref="G84:G89 C87 C89">
    <cfRule type="cellIs" dxfId="1742" priority="196" stopIfTrue="1" operator="greaterThan">
      <formula>4.5</formula>
    </cfRule>
    <cfRule type="cellIs" dxfId="1741" priority="197" stopIfTrue="1" operator="lessThanOrEqual">
      <formula>0</formula>
    </cfRule>
  </conditionalFormatting>
  <conditionalFormatting sqref="G26:H30">
    <cfRule type="expression" dxfId="1740" priority="71">
      <formula>IF(+(IF(G26&lt;#REF!,0,IF(G26&gt;#REF!,0,1)))=0,1)</formula>
    </cfRule>
  </conditionalFormatting>
  <conditionalFormatting sqref="G83:H83">
    <cfRule type="cellIs" dxfId="1739" priority="177" stopIfTrue="1" operator="greaterThan">
      <formula>$F$82</formula>
    </cfRule>
    <cfRule type="cellIs" dxfId="1738" priority="178" stopIfTrue="1" operator="lessThanOrEqual">
      <formula>0</formula>
    </cfRule>
  </conditionalFormatting>
  <conditionalFormatting sqref="H10:H17 G18:H18 H19 G20:H20 H21:H25">
    <cfRule type="expression" dxfId="1737" priority="32">
      <formula>IF(+(IF(G10&lt;#REF!,0,IF(G10&gt;#REF!,0,1)))=0,1)</formula>
    </cfRule>
  </conditionalFormatting>
  <conditionalFormatting sqref="H44:H58">
    <cfRule type="cellIs" dxfId="1736" priority="175" stopIfTrue="1" operator="greaterThan">
      <formula>0</formula>
    </cfRule>
  </conditionalFormatting>
  <conditionalFormatting sqref="H62">
    <cfRule type="cellIs" dxfId="1735" priority="86" stopIfTrue="1" operator="lessThanOrEqual">
      <formula>0</formula>
    </cfRule>
    <cfRule type="cellIs" dxfId="1734" priority="87" stopIfTrue="1" operator="greaterThan">
      <formula>$F$27</formula>
    </cfRule>
    <cfRule type="cellIs" dxfId="1733" priority="76" stopIfTrue="1" operator="lessThanOrEqual">
      <formula>0</formula>
    </cfRule>
    <cfRule type="cellIs" dxfId="1732" priority="77" stopIfTrue="1" operator="greaterThan">
      <formula>#REF!</formula>
    </cfRule>
    <cfRule type="cellIs" dxfId="1731" priority="85" stopIfTrue="1" operator="greaterThan">
      <formula>$F$29</formula>
    </cfRule>
    <cfRule type="cellIs" dxfId="1730" priority="88" stopIfTrue="1" operator="lessThanOrEqual">
      <formula>0</formula>
    </cfRule>
  </conditionalFormatting>
  <conditionalFormatting sqref="H63">
    <cfRule type="cellIs" dxfId="1729" priority="104" stopIfTrue="1" operator="lessThanOrEqual">
      <formula>0</formula>
    </cfRule>
    <cfRule type="cellIs" dxfId="1728" priority="105" stopIfTrue="1" operator="greaterThan">
      <formula>$F$28</formula>
    </cfRule>
    <cfRule type="cellIs" dxfId="1727" priority="113" stopIfTrue="1" operator="greaterThan">
      <formula>$F$31</formula>
    </cfRule>
    <cfRule type="cellIs" dxfId="1726" priority="114" stopIfTrue="1" operator="lessThanOrEqual">
      <formula>0</formula>
    </cfRule>
    <cfRule type="cellIs" dxfId="1725" priority="116" stopIfTrue="1" operator="lessThanOrEqual">
      <formula>0</formula>
    </cfRule>
    <cfRule type="cellIs" dxfId="1724" priority="115" stopIfTrue="1" operator="greaterThan">
      <formula>$F$29</formula>
    </cfRule>
  </conditionalFormatting>
  <conditionalFormatting sqref="H64">
    <cfRule type="cellIs" dxfId="1723" priority="58" stopIfTrue="1" operator="lessThanOrEqual">
      <formula>0</formula>
    </cfRule>
    <cfRule type="cellIs" dxfId="1722" priority="57" stopIfTrue="1" operator="greaterThan">
      <formula>$F$29</formula>
    </cfRule>
    <cfRule type="cellIs" dxfId="1721" priority="49" stopIfTrue="1" operator="greaterThan">
      <formula>#REF!</formula>
    </cfRule>
    <cfRule type="cellIs" dxfId="1720" priority="48" stopIfTrue="1" operator="lessThanOrEqual">
      <formula>0</formula>
    </cfRule>
    <cfRule type="cellIs" dxfId="1719" priority="60" stopIfTrue="1" operator="lessThanOrEqual">
      <formula>0</formula>
    </cfRule>
    <cfRule type="cellIs" dxfId="1718" priority="59" stopIfTrue="1" operator="greaterThan">
      <formula>$F$27</formula>
    </cfRule>
  </conditionalFormatting>
  <conditionalFormatting sqref="H65:H66">
    <cfRule type="cellIs" dxfId="1717" priority="90" stopIfTrue="1" operator="lessThanOrEqual">
      <formula>0</formula>
    </cfRule>
    <cfRule type="cellIs" dxfId="1716" priority="102" stopIfTrue="1" operator="lessThanOrEqual">
      <formula>0</formula>
    </cfRule>
    <cfRule type="cellIs" dxfId="1715" priority="99" stopIfTrue="1" operator="greaterThan">
      <formula>$F$30</formula>
    </cfRule>
    <cfRule type="cellIs" dxfId="1714" priority="100" stopIfTrue="1" operator="lessThanOrEqual">
      <formula>0</formula>
    </cfRule>
    <cfRule type="cellIs" dxfId="1713" priority="101" stopIfTrue="1" operator="greaterThan">
      <formula>$F$28</formula>
    </cfRule>
    <cfRule type="cellIs" dxfId="1712" priority="91" stopIfTrue="1" operator="greaterThan">
      <formula>$F$27</formula>
    </cfRule>
  </conditionalFormatting>
  <conditionalFormatting sqref="H67">
    <cfRule type="cellIs" dxfId="1711" priority="133" stopIfTrue="1" operator="lessThanOrEqual">
      <formula>0</formula>
    </cfRule>
    <cfRule type="cellIs" dxfId="1710" priority="132" stopIfTrue="1" operator="greaterThan">
      <formula>$F$44</formula>
    </cfRule>
    <cfRule type="cellIs" dxfId="1709" priority="131" stopIfTrue="1" operator="lessThanOrEqual">
      <formula>0</formula>
    </cfRule>
    <cfRule type="cellIs" dxfId="1708" priority="130" stopIfTrue="1" operator="greaterThan">
      <formula>$F$46</formula>
    </cfRule>
    <cfRule type="cellIs" dxfId="1707" priority="122" stopIfTrue="1" operator="greaterThan">
      <formula>$F$43</formula>
    </cfRule>
    <cfRule type="cellIs" dxfId="1706" priority="121" stopIfTrue="1" operator="lessThanOrEqual">
      <formula>0</formula>
    </cfRule>
  </conditionalFormatting>
  <conditionalFormatting sqref="H71:H78">
    <cfRule type="cellIs" dxfId="1705" priority="155" stopIfTrue="1" operator="lessThanOrEqual">
      <formula>0</formula>
    </cfRule>
    <cfRule type="cellIs" dxfId="1704" priority="154" stopIfTrue="1" operator="greaterThan">
      <formula>$J71</formula>
    </cfRule>
  </conditionalFormatting>
  <conditionalFormatting sqref="H79">
    <cfRule type="cellIs" dxfId="1703" priority="156" operator="greaterThan">
      <formula>5.3</formula>
    </cfRule>
  </conditionalFormatting>
  <conditionalFormatting sqref="H82 H84:H90">
    <cfRule type="cellIs" dxfId="1702" priority="189" stopIfTrue="1" operator="greaterThan">
      <formula>4.5</formula>
    </cfRule>
    <cfRule type="cellIs" dxfId="1701" priority="190" stopIfTrue="1" operator="lessThanOrEqual">
      <formula>0</formula>
    </cfRule>
  </conditionalFormatting>
  <conditionalFormatting sqref="H62:I62">
    <cfRule type="cellIs" dxfId="1700" priority="75" stopIfTrue="1" operator="greaterThan">
      <formula>$F$28</formula>
    </cfRule>
    <cfRule type="cellIs" dxfId="1699" priority="78" stopIfTrue="1" operator="lessThanOrEqual">
      <formula>0</formula>
    </cfRule>
  </conditionalFormatting>
  <conditionalFormatting sqref="H63:I63">
    <cfRule type="cellIs" dxfId="1698" priority="103" stopIfTrue="1" operator="greaterThan">
      <formula>$F$30</formula>
    </cfRule>
    <cfRule type="cellIs" dxfId="1697" priority="106" stopIfTrue="1" operator="lessThanOrEqual">
      <formula>0</formula>
    </cfRule>
  </conditionalFormatting>
  <conditionalFormatting sqref="H64:I64">
    <cfRule type="cellIs" dxfId="1696" priority="50" stopIfTrue="1" operator="lessThanOrEqual">
      <formula>0</formula>
    </cfRule>
    <cfRule type="cellIs" dxfId="1695" priority="47" stopIfTrue="1" operator="greaterThan">
      <formula>$F$28</formula>
    </cfRule>
  </conditionalFormatting>
  <conditionalFormatting sqref="H65:I66">
    <cfRule type="cellIs" dxfId="1694" priority="89" stopIfTrue="1" operator="greaterThan">
      <formula>$F$29</formula>
    </cfRule>
    <cfRule type="cellIs" dxfId="1693" priority="92" stopIfTrue="1" operator="lessThanOrEqual">
      <formula>0</formula>
    </cfRule>
  </conditionalFormatting>
  <conditionalFormatting sqref="H67:I67">
    <cfRule type="cellIs" dxfId="1692" priority="120" stopIfTrue="1" operator="greaterThan">
      <formula>$F$45</formula>
    </cfRule>
    <cfRule type="cellIs" dxfId="1691" priority="123" stopIfTrue="1" operator="lessThanOrEqual">
      <formula>0</formula>
    </cfRule>
  </conditionalFormatting>
  <conditionalFormatting sqref="H80:I80">
    <cfRule type="cellIs" dxfId="1690" priority="145" stopIfTrue="1" operator="greaterThan">
      <formula>$J80</formula>
    </cfRule>
    <cfRule type="cellIs" dxfId="1689" priority="146" stopIfTrue="1" operator="lessThanOrEqual">
      <formula>0</formula>
    </cfRule>
  </conditionalFormatting>
  <conditionalFormatting sqref="I62">
    <cfRule type="cellIs" dxfId="1688" priority="84" stopIfTrue="1" operator="lessThanOrEqual">
      <formula>0</formula>
    </cfRule>
    <cfRule type="cellIs" dxfId="1687" priority="79" stopIfTrue="1" operator="greaterThan">
      <formula>#REF!</formula>
    </cfRule>
    <cfRule type="cellIs" dxfId="1686" priority="81" stopIfTrue="1" operator="greaterThan">
      <formula>$F$28</formula>
    </cfRule>
    <cfRule type="cellIs" dxfId="1685" priority="82" stopIfTrue="1" operator="lessThanOrEqual">
      <formula>0</formula>
    </cfRule>
    <cfRule type="cellIs" dxfId="1684" priority="83" stopIfTrue="1" operator="greaterThan">
      <formula>#REF!</formula>
    </cfRule>
    <cfRule type="cellIs" dxfId="1683" priority="80" stopIfTrue="1" operator="lessThanOrEqual">
      <formula>0</formula>
    </cfRule>
  </conditionalFormatting>
  <conditionalFormatting sqref="I63">
    <cfRule type="cellIs" dxfId="1682" priority="112" stopIfTrue="1" operator="lessThanOrEqual">
      <formula>0</formula>
    </cfRule>
    <cfRule type="cellIs" dxfId="1681" priority="107" stopIfTrue="1" operator="greaterThan">
      <formula>$F$28</formula>
    </cfRule>
    <cfRule type="cellIs" dxfId="1680" priority="109" stopIfTrue="1" operator="greaterThan">
      <formula>$F$30</formula>
    </cfRule>
    <cfRule type="cellIs" dxfId="1679" priority="108" stopIfTrue="1" operator="lessThanOrEqual">
      <formula>0</formula>
    </cfRule>
    <cfRule type="cellIs" dxfId="1678" priority="111" stopIfTrue="1" operator="greaterThan">
      <formula>$F$28</formula>
    </cfRule>
    <cfRule type="cellIs" dxfId="1677" priority="110" stopIfTrue="1" operator="lessThanOrEqual">
      <formula>0</formula>
    </cfRule>
  </conditionalFormatting>
  <conditionalFormatting sqref="I64">
    <cfRule type="cellIs" dxfId="1676" priority="52" stopIfTrue="1" operator="lessThanOrEqual">
      <formula>0</formula>
    </cfRule>
    <cfRule type="cellIs" dxfId="1675" priority="56" stopIfTrue="1" operator="lessThanOrEqual">
      <formula>0</formula>
    </cfRule>
    <cfRule type="cellIs" dxfId="1674" priority="55" stopIfTrue="1" operator="greaterThan">
      <formula>#REF!</formula>
    </cfRule>
    <cfRule type="cellIs" dxfId="1673" priority="54" stopIfTrue="1" operator="lessThanOrEqual">
      <formula>0</formula>
    </cfRule>
    <cfRule type="cellIs" dxfId="1672" priority="53" stopIfTrue="1" operator="greaterThan">
      <formula>$F$28</formula>
    </cfRule>
    <cfRule type="cellIs" dxfId="1671" priority="51" stopIfTrue="1" operator="greaterThan">
      <formula>#REF!</formula>
    </cfRule>
  </conditionalFormatting>
  <conditionalFormatting sqref="I65:I66">
    <cfRule type="cellIs" dxfId="1670" priority="98" stopIfTrue="1" operator="lessThanOrEqual">
      <formula>0</formula>
    </cfRule>
    <cfRule type="cellIs" dxfId="1669" priority="97" stopIfTrue="1" operator="greaterThan">
      <formula>$F$27</formula>
    </cfRule>
    <cfRule type="cellIs" dxfId="1668" priority="96" stopIfTrue="1" operator="lessThanOrEqual">
      <formula>0</formula>
    </cfRule>
    <cfRule type="cellIs" dxfId="1667" priority="93" stopIfTrue="1" operator="greaterThan">
      <formula>$F$27</formula>
    </cfRule>
    <cfRule type="cellIs" dxfId="1666" priority="94" stopIfTrue="1" operator="lessThanOrEqual">
      <formula>0</formula>
    </cfRule>
    <cfRule type="cellIs" dxfId="1665" priority="95" stopIfTrue="1" operator="greaterThan">
      <formula>$F$29</formula>
    </cfRule>
  </conditionalFormatting>
  <conditionalFormatting sqref="I67">
    <cfRule type="cellIs" dxfId="1664" priority="129" stopIfTrue="1" operator="lessThanOrEqual">
      <formula>0</formula>
    </cfRule>
    <cfRule type="cellIs" dxfId="1663" priority="128" stopIfTrue="1" operator="greaterThan">
      <formula>$F$43</formula>
    </cfRule>
    <cfRule type="cellIs" dxfId="1662" priority="126" stopIfTrue="1" operator="greaterThan">
      <formula>$F$45</formula>
    </cfRule>
    <cfRule type="cellIs" dxfId="1661" priority="125" stopIfTrue="1" operator="lessThanOrEqual">
      <formula>0</formula>
    </cfRule>
    <cfRule type="cellIs" dxfId="1660" priority="124" stopIfTrue="1" operator="greaterThan">
      <formula>$F$43</formula>
    </cfRule>
    <cfRule type="cellIs" dxfId="1659" priority="127" stopIfTrue="1" operator="lessThanOrEqual">
      <formula>0</formula>
    </cfRule>
  </conditionalFormatting>
  <conditionalFormatting sqref="I71:I79">
    <cfRule type="cellIs" dxfId="1658" priority="158" stopIfTrue="1" operator="lessThanOrEqual">
      <formula>0</formula>
    </cfRule>
    <cfRule type="cellIs" dxfId="1657" priority="157" stopIfTrue="1" operator="greaterThan">
      <formula>$J71</formula>
    </cfRule>
  </conditionalFormatting>
  <conditionalFormatting sqref="I82:I90">
    <cfRule type="cellIs" dxfId="1656" priority="185" stopIfTrue="1" operator="greaterThan">
      <formula>4.5</formula>
    </cfRule>
    <cfRule type="cellIs" dxfId="1655" priority="186" stopIfTrue="1" operator="lessThanOrEqual">
      <formula>0</formula>
    </cfRule>
  </conditionalFormatting>
  <conditionalFormatting sqref="I10:J30">
    <cfRule type="cellIs" dxfId="1654" priority="20" operator="lessThan">
      <formula>97.9</formula>
    </cfRule>
  </conditionalFormatting>
  <conditionalFormatting sqref="J33:J35">
    <cfRule type="cellIs" dxfId="1653" priority="136" stopIfTrue="1" operator="greaterThan">
      <formula>100</formula>
    </cfRule>
    <cfRule type="cellIs" dxfId="1652" priority="137" operator="lessThan">
      <formula>98</formula>
    </cfRule>
    <cfRule type="cellIs" dxfId="1651" priority="135" stopIfTrue="1" operator="lessThan">
      <formula>96.8</formula>
    </cfRule>
  </conditionalFormatting>
  <conditionalFormatting sqref="J33:J37">
    <cfRule type="cellIs" dxfId="1650" priority="134" operator="lessThan">
      <formula>97.4</formula>
    </cfRule>
  </conditionalFormatting>
  <conditionalFormatting sqref="J38">
    <cfRule type="cellIs" dxfId="1649" priority="138" operator="lessThan">
      <formula>98</formula>
    </cfRule>
  </conditionalFormatting>
  <conditionalFormatting sqref="J40:J41">
    <cfRule type="cellIs" dxfId="1648" priority="139" stopIfTrue="1" operator="lessThan">
      <formula>96.8</formula>
    </cfRule>
    <cfRule type="cellIs" dxfId="1647" priority="140" stopIfTrue="1" operator="greaterThan">
      <formula>100</formula>
    </cfRule>
  </conditionalFormatting>
  <conditionalFormatting sqref="J40:J42">
    <cfRule type="cellIs" dxfId="1646" priority="141" operator="lessThan">
      <formula>98</formula>
    </cfRule>
  </conditionalFormatting>
  <conditionalFormatting sqref="J80">
    <cfRule type="cellIs" dxfId="1645" priority="142" stopIfTrue="1" operator="greaterThan">
      <formula>$F80</formula>
    </cfRule>
    <cfRule type="cellIs" dxfId="1644" priority="143" stopIfTrue="1" operator="lessThanOrEqual">
      <formula>0</formula>
    </cfRule>
  </conditionalFormatting>
  <conditionalFormatting sqref="K10:K30">
    <cfRule type="cellIs" dxfId="1643" priority="19" operator="greaterThan">
      <formula>6.4</formula>
    </cfRule>
    <cfRule type="cellIs" dxfId="1642" priority="18" operator="lessThan">
      <formula>4</formula>
    </cfRule>
    <cfRule type="cellIs" dxfId="1641" priority="17" operator="greaterThan">
      <formula>6</formula>
    </cfRule>
  </conditionalFormatting>
  <conditionalFormatting sqref="K62:K67 K71:N77 K78 M78:N78 K79:N79">
    <cfRule type="cellIs" dxfId="1640" priority="119" stopIfTrue="1" operator="lessThan">
      <formula>100%</formula>
    </cfRule>
  </conditionalFormatting>
  <conditionalFormatting sqref="K82:K87">
    <cfRule type="cellIs" dxfId="1639" priority="191" stopIfTrue="1" operator="lessThan">
      <formula>100%</formula>
    </cfRule>
  </conditionalFormatting>
  <conditionalFormatting sqref="K89:K90">
    <cfRule type="cellIs" dxfId="1638" priority="198" stopIfTrue="1" operator="lessThan">
      <formula>100%</formula>
    </cfRule>
  </conditionalFormatting>
  <conditionalFormatting sqref="L19:L25">
    <cfRule type="cellIs" dxfId="1637" priority="23" operator="greaterThan">
      <formula>65</formula>
    </cfRule>
    <cfRule type="cellIs" dxfId="1636" priority="22" operator="between">
      <formula>61</formula>
      <formula>65</formula>
    </cfRule>
  </conditionalFormatting>
  <conditionalFormatting sqref="L10:M18 L26:M26 L27:L30">
    <cfRule type="cellIs" dxfId="1635" priority="72" operator="between">
      <formula>61</formula>
      <formula>65</formula>
    </cfRule>
    <cfRule type="cellIs" dxfId="1634" priority="73" operator="greaterThan">
      <formula>65</formula>
    </cfRule>
  </conditionalFormatting>
  <conditionalFormatting sqref="L33:M44">
    <cfRule type="cellIs" dxfId="1633" priority="149" operator="lessThan">
      <formula>98</formula>
    </cfRule>
  </conditionalFormatting>
  <conditionalFormatting sqref="L48:N48">
    <cfRule type="cellIs" dxfId="1632" priority="74" operator="notEqual">
      <formula>#REF!</formula>
    </cfRule>
  </conditionalFormatting>
  <conditionalFormatting sqref="L80:N80">
    <cfRule type="cellIs" dxfId="1631" priority="144" stopIfTrue="1" operator="lessThan">
      <formula>100%</formula>
    </cfRule>
  </conditionalFormatting>
  <conditionalFormatting sqref="L82:N90">
    <cfRule type="cellIs" dxfId="1630" priority="176" stopIfTrue="1" operator="lessThan">
      <formula>100%</formula>
    </cfRule>
  </conditionalFormatting>
  <conditionalFormatting sqref="M10:M30">
    <cfRule type="expression" dxfId="1629" priority="21">
      <formula>IF(+(IF(M10&lt;U10,0,IF(M10&gt;V10,0,1)))=0,1)</formula>
    </cfRule>
  </conditionalFormatting>
  <conditionalFormatting sqref="N10:N30">
    <cfRule type="expression" dxfId="1628" priority="16">
      <formula>IF(+(IF(N10&lt;W10,0,IF(N10&gt;X10,0,1)))=0,1)</formula>
    </cfRule>
  </conditionalFormatting>
  <conditionalFormatting sqref="P6">
    <cfRule type="cellIs" dxfId="1627" priority="172" operator="greaterThanOrEqual">
      <formula>19</formula>
    </cfRule>
  </conditionalFormatting>
  <dataValidations count="1">
    <dataValidation type="list" allowBlank="1" showInputMessage="1" showErrorMessage="1" sqref="R8" xr:uid="{C2BBFC62-CEDD-46CD-BF10-529429A6F46F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66794-DE83-4C33-9BBB-E83D2E14B661}">
  <sheetPr>
    <pageSetUpPr fitToPage="1"/>
  </sheetPr>
  <dimension ref="A1:BE82"/>
  <sheetViews>
    <sheetView topLeftCell="A6" zoomScale="90" zoomScaleNormal="90" workbookViewId="0">
      <selection activeCell="K47" sqref="K4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45888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2" t="s">
        <v>33</v>
      </c>
      <c r="C10" s="366" t="str">
        <f>[26]Brewhouse!A68</f>
        <v>VM057</v>
      </c>
      <c r="D10" s="279">
        <f>[26]Brewhouse!AE68</f>
        <v>50.7</v>
      </c>
      <c r="E10" s="279">
        <f>[26]Brewhouse!AJ68</f>
        <v>46.5</v>
      </c>
      <c r="F10" s="278">
        <f>[26]Brewhouse!X68</f>
        <v>77</v>
      </c>
      <c r="G10" s="279">
        <f>[26]Brewhouse!AH68</f>
        <v>14.3</v>
      </c>
      <c r="H10" s="396">
        <v>14.5</v>
      </c>
      <c r="I10" s="368">
        <f>[26]Brewhouse!AV68</f>
        <v>94.10791616839218</v>
      </c>
      <c r="J10" s="368">
        <f>[26]Brewhouse!AW68</f>
        <v>94.45023164068958</v>
      </c>
      <c r="K10" s="281">
        <f>[26]Brewhouse!S68</f>
        <v>3.8658777120315735</v>
      </c>
      <c r="L10" s="276">
        <f>[26]Brewhouse!R68</f>
        <v>56</v>
      </c>
      <c r="M10" s="374">
        <f>[26]Brewhouse!$W68-[26]Brewhouse!$V68</f>
        <v>0.12708333333333333</v>
      </c>
      <c r="N10" s="370">
        <f>[26]Brewhouse!AB68</f>
        <v>0.27638888888888891</v>
      </c>
      <c r="O10" s="371" t="str">
        <f>[26]Brewhouse!$AZ68</f>
        <v>R.Sookram</v>
      </c>
      <c r="P10" s="418"/>
      <c r="R10" s="277" t="str">
        <f t="shared" ref="R10:R29" si="0">B10</f>
        <v>VITAMALT</v>
      </c>
      <c r="S10" s="296">
        <f t="shared" ref="S10:S18" si="1">VLOOKUP($B10,$R$3:$X$9,2,FALSE)</f>
        <v>14.2</v>
      </c>
      <c r="T10" s="296">
        <f t="shared" ref="T10:T18" si="2">VLOOKUP($B10,$R$3:$X$9,3,FALSE)</f>
        <v>14.6</v>
      </c>
      <c r="U10" s="297">
        <f t="shared" ref="U10:U29" si="3">VLOOKUP($B10,$R$3:$X$9,4,FALSE)</f>
        <v>0</v>
      </c>
      <c r="V10" s="297">
        <f t="shared" ref="V10:V29" si="4">VLOOKUP($B10,$R$3:$X$9,5,FALSE)</f>
        <v>0.13905092592592591</v>
      </c>
      <c r="W10" s="297">
        <f t="shared" ref="W10:W29" si="5">VLOOKUP($B10,$R$3:$X$9,6,FALSE)</f>
        <v>0.26041666666666669</v>
      </c>
      <c r="X10" s="297">
        <f t="shared" ref="X10:X29" si="6">VLOOKUP($B10,$R$3:$X$9,7,FALSE)</f>
        <v>0.2951388888888889</v>
      </c>
      <c r="Y10" s="297">
        <f t="shared" ref="Y10:Y29" si="7">VLOOKUP($B10,$R$3:$Z$9,8,FALSE)</f>
        <v>0</v>
      </c>
      <c r="Z10" s="296">
        <f t="shared" ref="Z10:Z29" si="8">VLOOKUP($B10,$R$3:$Z$9,9,FALSE)</f>
        <v>75</v>
      </c>
    </row>
    <row r="11" spans="2:29" ht="15.75" customHeight="1">
      <c r="B11" s="22" t="s">
        <v>33</v>
      </c>
      <c r="C11" s="366" t="str">
        <f>[26]Brewhouse!A69</f>
        <v>VM058</v>
      </c>
      <c r="D11" s="279">
        <f>[26]Brewhouse!AE69</f>
        <v>52.4</v>
      </c>
      <c r="E11" s="279">
        <f>[26]Brewhouse!AJ69</f>
        <v>48.6</v>
      </c>
      <c r="F11" s="278">
        <f>[26]Brewhouse!X69</f>
        <v>87</v>
      </c>
      <c r="G11" s="279">
        <f>[26]Brewhouse!AH69</f>
        <v>14.2</v>
      </c>
      <c r="H11" s="396">
        <v>14.2</v>
      </c>
      <c r="I11" s="368">
        <f>[26]Brewhouse!AV69</f>
        <v>97.641436216620463</v>
      </c>
      <c r="J11" s="368">
        <f>[26]Brewhouse!AW69</f>
        <v>97.996604790266076</v>
      </c>
      <c r="K11" s="281">
        <f>[26]Brewhouse!S69</f>
        <v>5.4580152671755577</v>
      </c>
      <c r="L11" s="276">
        <f>[26]Brewhouse!R69</f>
        <v>54</v>
      </c>
      <c r="M11" s="374">
        <f>[26]Brewhouse!$W69-[26]Brewhouse!$V69</f>
        <v>0.12847222222222227</v>
      </c>
      <c r="N11" s="370">
        <f>[26]Brewhouse!AB69</f>
        <v>0.31805555555555565</v>
      </c>
      <c r="O11" s="371" t="str">
        <f>[26]Brewhouse!$AZ69</f>
        <v>G. Mason</v>
      </c>
      <c r="P11" s="418"/>
      <c r="R11" s="277" t="str">
        <f t="shared" ref="R11:R22" si="9">B11</f>
        <v>VITAMALT</v>
      </c>
      <c r="S11" s="296">
        <f t="shared" si="1"/>
        <v>14.2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.75" customHeight="1">
      <c r="B12" s="22" t="s">
        <v>33</v>
      </c>
      <c r="C12" s="366" t="str">
        <f>[26]Brewhouse!A70</f>
        <v>VM059</v>
      </c>
      <c r="D12" s="279">
        <f>[26]Brewhouse!AE70</f>
        <v>52.5</v>
      </c>
      <c r="E12" s="279">
        <f>[26]Brewhouse!AJ70</f>
        <v>48.6</v>
      </c>
      <c r="F12" s="278">
        <f>[26]Brewhouse!X70</f>
        <v>88</v>
      </c>
      <c r="G12" s="463">
        <f>[26]Brewhouse!AH70</f>
        <v>14.7</v>
      </c>
      <c r="H12" s="396">
        <v>14.3</v>
      </c>
      <c r="I12" s="368">
        <f>[26]Brewhouse!AV70</f>
        <v>101.50384828699441</v>
      </c>
      <c r="J12" s="368">
        <f>[26]Brewhouse!AW70</f>
        <v>101.86998366861313</v>
      </c>
      <c r="K12" s="281">
        <f>[26]Brewhouse!S70</f>
        <v>5.6380952380952261</v>
      </c>
      <c r="L12" s="276">
        <f>[26]Brewhouse!R70</f>
        <v>58</v>
      </c>
      <c r="M12" s="374">
        <f>[26]Brewhouse!$W70-[26]Brewhouse!$V70</f>
        <v>0.12916666666666665</v>
      </c>
      <c r="N12" s="370">
        <f>[26]Brewhouse!AB70</f>
        <v>0.26874999999999999</v>
      </c>
      <c r="O12" s="371" t="str">
        <f>[26]Brewhouse!$AZ70</f>
        <v>G. Mason</v>
      </c>
      <c r="P12" s="418"/>
      <c r="R12" s="277" t="str">
        <f t="shared" si="9"/>
        <v>VITAMALT</v>
      </c>
      <c r="S12" s="296">
        <f t="shared" si="1"/>
        <v>14.2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.75" customHeight="1">
      <c r="B13" s="22" t="s">
        <v>33</v>
      </c>
      <c r="C13" s="366" t="str">
        <f>[26]Brewhouse!A71</f>
        <v>VM060</v>
      </c>
      <c r="D13" s="279">
        <f>[26]Brewhouse!AE71</f>
        <v>52.5</v>
      </c>
      <c r="E13" s="279">
        <f>[26]Brewhouse!AJ71</f>
        <v>48</v>
      </c>
      <c r="F13" s="278">
        <f>[26]Brewhouse!X71</f>
        <v>85</v>
      </c>
      <c r="G13" s="279">
        <f>[26]Brewhouse!AH71</f>
        <v>14.2</v>
      </c>
      <c r="H13" s="396">
        <v>14.1</v>
      </c>
      <c r="I13" s="368">
        <f>[26]Brewhouse!AV71</f>
        <v>96.742930981448211</v>
      </c>
      <c r="J13" s="368">
        <f>[26]Brewhouse!AW71</f>
        <v>97.090419587734146</v>
      </c>
      <c r="K13" s="281">
        <f>[26]Brewhouse!S71</f>
        <v>6.9714285714285644</v>
      </c>
      <c r="L13" s="276">
        <f>[26]Brewhouse!R71</f>
        <v>60</v>
      </c>
      <c r="M13" s="374">
        <f>[26]Brewhouse!$W71-[26]Brewhouse!$V71</f>
        <v>0.13958333333333339</v>
      </c>
      <c r="N13" s="370">
        <f>[26]Brewhouse!AB71</f>
        <v>0.27430555555555558</v>
      </c>
      <c r="O13" s="371" t="str">
        <f>[26]Brewhouse!$AZ71</f>
        <v>G. Mason</v>
      </c>
      <c r="P13" s="418"/>
      <c r="R13" s="277" t="str">
        <f t="shared" si="9"/>
        <v>VITAMALT</v>
      </c>
      <c r="S13" s="296">
        <f t="shared" si="1"/>
        <v>14.2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.75" customHeight="1">
      <c r="B14" s="22" t="s">
        <v>33</v>
      </c>
      <c r="C14" s="366" t="str">
        <f>[26]Brewhouse!A72</f>
        <v>VM061</v>
      </c>
      <c r="D14" s="279">
        <f>[26]Brewhouse!AE72</f>
        <v>52.2</v>
      </c>
      <c r="E14" s="279">
        <f>[26]Brewhouse!AJ72</f>
        <v>48.2</v>
      </c>
      <c r="F14" s="278">
        <f>[26]Brewhouse!X72</f>
        <v>84</v>
      </c>
      <c r="G14" s="279">
        <f>[26]Brewhouse!AH72</f>
        <v>14.3</v>
      </c>
      <c r="H14" s="396">
        <v>14.2</v>
      </c>
      <c r="I14" s="368">
        <f>[26]Brewhouse!AV72</f>
        <v>97.755191484048893</v>
      </c>
      <c r="J14" s="368">
        <f>[26]Brewhouse!AW72</f>
        <v>98.107805054305132</v>
      </c>
      <c r="K14" s="281">
        <f>[26]Brewhouse!S72</f>
        <v>5.6704980842912027</v>
      </c>
      <c r="L14" s="276">
        <f>[26]Brewhouse!R72</f>
        <v>60</v>
      </c>
      <c r="M14" s="374">
        <f>[26]Brewhouse!$W72-[26]Brewhouse!$V72</f>
        <v>0.13819444444444451</v>
      </c>
      <c r="N14" s="370">
        <f>[26]Brewhouse!AB72</f>
        <v>0.27777777777777779</v>
      </c>
      <c r="O14" s="371" t="str">
        <f>[26]Brewhouse!$AZ72</f>
        <v>R. Regis</v>
      </c>
      <c r="P14" s="418"/>
      <c r="R14" s="277" t="str">
        <f t="shared" si="9"/>
        <v>VITAMALT</v>
      </c>
      <c r="S14" s="296">
        <f t="shared" si="1"/>
        <v>14.2</v>
      </c>
      <c r="T14" s="296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296">
        <f t="shared" si="8"/>
        <v>75</v>
      </c>
    </row>
    <row r="15" spans="2:29" ht="15.75" customHeight="1">
      <c r="B15" s="22" t="s">
        <v>33</v>
      </c>
      <c r="C15" s="366" t="str">
        <f>[26]Brewhouse!A73</f>
        <v>VM062</v>
      </c>
      <c r="D15" s="279">
        <f>[26]Brewhouse!AE73</f>
        <v>52.5</v>
      </c>
      <c r="E15" s="279">
        <f>[26]Brewhouse!AJ73</f>
        <v>47.6</v>
      </c>
      <c r="F15" s="278">
        <f>[26]Brewhouse!X73</f>
        <v>85</v>
      </c>
      <c r="G15" s="279">
        <f>[26]Brewhouse!AH73</f>
        <v>14.2</v>
      </c>
      <c r="H15" s="396">
        <v>14.4</v>
      </c>
      <c r="I15" s="368">
        <f>[26]Brewhouse!AV73</f>
        <v>95.835062582045694</v>
      </c>
      <c r="J15" s="368">
        <f>[26]Brewhouse!AW73</f>
        <v>96.180750039251478</v>
      </c>
      <c r="K15" s="281">
        <f>[26]Brewhouse!S73</f>
        <v>7.7333333333333378</v>
      </c>
      <c r="L15" s="276">
        <f>[26]Brewhouse!R73</f>
        <v>60</v>
      </c>
      <c r="M15" s="374">
        <f>[26]Brewhouse!$W73-[26]Brewhouse!$V73</f>
        <v>0.15069444444444435</v>
      </c>
      <c r="N15" s="370">
        <f>[26]Brewhouse!AB73</f>
        <v>0.29861111111111105</v>
      </c>
      <c r="O15" s="371" t="str">
        <f>[26]Brewhouse!$AZ73</f>
        <v>R. Regis</v>
      </c>
      <c r="P15" s="418" t="s">
        <v>193</v>
      </c>
      <c r="R15" s="277" t="str">
        <f t="shared" si="9"/>
        <v>VITAMALT</v>
      </c>
      <c r="S15" s="296">
        <f t="shared" si="1"/>
        <v>14.2</v>
      </c>
      <c r="T15" s="296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296">
        <f t="shared" si="8"/>
        <v>75</v>
      </c>
    </row>
    <row r="16" spans="2:29" ht="15.75" customHeight="1">
      <c r="B16" s="22" t="s">
        <v>33</v>
      </c>
      <c r="C16" s="366" t="str">
        <f>[26]Brewhouse!A74</f>
        <v>VM063</v>
      </c>
      <c r="D16" s="279">
        <f>[26]Brewhouse!AE74</f>
        <v>52.5</v>
      </c>
      <c r="E16" s="279">
        <f>[26]Brewhouse!AJ74</f>
        <v>48.6</v>
      </c>
      <c r="F16" s="278">
        <f>[26]Brewhouse!X74</f>
        <v>85</v>
      </c>
      <c r="G16" s="279">
        <f>[26]Brewhouse!AH74</f>
        <v>14.2</v>
      </c>
      <c r="H16" s="396">
        <v>14.2</v>
      </c>
      <c r="I16" s="368">
        <f>[26]Brewhouse!AV74</f>
        <v>97.848404232929013</v>
      </c>
      <c r="J16" s="368">
        <f>[26]Brewhouse!AW74</f>
        <v>98.201354031672722</v>
      </c>
      <c r="K16" s="281">
        <f>[26]Brewhouse!S74</f>
        <v>6.0190476190476128</v>
      </c>
      <c r="L16" s="276">
        <f>[26]Brewhouse!R74</f>
        <v>63</v>
      </c>
      <c r="M16" s="374">
        <f>[26]Brewhouse!$W74-[26]Brewhouse!$V74</f>
        <v>0.14513888888888882</v>
      </c>
      <c r="N16" s="370">
        <f>[26]Brewhouse!AB74</f>
        <v>0.29930555555555549</v>
      </c>
      <c r="O16" s="371" t="str">
        <f>[26]Brewhouse!$AZ74</f>
        <v>R. Regis</v>
      </c>
      <c r="P16" s="418"/>
      <c r="R16" s="277" t="str">
        <f t="shared" si="9"/>
        <v>VITAMALT</v>
      </c>
      <c r="S16" s="296">
        <f t="shared" si="1"/>
        <v>14.2</v>
      </c>
      <c r="T16" s="296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296">
        <f t="shared" si="8"/>
        <v>75</v>
      </c>
    </row>
    <row r="17" spans="1:26" ht="15.75" customHeight="1">
      <c r="B17" s="22" t="s">
        <v>33</v>
      </c>
      <c r="C17" s="366" t="str">
        <f>[26]Brewhouse!A75</f>
        <v>VM064</v>
      </c>
      <c r="D17" s="279">
        <f>[26]Brewhouse!AE75</f>
        <v>50.5</v>
      </c>
      <c r="E17" s="279">
        <f>[26]Brewhouse!AJ75</f>
        <v>48.4</v>
      </c>
      <c r="F17" s="278">
        <f>[26]Brewhouse!X75</f>
        <v>79</v>
      </c>
      <c r="G17" s="279">
        <f>[26]Brewhouse!AH75</f>
        <v>14.2</v>
      </c>
      <c r="H17" s="396">
        <v>14.3</v>
      </c>
      <c r="I17" s="368">
        <f>[26]Brewhouse!AV75</f>
        <v>97.445735902752347</v>
      </c>
      <c r="J17" s="368">
        <f>[26]Brewhouse!AW75</f>
        <v>97.797233233188479</v>
      </c>
      <c r="K17" s="281">
        <f>[26]Brewhouse!S75</f>
        <v>1.9009900990098885</v>
      </c>
      <c r="L17" s="276">
        <f>[26]Brewhouse!R75</f>
        <v>58</v>
      </c>
      <c r="M17" s="374">
        <f>[26]Brewhouse!$W75-[26]Brewhouse!$V75</f>
        <v>0.12777777777777799</v>
      </c>
      <c r="N17" s="370">
        <f>[26]Brewhouse!AB75</f>
        <v>0.29027777777777786</v>
      </c>
      <c r="O17" s="371" t="str">
        <f>[26]Brewhouse!$AZ75</f>
        <v>R.Sookram</v>
      </c>
      <c r="P17" s="418" t="s">
        <v>192</v>
      </c>
      <c r="R17" s="277" t="str">
        <f t="shared" si="9"/>
        <v>VITAMALT</v>
      </c>
      <c r="S17" s="296">
        <f t="shared" si="1"/>
        <v>14.2</v>
      </c>
      <c r="T17" s="296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296">
        <f t="shared" si="8"/>
        <v>75</v>
      </c>
    </row>
    <row r="18" spans="1:26" ht="15.75" customHeight="1">
      <c r="B18" s="22" t="s">
        <v>33</v>
      </c>
      <c r="C18" s="366" t="str">
        <f>[26]Brewhouse!A76</f>
        <v>VM065</v>
      </c>
      <c r="D18" s="279">
        <f>[26]Brewhouse!AE76</f>
        <v>49.9</v>
      </c>
      <c r="E18" s="279">
        <f>[26]Brewhouse!AJ76</f>
        <v>48.6</v>
      </c>
      <c r="F18" s="278">
        <f>[26]Brewhouse!X76</f>
        <v>85</v>
      </c>
      <c r="G18" s="279">
        <f>[26]Brewhouse!AH76</f>
        <v>14.2</v>
      </c>
      <c r="H18" s="396">
        <v>14.2</v>
      </c>
      <c r="I18" s="368">
        <f>[26]Brewhouse!AV76</f>
        <v>97.848404232929013</v>
      </c>
      <c r="J18" s="368">
        <f>[26]Brewhouse!AW76</f>
        <v>98.201354031672722</v>
      </c>
      <c r="K18" s="281">
        <f>[26]Brewhouse!S76</f>
        <v>0.9218436873747512</v>
      </c>
      <c r="L18" s="276">
        <f>[26]Brewhouse!R76</f>
        <v>60</v>
      </c>
      <c r="M18" s="374">
        <f>[26]Brewhouse!$W76-[26]Brewhouse!$V76</f>
        <v>0.13750000000000018</v>
      </c>
      <c r="N18" s="370">
        <f>[26]Brewhouse!AB76</f>
        <v>0.28194444444444455</v>
      </c>
      <c r="O18" s="371" t="str">
        <f>[26]Brewhouse!$AZ76</f>
        <v>R.Sookram</v>
      </c>
      <c r="P18" s="418"/>
      <c r="R18" s="277" t="str">
        <f t="shared" si="9"/>
        <v>VITAMALT</v>
      </c>
      <c r="S18" s="296">
        <f t="shared" si="1"/>
        <v>14.2</v>
      </c>
      <c r="T18" s="296">
        <f t="shared" si="2"/>
        <v>14.6</v>
      </c>
      <c r="U18" s="297">
        <f t="shared" si="3"/>
        <v>0</v>
      </c>
      <c r="V18" s="297">
        <f t="shared" si="4"/>
        <v>0.13905092592592591</v>
      </c>
      <c r="W18" s="297">
        <f t="shared" si="5"/>
        <v>0.26041666666666669</v>
      </c>
      <c r="X18" s="297">
        <f t="shared" si="6"/>
        <v>0.2951388888888889</v>
      </c>
      <c r="Y18" s="297">
        <f t="shared" si="7"/>
        <v>0</v>
      </c>
      <c r="Z18" s="296">
        <f t="shared" si="8"/>
        <v>75</v>
      </c>
    </row>
    <row r="19" spans="1:26" ht="15.75" customHeight="1">
      <c r="B19" s="34"/>
      <c r="C19" s="366"/>
      <c r="D19" s="279"/>
      <c r="E19" s="279"/>
      <c r="F19" s="278"/>
      <c r="G19" s="279"/>
      <c r="H19" s="396"/>
      <c r="I19" s="422"/>
      <c r="J19" s="422"/>
      <c r="K19" s="476"/>
      <c r="L19" s="276"/>
      <c r="M19" s="374"/>
      <c r="N19" s="370"/>
      <c r="O19" s="423"/>
      <c r="P19" s="418"/>
      <c r="R19" s="277">
        <f t="shared" si="9"/>
        <v>0</v>
      </c>
      <c r="S19" s="296" t="e">
        <f t="shared" ref="S19:S29" si="10">VLOOKUP($B19,$R$3:$X$9,2,FALSE)</f>
        <v>#N/A</v>
      </c>
      <c r="T19" s="296" t="e">
        <f t="shared" ref="T19:T29" si="11">VLOOKUP($B19,$R$3:$X$9,3,FALSE)</f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customHeight="1">
      <c r="B20" s="34"/>
      <c r="C20" s="366"/>
      <c r="D20" s="279"/>
      <c r="E20" s="279"/>
      <c r="F20" s="278"/>
      <c r="G20" s="279"/>
      <c r="H20" s="396"/>
      <c r="I20" s="422"/>
      <c r="J20" s="422"/>
      <c r="K20" s="476"/>
      <c r="L20" s="276"/>
      <c r="M20" s="374"/>
      <c r="N20" s="370"/>
      <c r="O20" s="423"/>
      <c r="P20" s="418"/>
      <c r="R20" s="277">
        <f t="shared" si="9"/>
        <v>0</v>
      </c>
      <c r="S20" s="296" t="e">
        <f t="shared" si="10"/>
        <v>#N/A</v>
      </c>
      <c r="T20" s="296" t="e">
        <f t="shared" si="11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34"/>
      <c r="C21" s="366"/>
      <c r="D21" s="279"/>
      <c r="E21" s="279"/>
      <c r="F21" s="278"/>
      <c r="G21" s="279"/>
      <c r="H21" s="396"/>
      <c r="I21" s="422"/>
      <c r="J21" s="422"/>
      <c r="K21" s="476"/>
      <c r="L21" s="276"/>
      <c r="M21" s="374"/>
      <c r="N21" s="370"/>
      <c r="O21" s="423"/>
      <c r="P21" s="418"/>
      <c r="R21" s="277">
        <f t="shared" si="9"/>
        <v>0</v>
      </c>
      <c r="S21" s="296" t="e">
        <f t="shared" si="10"/>
        <v>#N/A</v>
      </c>
      <c r="T21" s="296" t="e">
        <f t="shared" si="11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34"/>
      <c r="C22" s="366"/>
      <c r="D22" s="279"/>
      <c r="E22" s="279"/>
      <c r="F22" s="278"/>
      <c r="G22" s="279"/>
      <c r="H22" s="396"/>
      <c r="I22" s="422"/>
      <c r="J22" s="422"/>
      <c r="K22" s="476"/>
      <c r="L22" s="276"/>
      <c r="M22" s="374"/>
      <c r="N22" s="370"/>
      <c r="O22" s="423"/>
      <c r="P22" s="418"/>
      <c r="R22" s="277">
        <f t="shared" si="9"/>
        <v>0</v>
      </c>
      <c r="S22" s="296" t="e">
        <f t="shared" si="10"/>
        <v>#N/A</v>
      </c>
      <c r="T22" s="296" t="e">
        <f t="shared" si="11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33"/>
      <c r="C23" s="366"/>
      <c r="D23" s="279"/>
      <c r="E23" s="279"/>
      <c r="F23" s="278"/>
      <c r="G23" s="463"/>
      <c r="H23" s="471"/>
      <c r="I23" s="422"/>
      <c r="J23" s="422"/>
      <c r="K23" s="281"/>
      <c r="L23" s="276"/>
      <c r="M23" s="374"/>
      <c r="N23" s="370"/>
      <c r="O23" s="423"/>
      <c r="P23" s="418"/>
      <c r="R23" s="277">
        <f t="shared" si="0"/>
        <v>0</v>
      </c>
      <c r="S23" s="296" t="e">
        <f t="shared" si="10"/>
        <v>#N/A</v>
      </c>
      <c r="T23" s="296" t="e">
        <f t="shared" si="11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29"/>
      <c r="J28" s="529"/>
      <c r="K28" s="529"/>
      <c r="L28" s="529"/>
      <c r="M28" s="529"/>
      <c r="N28" s="529"/>
      <c r="O28" s="1"/>
      <c r="P28" s="12"/>
      <c r="R28" s="277">
        <f t="shared" si="0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.75" thickBot="1">
      <c r="B29" s="388" t="s">
        <v>162</v>
      </c>
      <c r="C29" s="388"/>
      <c r="D29" s="542" t="s">
        <v>35</v>
      </c>
      <c r="E29" s="543"/>
      <c r="F29" s="294"/>
      <c r="G29" s="294"/>
      <c r="H29" s="348"/>
      <c r="I29" s="24" t="s">
        <v>17</v>
      </c>
      <c r="J29" s="25" t="s">
        <v>36</v>
      </c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0"/>
        <v xml:space="preserve">BRAND </v>
      </c>
      <c r="S29" s="296" t="e">
        <f t="shared" si="10"/>
        <v>#N/A</v>
      </c>
      <c r="T29" s="296" t="e">
        <f t="shared" si="11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customHeight="1">
      <c r="A30" s="28"/>
      <c r="B30" s="583"/>
      <c r="C30" s="362"/>
      <c r="D30" s="533"/>
      <c r="E30" s="522"/>
      <c r="F30" s="294"/>
      <c r="G30" s="294"/>
      <c r="H30" s="348"/>
      <c r="I30" s="29" t="s">
        <v>6</v>
      </c>
      <c r="J30" s="280"/>
      <c r="K30" s="284">
        <f>COUNTA([24]Brewhouse!$A$655:$A$691)</f>
        <v>37</v>
      </c>
      <c r="L30" s="305">
        <f>AVERAGE([24]Brewhouse!$AU$655:$AU$691)</f>
        <v>97.142141461447395</v>
      </c>
      <c r="M30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$691)</f>
        <v>97.831693822055868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5" customHeight="1">
      <c r="A31" s="28"/>
      <c r="B31" s="584"/>
      <c r="C31" s="362"/>
      <c r="D31" s="534"/>
      <c r="E31" s="517"/>
      <c r="F31" s="294"/>
      <c r="G31" s="294"/>
      <c r="H31" s="348"/>
      <c r="I31" s="33" t="s">
        <v>9</v>
      </c>
      <c r="J31" s="280"/>
      <c r="K31" s="284">
        <f>COUNTA([22]Brewhouse!$A$324:$A$343)</f>
        <v>20</v>
      </c>
      <c r="L31" s="302">
        <f>AVERAGE([22]Brewhouse!$AS$324:$AS$343)</f>
        <v>98.007598629018077</v>
      </c>
      <c r="M31" s="302">
        <f>AVERAGE([22]Brewhouse!$AS$15:$AS$64,[22]Brewhouse!$AS$66:$AS$103,[22]Brewhouse!$AS$105:$AS$140,[22]Brewhouse!$AS$142:$AS$193,[22]Brewhouse!$AS$195:$AS$240,[22]Brewhouse!$AS$242:$AS$273,[22]Brewhouse!$AS$275:$AS$322,[22]Brewhouse!$AS$324:$AS$343)</f>
        <v>98.062511581230439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65" customHeight="1">
      <c r="A32" s="28"/>
      <c r="B32" s="584"/>
      <c r="C32" s="362"/>
      <c r="D32" s="533"/>
      <c r="E32" s="522"/>
      <c r="F32" s="294"/>
      <c r="G32" s="294"/>
      <c r="H32" s="348"/>
      <c r="I32" s="34" t="s">
        <v>12</v>
      </c>
      <c r="J32" s="280"/>
      <c r="K32" s="284">
        <f>COUNTA([25]Brewhouse!$A$81:$A$84)</f>
        <v>4</v>
      </c>
      <c r="L32" s="302">
        <f>AVERAGE([25]Brewhouse!$AU$81:$AU$84)</f>
        <v>96.0203759926994</v>
      </c>
      <c r="M32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65" customHeight="1">
      <c r="A33" s="28"/>
      <c r="B33" s="584"/>
      <c r="C33" s="362"/>
      <c r="D33" s="534"/>
      <c r="E33" s="517"/>
      <c r="F33" s="294"/>
      <c r="G33" s="294"/>
      <c r="H33" s="348"/>
      <c r="I33" s="22" t="s">
        <v>33</v>
      </c>
      <c r="J33" s="280">
        <f>AVERAGE(I10:I18)</f>
        <v>97.414325565351149</v>
      </c>
      <c r="K33" s="284">
        <f>COUNTA([26]Brewhouse!$A$64:$A$76)</f>
        <v>13</v>
      </c>
      <c r="L33" s="302">
        <f>AVERAGE([26]Brewhouse!$AV$64:$AV$76)</f>
        <v>97.583647667266206</v>
      </c>
      <c r="M33" s="302">
        <f>AVERAGE([26]Brewhouse!$AV$5:$AV$14,[26]Brewhouse!$AV$16:$AV$19,[26]Brewhouse!$AV$21:$AV$24,[26]Brewhouse!$AV$26:$AV$33,[26]Brewhouse!$AV$35:$AV$46,[26]Brewhouse!$AV$48:$AV$53,[26]Brewhouse!$AV$55:$AV$62,[26]Brewhouse!$AV$64:$AV$76)</f>
        <v>98.535418275300856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65" customHeight="1">
      <c r="A34" s="28"/>
      <c r="B34" s="584"/>
      <c r="C34" s="362"/>
      <c r="D34" s="533"/>
      <c r="E34" s="522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56" ht="14.65" customHeight="1">
      <c r="A35" s="28"/>
      <c r="B35" s="584"/>
      <c r="C35" s="362"/>
      <c r="D35" s="534"/>
      <c r="E35" s="517"/>
      <c r="F35" s="417"/>
      <c r="G35" s="294"/>
      <c r="H35" s="348"/>
      <c r="I35" s="36" t="s">
        <v>15</v>
      </c>
      <c r="J35" s="323"/>
      <c r="K35" s="284"/>
      <c r="L35" s="302"/>
      <c r="M35" s="302">
        <f>AVERAGE([27]Brewhouse!$AT$4:$AT$11,[27]Brewhouse!$AT$13:$AT$16,[27]Brewhouse!$AT$18:$AT$21,[27]Brewhouse!$AT$26)</f>
        <v>94.588057846623641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84"/>
      <c r="C36" s="349"/>
      <c r="D36" s="533"/>
      <c r="E36" s="522"/>
      <c r="F36" s="417"/>
      <c r="G36" s="294"/>
      <c r="H36" s="348"/>
      <c r="I36" s="37" t="s">
        <v>16</v>
      </c>
      <c r="J36" s="323"/>
      <c r="K36" s="284"/>
      <c r="L36" s="302"/>
      <c r="M36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6" s="30">
        <v>98</v>
      </c>
      <c r="O36" s="11"/>
      <c r="P36" s="31" t="s">
        <v>41</v>
      </c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65" customHeight="1">
      <c r="A37" s="28"/>
      <c r="B37" s="584"/>
      <c r="C37" s="349"/>
      <c r="D37" s="534"/>
      <c r="E37" s="517"/>
      <c r="F37" s="294"/>
      <c r="G37" s="294"/>
      <c r="H37" s="348"/>
      <c r="I37" s="411" t="s">
        <v>158</v>
      </c>
      <c r="J37" s="326"/>
      <c r="K37" s="284"/>
      <c r="L37" s="305"/>
      <c r="M37" s="305">
        <f>AVERAGE([28]Brewhouse!$AU$5:$AU$8,[28]Brewhouse!$AU$10:$AU$13)</f>
        <v>94.247666625193744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4.65" customHeight="1">
      <c r="A38" s="28"/>
      <c r="B38" s="584"/>
      <c r="C38" s="349"/>
      <c r="D38" s="533"/>
      <c r="E38" s="522"/>
      <c r="F38" s="294"/>
      <c r="G38" s="294"/>
      <c r="H38" s="348"/>
      <c r="I38" s="410" t="s">
        <v>157</v>
      </c>
      <c r="J38" s="326"/>
      <c r="K38" s="284"/>
      <c r="L38" s="305"/>
      <c r="M38" s="305">
        <f>AVERAGE([29]Brewhouse!$AW$26:$AW$27)</f>
        <v>95.310680905194914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84"/>
      <c r="C39" s="349"/>
      <c r="D39" s="534"/>
      <c r="E39" s="517"/>
      <c r="F39" s="294"/>
      <c r="G39" s="294"/>
      <c r="H39" s="348"/>
      <c r="I39" s="406" t="s">
        <v>156</v>
      </c>
      <c r="J39" s="327"/>
      <c r="K39" s="407"/>
      <c r="L39" s="408"/>
      <c r="M39" s="408">
        <f>AVERAGE([30]Brewhouse!$AU$13:$AU$14)</f>
        <v>97.110575243268045</v>
      </c>
      <c r="N39" s="409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customHeight="1" thickBot="1">
      <c r="A40" s="28"/>
      <c r="B40" s="584"/>
      <c r="C40" s="349"/>
      <c r="D40" s="533"/>
      <c r="E40" s="522"/>
      <c r="F40" s="294"/>
      <c r="G40" s="294"/>
      <c r="H40" s="348"/>
      <c r="I40" s="1"/>
      <c r="J40" s="39"/>
      <c r="K40" s="404">
        <f>SUM(K30:K39)</f>
        <v>74</v>
      </c>
      <c r="L40" s="405">
        <f>((L30*K30)+(L31*K31)+(L32*K32)+(L33*K33)+(L34*K34)+(K37*L37)+(L35*K35)+(L36*K36)+(L39*K39))/(K40)</f>
        <v>97.392974733772604</v>
      </c>
      <c r="M40" s="405">
        <f>AVERAGE('[31]Jan 31st'!$L$65,'[32]Feb 28th'!$L$35,'[33]Mar. 31st'!$L$35,'[34]Apr. 30th'!$L$45,'[35]May 30th'!$L$37,'[36]June 30th'!$L$57,L40)</f>
        <v>97.620697890119217</v>
      </c>
      <c r="N40" s="4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.75" thickBot="1">
      <c r="B41" s="585"/>
      <c r="C41" s="350"/>
      <c r="D41" s="534"/>
      <c r="E41" s="517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56" ht="15.75" thickBot="1">
      <c r="B42" s="589"/>
      <c r="C42" s="362"/>
      <c r="D42" s="514"/>
      <c r="E42" s="515"/>
      <c r="F42" s="294"/>
      <c r="G42" s="42"/>
      <c r="H42" s="41"/>
      <c r="I42" s="42"/>
      <c r="J42" s="569" t="s">
        <v>129</v>
      </c>
      <c r="K42" s="569"/>
      <c r="L42" s="294"/>
      <c r="M42" s="294"/>
      <c r="N42" s="294"/>
      <c r="O42" s="294"/>
      <c r="P42" s="12"/>
    </row>
    <row r="43" spans="1:56" ht="15.75" thickBot="1">
      <c r="B43" s="531"/>
      <c r="C43" s="362"/>
      <c r="D43" s="516"/>
      <c r="E43" s="517"/>
      <c r="F43" s="294"/>
      <c r="G43" s="42"/>
      <c r="H43" s="41"/>
      <c r="I43" s="41"/>
      <c r="J43" s="292" t="s">
        <v>17</v>
      </c>
      <c r="K43" s="293" t="s">
        <v>147</v>
      </c>
      <c r="L43" s="519" t="s">
        <v>136</v>
      </c>
      <c r="M43" s="519"/>
      <c r="N43" s="520"/>
      <c r="O43" s="294"/>
      <c r="P43" s="12"/>
    </row>
    <row r="44" spans="1:56" ht="15" customHeight="1" thickBot="1">
      <c r="B44" s="531"/>
      <c r="C44" s="349"/>
      <c r="D44" s="570"/>
      <c r="E44" s="571"/>
      <c r="F44" s="294"/>
      <c r="G44" s="42"/>
      <c r="H44" s="41"/>
      <c r="I44" s="41"/>
      <c r="J44" s="287" t="s">
        <v>6</v>
      </c>
      <c r="K44" s="324"/>
      <c r="L44" s="343" t="s">
        <v>37</v>
      </c>
      <c r="M44" s="307" t="s">
        <v>38</v>
      </c>
      <c r="N44" s="307" t="s">
        <v>84</v>
      </c>
      <c r="O44" s="294"/>
      <c r="P44" s="12"/>
    </row>
    <row r="45" spans="1:56" ht="15.75" customHeight="1" thickBot="1">
      <c r="B45" s="531"/>
      <c r="C45" s="349"/>
      <c r="D45" s="516"/>
      <c r="E45" s="517"/>
      <c r="F45" s="294"/>
      <c r="G45" s="42"/>
      <c r="H45" s="41"/>
      <c r="I45" s="41"/>
      <c r="J45" s="345" t="s">
        <v>9</v>
      </c>
      <c r="K45" s="324"/>
      <c r="L45" s="344">
        <f>AVERAGE('Aug 4th '!K58,'Aug 5th '!K58,'Aug 6th '!K58,'Aug 7th '!K58,'Aug 8th '!K48,'Aug 13th'!K52,'Aug 14th'!K51,'Aug 15th-16th'!J57,'Aug 15th-16th'!K57,J54,K54)</f>
        <v>7.4</v>
      </c>
      <c r="M45" s="325">
        <f>AVERAGE('[31]Jan 29th '!$M$70,'[32]Feb 28th'!$L$40,'[33]Mar. 31st'!$L$40,'[34]Apr. 30th'!$L$50,'[35]May 30th'!$L$42,'[36]June 30th'!$L$62,'[37]July 29th '!$L$49,L45)</f>
        <v>6.964614609265638</v>
      </c>
      <c r="N45" s="416">
        <v>9.1999999999999993</v>
      </c>
      <c r="O45" s="294"/>
      <c r="P45" s="12"/>
    </row>
    <row r="46" spans="1:56" ht="15" customHeight="1">
      <c r="B46" s="531"/>
      <c r="C46" s="349"/>
      <c r="D46" s="570"/>
      <c r="E46" s="571"/>
      <c r="F46" s="294"/>
      <c r="G46" s="42"/>
      <c r="H46" s="41"/>
      <c r="I46" s="41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31"/>
      <c r="C47" s="349"/>
      <c r="D47" s="516"/>
      <c r="E47" s="517"/>
      <c r="F47" s="294"/>
      <c r="G47" s="42"/>
      <c r="H47" s="41"/>
      <c r="I47" s="41"/>
      <c r="J47" s="289" t="s">
        <v>33</v>
      </c>
      <c r="K47" s="324">
        <v>9</v>
      </c>
      <c r="L47" s="294"/>
      <c r="M47" s="294"/>
      <c r="N47" s="294"/>
      <c r="O47" s="294"/>
      <c r="P47" s="12"/>
    </row>
    <row r="48" spans="1:56" ht="15">
      <c r="B48" s="531"/>
      <c r="C48" s="349"/>
      <c r="D48" s="570"/>
      <c r="E48" s="571"/>
      <c r="F48" s="294"/>
      <c r="G48" s="42"/>
      <c r="H48" s="41"/>
      <c r="I48" s="41"/>
      <c r="J48" s="290" t="s">
        <v>16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31"/>
      <c r="C49" s="349"/>
      <c r="D49" s="516"/>
      <c r="E49" s="517"/>
      <c r="F49" s="294"/>
      <c r="G49" s="42"/>
      <c r="H49" s="41"/>
      <c r="I49" s="41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2:57" ht="15">
      <c r="B50" s="531"/>
      <c r="C50" s="349"/>
      <c r="D50" s="570"/>
      <c r="E50" s="571"/>
      <c r="F50" s="294"/>
      <c r="G50" s="42"/>
      <c r="H50" s="41"/>
      <c r="I50" s="41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thickBot="1">
      <c r="B51" s="532"/>
      <c r="C51" s="350"/>
      <c r="D51" s="572"/>
      <c r="E51" s="573"/>
      <c r="F51" s="294"/>
      <c r="G51" s="42"/>
      <c r="H51" s="41"/>
      <c r="I51" s="41"/>
      <c r="J51" s="291" t="s">
        <v>148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 thickBot="1">
      <c r="B52" s="312" t="s">
        <v>139</v>
      </c>
      <c r="C52" s="313"/>
      <c r="D52" s="574" t="e">
        <f>AVERAGE(D30:E51)</f>
        <v>#DIV/0!</v>
      </c>
      <c r="E52" s="575"/>
      <c r="F52" s="294"/>
      <c r="H52" s="41"/>
      <c r="I52" s="41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2:57" ht="17.649999999999999" customHeight="1">
      <c r="B53" s="363"/>
      <c r="C53" s="364"/>
      <c r="D53" s="365"/>
      <c r="E53" s="365"/>
      <c r="F53" s="294"/>
      <c r="G53" s="42"/>
      <c r="H53" s="41"/>
      <c r="I53" s="41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2:57" ht="15.6" customHeight="1">
      <c r="B54" s="45"/>
      <c r="C54" s="11"/>
      <c r="D54" s="11"/>
      <c r="E54" s="46"/>
      <c r="F54" s="294"/>
      <c r="G54" s="42"/>
      <c r="H54" s="41"/>
      <c r="I54" s="41"/>
      <c r="J54" s="346" t="s">
        <v>130</v>
      </c>
      <c r="K54" s="324">
        <f>SUM(K44:K53)</f>
        <v>9</v>
      </c>
      <c r="L54" s="294"/>
      <c r="M54" s="294"/>
      <c r="N54" s="294"/>
      <c r="O54" s="294"/>
      <c r="P54" s="12"/>
    </row>
    <row r="55" spans="2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1"/>
      <c r="L55" s="294"/>
      <c r="N55" s="315"/>
      <c r="P55" s="334"/>
    </row>
    <row r="56" spans="2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2:57" ht="15" customHeight="1" thickBot="1">
      <c r="B57" s="495" t="s">
        <v>17</v>
      </c>
      <c r="C57" s="495" t="s">
        <v>44</v>
      </c>
      <c r="D57" s="507" t="s">
        <v>45</v>
      </c>
      <c r="E57" s="509" t="s">
        <v>46</v>
      </c>
      <c r="F57" s="503" t="s">
        <v>47</v>
      </c>
      <c r="G57" s="493" t="s">
        <v>48</v>
      </c>
      <c r="H57" s="495" t="s">
        <v>49</v>
      </c>
      <c r="I57" s="495" t="s">
        <v>50</v>
      </c>
      <c r="J57" s="487" t="s">
        <v>28</v>
      </c>
      <c r="K57" s="499" t="s">
        <v>51</v>
      </c>
      <c r="L57" s="501" t="s">
        <v>52</v>
      </c>
      <c r="M57" s="487" t="s">
        <v>53</v>
      </c>
      <c r="N57" s="13"/>
      <c r="O57" s="13"/>
      <c r="P57" s="50"/>
    </row>
    <row r="58" spans="2:57" ht="28.5" customHeight="1" thickTop="1" thickBot="1">
      <c r="B58" s="496"/>
      <c r="C58" s="496"/>
      <c r="D58" s="508"/>
      <c r="E58" s="510"/>
      <c r="F58" s="504"/>
      <c r="G58" s="494"/>
      <c r="H58" s="496"/>
      <c r="I58" s="496"/>
      <c r="J58" s="488"/>
      <c r="K58" s="500"/>
      <c r="L58" s="502"/>
      <c r="M58" s="488"/>
      <c r="N58" s="13"/>
      <c r="O58" s="13"/>
      <c r="P58" s="50"/>
      <c r="Q58" s="355"/>
      <c r="AB58" s="51">
        <v>43474</v>
      </c>
      <c r="AC58" s="51">
        <v>43475</v>
      </c>
      <c r="AD58" s="51">
        <v>43476</v>
      </c>
      <c r="AE58" s="51">
        <v>43477</v>
      </c>
      <c r="AF58" s="51">
        <v>43478</v>
      </c>
      <c r="AG58" s="51">
        <v>43479</v>
      </c>
      <c r="AH58" s="51">
        <v>43480</v>
      </c>
      <c r="AI58" s="51">
        <v>43481</v>
      </c>
      <c r="AJ58" s="51">
        <v>43482</v>
      </c>
      <c r="AK58" s="51">
        <v>43483</v>
      </c>
      <c r="AL58" s="51">
        <v>43484</v>
      </c>
      <c r="AM58" s="51">
        <v>43485</v>
      </c>
      <c r="AN58" s="51">
        <v>43486</v>
      </c>
      <c r="AO58" s="51">
        <v>43487</v>
      </c>
      <c r="AP58" s="51">
        <v>43488</v>
      </c>
      <c r="AQ58" s="51">
        <v>43489</v>
      </c>
      <c r="AR58" s="51">
        <v>43490</v>
      </c>
      <c r="AS58" s="51">
        <v>43491</v>
      </c>
      <c r="AT58" s="51">
        <v>43492</v>
      </c>
      <c r="AU58" s="51">
        <v>43493</v>
      </c>
      <c r="AV58" s="51">
        <v>43494</v>
      </c>
      <c r="AW58" s="51">
        <v>43495</v>
      </c>
      <c r="AX58" s="51">
        <v>43496</v>
      </c>
    </row>
    <row r="59" spans="2:57" s="54" customFormat="1" ht="59.45" customHeight="1" thickBot="1">
      <c r="B59" s="475"/>
      <c r="C59" s="445"/>
      <c r="D59" s="446"/>
      <c r="E59" s="447"/>
      <c r="F59" s="448"/>
      <c r="G59" s="449"/>
      <c r="H59" s="450"/>
      <c r="I59" s="451"/>
      <c r="J59" s="452"/>
      <c r="K59" s="453"/>
      <c r="L59" s="466"/>
      <c r="M59" s="46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[20]January_2019!L7</f>
        <v>285.8</v>
      </c>
      <c r="AC59" s="57">
        <f>[20]January_2019!M7</f>
        <v>508.1</v>
      </c>
      <c r="AD59" s="57">
        <f>[20]January_2019!N7</f>
        <v>0</v>
      </c>
      <c r="AE59" s="57">
        <f>[20]January_2019!O7</f>
        <v>0</v>
      </c>
      <c r="AF59" s="57">
        <f>[20]January_2019!P7</f>
        <v>109.56666666666666</v>
      </c>
      <c r="AG59" s="57">
        <f>[20]January_2019!Q7</f>
        <v>297.64999999999998</v>
      </c>
      <c r="AH59" s="57">
        <f>[20]January_2019!R7</f>
        <v>122.3</v>
      </c>
      <c r="AI59" s="57">
        <f>[20]January_2019!S7</f>
        <v>0</v>
      </c>
      <c r="AJ59" s="57">
        <f>[20]January_2019!T7</f>
        <v>294.7</v>
      </c>
      <c r="AK59" s="57">
        <f>[20]January_2019!U7</f>
        <v>280.5</v>
      </c>
      <c r="AL59" s="57">
        <f>[20]January_2019!V7</f>
        <v>0</v>
      </c>
      <c r="AM59" s="57">
        <f>[20]January_2019!W7</f>
        <v>0</v>
      </c>
      <c r="AN59" s="57">
        <f>[20]January_2019!X7</f>
        <v>188.25</v>
      </c>
      <c r="AO59" s="57">
        <f>[20]January_2019!Y7</f>
        <v>295.7</v>
      </c>
      <c r="AP59" s="57">
        <f>[20]January_2019!Z7</f>
        <v>257.8</v>
      </c>
      <c r="AQ59" s="57">
        <f>[20]January_2019!AA7</f>
        <v>291.2</v>
      </c>
      <c r="AR59" s="57">
        <f>[20]January_2019!AB7</f>
        <v>187</v>
      </c>
      <c r="AS59" s="57">
        <f>[20]January_2019!AC7</f>
        <v>0</v>
      </c>
      <c r="AT59" s="57">
        <f>[20]January_2019!AD7</f>
        <v>0</v>
      </c>
      <c r="AU59" s="57">
        <f>[20]January_2019!AE7</f>
        <v>485.1</v>
      </c>
      <c r="AV59" s="57">
        <f>[20]January_2019!AF7</f>
        <v>171.55</v>
      </c>
      <c r="AW59" s="57">
        <f>[20]January_2019!AG7</f>
        <v>423.8</v>
      </c>
      <c r="AX59" s="277">
        <f>[20]January_2019!AH7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20.45" hidden="1" customHeight="1" thickBot="1">
      <c r="B60" s="469"/>
      <c r="C60" s="434"/>
      <c r="D60" s="435"/>
      <c r="E60" s="436"/>
      <c r="F60" s="437"/>
      <c r="G60" s="438"/>
      <c r="H60" s="439"/>
      <c r="I60" s="454"/>
      <c r="J60" s="455"/>
      <c r="K60" s="440"/>
      <c r="L60" s="456"/>
      <c r="M60" s="42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59.45" hidden="1" customHeight="1" thickBot="1">
      <c r="B61" s="474"/>
      <c r="C61" s="445"/>
      <c r="D61" s="446"/>
      <c r="E61" s="447"/>
      <c r="F61" s="448"/>
      <c r="G61" s="449"/>
      <c r="H61" s="450"/>
      <c r="I61" s="451"/>
      <c r="J61" s="452"/>
      <c r="K61" s="453"/>
      <c r="L61" s="466"/>
      <c r="M61" s="46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8"/>
      <c r="C62" s="434"/>
      <c r="D62" s="435"/>
      <c r="E62" s="436"/>
      <c r="F62" s="437"/>
      <c r="G62" s="438"/>
      <c r="H62" s="439"/>
      <c r="I62" s="454"/>
      <c r="J62" s="455"/>
      <c r="K62" s="440"/>
      <c r="L62" s="456"/>
      <c r="M62" s="42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6.6" hidden="1" customHeight="1" thickBot="1">
      <c r="B63" s="387"/>
      <c r="C63" s="445">
        <v>45873</v>
      </c>
      <c r="D63" s="446"/>
      <c r="E63" s="447"/>
      <c r="F63" s="448"/>
      <c r="G63" s="449"/>
      <c r="H63" s="450"/>
      <c r="I63" s="451"/>
      <c r="J63" s="452" t="s">
        <v>163</v>
      </c>
      <c r="K63" s="453"/>
      <c r="L63" s="459" t="e">
        <f>(((D63+E63)-G63)/(D63+E63))*100</f>
        <v>#DIV/0!</v>
      </c>
      <c r="M63" s="46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41"/>
      <c r="C64" s="427"/>
      <c r="D64" s="428"/>
      <c r="E64" s="429"/>
      <c r="F64" s="430"/>
      <c r="G64" s="431"/>
      <c r="H64" s="432"/>
      <c r="I64" s="442"/>
      <c r="J64" s="443"/>
      <c r="K64" s="433"/>
      <c r="L64" s="444"/>
      <c r="M64" s="426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89" t="s">
        <v>55</v>
      </c>
      <c r="C66" s="490"/>
      <c r="D66" s="490"/>
      <c r="E66" s="490"/>
      <c r="F66" s="491"/>
      <c r="G66" s="489" t="s">
        <v>56</v>
      </c>
      <c r="H66" s="490"/>
      <c r="I66" s="490"/>
      <c r="J66" s="491"/>
      <c r="K66" s="489" t="s">
        <v>51</v>
      </c>
      <c r="L66" s="490"/>
      <c r="M66" s="490"/>
      <c r="N66" s="492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/>
      <c r="D68" s="76">
        <v>5.1004890879947533</v>
      </c>
      <c r="E68" s="76">
        <v>6.2469304056433739</v>
      </c>
      <c r="F68" s="66">
        <v>4.8</v>
      </c>
      <c r="G68" s="65"/>
      <c r="H68" s="76">
        <v>6.8110718157386199</v>
      </c>
      <c r="I68" s="76">
        <v>6.231410738201248</v>
      </c>
      <c r="J68" s="66">
        <v>4.8</v>
      </c>
      <c r="K68" s="67"/>
      <c r="L68" s="194">
        <v>1.0804210526315789</v>
      </c>
      <c r="M68" s="194">
        <v>0.76086277514299661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5.9872944919306859</v>
      </c>
      <c r="E69" s="76">
        <v>5.9448513978541291</v>
      </c>
      <c r="F69" s="66">
        <v>4.8</v>
      </c>
      <c r="G69" s="65"/>
      <c r="H69" s="76">
        <v>6.2297427957809166</v>
      </c>
      <c r="I69" s="76">
        <v>5.5723746878474767</v>
      </c>
      <c r="J69" s="66">
        <v>4.8</v>
      </c>
      <c r="K69" s="67"/>
      <c r="L69" s="194">
        <v>0.45044834307992204</v>
      </c>
      <c r="M69" s="194">
        <v>0.73721374514882176</v>
      </c>
      <c r="N69" s="68">
        <v>1</v>
      </c>
      <c r="P69" s="69"/>
    </row>
    <row r="70" spans="2:16" ht="15">
      <c r="B70" s="34" t="s">
        <v>40</v>
      </c>
      <c r="C70" s="65"/>
      <c r="D70" s="76">
        <v>8.0382775119617147</v>
      </c>
      <c r="E70" s="76">
        <v>11.429743886837057</v>
      </c>
      <c r="F70" s="66">
        <v>5.5</v>
      </c>
      <c r="G70" s="65"/>
      <c r="H70" s="76">
        <v>10.370027728825649</v>
      </c>
      <c r="I70" s="76">
        <v>13.047305235287777</v>
      </c>
      <c r="J70" s="66">
        <v>5.5</v>
      </c>
      <c r="K70" s="67"/>
      <c r="L70" s="194">
        <v>0.67438596491228076</v>
      </c>
      <c r="M70" s="194">
        <v>0.55172216056233814</v>
      </c>
      <c r="N70" s="68">
        <v>1</v>
      </c>
      <c r="P70" s="69"/>
    </row>
    <row r="71" spans="2:16" ht="15">
      <c r="B71" s="22" t="s">
        <v>33</v>
      </c>
      <c r="C71" s="65"/>
      <c r="D71" s="76">
        <v>6.0500000000000114</v>
      </c>
      <c r="E71" s="76">
        <v>5.1850280988230084</v>
      </c>
      <c r="F71" s="66">
        <v>3.3</v>
      </c>
      <c r="G71" s="65"/>
      <c r="H71" s="76">
        <v>5.966075524743097</v>
      </c>
      <c r="I71" s="76">
        <v>4.9519881827605072</v>
      </c>
      <c r="J71" s="66">
        <v>3.3</v>
      </c>
      <c r="K71" s="67"/>
      <c r="L71" s="194">
        <v>0.32964912280701753</v>
      </c>
      <c r="M71" s="194">
        <v>0.72853313840155942</v>
      </c>
      <c r="N71" s="68">
        <v>1</v>
      </c>
      <c r="P71" s="69"/>
    </row>
    <row r="72" spans="2:16" ht="15">
      <c r="B72" s="35" t="s">
        <v>165</v>
      </c>
      <c r="C72" s="65"/>
      <c r="D72" s="76"/>
      <c r="E72" s="76">
        <v>7.837301587301579</v>
      </c>
      <c r="F72" s="66">
        <v>3.3</v>
      </c>
      <c r="G72" s="282"/>
      <c r="H72" s="76"/>
      <c r="I72" s="76">
        <v>5.3377569154690221</v>
      </c>
      <c r="J72" s="66">
        <v>3</v>
      </c>
      <c r="K72" s="67"/>
      <c r="L72" s="194"/>
      <c r="M72" s="194">
        <v>0.32596491228070179</v>
      </c>
      <c r="N72" s="68">
        <v>1</v>
      </c>
      <c r="P72" s="69"/>
    </row>
    <row r="73" spans="2:16" ht="15">
      <c r="B73" s="36" t="s">
        <v>15</v>
      </c>
      <c r="C73" s="65"/>
      <c r="D73" s="76">
        <v>5.2552552552552552</v>
      </c>
      <c r="E73" s="76">
        <v>6.9158697961943529</v>
      </c>
      <c r="F73" s="70">
        <f>[21]May_2022!$M$43</f>
        <v>3.4878406700073312</v>
      </c>
      <c r="G73" s="282"/>
      <c r="H73" s="76">
        <v>6.7916330640214131</v>
      </c>
      <c r="I73" s="76">
        <v>8.5598888260252064</v>
      </c>
      <c r="J73" s="66">
        <v>5.5</v>
      </c>
      <c r="K73" s="67"/>
      <c r="L73" s="194">
        <v>0.66421052631578947</v>
      </c>
      <c r="M73" s="194">
        <v>0.60705263157894729</v>
      </c>
      <c r="N73" s="68">
        <v>1</v>
      </c>
      <c r="P73" s="69"/>
    </row>
    <row r="74" spans="2:16" ht="15">
      <c r="B74" s="37" t="s">
        <v>16</v>
      </c>
      <c r="C74" s="65"/>
      <c r="D74" s="76">
        <v>4.1414141414141357</v>
      </c>
      <c r="E74" s="76">
        <v>3.0301127264734369</v>
      </c>
      <c r="F74" s="66">
        <v>3.3</v>
      </c>
      <c r="G74" s="282"/>
      <c r="H74" s="76">
        <v>7.0415942868172152</v>
      </c>
      <c r="I74" s="76">
        <v>4.4974189022907662</v>
      </c>
      <c r="J74" s="66">
        <v>3.3</v>
      </c>
      <c r="K74" s="67"/>
      <c r="L74" s="194">
        <v>0.33298245614035088</v>
      </c>
      <c r="M74" s="194">
        <v>0.80374720357941831</v>
      </c>
      <c r="N74" s="71">
        <v>1</v>
      </c>
      <c r="P74" s="69"/>
    </row>
    <row r="75" spans="2:16" ht="15.75" thickBot="1">
      <c r="B75" s="38" t="s">
        <v>164</v>
      </c>
      <c r="C75" s="65"/>
      <c r="D75" s="76"/>
      <c r="E75" s="76">
        <v>11.483253588516746</v>
      </c>
      <c r="F75" s="66">
        <v>7.5</v>
      </c>
      <c r="G75" s="282"/>
      <c r="H75" s="76"/>
      <c r="I75" s="76">
        <v>9.7934336121043764</v>
      </c>
      <c r="J75" s="66">
        <v>7.5</v>
      </c>
      <c r="K75" s="67"/>
      <c r="M75" s="194">
        <v>0.32456140350877194</v>
      </c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>
        <v>7.2653644592663174</v>
      </c>
      <c r="F76" s="66">
        <v>4.8</v>
      </c>
      <c r="G76" s="282"/>
      <c r="H76" s="76"/>
      <c r="I76" s="76">
        <v>8.1715311054411259</v>
      </c>
      <c r="J76" s="66">
        <v>4.8</v>
      </c>
      <c r="K76" s="67"/>
      <c r="L76" s="194">
        <v>0</v>
      </c>
      <c r="M76" s="194">
        <v>0.51368421052631585</v>
      </c>
      <c r="N76" s="71">
        <v>1</v>
      </c>
      <c r="O76" s="74"/>
      <c r="P76" s="75"/>
    </row>
    <row r="77" spans="2:16" ht="15">
      <c r="D77" s="76">
        <v>5.61502312826806</v>
      </c>
      <c r="E77" s="76">
        <v>6.3406422903103055</v>
      </c>
      <c r="F77" s="341">
        <v>5.5</v>
      </c>
      <c r="H77" s="76">
        <v>7.1247836009503684</v>
      </c>
      <c r="I77" s="76">
        <v>6.6197079109367607</v>
      </c>
      <c r="J77" s="341">
        <v>5.5</v>
      </c>
      <c r="L77" s="194">
        <v>0.7295565302144249</v>
      </c>
      <c r="M77" s="194">
        <v>0.7228014537242865</v>
      </c>
      <c r="N77" s="386">
        <v>1</v>
      </c>
    </row>
    <row r="81" spans="6:6">
      <c r="F81" s="315"/>
    </row>
    <row r="82" spans="6:6" ht="15">
      <c r="F82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B42:B51"/>
    <mergeCell ref="D42:E43"/>
    <mergeCell ref="J42:K42"/>
    <mergeCell ref="L43:N43"/>
    <mergeCell ref="D44:E45"/>
    <mergeCell ref="D46:E47"/>
    <mergeCell ref="D48:E49"/>
    <mergeCell ref="D50:E51"/>
    <mergeCell ref="D52:E52"/>
    <mergeCell ref="B57:B58"/>
    <mergeCell ref="C57:C58"/>
    <mergeCell ref="D57:D58"/>
    <mergeCell ref="E57:E58"/>
    <mergeCell ref="M57:M58"/>
    <mergeCell ref="B66:F66"/>
    <mergeCell ref="G66:J66"/>
    <mergeCell ref="K66:N66"/>
    <mergeCell ref="G57:G58"/>
    <mergeCell ref="H57:H58"/>
    <mergeCell ref="I57:I58"/>
    <mergeCell ref="J57:J58"/>
    <mergeCell ref="K57:K58"/>
    <mergeCell ref="L57:L58"/>
    <mergeCell ref="F57:F58"/>
  </mergeCells>
  <conditionalFormatting sqref="B52:B53">
    <cfRule type="cellIs" dxfId="1626" priority="140" operator="notBetween">
      <formula>#REF!</formula>
      <formula>#REF!</formula>
    </cfRule>
  </conditionalFormatting>
  <conditionalFormatting sqref="C56">
    <cfRule type="cellIs" dxfId="1625" priority="172" stopIfTrue="1" operator="greaterThan">
      <formula>100</formula>
    </cfRule>
    <cfRule type="cellIs" dxfId="1624" priority="171" stopIfTrue="1" operator="lessThan">
      <formula>96</formula>
    </cfRule>
  </conditionalFormatting>
  <conditionalFormatting sqref="C68:C72">
    <cfRule type="cellIs" dxfId="1623" priority="121" stopIfTrue="1" operator="lessThanOrEqual">
      <formula>0</formula>
    </cfRule>
  </conditionalFormatting>
  <conditionalFormatting sqref="C68:C76">
    <cfRule type="cellIs" dxfId="1622" priority="120" stopIfTrue="1" operator="greaterThan">
      <formula>$F68</formula>
    </cfRule>
  </conditionalFormatting>
  <conditionalFormatting sqref="C69">
    <cfRule type="cellIs" dxfId="1621" priority="175" stopIfTrue="1" operator="greaterThan">
      <formula>$F68</formula>
    </cfRule>
  </conditionalFormatting>
  <conditionalFormatting sqref="C73">
    <cfRule type="cellIs" dxfId="1620" priority="40" stopIfTrue="1" operator="greaterThan">
      <formula>$F72</formula>
    </cfRule>
    <cfRule type="cellIs" dxfId="1619" priority="39" stopIfTrue="1" operator="lessThanOrEqual">
      <formula>0</formula>
    </cfRule>
  </conditionalFormatting>
  <conditionalFormatting sqref="C79:C83">
    <cfRule type="cellIs" dxfId="1618" priority="163" stopIfTrue="1" operator="lessThanOrEqual">
      <formula>0</formula>
    </cfRule>
  </conditionalFormatting>
  <conditionalFormatting sqref="C80:C83">
    <cfRule type="cellIs" dxfId="1617" priority="162" stopIfTrue="1" operator="greaterThan">
      <formula>$F$79</formula>
    </cfRule>
  </conditionalFormatting>
  <conditionalFormatting sqref="C85">
    <cfRule type="cellIs" dxfId="1616" priority="164" stopIfTrue="1" operator="greaterThan">
      <formula>$F$79</formula>
    </cfRule>
    <cfRule type="cellIs" dxfId="1615" priority="165" stopIfTrue="1" operator="lessThanOrEqual">
      <formula>0</formula>
    </cfRule>
  </conditionalFormatting>
  <conditionalFormatting sqref="C79:D79 D81:D87">
    <cfRule type="cellIs" dxfId="1614" priority="157" stopIfTrue="1" operator="greaterThan">
      <formula>4.5</formula>
    </cfRule>
  </conditionalFormatting>
  <conditionalFormatting sqref="D52:D53">
    <cfRule type="cellIs" dxfId="1613" priority="141" operator="notBetween">
      <formula>#REF!</formula>
      <formula>#REF!</formula>
    </cfRule>
  </conditionalFormatting>
  <conditionalFormatting sqref="D68:D75">
    <cfRule type="cellIs" dxfId="1612" priority="135" stopIfTrue="1" operator="lessThanOrEqual">
      <formula>0</formula>
    </cfRule>
  </conditionalFormatting>
  <conditionalFormatting sqref="D76">
    <cfRule type="cellIs" dxfId="1611" priority="134" stopIfTrue="1" operator="lessThanOrEqual">
      <formula>0</formula>
    </cfRule>
  </conditionalFormatting>
  <conditionalFormatting sqref="D79 D81:D87">
    <cfRule type="cellIs" dxfId="1610" priority="158" stopIfTrue="1" operator="lessThanOrEqual">
      <formula>0</formula>
    </cfRule>
  </conditionalFormatting>
  <conditionalFormatting sqref="D80">
    <cfRule type="cellIs" dxfId="1609" priority="149" stopIfTrue="1" operator="greaterThan">
      <formula>$F$79</formula>
    </cfRule>
    <cfRule type="cellIs" dxfId="1608" priority="150" stopIfTrue="1" operator="lessThanOrEqual">
      <formula>0</formula>
    </cfRule>
  </conditionalFormatting>
  <conditionalFormatting sqref="D68:E77">
    <cfRule type="cellIs" dxfId="1607" priority="117" stopIfTrue="1" operator="greaterThan">
      <formula>$F68</formula>
    </cfRule>
  </conditionalFormatting>
  <conditionalFormatting sqref="D77:E77">
    <cfRule type="cellIs" dxfId="1606" priority="118" stopIfTrue="1" operator="lessThanOrEqual">
      <formula>0</formula>
    </cfRule>
  </conditionalFormatting>
  <conditionalFormatting sqref="E10:E27">
    <cfRule type="cellIs" dxfId="1605" priority="22" operator="lessThan">
      <formula>48</formula>
    </cfRule>
  </conditionalFormatting>
  <conditionalFormatting sqref="E55 E56:F56">
    <cfRule type="cellIs" dxfId="1604" priority="154" stopIfTrue="1" operator="greaterThan">
      <formula>100</formula>
    </cfRule>
  </conditionalFormatting>
  <conditionalFormatting sqref="E56">
    <cfRule type="cellIs" dxfId="1603" priority="152" stopIfTrue="1" operator="greaterThan">
      <formula>100</formula>
    </cfRule>
    <cfRule type="cellIs" dxfId="1602" priority="151" stopIfTrue="1" operator="lessThan">
      <formula>96.8</formula>
    </cfRule>
  </conditionalFormatting>
  <conditionalFormatting sqref="E68:E76">
    <cfRule type="cellIs" dxfId="1601" priority="129" stopIfTrue="1" operator="lessThanOrEqual">
      <formula>0</formula>
    </cfRule>
  </conditionalFormatting>
  <conditionalFormatting sqref="E79:E87">
    <cfRule type="cellIs" dxfId="1600" priority="143" stopIfTrue="1" operator="greaterThan">
      <formula>4.5</formula>
    </cfRule>
    <cfRule type="cellIs" dxfId="1599" priority="144" stopIfTrue="1" operator="lessThanOrEqual">
      <formula>0</formula>
    </cfRule>
  </conditionalFormatting>
  <conditionalFormatting sqref="E56:F56 E55">
    <cfRule type="cellIs" dxfId="1598" priority="153" stopIfTrue="1" operator="lessThan">
      <formula>96.5</formula>
    </cfRule>
  </conditionalFormatting>
  <conditionalFormatting sqref="F10:F27">
    <cfRule type="cellIs" dxfId="1597" priority="23" operator="greaterThan">
      <formula>60</formula>
    </cfRule>
  </conditionalFormatting>
  <conditionalFormatting sqref="F56">
    <cfRule type="cellIs" dxfId="1596" priority="170" stopIfTrue="1" operator="greaterThan">
      <formula>100</formula>
    </cfRule>
    <cfRule type="cellIs" dxfId="1595" priority="169" stopIfTrue="1" operator="lessThan">
      <formula>96.8</formula>
    </cfRule>
  </conditionalFormatting>
  <conditionalFormatting sqref="F77">
    <cfRule type="cellIs" dxfId="1594" priority="131" stopIfTrue="1" operator="lessThanOrEqual">
      <formula>0</formula>
    </cfRule>
    <cfRule type="cellIs" dxfId="1593" priority="130" stopIfTrue="1" operator="greaterThan">
      <formula>$F77</formula>
    </cfRule>
  </conditionalFormatting>
  <conditionalFormatting sqref="F82">
    <cfRule type="cellIs" dxfId="1592" priority="88" stopIfTrue="1" operator="lessThanOrEqual">
      <formula>0</formula>
    </cfRule>
    <cfRule type="cellIs" dxfId="1591" priority="87" stopIfTrue="1" operator="greaterThan">
      <formula>$F82</formula>
    </cfRule>
  </conditionalFormatting>
  <conditionalFormatting sqref="G10:G18">
    <cfRule type="expression" dxfId="1590" priority="215">
      <formula>IF(+(IF(G10&lt;#REF!,0,IF(G10&gt;#REF!,0,1)))=0,1)</formula>
    </cfRule>
  </conditionalFormatting>
  <conditionalFormatting sqref="G19:G22">
    <cfRule type="expression" dxfId="1589" priority="13">
      <formula>IF(+(IF(G19&lt;S19,0,IF(G19&gt;T19,0,1)))=0,1)</formula>
    </cfRule>
  </conditionalFormatting>
  <conditionalFormatting sqref="G68:G69 C74:C76">
    <cfRule type="cellIs" dxfId="1588" priority="137" stopIfTrue="1" operator="lessThanOrEqual">
      <formula>0</formula>
    </cfRule>
  </conditionalFormatting>
  <conditionalFormatting sqref="G68:G69">
    <cfRule type="cellIs" dxfId="1587" priority="136" stopIfTrue="1" operator="greaterThan">
      <formula>$F68</formula>
    </cfRule>
    <cfRule type="cellIs" dxfId="1586" priority="122" stopIfTrue="1" operator="greaterThan">
      <formula>$F68</formula>
    </cfRule>
    <cfRule type="cellIs" dxfId="1585" priority="123" stopIfTrue="1" operator="lessThanOrEqual">
      <formula>0</formula>
    </cfRule>
  </conditionalFormatting>
  <conditionalFormatting sqref="G70">
    <cfRule type="cellIs" dxfId="1584" priority="174" stopIfTrue="1" operator="lessThanOrEqual">
      <formula>0</formula>
    </cfRule>
    <cfRule type="cellIs" dxfId="1583" priority="173" stopIfTrue="1" operator="greaterThan">
      <formula>$F69</formula>
    </cfRule>
  </conditionalFormatting>
  <conditionalFormatting sqref="G71">
    <cfRule type="cellIs" dxfId="1582" priority="133" stopIfTrue="1" operator="lessThanOrEqual">
      <formula>0</formula>
    </cfRule>
    <cfRule type="cellIs" dxfId="1581" priority="132" stopIfTrue="1" operator="greaterThan">
      <formula>$F71</formula>
    </cfRule>
  </conditionalFormatting>
  <conditionalFormatting sqref="G72:G76">
    <cfRule type="cellIs" dxfId="1580" priority="139" stopIfTrue="1" operator="lessThanOrEqual">
      <formula>0</formula>
    </cfRule>
    <cfRule type="cellIs" dxfId="1579" priority="138" stopIfTrue="1" operator="greaterThan">
      <formula>$J72</formula>
    </cfRule>
  </conditionalFormatting>
  <conditionalFormatting sqref="G81:G86 C84 C86">
    <cfRule type="cellIs" dxfId="1578" priority="167" stopIfTrue="1" operator="lessThanOrEqual">
      <formula>0</formula>
    </cfRule>
    <cfRule type="cellIs" dxfId="1577" priority="166" stopIfTrue="1" operator="greaterThan">
      <formula>4.5</formula>
    </cfRule>
  </conditionalFormatting>
  <conditionalFormatting sqref="G23:H27">
    <cfRule type="expression" dxfId="1576" priority="41">
      <formula>IF(+(IF(G23&lt;#REF!,0,IF(G23&gt;#REF!,0,1)))=0,1)</formula>
    </cfRule>
  </conditionalFormatting>
  <conditionalFormatting sqref="G80:H80">
    <cfRule type="cellIs" dxfId="1575" priority="148" stopIfTrue="1" operator="lessThanOrEqual">
      <formula>0</formula>
    </cfRule>
    <cfRule type="cellIs" dxfId="1574" priority="147" stopIfTrue="1" operator="greaterThan">
      <formula>$F$79</formula>
    </cfRule>
  </conditionalFormatting>
  <conditionalFormatting sqref="H10:H22">
    <cfRule type="expression" dxfId="1573" priority="24">
      <formula>IF(+(IF(H10&lt;#REF!,0,IF(H10&gt;#REF!,0,1)))=0,1)</formula>
    </cfRule>
  </conditionalFormatting>
  <conditionalFormatting sqref="H41:H55 I43:I55">
    <cfRule type="cellIs" dxfId="1572" priority="145" stopIfTrue="1" operator="greaterThan">
      <formula>0</formula>
    </cfRule>
  </conditionalFormatting>
  <conditionalFormatting sqref="H59">
    <cfRule type="cellIs" dxfId="1571" priority="57" stopIfTrue="1" operator="greaterThan">
      <formula>$F$24</formula>
    </cfRule>
    <cfRule type="cellIs" dxfId="1570" priority="55" stopIfTrue="1" operator="greaterThan">
      <formula>$F$26</formula>
    </cfRule>
    <cfRule type="cellIs" dxfId="1569" priority="56" stopIfTrue="1" operator="lessThanOrEqual">
      <formula>0</formula>
    </cfRule>
    <cfRule type="cellIs" dxfId="1568" priority="46" stopIfTrue="1" operator="lessThanOrEqual">
      <formula>0</formula>
    </cfRule>
    <cfRule type="cellIs" dxfId="1567" priority="47" stopIfTrue="1" operator="greaterThan">
      <formula>#REF!</formula>
    </cfRule>
    <cfRule type="cellIs" dxfId="1566" priority="58" stopIfTrue="1" operator="lessThanOrEqual">
      <formula>0</formula>
    </cfRule>
  </conditionalFormatting>
  <conditionalFormatting sqref="H60">
    <cfRule type="cellIs" dxfId="1565" priority="86" stopIfTrue="1" operator="lessThanOrEqual">
      <formula>0</formula>
    </cfRule>
    <cfRule type="cellIs" dxfId="1564" priority="83" stopIfTrue="1" operator="greaterThan">
      <formula>$F$28</formula>
    </cfRule>
    <cfRule type="cellIs" dxfId="1563" priority="84" stopIfTrue="1" operator="lessThanOrEqual">
      <formula>0</formula>
    </cfRule>
    <cfRule type="cellIs" dxfId="1562" priority="85" stopIfTrue="1" operator="greaterThan">
      <formula>$F$26</formula>
    </cfRule>
    <cfRule type="cellIs" dxfId="1561" priority="74" stopIfTrue="1" operator="lessThanOrEqual">
      <formula>0</formula>
    </cfRule>
    <cfRule type="cellIs" dxfId="1560" priority="75" stopIfTrue="1" operator="greaterThan">
      <formula>$F$25</formula>
    </cfRule>
  </conditionalFormatting>
  <conditionalFormatting sqref="H61">
    <cfRule type="cellIs" dxfId="1559" priority="26" stopIfTrue="1" operator="lessThanOrEqual">
      <formula>0</formula>
    </cfRule>
    <cfRule type="cellIs" dxfId="1558" priority="38" stopIfTrue="1" operator="lessThanOrEqual">
      <formula>0</formula>
    </cfRule>
    <cfRule type="cellIs" dxfId="1557" priority="37" stopIfTrue="1" operator="greaterThan">
      <formula>$F$24</formula>
    </cfRule>
    <cfRule type="cellIs" dxfId="1556" priority="36" stopIfTrue="1" operator="lessThanOrEqual">
      <formula>0</formula>
    </cfRule>
    <cfRule type="cellIs" dxfId="1555" priority="35" stopIfTrue="1" operator="greaterThan">
      <formula>$F$26</formula>
    </cfRule>
    <cfRule type="cellIs" dxfId="1554" priority="27" stopIfTrue="1" operator="greaterThan">
      <formula>#REF!</formula>
    </cfRule>
  </conditionalFormatting>
  <conditionalFormatting sqref="H62:H63">
    <cfRule type="cellIs" dxfId="1553" priority="61" stopIfTrue="1" operator="greaterThan">
      <formula>$F$24</formula>
    </cfRule>
    <cfRule type="cellIs" dxfId="1552" priority="69" stopIfTrue="1" operator="greaterThan">
      <formula>$F$27</formula>
    </cfRule>
    <cfRule type="cellIs" dxfId="1551" priority="60" stopIfTrue="1" operator="lessThanOrEqual">
      <formula>0</formula>
    </cfRule>
    <cfRule type="cellIs" dxfId="1550" priority="72" stopIfTrue="1" operator="lessThanOrEqual">
      <formula>0</formula>
    </cfRule>
    <cfRule type="cellIs" dxfId="1549" priority="71" stopIfTrue="1" operator="greaterThan">
      <formula>$F$25</formula>
    </cfRule>
    <cfRule type="cellIs" dxfId="1548" priority="70" stopIfTrue="1" operator="lessThanOrEqual">
      <formula>0</formula>
    </cfRule>
  </conditionalFormatting>
  <conditionalFormatting sqref="H64">
    <cfRule type="cellIs" dxfId="1547" priority="91" stopIfTrue="1" operator="lessThanOrEqual">
      <formula>0</formula>
    </cfRule>
    <cfRule type="cellIs" dxfId="1546" priority="92" stopIfTrue="1" operator="greaterThan">
      <formula>$F$40</formula>
    </cfRule>
    <cfRule type="cellIs" dxfId="1545" priority="100" stopIfTrue="1" operator="greaterThan">
      <formula>$F$43</formula>
    </cfRule>
    <cfRule type="cellIs" dxfId="1544" priority="102" stopIfTrue="1" operator="greaterThan">
      <formula>$F$41</formula>
    </cfRule>
    <cfRule type="cellIs" dxfId="1543" priority="103" stopIfTrue="1" operator="lessThanOrEqual">
      <formula>0</formula>
    </cfRule>
    <cfRule type="cellIs" dxfId="1542" priority="101" stopIfTrue="1" operator="lessThanOrEqual">
      <formula>0</formula>
    </cfRule>
  </conditionalFormatting>
  <conditionalFormatting sqref="H68:H75">
    <cfRule type="cellIs" dxfId="1541" priority="124" stopIfTrue="1" operator="greaterThan">
      <formula>$J68</formula>
    </cfRule>
    <cfRule type="cellIs" dxfId="1540" priority="125" stopIfTrue="1" operator="lessThanOrEqual">
      <formula>0</formula>
    </cfRule>
  </conditionalFormatting>
  <conditionalFormatting sqref="H76">
    <cfRule type="cellIs" dxfId="1539" priority="126" operator="greaterThan">
      <formula>5.3</formula>
    </cfRule>
  </conditionalFormatting>
  <conditionalFormatting sqref="H79 H81:H87">
    <cfRule type="cellIs" dxfId="1538" priority="159" stopIfTrue="1" operator="greaterThan">
      <formula>4.5</formula>
    </cfRule>
    <cfRule type="cellIs" dxfId="1537" priority="160" stopIfTrue="1" operator="lessThanOrEqual">
      <formula>0</formula>
    </cfRule>
  </conditionalFormatting>
  <conditionalFormatting sqref="H59:I59">
    <cfRule type="cellIs" dxfId="1536" priority="48" stopIfTrue="1" operator="lessThanOrEqual">
      <formula>0</formula>
    </cfRule>
    <cfRule type="cellIs" dxfId="1535" priority="45" stopIfTrue="1" operator="greaterThan">
      <formula>$F$25</formula>
    </cfRule>
  </conditionalFormatting>
  <conditionalFormatting sqref="H60:I60">
    <cfRule type="cellIs" dxfId="1534" priority="76" stopIfTrue="1" operator="lessThanOrEqual">
      <formula>0</formula>
    </cfRule>
    <cfRule type="cellIs" dxfId="1533" priority="73" stopIfTrue="1" operator="greaterThan">
      <formula>$F$27</formula>
    </cfRule>
  </conditionalFormatting>
  <conditionalFormatting sqref="H61:I61">
    <cfRule type="cellIs" dxfId="1532" priority="25" stopIfTrue="1" operator="greaterThan">
      <formula>$F$25</formula>
    </cfRule>
    <cfRule type="cellIs" dxfId="1531" priority="28" stopIfTrue="1" operator="lessThanOrEqual">
      <formula>0</formula>
    </cfRule>
  </conditionalFormatting>
  <conditionalFormatting sqref="H62:I63">
    <cfRule type="cellIs" dxfId="1530" priority="62" stopIfTrue="1" operator="lessThanOrEqual">
      <formula>0</formula>
    </cfRule>
    <cfRule type="cellIs" dxfId="1529" priority="59" stopIfTrue="1" operator="greaterThan">
      <formula>$F$26</formula>
    </cfRule>
  </conditionalFormatting>
  <conditionalFormatting sqref="H64:I64">
    <cfRule type="cellIs" dxfId="1528" priority="93" stopIfTrue="1" operator="lessThanOrEqual">
      <formula>0</formula>
    </cfRule>
    <cfRule type="cellIs" dxfId="1527" priority="90" stopIfTrue="1" operator="greaterThan">
      <formula>$F$42</formula>
    </cfRule>
  </conditionalFormatting>
  <conditionalFormatting sqref="H77:I77">
    <cfRule type="cellIs" dxfId="1526" priority="115" stopIfTrue="1" operator="greaterThan">
      <formula>$J77</formula>
    </cfRule>
    <cfRule type="cellIs" dxfId="1525" priority="116" stopIfTrue="1" operator="lessThanOrEqual">
      <formula>0</formula>
    </cfRule>
  </conditionalFormatting>
  <conditionalFormatting sqref="I59">
    <cfRule type="cellIs" dxfId="1524" priority="54" stopIfTrue="1" operator="lessThanOrEqual">
      <formula>0</formula>
    </cfRule>
    <cfRule type="cellIs" dxfId="1523" priority="52" stopIfTrue="1" operator="lessThanOrEqual">
      <formula>0</formula>
    </cfRule>
    <cfRule type="cellIs" dxfId="1522" priority="51" stopIfTrue="1" operator="greaterThan">
      <formula>$F$25</formula>
    </cfRule>
    <cfRule type="cellIs" dxfId="1521" priority="50" stopIfTrue="1" operator="lessThanOrEqual">
      <formula>0</formula>
    </cfRule>
    <cfRule type="cellIs" dxfId="1520" priority="49" stopIfTrue="1" operator="greaterThan">
      <formula>#REF!</formula>
    </cfRule>
    <cfRule type="cellIs" dxfId="1519" priority="53" stopIfTrue="1" operator="greaterThan">
      <formula>#REF!</formula>
    </cfRule>
  </conditionalFormatting>
  <conditionalFormatting sqref="I60">
    <cfRule type="cellIs" dxfId="1518" priority="80" stopIfTrue="1" operator="lessThanOrEqual">
      <formula>0</formula>
    </cfRule>
    <cfRule type="cellIs" dxfId="1517" priority="79" stopIfTrue="1" operator="greaterThan">
      <formula>$F$27</formula>
    </cfRule>
    <cfRule type="cellIs" dxfId="1516" priority="82" stopIfTrue="1" operator="lessThanOrEqual">
      <formula>0</formula>
    </cfRule>
    <cfRule type="cellIs" dxfId="1515" priority="78" stopIfTrue="1" operator="lessThanOrEqual">
      <formula>0</formula>
    </cfRule>
    <cfRule type="cellIs" dxfId="1514" priority="77" stopIfTrue="1" operator="greaterThan">
      <formula>$F$25</formula>
    </cfRule>
    <cfRule type="cellIs" dxfId="1513" priority="81" stopIfTrue="1" operator="greaterThan">
      <formula>$F$25</formula>
    </cfRule>
  </conditionalFormatting>
  <conditionalFormatting sqref="I61">
    <cfRule type="cellIs" dxfId="1512" priority="33" stopIfTrue="1" operator="greaterThan">
      <formula>#REF!</formula>
    </cfRule>
    <cfRule type="cellIs" dxfId="1511" priority="34" stopIfTrue="1" operator="lessThanOrEqual">
      <formula>0</formula>
    </cfRule>
    <cfRule type="cellIs" dxfId="1510" priority="32" stopIfTrue="1" operator="lessThanOrEqual">
      <formula>0</formula>
    </cfRule>
    <cfRule type="cellIs" dxfId="1509" priority="31" stopIfTrue="1" operator="greaterThan">
      <formula>$F$25</formula>
    </cfRule>
    <cfRule type="cellIs" dxfId="1508" priority="30" stopIfTrue="1" operator="lessThanOrEqual">
      <formula>0</formula>
    </cfRule>
    <cfRule type="cellIs" dxfId="1507" priority="29" stopIfTrue="1" operator="greaterThan">
      <formula>#REF!</formula>
    </cfRule>
  </conditionalFormatting>
  <conditionalFormatting sqref="I62:I63">
    <cfRule type="cellIs" dxfId="1506" priority="68" stopIfTrue="1" operator="lessThanOrEqual">
      <formula>0</formula>
    </cfRule>
    <cfRule type="cellIs" dxfId="1505" priority="63" stopIfTrue="1" operator="greaterThan">
      <formula>$F$24</formula>
    </cfRule>
    <cfRule type="cellIs" dxfId="1504" priority="67" stopIfTrue="1" operator="greaterThan">
      <formula>$F$24</formula>
    </cfRule>
    <cfRule type="cellIs" dxfId="1503" priority="66" stopIfTrue="1" operator="lessThanOrEqual">
      <formula>0</formula>
    </cfRule>
    <cfRule type="cellIs" dxfId="1502" priority="65" stopIfTrue="1" operator="greaterThan">
      <formula>$F$26</formula>
    </cfRule>
    <cfRule type="cellIs" dxfId="1501" priority="64" stopIfTrue="1" operator="lessThanOrEqual">
      <formula>0</formula>
    </cfRule>
  </conditionalFormatting>
  <conditionalFormatting sqref="I64">
    <cfRule type="cellIs" dxfId="1500" priority="96" stopIfTrue="1" operator="greaterThan">
      <formula>$F$42</formula>
    </cfRule>
    <cfRule type="cellIs" dxfId="1499" priority="95" stopIfTrue="1" operator="lessThanOrEqual">
      <formula>0</formula>
    </cfRule>
    <cfRule type="cellIs" dxfId="1498" priority="94" stopIfTrue="1" operator="greaterThan">
      <formula>$F$40</formula>
    </cfRule>
    <cfRule type="cellIs" dxfId="1497" priority="99" stopIfTrue="1" operator="lessThanOrEqual">
      <formula>0</formula>
    </cfRule>
    <cfRule type="cellIs" dxfId="1496" priority="98" stopIfTrue="1" operator="greaterThan">
      <formula>$F$40</formula>
    </cfRule>
    <cfRule type="cellIs" dxfId="1495" priority="97" stopIfTrue="1" operator="lessThanOrEqual">
      <formula>0</formula>
    </cfRule>
  </conditionalFormatting>
  <conditionalFormatting sqref="I68:I76">
    <cfRule type="cellIs" dxfId="1494" priority="127" stopIfTrue="1" operator="greaterThan">
      <formula>$J68</formula>
    </cfRule>
    <cfRule type="cellIs" dxfId="1493" priority="128" stopIfTrue="1" operator="lessThanOrEqual">
      <formula>0</formula>
    </cfRule>
  </conditionalFormatting>
  <conditionalFormatting sqref="I79:I87">
    <cfRule type="cellIs" dxfId="1492" priority="155" stopIfTrue="1" operator="greaterThan">
      <formula>4.5</formula>
    </cfRule>
    <cfRule type="cellIs" dxfId="1491" priority="156" stopIfTrue="1" operator="lessThanOrEqual">
      <formula>0</formula>
    </cfRule>
  </conditionalFormatting>
  <conditionalFormatting sqref="I10:J27">
    <cfRule type="cellIs" dxfId="1490" priority="18" operator="lessThan">
      <formula>97.9</formula>
    </cfRule>
  </conditionalFormatting>
  <conditionalFormatting sqref="J30:J32">
    <cfRule type="cellIs" dxfId="1489" priority="105" stopIfTrue="1" operator="lessThan">
      <formula>96.8</formula>
    </cfRule>
    <cfRule type="cellIs" dxfId="1488" priority="106" stopIfTrue="1" operator="greaterThan">
      <formula>100</formula>
    </cfRule>
    <cfRule type="cellIs" dxfId="1487" priority="107" operator="lessThan">
      <formula>98</formula>
    </cfRule>
  </conditionalFormatting>
  <conditionalFormatting sqref="J30:J34">
    <cfRule type="cellIs" dxfId="1486" priority="104" operator="lessThan">
      <formula>97.4</formula>
    </cfRule>
  </conditionalFormatting>
  <conditionalFormatting sqref="J35">
    <cfRule type="cellIs" dxfId="1485" priority="108" operator="lessThan">
      <formula>98</formula>
    </cfRule>
  </conditionalFormatting>
  <conditionalFormatting sqref="J37:J38">
    <cfRule type="cellIs" dxfId="1484" priority="109" stopIfTrue="1" operator="lessThan">
      <formula>96.8</formula>
    </cfRule>
    <cfRule type="cellIs" dxfId="1483" priority="110" stopIfTrue="1" operator="greaterThan">
      <formula>100</formula>
    </cfRule>
  </conditionalFormatting>
  <conditionalFormatting sqref="J37:J39">
    <cfRule type="cellIs" dxfId="1482" priority="111" operator="lessThan">
      <formula>98</formula>
    </cfRule>
  </conditionalFormatting>
  <conditionalFormatting sqref="J77">
    <cfRule type="cellIs" dxfId="1481" priority="112" stopIfTrue="1" operator="greaterThan">
      <formula>$F77</formula>
    </cfRule>
    <cfRule type="cellIs" dxfId="1480" priority="113" stopIfTrue="1" operator="lessThanOrEqual">
      <formula>0</formula>
    </cfRule>
  </conditionalFormatting>
  <conditionalFormatting sqref="K10:K27">
    <cfRule type="cellIs" dxfId="1479" priority="17" operator="greaterThan">
      <formula>6.4</formula>
    </cfRule>
    <cfRule type="cellIs" dxfId="1478" priority="16" operator="lessThan">
      <formula>4</formula>
    </cfRule>
    <cfRule type="cellIs" dxfId="1477" priority="15" operator="greaterThan">
      <formula>6</formula>
    </cfRule>
  </conditionalFormatting>
  <conditionalFormatting sqref="K59:K64 K68:N74 K75 M75:N75 K76:N76">
    <cfRule type="cellIs" dxfId="1476" priority="89" stopIfTrue="1" operator="lessThan">
      <formula>100%</formula>
    </cfRule>
  </conditionalFormatting>
  <conditionalFormatting sqref="K79:K84">
    <cfRule type="cellIs" dxfId="1475" priority="161" stopIfTrue="1" operator="lessThan">
      <formula>100%</formula>
    </cfRule>
  </conditionalFormatting>
  <conditionalFormatting sqref="K86:K87">
    <cfRule type="cellIs" dxfId="1474" priority="168" stopIfTrue="1" operator="lessThan">
      <formula>100%</formula>
    </cfRule>
  </conditionalFormatting>
  <conditionalFormatting sqref="L10:L22">
    <cfRule type="cellIs" dxfId="1473" priority="21" operator="greaterThan">
      <formula>65</formula>
    </cfRule>
    <cfRule type="cellIs" dxfId="1472" priority="20" operator="between">
      <formula>61</formula>
      <formula>65</formula>
    </cfRule>
  </conditionalFormatting>
  <conditionalFormatting sqref="L23:M23 L24:L27">
    <cfRule type="cellIs" dxfId="1471" priority="42" operator="between">
      <formula>61</formula>
      <formula>65</formula>
    </cfRule>
    <cfRule type="cellIs" dxfId="1470" priority="43" operator="greaterThan">
      <formula>65</formula>
    </cfRule>
  </conditionalFormatting>
  <conditionalFormatting sqref="L30:M41">
    <cfRule type="cellIs" dxfId="1469" priority="119" operator="lessThan">
      <formula>98</formula>
    </cfRule>
  </conditionalFormatting>
  <conditionalFormatting sqref="L45:N45">
    <cfRule type="cellIs" dxfId="1468" priority="44" operator="notEqual">
      <formula>#REF!</formula>
    </cfRule>
  </conditionalFormatting>
  <conditionalFormatting sqref="L77:N77">
    <cfRule type="cellIs" dxfId="1467" priority="114" stopIfTrue="1" operator="lessThan">
      <formula>100%</formula>
    </cfRule>
  </conditionalFormatting>
  <conditionalFormatting sqref="L79:N87">
    <cfRule type="cellIs" dxfId="1466" priority="146" stopIfTrue="1" operator="lessThan">
      <formula>100%</formula>
    </cfRule>
  </conditionalFormatting>
  <conditionalFormatting sqref="M10:M27">
    <cfRule type="expression" dxfId="1465" priority="19">
      <formula>IF(+(IF(M10&lt;U10,0,IF(M10&gt;V10,0,1)))=0,1)</formula>
    </cfRule>
  </conditionalFormatting>
  <conditionalFormatting sqref="N10:N27">
    <cfRule type="expression" dxfId="1464" priority="14">
      <formula>IF(+(IF(N10&lt;W10,0,IF(N10&gt;X10,0,1)))=0,1)</formula>
    </cfRule>
  </conditionalFormatting>
  <conditionalFormatting sqref="P6">
    <cfRule type="cellIs" dxfId="1463" priority="142" operator="greaterThanOrEqual">
      <formula>19</formula>
    </cfRule>
  </conditionalFormatting>
  <dataValidations count="1">
    <dataValidation type="list" allowBlank="1" showInputMessage="1" showErrorMessage="1" sqref="R8" xr:uid="{45FE325B-9F27-4DFA-B6D7-60F06F0D1D01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6DFE-D685-4E7D-9ABA-501C7ED871F3}">
  <sheetPr>
    <pageSetUpPr fitToPage="1"/>
  </sheetPr>
  <dimension ref="A1:BE84"/>
  <sheetViews>
    <sheetView zoomScale="90" zoomScaleNormal="90" workbookViewId="0">
      <selection activeCell="K46" sqref="K4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45889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>
      <c r="B10" s="22" t="s">
        <v>33</v>
      </c>
      <c r="C10" s="366" t="str">
        <f>[26]Brewhouse!A77</f>
        <v>VM066</v>
      </c>
      <c r="D10" s="279">
        <f>[26]Brewhouse!AE77</f>
        <v>51.6</v>
      </c>
      <c r="E10" s="279">
        <f>[26]Brewhouse!AJ77</f>
        <v>47.8</v>
      </c>
      <c r="F10" s="278">
        <f>[26]Brewhouse!X77</f>
        <v>87</v>
      </c>
      <c r="G10" s="279">
        <f>[26]Brewhouse!AH77</f>
        <v>14.4</v>
      </c>
      <c r="H10" s="396">
        <v>14.5</v>
      </c>
      <c r="I10" s="368">
        <f>[26]Brewhouse!AV77</f>
        <v>97.610908885136041</v>
      </c>
      <c r="J10" s="368">
        <f>[26]Brewhouse!AW77</f>
        <v>97.964485761156965</v>
      </c>
      <c r="K10" s="281">
        <f>[26]Brewhouse!S77</f>
        <v>6.3178294573643363</v>
      </c>
      <c r="L10" s="276">
        <f>[26]Brewhouse!R77</f>
        <v>55</v>
      </c>
      <c r="M10" s="374">
        <f>[26]Brewhouse!$W77-[26]Brewhouse!$V77</f>
        <v>0.14097222222222222</v>
      </c>
      <c r="N10" s="370">
        <f>[26]Brewhouse!AB77</f>
        <v>0.28888888888888886</v>
      </c>
      <c r="O10" s="371" t="str">
        <f>[26]Brewhouse!$AZ77</f>
        <v>R.Sookram</v>
      </c>
      <c r="P10" s="339"/>
      <c r="R10" s="277" t="str">
        <f t="shared" ref="R10:R11" si="0">B10</f>
        <v>VITAMALT</v>
      </c>
      <c r="S10" s="296">
        <f t="shared" ref="S10:S31" si="1">VLOOKUP($B10,$R$3:$X$9,2,FALSE)</f>
        <v>14.2</v>
      </c>
      <c r="T10" s="296">
        <f t="shared" ref="T10:T31" si="2">VLOOKUP($B10,$R$3:$X$9,3,FALSE)</f>
        <v>14.6</v>
      </c>
      <c r="U10" s="297">
        <f t="shared" ref="U10:U31" si="3">VLOOKUP($B10,$R$3:$X$9,4,FALSE)</f>
        <v>0</v>
      </c>
      <c r="V10" s="297">
        <f t="shared" ref="V10:V31" si="4">VLOOKUP($B10,$R$3:$X$9,5,FALSE)</f>
        <v>0.13905092592592591</v>
      </c>
      <c r="W10" s="297">
        <f t="shared" ref="W10:W31" si="5">VLOOKUP($B10,$R$3:$X$9,6,FALSE)</f>
        <v>0.26041666666666669</v>
      </c>
      <c r="X10" s="297">
        <f t="shared" ref="X10:X31" si="6">VLOOKUP($B10,$R$3:$X$9,7,FALSE)</f>
        <v>0.2951388888888889</v>
      </c>
      <c r="Y10" s="297">
        <f t="shared" ref="Y10:Y31" si="7">VLOOKUP($B10,$R$3:$Z$9,8,FALSE)</f>
        <v>0</v>
      </c>
      <c r="Z10" s="296">
        <f t="shared" ref="Z10:Z31" si="8">VLOOKUP($B10,$R$3:$Z$9,9,FALSE)</f>
        <v>75</v>
      </c>
    </row>
    <row r="11" spans="2:29" ht="15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33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customHeight="1">
      <c r="B12" s="29" t="s">
        <v>6</v>
      </c>
      <c r="C12" s="366" t="str">
        <f>[24]Brewhouse!$A693</f>
        <v>CA585</v>
      </c>
      <c r="D12" s="279">
        <f>[24]Brewhouse!$AF693</f>
        <v>51.4</v>
      </c>
      <c r="E12" s="279">
        <f>[24]Brewhouse!$AI693</f>
        <v>48.5</v>
      </c>
      <c r="F12" s="278">
        <f>[24]Brewhouse!$V693</f>
        <v>52</v>
      </c>
      <c r="G12" s="279">
        <f>[24]Brewhouse!AG693</f>
        <v>11.9</v>
      </c>
      <c r="H12" s="396">
        <v>11.8</v>
      </c>
      <c r="I12" s="368">
        <f>[24]Brewhouse!$AU693</f>
        <v>93.065078130770544</v>
      </c>
      <c r="J12" s="368">
        <f>[24]Brewhouse!$AV693</f>
        <v>94.619897802706646</v>
      </c>
      <c r="K12" s="281">
        <f>[24]Brewhouse!$Q693</f>
        <v>8.8117001828153558</v>
      </c>
      <c r="L12" s="276">
        <f>[24]Brewhouse!$P693</f>
        <v>58</v>
      </c>
      <c r="M12" s="397">
        <f>[24]Brewhouse!$U693-[24]Brewhouse!$T693</f>
        <v>0.11666666666666659</v>
      </c>
      <c r="N12" s="370">
        <f>[24]Brewhouse!$Z693</f>
        <v>0.24097222222222214</v>
      </c>
      <c r="O12" s="371" t="str">
        <f>[24]Brewhouse!$AX693</f>
        <v>G. Mason</v>
      </c>
      <c r="P12" s="418"/>
      <c r="R12" s="277" t="str">
        <f t="shared" ref="R12:R31" si="9">B12</f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[24]Brewhouse!$A694</f>
        <v>CA586</v>
      </c>
      <c r="D13" s="279">
        <f>[24]Brewhouse!$AF694</f>
        <v>52.1</v>
      </c>
      <c r="E13" s="279">
        <f>[24]Brewhouse!$AI694</f>
        <v>50.6</v>
      </c>
      <c r="F13" s="278">
        <f>[24]Brewhouse!$V694</f>
        <v>57</v>
      </c>
      <c r="G13" s="279">
        <f>[24]Brewhouse!AG694</f>
        <v>11.7</v>
      </c>
      <c r="H13" s="396">
        <v>11.9</v>
      </c>
      <c r="I13" s="368">
        <f>[24]Brewhouse!$AU694</f>
        <v>94.459926054325564</v>
      </c>
      <c r="J13" s="368">
        <f>[24]Brewhouse!$AV694</f>
        <v>96.039381699305494</v>
      </c>
      <c r="K13" s="281">
        <f>[24]Brewhouse!$Q694</f>
        <v>7.9783393501804953</v>
      </c>
      <c r="L13" s="276">
        <f>[24]Brewhouse!$P694</f>
        <v>58</v>
      </c>
      <c r="M13" s="397">
        <f>[24]Brewhouse!$U694-[24]Brewhouse!$T694</f>
        <v>0.10555555555555557</v>
      </c>
      <c r="N13" s="370">
        <f>[24]Brewhouse!$Z694</f>
        <v>0.23541666666666666</v>
      </c>
      <c r="O13" s="371" t="str">
        <f>[24]Brewhouse!$AX694</f>
        <v>G. Mason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[24]Brewhouse!$A695</f>
        <v>CA587</v>
      </c>
      <c r="D14" s="279">
        <f>[24]Brewhouse!$AF695</f>
        <v>52</v>
      </c>
      <c r="E14" s="279">
        <f>[24]Brewhouse!$AI695</f>
        <v>48.5</v>
      </c>
      <c r="F14" s="278">
        <f>[24]Brewhouse!$V695</f>
        <v>59</v>
      </c>
      <c r="G14" s="279">
        <f>[24]Brewhouse!AG695</f>
        <v>11.7</v>
      </c>
      <c r="H14" s="396">
        <v>11.8</v>
      </c>
      <c r="I14" s="368">
        <f>[24]Brewhouse!$AU695</f>
        <v>92.774524142416354</v>
      </c>
      <c r="J14" s="368">
        <f>[24]Brewhouse!$AV695</f>
        <v>94.322478072430968</v>
      </c>
      <c r="K14" s="281">
        <f>[24]Brewhouse!$Q695</f>
        <v>6.9328493647912897</v>
      </c>
      <c r="L14" s="276">
        <f>[24]Brewhouse!$P695</f>
        <v>54</v>
      </c>
      <c r="M14" s="397">
        <f>[24]Brewhouse!$U695-[24]Brewhouse!$T695</f>
        <v>9.9999999999999978E-2</v>
      </c>
      <c r="N14" s="370">
        <f>[24]Brewhouse!$Z695</f>
        <v>0.24375000000000002</v>
      </c>
      <c r="O14" s="371" t="str">
        <f>[24]Brewhouse!$AX695</f>
        <v>G. Mason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[24]Brewhouse!$A696</f>
        <v>CA588</v>
      </c>
      <c r="D15" s="279">
        <f>[24]Brewhouse!$AF696</f>
        <v>50.8</v>
      </c>
      <c r="E15" s="279">
        <f>[24]Brewhouse!$AI696</f>
        <v>49.8</v>
      </c>
      <c r="F15" s="278">
        <f>[24]Brewhouse!$V696</f>
        <v>61</v>
      </c>
      <c r="G15" s="279">
        <f>[24]Brewhouse!AG696</f>
        <v>11.8</v>
      </c>
      <c r="H15" s="396">
        <v>11.8</v>
      </c>
      <c r="I15" s="368">
        <f>[24]Brewhouse!$AU696</f>
        <v>93.352893936370009</v>
      </c>
      <c r="J15" s="368">
        <f>[24]Brewhouse!$AV696</f>
        <v>94.914487997582839</v>
      </c>
      <c r="K15" s="281">
        <f>[24]Brewhouse!$Q696</f>
        <v>9.9280575539568403</v>
      </c>
      <c r="L15" s="276">
        <f>[24]Brewhouse!$P696</f>
        <v>60</v>
      </c>
      <c r="M15" s="397">
        <f>[24]Brewhouse!$U696-[24]Brewhouse!$T696</f>
        <v>0.11597222222222225</v>
      </c>
      <c r="N15" s="370">
        <f>[24]Brewhouse!$Z696</f>
        <v>0.25138888888888888</v>
      </c>
      <c r="O15" s="371" t="str">
        <f>[24]Brewhouse!$AX696</f>
        <v>R. Regis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[24]Brewhouse!$A697</f>
        <v>CA589</v>
      </c>
      <c r="D16" s="279">
        <f>[24]Brewhouse!$AF697</f>
        <v>52.6</v>
      </c>
      <c r="E16" s="279">
        <f>[24]Brewhouse!$AI697</f>
        <v>50.7</v>
      </c>
      <c r="F16" s="278">
        <f>[24]Brewhouse!$V697</f>
        <v>59</v>
      </c>
      <c r="G16" s="279">
        <f>[24]Brewhouse!AG697</f>
        <v>11.8</v>
      </c>
      <c r="H16" s="396">
        <v>11.9</v>
      </c>
      <c r="I16" s="368">
        <f>[24]Brewhouse!$AU697</f>
        <v>98.340629704081778</v>
      </c>
      <c r="J16" s="368">
        <f>[24]Brewhouse!$AV697</f>
        <v>99.980729948724118</v>
      </c>
      <c r="K16" s="281">
        <f>[24]Brewhouse!$Q697</f>
        <v>6.353790613718405</v>
      </c>
      <c r="L16" s="276">
        <f>[24]Brewhouse!$P697</f>
        <v>60</v>
      </c>
      <c r="M16" s="397">
        <f>[24]Brewhouse!$U697-[24]Brewhouse!$T697</f>
        <v>0.10833333333333339</v>
      </c>
      <c r="N16" s="370">
        <f>[24]Brewhouse!$Z697</f>
        <v>0.25</v>
      </c>
      <c r="O16" s="371" t="str">
        <f>[24]Brewhouse!$AX697</f>
        <v>R. Regis</v>
      </c>
      <c r="P16" s="418"/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[24]Brewhouse!$A698</f>
        <v>CA590</v>
      </c>
      <c r="D17" s="279">
        <f>[24]Brewhouse!$AF698</f>
        <v>50.6</v>
      </c>
      <c r="E17" s="279">
        <f>[24]Brewhouse!$AI698</f>
        <v>49.8</v>
      </c>
      <c r="F17" s="278">
        <f>[24]Brewhouse!$V698</f>
        <v>62</v>
      </c>
      <c r="G17" s="279">
        <f>[24]Brewhouse!AG698</f>
        <v>11.8</v>
      </c>
      <c r="H17" s="396">
        <v>11.8</v>
      </c>
      <c r="I17" s="368">
        <f>[24]Brewhouse!$AU698</f>
        <v>92.796721886775444</v>
      </c>
      <c r="J17" s="368">
        <f>[24]Brewhouse!$AV698</f>
        <v>94.349810158107843</v>
      </c>
      <c r="K17" s="281">
        <f>[24]Brewhouse!$Q698</f>
        <v>10.44883303411131</v>
      </c>
      <c r="L17" s="276">
        <f>[24]Brewhouse!$P698</f>
        <v>61</v>
      </c>
      <c r="M17" s="397">
        <f>[24]Brewhouse!$U698-[24]Brewhouse!$T698</f>
        <v>0.11944444444444446</v>
      </c>
      <c r="N17" s="370">
        <f>[24]Brewhouse!$Z698</f>
        <v>0.25138888888888888</v>
      </c>
      <c r="O17" s="371" t="str">
        <f>[24]Brewhouse!$AX698</f>
        <v>R. Regis</v>
      </c>
      <c r="P17" s="418"/>
      <c r="R17" s="277" t="str">
        <f t="shared" si="9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[24]Brewhouse!$A699</f>
        <v>CA591</v>
      </c>
      <c r="D18" s="279">
        <f>[24]Brewhouse!$AF699</f>
        <v>52.6</v>
      </c>
      <c r="E18" s="279">
        <f>[24]Brewhouse!$AI699</f>
        <v>50.6</v>
      </c>
      <c r="F18" s="278">
        <f>[24]Brewhouse!$V699</f>
        <v>67</v>
      </c>
      <c r="G18" s="279">
        <f>[24]Brewhouse!AG699</f>
        <v>11.7</v>
      </c>
      <c r="H18" s="396">
        <v>11.9</v>
      </c>
      <c r="I18" s="368">
        <f>[24]Brewhouse!$AU699</f>
        <v>94.00701375647705</v>
      </c>
      <c r="J18" s="368">
        <f>[24]Brewhouse!$AV699</f>
        <v>95.57954984190927</v>
      </c>
      <c r="K18" s="281">
        <f>[24]Brewhouse!$Q699</f>
        <v>6.4874551971326122</v>
      </c>
      <c r="L18" s="276">
        <f>[24]Brewhouse!$P699</f>
        <v>59</v>
      </c>
      <c r="M18" s="397">
        <f>[24]Brewhouse!$U699-[24]Brewhouse!$T699</f>
        <v>0.10902777777777783</v>
      </c>
      <c r="N18" s="370">
        <f>[24]Brewhouse!$Z699</f>
        <v>0.24097222222222225</v>
      </c>
      <c r="O18" s="371" t="str">
        <f>[24]Brewhouse!$AX699</f>
        <v>R. Regis</v>
      </c>
      <c r="P18" s="418"/>
      <c r="R18" s="277" t="str">
        <f t="shared" si="9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29"/>
      <c r="C19" s="366"/>
      <c r="D19" s="279"/>
      <c r="E19" s="279"/>
      <c r="F19" s="278"/>
      <c r="G19" s="279"/>
      <c r="H19" s="471"/>
      <c r="I19" s="368"/>
      <c r="J19" s="368"/>
      <c r="K19" s="281"/>
      <c r="L19" s="276"/>
      <c r="M19" s="397"/>
      <c r="N19" s="370"/>
      <c r="O19" s="371"/>
      <c r="P19" s="418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customHeight="1">
      <c r="B20" s="29"/>
      <c r="C20" s="366"/>
      <c r="D20" s="279"/>
      <c r="E20" s="279"/>
      <c r="F20" s="278"/>
      <c r="G20" s="279"/>
      <c r="H20" s="471"/>
      <c r="I20" s="368"/>
      <c r="J20" s="368"/>
      <c r="K20" s="281"/>
      <c r="L20" s="276"/>
      <c r="M20" s="397"/>
      <c r="N20" s="370"/>
      <c r="O20" s="371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customHeight="1">
      <c r="B21" s="34"/>
      <c r="C21" s="366"/>
      <c r="D21" s="279"/>
      <c r="E21" s="279"/>
      <c r="F21" s="278"/>
      <c r="G21" s="279"/>
      <c r="H21" s="396"/>
      <c r="I21" s="422"/>
      <c r="J21" s="422"/>
      <c r="K21" s="476"/>
      <c r="L21" s="276"/>
      <c r="M21" s="374"/>
      <c r="N21" s="370"/>
      <c r="O21" s="423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34"/>
      <c r="C22" s="366"/>
      <c r="D22" s="279"/>
      <c r="E22" s="279"/>
      <c r="F22" s="278"/>
      <c r="G22" s="279"/>
      <c r="H22" s="396"/>
      <c r="I22" s="422"/>
      <c r="J22" s="422"/>
      <c r="K22" s="476"/>
      <c r="L22" s="276"/>
      <c r="M22" s="374"/>
      <c r="N22" s="370"/>
      <c r="O22" s="423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34"/>
      <c r="C23" s="366"/>
      <c r="D23" s="279"/>
      <c r="E23" s="279"/>
      <c r="F23" s="278"/>
      <c r="G23" s="279"/>
      <c r="H23" s="396"/>
      <c r="I23" s="422"/>
      <c r="J23" s="422"/>
      <c r="K23" s="476"/>
      <c r="L23" s="276"/>
      <c r="M23" s="374"/>
      <c r="N23" s="370"/>
      <c r="O23" s="423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34"/>
      <c r="C24" s="366"/>
      <c r="D24" s="279"/>
      <c r="E24" s="279"/>
      <c r="F24" s="278"/>
      <c r="G24" s="279"/>
      <c r="H24" s="396"/>
      <c r="I24" s="422"/>
      <c r="J24" s="422"/>
      <c r="K24" s="476"/>
      <c r="L24" s="276"/>
      <c r="M24" s="374"/>
      <c r="N24" s="370"/>
      <c r="O24" s="423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33"/>
      <c r="C25" s="366"/>
      <c r="D25" s="279"/>
      <c r="E25" s="279"/>
      <c r="F25" s="278"/>
      <c r="G25" s="463"/>
      <c r="H25" s="471"/>
      <c r="I25" s="422"/>
      <c r="J25" s="422"/>
      <c r="K25" s="281"/>
      <c r="L25" s="276"/>
      <c r="M25" s="374"/>
      <c r="N25" s="370"/>
      <c r="O25" s="423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.75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.75" customHeight="1" thickBot="1">
      <c r="B30" s="358"/>
      <c r="C30" s="358"/>
      <c r="D30" s="358"/>
      <c r="E30" s="358"/>
      <c r="F30" s="294"/>
      <c r="G30" s="294"/>
      <c r="H30" s="348"/>
      <c r="I30" s="529"/>
      <c r="J30" s="529"/>
      <c r="K30" s="529"/>
      <c r="L30" s="529"/>
      <c r="M30" s="529"/>
      <c r="N30" s="529"/>
      <c r="O30" s="1"/>
      <c r="P30" s="12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5.75" thickBot="1">
      <c r="B31" s="388" t="s">
        <v>162</v>
      </c>
      <c r="C31" s="388"/>
      <c r="D31" s="542" t="s">
        <v>35</v>
      </c>
      <c r="E31" s="543"/>
      <c r="F31" s="294"/>
      <c r="G31" s="294"/>
      <c r="H31" s="348"/>
      <c r="I31" s="24" t="s">
        <v>17</v>
      </c>
      <c r="J31" s="25" t="s">
        <v>36</v>
      </c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9"/>
        <v xml:space="preserve">BRAND 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1:26" ht="15" customHeight="1">
      <c r="A32" s="28"/>
      <c r="B32" s="583"/>
      <c r="C32" s="362"/>
      <c r="D32" s="533"/>
      <c r="E32" s="522"/>
      <c r="F32" s="294"/>
      <c r="G32" s="294"/>
      <c r="H32" s="348"/>
      <c r="I32" s="29" t="s">
        <v>6</v>
      </c>
      <c r="J32" s="280">
        <f>AVERAGE(I12:I18)</f>
        <v>94.113826801602386</v>
      </c>
      <c r="K32" s="284">
        <f>COUNTA([24]Brewhouse!$A$655:$A$700)</f>
        <v>46</v>
      </c>
      <c r="L32" s="305">
        <f>AVERAGE([24]Brewhouse!$AU$655:$AU$699)</f>
        <v>96.57192717704956</v>
      </c>
      <c r="M32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$699)</f>
        <v>97.778763326838941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7" ht="15" customHeight="1">
      <c r="A33" s="28"/>
      <c r="B33" s="584"/>
      <c r="C33" s="362"/>
      <c r="D33" s="534"/>
      <c r="E33" s="517"/>
      <c r="F33" s="294"/>
      <c r="G33" s="294"/>
      <c r="H33" s="348"/>
      <c r="I33" s="33" t="s">
        <v>9</v>
      </c>
      <c r="J33" s="280"/>
      <c r="K33" s="284">
        <f>COUNTA([22]Brewhouse!$A$324:$A$343)</f>
        <v>20</v>
      </c>
      <c r="L33" s="302">
        <f>AVERAGE([22]Brewhouse!$AS$324:$AS$343)</f>
        <v>98.007598629018077</v>
      </c>
      <c r="M33" s="302">
        <f>AVERAGE([22]Brewhouse!$AS$15:$AS$64,[22]Brewhouse!$AS$66:$AS$103,[22]Brewhouse!$AS$105:$AS$140,[22]Brewhouse!$AS$142:$AS$193,[22]Brewhouse!$AS$195:$AS$240,[22]Brewhouse!$AS$242:$AS$273,[22]Brewhouse!$AS$275:$AS$322,[22]Brewhouse!$AS$324:$AS$343)</f>
        <v>98.062511581230439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4.65" customHeight="1">
      <c r="A34" s="28"/>
      <c r="B34" s="584"/>
      <c r="C34" s="362"/>
      <c r="D34" s="533"/>
      <c r="E34" s="522"/>
      <c r="F34" s="294"/>
      <c r="G34" s="294"/>
      <c r="H34" s="348"/>
      <c r="I34" s="34" t="s">
        <v>12</v>
      </c>
      <c r="J34" s="280"/>
      <c r="K34" s="284">
        <f>COUNTA([25]Brewhouse!$A$81:$A$84)</f>
        <v>4</v>
      </c>
      <c r="L34" s="302">
        <f>AVERAGE([25]Brewhouse!$AU$81:$AU$84)</f>
        <v>96.0203759926994</v>
      </c>
      <c r="M34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4.65" customHeight="1">
      <c r="A35" s="28"/>
      <c r="B35" s="584"/>
      <c r="C35" s="362"/>
      <c r="D35" s="534"/>
      <c r="E35" s="517"/>
      <c r="F35" s="294"/>
      <c r="G35" s="294"/>
      <c r="H35" s="348"/>
      <c r="I35" s="22" t="s">
        <v>33</v>
      </c>
      <c r="J35" s="280">
        <f>I10</f>
        <v>97.610908885136041</v>
      </c>
      <c r="K35" s="284">
        <f>COUNTA([26]Brewhouse!$A$64:$A$77)</f>
        <v>14</v>
      </c>
      <c r="L35" s="302">
        <f>AVERAGE([26]Brewhouse!$AV$64:$AV$77)</f>
        <v>97.585594897114063</v>
      </c>
      <c r="M35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65" customHeight="1">
      <c r="A36" s="28"/>
      <c r="B36" s="584"/>
      <c r="C36" s="362"/>
      <c r="D36" s="533"/>
      <c r="E36" s="522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65" customHeight="1">
      <c r="A37" s="28"/>
      <c r="B37" s="584"/>
      <c r="C37" s="362"/>
      <c r="D37" s="534"/>
      <c r="E37" s="517"/>
      <c r="F37" s="417"/>
      <c r="G37" s="294"/>
      <c r="H37" s="348"/>
      <c r="I37" s="36" t="s">
        <v>15</v>
      </c>
      <c r="J37" s="323"/>
      <c r="K37" s="284"/>
      <c r="L37" s="302"/>
      <c r="M37" s="302">
        <f>AVERAGE([27]Brewhouse!$AT$4:$AT$11,[27]Brewhouse!$AT$13:$AT$16,[27]Brewhouse!$AT$18:$AT$21,[27]Brewhouse!$AT$26)</f>
        <v>94.588057846623641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27" ht="14.65" customHeight="1">
      <c r="A38" s="28"/>
      <c r="B38" s="584"/>
      <c r="C38" s="349"/>
      <c r="D38" s="533"/>
      <c r="E38" s="522"/>
      <c r="F38" s="417"/>
      <c r="G38" s="294"/>
      <c r="H38" s="348"/>
      <c r="I38" s="37" t="s">
        <v>16</v>
      </c>
      <c r="J38" s="323"/>
      <c r="K38" s="284"/>
      <c r="L38" s="302"/>
      <c r="M38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8" s="30">
        <v>98</v>
      </c>
      <c r="O38" s="11"/>
      <c r="P38" s="31" t="s">
        <v>41</v>
      </c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65" customHeight="1">
      <c r="A39" s="28"/>
      <c r="B39" s="584"/>
      <c r="C39" s="349"/>
      <c r="D39" s="534"/>
      <c r="E39" s="517"/>
      <c r="F39" s="294"/>
      <c r="G39" s="294"/>
      <c r="H39" s="348"/>
      <c r="I39" s="411" t="s">
        <v>158</v>
      </c>
      <c r="J39" s="326"/>
      <c r="K39" s="284"/>
      <c r="L39" s="305"/>
      <c r="M39" s="305">
        <f>AVERAGE([28]Brewhouse!$AU$5:$AU$8,[28]Brewhouse!$AU$10:$AU$13)</f>
        <v>94.247666625193744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65" customHeight="1">
      <c r="A40" s="28"/>
      <c r="B40" s="584"/>
      <c r="C40" s="349"/>
      <c r="D40" s="533"/>
      <c r="E40" s="522"/>
      <c r="F40" s="294"/>
      <c r="G40" s="294"/>
      <c r="H40" s="348"/>
      <c r="I40" s="410" t="s">
        <v>157</v>
      </c>
      <c r="J40" s="326"/>
      <c r="K40" s="284"/>
      <c r="L40" s="305"/>
      <c r="M40" s="305">
        <f>AVERAGE([29]Brewhouse!$AW$26:$AW$27)</f>
        <v>95.310680905194914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5" customHeight="1" thickBot="1">
      <c r="A41" s="28"/>
      <c r="B41" s="584"/>
      <c r="C41" s="349"/>
      <c r="D41" s="534"/>
      <c r="E41" s="517"/>
      <c r="F41" s="294"/>
      <c r="G41" s="294"/>
      <c r="H41" s="348"/>
      <c r="I41" s="406" t="s">
        <v>156</v>
      </c>
      <c r="J41" s="327"/>
      <c r="K41" s="407"/>
      <c r="L41" s="408"/>
      <c r="M41" s="408">
        <f>AVERAGE([30]Brewhouse!$AU$13:$AU$14)</f>
        <v>97.110575243268045</v>
      </c>
      <c r="N41" s="409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customHeight="1" thickBot="1">
      <c r="A42" s="28"/>
      <c r="B42" s="584"/>
      <c r="C42" s="349"/>
      <c r="D42" s="533"/>
      <c r="E42" s="522"/>
      <c r="F42" s="294"/>
      <c r="G42" s="294"/>
      <c r="H42" s="348"/>
      <c r="I42" s="1"/>
      <c r="J42" s="39"/>
      <c r="K42" s="404">
        <f>SUM(K32:K41)</f>
        <v>84</v>
      </c>
      <c r="L42" s="405">
        <f>((L32*K32)+(L33*K33)+(L34*K34)+(L35*K35)+(L36*K36)+(K39*L39)+(L37*K37)+(L38*K38)+(L41*K41))/(K42)</f>
        <v>97.056433991131371</v>
      </c>
      <c r="M42" s="405">
        <f>AVERAGE('[31]Jan 31st'!$L$65,'[32]Feb 28th'!$L$35,'[33]Mar. 31st'!$L$35,'[34]Apr. 30th'!$L$45,'[35]May 30th'!$L$37,'[36]June 30th'!$L$57,L42)</f>
        <v>97.572620641170474</v>
      </c>
      <c r="N42" s="4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.75" thickBot="1">
      <c r="B43" s="585"/>
      <c r="C43" s="350"/>
      <c r="D43" s="534"/>
      <c r="E43" s="517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.75" thickBot="1">
      <c r="B44" s="589"/>
      <c r="C44" s="362"/>
      <c r="D44" s="514"/>
      <c r="E44" s="515"/>
      <c r="F44" s="294"/>
      <c r="G44" s="42"/>
      <c r="H44" s="41"/>
      <c r="I44" s="42"/>
      <c r="J44" s="569" t="s">
        <v>129</v>
      </c>
      <c r="K44" s="569"/>
      <c r="L44" s="294"/>
      <c r="M44" s="294"/>
      <c r="N44" s="294"/>
      <c r="O44" s="294"/>
      <c r="P44" s="12"/>
    </row>
    <row r="45" spans="1:27" ht="15.75" thickBot="1">
      <c r="B45" s="531"/>
      <c r="C45" s="362"/>
      <c r="D45" s="516"/>
      <c r="E45" s="517"/>
      <c r="F45" s="294"/>
      <c r="G45" s="42"/>
      <c r="H45" s="41"/>
      <c r="I45" s="41"/>
      <c r="J45" s="292" t="s">
        <v>17</v>
      </c>
      <c r="K45" s="293" t="s">
        <v>194</v>
      </c>
      <c r="L45" s="519" t="s">
        <v>136</v>
      </c>
      <c r="M45" s="519"/>
      <c r="N45" s="520"/>
      <c r="O45" s="294"/>
      <c r="P45" s="12"/>
    </row>
    <row r="46" spans="1:27" ht="15" customHeight="1" thickBot="1">
      <c r="B46" s="531"/>
      <c r="C46" s="349"/>
      <c r="D46" s="570"/>
      <c r="E46" s="571"/>
      <c r="F46" s="294"/>
      <c r="G46" s="42"/>
      <c r="H46" s="41"/>
      <c r="I46" s="41"/>
      <c r="J46" s="287" t="s">
        <v>6</v>
      </c>
      <c r="K46" s="324">
        <v>8</v>
      </c>
      <c r="L46" s="343" t="s">
        <v>37</v>
      </c>
      <c r="M46" s="307" t="s">
        <v>38</v>
      </c>
      <c r="N46" s="307" t="s">
        <v>84</v>
      </c>
      <c r="O46" s="294"/>
      <c r="P46" s="12"/>
    </row>
    <row r="47" spans="1:27" ht="15.75" customHeight="1" thickBot="1">
      <c r="B47" s="531"/>
      <c r="C47" s="349"/>
      <c r="D47" s="516"/>
      <c r="E47" s="517"/>
      <c r="F47" s="294"/>
      <c r="G47" s="42"/>
      <c r="H47" s="41"/>
      <c r="I47" s="41"/>
      <c r="J47" s="345" t="s">
        <v>9</v>
      </c>
      <c r="K47" s="324"/>
      <c r="L47" s="344">
        <f>AVERAGE('Aug 4th '!K58,'Aug 5th '!K58,'Aug 6th '!K58,'Aug 7th '!K58,'Aug 8th '!K48,'Aug 13th'!K52,'Aug 14th'!K51,'Aug 15th-16th'!J57,'Aug 15th-16th'!K57,'Aug 18th'!K54,K56)</f>
        <v>7.5454545454545459</v>
      </c>
      <c r="M47" s="325">
        <f>AVERAGE('[31]Jan 29th '!$M$70,'[32]Feb 28th'!$L$40,'[33]Mar. 31st'!$L$40,'[34]Apr. 30th'!$L$50,'[35]May 30th'!$L$42,'[36]June 30th'!$L$62,'[37]July 29th '!$L$49,L47)</f>
        <v>6.9827964274474565</v>
      </c>
      <c r="N47" s="416">
        <v>9.1999999999999993</v>
      </c>
      <c r="O47" s="294"/>
      <c r="P47" s="12"/>
    </row>
    <row r="48" spans="1:27" ht="15" customHeight="1">
      <c r="B48" s="531"/>
      <c r="C48" s="349"/>
      <c r="D48" s="570"/>
      <c r="E48" s="571"/>
      <c r="F48" s="294"/>
      <c r="G48" s="42"/>
      <c r="H48" s="41"/>
      <c r="I48" s="41"/>
      <c r="J48" s="288" t="s">
        <v>40</v>
      </c>
      <c r="K48" s="324"/>
      <c r="L48" s="294"/>
      <c r="M48" s="294"/>
      <c r="N48" s="294"/>
      <c r="O48" s="294"/>
      <c r="P48" s="12"/>
    </row>
    <row r="49" spans="2:57" ht="15" customHeight="1">
      <c r="B49" s="531"/>
      <c r="C49" s="349"/>
      <c r="D49" s="516"/>
      <c r="E49" s="517"/>
      <c r="F49" s="294"/>
      <c r="G49" s="42"/>
      <c r="H49" s="41"/>
      <c r="I49" s="41"/>
      <c r="J49" s="289" t="s">
        <v>33</v>
      </c>
      <c r="K49" s="324">
        <v>1</v>
      </c>
      <c r="L49" s="294"/>
      <c r="M49" s="294"/>
      <c r="N49" s="294"/>
      <c r="O49" s="294"/>
      <c r="P49" s="12"/>
    </row>
    <row r="50" spans="2:57" ht="15">
      <c r="B50" s="531"/>
      <c r="C50" s="349"/>
      <c r="D50" s="570"/>
      <c r="E50" s="571"/>
      <c r="F50" s="294"/>
      <c r="G50" s="42"/>
      <c r="H50" s="41"/>
      <c r="I50" s="41"/>
      <c r="J50" s="290" t="s">
        <v>16</v>
      </c>
      <c r="K50" s="324"/>
      <c r="L50" s="294"/>
      <c r="M50" s="294"/>
      <c r="N50" s="294"/>
      <c r="O50" s="294"/>
      <c r="P50" s="12"/>
      <c r="BC50" s="44"/>
      <c r="BD50" s="44"/>
    </row>
    <row r="51" spans="2:57" ht="15">
      <c r="B51" s="531"/>
      <c r="C51" s="349"/>
      <c r="D51" s="516"/>
      <c r="E51" s="517"/>
      <c r="F51" s="294"/>
      <c r="G51" s="42"/>
      <c r="H51" s="41"/>
      <c r="I51" s="41"/>
      <c r="J51" s="291" t="s">
        <v>15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31"/>
      <c r="C52" s="349"/>
      <c r="D52" s="570"/>
      <c r="E52" s="571"/>
      <c r="F52" s="294"/>
      <c r="G52" s="42"/>
      <c r="H52" s="41"/>
      <c r="I52" s="41"/>
      <c r="J52" s="291" t="s">
        <v>149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thickBot="1">
      <c r="B53" s="532"/>
      <c r="C53" s="350"/>
      <c r="D53" s="572"/>
      <c r="E53" s="573"/>
      <c r="F53" s="294"/>
      <c r="G53" s="42"/>
      <c r="H53" s="41"/>
      <c r="I53" s="41"/>
      <c r="J53" s="291" t="s">
        <v>148</v>
      </c>
      <c r="K53" s="324"/>
      <c r="L53" s="294"/>
      <c r="M53" s="294"/>
      <c r="N53" s="294"/>
      <c r="O53" s="294"/>
      <c r="P53" s="12"/>
      <c r="BC53" s="44"/>
      <c r="BD53" s="44"/>
    </row>
    <row r="54" spans="2:57" ht="17.649999999999999" customHeight="1" thickBot="1">
      <c r="B54" s="312" t="s">
        <v>139</v>
      </c>
      <c r="C54" s="313"/>
      <c r="D54" s="574" t="e">
        <f>AVERAGE(D32:E53)</f>
        <v>#DIV/0!</v>
      </c>
      <c r="E54" s="575"/>
      <c r="F54" s="294"/>
      <c r="H54" s="41"/>
      <c r="I54" s="41"/>
      <c r="J54" s="295" t="s">
        <v>134</v>
      </c>
      <c r="K54" s="324"/>
      <c r="L54" s="294"/>
      <c r="M54" s="294"/>
      <c r="N54" s="294"/>
      <c r="O54" s="294"/>
      <c r="P54" s="12"/>
      <c r="BC54" s="44"/>
      <c r="BD54" s="44"/>
    </row>
    <row r="55" spans="2:57" ht="17.649999999999999" customHeight="1">
      <c r="B55" s="363"/>
      <c r="C55" s="364"/>
      <c r="D55" s="365"/>
      <c r="E55" s="365"/>
      <c r="F55" s="294"/>
      <c r="G55" s="42"/>
      <c r="H55" s="41"/>
      <c r="I55" s="41"/>
      <c r="J55" s="295" t="s">
        <v>131</v>
      </c>
      <c r="K55" s="324"/>
      <c r="L55" s="294"/>
      <c r="M55" s="294"/>
      <c r="N55" s="294"/>
      <c r="O55" s="294"/>
      <c r="P55" s="12"/>
      <c r="BC55" s="44"/>
      <c r="BD55" s="44"/>
    </row>
    <row r="56" spans="2:57" ht="15.6" customHeight="1">
      <c r="B56" s="45"/>
      <c r="C56" s="11"/>
      <c r="D56" s="11"/>
      <c r="E56" s="46"/>
      <c r="F56" s="294"/>
      <c r="G56" s="42"/>
      <c r="H56" s="41"/>
      <c r="I56" s="41"/>
      <c r="J56" s="346" t="s">
        <v>130</v>
      </c>
      <c r="K56" s="324">
        <f>SUM(K46:K55)</f>
        <v>9</v>
      </c>
      <c r="L56" s="294"/>
      <c r="M56" s="294"/>
      <c r="N56" s="294"/>
      <c r="O56" s="294"/>
      <c r="P56" s="12"/>
    </row>
    <row r="57" spans="2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I57" s="41"/>
      <c r="L57" s="294"/>
      <c r="N57" s="315"/>
      <c r="P57" s="334"/>
    </row>
    <row r="58" spans="2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2:57" ht="15" customHeight="1" thickBot="1">
      <c r="B59" s="495" t="s">
        <v>17</v>
      </c>
      <c r="C59" s="495" t="s">
        <v>44</v>
      </c>
      <c r="D59" s="507" t="s">
        <v>45</v>
      </c>
      <c r="E59" s="509" t="s">
        <v>46</v>
      </c>
      <c r="F59" s="503" t="s">
        <v>47</v>
      </c>
      <c r="G59" s="493" t="s">
        <v>48</v>
      </c>
      <c r="H59" s="495" t="s">
        <v>49</v>
      </c>
      <c r="I59" s="495" t="s">
        <v>50</v>
      </c>
      <c r="J59" s="487" t="s">
        <v>28</v>
      </c>
      <c r="K59" s="499" t="s">
        <v>51</v>
      </c>
      <c r="L59" s="501" t="s">
        <v>52</v>
      </c>
      <c r="M59" s="487" t="s">
        <v>53</v>
      </c>
      <c r="N59" s="13"/>
      <c r="O59" s="13"/>
      <c r="P59" s="50"/>
    </row>
    <row r="60" spans="2:57" ht="28.5" customHeight="1" thickTop="1" thickBot="1">
      <c r="B60" s="496"/>
      <c r="C60" s="496"/>
      <c r="D60" s="508"/>
      <c r="E60" s="510"/>
      <c r="F60" s="504"/>
      <c r="G60" s="494"/>
      <c r="H60" s="496"/>
      <c r="I60" s="496"/>
      <c r="J60" s="488"/>
      <c r="K60" s="500"/>
      <c r="L60" s="502"/>
      <c r="M60" s="488"/>
      <c r="N60" s="13"/>
      <c r="O60" s="13"/>
      <c r="P60" s="50"/>
      <c r="Q60" s="355"/>
      <c r="AB60" s="51">
        <v>43474</v>
      </c>
      <c r="AC60" s="51">
        <v>43475</v>
      </c>
      <c r="AD60" s="51">
        <v>43476</v>
      </c>
      <c r="AE60" s="51">
        <v>43477</v>
      </c>
      <c r="AF60" s="51">
        <v>43478</v>
      </c>
      <c r="AG60" s="51">
        <v>43479</v>
      </c>
      <c r="AH60" s="51">
        <v>43480</v>
      </c>
      <c r="AI60" s="51">
        <v>43481</v>
      </c>
      <c r="AJ60" s="51">
        <v>43482</v>
      </c>
      <c r="AK60" s="51">
        <v>43483</v>
      </c>
      <c r="AL60" s="51">
        <v>43484</v>
      </c>
      <c r="AM60" s="51">
        <v>43485</v>
      </c>
      <c r="AN60" s="51">
        <v>43486</v>
      </c>
      <c r="AO60" s="51">
        <v>43487</v>
      </c>
      <c r="AP60" s="51">
        <v>43488</v>
      </c>
      <c r="AQ60" s="51">
        <v>43489</v>
      </c>
      <c r="AR60" s="51">
        <v>43490</v>
      </c>
      <c r="AS60" s="51">
        <v>43491</v>
      </c>
      <c r="AT60" s="51">
        <v>43492</v>
      </c>
      <c r="AU60" s="51">
        <v>43493</v>
      </c>
      <c r="AV60" s="51">
        <v>43494</v>
      </c>
      <c r="AW60" s="51">
        <v>43495</v>
      </c>
      <c r="AX60" s="51">
        <v>43496</v>
      </c>
    </row>
    <row r="61" spans="2:57" s="54" customFormat="1" ht="59.45" customHeight="1" thickBot="1">
      <c r="B61" s="475"/>
      <c r="C61" s="445"/>
      <c r="D61" s="446"/>
      <c r="E61" s="447"/>
      <c r="F61" s="448"/>
      <c r="G61" s="449"/>
      <c r="H61" s="450"/>
      <c r="I61" s="451"/>
      <c r="J61" s="452"/>
      <c r="K61" s="453"/>
      <c r="L61" s="466"/>
      <c r="M61" s="46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[20]January_2019!L7</f>
        <v>285.8</v>
      </c>
      <c r="AC61" s="57">
        <f>[20]January_2019!M7</f>
        <v>508.1</v>
      </c>
      <c r="AD61" s="57">
        <f>[20]January_2019!N7</f>
        <v>0</v>
      </c>
      <c r="AE61" s="57">
        <f>[20]January_2019!O7</f>
        <v>0</v>
      </c>
      <c r="AF61" s="57">
        <f>[20]January_2019!P7</f>
        <v>109.56666666666666</v>
      </c>
      <c r="AG61" s="57">
        <f>[20]January_2019!Q7</f>
        <v>297.64999999999998</v>
      </c>
      <c r="AH61" s="57">
        <f>[20]January_2019!R7</f>
        <v>122.3</v>
      </c>
      <c r="AI61" s="57">
        <f>[20]January_2019!S7</f>
        <v>0</v>
      </c>
      <c r="AJ61" s="57">
        <f>[20]January_2019!T7</f>
        <v>294.7</v>
      </c>
      <c r="AK61" s="57">
        <f>[20]January_2019!U7</f>
        <v>280.5</v>
      </c>
      <c r="AL61" s="57">
        <f>[20]January_2019!V7</f>
        <v>0</v>
      </c>
      <c r="AM61" s="57">
        <f>[20]January_2019!W7</f>
        <v>0</v>
      </c>
      <c r="AN61" s="57">
        <f>[20]January_2019!X7</f>
        <v>188.25</v>
      </c>
      <c r="AO61" s="57">
        <f>[20]January_2019!Y7</f>
        <v>295.7</v>
      </c>
      <c r="AP61" s="57">
        <f>[20]January_2019!Z7</f>
        <v>257.8</v>
      </c>
      <c r="AQ61" s="57">
        <f>[20]January_2019!AA7</f>
        <v>291.2</v>
      </c>
      <c r="AR61" s="57">
        <f>[20]January_2019!AB7</f>
        <v>187</v>
      </c>
      <c r="AS61" s="57">
        <f>[20]January_2019!AC7</f>
        <v>0</v>
      </c>
      <c r="AT61" s="57">
        <f>[20]January_2019!AD7</f>
        <v>0</v>
      </c>
      <c r="AU61" s="57">
        <f>[20]January_2019!AE7</f>
        <v>485.1</v>
      </c>
      <c r="AV61" s="57">
        <f>[20]January_2019!AF7</f>
        <v>171.55</v>
      </c>
      <c r="AW61" s="57">
        <f>[20]January_2019!AG7</f>
        <v>423.8</v>
      </c>
      <c r="AX61" s="277">
        <f>[20]January_2019!AH7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2:57" s="54" customFormat="1" ht="20.45" hidden="1" customHeight="1" thickBot="1">
      <c r="B62" s="469"/>
      <c r="C62" s="434"/>
      <c r="D62" s="435"/>
      <c r="E62" s="436"/>
      <c r="F62" s="437"/>
      <c r="G62" s="438"/>
      <c r="H62" s="439"/>
      <c r="I62" s="454"/>
      <c r="J62" s="455"/>
      <c r="K62" s="440"/>
      <c r="L62" s="456"/>
      <c r="M62" s="42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59.45" hidden="1" customHeight="1" thickBot="1">
      <c r="B63" s="474"/>
      <c r="C63" s="445"/>
      <c r="D63" s="446"/>
      <c r="E63" s="447"/>
      <c r="F63" s="448"/>
      <c r="G63" s="449"/>
      <c r="H63" s="450"/>
      <c r="I63" s="451"/>
      <c r="J63" s="452"/>
      <c r="K63" s="453"/>
      <c r="L63" s="466"/>
      <c r="M63" s="46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5" hidden="1">
      <c r="B64" s="458"/>
      <c r="C64" s="434"/>
      <c r="D64" s="435"/>
      <c r="E64" s="436"/>
      <c r="F64" s="437"/>
      <c r="G64" s="438"/>
      <c r="H64" s="439"/>
      <c r="I64" s="454"/>
      <c r="J64" s="455"/>
      <c r="K64" s="440"/>
      <c r="L64" s="456"/>
      <c r="M64" s="42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6.6" hidden="1" customHeight="1" thickBot="1">
      <c r="B65" s="387"/>
      <c r="C65" s="445">
        <v>45873</v>
      </c>
      <c r="D65" s="446"/>
      <c r="E65" s="447"/>
      <c r="F65" s="448"/>
      <c r="G65" s="449"/>
      <c r="H65" s="450"/>
      <c r="I65" s="451"/>
      <c r="J65" s="452" t="s">
        <v>163</v>
      </c>
      <c r="K65" s="453"/>
      <c r="L65" s="459" t="e">
        <f>(((D65+E65)-G65)/(D65+E65))*100</f>
        <v>#DIV/0!</v>
      </c>
      <c r="M65" s="46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41"/>
      <c r="C66" s="427"/>
      <c r="D66" s="428"/>
      <c r="E66" s="429"/>
      <c r="F66" s="430"/>
      <c r="G66" s="431"/>
      <c r="H66" s="432"/>
      <c r="I66" s="442"/>
      <c r="J66" s="443"/>
      <c r="K66" s="433"/>
      <c r="L66" s="444"/>
      <c r="M66" s="426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489" t="s">
        <v>55</v>
      </c>
      <c r="C68" s="490"/>
      <c r="D68" s="490"/>
      <c r="E68" s="490"/>
      <c r="F68" s="491"/>
      <c r="G68" s="489" t="s">
        <v>56</v>
      </c>
      <c r="H68" s="490"/>
      <c r="I68" s="490"/>
      <c r="J68" s="491"/>
      <c r="K68" s="489" t="s">
        <v>51</v>
      </c>
      <c r="L68" s="490"/>
      <c r="M68" s="490"/>
      <c r="N68" s="492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/>
      <c r="D70" s="76">
        <v>5.1004890879947533</v>
      </c>
      <c r="E70" s="76">
        <v>6.2469304056433739</v>
      </c>
      <c r="F70" s="66">
        <v>4.8</v>
      </c>
      <c r="G70" s="65"/>
      <c r="H70" s="76">
        <v>6.8110718157386199</v>
      </c>
      <c r="I70" s="76">
        <v>6.231410738201248</v>
      </c>
      <c r="J70" s="66">
        <v>4.8</v>
      </c>
      <c r="K70" s="67"/>
      <c r="L70" s="194">
        <v>1.0804210526315789</v>
      </c>
      <c r="M70" s="194">
        <v>0.76086277514299661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5.9872944919306859</v>
      </c>
      <c r="E71" s="76">
        <v>5.9448513978541291</v>
      </c>
      <c r="F71" s="66">
        <v>4.8</v>
      </c>
      <c r="G71" s="65"/>
      <c r="H71" s="76">
        <v>6.2297427957809166</v>
      </c>
      <c r="I71" s="76">
        <v>5.5723746878474767</v>
      </c>
      <c r="J71" s="66">
        <v>4.8</v>
      </c>
      <c r="K71" s="67"/>
      <c r="L71" s="194">
        <v>0.45044834307992204</v>
      </c>
      <c r="M71" s="194">
        <v>0.73721374514882176</v>
      </c>
      <c r="N71" s="68">
        <v>1</v>
      </c>
      <c r="P71" s="69"/>
    </row>
    <row r="72" spans="2:57" ht="15">
      <c r="B72" s="34" t="s">
        <v>40</v>
      </c>
      <c r="C72" s="65"/>
      <c r="D72" s="76">
        <v>8.0382775119617147</v>
      </c>
      <c r="E72" s="76">
        <v>11.429743886837057</v>
      </c>
      <c r="F72" s="66">
        <v>5.5</v>
      </c>
      <c r="G72" s="65"/>
      <c r="H72" s="76">
        <v>10.370027728825649</v>
      </c>
      <c r="I72" s="76">
        <v>13.047305235287777</v>
      </c>
      <c r="J72" s="66">
        <v>5.5</v>
      </c>
      <c r="K72" s="67"/>
      <c r="L72" s="194">
        <v>0.67438596491228076</v>
      </c>
      <c r="M72" s="194">
        <v>0.55172216056233814</v>
      </c>
      <c r="N72" s="68">
        <v>1</v>
      </c>
      <c r="P72" s="69"/>
    </row>
    <row r="73" spans="2:57" ht="15">
      <c r="B73" s="22" t="s">
        <v>33</v>
      </c>
      <c r="C73" s="65"/>
      <c r="D73" s="76">
        <v>6.0500000000000114</v>
      </c>
      <c r="E73" s="76">
        <v>5.1850280988230084</v>
      </c>
      <c r="F73" s="66">
        <v>3.3</v>
      </c>
      <c r="G73" s="65"/>
      <c r="H73" s="76">
        <v>5.966075524743097</v>
      </c>
      <c r="I73" s="76">
        <v>4.9519881827605072</v>
      </c>
      <c r="J73" s="66">
        <v>3.3</v>
      </c>
      <c r="K73" s="67"/>
      <c r="L73" s="194">
        <v>0.32964912280701753</v>
      </c>
      <c r="M73" s="194">
        <v>0.72853313840155942</v>
      </c>
      <c r="N73" s="68">
        <v>1</v>
      </c>
      <c r="P73" s="69"/>
    </row>
    <row r="74" spans="2:57" ht="15">
      <c r="B74" s="35" t="s">
        <v>165</v>
      </c>
      <c r="C74" s="65"/>
      <c r="D74" s="76"/>
      <c r="E74" s="76">
        <v>7.837301587301579</v>
      </c>
      <c r="F74" s="66">
        <v>3.3</v>
      </c>
      <c r="G74" s="282"/>
      <c r="H74" s="76"/>
      <c r="I74" s="76">
        <v>5.3377569154690221</v>
      </c>
      <c r="J74" s="66">
        <v>3</v>
      </c>
      <c r="K74" s="67"/>
      <c r="L74" s="194"/>
      <c r="M74" s="194">
        <v>0.32596491228070179</v>
      </c>
      <c r="N74" s="68">
        <v>1</v>
      </c>
      <c r="P74" s="69"/>
    </row>
    <row r="75" spans="2:57" ht="15">
      <c r="B75" s="36" t="s">
        <v>15</v>
      </c>
      <c r="C75" s="65"/>
      <c r="D75" s="76">
        <v>5.2552552552552552</v>
      </c>
      <c r="E75" s="76">
        <v>6.9158697961943529</v>
      </c>
      <c r="F75" s="70">
        <f>[21]May_2022!$M$43</f>
        <v>3.4878406700073312</v>
      </c>
      <c r="G75" s="282"/>
      <c r="H75" s="76">
        <v>6.7916330640214131</v>
      </c>
      <c r="I75" s="76">
        <v>8.5598888260252064</v>
      </c>
      <c r="J75" s="66">
        <v>5.5</v>
      </c>
      <c r="K75" s="67"/>
      <c r="L75" s="194">
        <v>0.66421052631578947</v>
      </c>
      <c r="M75" s="194">
        <v>0.60705263157894729</v>
      </c>
      <c r="N75" s="68">
        <v>1</v>
      </c>
      <c r="P75" s="69"/>
    </row>
    <row r="76" spans="2:57" ht="15">
      <c r="B76" s="37" t="s">
        <v>16</v>
      </c>
      <c r="C76" s="65"/>
      <c r="D76" s="76">
        <v>4.1414141414141357</v>
      </c>
      <c r="E76" s="76">
        <v>3.0301127264734369</v>
      </c>
      <c r="F76" s="66">
        <v>3.3</v>
      </c>
      <c r="G76" s="282"/>
      <c r="H76" s="76">
        <v>7.0415942868172152</v>
      </c>
      <c r="I76" s="76">
        <v>4.4974189022907662</v>
      </c>
      <c r="J76" s="66">
        <v>3.3</v>
      </c>
      <c r="K76" s="67"/>
      <c r="L76" s="194">
        <v>0.33298245614035088</v>
      </c>
      <c r="M76" s="194">
        <v>0.80374720357941831</v>
      </c>
      <c r="N76" s="71">
        <v>1</v>
      </c>
      <c r="P76" s="69"/>
    </row>
    <row r="77" spans="2:57" ht="15.75" thickBot="1">
      <c r="B77" s="38" t="s">
        <v>164</v>
      </c>
      <c r="C77" s="65"/>
      <c r="D77" s="76"/>
      <c r="E77" s="76">
        <v>11.483253588516746</v>
      </c>
      <c r="F77" s="66">
        <v>7.5</v>
      </c>
      <c r="G77" s="282"/>
      <c r="H77" s="76"/>
      <c r="I77" s="76">
        <v>9.7934336121043764</v>
      </c>
      <c r="J77" s="66">
        <v>7.5</v>
      </c>
      <c r="K77" s="67"/>
      <c r="M77" s="194">
        <v>0.32456140350877194</v>
      </c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>
        <v>7.2653644592663174</v>
      </c>
      <c r="F78" s="66">
        <v>4.8</v>
      </c>
      <c r="G78" s="282"/>
      <c r="H78" s="76"/>
      <c r="I78" s="76">
        <v>8.1715311054411259</v>
      </c>
      <c r="J78" s="66">
        <v>4.8</v>
      </c>
      <c r="K78" s="67"/>
      <c r="L78" s="194">
        <v>0</v>
      </c>
      <c r="M78" s="194">
        <v>0.51368421052631585</v>
      </c>
      <c r="N78" s="71">
        <v>1</v>
      </c>
      <c r="O78" s="74"/>
      <c r="P78" s="75"/>
    </row>
    <row r="79" spans="2:57" ht="15">
      <c r="D79" s="76">
        <v>5.61502312826806</v>
      </c>
      <c r="E79" s="76">
        <v>6.3406422903103055</v>
      </c>
      <c r="F79" s="341">
        <v>5.5</v>
      </c>
      <c r="H79" s="76">
        <v>7.1247836009503684</v>
      </c>
      <c r="I79" s="76">
        <v>6.6197079109367607</v>
      </c>
      <c r="J79" s="341">
        <v>5.5</v>
      </c>
      <c r="L79" s="194">
        <v>0.7295565302144249</v>
      </c>
      <c r="M79" s="194">
        <v>0.7228014537242865</v>
      </c>
      <c r="N79" s="386">
        <v>1</v>
      </c>
    </row>
    <row r="83" spans="6:6">
      <c r="F83" s="315"/>
    </row>
    <row r="84" spans="6:6" ht="15">
      <c r="F84" s="341"/>
    </row>
  </sheetData>
  <mergeCells count="51">
    <mergeCell ref="M59:M60"/>
    <mergeCell ref="B68:F68"/>
    <mergeCell ref="G68:J68"/>
    <mergeCell ref="K68:N68"/>
    <mergeCell ref="G59:G60"/>
    <mergeCell ref="H59:H60"/>
    <mergeCell ref="I59:I60"/>
    <mergeCell ref="J59:J60"/>
    <mergeCell ref="K59:K60"/>
    <mergeCell ref="L59:L60"/>
    <mergeCell ref="F59:F60"/>
    <mergeCell ref="D54:E54"/>
    <mergeCell ref="B59:B60"/>
    <mergeCell ref="C59:C60"/>
    <mergeCell ref="D59:D60"/>
    <mergeCell ref="E59:E60"/>
    <mergeCell ref="B44:B53"/>
    <mergeCell ref="D44:E45"/>
    <mergeCell ref="J44:K44"/>
    <mergeCell ref="L45:N45"/>
    <mergeCell ref="D46:E47"/>
    <mergeCell ref="D48:E49"/>
    <mergeCell ref="D50:E51"/>
    <mergeCell ref="D52:E53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4:B55">
    <cfRule type="cellIs" dxfId="1462" priority="153" operator="notBetween">
      <formula>#REF!</formula>
      <formula>#REF!</formula>
    </cfRule>
  </conditionalFormatting>
  <conditionalFormatting sqref="C58">
    <cfRule type="cellIs" dxfId="1461" priority="185" stopIfTrue="1" operator="greaterThan">
      <formula>100</formula>
    </cfRule>
    <cfRule type="cellIs" dxfId="1460" priority="184" stopIfTrue="1" operator="lessThan">
      <formula>96</formula>
    </cfRule>
  </conditionalFormatting>
  <conditionalFormatting sqref="C70:C74">
    <cfRule type="cellIs" dxfId="1459" priority="134" stopIfTrue="1" operator="lessThanOrEqual">
      <formula>0</formula>
    </cfRule>
  </conditionalFormatting>
  <conditionalFormatting sqref="C70:C78">
    <cfRule type="cellIs" dxfId="1458" priority="133" stopIfTrue="1" operator="greaterThan">
      <formula>$F70</formula>
    </cfRule>
  </conditionalFormatting>
  <conditionalFormatting sqref="C71">
    <cfRule type="cellIs" dxfId="1457" priority="188" stopIfTrue="1" operator="greaterThan">
      <formula>$F70</formula>
    </cfRule>
  </conditionalFormatting>
  <conditionalFormatting sqref="C75">
    <cfRule type="cellIs" dxfId="1456" priority="52" stopIfTrue="1" operator="lessThanOrEqual">
      <formula>0</formula>
    </cfRule>
    <cfRule type="cellIs" dxfId="1455" priority="53" stopIfTrue="1" operator="greaterThan">
      <formula>$F74</formula>
    </cfRule>
  </conditionalFormatting>
  <conditionalFormatting sqref="C81:C85">
    <cfRule type="cellIs" dxfId="1454" priority="176" stopIfTrue="1" operator="lessThanOrEqual">
      <formula>0</formula>
    </cfRule>
  </conditionalFormatting>
  <conditionalFormatting sqref="C82:C85">
    <cfRule type="cellIs" dxfId="1453" priority="175" stopIfTrue="1" operator="greaterThan">
      <formula>$F$81</formula>
    </cfRule>
  </conditionalFormatting>
  <conditionalFormatting sqref="C87">
    <cfRule type="cellIs" dxfId="1452" priority="178" stopIfTrue="1" operator="lessThanOrEqual">
      <formula>0</formula>
    </cfRule>
    <cfRule type="cellIs" dxfId="1451" priority="177" stopIfTrue="1" operator="greaterThan">
      <formula>$F$81</formula>
    </cfRule>
  </conditionalFormatting>
  <conditionalFormatting sqref="C81:D81 D83:D89">
    <cfRule type="cellIs" dxfId="1450" priority="170" stopIfTrue="1" operator="greaterThan">
      <formula>4.5</formula>
    </cfRule>
  </conditionalFormatting>
  <conditionalFormatting sqref="D54:D55">
    <cfRule type="cellIs" dxfId="1449" priority="154" operator="notBetween">
      <formula>#REF!</formula>
      <formula>#REF!</formula>
    </cfRule>
  </conditionalFormatting>
  <conditionalFormatting sqref="D70:D77">
    <cfRule type="cellIs" dxfId="1448" priority="148" stopIfTrue="1" operator="lessThanOrEqual">
      <formula>0</formula>
    </cfRule>
  </conditionalFormatting>
  <conditionalFormatting sqref="D78">
    <cfRule type="cellIs" dxfId="1447" priority="147" stopIfTrue="1" operator="lessThanOrEqual">
      <formula>0</formula>
    </cfRule>
  </conditionalFormatting>
  <conditionalFormatting sqref="D81 D83:D89">
    <cfRule type="cellIs" dxfId="1446" priority="171" stopIfTrue="1" operator="lessThanOrEqual">
      <formula>0</formula>
    </cfRule>
  </conditionalFormatting>
  <conditionalFormatting sqref="D82">
    <cfRule type="cellIs" dxfId="1445" priority="163" stopIfTrue="1" operator="lessThanOrEqual">
      <formula>0</formula>
    </cfRule>
    <cfRule type="cellIs" dxfId="1444" priority="162" stopIfTrue="1" operator="greaterThan">
      <formula>$F$81</formula>
    </cfRule>
  </conditionalFormatting>
  <conditionalFormatting sqref="D70:E79">
    <cfRule type="cellIs" dxfId="1443" priority="130" stopIfTrue="1" operator="greaterThan">
      <formula>$F70</formula>
    </cfRule>
  </conditionalFormatting>
  <conditionalFormatting sqref="D79:E79">
    <cfRule type="cellIs" dxfId="1442" priority="131" stopIfTrue="1" operator="lessThanOrEqual">
      <formula>0</formula>
    </cfRule>
  </conditionalFormatting>
  <conditionalFormatting sqref="E10:E29">
    <cfRule type="cellIs" dxfId="1441" priority="23" operator="lessThan">
      <formula>48</formula>
    </cfRule>
  </conditionalFormatting>
  <conditionalFormatting sqref="E57 E58:F58">
    <cfRule type="cellIs" dxfId="1440" priority="167" stopIfTrue="1" operator="greaterThan">
      <formula>100</formula>
    </cfRule>
  </conditionalFormatting>
  <conditionalFormatting sqref="E58">
    <cfRule type="cellIs" dxfId="1439" priority="164" stopIfTrue="1" operator="lessThan">
      <formula>96.8</formula>
    </cfRule>
    <cfRule type="cellIs" dxfId="1438" priority="165" stopIfTrue="1" operator="greaterThan">
      <formula>100</formula>
    </cfRule>
  </conditionalFormatting>
  <conditionalFormatting sqref="E70:E78">
    <cfRule type="cellIs" dxfId="1437" priority="142" stopIfTrue="1" operator="lessThanOrEqual">
      <formula>0</formula>
    </cfRule>
  </conditionalFormatting>
  <conditionalFormatting sqref="E81:E89">
    <cfRule type="cellIs" dxfId="1436" priority="157" stopIfTrue="1" operator="lessThanOrEqual">
      <formula>0</formula>
    </cfRule>
    <cfRule type="cellIs" dxfId="1435" priority="156" stopIfTrue="1" operator="greaterThan">
      <formula>4.5</formula>
    </cfRule>
  </conditionalFormatting>
  <conditionalFormatting sqref="E58:F58 E57">
    <cfRule type="cellIs" dxfId="1434" priority="166" stopIfTrue="1" operator="lessThan">
      <formula>96.5</formula>
    </cfRule>
  </conditionalFormatting>
  <conditionalFormatting sqref="F10:F29">
    <cfRule type="cellIs" dxfId="1433" priority="24" operator="greaterThan">
      <formula>60</formula>
    </cfRule>
  </conditionalFormatting>
  <conditionalFormatting sqref="F58">
    <cfRule type="cellIs" dxfId="1432" priority="182" stopIfTrue="1" operator="lessThan">
      <formula>96.8</formula>
    </cfRule>
    <cfRule type="cellIs" dxfId="1431" priority="183" stopIfTrue="1" operator="greaterThan">
      <formula>100</formula>
    </cfRule>
  </conditionalFormatting>
  <conditionalFormatting sqref="F79">
    <cfRule type="cellIs" dxfId="1430" priority="144" stopIfTrue="1" operator="lessThanOrEqual">
      <formula>0</formula>
    </cfRule>
    <cfRule type="cellIs" dxfId="1429" priority="143" stopIfTrue="1" operator="greaterThan">
      <formula>$F79</formula>
    </cfRule>
  </conditionalFormatting>
  <conditionalFormatting sqref="F84">
    <cfRule type="cellIs" dxfId="1428" priority="101" stopIfTrue="1" operator="lessThanOrEqual">
      <formula>0</formula>
    </cfRule>
    <cfRule type="cellIs" dxfId="1427" priority="100" stopIfTrue="1" operator="greaterThan">
      <formula>$F84</formula>
    </cfRule>
  </conditionalFormatting>
  <conditionalFormatting sqref="G12:G24">
    <cfRule type="expression" dxfId="1426" priority="14">
      <formula>IF(+(IF(G12&lt;S12,0,IF(G12&gt;T12,0,1)))=0,1)</formula>
    </cfRule>
  </conditionalFormatting>
  <conditionalFormatting sqref="G70:G71 C76:C78">
    <cfRule type="cellIs" dxfId="1425" priority="150" stopIfTrue="1" operator="lessThanOrEqual">
      <formula>0</formula>
    </cfRule>
  </conditionalFormatting>
  <conditionalFormatting sqref="G70:G71">
    <cfRule type="cellIs" dxfId="1424" priority="135" stopIfTrue="1" operator="greaterThan">
      <formula>$F70</formula>
    </cfRule>
    <cfRule type="cellIs" dxfId="1423" priority="149" stopIfTrue="1" operator="greaterThan">
      <formula>$F70</formula>
    </cfRule>
    <cfRule type="cellIs" dxfId="1422" priority="136" stopIfTrue="1" operator="lessThanOrEqual">
      <formula>0</formula>
    </cfRule>
  </conditionalFormatting>
  <conditionalFormatting sqref="G72">
    <cfRule type="cellIs" dxfId="1421" priority="187" stopIfTrue="1" operator="lessThanOrEqual">
      <formula>0</formula>
    </cfRule>
    <cfRule type="cellIs" dxfId="1420" priority="186" stopIfTrue="1" operator="greaterThan">
      <formula>$F71</formula>
    </cfRule>
  </conditionalFormatting>
  <conditionalFormatting sqref="G73">
    <cfRule type="cellIs" dxfId="1419" priority="145" stopIfTrue="1" operator="greaterThan">
      <formula>$F73</formula>
    </cfRule>
    <cfRule type="cellIs" dxfId="1418" priority="146" stopIfTrue="1" operator="lessThanOrEqual">
      <formula>0</formula>
    </cfRule>
  </conditionalFormatting>
  <conditionalFormatting sqref="G74:G78">
    <cfRule type="cellIs" dxfId="1417" priority="151" stopIfTrue="1" operator="greaterThan">
      <formula>$J74</formula>
    </cfRule>
    <cfRule type="cellIs" dxfId="1416" priority="152" stopIfTrue="1" operator="lessThanOrEqual">
      <formula>0</formula>
    </cfRule>
  </conditionalFormatting>
  <conditionalFormatting sqref="G83:G88 C86 C88">
    <cfRule type="cellIs" dxfId="1415" priority="179" stopIfTrue="1" operator="greaterThan">
      <formula>4.5</formula>
    </cfRule>
    <cfRule type="cellIs" dxfId="1414" priority="180" stopIfTrue="1" operator="lessThanOrEqual">
      <formula>0</formula>
    </cfRule>
  </conditionalFormatting>
  <conditionalFormatting sqref="G10:H11 G25:H29">
    <cfRule type="expression" dxfId="1413" priority="54">
      <formula>IF(+(IF(G10&lt;#REF!,0,IF(G10&gt;#REF!,0,1)))=0,1)</formula>
    </cfRule>
  </conditionalFormatting>
  <conditionalFormatting sqref="G82:H82">
    <cfRule type="cellIs" dxfId="1412" priority="160" stopIfTrue="1" operator="greaterThan">
      <formula>$F$81</formula>
    </cfRule>
    <cfRule type="cellIs" dxfId="1411" priority="161" stopIfTrue="1" operator="lessThanOrEqual">
      <formula>0</formula>
    </cfRule>
  </conditionalFormatting>
  <conditionalFormatting sqref="H12:H24">
    <cfRule type="expression" dxfId="1410" priority="1">
      <formula>IF(+(IF(H12&lt;#REF!,0,IF(H12&gt;#REF!,0,1)))=0,1)</formula>
    </cfRule>
  </conditionalFormatting>
  <conditionalFormatting sqref="H43:H57 I45:I57">
    <cfRule type="cellIs" dxfId="1409" priority="158" stopIfTrue="1" operator="greaterThan">
      <formula>0</formula>
    </cfRule>
  </conditionalFormatting>
  <conditionalFormatting sqref="H61">
    <cfRule type="cellIs" dxfId="1408" priority="59" stopIfTrue="1" operator="lessThanOrEqual">
      <formula>0</formula>
    </cfRule>
    <cfRule type="cellIs" dxfId="1407" priority="68" stopIfTrue="1" operator="greaterThan">
      <formula>$F$28</formula>
    </cfRule>
    <cfRule type="cellIs" dxfId="1406" priority="69" stopIfTrue="1" operator="lessThanOrEqual">
      <formula>0</formula>
    </cfRule>
    <cfRule type="cellIs" dxfId="1405" priority="70" stopIfTrue="1" operator="greaterThan">
      <formula>$F$26</formula>
    </cfRule>
    <cfRule type="cellIs" dxfId="1404" priority="71" stopIfTrue="1" operator="lessThanOrEqual">
      <formula>0</formula>
    </cfRule>
    <cfRule type="cellIs" dxfId="1403" priority="60" stopIfTrue="1" operator="greaterThan">
      <formula>#REF!</formula>
    </cfRule>
  </conditionalFormatting>
  <conditionalFormatting sqref="H62">
    <cfRule type="cellIs" dxfId="1402" priority="88" stopIfTrue="1" operator="greaterThan">
      <formula>$F$27</formula>
    </cfRule>
    <cfRule type="cellIs" dxfId="1401" priority="99" stopIfTrue="1" operator="lessThanOrEqual">
      <formula>0</formula>
    </cfRule>
    <cfRule type="cellIs" dxfId="1400" priority="87" stopIfTrue="1" operator="lessThanOrEqual">
      <formula>0</formula>
    </cfRule>
    <cfRule type="cellIs" dxfId="1399" priority="98" stopIfTrue="1" operator="greaterThan">
      <formula>$F$28</formula>
    </cfRule>
    <cfRule type="cellIs" dxfId="1398" priority="97" stopIfTrue="1" operator="lessThanOrEqual">
      <formula>0</formula>
    </cfRule>
    <cfRule type="cellIs" dxfId="1397" priority="96" stopIfTrue="1" operator="greaterThan">
      <formula>$F$30</formula>
    </cfRule>
  </conditionalFormatting>
  <conditionalFormatting sqref="H63">
    <cfRule type="cellIs" dxfId="1396" priority="49" stopIfTrue="1" operator="lessThanOrEqual">
      <formula>0</formula>
    </cfRule>
    <cfRule type="cellIs" dxfId="1395" priority="51" stopIfTrue="1" operator="lessThanOrEqual">
      <formula>0</formula>
    </cfRule>
    <cfRule type="cellIs" dxfId="1394" priority="50" stopIfTrue="1" operator="greaterThan">
      <formula>$F$26</formula>
    </cfRule>
    <cfRule type="cellIs" dxfId="1393" priority="39" stopIfTrue="1" operator="lessThanOrEqual">
      <formula>0</formula>
    </cfRule>
    <cfRule type="cellIs" dxfId="1392" priority="40" stopIfTrue="1" operator="greaterThan">
      <formula>#REF!</formula>
    </cfRule>
    <cfRule type="cellIs" dxfId="1391" priority="48" stopIfTrue="1" operator="greaterThan">
      <formula>$F$28</formula>
    </cfRule>
  </conditionalFormatting>
  <conditionalFormatting sqref="H64:H65">
    <cfRule type="cellIs" dxfId="1390" priority="74" stopIfTrue="1" operator="greaterThan">
      <formula>$F$26</formula>
    </cfRule>
    <cfRule type="cellIs" dxfId="1389" priority="73" stopIfTrue="1" operator="lessThanOrEqual">
      <formula>0</formula>
    </cfRule>
    <cfRule type="cellIs" dxfId="1388" priority="82" stopIfTrue="1" operator="greaterThan">
      <formula>$F$29</formula>
    </cfRule>
    <cfRule type="cellIs" dxfId="1387" priority="83" stopIfTrue="1" operator="lessThanOrEqual">
      <formula>0</formula>
    </cfRule>
    <cfRule type="cellIs" dxfId="1386" priority="84" stopIfTrue="1" operator="greaterThan">
      <formula>$F$27</formula>
    </cfRule>
    <cfRule type="cellIs" dxfId="1385" priority="85" stopIfTrue="1" operator="lessThanOrEqual">
      <formula>0</formula>
    </cfRule>
  </conditionalFormatting>
  <conditionalFormatting sqref="H66">
    <cfRule type="cellIs" dxfId="1384" priority="104" stopIfTrue="1" operator="lessThanOrEqual">
      <formula>0</formula>
    </cfRule>
    <cfRule type="cellIs" dxfId="1383" priority="105" stopIfTrue="1" operator="greaterThan">
      <formula>$F$42</formula>
    </cfRule>
    <cfRule type="cellIs" dxfId="1382" priority="116" stopIfTrue="1" operator="lessThanOrEqual">
      <formula>0</formula>
    </cfRule>
    <cfRule type="cellIs" dxfId="1381" priority="115" stopIfTrue="1" operator="greaterThan">
      <formula>$F$43</formula>
    </cfRule>
    <cfRule type="cellIs" dxfId="1380" priority="114" stopIfTrue="1" operator="lessThanOrEqual">
      <formula>0</formula>
    </cfRule>
    <cfRule type="cellIs" dxfId="1379" priority="113" stopIfTrue="1" operator="greaterThan">
      <formula>$F$45</formula>
    </cfRule>
  </conditionalFormatting>
  <conditionalFormatting sqref="H70:H77">
    <cfRule type="cellIs" dxfId="1378" priority="138" stopIfTrue="1" operator="lessThanOrEqual">
      <formula>0</formula>
    </cfRule>
    <cfRule type="cellIs" dxfId="1377" priority="137" stopIfTrue="1" operator="greaterThan">
      <formula>$J70</formula>
    </cfRule>
  </conditionalFormatting>
  <conditionalFormatting sqref="H78">
    <cfRule type="cellIs" dxfId="1376" priority="139" operator="greaterThan">
      <formula>5.3</formula>
    </cfRule>
  </conditionalFormatting>
  <conditionalFormatting sqref="H81 H83:H89">
    <cfRule type="cellIs" dxfId="1375" priority="172" stopIfTrue="1" operator="greaterThan">
      <formula>4.5</formula>
    </cfRule>
    <cfRule type="cellIs" dxfId="1374" priority="173" stopIfTrue="1" operator="lessThanOrEqual">
      <formula>0</formula>
    </cfRule>
  </conditionalFormatting>
  <conditionalFormatting sqref="H61:I61">
    <cfRule type="cellIs" dxfId="1373" priority="61" stopIfTrue="1" operator="lessThanOrEqual">
      <formula>0</formula>
    </cfRule>
    <cfRule type="cellIs" dxfId="1372" priority="58" stopIfTrue="1" operator="greaterThan">
      <formula>$F$27</formula>
    </cfRule>
  </conditionalFormatting>
  <conditionalFormatting sqref="H62:I62">
    <cfRule type="cellIs" dxfId="1371" priority="86" stopIfTrue="1" operator="greaterThan">
      <formula>$F$29</formula>
    </cfRule>
    <cfRule type="cellIs" dxfId="1370" priority="89" stopIfTrue="1" operator="lessThanOrEqual">
      <formula>0</formula>
    </cfRule>
  </conditionalFormatting>
  <conditionalFormatting sqref="H63:I63">
    <cfRule type="cellIs" dxfId="1369" priority="38" stopIfTrue="1" operator="greaterThan">
      <formula>$F$27</formula>
    </cfRule>
    <cfRule type="cellIs" dxfId="1368" priority="41" stopIfTrue="1" operator="lessThanOrEqual">
      <formula>0</formula>
    </cfRule>
  </conditionalFormatting>
  <conditionalFormatting sqref="H64:I65">
    <cfRule type="cellIs" dxfId="1367" priority="75" stopIfTrue="1" operator="lessThanOrEqual">
      <formula>0</formula>
    </cfRule>
    <cfRule type="cellIs" dxfId="1366" priority="72" stopIfTrue="1" operator="greaterThan">
      <formula>$F$28</formula>
    </cfRule>
  </conditionalFormatting>
  <conditionalFormatting sqref="H66:I66">
    <cfRule type="cellIs" dxfId="1365" priority="106" stopIfTrue="1" operator="lessThanOrEqual">
      <formula>0</formula>
    </cfRule>
    <cfRule type="cellIs" dxfId="1364" priority="103" stopIfTrue="1" operator="greaterThan">
      <formula>$F$44</formula>
    </cfRule>
  </conditionalFormatting>
  <conditionalFormatting sqref="H79:I79">
    <cfRule type="cellIs" dxfId="1363" priority="129" stopIfTrue="1" operator="lessThanOrEqual">
      <formula>0</formula>
    </cfRule>
    <cfRule type="cellIs" dxfId="1362" priority="128" stopIfTrue="1" operator="greaterThan">
      <formula>$J79</formula>
    </cfRule>
  </conditionalFormatting>
  <conditionalFormatting sqref="I61">
    <cfRule type="cellIs" dxfId="1361" priority="63" stopIfTrue="1" operator="lessThanOrEqual">
      <formula>0</formula>
    </cfRule>
    <cfRule type="cellIs" dxfId="1360" priority="64" stopIfTrue="1" operator="greaterThan">
      <formula>$F$27</formula>
    </cfRule>
    <cfRule type="cellIs" dxfId="1359" priority="65" stopIfTrue="1" operator="lessThanOrEqual">
      <formula>0</formula>
    </cfRule>
    <cfRule type="cellIs" dxfId="1358" priority="67" stopIfTrue="1" operator="lessThanOrEqual">
      <formula>0</formula>
    </cfRule>
    <cfRule type="cellIs" dxfId="1357" priority="66" stopIfTrue="1" operator="greaterThan">
      <formula>#REF!</formula>
    </cfRule>
    <cfRule type="cellIs" dxfId="1356" priority="62" stopIfTrue="1" operator="greaterThan">
      <formula>#REF!</formula>
    </cfRule>
  </conditionalFormatting>
  <conditionalFormatting sqref="I62">
    <cfRule type="cellIs" dxfId="1355" priority="90" stopIfTrue="1" operator="greaterThan">
      <formula>$F$27</formula>
    </cfRule>
    <cfRule type="cellIs" dxfId="1354" priority="91" stopIfTrue="1" operator="lessThanOrEqual">
      <formula>0</formula>
    </cfRule>
    <cfRule type="cellIs" dxfId="1353" priority="95" stopIfTrue="1" operator="lessThanOrEqual">
      <formula>0</formula>
    </cfRule>
    <cfRule type="cellIs" dxfId="1352" priority="92" stopIfTrue="1" operator="greaterThan">
      <formula>$F$29</formula>
    </cfRule>
    <cfRule type="cellIs" dxfId="1351" priority="93" stopIfTrue="1" operator="lessThanOrEqual">
      <formula>0</formula>
    </cfRule>
    <cfRule type="cellIs" dxfId="1350" priority="94" stopIfTrue="1" operator="greaterThan">
      <formula>$F$27</formula>
    </cfRule>
  </conditionalFormatting>
  <conditionalFormatting sqref="I63">
    <cfRule type="cellIs" dxfId="1349" priority="43" stopIfTrue="1" operator="lessThanOrEqual">
      <formula>0</formula>
    </cfRule>
    <cfRule type="cellIs" dxfId="1348" priority="46" stopIfTrue="1" operator="greaterThan">
      <formula>#REF!</formula>
    </cfRule>
    <cfRule type="cellIs" dxfId="1347" priority="47" stopIfTrue="1" operator="lessThanOrEqual">
      <formula>0</formula>
    </cfRule>
    <cfRule type="cellIs" dxfId="1346" priority="45" stopIfTrue="1" operator="lessThanOrEqual">
      <formula>0</formula>
    </cfRule>
    <cfRule type="cellIs" dxfId="1345" priority="44" stopIfTrue="1" operator="greaterThan">
      <formula>$F$27</formula>
    </cfRule>
    <cfRule type="cellIs" dxfId="1344" priority="42" stopIfTrue="1" operator="greaterThan">
      <formula>#REF!</formula>
    </cfRule>
  </conditionalFormatting>
  <conditionalFormatting sqref="I64:I65">
    <cfRule type="cellIs" dxfId="1343" priority="79" stopIfTrue="1" operator="lessThanOrEqual">
      <formula>0</formula>
    </cfRule>
    <cfRule type="cellIs" dxfId="1342" priority="78" stopIfTrue="1" operator="greaterThan">
      <formula>$F$28</formula>
    </cfRule>
    <cfRule type="cellIs" dxfId="1341" priority="77" stopIfTrue="1" operator="lessThanOrEqual">
      <formula>0</formula>
    </cfRule>
    <cfRule type="cellIs" dxfId="1340" priority="76" stopIfTrue="1" operator="greaterThan">
      <formula>$F$26</formula>
    </cfRule>
    <cfRule type="cellIs" dxfId="1339" priority="81" stopIfTrue="1" operator="lessThanOrEqual">
      <formula>0</formula>
    </cfRule>
    <cfRule type="cellIs" dxfId="1338" priority="80" stopIfTrue="1" operator="greaterThan">
      <formula>$F$26</formula>
    </cfRule>
  </conditionalFormatting>
  <conditionalFormatting sqref="I66">
    <cfRule type="cellIs" dxfId="1337" priority="112" stopIfTrue="1" operator="lessThanOrEqual">
      <formula>0</formula>
    </cfRule>
    <cfRule type="cellIs" dxfId="1336" priority="110" stopIfTrue="1" operator="lessThanOrEqual">
      <formula>0</formula>
    </cfRule>
    <cfRule type="cellIs" dxfId="1335" priority="108" stopIfTrue="1" operator="lessThanOrEqual">
      <formula>0</formula>
    </cfRule>
    <cfRule type="cellIs" dxfId="1334" priority="109" stopIfTrue="1" operator="greaterThan">
      <formula>$F$44</formula>
    </cfRule>
    <cfRule type="cellIs" dxfId="1333" priority="107" stopIfTrue="1" operator="greaterThan">
      <formula>$F$42</formula>
    </cfRule>
    <cfRule type="cellIs" dxfId="1332" priority="111" stopIfTrue="1" operator="greaterThan">
      <formula>$F$42</formula>
    </cfRule>
  </conditionalFormatting>
  <conditionalFormatting sqref="I70:I78">
    <cfRule type="cellIs" dxfId="1331" priority="141" stopIfTrue="1" operator="lessThanOrEqual">
      <formula>0</formula>
    </cfRule>
    <cfRule type="cellIs" dxfId="1330" priority="140" stopIfTrue="1" operator="greaterThan">
      <formula>$J70</formula>
    </cfRule>
  </conditionalFormatting>
  <conditionalFormatting sqref="I81:I89">
    <cfRule type="cellIs" dxfId="1329" priority="169" stopIfTrue="1" operator="lessThanOrEqual">
      <formula>0</formula>
    </cfRule>
    <cfRule type="cellIs" dxfId="1328" priority="168" stopIfTrue="1" operator="greaterThan">
      <formula>4.5</formula>
    </cfRule>
  </conditionalFormatting>
  <conditionalFormatting sqref="I10:J29">
    <cfRule type="cellIs" dxfId="1327" priority="19" operator="lessThan">
      <formula>97.9</formula>
    </cfRule>
  </conditionalFormatting>
  <conditionalFormatting sqref="J32:J34">
    <cfRule type="cellIs" dxfId="1326" priority="118" stopIfTrue="1" operator="lessThan">
      <formula>96.8</formula>
    </cfRule>
    <cfRule type="cellIs" dxfId="1325" priority="119" stopIfTrue="1" operator="greaterThan">
      <formula>100</formula>
    </cfRule>
    <cfRule type="cellIs" dxfId="1324" priority="120" operator="lessThan">
      <formula>98</formula>
    </cfRule>
  </conditionalFormatting>
  <conditionalFormatting sqref="J32:J36">
    <cfRule type="cellIs" dxfId="1323" priority="117" operator="lessThan">
      <formula>97.4</formula>
    </cfRule>
  </conditionalFormatting>
  <conditionalFormatting sqref="J37">
    <cfRule type="cellIs" dxfId="1322" priority="121" operator="lessThan">
      <formula>98</formula>
    </cfRule>
  </conditionalFormatting>
  <conditionalFormatting sqref="J39:J40">
    <cfRule type="cellIs" dxfId="1321" priority="122" stopIfTrue="1" operator="lessThan">
      <formula>96.8</formula>
    </cfRule>
    <cfRule type="cellIs" dxfId="1320" priority="123" stopIfTrue="1" operator="greaterThan">
      <formula>100</formula>
    </cfRule>
  </conditionalFormatting>
  <conditionalFormatting sqref="J39:J41">
    <cfRule type="cellIs" dxfId="1319" priority="124" operator="lessThan">
      <formula>98</formula>
    </cfRule>
  </conditionalFormatting>
  <conditionalFormatting sqref="J79">
    <cfRule type="cellIs" dxfId="1318" priority="125" stopIfTrue="1" operator="greaterThan">
      <formula>$F79</formula>
    </cfRule>
    <cfRule type="cellIs" dxfId="1317" priority="126" stopIfTrue="1" operator="lessThanOrEqual">
      <formula>0</formula>
    </cfRule>
  </conditionalFormatting>
  <conditionalFormatting sqref="K10:K29">
    <cfRule type="cellIs" dxfId="1316" priority="16" operator="greaterThan">
      <formula>6</formula>
    </cfRule>
    <cfRule type="cellIs" dxfId="1315" priority="17" operator="lessThan">
      <formula>4</formula>
    </cfRule>
    <cfRule type="cellIs" dxfId="1314" priority="18" operator="greaterThan">
      <formula>6.4</formula>
    </cfRule>
  </conditionalFormatting>
  <conditionalFormatting sqref="K61:K66 K70:N76 K77 M77:N77 K78:N78">
    <cfRule type="cellIs" dxfId="1313" priority="102" stopIfTrue="1" operator="lessThan">
      <formula>100%</formula>
    </cfRule>
  </conditionalFormatting>
  <conditionalFormatting sqref="K81:K86">
    <cfRule type="cellIs" dxfId="1312" priority="174" stopIfTrue="1" operator="lessThan">
      <formula>100%</formula>
    </cfRule>
  </conditionalFormatting>
  <conditionalFormatting sqref="K88:K89">
    <cfRule type="cellIs" dxfId="1311" priority="181" stopIfTrue="1" operator="lessThan">
      <formula>100%</formula>
    </cfRule>
  </conditionalFormatting>
  <conditionalFormatting sqref="L10:L24">
    <cfRule type="cellIs" dxfId="1310" priority="22" operator="greaterThan">
      <formula>65</formula>
    </cfRule>
    <cfRule type="cellIs" dxfId="1309" priority="21" operator="between">
      <formula>61</formula>
      <formula>65</formula>
    </cfRule>
  </conditionalFormatting>
  <conditionalFormatting sqref="L25:M25 L26:L29">
    <cfRule type="cellIs" dxfId="1308" priority="56" operator="greaterThan">
      <formula>65</formula>
    </cfRule>
    <cfRule type="cellIs" dxfId="1307" priority="55" operator="between">
      <formula>61</formula>
      <formula>65</formula>
    </cfRule>
  </conditionalFormatting>
  <conditionalFormatting sqref="L32:M43">
    <cfRule type="cellIs" dxfId="1306" priority="132" operator="lessThan">
      <formula>98</formula>
    </cfRule>
  </conditionalFormatting>
  <conditionalFormatting sqref="L47:N47">
    <cfRule type="cellIs" dxfId="1305" priority="57" operator="notEqual">
      <formula>#REF!</formula>
    </cfRule>
  </conditionalFormatting>
  <conditionalFormatting sqref="L79:N79">
    <cfRule type="cellIs" dxfId="1304" priority="127" stopIfTrue="1" operator="lessThan">
      <formula>100%</formula>
    </cfRule>
  </conditionalFormatting>
  <conditionalFormatting sqref="L81:N89">
    <cfRule type="cellIs" dxfId="1303" priority="159" stopIfTrue="1" operator="lessThan">
      <formula>100%</formula>
    </cfRule>
  </conditionalFormatting>
  <conditionalFormatting sqref="M10:M29">
    <cfRule type="expression" dxfId="1302" priority="20">
      <formula>IF(+(IF(M10&lt;U10,0,IF(M10&gt;V10,0,1)))=0,1)</formula>
    </cfRule>
  </conditionalFormatting>
  <conditionalFormatting sqref="N10:N29">
    <cfRule type="expression" dxfId="1301" priority="15">
      <formula>IF(+(IF(N10&lt;W10,0,IF(N10&gt;X10,0,1)))=0,1)</formula>
    </cfRule>
  </conditionalFormatting>
  <conditionalFormatting sqref="P6">
    <cfRule type="cellIs" dxfId="1300" priority="155" operator="greaterThanOrEqual">
      <formula>19</formula>
    </cfRule>
  </conditionalFormatting>
  <dataValidations count="1">
    <dataValidation type="list" allowBlank="1" showInputMessage="1" showErrorMessage="1" sqref="R8" xr:uid="{CE9A8D39-54C5-4E37-BB30-13FBA2C28E52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CB8E-A9CB-4439-83B3-1DDF07065C1C}">
  <sheetPr>
    <pageSetUpPr fitToPage="1"/>
  </sheetPr>
  <dimension ref="A1:BE87"/>
  <sheetViews>
    <sheetView topLeftCell="B9" zoomScale="90" zoomScaleNormal="90" workbookViewId="0">
      <selection activeCell="O11" sqref="O1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45890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">
      <c r="B10" s="480">
        <v>45888</v>
      </c>
      <c r="C10" s="357"/>
      <c r="D10" s="357"/>
      <c r="E10" s="357"/>
      <c r="F10" s="357"/>
      <c r="G10" s="357"/>
      <c r="H10" s="478"/>
      <c r="I10" s="368"/>
      <c r="J10" s="368"/>
      <c r="K10" s="281"/>
      <c r="L10" s="276"/>
      <c r="M10" s="397"/>
      <c r="N10" s="374"/>
      <c r="O10" s="479"/>
      <c r="P10" s="339"/>
      <c r="R10" s="277">
        <f t="shared" ref="R10" si="0">B10</f>
        <v>45888</v>
      </c>
      <c r="S10" s="296" t="e">
        <f t="shared" ref="S10:S36" si="1">VLOOKUP($B10,$R$3:$X$9,2,FALSE)</f>
        <v>#N/A</v>
      </c>
      <c r="T10" s="296" t="e">
        <f t="shared" ref="T10:T36" si="2">VLOOKUP($B10,$R$3:$X$9,3,FALSE)</f>
        <v>#N/A</v>
      </c>
      <c r="U10" s="297" t="e">
        <f t="shared" ref="U10:U36" si="3">VLOOKUP($B10,$R$3:$X$9,4,FALSE)</f>
        <v>#N/A</v>
      </c>
      <c r="V10" s="297" t="e">
        <f t="shared" ref="V10:V36" si="4">VLOOKUP($B10,$R$3:$X$9,5,FALSE)</f>
        <v>#N/A</v>
      </c>
      <c r="W10" s="297" t="e">
        <f t="shared" ref="W10:W36" si="5">VLOOKUP($B10,$R$3:$X$9,6,FALSE)</f>
        <v>#N/A</v>
      </c>
      <c r="X10" s="297" t="e">
        <f t="shared" ref="X10:X36" si="6">VLOOKUP($B10,$R$3:$X$9,7,FALSE)</f>
        <v>#N/A</v>
      </c>
      <c r="Y10" s="297" t="e">
        <f t="shared" ref="Y10:Y36" si="7">VLOOKUP($B10,$R$3:$Z$9,8,FALSE)</f>
        <v>#N/A</v>
      </c>
      <c r="Z10" s="296" t="e">
        <f t="shared" ref="Z10:Z36" si="8">VLOOKUP($B10,$R$3:$Z$9,9,FALSE)</f>
        <v>#N/A</v>
      </c>
    </row>
    <row r="11" spans="2:29" ht="15.75" customHeight="1">
      <c r="B11" s="29" t="s">
        <v>6</v>
      </c>
      <c r="C11" s="366" t="str">
        <f>[24]Brewhouse!$A700</f>
        <v>CA592</v>
      </c>
      <c r="D11" s="279">
        <f>[24]Brewhouse!$AF700</f>
        <v>51.7</v>
      </c>
      <c r="E11" s="279">
        <f>[24]Brewhouse!$AI700</f>
        <v>50.9</v>
      </c>
      <c r="F11" s="278">
        <f>[24]Brewhouse!$V700</f>
        <v>60</v>
      </c>
      <c r="G11" s="279">
        <f>[24]Brewhouse!AG700</f>
        <v>11.8</v>
      </c>
      <c r="H11" s="396">
        <v>11.9</v>
      </c>
      <c r="I11" s="368">
        <f>[24]Brewhouse!$AU700</f>
        <v>94.62095793854931</v>
      </c>
      <c r="J11" s="368">
        <f>[24]Brewhouse!$AV700</f>
        <v>96.204900137296136</v>
      </c>
      <c r="K11" s="281">
        <f>[24]Brewhouse!$Q700</f>
        <v>8.6071428571428577</v>
      </c>
      <c r="L11" s="276">
        <f>[24]Brewhouse!$P700</f>
        <v>62</v>
      </c>
      <c r="M11" s="397">
        <f>[24]Brewhouse!$U700-[24]Brewhouse!$T700</f>
        <v>0.11111111111111116</v>
      </c>
      <c r="N11" s="370">
        <f>[24]Brewhouse!$Z700</f>
        <v>0.24583333333333346</v>
      </c>
      <c r="O11" s="371" t="str">
        <f>[24]Brewhouse!$AX700</f>
        <v>R.Sookram</v>
      </c>
      <c r="P11" s="418"/>
      <c r="R11" s="277" t="str">
        <f t="shared" ref="R11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481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4"/>
      <c r="O12" s="371"/>
      <c r="P12" s="418"/>
      <c r="R12" s="277">
        <f t="shared" ref="R12:R36" si="10">B12</f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customHeight="1">
      <c r="B13" s="481">
        <v>45889</v>
      </c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4"/>
      <c r="O13" s="371"/>
      <c r="P13" s="418"/>
      <c r="R13" s="277">
        <f t="shared" si="10"/>
        <v>45889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29" t="s">
        <v>6</v>
      </c>
      <c r="C14" s="366" t="str">
        <f>[24]Brewhouse!$A701</f>
        <v>CA593</v>
      </c>
      <c r="D14" s="279">
        <f>[24]Brewhouse!$AF701</f>
        <v>53.1</v>
      </c>
      <c r="E14" s="279">
        <f>[24]Brewhouse!$AI701</f>
        <v>50.9</v>
      </c>
      <c r="F14" s="278">
        <f>[24]Brewhouse!$V701</f>
        <v>63</v>
      </c>
      <c r="G14" s="279">
        <f>[24]Brewhouse!AG701</f>
        <v>11.6</v>
      </c>
      <c r="H14" s="396">
        <v>11.6</v>
      </c>
      <c r="I14" s="368">
        <f>[24]Brewhouse!$AU701</f>
        <v>93.044640016207893</v>
      </c>
      <c r="J14" s="368">
        <f>[24]Brewhouse!$AV701</f>
        <v>94.602036399508563</v>
      </c>
      <c r="K14" s="281">
        <f>[24]Brewhouse!$Q701</f>
        <v>6.3082437275985601</v>
      </c>
      <c r="L14" s="276">
        <f>[24]Brewhouse!$P701</f>
        <v>61</v>
      </c>
      <c r="M14" s="397">
        <f>[24]Brewhouse!$U701-[24]Brewhouse!$T701</f>
        <v>0.10763888888888884</v>
      </c>
      <c r="N14" s="370">
        <f>[24]Brewhouse!$Z701</f>
        <v>0.25138888888888888</v>
      </c>
      <c r="O14" s="371" t="str">
        <f>[24]Brewhouse!$AX701</f>
        <v>R.Sookram</v>
      </c>
      <c r="P14" s="418"/>
      <c r="R14" s="277" t="str">
        <f t="shared" si="1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[24]Brewhouse!$A702</f>
        <v>CA594</v>
      </c>
      <c r="D15" s="279">
        <f>[24]Brewhouse!$AF702</f>
        <v>53.2</v>
      </c>
      <c r="E15" s="279">
        <f>[24]Brewhouse!$AI702</f>
        <v>51.3</v>
      </c>
      <c r="F15" s="278">
        <f>[24]Brewhouse!$V702</f>
        <v>56</v>
      </c>
      <c r="G15" s="279">
        <f>[24]Brewhouse!AG702</f>
        <v>11.6</v>
      </c>
      <c r="H15" s="396">
        <v>11.6</v>
      </c>
      <c r="I15" s="368">
        <f>[24]Brewhouse!$AU702</f>
        <v>93.369220627052428</v>
      </c>
      <c r="J15" s="368">
        <f>[24]Brewhouse!$AV702</f>
        <v>94.931410028931126</v>
      </c>
      <c r="K15" s="281">
        <f>[24]Brewhouse!$Q702</f>
        <v>6.4527629233511536</v>
      </c>
      <c r="L15" s="276">
        <f>[24]Brewhouse!$P702</f>
        <v>57</v>
      </c>
      <c r="M15" s="397">
        <f>[24]Brewhouse!$U702-[24]Brewhouse!$T702</f>
        <v>0.10347222222222224</v>
      </c>
      <c r="N15" s="370">
        <f>[24]Brewhouse!$Z702</f>
        <v>0.22569444444444442</v>
      </c>
      <c r="O15" s="371" t="str">
        <f>[24]Brewhouse!$AX702</f>
        <v>G. Mason</v>
      </c>
      <c r="P15" s="418"/>
      <c r="R15" s="277" t="str">
        <f t="shared" si="1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[24]Brewhouse!$A703</f>
        <v>CA595</v>
      </c>
      <c r="D16" s="279">
        <f>[24]Brewhouse!$AF703</f>
        <v>52.5</v>
      </c>
      <c r="E16" s="279">
        <f>[24]Brewhouse!$AI703</f>
        <v>51.2</v>
      </c>
      <c r="F16" s="278">
        <f>[24]Brewhouse!$V703</f>
        <v>63</v>
      </c>
      <c r="G16" s="279">
        <f>[24]Brewhouse!AG703</f>
        <v>11.9</v>
      </c>
      <c r="H16" s="396">
        <v>11.8</v>
      </c>
      <c r="I16" s="368">
        <f>[24]Brewhouse!$AU703</f>
        <v>99.089598150267804</v>
      </c>
      <c r="J16" s="368">
        <f>[24]Brewhouse!$AV703</f>
        <v>100.74382269552488</v>
      </c>
      <c r="K16" s="281">
        <f>[24]Brewhouse!$Q703</f>
        <v>6.5342960288808625</v>
      </c>
      <c r="L16" s="276">
        <f>[24]Brewhouse!$P703</f>
        <v>57</v>
      </c>
      <c r="M16" s="397">
        <f>[24]Brewhouse!$U703-[24]Brewhouse!$T703</f>
        <v>0.10833333333333339</v>
      </c>
      <c r="N16" s="370">
        <f>[24]Brewhouse!$Z703</f>
        <v>0.24791666666666667</v>
      </c>
      <c r="O16" s="371" t="str">
        <f>[24]Brewhouse!$AX703</f>
        <v>G. Mason</v>
      </c>
      <c r="P16" s="418"/>
      <c r="R16" s="277" t="str">
        <f t="shared" si="1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[24]Brewhouse!$A704</f>
        <v>CA596</v>
      </c>
      <c r="D17" s="279">
        <f>[24]Brewhouse!$AF704</f>
        <v>52.3</v>
      </c>
      <c r="E17" s="279">
        <f>[24]Brewhouse!$AI704</f>
        <v>51</v>
      </c>
      <c r="F17" s="278">
        <f>[24]Brewhouse!$V704</f>
        <v>54</v>
      </c>
      <c r="G17" s="279">
        <f>[24]Brewhouse!AG704</f>
        <v>11.6</v>
      </c>
      <c r="H17" s="396">
        <v>11.6</v>
      </c>
      <c r="I17" s="368">
        <f>[24]Brewhouse!$AU704</f>
        <v>93.045734095158593</v>
      </c>
      <c r="J17" s="368">
        <f>[24]Brewhouse!$AV704</f>
        <v>94.602190029810458</v>
      </c>
      <c r="K17" s="281">
        <f>[24]Brewhouse!$Q704</f>
        <v>6.8953068592057774</v>
      </c>
      <c r="L17" s="276">
        <f>[24]Brewhouse!$P704</f>
        <v>59</v>
      </c>
      <c r="M17" s="397">
        <f>[24]Brewhouse!$U704-[24]Brewhouse!$T704</f>
        <v>0.10277777777777786</v>
      </c>
      <c r="N17" s="370">
        <f>[24]Brewhouse!$Z704</f>
        <v>0.25208333333333338</v>
      </c>
      <c r="O17" s="371" t="str">
        <f>[24]Brewhouse!$AX704</f>
        <v>G. Mason</v>
      </c>
      <c r="P17" s="418"/>
      <c r="R17" s="277" t="str">
        <f t="shared" si="1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[24]Brewhouse!$A705</f>
        <v>CA597</v>
      </c>
      <c r="D18" s="279">
        <f>[24]Brewhouse!$AF705</f>
        <v>51.1</v>
      </c>
      <c r="E18" s="279">
        <f>[24]Brewhouse!$AI705</f>
        <v>49.3</v>
      </c>
      <c r="F18" s="278">
        <f>[24]Brewhouse!$V705</f>
        <v>60</v>
      </c>
      <c r="G18" s="279">
        <f>[24]Brewhouse!AG705</f>
        <v>12</v>
      </c>
      <c r="H18" s="396">
        <v>12</v>
      </c>
      <c r="I18" s="368">
        <f>[24]Brewhouse!$AU705</f>
        <v>96.969115359934918</v>
      </c>
      <c r="J18" s="368">
        <f>[24]Brewhouse!$AV705</f>
        <v>98.586878526027505</v>
      </c>
      <c r="K18" s="281">
        <f>[24]Brewhouse!$Q705</f>
        <v>10.091407678244977</v>
      </c>
      <c r="L18" s="276">
        <f>[24]Brewhouse!$P705</f>
        <v>60</v>
      </c>
      <c r="M18" s="397">
        <f>[24]Brewhouse!$U705-[24]Brewhouse!$T705</f>
        <v>0.12708333333333344</v>
      </c>
      <c r="N18" s="370">
        <f>[24]Brewhouse!$Z705</f>
        <v>0.25347222222222221</v>
      </c>
      <c r="O18" s="371" t="str">
        <f>[24]Brewhouse!$AX705</f>
        <v>R. Regis</v>
      </c>
      <c r="P18" s="418"/>
      <c r="R18" s="277" t="str">
        <f t="shared" si="1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18"/>
      <c r="R19" s="277">
        <f t="shared" si="1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1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34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1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34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34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1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4"/>
      <c r="C25" s="366"/>
      <c r="D25" s="279"/>
      <c r="E25" s="279"/>
      <c r="F25" s="278"/>
      <c r="G25" s="279"/>
      <c r="H25" s="396"/>
      <c r="I25" s="422"/>
      <c r="J25" s="422"/>
      <c r="K25" s="476"/>
      <c r="L25" s="276"/>
      <c r="M25" s="374"/>
      <c r="N25" s="370"/>
      <c r="O25" s="423"/>
      <c r="P25" s="418"/>
      <c r="R25" s="277">
        <f t="shared" si="1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4"/>
      <c r="C26" s="366"/>
      <c r="D26" s="279"/>
      <c r="E26" s="279"/>
      <c r="F26" s="278"/>
      <c r="G26" s="279"/>
      <c r="H26" s="396"/>
      <c r="I26" s="422"/>
      <c r="J26" s="422"/>
      <c r="K26" s="476"/>
      <c r="L26" s="276"/>
      <c r="M26" s="374"/>
      <c r="N26" s="370"/>
      <c r="O26" s="423"/>
      <c r="P26" s="418"/>
      <c r="R26" s="277">
        <f t="shared" si="1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4"/>
      <c r="C27" s="366"/>
      <c r="D27" s="279"/>
      <c r="E27" s="279"/>
      <c r="F27" s="278"/>
      <c r="G27" s="279"/>
      <c r="H27" s="396"/>
      <c r="I27" s="422"/>
      <c r="J27" s="422"/>
      <c r="K27" s="476"/>
      <c r="L27" s="276"/>
      <c r="M27" s="374"/>
      <c r="N27" s="370"/>
      <c r="O27" s="423"/>
      <c r="P27" s="418"/>
      <c r="R27" s="277">
        <f t="shared" si="1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463"/>
      <c r="H28" s="471"/>
      <c r="I28" s="422"/>
      <c r="J28" s="422"/>
      <c r="K28" s="281"/>
      <c r="L28" s="276"/>
      <c r="M28" s="374"/>
      <c r="N28" s="370"/>
      <c r="O28" s="423"/>
      <c r="P28" s="418"/>
      <c r="R28" s="277">
        <f t="shared" si="1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1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18"/>
      <c r="R30" s="277">
        <f t="shared" si="1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1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8"/>
      <c r="R32" s="277">
        <f t="shared" si="1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customHeight="1" thickBot="1">
      <c r="B33" s="358"/>
      <c r="C33" s="358"/>
      <c r="D33" s="358"/>
      <c r="E33" s="358"/>
      <c r="F33" s="294"/>
      <c r="G33" s="294"/>
      <c r="H33" s="348"/>
      <c r="I33" s="529"/>
      <c r="J33" s="529"/>
      <c r="K33" s="529"/>
      <c r="L33" s="529"/>
      <c r="M33" s="529"/>
      <c r="N33" s="529"/>
      <c r="O33" s="1"/>
      <c r="P33" s="12"/>
      <c r="R33" s="277">
        <f t="shared" si="1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thickBot="1">
      <c r="B34" s="388" t="s">
        <v>162</v>
      </c>
      <c r="C34" s="388"/>
      <c r="D34" s="542" t="s">
        <v>35</v>
      </c>
      <c r="E34" s="543"/>
      <c r="F34" s="294"/>
      <c r="G34" s="294"/>
      <c r="H34" s="348"/>
      <c r="I34" s="24" t="s">
        <v>17</v>
      </c>
      <c r="J34" s="25" t="s">
        <v>36</v>
      </c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 t="str">
        <f t="shared" si="10"/>
        <v xml:space="preserve">BRAND 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" customHeight="1">
      <c r="A35" s="28"/>
      <c r="B35" s="590" t="str">
        <f>I38</f>
        <v>VITAMALT</v>
      </c>
      <c r="C35" s="362" cm="1">
        <f t="array" ref="C35:C44">[26]Process!$D$68:$D$77</f>
        <v>14.3</v>
      </c>
      <c r="D35" s="533">
        <v>16.2</v>
      </c>
      <c r="E35" s="522"/>
      <c r="F35" s="294"/>
      <c r="G35" s="294"/>
      <c r="H35" s="348"/>
      <c r="I35" s="29" t="s">
        <v>6</v>
      </c>
      <c r="J35" s="280">
        <f>AVERAGE(I14:I18)</f>
        <v>95.10366164972433</v>
      </c>
      <c r="K35" s="284">
        <f>COUNTA([24]Brewhouse!$A$655:$A$705)</f>
        <v>51</v>
      </c>
      <c r="L35" s="305">
        <f>AVERAGE([24]Brewhouse!$AU$655:$AU$705)</f>
        <v>96.389725277537295</v>
      </c>
      <c r="M35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$705)</f>
        <v>97.750976244866067</v>
      </c>
      <c r="N35" s="30">
        <v>98</v>
      </c>
      <c r="O35" s="11"/>
      <c r="P35" s="31"/>
      <c r="R35" s="277" t="str">
        <f t="shared" si="10"/>
        <v>VITAMALT</v>
      </c>
      <c r="S35" s="296">
        <f t="shared" si="1"/>
        <v>14.2</v>
      </c>
      <c r="T35" s="296">
        <f t="shared" si="2"/>
        <v>14.6</v>
      </c>
      <c r="U35" s="297">
        <f t="shared" si="3"/>
        <v>0</v>
      </c>
      <c r="V35" s="297">
        <f t="shared" si="4"/>
        <v>0.13905092592592591</v>
      </c>
      <c r="W35" s="297">
        <f t="shared" si="5"/>
        <v>0.26041666666666669</v>
      </c>
      <c r="X35" s="297">
        <f t="shared" si="6"/>
        <v>0.2951388888888889</v>
      </c>
      <c r="Y35" s="297">
        <f t="shared" si="7"/>
        <v>0</v>
      </c>
      <c r="Z35" s="296">
        <f t="shared" si="8"/>
        <v>75</v>
      </c>
    </row>
    <row r="36" spans="1:27" ht="15" customHeight="1">
      <c r="A36" s="28"/>
      <c r="B36" s="591"/>
      <c r="C36" s="362">
        <v>14.2</v>
      </c>
      <c r="D36" s="534"/>
      <c r="E36" s="517"/>
      <c r="F36" s="294"/>
      <c r="G36" s="294"/>
      <c r="H36" s="348"/>
      <c r="I36" s="33" t="s">
        <v>9</v>
      </c>
      <c r="J36" s="280"/>
      <c r="K36" s="284">
        <f>COUNTA([22]Brewhouse!$A$324:$A$343)</f>
        <v>20</v>
      </c>
      <c r="L36" s="302">
        <f>AVERAGE([22]Brewhouse!$AS$324:$AS$343)</f>
        <v>98.007598629018077</v>
      </c>
      <c r="M36" s="302">
        <f>AVERAGE([22]Brewhouse!$AS$15:$AS$64,[22]Brewhouse!$AS$66:$AS$103,[22]Brewhouse!$AS$105:$AS$140,[22]Brewhouse!$AS$142:$AS$193,[22]Brewhouse!$AS$195:$AS$240,[22]Brewhouse!$AS$242:$AS$273,[22]Brewhouse!$AS$275:$AS$322,[22]Brewhouse!$AS$324:$AS$343)</f>
        <v>98.062511581230439</v>
      </c>
      <c r="N36" s="30">
        <v>98</v>
      </c>
      <c r="O36" s="11"/>
      <c r="P36" s="31"/>
      <c r="R36" s="277">
        <f t="shared" si="1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4.65" customHeight="1">
      <c r="A37" s="28"/>
      <c r="B37" s="591"/>
      <c r="C37" s="362">
        <v>14.7</v>
      </c>
      <c r="D37" s="533">
        <v>16.23</v>
      </c>
      <c r="E37" s="522"/>
      <c r="F37" s="294"/>
      <c r="G37" s="294"/>
      <c r="H37" s="348"/>
      <c r="I37" s="34" t="s">
        <v>12</v>
      </c>
      <c r="J37" s="280"/>
      <c r="K37" s="284">
        <f>COUNTA([25]Brewhouse!$A$81:$A$84)</f>
        <v>4</v>
      </c>
      <c r="L37" s="302">
        <f>AVERAGE([25]Brewhouse!$AU$81:$AU$84)</f>
        <v>96.0203759926994</v>
      </c>
      <c r="M37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65" customHeight="1">
      <c r="A38" s="28"/>
      <c r="B38" s="591"/>
      <c r="C38" s="362">
        <v>14.2</v>
      </c>
      <c r="D38" s="534"/>
      <c r="E38" s="517"/>
      <c r="F38" s="294"/>
      <c r="G38" s="294"/>
      <c r="H38" s="348"/>
      <c r="I38" s="22" t="s">
        <v>33</v>
      </c>
      <c r="J38" s="280"/>
      <c r="K38" s="284">
        <f>COUNTA([26]Brewhouse!$A$64:$A$77)</f>
        <v>14</v>
      </c>
      <c r="L38" s="302">
        <f>AVERAGE([26]Brewhouse!$AV$64:$AV$77)</f>
        <v>97.585594897114063</v>
      </c>
      <c r="M38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65" customHeight="1">
      <c r="A39" s="28"/>
      <c r="B39" s="591"/>
      <c r="C39" s="362">
        <v>14.3</v>
      </c>
      <c r="D39" s="533">
        <v>16.2</v>
      </c>
      <c r="E39" s="522"/>
      <c r="F39" s="417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4.65" customHeight="1">
      <c r="A40" s="28"/>
      <c r="B40" s="591"/>
      <c r="C40" s="362">
        <v>14.2</v>
      </c>
      <c r="D40" s="534"/>
      <c r="E40" s="517"/>
      <c r="F40" s="417"/>
      <c r="G40" s="294"/>
      <c r="H40" s="348"/>
      <c r="I40" s="36" t="s">
        <v>15</v>
      </c>
      <c r="J40" s="323"/>
      <c r="K40" s="284"/>
      <c r="L40" s="302"/>
      <c r="M40" s="302">
        <f>AVERAGE([27]Brewhouse!$AT$4:$AT$11,[27]Brewhouse!$AT$13:$AT$16,[27]Brewhouse!$AT$18:$AT$21,[27]Brewhouse!$AT$26)</f>
        <v>94.588057846623641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65" customHeight="1">
      <c r="A41" s="28"/>
      <c r="B41" s="591"/>
      <c r="C41" s="349">
        <v>14.2</v>
      </c>
      <c r="D41" s="533">
        <v>16.54</v>
      </c>
      <c r="E41" s="522"/>
      <c r="F41" s="417"/>
      <c r="G41" s="294"/>
      <c r="H41" s="348"/>
      <c r="I41" s="37" t="s">
        <v>16</v>
      </c>
      <c r="J41" s="323"/>
      <c r="K41" s="284"/>
      <c r="L41" s="302"/>
      <c r="M41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41" s="30">
        <v>98</v>
      </c>
      <c r="O41" s="11"/>
      <c r="P41" s="31" t="s">
        <v>41</v>
      </c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65" customHeight="1">
      <c r="A42" s="28"/>
      <c r="B42" s="591"/>
      <c r="C42" s="349">
        <v>14.2</v>
      </c>
      <c r="D42" s="534"/>
      <c r="E42" s="517"/>
      <c r="F42" s="294"/>
      <c r="G42" s="294"/>
      <c r="H42" s="348"/>
      <c r="I42" s="411" t="s">
        <v>158</v>
      </c>
      <c r="J42" s="326"/>
      <c r="K42" s="284"/>
      <c r="L42" s="305"/>
      <c r="M42" s="305">
        <f>AVERAGE([28]Brewhouse!$AU$5:$AU$8,[28]Brewhouse!$AU$10:$AU$13)</f>
        <v>94.247666625193744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65" customHeight="1">
      <c r="A43" s="28"/>
      <c r="B43" s="591"/>
      <c r="C43" s="349">
        <v>14.2</v>
      </c>
      <c r="D43" s="533">
        <v>16.399999999999999</v>
      </c>
      <c r="E43" s="522"/>
      <c r="F43" s="294"/>
      <c r="G43" s="294"/>
      <c r="H43" s="348"/>
      <c r="I43" s="410" t="s">
        <v>157</v>
      </c>
      <c r="J43" s="326"/>
      <c r="K43" s="284"/>
      <c r="L43" s="305"/>
      <c r="M43" s="305">
        <f>AVERAGE([29]Brewhouse!$AW$26:$AW$27)</f>
        <v>95.310680905194914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customHeight="1" thickBot="1">
      <c r="A44" s="28"/>
      <c r="B44" s="591"/>
      <c r="C44" s="349">
        <v>14.4</v>
      </c>
      <c r="D44" s="534"/>
      <c r="E44" s="517"/>
      <c r="F44" s="294"/>
      <c r="G44" s="294"/>
      <c r="H44" s="348"/>
      <c r="I44" s="406" t="s">
        <v>156</v>
      </c>
      <c r="J44" s="327"/>
      <c r="K44" s="407"/>
      <c r="L44" s="408"/>
      <c r="M44" s="408">
        <f>AVERAGE([30]Brewhouse!$AU$13:$AU$14)</f>
        <v>97.110575243268045</v>
      </c>
      <c r="N44" s="409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91"/>
      <c r="C45" s="349"/>
      <c r="D45" s="533"/>
      <c r="E45" s="522"/>
      <c r="F45" s="294"/>
      <c r="G45" s="294"/>
      <c r="H45" s="348"/>
      <c r="I45" s="1"/>
      <c r="J45" s="39"/>
      <c r="K45" s="404">
        <f>SUM(K35:K44)</f>
        <v>89</v>
      </c>
      <c r="L45" s="405">
        <f>((L35*K35)+(L36*K36)+(L37*K37)+(L38*K38)+(L39*K39)+(K42*L42)+(L40*K40)+(L41*K41)+(L44*K44))/(K45)</f>
        <v>96.924806677136601</v>
      </c>
      <c r="M45" s="405">
        <f>AVERAGE('[31]Jan 31st'!$L$65,'[32]Feb 28th'!$L$35,'[33]Mar. 31st'!$L$35,'[34]Apr. 30th'!$L$45,'[35]May 30th'!$L$37,'[36]June 30th'!$L$57,L45)</f>
        <v>97.553816739171225</v>
      </c>
      <c r="N45" s="4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.75" thickBot="1">
      <c r="B46" s="592"/>
      <c r="C46" s="350"/>
      <c r="D46" s="534"/>
      <c r="E46" s="517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.75" thickBot="1">
      <c r="B47" s="593" t="str">
        <f>I35</f>
        <v>CARIB</v>
      </c>
      <c r="C47" s="362" cm="1">
        <f t="array" ref="C47:C55">[24]Process!$D$644:$D$652</f>
        <v>12.1</v>
      </c>
      <c r="D47" s="514">
        <v>11.29</v>
      </c>
      <c r="E47" s="515"/>
      <c r="F47" s="294"/>
      <c r="G47" s="42"/>
      <c r="H47" s="41"/>
      <c r="I47" s="42"/>
      <c r="J47" s="569" t="s">
        <v>129</v>
      </c>
      <c r="K47" s="569"/>
      <c r="L47" s="294"/>
      <c r="M47" s="294"/>
      <c r="N47" s="294"/>
      <c r="O47" s="294"/>
      <c r="P47" s="12"/>
    </row>
    <row r="48" spans="1:27" ht="15.75" thickBot="1">
      <c r="B48" s="584"/>
      <c r="C48" s="362">
        <v>12.2</v>
      </c>
      <c r="D48" s="516"/>
      <c r="E48" s="517"/>
      <c r="F48" s="294"/>
      <c r="G48" s="42"/>
      <c r="H48" s="41"/>
      <c r="I48" s="41"/>
      <c r="J48" s="292" t="s">
        <v>17</v>
      </c>
      <c r="K48" s="293" t="s">
        <v>147</v>
      </c>
      <c r="L48" s="519" t="s">
        <v>136</v>
      </c>
      <c r="M48" s="519"/>
      <c r="N48" s="520"/>
      <c r="O48" s="294"/>
      <c r="P48" s="12"/>
    </row>
    <row r="49" spans="2:57" ht="15" customHeight="1" thickBot="1">
      <c r="B49" s="584"/>
      <c r="C49" s="349">
        <v>12.1</v>
      </c>
      <c r="D49" s="570">
        <v>11.63</v>
      </c>
      <c r="E49" s="571"/>
      <c r="F49" s="294"/>
      <c r="G49" s="42"/>
      <c r="H49" s="41"/>
      <c r="I49" s="41"/>
      <c r="J49" s="287" t="s">
        <v>6</v>
      </c>
      <c r="K49" s="324">
        <v>5</v>
      </c>
      <c r="L49" s="343" t="s">
        <v>37</v>
      </c>
      <c r="M49" s="307" t="s">
        <v>38</v>
      </c>
      <c r="N49" s="307" t="s">
        <v>84</v>
      </c>
      <c r="O49" s="294"/>
      <c r="P49" s="12"/>
    </row>
    <row r="50" spans="2:57" ht="15.75" customHeight="1" thickBot="1">
      <c r="B50" s="584"/>
      <c r="C50" s="349">
        <v>11.9</v>
      </c>
      <c r="D50" s="516"/>
      <c r="E50" s="517"/>
      <c r="F50" s="294"/>
      <c r="G50" s="42"/>
      <c r="H50" s="41"/>
      <c r="I50" s="41"/>
      <c r="J50" s="345" t="s">
        <v>9</v>
      </c>
      <c r="K50" s="324"/>
      <c r="L50" s="344">
        <f>AVERAGE('Aug 4th '!K58,'Aug 5th '!K58,'Aug 6th '!K58,'Aug 7th '!K58,'Aug 8th '!K48,'Aug 13th'!K52,'Aug 14th'!K51,'Aug 15th-16th'!J57,'Aug 15th-16th'!K57,'Aug 18th'!K54,'Aug 19th'!K56,K59)</f>
        <v>7.333333333333333</v>
      </c>
      <c r="M50" s="325">
        <f>AVERAGE('[31]Jan 29th '!$M$70,'[32]Feb 28th'!$L$40,'[33]Mar. 31st'!$L$40,'[34]Apr. 30th'!$L$50,'[35]May 30th'!$L$42,'[36]June 30th'!$L$62,'[37]July 29th '!$L$49,L50)</f>
        <v>6.9562812759323052</v>
      </c>
      <c r="N50" s="416">
        <v>9.1999999999999993</v>
      </c>
      <c r="O50" s="294"/>
      <c r="P50" s="12"/>
    </row>
    <row r="51" spans="2:57" ht="15" customHeight="1">
      <c r="B51" s="584"/>
      <c r="C51" s="349">
        <v>11.9</v>
      </c>
      <c r="D51" s="570">
        <v>11.64</v>
      </c>
      <c r="E51" s="571"/>
      <c r="F51" s="294"/>
      <c r="G51" s="42"/>
      <c r="H51" s="41"/>
      <c r="I51" s="41"/>
      <c r="J51" s="288" t="s">
        <v>40</v>
      </c>
      <c r="K51" s="324"/>
      <c r="L51" s="294"/>
      <c r="M51" s="294"/>
      <c r="N51" s="294"/>
      <c r="O51" s="294"/>
      <c r="P51" s="12"/>
    </row>
    <row r="52" spans="2:57" ht="15" customHeight="1">
      <c r="B52" s="584"/>
      <c r="C52" s="349">
        <v>11.9</v>
      </c>
      <c r="D52" s="516"/>
      <c r="E52" s="517"/>
      <c r="F52" s="294"/>
      <c r="G52" s="42"/>
      <c r="H52" s="41"/>
      <c r="I52" s="41"/>
      <c r="J52" s="289" t="s">
        <v>33</v>
      </c>
      <c r="K52" s="324"/>
      <c r="L52" s="294"/>
      <c r="M52" s="294"/>
      <c r="N52" s="294"/>
      <c r="O52" s="294"/>
      <c r="P52" s="12"/>
    </row>
    <row r="53" spans="2:57" ht="15">
      <c r="B53" s="584"/>
      <c r="C53" s="349">
        <v>12</v>
      </c>
      <c r="D53" s="570">
        <v>11.26</v>
      </c>
      <c r="E53" s="571"/>
      <c r="F53" s="294"/>
      <c r="G53" s="42"/>
      <c r="H53" s="41"/>
      <c r="I53" s="41"/>
      <c r="J53" s="290" t="s">
        <v>16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84"/>
      <c r="C54" s="349">
        <v>11.9</v>
      </c>
      <c r="D54" s="516"/>
      <c r="E54" s="517"/>
      <c r="F54" s="294"/>
      <c r="G54" s="42"/>
      <c r="H54" s="41"/>
      <c r="I54" s="41"/>
      <c r="J54" s="291" t="s">
        <v>15</v>
      </c>
      <c r="K54" s="324"/>
      <c r="L54" s="294"/>
      <c r="M54" s="294"/>
      <c r="N54" s="294"/>
      <c r="O54" s="294"/>
      <c r="P54" s="12"/>
      <c r="BC54" s="44"/>
      <c r="BD54" s="44"/>
    </row>
    <row r="55" spans="2:57" ht="15">
      <c r="B55" s="584"/>
      <c r="C55" s="349">
        <v>11.8</v>
      </c>
      <c r="D55" s="570"/>
      <c r="E55" s="571"/>
      <c r="F55" s="294"/>
      <c r="G55" s="42"/>
      <c r="H55" s="41"/>
      <c r="I55" s="41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7" ht="15.75" thickBot="1">
      <c r="B56" s="585"/>
      <c r="C56" s="350"/>
      <c r="D56" s="572"/>
      <c r="E56" s="573"/>
      <c r="F56" s="294"/>
      <c r="G56" s="42"/>
      <c r="H56" s="41"/>
      <c r="I56" s="41"/>
      <c r="J56" s="291" t="s">
        <v>148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 thickBot="1">
      <c r="B57" s="312" t="s">
        <v>139</v>
      </c>
      <c r="C57" s="313"/>
      <c r="D57" s="574">
        <f>AVERAGE(D35:E56)</f>
        <v>14.154444444444444</v>
      </c>
      <c r="E57" s="575"/>
      <c r="F57" s="294"/>
      <c r="H57" s="41"/>
      <c r="I57" s="41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7" ht="17.649999999999999" customHeight="1">
      <c r="B58" s="363"/>
      <c r="C58" s="364"/>
      <c r="D58" s="365"/>
      <c r="E58" s="365"/>
      <c r="F58" s="294"/>
      <c r="G58" s="42"/>
      <c r="H58" s="41"/>
      <c r="I58" s="41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7" ht="15.6" customHeight="1">
      <c r="B59" s="45"/>
      <c r="C59" s="11"/>
      <c r="D59" s="11"/>
      <c r="E59" s="46"/>
      <c r="F59" s="294"/>
      <c r="G59" s="42"/>
      <c r="H59" s="41"/>
      <c r="I59" s="41"/>
      <c r="J59" s="346" t="s">
        <v>130</v>
      </c>
      <c r="K59" s="324">
        <f>SUM(K49:K58)</f>
        <v>5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1"/>
      <c r="L60" s="294"/>
      <c r="N60" s="315"/>
      <c r="P60" s="334"/>
    </row>
    <row r="61" spans="2:57" ht="15" customHeight="1" thickBot="1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1"/>
      <c r="O61" s="48"/>
      <c r="P61" s="49"/>
    </row>
    <row r="62" spans="2:57" ht="15" customHeight="1" thickBot="1">
      <c r="B62" s="495" t="s">
        <v>17</v>
      </c>
      <c r="C62" s="495" t="s">
        <v>44</v>
      </c>
      <c r="D62" s="507" t="s">
        <v>45</v>
      </c>
      <c r="E62" s="509" t="s">
        <v>46</v>
      </c>
      <c r="F62" s="503" t="s">
        <v>47</v>
      </c>
      <c r="G62" s="493" t="s">
        <v>48</v>
      </c>
      <c r="H62" s="495" t="s">
        <v>49</v>
      </c>
      <c r="I62" s="495" t="s">
        <v>50</v>
      </c>
      <c r="J62" s="487" t="s">
        <v>28</v>
      </c>
      <c r="K62" s="499" t="s">
        <v>51</v>
      </c>
      <c r="L62" s="501" t="s">
        <v>52</v>
      </c>
      <c r="M62" s="487" t="s">
        <v>53</v>
      </c>
      <c r="N62" s="13"/>
      <c r="O62" s="13"/>
      <c r="P62" s="50"/>
    </row>
    <row r="63" spans="2:57" ht="28.5" customHeight="1" thickTop="1" thickBot="1">
      <c r="B63" s="496"/>
      <c r="C63" s="496"/>
      <c r="D63" s="508"/>
      <c r="E63" s="510"/>
      <c r="F63" s="504"/>
      <c r="G63" s="494"/>
      <c r="H63" s="496"/>
      <c r="I63" s="496"/>
      <c r="J63" s="488"/>
      <c r="K63" s="500"/>
      <c r="L63" s="502"/>
      <c r="M63" s="488"/>
      <c r="N63" s="13"/>
      <c r="O63" s="13"/>
      <c r="P63" s="50"/>
      <c r="Q63" s="355"/>
      <c r="AB63" s="51">
        <v>43474</v>
      </c>
      <c r="AC63" s="51">
        <v>43475</v>
      </c>
      <c r="AD63" s="51">
        <v>43476</v>
      </c>
      <c r="AE63" s="51">
        <v>43477</v>
      </c>
      <c r="AF63" s="51">
        <v>43478</v>
      </c>
      <c r="AG63" s="51">
        <v>43479</v>
      </c>
      <c r="AH63" s="51">
        <v>43480</v>
      </c>
      <c r="AI63" s="51">
        <v>43481</v>
      </c>
      <c r="AJ63" s="51">
        <v>43482</v>
      </c>
      <c r="AK63" s="51">
        <v>43483</v>
      </c>
      <c r="AL63" s="51">
        <v>43484</v>
      </c>
      <c r="AM63" s="51">
        <v>43485</v>
      </c>
      <c r="AN63" s="51">
        <v>43486</v>
      </c>
      <c r="AO63" s="51">
        <v>43487</v>
      </c>
      <c r="AP63" s="51">
        <v>43488</v>
      </c>
      <c r="AQ63" s="51">
        <v>43489</v>
      </c>
      <c r="AR63" s="51">
        <v>43490</v>
      </c>
      <c r="AS63" s="51">
        <v>43491</v>
      </c>
      <c r="AT63" s="51">
        <v>43492</v>
      </c>
      <c r="AU63" s="51">
        <v>43493</v>
      </c>
      <c r="AV63" s="51">
        <v>43494</v>
      </c>
      <c r="AW63" s="51">
        <v>43495</v>
      </c>
      <c r="AX63" s="51">
        <v>43496</v>
      </c>
    </row>
    <row r="64" spans="2:57" s="54" customFormat="1" ht="59.45" customHeight="1" thickBot="1">
      <c r="B64" s="482" t="str">
        <f>J52</f>
        <v>VITAMALT</v>
      </c>
      <c r="C64" s="445">
        <v>45889</v>
      </c>
      <c r="D64" s="446">
        <f>[38]August_2025!$W$65</f>
        <v>480.90000000000003</v>
      </c>
      <c r="E64" s="447">
        <f>SUM([26]Process!$O$68:$O$76)</f>
        <v>20.5</v>
      </c>
      <c r="F64" s="448"/>
      <c r="G64" s="449">
        <f>[38]August_2025!$W$70</f>
        <v>485.5</v>
      </c>
      <c r="H64" s="450"/>
      <c r="I64" s="451"/>
      <c r="J64" s="452" t="s">
        <v>150</v>
      </c>
      <c r="K64" s="453">
        <f>[39]August_2025!$W$60</f>
        <v>1.7035087719298245</v>
      </c>
      <c r="L64" s="464">
        <f>(((D64+E64)-G64)/(D64+E64))*100</f>
        <v>3.171120861587561</v>
      </c>
      <c r="M64" s="465" t="s">
        <v>170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[20]January_2019!L7</f>
        <v>285.8</v>
      </c>
      <c r="AC64" s="57">
        <f>[20]January_2019!M7</f>
        <v>508.1</v>
      </c>
      <c r="AD64" s="57">
        <f>[20]January_2019!N7</f>
        <v>0</v>
      </c>
      <c r="AE64" s="57">
        <f>[20]January_2019!O7</f>
        <v>0</v>
      </c>
      <c r="AF64" s="57">
        <f>[20]January_2019!P7</f>
        <v>109.56666666666666</v>
      </c>
      <c r="AG64" s="57">
        <f>[20]January_2019!Q7</f>
        <v>297.64999999999998</v>
      </c>
      <c r="AH64" s="57">
        <f>[20]January_2019!R7</f>
        <v>122.3</v>
      </c>
      <c r="AI64" s="57">
        <f>[20]January_2019!S7</f>
        <v>0</v>
      </c>
      <c r="AJ64" s="57">
        <f>[20]January_2019!T7</f>
        <v>294.7</v>
      </c>
      <c r="AK64" s="57">
        <f>[20]January_2019!U7</f>
        <v>280.5</v>
      </c>
      <c r="AL64" s="57">
        <f>[20]January_2019!V7</f>
        <v>0</v>
      </c>
      <c r="AM64" s="57">
        <f>[20]January_2019!W7</f>
        <v>0</v>
      </c>
      <c r="AN64" s="57">
        <f>[20]January_2019!X7</f>
        <v>188.25</v>
      </c>
      <c r="AO64" s="57">
        <f>[20]January_2019!Y7</f>
        <v>295.7</v>
      </c>
      <c r="AP64" s="57">
        <f>[20]January_2019!Z7</f>
        <v>257.8</v>
      </c>
      <c r="AQ64" s="57">
        <f>[20]January_2019!AA7</f>
        <v>291.2</v>
      </c>
      <c r="AR64" s="57">
        <f>[20]January_2019!AB7</f>
        <v>187</v>
      </c>
      <c r="AS64" s="57">
        <f>[20]January_2019!AC7</f>
        <v>0</v>
      </c>
      <c r="AT64" s="57">
        <f>[20]January_2019!AD7</f>
        <v>0</v>
      </c>
      <c r="AU64" s="57">
        <f>[20]January_2019!AE7</f>
        <v>485.1</v>
      </c>
      <c r="AV64" s="57">
        <f>[20]January_2019!AF7</f>
        <v>171.55</v>
      </c>
      <c r="AW64" s="57">
        <f>[20]January_2019!AG7</f>
        <v>423.8</v>
      </c>
      <c r="AX64" s="277">
        <f>[20]January_2019!AH7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20.45" customHeight="1" thickBot="1">
      <c r="B65" s="469"/>
      <c r="C65" s="434"/>
      <c r="D65" s="435"/>
      <c r="E65" s="436"/>
      <c r="F65" s="437"/>
      <c r="G65" s="438"/>
      <c r="H65" s="439"/>
      <c r="I65" s="454"/>
      <c r="J65" s="455"/>
      <c r="K65" s="440"/>
      <c r="L65" s="456"/>
      <c r="M65" s="42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59.45" customHeight="1" thickBot="1">
      <c r="B66" s="475" t="str">
        <f>J49</f>
        <v>CARIB</v>
      </c>
      <c r="C66" s="445">
        <v>45889</v>
      </c>
      <c r="D66" s="446">
        <f>[38]August_2025!$W$3</f>
        <v>449.20000000000005</v>
      </c>
      <c r="E66" s="447"/>
      <c r="F66" s="448"/>
      <c r="G66" s="449">
        <f>[38]August_2025!$W$7</f>
        <v>423.70000000000005</v>
      </c>
      <c r="H66" s="450"/>
      <c r="I66" s="451"/>
      <c r="J66" s="452" t="s">
        <v>195</v>
      </c>
      <c r="K66" s="453">
        <f>[39]August_2025!$W$18</f>
        <v>0.7433333333333334</v>
      </c>
      <c r="L66" s="466">
        <f>(((D66+E66)-G66)/(D66+E66))*100</f>
        <v>5.6767586821015135</v>
      </c>
      <c r="M66" s="465" t="s">
        <v>184</v>
      </c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.75" hidden="1" thickBot="1">
      <c r="B67" s="458"/>
      <c r="C67" s="434"/>
      <c r="D67" s="435"/>
      <c r="E67" s="436"/>
      <c r="F67" s="437"/>
      <c r="G67" s="438"/>
      <c r="H67" s="439"/>
      <c r="I67" s="454"/>
      <c r="J67" s="455"/>
      <c r="K67" s="440"/>
      <c r="L67" s="456"/>
      <c r="M67" s="42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6.6" hidden="1" customHeight="1" thickBot="1">
      <c r="B68" s="387"/>
      <c r="C68" s="445">
        <v>45873</v>
      </c>
      <c r="D68" s="446"/>
      <c r="E68" s="447"/>
      <c r="F68" s="448"/>
      <c r="G68" s="449"/>
      <c r="H68" s="450"/>
      <c r="I68" s="451"/>
      <c r="J68" s="452" t="s">
        <v>163</v>
      </c>
      <c r="K68" s="453"/>
      <c r="L68" s="459" t="e">
        <f>(((D68+E68)-G68)/(D68+E68))*100</f>
        <v>#DIV/0!</v>
      </c>
      <c r="M68" s="46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41"/>
      <c r="C69" s="427"/>
      <c r="D69" s="428"/>
      <c r="E69" s="429"/>
      <c r="F69" s="430"/>
      <c r="G69" s="431"/>
      <c r="H69" s="432"/>
      <c r="I69" s="442"/>
      <c r="J69" s="443"/>
      <c r="K69" s="433"/>
      <c r="L69" s="444"/>
      <c r="M69" s="426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5"/>
      <c r="AC69" s="415"/>
      <c r="AD69" s="415"/>
      <c r="AE69" s="415"/>
      <c r="AF69" s="415"/>
      <c r="AG69" s="415"/>
      <c r="AH69" s="415"/>
      <c r="AI69" s="415"/>
      <c r="AJ69" s="415"/>
      <c r="AK69" s="415"/>
      <c r="AL69" s="415"/>
      <c r="AM69" s="415"/>
      <c r="AN69" s="415"/>
      <c r="AO69" s="415"/>
      <c r="AP69" s="415"/>
      <c r="AQ69" s="415"/>
      <c r="AR69" s="415"/>
      <c r="AS69" s="415"/>
      <c r="AT69" s="415"/>
      <c r="AU69" s="415"/>
      <c r="AV69" s="415"/>
      <c r="AW69" s="415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489" t="s">
        <v>55</v>
      </c>
      <c r="C71" s="490"/>
      <c r="D71" s="490"/>
      <c r="E71" s="490"/>
      <c r="F71" s="491"/>
      <c r="G71" s="489" t="s">
        <v>56</v>
      </c>
      <c r="H71" s="490"/>
      <c r="I71" s="490"/>
      <c r="J71" s="491"/>
      <c r="K71" s="489" t="s">
        <v>51</v>
      </c>
      <c r="L71" s="490"/>
      <c r="M71" s="490"/>
      <c r="N71" s="492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65">
        <f>L66</f>
        <v>5.6767586821015135</v>
      </c>
      <c r="D73" s="76">
        <v>6.2380737605384651</v>
      </c>
      <c r="E73" s="76">
        <v>6.3400930926143086</v>
      </c>
      <c r="F73" s="66">
        <v>4.8</v>
      </c>
      <c r="G73" s="65">
        <f>[38]August_2025!$W$11</f>
        <v>9.9641787420059664</v>
      </c>
      <c r="H73" s="76">
        <v>8.3070950167414424</v>
      </c>
      <c r="I73" s="76">
        <v>6.4328376136710901</v>
      </c>
      <c r="J73" s="66">
        <v>4.8</v>
      </c>
      <c r="K73" s="67">
        <f>K66</f>
        <v>0.7433333333333334</v>
      </c>
      <c r="L73" s="194">
        <v>1.0154093567251461</v>
      </c>
      <c r="M73" s="194">
        <v>0.75997165269975753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5.9872944919306859</v>
      </c>
      <c r="E74" s="76">
        <v>5.9448513978541291</v>
      </c>
      <c r="F74" s="66">
        <v>4.8</v>
      </c>
      <c r="G74" s="65"/>
      <c r="H74" s="76">
        <v>6.2297427957809166</v>
      </c>
      <c r="I74" s="76">
        <v>5.5723746878474767</v>
      </c>
      <c r="J74" s="66">
        <v>4.8</v>
      </c>
      <c r="K74" s="67"/>
      <c r="L74" s="194">
        <v>0.45044834307992204</v>
      </c>
      <c r="M74" s="194">
        <v>0.73721374514882176</v>
      </c>
      <c r="N74" s="68">
        <v>1</v>
      </c>
      <c r="P74" s="69"/>
    </row>
    <row r="75" spans="2:57" ht="15">
      <c r="B75" s="34" t="s">
        <v>40</v>
      </c>
      <c r="C75" s="65"/>
      <c r="D75" s="76">
        <v>8.0382775119617147</v>
      </c>
      <c r="E75" s="76">
        <v>11.429743886837057</v>
      </c>
      <c r="F75" s="66">
        <v>5.5</v>
      </c>
      <c r="G75" s="65"/>
      <c r="H75" s="76">
        <v>10.370027728825649</v>
      </c>
      <c r="I75" s="76">
        <v>13.047305235287777</v>
      </c>
      <c r="J75" s="66">
        <v>5.5</v>
      </c>
      <c r="K75" s="67"/>
      <c r="L75" s="194">
        <v>0.67438596491228076</v>
      </c>
      <c r="M75" s="194">
        <v>0.55172216056233814</v>
      </c>
      <c r="N75" s="68">
        <v>1</v>
      </c>
      <c r="P75" s="69"/>
    </row>
    <row r="76" spans="2:57" ht="15">
      <c r="B76" s="22" t="s">
        <v>33</v>
      </c>
      <c r="C76" s="65">
        <f>L64</f>
        <v>3.171120861587561</v>
      </c>
      <c r="D76" s="76">
        <v>3.992015968063888</v>
      </c>
      <c r="E76" s="76">
        <v>4.8818566667667298</v>
      </c>
      <c r="F76" s="66">
        <v>3.3</v>
      </c>
      <c r="G76" s="65">
        <f>[38]August_2025!$W$74</f>
        <v>3.6799979349724179</v>
      </c>
      <c r="H76" s="76">
        <v>4.3345910844408779</v>
      </c>
      <c r="I76" s="76">
        <v>4.7612385632312364</v>
      </c>
      <c r="J76" s="66">
        <v>3.3</v>
      </c>
      <c r="K76" s="67">
        <f>K64</f>
        <v>1.7035087719298245</v>
      </c>
      <c r="L76" s="194">
        <v>1.016578947368421</v>
      </c>
      <c r="M76" s="194">
        <v>0.82603070175438598</v>
      </c>
      <c r="N76" s="68">
        <v>1</v>
      </c>
      <c r="P76" s="69"/>
    </row>
    <row r="77" spans="2:57" ht="15">
      <c r="B77" s="35" t="s">
        <v>165</v>
      </c>
      <c r="C77" s="65"/>
      <c r="D77" s="76"/>
      <c r="E77" s="76">
        <v>7.837301587301579</v>
      </c>
      <c r="F77" s="66">
        <v>3.3</v>
      </c>
      <c r="G77" s="282"/>
      <c r="H77" s="76"/>
      <c r="I77" s="76">
        <v>5.3377569154690221</v>
      </c>
      <c r="J77" s="66">
        <v>3</v>
      </c>
      <c r="K77" s="67"/>
      <c r="L77" s="194"/>
      <c r="M77" s="194">
        <v>0.32596491228070179</v>
      </c>
      <c r="N77" s="68">
        <v>1</v>
      </c>
      <c r="P77" s="69"/>
    </row>
    <row r="78" spans="2:57" ht="15">
      <c r="B78" s="36" t="s">
        <v>15</v>
      </c>
      <c r="C78" s="65"/>
      <c r="D78" s="76">
        <v>5.2552552552552552</v>
      </c>
      <c r="E78" s="76">
        <v>6.9158697961943529</v>
      </c>
      <c r="F78" s="70">
        <f>[21]May_2022!$M$43</f>
        <v>3.4878406700073312</v>
      </c>
      <c r="G78" s="282"/>
      <c r="H78" s="76">
        <v>6.7916330640214131</v>
      </c>
      <c r="I78" s="76">
        <v>8.5598888260252064</v>
      </c>
      <c r="J78" s="66">
        <v>5.5</v>
      </c>
      <c r="K78" s="67"/>
      <c r="L78" s="194">
        <v>0.66421052631578947</v>
      </c>
      <c r="M78" s="194">
        <v>0.60705263157894729</v>
      </c>
      <c r="N78" s="68">
        <v>1</v>
      </c>
      <c r="P78" s="69"/>
    </row>
    <row r="79" spans="2:57" ht="15">
      <c r="B79" s="37" t="s">
        <v>16</v>
      </c>
      <c r="C79" s="65"/>
      <c r="D79" s="76">
        <v>4.1414141414141357</v>
      </c>
      <c r="E79" s="76">
        <v>3.0301127264734369</v>
      </c>
      <c r="F79" s="66">
        <v>3.3</v>
      </c>
      <c r="G79" s="282"/>
      <c r="H79" s="76">
        <v>7.0415942868172152</v>
      </c>
      <c r="I79" s="76">
        <v>4.4974189022907662</v>
      </c>
      <c r="J79" s="66">
        <v>3.3</v>
      </c>
      <c r="K79" s="67"/>
      <c r="L79" s="194">
        <v>0.33298245614035088</v>
      </c>
      <c r="M79" s="194">
        <v>0.80374720357941831</v>
      </c>
      <c r="N79" s="71">
        <v>1</v>
      </c>
      <c r="P79" s="69"/>
    </row>
    <row r="80" spans="2:57" ht="15.75" thickBot="1">
      <c r="B80" s="38" t="s">
        <v>164</v>
      </c>
      <c r="C80" s="65"/>
      <c r="D80" s="76"/>
      <c r="E80" s="76">
        <v>11.483253588516746</v>
      </c>
      <c r="F80" s="66">
        <v>7.5</v>
      </c>
      <c r="G80" s="282"/>
      <c r="H80" s="76"/>
      <c r="I80" s="76">
        <v>9.7934336121043764</v>
      </c>
      <c r="J80" s="66">
        <v>7.5</v>
      </c>
      <c r="K80" s="67"/>
      <c r="M80" s="194">
        <v>0.32456140350877194</v>
      </c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>
        <v>7.2653644592663174</v>
      </c>
      <c r="F81" s="66">
        <v>4.8</v>
      </c>
      <c r="G81" s="282"/>
      <c r="H81" s="76"/>
      <c r="I81" s="76">
        <v>8.1715311054411259</v>
      </c>
      <c r="J81" s="66">
        <v>4.8</v>
      </c>
      <c r="K81" s="67"/>
      <c r="L81" s="194"/>
      <c r="M81" s="194">
        <v>0.51368421052631585</v>
      </c>
      <c r="N81" s="71">
        <v>1</v>
      </c>
      <c r="O81" s="74"/>
      <c r="P81" s="75"/>
    </row>
    <row r="82" spans="2:16" ht="15">
      <c r="D82" s="76">
        <v>5.9592691031155374</v>
      </c>
      <c r="E82" s="76">
        <v>6.3602846109301501</v>
      </c>
      <c r="F82" s="341">
        <v>5.5</v>
      </c>
      <c r="H82" s="76">
        <v>7.4238281957579382</v>
      </c>
      <c r="I82" s="76">
        <v>6.6785591837502354</v>
      </c>
      <c r="J82" s="341">
        <v>5.5</v>
      </c>
      <c r="L82" s="194">
        <v>0.79632414369256477</v>
      </c>
      <c r="M82" s="194">
        <v>0.72845469441829669</v>
      </c>
      <c r="N82" s="386">
        <v>1</v>
      </c>
    </row>
    <row r="86" spans="2:16">
      <c r="F86" s="315"/>
    </row>
    <row r="87" spans="2:16" ht="15">
      <c r="F87" s="341"/>
    </row>
  </sheetData>
  <mergeCells count="51">
    <mergeCell ref="M62:M63"/>
    <mergeCell ref="B71:F71"/>
    <mergeCell ref="G71:J71"/>
    <mergeCell ref="K71:N71"/>
    <mergeCell ref="G62:G63"/>
    <mergeCell ref="H62:H63"/>
    <mergeCell ref="I62:I63"/>
    <mergeCell ref="J62:J63"/>
    <mergeCell ref="K62:K63"/>
    <mergeCell ref="L62:L63"/>
    <mergeCell ref="F62:F63"/>
    <mergeCell ref="D57:E57"/>
    <mergeCell ref="B62:B63"/>
    <mergeCell ref="C62:C63"/>
    <mergeCell ref="D62:D63"/>
    <mergeCell ref="E62:E63"/>
    <mergeCell ref="B47:B56"/>
    <mergeCell ref="D47:E48"/>
    <mergeCell ref="J47:K47"/>
    <mergeCell ref="L48:N48"/>
    <mergeCell ref="D49:E50"/>
    <mergeCell ref="D51:E52"/>
    <mergeCell ref="D53:E54"/>
    <mergeCell ref="D55:E56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7:B58">
    <cfRule type="cellIs" dxfId="1299" priority="129" operator="notBetween">
      <formula>#REF!</formula>
      <formula>#REF!</formula>
    </cfRule>
  </conditionalFormatting>
  <conditionalFormatting sqref="C61">
    <cfRule type="cellIs" dxfId="1298" priority="160" stopIfTrue="1" operator="lessThan">
      <formula>96</formula>
    </cfRule>
    <cfRule type="cellIs" dxfId="1297" priority="161" stopIfTrue="1" operator="greaterThan">
      <formula>100</formula>
    </cfRule>
  </conditionalFormatting>
  <conditionalFormatting sqref="C73:C77">
    <cfRule type="cellIs" dxfId="1296" priority="110" stopIfTrue="1" operator="lessThanOrEqual">
      <formula>0</formula>
    </cfRule>
  </conditionalFormatting>
  <conditionalFormatting sqref="C73:C81">
    <cfRule type="cellIs" dxfId="1295" priority="109" stopIfTrue="1" operator="greaterThan">
      <formula>$F73</formula>
    </cfRule>
  </conditionalFormatting>
  <conditionalFormatting sqref="C74">
    <cfRule type="cellIs" dxfId="1294" priority="164" stopIfTrue="1" operator="greaterThan">
      <formula>$F73</formula>
    </cfRule>
  </conditionalFormatting>
  <conditionalFormatting sqref="C78">
    <cfRule type="cellIs" dxfId="1293" priority="29" stopIfTrue="1" operator="greaterThan">
      <formula>$F77</formula>
    </cfRule>
    <cfRule type="cellIs" dxfId="1292" priority="28" stopIfTrue="1" operator="lessThanOrEqual">
      <formula>0</formula>
    </cfRule>
  </conditionalFormatting>
  <conditionalFormatting sqref="C84:C88">
    <cfRule type="cellIs" dxfId="1291" priority="152" stopIfTrue="1" operator="lessThanOrEqual">
      <formula>0</formula>
    </cfRule>
  </conditionalFormatting>
  <conditionalFormatting sqref="C85:C88">
    <cfRule type="cellIs" dxfId="1290" priority="151" stopIfTrue="1" operator="greaterThan">
      <formula>$F$84</formula>
    </cfRule>
  </conditionalFormatting>
  <conditionalFormatting sqref="C90">
    <cfRule type="cellIs" dxfId="1289" priority="153" stopIfTrue="1" operator="greaterThan">
      <formula>$F$84</formula>
    </cfRule>
    <cfRule type="cellIs" dxfId="1288" priority="154" stopIfTrue="1" operator="lessThanOrEqual">
      <formula>0</formula>
    </cfRule>
  </conditionalFormatting>
  <conditionalFormatting sqref="C84:D84 D86:D92">
    <cfRule type="cellIs" dxfId="1287" priority="146" stopIfTrue="1" operator="greaterThan">
      <formula>4.5</formula>
    </cfRule>
  </conditionalFormatting>
  <conditionalFormatting sqref="D57:D58">
    <cfRule type="cellIs" dxfId="1286" priority="130" operator="notBetween">
      <formula>#REF!</formula>
      <formula>#REF!</formula>
    </cfRule>
  </conditionalFormatting>
  <conditionalFormatting sqref="D73:D80">
    <cfRule type="cellIs" dxfId="1285" priority="124" stopIfTrue="1" operator="lessThanOrEqual">
      <formula>0</formula>
    </cfRule>
  </conditionalFormatting>
  <conditionalFormatting sqref="D81">
    <cfRule type="cellIs" dxfId="1284" priority="123" stopIfTrue="1" operator="lessThanOrEqual">
      <formula>0</formula>
    </cfRule>
  </conditionalFormatting>
  <conditionalFormatting sqref="D84 D86:D92">
    <cfRule type="cellIs" dxfId="1283" priority="147" stopIfTrue="1" operator="lessThanOrEqual">
      <formula>0</formula>
    </cfRule>
  </conditionalFormatting>
  <conditionalFormatting sqref="D85">
    <cfRule type="cellIs" dxfId="1282" priority="138" stopIfTrue="1" operator="greaterThan">
      <formula>$F$84</formula>
    </cfRule>
    <cfRule type="cellIs" dxfId="1281" priority="139" stopIfTrue="1" operator="lessThanOrEqual">
      <formula>0</formula>
    </cfRule>
  </conditionalFormatting>
  <conditionalFormatting sqref="D73:E82">
    <cfRule type="cellIs" dxfId="1280" priority="106" stopIfTrue="1" operator="greaterThan">
      <formula>$F73</formula>
    </cfRule>
  </conditionalFormatting>
  <conditionalFormatting sqref="D82:E82">
    <cfRule type="cellIs" dxfId="1279" priority="107" stopIfTrue="1" operator="lessThanOrEqual">
      <formula>0</formula>
    </cfRule>
  </conditionalFormatting>
  <conditionalFormatting sqref="E11:E32">
    <cfRule type="cellIs" dxfId="1278" priority="12" operator="lessThan">
      <formula>48</formula>
    </cfRule>
  </conditionalFormatting>
  <conditionalFormatting sqref="E60 E61:F61">
    <cfRule type="cellIs" dxfId="1277" priority="143" stopIfTrue="1" operator="greaterThan">
      <formula>100</formula>
    </cfRule>
  </conditionalFormatting>
  <conditionalFormatting sqref="E61">
    <cfRule type="cellIs" dxfId="1276" priority="141" stopIfTrue="1" operator="greaterThan">
      <formula>100</formula>
    </cfRule>
    <cfRule type="cellIs" dxfId="1275" priority="140" stopIfTrue="1" operator="lessThan">
      <formula>96.8</formula>
    </cfRule>
  </conditionalFormatting>
  <conditionalFormatting sqref="E73:E81">
    <cfRule type="cellIs" dxfId="1274" priority="118" stopIfTrue="1" operator="lessThanOrEqual">
      <formula>0</formula>
    </cfRule>
  </conditionalFormatting>
  <conditionalFormatting sqref="E84:E92">
    <cfRule type="cellIs" dxfId="1273" priority="132" stopIfTrue="1" operator="greaterThan">
      <formula>4.5</formula>
    </cfRule>
    <cfRule type="cellIs" dxfId="1272" priority="133" stopIfTrue="1" operator="lessThanOrEqual">
      <formula>0</formula>
    </cfRule>
  </conditionalFormatting>
  <conditionalFormatting sqref="E61:F61 E60">
    <cfRule type="cellIs" dxfId="1271" priority="142" stopIfTrue="1" operator="lessThan">
      <formula>96.5</formula>
    </cfRule>
  </conditionalFormatting>
  <conditionalFormatting sqref="F11:F32">
    <cfRule type="cellIs" dxfId="1270" priority="13" operator="greaterThan">
      <formula>60</formula>
    </cfRule>
  </conditionalFormatting>
  <conditionalFormatting sqref="F61">
    <cfRule type="cellIs" dxfId="1269" priority="159" stopIfTrue="1" operator="greaterThan">
      <formula>100</formula>
    </cfRule>
    <cfRule type="cellIs" dxfId="1268" priority="158" stopIfTrue="1" operator="lessThan">
      <formula>96.8</formula>
    </cfRule>
  </conditionalFormatting>
  <conditionalFormatting sqref="F82">
    <cfRule type="cellIs" dxfId="1267" priority="120" stopIfTrue="1" operator="lessThanOrEqual">
      <formula>0</formula>
    </cfRule>
    <cfRule type="cellIs" dxfId="1266" priority="119" stopIfTrue="1" operator="greaterThan">
      <formula>$F82</formula>
    </cfRule>
  </conditionalFormatting>
  <conditionalFormatting sqref="F87">
    <cfRule type="cellIs" dxfId="1265" priority="77" stopIfTrue="1" operator="lessThanOrEqual">
      <formula>0</formula>
    </cfRule>
    <cfRule type="cellIs" dxfId="1264" priority="76" stopIfTrue="1" operator="greaterThan">
      <formula>$F87</formula>
    </cfRule>
  </conditionalFormatting>
  <conditionalFormatting sqref="G11:G27">
    <cfRule type="expression" dxfId="1263" priority="3">
      <formula>IF(+(IF(G11&lt;S11,0,IF(G11&gt;T11,0,1)))=0,1)</formula>
    </cfRule>
  </conditionalFormatting>
  <conditionalFormatting sqref="G73:G74 C79:C81">
    <cfRule type="cellIs" dxfId="1262" priority="126" stopIfTrue="1" operator="lessThanOrEqual">
      <formula>0</formula>
    </cfRule>
  </conditionalFormatting>
  <conditionalFormatting sqref="G73:G74">
    <cfRule type="cellIs" dxfId="1261" priority="111" stopIfTrue="1" operator="greaterThan">
      <formula>$F73</formula>
    </cfRule>
    <cfRule type="cellIs" dxfId="1260" priority="125" stopIfTrue="1" operator="greaterThan">
      <formula>$F73</formula>
    </cfRule>
    <cfRule type="cellIs" dxfId="1259" priority="112" stopIfTrue="1" operator="lessThanOrEqual">
      <formula>0</formula>
    </cfRule>
  </conditionalFormatting>
  <conditionalFormatting sqref="G75">
    <cfRule type="cellIs" dxfId="1258" priority="163" stopIfTrue="1" operator="lessThanOrEqual">
      <formula>0</formula>
    </cfRule>
    <cfRule type="cellIs" dxfId="1257" priority="162" stopIfTrue="1" operator="greaterThan">
      <formula>$F74</formula>
    </cfRule>
  </conditionalFormatting>
  <conditionalFormatting sqref="G76">
    <cfRule type="cellIs" dxfId="1256" priority="122" stopIfTrue="1" operator="lessThanOrEqual">
      <formula>0</formula>
    </cfRule>
    <cfRule type="cellIs" dxfId="1255" priority="121" stopIfTrue="1" operator="greaterThan">
      <formula>$F76</formula>
    </cfRule>
  </conditionalFormatting>
  <conditionalFormatting sqref="G77:G81">
    <cfRule type="cellIs" dxfId="1254" priority="128" stopIfTrue="1" operator="lessThanOrEqual">
      <formula>0</formula>
    </cfRule>
    <cfRule type="cellIs" dxfId="1253" priority="127" stopIfTrue="1" operator="greaterThan">
      <formula>$J77</formula>
    </cfRule>
  </conditionalFormatting>
  <conditionalFormatting sqref="G86:G91 C89 C91">
    <cfRule type="cellIs" dxfId="1252" priority="155" stopIfTrue="1" operator="greaterThan">
      <formula>4.5</formula>
    </cfRule>
    <cfRule type="cellIs" dxfId="1251" priority="156" stopIfTrue="1" operator="lessThanOrEqual">
      <formula>0</formula>
    </cfRule>
  </conditionalFormatting>
  <conditionalFormatting sqref="G85:H85">
    <cfRule type="cellIs" dxfId="1250" priority="137" stopIfTrue="1" operator="lessThanOrEqual">
      <formula>0</formula>
    </cfRule>
    <cfRule type="cellIs" dxfId="1249" priority="136" stopIfTrue="1" operator="greaterThan">
      <formula>$F$84</formula>
    </cfRule>
  </conditionalFormatting>
  <conditionalFormatting sqref="H11:H27 G28:H32">
    <cfRule type="expression" dxfId="1248" priority="30">
      <formula>IF(+(IF(G11&lt;#REF!,0,IF(G11&gt;#REF!,0,1)))=0,1)</formula>
    </cfRule>
  </conditionalFormatting>
  <conditionalFormatting sqref="H46:H60 I48:I60">
    <cfRule type="cellIs" dxfId="1247" priority="134" stopIfTrue="1" operator="greaterThan">
      <formula>0</formula>
    </cfRule>
  </conditionalFormatting>
  <conditionalFormatting sqref="H64">
    <cfRule type="cellIs" dxfId="1246" priority="47" stopIfTrue="1" operator="lessThanOrEqual">
      <formula>0</formula>
    </cfRule>
    <cfRule type="cellIs" dxfId="1245" priority="46" stopIfTrue="1" operator="greaterThan">
      <formula>$F$29</formula>
    </cfRule>
    <cfRule type="cellIs" dxfId="1244" priority="45" stopIfTrue="1" operator="lessThanOrEqual">
      <formula>0</formula>
    </cfRule>
    <cfRule type="cellIs" dxfId="1243" priority="35" stopIfTrue="1" operator="lessThanOrEqual">
      <formula>0</formula>
    </cfRule>
    <cfRule type="cellIs" dxfId="1242" priority="36" stopIfTrue="1" operator="greaterThan">
      <formula>#REF!</formula>
    </cfRule>
    <cfRule type="cellIs" dxfId="1241" priority="44" stopIfTrue="1" operator="greaterThan">
      <formula>$F$31</formula>
    </cfRule>
  </conditionalFormatting>
  <conditionalFormatting sqref="H65">
    <cfRule type="cellIs" dxfId="1240" priority="74" stopIfTrue="1" operator="greaterThan">
      <formula>$F$31</formula>
    </cfRule>
    <cfRule type="cellIs" dxfId="1239" priority="75" stopIfTrue="1" operator="lessThanOrEqual">
      <formula>0</formula>
    </cfRule>
    <cfRule type="cellIs" dxfId="1238" priority="72" stopIfTrue="1" operator="greaterThan">
      <formula>$F$33</formula>
    </cfRule>
    <cfRule type="cellIs" dxfId="1237" priority="73" stopIfTrue="1" operator="lessThanOrEqual">
      <formula>0</formula>
    </cfRule>
    <cfRule type="cellIs" dxfId="1236" priority="63" stopIfTrue="1" operator="lessThanOrEqual">
      <formula>0</formula>
    </cfRule>
    <cfRule type="cellIs" dxfId="1235" priority="64" stopIfTrue="1" operator="greaterThan">
      <formula>$F$30</formula>
    </cfRule>
  </conditionalFormatting>
  <conditionalFormatting sqref="H66">
    <cfRule type="cellIs" dxfId="1234" priority="15" stopIfTrue="1" operator="lessThanOrEqual">
      <formula>0</formula>
    </cfRule>
    <cfRule type="cellIs" dxfId="1233" priority="16" stopIfTrue="1" operator="greaterThan">
      <formula>#REF!</formula>
    </cfRule>
    <cfRule type="cellIs" dxfId="1232" priority="27" stopIfTrue="1" operator="lessThanOrEqual">
      <formula>0</formula>
    </cfRule>
    <cfRule type="cellIs" dxfId="1231" priority="26" stopIfTrue="1" operator="greaterThan">
      <formula>$F$29</formula>
    </cfRule>
    <cfRule type="cellIs" dxfId="1230" priority="25" stopIfTrue="1" operator="lessThanOrEqual">
      <formula>0</formula>
    </cfRule>
    <cfRule type="cellIs" dxfId="1229" priority="24" stopIfTrue="1" operator="greaterThan">
      <formula>$F$31</formula>
    </cfRule>
  </conditionalFormatting>
  <conditionalFormatting sqref="H67:H68">
    <cfRule type="cellIs" dxfId="1228" priority="50" stopIfTrue="1" operator="greaterThan">
      <formula>$F$29</formula>
    </cfRule>
    <cfRule type="cellIs" dxfId="1227" priority="49" stopIfTrue="1" operator="lessThanOrEqual">
      <formula>0</formula>
    </cfRule>
    <cfRule type="cellIs" dxfId="1226" priority="61" stopIfTrue="1" operator="lessThanOrEqual">
      <formula>0</formula>
    </cfRule>
    <cfRule type="cellIs" dxfId="1225" priority="59" stopIfTrue="1" operator="lessThanOrEqual">
      <formula>0</formula>
    </cfRule>
    <cfRule type="cellIs" dxfId="1224" priority="60" stopIfTrue="1" operator="greaterThan">
      <formula>$F$30</formula>
    </cfRule>
    <cfRule type="cellIs" dxfId="1223" priority="58" stopIfTrue="1" operator="greaterThan">
      <formula>$F$32</formula>
    </cfRule>
  </conditionalFormatting>
  <conditionalFormatting sqref="H69">
    <cfRule type="cellIs" dxfId="1222" priority="80" stopIfTrue="1" operator="lessThanOrEqual">
      <formula>0</formula>
    </cfRule>
    <cfRule type="cellIs" dxfId="1221" priority="81" stopIfTrue="1" operator="greaterThan">
      <formula>$F$45</formula>
    </cfRule>
    <cfRule type="cellIs" dxfId="1220" priority="89" stopIfTrue="1" operator="greaterThan">
      <formula>$F$48</formula>
    </cfRule>
    <cfRule type="cellIs" dxfId="1219" priority="91" stopIfTrue="1" operator="greaterThan">
      <formula>$F$46</formula>
    </cfRule>
    <cfRule type="cellIs" dxfId="1218" priority="92" stopIfTrue="1" operator="lessThanOrEqual">
      <formula>0</formula>
    </cfRule>
    <cfRule type="cellIs" dxfId="1217" priority="90" stopIfTrue="1" operator="lessThanOrEqual">
      <formula>0</formula>
    </cfRule>
  </conditionalFormatting>
  <conditionalFormatting sqref="H73:H80">
    <cfRule type="cellIs" dxfId="1216" priority="113" stopIfTrue="1" operator="greaterThan">
      <formula>$J73</formula>
    </cfRule>
    <cfRule type="cellIs" dxfId="1215" priority="114" stopIfTrue="1" operator="lessThanOrEqual">
      <formula>0</formula>
    </cfRule>
  </conditionalFormatting>
  <conditionalFormatting sqref="H81">
    <cfRule type="cellIs" dxfId="1214" priority="115" operator="greaterThan">
      <formula>5.3</formula>
    </cfRule>
  </conditionalFormatting>
  <conditionalFormatting sqref="H84 H86:H92">
    <cfRule type="cellIs" dxfId="1213" priority="148" stopIfTrue="1" operator="greaterThan">
      <formula>4.5</formula>
    </cfRule>
    <cfRule type="cellIs" dxfId="1212" priority="149" stopIfTrue="1" operator="lessThanOrEqual">
      <formula>0</formula>
    </cfRule>
  </conditionalFormatting>
  <conditionalFormatting sqref="H64:I64">
    <cfRule type="cellIs" dxfId="1211" priority="37" stopIfTrue="1" operator="lessThanOrEqual">
      <formula>0</formula>
    </cfRule>
    <cfRule type="cellIs" dxfId="1210" priority="34" stopIfTrue="1" operator="greaterThan">
      <formula>$F$30</formula>
    </cfRule>
  </conditionalFormatting>
  <conditionalFormatting sqref="H65:I65">
    <cfRule type="cellIs" dxfId="1209" priority="65" stopIfTrue="1" operator="lessThanOrEqual">
      <formula>0</formula>
    </cfRule>
    <cfRule type="cellIs" dxfId="1208" priority="62" stopIfTrue="1" operator="greaterThan">
      <formula>$F$32</formula>
    </cfRule>
  </conditionalFormatting>
  <conditionalFormatting sqref="H66:I66">
    <cfRule type="cellIs" dxfId="1207" priority="14" stopIfTrue="1" operator="greaterThan">
      <formula>$F$30</formula>
    </cfRule>
    <cfRule type="cellIs" dxfId="1206" priority="17" stopIfTrue="1" operator="lessThanOrEqual">
      <formula>0</formula>
    </cfRule>
  </conditionalFormatting>
  <conditionalFormatting sqref="H67:I68">
    <cfRule type="cellIs" dxfId="1205" priority="51" stopIfTrue="1" operator="lessThanOrEqual">
      <formula>0</formula>
    </cfRule>
    <cfRule type="cellIs" dxfId="1204" priority="48" stopIfTrue="1" operator="greaterThan">
      <formula>$F$31</formula>
    </cfRule>
  </conditionalFormatting>
  <conditionalFormatting sqref="H69:I69">
    <cfRule type="cellIs" dxfId="1203" priority="79" stopIfTrue="1" operator="greaterThan">
      <formula>$F$47</formula>
    </cfRule>
    <cfRule type="cellIs" dxfId="1202" priority="82" stopIfTrue="1" operator="lessThanOrEqual">
      <formula>0</formula>
    </cfRule>
  </conditionalFormatting>
  <conditionalFormatting sqref="H82:I82">
    <cfRule type="cellIs" dxfId="1201" priority="105" stopIfTrue="1" operator="lessThanOrEqual">
      <formula>0</formula>
    </cfRule>
    <cfRule type="cellIs" dxfId="1200" priority="104" stopIfTrue="1" operator="greaterThan">
      <formula>$J82</formula>
    </cfRule>
  </conditionalFormatting>
  <conditionalFormatting sqref="I64">
    <cfRule type="cellIs" dxfId="1199" priority="39" stopIfTrue="1" operator="lessThanOrEqual">
      <formula>0</formula>
    </cfRule>
    <cfRule type="cellIs" dxfId="1198" priority="38" stopIfTrue="1" operator="greaterThan">
      <formula>#REF!</formula>
    </cfRule>
    <cfRule type="cellIs" dxfId="1197" priority="43" stopIfTrue="1" operator="lessThanOrEqual">
      <formula>0</formula>
    </cfRule>
    <cfRule type="cellIs" dxfId="1196" priority="42" stopIfTrue="1" operator="greaterThan">
      <formula>#REF!</formula>
    </cfRule>
    <cfRule type="cellIs" dxfId="1195" priority="41" stopIfTrue="1" operator="lessThanOrEqual">
      <formula>0</formula>
    </cfRule>
    <cfRule type="cellIs" dxfId="1194" priority="40" stopIfTrue="1" operator="greaterThan">
      <formula>$F$30</formula>
    </cfRule>
  </conditionalFormatting>
  <conditionalFormatting sqref="I65">
    <cfRule type="cellIs" dxfId="1193" priority="66" stopIfTrue="1" operator="greaterThan">
      <formula>$F$30</formula>
    </cfRule>
    <cfRule type="cellIs" dxfId="1192" priority="69" stopIfTrue="1" operator="lessThanOrEqual">
      <formula>0</formula>
    </cfRule>
    <cfRule type="cellIs" dxfId="1191" priority="68" stopIfTrue="1" operator="greaterThan">
      <formula>$F$32</formula>
    </cfRule>
    <cfRule type="cellIs" dxfId="1190" priority="67" stopIfTrue="1" operator="lessThanOrEqual">
      <formula>0</formula>
    </cfRule>
    <cfRule type="cellIs" dxfId="1189" priority="71" stopIfTrue="1" operator="lessThanOrEqual">
      <formula>0</formula>
    </cfRule>
    <cfRule type="cellIs" dxfId="1188" priority="70" stopIfTrue="1" operator="greaterThan">
      <formula>$F$30</formula>
    </cfRule>
  </conditionalFormatting>
  <conditionalFormatting sqref="I66">
    <cfRule type="cellIs" dxfId="1187" priority="19" stopIfTrue="1" operator="lessThanOrEqual">
      <formula>0</formula>
    </cfRule>
    <cfRule type="cellIs" dxfId="1186" priority="18" stopIfTrue="1" operator="greaterThan">
      <formula>#REF!</formula>
    </cfRule>
    <cfRule type="cellIs" dxfId="1185" priority="23" stopIfTrue="1" operator="lessThanOrEqual">
      <formula>0</formula>
    </cfRule>
    <cfRule type="cellIs" dxfId="1184" priority="22" stopIfTrue="1" operator="greaterThan">
      <formula>#REF!</formula>
    </cfRule>
    <cfRule type="cellIs" dxfId="1183" priority="21" stopIfTrue="1" operator="lessThanOrEqual">
      <formula>0</formula>
    </cfRule>
    <cfRule type="cellIs" dxfId="1182" priority="20" stopIfTrue="1" operator="greaterThan">
      <formula>$F$30</formula>
    </cfRule>
  </conditionalFormatting>
  <conditionalFormatting sqref="I67:I68">
    <cfRule type="cellIs" dxfId="1181" priority="57" stopIfTrue="1" operator="lessThanOrEqual">
      <formula>0</formula>
    </cfRule>
    <cfRule type="cellIs" dxfId="1180" priority="56" stopIfTrue="1" operator="greaterThan">
      <formula>$F$29</formula>
    </cfRule>
    <cfRule type="cellIs" dxfId="1179" priority="55" stopIfTrue="1" operator="lessThanOrEqual">
      <formula>0</formula>
    </cfRule>
    <cfRule type="cellIs" dxfId="1178" priority="54" stopIfTrue="1" operator="greaterThan">
      <formula>$F$31</formula>
    </cfRule>
    <cfRule type="cellIs" dxfId="1177" priority="53" stopIfTrue="1" operator="lessThanOrEqual">
      <formula>0</formula>
    </cfRule>
    <cfRule type="cellIs" dxfId="1176" priority="52" stopIfTrue="1" operator="greaterThan">
      <formula>$F$29</formula>
    </cfRule>
  </conditionalFormatting>
  <conditionalFormatting sqref="I69">
    <cfRule type="cellIs" dxfId="1175" priority="84" stopIfTrue="1" operator="lessThanOrEqual">
      <formula>0</formula>
    </cfRule>
    <cfRule type="cellIs" dxfId="1174" priority="85" stopIfTrue="1" operator="greaterThan">
      <formula>$F$47</formula>
    </cfRule>
    <cfRule type="cellIs" dxfId="1173" priority="86" stopIfTrue="1" operator="lessThanOrEqual">
      <formula>0</formula>
    </cfRule>
    <cfRule type="cellIs" dxfId="1172" priority="87" stopIfTrue="1" operator="greaterThan">
      <formula>$F$45</formula>
    </cfRule>
    <cfRule type="cellIs" dxfId="1171" priority="88" stopIfTrue="1" operator="lessThanOrEqual">
      <formula>0</formula>
    </cfRule>
    <cfRule type="cellIs" dxfId="1170" priority="83" stopIfTrue="1" operator="greaterThan">
      <formula>$F$45</formula>
    </cfRule>
  </conditionalFormatting>
  <conditionalFormatting sqref="I73:I81">
    <cfRule type="cellIs" dxfId="1169" priority="117" stopIfTrue="1" operator="lessThanOrEqual">
      <formula>0</formula>
    </cfRule>
    <cfRule type="cellIs" dxfId="1168" priority="116" stopIfTrue="1" operator="greaterThan">
      <formula>$J73</formula>
    </cfRule>
  </conditionalFormatting>
  <conditionalFormatting sqref="I84:I92">
    <cfRule type="cellIs" dxfId="1167" priority="145" stopIfTrue="1" operator="lessThanOrEqual">
      <formula>0</formula>
    </cfRule>
    <cfRule type="cellIs" dxfId="1166" priority="144" stopIfTrue="1" operator="greaterThan">
      <formula>4.5</formula>
    </cfRule>
  </conditionalFormatting>
  <conditionalFormatting sqref="I10:J32">
    <cfRule type="cellIs" dxfId="1165" priority="1" operator="lessThan">
      <formula>97.9</formula>
    </cfRule>
  </conditionalFormatting>
  <conditionalFormatting sqref="J35:J37">
    <cfRule type="cellIs" dxfId="1164" priority="94" stopIfTrue="1" operator="lessThan">
      <formula>96.8</formula>
    </cfRule>
    <cfRule type="cellIs" dxfId="1163" priority="95" stopIfTrue="1" operator="greaterThan">
      <formula>100</formula>
    </cfRule>
    <cfRule type="cellIs" dxfId="1162" priority="96" operator="lessThan">
      <formula>98</formula>
    </cfRule>
  </conditionalFormatting>
  <conditionalFormatting sqref="J35:J39">
    <cfRule type="cellIs" dxfId="1161" priority="93" operator="lessThan">
      <formula>97.4</formula>
    </cfRule>
  </conditionalFormatting>
  <conditionalFormatting sqref="J40">
    <cfRule type="cellIs" dxfId="1160" priority="97" operator="lessThan">
      <formula>98</formula>
    </cfRule>
  </conditionalFormatting>
  <conditionalFormatting sqref="J42:J43">
    <cfRule type="cellIs" dxfId="1159" priority="98" stopIfTrue="1" operator="lessThan">
      <formula>96.8</formula>
    </cfRule>
    <cfRule type="cellIs" dxfId="1158" priority="99" stopIfTrue="1" operator="greaterThan">
      <formula>100</formula>
    </cfRule>
  </conditionalFormatting>
  <conditionalFormatting sqref="J42:J44">
    <cfRule type="cellIs" dxfId="1157" priority="100" operator="lessThan">
      <formula>98</formula>
    </cfRule>
  </conditionalFormatting>
  <conditionalFormatting sqref="J82">
    <cfRule type="cellIs" dxfId="1156" priority="101" stopIfTrue="1" operator="greaterThan">
      <formula>$F82</formula>
    </cfRule>
    <cfRule type="cellIs" dxfId="1155" priority="102" stopIfTrue="1" operator="lessThanOrEqual">
      <formula>0</formula>
    </cfRule>
  </conditionalFormatting>
  <conditionalFormatting sqref="K10:K32">
    <cfRule type="cellIs" dxfId="1154" priority="7" operator="greaterThan">
      <formula>6.4</formula>
    </cfRule>
    <cfRule type="cellIs" dxfId="1153" priority="6" operator="lessThan">
      <formula>4</formula>
    </cfRule>
    <cfRule type="cellIs" dxfId="1152" priority="5" operator="greaterThan">
      <formula>6</formula>
    </cfRule>
  </conditionalFormatting>
  <conditionalFormatting sqref="K64:K69 K73:N79 K80 M80:N80 K81:N81">
    <cfRule type="cellIs" dxfId="1151" priority="78" stopIfTrue="1" operator="lessThan">
      <formula>100%</formula>
    </cfRule>
  </conditionalFormatting>
  <conditionalFormatting sqref="K84:K89">
    <cfRule type="cellIs" dxfId="1150" priority="150" stopIfTrue="1" operator="lessThan">
      <formula>100%</formula>
    </cfRule>
  </conditionalFormatting>
  <conditionalFormatting sqref="K91:K92">
    <cfRule type="cellIs" dxfId="1149" priority="157" stopIfTrue="1" operator="lessThan">
      <formula>100%</formula>
    </cfRule>
  </conditionalFormatting>
  <conditionalFormatting sqref="L10:L27">
    <cfRule type="cellIs" dxfId="1148" priority="10" operator="between">
      <formula>61</formula>
      <formula>65</formula>
    </cfRule>
    <cfRule type="cellIs" dxfId="1147" priority="11" operator="greaterThan">
      <formula>65</formula>
    </cfRule>
  </conditionalFormatting>
  <conditionalFormatting sqref="L28:M28 L29:L32">
    <cfRule type="cellIs" dxfId="1146" priority="31" operator="between">
      <formula>61</formula>
      <formula>65</formula>
    </cfRule>
    <cfRule type="cellIs" dxfId="1145" priority="32" operator="greaterThan">
      <formula>65</formula>
    </cfRule>
  </conditionalFormatting>
  <conditionalFormatting sqref="L35:M46">
    <cfRule type="cellIs" dxfId="1144" priority="108" operator="lessThan">
      <formula>98</formula>
    </cfRule>
  </conditionalFormatting>
  <conditionalFormatting sqref="L50:N50">
    <cfRule type="cellIs" dxfId="1143" priority="33" operator="notEqual">
      <formula>#REF!</formula>
    </cfRule>
  </conditionalFormatting>
  <conditionalFormatting sqref="L82:N82">
    <cfRule type="cellIs" dxfId="1142" priority="103" stopIfTrue="1" operator="lessThan">
      <formula>100%</formula>
    </cfRule>
  </conditionalFormatting>
  <conditionalFormatting sqref="L84:N92">
    <cfRule type="cellIs" dxfId="1141" priority="135" stopIfTrue="1" operator="lessThan">
      <formula>100%</formula>
    </cfRule>
  </conditionalFormatting>
  <conditionalFormatting sqref="M10:M32">
    <cfRule type="expression" dxfId="1140" priority="9">
      <formula>IF(+(IF(M10&lt;U10,0,IF(M10&gt;V10,0,1)))=0,1)</formula>
    </cfRule>
  </conditionalFormatting>
  <conditionalFormatting sqref="N10:N32">
    <cfRule type="expression" dxfId="1139" priority="4">
      <formula>IF(+(IF(N10&lt;W10,0,IF(N10&gt;X10,0,1)))=0,1)</formula>
    </cfRule>
  </conditionalFormatting>
  <conditionalFormatting sqref="P6">
    <cfRule type="cellIs" dxfId="1138" priority="131" operator="greaterThanOrEqual">
      <formula>19</formula>
    </cfRule>
  </conditionalFormatting>
  <dataValidations count="1">
    <dataValidation type="list" allowBlank="1" showInputMessage="1" showErrorMessage="1" sqref="R8" xr:uid="{7447BFC5-D327-48EC-9AB7-C126688911F2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480F-0993-4516-AD34-81844609B042}">
  <sheetPr>
    <pageSetUpPr fitToPage="1"/>
  </sheetPr>
  <dimension ref="A1:BE78"/>
  <sheetViews>
    <sheetView zoomScale="80" zoomScaleNormal="80" workbookViewId="0">
      <selection activeCell="H15" sqref="H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45891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[24]Brewhouse!$A706</f>
        <v>CA598</v>
      </c>
      <c r="D10" s="279">
        <f>[24]Brewhouse!$AF706</f>
        <v>51.6</v>
      </c>
      <c r="E10" s="279">
        <f>[24]Brewhouse!$AI706</f>
        <v>51.1</v>
      </c>
      <c r="F10" s="278">
        <f>[24]Brewhouse!$V706</f>
        <v>56</v>
      </c>
      <c r="G10" s="279">
        <f>[24]Brewhouse!AG706</f>
        <v>11.9</v>
      </c>
      <c r="H10" s="396">
        <v>11.9</v>
      </c>
      <c r="I10" s="368">
        <f>[24]Brewhouse!$AU706</f>
        <v>99.506348908438042</v>
      </c>
      <c r="J10" s="368">
        <f>[24]Brewhouse!$AV706</f>
        <v>101.16662413246154</v>
      </c>
      <c r="K10" s="281">
        <f>[24]Brewhouse!$Q706</f>
        <v>7.658802177858437</v>
      </c>
      <c r="L10" s="276">
        <f>[24]Brewhouse!$P706</f>
        <v>60</v>
      </c>
      <c r="M10" s="397">
        <f>[24]Brewhouse!$U706-[24]Brewhouse!$T706</f>
        <v>0.11041666666666664</v>
      </c>
      <c r="N10" s="370">
        <f>[24]Brewhouse!$Z706</f>
        <v>0.24027777777777776</v>
      </c>
      <c r="O10" s="371" t="str">
        <f>[24]Brewhouse!$AX706</f>
        <v>R. Regis</v>
      </c>
      <c r="P10" s="418"/>
      <c r="R10" s="277" t="str">
        <f t="shared" ref="R10:R27" si="0">B10</f>
        <v>CARIB</v>
      </c>
      <c r="S10" s="296">
        <f t="shared" ref="S10:S27" si="1">VLOOKUP($B10,$R$3:$X$9,2,FALSE)</f>
        <v>11.6</v>
      </c>
      <c r="T10" s="296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296">
        <f t="shared" ref="Z10:Z27" si="8">VLOOKUP($B10,$R$3:$Z$9,9,FALSE)</f>
        <v>60</v>
      </c>
    </row>
    <row r="11" spans="2:29" ht="15.75" customHeight="1">
      <c r="B11" s="29" t="s">
        <v>6</v>
      </c>
      <c r="C11" s="366" t="str">
        <f>[24]Brewhouse!$A707</f>
        <v>CA599</v>
      </c>
      <c r="D11" s="279">
        <f>[24]Brewhouse!$AF707</f>
        <v>52.5</v>
      </c>
      <c r="E11" s="279">
        <f>[24]Brewhouse!$AI707</f>
        <v>50.6</v>
      </c>
      <c r="F11" s="278">
        <f>[24]Brewhouse!$V707</f>
        <v>59</v>
      </c>
      <c r="G11" s="279">
        <f>[24]Brewhouse!AG707</f>
        <v>12</v>
      </c>
      <c r="H11" s="396">
        <v>11.8</v>
      </c>
      <c r="I11" s="368">
        <f>[24]Brewhouse!$AU707</f>
        <v>99.772692532303708</v>
      </c>
      <c r="J11" s="368">
        <f>[24]Brewhouse!$AV707</f>
        <v>101.4368608850184</v>
      </c>
      <c r="K11" s="281">
        <f>[24]Brewhouse!$Q707</f>
        <v>7.0377019748653531</v>
      </c>
      <c r="L11" s="276">
        <f>[24]Brewhouse!$P707</f>
        <v>61</v>
      </c>
      <c r="M11" s="397">
        <f>[24]Brewhouse!$U707-[24]Brewhouse!$T707</f>
        <v>0.11388888888888887</v>
      </c>
      <c r="N11" s="370">
        <f>[24]Brewhouse!$Z707</f>
        <v>0.25138888888888888</v>
      </c>
      <c r="O11" s="371" t="str">
        <f>[24]Brewhouse!$AX707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[24]Brewhouse!$A708</f>
        <v>CA600</v>
      </c>
      <c r="D12" s="279">
        <f>[24]Brewhouse!$AF708</f>
        <v>53.6</v>
      </c>
      <c r="E12" s="279">
        <f>[24]Brewhouse!$AI708</f>
        <v>51.8</v>
      </c>
      <c r="F12" s="278">
        <f>[24]Brewhouse!$V708</f>
        <v>75</v>
      </c>
      <c r="G12" s="279">
        <f>[24]Brewhouse!AG708</f>
        <v>11.6</v>
      </c>
      <c r="H12" s="396">
        <v>11.7</v>
      </c>
      <c r="I12" s="368">
        <f>[24]Brewhouse!$AU708</f>
        <v>102.73068573958028</v>
      </c>
      <c r="J12" s="368">
        <f>[24]Brewhouse!$AV708</f>
        <v>104.51809762102897</v>
      </c>
      <c r="K12" s="281">
        <f>[24]Brewhouse!$Q708</f>
        <v>4.0290381125226835</v>
      </c>
      <c r="L12" s="276">
        <f>[24]Brewhouse!$P708</f>
        <v>61</v>
      </c>
      <c r="M12" s="397">
        <f>[24]Brewhouse!$U708-[24]Brewhouse!$T708</f>
        <v>0.11805555555555558</v>
      </c>
      <c r="N12" s="370">
        <f>[24]Brewhouse!$Z708</f>
        <v>0.24722222222222223</v>
      </c>
      <c r="O12" s="371" t="str">
        <f>[24]Brewhouse!$AX708</f>
        <v>K.Benjamin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[24]Brewhouse!$A709</f>
        <v>CA601</v>
      </c>
      <c r="D13" s="279">
        <f>[24]Brewhouse!$AF709</f>
        <v>55.6</v>
      </c>
      <c r="E13" s="279">
        <f>[24]Brewhouse!$AI709</f>
        <v>53.7</v>
      </c>
      <c r="F13" s="278">
        <f>[24]Brewhouse!$V709</f>
        <v>57</v>
      </c>
      <c r="G13" s="279">
        <f>[24]Brewhouse!AG709</f>
        <v>11.6</v>
      </c>
      <c r="H13" s="396">
        <v>11.5</v>
      </c>
      <c r="I13" s="368">
        <f>[24]Brewhouse!$AU709</f>
        <v>102.76795002442545</v>
      </c>
      <c r="J13" s="368">
        <f>[24]Brewhouse!$AV709</f>
        <v>104.5560102674129</v>
      </c>
      <c r="K13" s="281">
        <f>[24]Brewhouse!$Q709</f>
        <v>3.1985940246045703</v>
      </c>
      <c r="L13" s="276">
        <f>[24]Brewhouse!$P709</f>
        <v>53</v>
      </c>
      <c r="M13" s="397">
        <f>[24]Brewhouse!$U709-[24]Brewhouse!$T709</f>
        <v>0.10763888888888884</v>
      </c>
      <c r="N13" s="370">
        <f>[24]Brewhouse!$Z709</f>
        <v>0.25486111111111109</v>
      </c>
      <c r="O13" s="371" t="str">
        <f>[24]Brewhouse!$AX709</f>
        <v>K.Benjamin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[24]Brewhouse!$A710</f>
        <v>CA602</v>
      </c>
      <c r="D14" s="279">
        <f>[24]Brewhouse!$AF710</f>
        <v>52.5</v>
      </c>
      <c r="E14" s="279">
        <f>[24]Brewhouse!$AI710</f>
        <v>51.2</v>
      </c>
      <c r="F14" s="278">
        <f>[24]Brewhouse!$V710</f>
        <v>54</v>
      </c>
      <c r="G14" s="279">
        <f>[24]Brewhouse!AG710</f>
        <v>11.9</v>
      </c>
      <c r="H14" s="396">
        <v>11.7</v>
      </c>
      <c r="I14" s="368">
        <f>[24]Brewhouse!$AU710</f>
        <v>98.105830728967618</v>
      </c>
      <c r="J14" s="368">
        <f>[24]Brewhouse!$AV710</f>
        <v>99.812680083567884</v>
      </c>
      <c r="K14" s="281">
        <f>[24]Brewhouse!$Q710</f>
        <v>7.0377019748653531</v>
      </c>
      <c r="L14" s="276">
        <f>[24]Brewhouse!$P710</f>
        <v>61</v>
      </c>
      <c r="M14" s="397">
        <f>[24]Brewhouse!$U710-[24]Brewhouse!$T710</f>
        <v>0.12638888888888888</v>
      </c>
      <c r="N14" s="370">
        <f>[24]Brewhouse!$Z710</f>
        <v>0.2673611111111111</v>
      </c>
      <c r="O14" s="371" t="str">
        <f>[24]Brewhouse!$AX710</f>
        <v>K.Benjamin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[24]Brewhouse!$A711</f>
        <v>CA603</v>
      </c>
      <c r="D15" s="279">
        <f>[24]Brewhouse!$AF711</f>
        <v>53.3</v>
      </c>
      <c r="E15" s="279">
        <f>[24]Brewhouse!$AI711</f>
        <v>51.3</v>
      </c>
      <c r="F15" s="278">
        <f>[24]Brewhouse!$V711</f>
        <v>64</v>
      </c>
      <c r="G15" s="279">
        <f>[24]Brewhouse!AG711</f>
        <v>11.7</v>
      </c>
      <c r="H15" s="396">
        <v>11.8</v>
      </c>
      <c r="I15" s="368">
        <f>[24]Brewhouse!$AU711</f>
        <v>96.329138070428243</v>
      </c>
      <c r="J15" s="368">
        <f>[24]Brewhouse!$AV711</f>
        <v>97.941510918678517</v>
      </c>
      <c r="K15" s="281">
        <f>[24]Brewhouse!$Q711</f>
        <v>6.1071428571428603</v>
      </c>
      <c r="L15" s="276">
        <f>[24]Brewhouse!$P711</f>
        <v>60</v>
      </c>
      <c r="M15" s="397">
        <f>[24]Brewhouse!$U711-[24]Brewhouse!$T711</f>
        <v>0.11249999999999982</v>
      </c>
      <c r="N15" s="370">
        <f>[24]Brewhouse!$Z711</f>
        <v>0.24166666666666659</v>
      </c>
      <c r="O15" s="371" t="str">
        <f>[24]Brewhouse!$AX711</f>
        <v>R. Regis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422"/>
      <c r="J16" s="422"/>
      <c r="K16" s="476"/>
      <c r="L16" s="276"/>
      <c r="M16" s="374"/>
      <c r="N16" s="370"/>
      <c r="O16" s="423"/>
      <c r="P16" s="418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422"/>
      <c r="J17" s="422"/>
      <c r="K17" s="476"/>
      <c r="L17" s="276"/>
      <c r="M17" s="374"/>
      <c r="N17" s="370"/>
      <c r="O17" s="423"/>
      <c r="P17" s="418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hidden="1" customHeight="1">
      <c r="B18" s="29"/>
      <c r="C18" s="366"/>
      <c r="D18" s="279"/>
      <c r="E18" s="279"/>
      <c r="F18" s="278"/>
      <c r="G18" s="279"/>
      <c r="H18" s="396"/>
      <c r="I18" s="422"/>
      <c r="J18" s="422"/>
      <c r="K18" s="476"/>
      <c r="L18" s="276"/>
      <c r="M18" s="374"/>
      <c r="N18" s="370"/>
      <c r="O18" s="423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hidden="1" customHeight="1">
      <c r="B19" s="29"/>
      <c r="C19" s="366"/>
      <c r="D19" s="279"/>
      <c r="E19" s="279"/>
      <c r="F19" s="278"/>
      <c r="G19" s="279"/>
      <c r="H19" s="471"/>
      <c r="I19" s="422"/>
      <c r="J19" s="422"/>
      <c r="K19" s="281"/>
      <c r="L19" s="276"/>
      <c r="M19" s="374"/>
      <c r="N19" s="370"/>
      <c r="O19" s="423"/>
      <c r="P19" s="418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29"/>
      <c r="J24" s="529"/>
      <c r="K24" s="529"/>
      <c r="L24" s="529"/>
      <c r="M24" s="529"/>
      <c r="N24" s="529"/>
      <c r="O24" s="1"/>
      <c r="P24" s="12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thickBot="1">
      <c r="B25" s="388" t="s">
        <v>162</v>
      </c>
      <c r="C25" s="388"/>
      <c r="D25" s="542" t="s">
        <v>35</v>
      </c>
      <c r="E25" s="543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30" t="str">
        <f>I27</f>
        <v>STAG</v>
      </c>
      <c r="C26" s="362" cm="1">
        <f t="array" ref="C26:C33">[22]Process!$D$324:$D$331</f>
        <v>12.1</v>
      </c>
      <c r="D26" s="533">
        <v>11.85</v>
      </c>
      <c r="E26" s="522"/>
      <c r="F26" s="294"/>
      <c r="G26" s="294"/>
      <c r="H26" s="348"/>
      <c r="I26" s="29" t="s">
        <v>6</v>
      </c>
      <c r="J26" s="280">
        <f>AVERAGE(I10:I15)</f>
        <v>99.868774334023897</v>
      </c>
      <c r="K26" s="284">
        <f>COUNTA([24]Brewhouse!$A$655:$A$711)</f>
        <v>57</v>
      </c>
      <c r="L26" s="305">
        <f>AVERAGE([24]Brewhouse!$AU$655:$AU$711)</f>
        <v>96.755940967693803</v>
      </c>
      <c r="M26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$711)</f>
        <v>97.77211898785265</v>
      </c>
      <c r="N26" s="30">
        <v>98</v>
      </c>
      <c r="O26" s="11"/>
      <c r="P26" s="31"/>
      <c r="R26" s="277" t="str">
        <f t="shared" si="0"/>
        <v>STAG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1:27" ht="15" customHeight="1">
      <c r="A27" s="28"/>
      <c r="B27" s="531"/>
      <c r="C27" s="362">
        <v>11.8</v>
      </c>
      <c r="D27" s="534"/>
      <c r="E27" s="517"/>
      <c r="F27" s="294"/>
      <c r="G27" s="294"/>
      <c r="H27" s="348"/>
      <c r="I27" s="33" t="s">
        <v>9</v>
      </c>
      <c r="J27" s="280"/>
      <c r="K27" s="284">
        <f>COUNTA([22]Brewhouse!$A$324:$A$343)</f>
        <v>20</v>
      </c>
      <c r="L27" s="302">
        <f>AVERAGE([22]Brewhouse!$AS$324:$AS$343)</f>
        <v>98.007598629018077</v>
      </c>
      <c r="M27" s="302">
        <f>AVERAGE([22]Brewhouse!$AS$15:$AS$64,[22]Brewhouse!$AS$66:$AS$103,[22]Brewhouse!$AS$105:$AS$140,[22]Brewhouse!$AS$142:$AS$193,[22]Brewhouse!$AS$195:$AS$240,[22]Brewhouse!$AS$242:$AS$273,[22]Brewhouse!$AS$275:$AS$322,[22]Brewhouse!$AS$324:$AS$343)</f>
        <v>98.062511581230439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31"/>
      <c r="C28" s="362">
        <v>12</v>
      </c>
      <c r="D28" s="533">
        <v>11.85</v>
      </c>
      <c r="E28" s="522"/>
      <c r="F28" s="294"/>
      <c r="G28" s="294"/>
      <c r="H28" s="348"/>
      <c r="I28" s="34" t="s">
        <v>12</v>
      </c>
      <c r="J28" s="280"/>
      <c r="K28" s="284">
        <f>COUNTA([25]Brewhouse!$A$81:$A$84)</f>
        <v>4</v>
      </c>
      <c r="L28" s="302">
        <f>AVERAGE([25]Brewhouse!$AU$81:$AU$84)</f>
        <v>96.0203759926994</v>
      </c>
      <c r="M28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65" customHeight="1">
      <c r="A29" s="28"/>
      <c r="B29" s="531"/>
      <c r="C29" s="362">
        <v>11.9</v>
      </c>
      <c r="D29" s="534"/>
      <c r="E29" s="517"/>
      <c r="F29" s="294"/>
      <c r="G29" s="294"/>
      <c r="H29" s="348"/>
      <c r="I29" s="22" t="s">
        <v>33</v>
      </c>
      <c r="J29" s="280"/>
      <c r="K29" s="284">
        <f>COUNTA([26]Brewhouse!$A$64:$A$77)</f>
        <v>14</v>
      </c>
      <c r="L29" s="302">
        <f>AVERAGE([26]Brewhouse!$AV$64:$AV$77)</f>
        <v>97.585594897114063</v>
      </c>
      <c r="M29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4.65" customHeight="1">
      <c r="A30" s="28"/>
      <c r="B30" s="531"/>
      <c r="C30" s="362">
        <v>11.9</v>
      </c>
      <c r="D30" s="533">
        <v>11.63</v>
      </c>
      <c r="E30" s="522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7" ht="14.65" customHeight="1">
      <c r="A31" s="28"/>
      <c r="B31" s="531"/>
      <c r="C31" s="362">
        <v>12</v>
      </c>
      <c r="D31" s="534"/>
      <c r="E31" s="517"/>
      <c r="F31" s="417"/>
      <c r="G31" s="294"/>
      <c r="H31" s="348"/>
      <c r="I31" s="36" t="s">
        <v>15</v>
      </c>
      <c r="J31" s="323"/>
      <c r="K31" s="284"/>
      <c r="L31" s="302"/>
      <c r="M31" s="302">
        <f>AVERAGE([27]Brewhouse!$AT$4:$AT$11,[27]Brewhouse!$AT$13:$AT$16,[27]Brewhouse!$AT$18:$AT$21,[27]Brewhouse!$AT$26)</f>
        <v>94.588057846623641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65" customHeight="1">
      <c r="A32" s="28"/>
      <c r="B32" s="531"/>
      <c r="C32" s="349">
        <v>11.7</v>
      </c>
      <c r="D32" s="533">
        <v>11.48</v>
      </c>
      <c r="E32" s="522"/>
      <c r="F32" s="417"/>
      <c r="G32" s="294"/>
      <c r="H32" s="348"/>
      <c r="I32" s="37" t="s">
        <v>16</v>
      </c>
      <c r="J32" s="323"/>
      <c r="K32" s="284"/>
      <c r="L32" s="302"/>
      <c r="M32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2" s="30">
        <v>98</v>
      </c>
      <c r="O32" s="11"/>
      <c r="P32" s="31" t="s">
        <v>41</v>
      </c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31"/>
      <c r="C33" s="349">
        <v>11.7</v>
      </c>
      <c r="D33" s="534"/>
      <c r="E33" s="517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AVERAGE([28]Brewhouse!$AU$5:$AU$8,[28]Brewhouse!$AU$10:$AU$13)</f>
        <v>94.247666625193744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31"/>
      <c r="C34" s="349"/>
      <c r="D34" s="533"/>
      <c r="E34" s="522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531"/>
      <c r="C35" s="349"/>
      <c r="D35" s="534"/>
      <c r="E35" s="517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31"/>
      <c r="C36" s="349"/>
      <c r="D36" s="533"/>
      <c r="E36" s="522"/>
      <c r="F36" s="294"/>
      <c r="G36" s="294"/>
      <c r="H36" s="348"/>
      <c r="I36" s="1"/>
      <c r="J36" s="39"/>
      <c r="K36" s="404">
        <f>SUM(K26:K35)</f>
        <v>95</v>
      </c>
      <c r="L36" s="405">
        <f>((L26*K26)+(L27*K27)+(L28*K28)+(L29*K29)+(L30*K30)+(K33*L33)+(L31*K31)+(L32*K32)+(L35*K35))/(K36)</f>
        <v>97.110741476518967</v>
      </c>
      <c r="M36" s="405">
        <f>AVERAGE('[31]Jan 31st'!$L$65,'[32]Feb 28th'!$L$35,'[33]Mar. 31st'!$L$35,'[34]Apr. 30th'!$L$45,'[35]May 30th'!$L$37,'[36]June 30th'!$L$57,L36)</f>
        <v>97.580378853368686</v>
      </c>
      <c r="N36" s="4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.75" thickBot="1">
      <c r="B37" s="532"/>
      <c r="C37" s="350"/>
      <c r="D37" s="534"/>
      <c r="E37" s="517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93"/>
      <c r="C38" s="362"/>
      <c r="D38" s="514"/>
      <c r="E38" s="515"/>
      <c r="F38" s="294"/>
      <c r="G38" s="42"/>
      <c r="H38" s="41"/>
      <c r="I38" s="42"/>
      <c r="J38" s="569" t="s">
        <v>129</v>
      </c>
      <c r="K38" s="569"/>
      <c r="L38" s="294"/>
      <c r="M38" s="294"/>
      <c r="N38" s="294"/>
      <c r="O38" s="294"/>
      <c r="P38" s="12"/>
    </row>
    <row r="39" spans="1:56" ht="15.75" thickBot="1">
      <c r="B39" s="584"/>
      <c r="C39" s="362"/>
      <c r="D39" s="516"/>
      <c r="E39" s="517"/>
      <c r="F39" s="294"/>
      <c r="G39" s="42"/>
      <c r="H39" s="41"/>
      <c r="I39" s="41"/>
      <c r="J39" s="292" t="s">
        <v>17</v>
      </c>
      <c r="K39" s="293" t="s">
        <v>147</v>
      </c>
      <c r="L39" s="519" t="s">
        <v>136</v>
      </c>
      <c r="M39" s="519"/>
      <c r="N39" s="520"/>
      <c r="O39" s="294"/>
      <c r="P39" s="12"/>
    </row>
    <row r="40" spans="1:56" ht="15" customHeight="1" thickBot="1">
      <c r="B40" s="584"/>
      <c r="C40" s="349"/>
      <c r="D40" s="570"/>
      <c r="E40" s="571"/>
      <c r="F40" s="294"/>
      <c r="G40" s="42"/>
      <c r="H40" s="41"/>
      <c r="I40" s="41"/>
      <c r="J40" s="287" t="s">
        <v>6</v>
      </c>
      <c r="K40" s="324">
        <v>6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84"/>
      <c r="C41" s="349"/>
      <c r="D41" s="516"/>
      <c r="E41" s="517"/>
      <c r="F41" s="294"/>
      <c r="G41" s="42"/>
      <c r="H41" s="41"/>
      <c r="I41" s="41"/>
      <c r="J41" s="345" t="s">
        <v>9</v>
      </c>
      <c r="K41" s="324"/>
      <c r="L41" s="344">
        <f>AVERAGE('Aug 4th '!K58,'Aug 5th '!K58,'Aug 6th '!K58,'Aug 7th '!K58,'Aug 8th '!K48,'Aug 13th'!K52,'Aug 14th'!K51,'Aug 15th-16th'!J57,'Aug 15th-16th'!K57,'Aug 18th'!K54,'Aug 19th'!K56,'Aug 20th'!K59,K50)</f>
        <v>7.2307692307692308</v>
      </c>
      <c r="M41" s="325">
        <f>AVERAGE('[31]Jan 29th '!$M$70,'[32]Feb 28th'!$L$40,'[33]Mar. 31st'!$L$40,'[34]Apr. 30th'!$L$50,'[35]May 30th'!$L$42,'[36]June 30th'!$L$62,'[37]July 29th '!$L$49,L41)</f>
        <v>6.9434607631117924</v>
      </c>
      <c r="N41" s="416">
        <v>9.1999999999999993</v>
      </c>
      <c r="O41" s="294"/>
      <c r="P41" s="12"/>
    </row>
    <row r="42" spans="1:56" ht="15" customHeight="1">
      <c r="B42" s="584"/>
      <c r="C42" s="349"/>
      <c r="D42" s="570"/>
      <c r="E42" s="571"/>
      <c r="F42" s="294"/>
      <c r="G42" s="42"/>
      <c r="H42" s="41"/>
      <c r="I42" s="41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84"/>
      <c r="C43" s="349"/>
      <c r="D43" s="516"/>
      <c r="E43" s="517"/>
      <c r="F43" s="294"/>
      <c r="G43" s="42"/>
      <c r="H43" s="41"/>
      <c r="I43" s="41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84"/>
      <c r="C44" s="349"/>
      <c r="D44" s="570"/>
      <c r="E44" s="571"/>
      <c r="F44" s="294"/>
      <c r="G44" s="42"/>
      <c r="H44" s="41"/>
      <c r="I44" s="41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4"/>
      <c r="C45" s="349"/>
      <c r="D45" s="516"/>
      <c r="E45" s="517"/>
      <c r="F45" s="294"/>
      <c r="G45" s="42"/>
      <c r="H45" s="41"/>
      <c r="I45" s="41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84"/>
      <c r="C46" s="349"/>
      <c r="D46" s="570"/>
      <c r="E46" s="571"/>
      <c r="F46" s="294"/>
      <c r="G46" s="42"/>
      <c r="H46" s="41"/>
      <c r="I46" s="41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85"/>
      <c r="C47" s="350"/>
      <c r="D47" s="572"/>
      <c r="E47" s="573"/>
      <c r="F47" s="294"/>
      <c r="G47" s="42"/>
      <c r="H47" s="41"/>
      <c r="I47" s="41"/>
      <c r="J47" s="291" t="s">
        <v>148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74">
        <f>AVERAGE(D26:E47)</f>
        <v>11.702500000000001</v>
      </c>
      <c r="E48" s="575"/>
      <c r="F48" s="294"/>
      <c r="H48" s="41"/>
      <c r="I48" s="41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1"/>
      <c r="I49" s="41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1"/>
      <c r="J50" s="346" t="s">
        <v>130</v>
      </c>
      <c r="K50" s="324">
        <f>SUM(K40:K49)</f>
        <v>6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1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495" t="s">
        <v>17</v>
      </c>
      <c r="C53" s="495" t="s">
        <v>44</v>
      </c>
      <c r="D53" s="507" t="s">
        <v>45</v>
      </c>
      <c r="E53" s="509" t="s">
        <v>46</v>
      </c>
      <c r="F53" s="503" t="s">
        <v>47</v>
      </c>
      <c r="G53" s="493" t="s">
        <v>48</v>
      </c>
      <c r="H53" s="495" t="s">
        <v>49</v>
      </c>
      <c r="I53" s="495" t="s">
        <v>50</v>
      </c>
      <c r="J53" s="487" t="s">
        <v>28</v>
      </c>
      <c r="K53" s="499" t="s">
        <v>51</v>
      </c>
      <c r="L53" s="501" t="s">
        <v>52</v>
      </c>
      <c r="M53" s="487" t="s">
        <v>53</v>
      </c>
      <c r="N53" s="13"/>
      <c r="O53" s="13"/>
      <c r="P53" s="50"/>
    </row>
    <row r="54" spans="2:57" ht="28.5" customHeight="1" thickTop="1" thickBot="1">
      <c r="B54" s="496"/>
      <c r="C54" s="496"/>
      <c r="D54" s="508"/>
      <c r="E54" s="510"/>
      <c r="F54" s="504"/>
      <c r="G54" s="494"/>
      <c r="H54" s="496"/>
      <c r="I54" s="496"/>
      <c r="J54" s="488"/>
      <c r="K54" s="500"/>
      <c r="L54" s="502"/>
      <c r="M54" s="488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9.45" customHeight="1" thickBot="1">
      <c r="B55" s="474" t="str">
        <f>J41</f>
        <v>STAG</v>
      </c>
      <c r="C55" s="445">
        <v>45890</v>
      </c>
      <c r="D55" s="446">
        <f>[38]August_2025!$X$13</f>
        <v>389.7</v>
      </c>
      <c r="E55" s="447"/>
      <c r="F55" s="448"/>
      <c r="G55" s="449">
        <f>[38]August_2025!$X$17</f>
        <v>382.3</v>
      </c>
      <c r="H55" s="450"/>
      <c r="I55" s="451"/>
      <c r="J55" s="452" t="s">
        <v>150</v>
      </c>
      <c r="K55" s="453">
        <f>[39]August_2025!$X$25</f>
        <v>1.3414035087719298</v>
      </c>
      <c r="L55" s="464">
        <f>(((D55+E55)-G55)/(D55+E55))*100</f>
        <v>1.8988965871182903</v>
      </c>
      <c r="M55" s="465" t="s">
        <v>196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hidden="1" customHeight="1" thickBot="1">
      <c r="B56" s="469"/>
      <c r="C56" s="434"/>
      <c r="D56" s="435"/>
      <c r="E56" s="436"/>
      <c r="F56" s="437"/>
      <c r="G56" s="438"/>
      <c r="H56" s="439"/>
      <c r="I56" s="454"/>
      <c r="J56" s="455"/>
      <c r="K56" s="440"/>
      <c r="L56" s="456"/>
      <c r="M56" s="42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59.45" hidden="1" customHeight="1" thickBot="1">
      <c r="B57" s="475"/>
      <c r="C57" s="445"/>
      <c r="D57" s="446"/>
      <c r="E57" s="447"/>
      <c r="F57" s="448"/>
      <c r="G57" s="449"/>
      <c r="H57" s="450"/>
      <c r="I57" s="451"/>
      <c r="J57" s="452"/>
      <c r="K57" s="453"/>
      <c r="L57" s="466" t="e">
        <f>(((D57+E57)-G57)/(D57+E57))*100</f>
        <v>#DIV/0!</v>
      </c>
      <c r="M57" s="46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8"/>
      <c r="C58" s="434"/>
      <c r="D58" s="435"/>
      <c r="E58" s="436"/>
      <c r="F58" s="437"/>
      <c r="G58" s="438"/>
      <c r="H58" s="439"/>
      <c r="I58" s="454"/>
      <c r="J58" s="455"/>
      <c r="K58" s="440"/>
      <c r="L58" s="456"/>
      <c r="M58" s="42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6.6" hidden="1" customHeight="1" thickBot="1">
      <c r="B59" s="387"/>
      <c r="C59" s="445">
        <v>45873</v>
      </c>
      <c r="D59" s="446"/>
      <c r="E59" s="447"/>
      <c r="F59" s="448"/>
      <c r="G59" s="449"/>
      <c r="H59" s="450"/>
      <c r="I59" s="451"/>
      <c r="J59" s="452" t="s">
        <v>163</v>
      </c>
      <c r="K59" s="453"/>
      <c r="L59" s="459" t="e">
        <f>(((D59+E59)-G59)/(D59+E59))*100</f>
        <v>#DIV/0!</v>
      </c>
      <c r="M59" s="46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41"/>
      <c r="C60" s="427"/>
      <c r="D60" s="428"/>
      <c r="E60" s="429"/>
      <c r="F60" s="430"/>
      <c r="G60" s="431"/>
      <c r="H60" s="432"/>
      <c r="I60" s="442"/>
      <c r="J60" s="443"/>
      <c r="K60" s="433"/>
      <c r="L60" s="444"/>
      <c r="M60" s="42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489" t="s">
        <v>55</v>
      </c>
      <c r="C62" s="490"/>
      <c r="D62" s="490"/>
      <c r="E62" s="490"/>
      <c r="F62" s="491"/>
      <c r="G62" s="489" t="s">
        <v>56</v>
      </c>
      <c r="H62" s="490"/>
      <c r="I62" s="490"/>
      <c r="J62" s="491"/>
      <c r="K62" s="489" t="s">
        <v>51</v>
      </c>
      <c r="L62" s="490"/>
      <c r="M62" s="490"/>
      <c r="N62" s="49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5.1902994136627116</v>
      </c>
      <c r="E64" s="76">
        <v>6.2382972727821215</v>
      </c>
      <c r="F64" s="66">
        <v>4.8</v>
      </c>
      <c r="G64" s="65"/>
      <c r="H64" s="76">
        <v>7.3039492492501861</v>
      </c>
      <c r="I64" s="76">
        <v>6.2886958433720137</v>
      </c>
      <c r="J64" s="66">
        <v>4.8</v>
      </c>
      <c r="K64" s="67"/>
      <c r="L64" s="194">
        <v>1.0242397660818712</v>
      </c>
      <c r="M64" s="194">
        <v>0.76064123977849529</v>
      </c>
      <c r="N64" s="68">
        <v>1</v>
      </c>
      <c r="O64" s="56"/>
      <c r="P64" s="69"/>
    </row>
    <row r="65" spans="2:16" ht="15">
      <c r="B65" s="33" t="s">
        <v>9</v>
      </c>
      <c r="C65" s="65">
        <f>L55</f>
        <v>1.8988965871182903</v>
      </c>
      <c r="D65" s="76">
        <v>4.8352458838586454</v>
      </c>
      <c r="E65" s="76">
        <v>5.8467024060595829</v>
      </c>
      <c r="F65" s="66">
        <v>4.8</v>
      </c>
      <c r="G65" s="65">
        <f>[38]August_2025!$X$21</f>
        <v>3.3183659291053096</v>
      </c>
      <c r="H65" s="76">
        <v>5.4081292916136592</v>
      </c>
      <c r="I65" s="76">
        <v>5.5174185987401785</v>
      </c>
      <c r="J65" s="66">
        <v>4.8</v>
      </c>
      <c r="K65" s="67">
        <f>K55</f>
        <v>1.3414035087719298</v>
      </c>
      <c r="L65" s="194">
        <v>0.673187134502924</v>
      </c>
      <c r="M65" s="194">
        <v>0.75083800083487295</v>
      </c>
      <c r="N65" s="68">
        <v>1</v>
      </c>
      <c r="P65" s="69"/>
    </row>
    <row r="66" spans="2:16" ht="15">
      <c r="B66" s="34" t="s">
        <v>40</v>
      </c>
      <c r="C66" s="65"/>
      <c r="D66" s="76">
        <v>8.0382775119617147</v>
      </c>
      <c r="E66" s="76">
        <v>11.429743886837057</v>
      </c>
      <c r="F66" s="66">
        <v>5.5</v>
      </c>
      <c r="G66" s="65"/>
      <c r="H66" s="76">
        <v>10.370027728825649</v>
      </c>
      <c r="I66" s="76">
        <v>13.047305235287777</v>
      </c>
      <c r="J66" s="66">
        <v>5.5</v>
      </c>
      <c r="K66" s="67"/>
      <c r="L66" s="194">
        <v>0.67438596491228076</v>
      </c>
      <c r="M66" s="194">
        <v>0.55172216056233814</v>
      </c>
      <c r="N66" s="68">
        <v>1</v>
      </c>
      <c r="P66" s="69"/>
    </row>
    <row r="67" spans="2:16" ht="15">
      <c r="B67" s="22" t="s">
        <v>33</v>
      </c>
      <c r="C67" s="65"/>
      <c r="D67" s="76">
        <v>3.992015968063888</v>
      </c>
      <c r="E67" s="76">
        <v>4.8818566667667298</v>
      </c>
      <c r="F67" s="66">
        <v>3.3</v>
      </c>
      <c r="G67" s="65"/>
      <c r="H67" s="76">
        <v>4.3345910844408779</v>
      </c>
      <c r="I67" s="76">
        <v>4.7612385632312364</v>
      </c>
      <c r="J67" s="66">
        <v>3.3</v>
      </c>
      <c r="K67" s="67"/>
      <c r="L67" s="194">
        <v>1.016578947368421</v>
      </c>
      <c r="M67" s="194">
        <v>0.82603070175438598</v>
      </c>
      <c r="N67" s="68">
        <v>1</v>
      </c>
      <c r="P67" s="69"/>
    </row>
    <row r="68" spans="2:16" ht="15">
      <c r="B68" s="35" t="s">
        <v>165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>
        <v>5.2552552552552552</v>
      </c>
      <c r="E69" s="76">
        <v>6.9158697961943529</v>
      </c>
      <c r="F69" s="70">
        <f>[21]May_2022!$M$43</f>
        <v>3.4878406700073312</v>
      </c>
      <c r="G69" s="282"/>
      <c r="H69" s="76">
        <v>6.7916330640214131</v>
      </c>
      <c r="I69" s="76">
        <v>8.5598888260252064</v>
      </c>
      <c r="J69" s="66">
        <v>5.5</v>
      </c>
      <c r="K69" s="67"/>
      <c r="L69" s="194">
        <v>0.66421052631578947</v>
      </c>
      <c r="M69" s="194">
        <v>0.60705263157894729</v>
      </c>
      <c r="N69" s="68">
        <v>1</v>
      </c>
      <c r="P69" s="69"/>
    </row>
    <row r="70" spans="2:16" ht="15">
      <c r="B70" s="37" t="s">
        <v>16</v>
      </c>
      <c r="C70" s="65"/>
      <c r="D70" s="76">
        <v>4.1414141414141357</v>
      </c>
      <c r="E70" s="76">
        <v>3.0301127264734369</v>
      </c>
      <c r="F70" s="66">
        <v>3.3</v>
      </c>
      <c r="G70" s="282"/>
      <c r="H70" s="76">
        <v>7.0415942868172152</v>
      </c>
      <c r="I70" s="76">
        <v>4.4974189022907662</v>
      </c>
      <c r="J70" s="66">
        <v>3.3</v>
      </c>
      <c r="K70" s="67"/>
      <c r="L70" s="194">
        <v>0.33298245614035088</v>
      </c>
      <c r="M70" s="194">
        <v>0.80374720357941831</v>
      </c>
      <c r="N70" s="71">
        <v>1</v>
      </c>
      <c r="P70" s="69"/>
    </row>
    <row r="71" spans="2:16" ht="15.75" thickBot="1">
      <c r="B71" s="38" t="s">
        <v>164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5.1494949388314</v>
      </c>
      <c r="E73" s="76">
        <v>6.2783106406062323</v>
      </c>
      <c r="F73" s="341">
        <v>5.5</v>
      </c>
      <c r="H73" s="76">
        <v>6.708511797857172</v>
      </c>
      <c r="I73" s="76">
        <v>6.5905919855888646</v>
      </c>
      <c r="J73" s="341">
        <v>5.5</v>
      </c>
      <c r="L73" s="194">
        <v>0.83619493177387905</v>
      </c>
      <c r="M73" s="194">
        <v>0.73240126152353235</v>
      </c>
      <c r="N73" s="386">
        <v>1</v>
      </c>
    </row>
    <row r="77" spans="2:16">
      <c r="F77" s="315"/>
    </row>
    <row r="78" spans="2:16" ht="15">
      <c r="F78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1137" priority="127" operator="notBetween">
      <formula>#REF!</formula>
      <formula>#REF!</formula>
    </cfRule>
  </conditionalFormatting>
  <conditionalFormatting sqref="C52">
    <cfRule type="cellIs" dxfId="1136" priority="158" stopIfTrue="1" operator="lessThan">
      <formula>96</formula>
    </cfRule>
    <cfRule type="cellIs" dxfId="1135" priority="159" stopIfTrue="1" operator="greaterThan">
      <formula>100</formula>
    </cfRule>
  </conditionalFormatting>
  <conditionalFormatting sqref="C64:C68">
    <cfRule type="cellIs" dxfId="1134" priority="108" stopIfTrue="1" operator="lessThanOrEqual">
      <formula>0</formula>
    </cfRule>
  </conditionalFormatting>
  <conditionalFormatting sqref="C64:C72">
    <cfRule type="cellIs" dxfId="1133" priority="107" stopIfTrue="1" operator="greaterThan">
      <formula>$F64</formula>
    </cfRule>
  </conditionalFormatting>
  <conditionalFormatting sqref="C65">
    <cfRule type="cellIs" dxfId="1132" priority="162" stopIfTrue="1" operator="greaterThan">
      <formula>$F64</formula>
    </cfRule>
  </conditionalFormatting>
  <conditionalFormatting sqref="C69">
    <cfRule type="cellIs" dxfId="1131" priority="27" stopIfTrue="1" operator="greaterThan">
      <formula>$F68</formula>
    </cfRule>
    <cfRule type="cellIs" dxfId="1130" priority="26" stopIfTrue="1" operator="lessThanOrEqual">
      <formula>0</formula>
    </cfRule>
  </conditionalFormatting>
  <conditionalFormatting sqref="C75:C79">
    <cfRule type="cellIs" dxfId="1129" priority="150" stopIfTrue="1" operator="lessThanOrEqual">
      <formula>0</formula>
    </cfRule>
  </conditionalFormatting>
  <conditionalFormatting sqref="C76:C79">
    <cfRule type="cellIs" dxfId="1128" priority="149" stopIfTrue="1" operator="greaterThan">
      <formula>$F$75</formula>
    </cfRule>
  </conditionalFormatting>
  <conditionalFormatting sqref="C81">
    <cfRule type="cellIs" dxfId="1127" priority="151" stopIfTrue="1" operator="greaterThan">
      <formula>$F$75</formula>
    </cfRule>
    <cfRule type="cellIs" dxfId="1126" priority="152" stopIfTrue="1" operator="lessThanOrEqual">
      <formula>0</formula>
    </cfRule>
  </conditionalFormatting>
  <conditionalFormatting sqref="C75:D75 D77:D83">
    <cfRule type="cellIs" dxfId="1125" priority="144" stopIfTrue="1" operator="greaterThan">
      <formula>4.5</formula>
    </cfRule>
  </conditionalFormatting>
  <conditionalFormatting sqref="D48:D49">
    <cfRule type="cellIs" dxfId="1124" priority="128" operator="notBetween">
      <formula>#REF!</formula>
      <formula>#REF!</formula>
    </cfRule>
  </conditionalFormatting>
  <conditionalFormatting sqref="D64:D71">
    <cfRule type="cellIs" dxfId="1123" priority="122" stopIfTrue="1" operator="lessThanOrEqual">
      <formula>0</formula>
    </cfRule>
  </conditionalFormatting>
  <conditionalFormatting sqref="D72">
    <cfRule type="cellIs" dxfId="1122" priority="121" stopIfTrue="1" operator="lessThanOrEqual">
      <formula>0</formula>
    </cfRule>
  </conditionalFormatting>
  <conditionalFormatting sqref="D75 D77:D83">
    <cfRule type="cellIs" dxfId="1121" priority="145" stopIfTrue="1" operator="lessThanOrEqual">
      <formula>0</formula>
    </cfRule>
  </conditionalFormatting>
  <conditionalFormatting sqref="D76">
    <cfRule type="cellIs" dxfId="1120" priority="136" stopIfTrue="1" operator="greaterThan">
      <formula>$F$75</formula>
    </cfRule>
    <cfRule type="cellIs" dxfId="1119" priority="137" stopIfTrue="1" operator="lessThanOrEqual">
      <formula>0</formula>
    </cfRule>
  </conditionalFormatting>
  <conditionalFormatting sqref="D64:E73">
    <cfRule type="cellIs" dxfId="1118" priority="104" stopIfTrue="1" operator="greaterThan">
      <formula>$F64</formula>
    </cfRule>
  </conditionalFormatting>
  <conditionalFormatting sqref="D73:E73">
    <cfRule type="cellIs" dxfId="1117" priority="105" stopIfTrue="1" operator="lessThanOrEqual">
      <formula>0</formula>
    </cfRule>
  </conditionalFormatting>
  <conditionalFormatting sqref="E10:E23">
    <cfRule type="cellIs" dxfId="1116" priority="10" operator="lessThan">
      <formula>48</formula>
    </cfRule>
  </conditionalFormatting>
  <conditionalFormatting sqref="E51 E52:F52">
    <cfRule type="cellIs" dxfId="1115" priority="141" stopIfTrue="1" operator="greaterThan">
      <formula>100</formula>
    </cfRule>
  </conditionalFormatting>
  <conditionalFormatting sqref="E52">
    <cfRule type="cellIs" dxfId="1114" priority="139" stopIfTrue="1" operator="greaterThan">
      <formula>100</formula>
    </cfRule>
    <cfRule type="cellIs" dxfId="1113" priority="138" stopIfTrue="1" operator="lessThan">
      <formula>96.8</formula>
    </cfRule>
  </conditionalFormatting>
  <conditionalFormatting sqref="E64:E72">
    <cfRule type="cellIs" dxfId="1112" priority="116" stopIfTrue="1" operator="lessThanOrEqual">
      <formula>0</formula>
    </cfRule>
  </conditionalFormatting>
  <conditionalFormatting sqref="E75:E83">
    <cfRule type="cellIs" dxfId="1111" priority="130" stopIfTrue="1" operator="greaterThan">
      <formula>4.5</formula>
    </cfRule>
    <cfRule type="cellIs" dxfId="1110" priority="131" stopIfTrue="1" operator="lessThanOrEqual">
      <formula>0</formula>
    </cfRule>
  </conditionalFormatting>
  <conditionalFormatting sqref="E52:F52 E51">
    <cfRule type="cellIs" dxfId="1109" priority="140" stopIfTrue="1" operator="lessThan">
      <formula>96.5</formula>
    </cfRule>
  </conditionalFormatting>
  <conditionalFormatting sqref="F10:F23">
    <cfRule type="cellIs" dxfId="1108" priority="11" operator="greaterThan">
      <formula>60</formula>
    </cfRule>
  </conditionalFormatting>
  <conditionalFormatting sqref="F52">
    <cfRule type="cellIs" dxfId="1107" priority="157" stopIfTrue="1" operator="greaterThan">
      <formula>100</formula>
    </cfRule>
    <cfRule type="cellIs" dxfId="1106" priority="156" stopIfTrue="1" operator="lessThan">
      <formula>96.8</formula>
    </cfRule>
  </conditionalFormatting>
  <conditionalFormatting sqref="F73">
    <cfRule type="cellIs" dxfId="1105" priority="118" stopIfTrue="1" operator="lessThanOrEqual">
      <formula>0</formula>
    </cfRule>
    <cfRule type="cellIs" dxfId="1104" priority="117" stopIfTrue="1" operator="greaterThan">
      <formula>$F73</formula>
    </cfRule>
  </conditionalFormatting>
  <conditionalFormatting sqref="F78">
    <cfRule type="cellIs" dxfId="1103" priority="75" stopIfTrue="1" operator="lessThanOrEqual">
      <formula>0</formula>
    </cfRule>
    <cfRule type="cellIs" dxfId="1102" priority="74" stopIfTrue="1" operator="greaterThan">
      <formula>$F78</formula>
    </cfRule>
  </conditionalFormatting>
  <conditionalFormatting sqref="G10:G19">
    <cfRule type="expression" dxfId="1101" priority="2">
      <formula>IF(+(IF(G10&lt;S10,0,IF(G10&gt;T10,0,1)))=0,1)</formula>
    </cfRule>
  </conditionalFormatting>
  <conditionalFormatting sqref="G64:G65 C70:C72">
    <cfRule type="cellIs" dxfId="1100" priority="124" stopIfTrue="1" operator="lessThanOrEqual">
      <formula>0</formula>
    </cfRule>
  </conditionalFormatting>
  <conditionalFormatting sqref="G64:G65">
    <cfRule type="cellIs" dxfId="1099" priority="109" stopIfTrue="1" operator="greaterThan">
      <formula>$F64</formula>
    </cfRule>
    <cfRule type="cellIs" dxfId="1098" priority="123" stopIfTrue="1" operator="greaterThan">
      <formula>$F64</formula>
    </cfRule>
    <cfRule type="cellIs" dxfId="1097" priority="110" stopIfTrue="1" operator="lessThanOrEqual">
      <formula>0</formula>
    </cfRule>
  </conditionalFormatting>
  <conditionalFormatting sqref="G66">
    <cfRule type="cellIs" dxfId="1096" priority="161" stopIfTrue="1" operator="lessThanOrEqual">
      <formula>0</formula>
    </cfRule>
    <cfRule type="cellIs" dxfId="1095" priority="160" stopIfTrue="1" operator="greaterThan">
      <formula>$F65</formula>
    </cfRule>
  </conditionalFormatting>
  <conditionalFormatting sqref="G67">
    <cfRule type="cellIs" dxfId="1094" priority="120" stopIfTrue="1" operator="lessThanOrEqual">
      <formula>0</formula>
    </cfRule>
    <cfRule type="cellIs" dxfId="1093" priority="119" stopIfTrue="1" operator="greaterThan">
      <formula>$F67</formula>
    </cfRule>
  </conditionalFormatting>
  <conditionalFormatting sqref="G68:G72">
    <cfRule type="cellIs" dxfId="1092" priority="126" stopIfTrue="1" operator="lessThanOrEqual">
      <formula>0</formula>
    </cfRule>
    <cfRule type="cellIs" dxfId="1091" priority="125" stopIfTrue="1" operator="greaterThan">
      <formula>$J68</formula>
    </cfRule>
  </conditionalFormatting>
  <conditionalFormatting sqref="G77:G82 C80 C82">
    <cfRule type="cellIs" dxfId="1090" priority="153" stopIfTrue="1" operator="greaterThan">
      <formula>4.5</formula>
    </cfRule>
    <cfRule type="cellIs" dxfId="1089" priority="154" stopIfTrue="1" operator="lessThanOrEqual">
      <formula>0</formula>
    </cfRule>
  </conditionalFormatting>
  <conditionalFormatting sqref="G76:H76">
    <cfRule type="cellIs" dxfId="1088" priority="135" stopIfTrue="1" operator="lessThanOrEqual">
      <formula>0</formula>
    </cfRule>
    <cfRule type="cellIs" dxfId="1087" priority="134" stopIfTrue="1" operator="greaterThan">
      <formula>$F$75</formula>
    </cfRule>
  </conditionalFormatting>
  <conditionalFormatting sqref="H10:H19 G20:H23">
    <cfRule type="expression" dxfId="1086" priority="28">
      <formula>IF(+(IF(G10&lt;#REF!,0,IF(G10&gt;#REF!,0,1)))=0,1)</formula>
    </cfRule>
  </conditionalFormatting>
  <conditionalFormatting sqref="H37:H51 I39:I51">
    <cfRule type="cellIs" dxfId="1085" priority="132" stopIfTrue="1" operator="greaterThan">
      <formula>0</formula>
    </cfRule>
  </conditionalFormatting>
  <conditionalFormatting sqref="H55">
    <cfRule type="cellIs" dxfId="1084" priority="45" stopIfTrue="1" operator="lessThanOrEqual">
      <formula>0</formula>
    </cfRule>
    <cfRule type="cellIs" dxfId="1083" priority="44" stopIfTrue="1" operator="greaterThan">
      <formula>$F$20</formula>
    </cfRule>
    <cfRule type="cellIs" dxfId="1082" priority="43" stopIfTrue="1" operator="lessThanOrEqual">
      <formula>0</formula>
    </cfRule>
    <cfRule type="cellIs" dxfId="1081" priority="33" stopIfTrue="1" operator="lessThanOrEqual">
      <formula>0</formula>
    </cfRule>
    <cfRule type="cellIs" dxfId="1080" priority="34" stopIfTrue="1" operator="greaterThan">
      <formula>#REF!</formula>
    </cfRule>
    <cfRule type="cellIs" dxfId="1079" priority="42" stopIfTrue="1" operator="greaterThan">
      <formula>$F$22</formula>
    </cfRule>
  </conditionalFormatting>
  <conditionalFormatting sqref="H56">
    <cfRule type="cellIs" dxfId="1078" priority="72" stopIfTrue="1" operator="greaterThan">
      <formula>$F$22</formula>
    </cfRule>
    <cfRule type="cellIs" dxfId="1077" priority="73" stopIfTrue="1" operator="lessThanOrEqual">
      <formula>0</formula>
    </cfRule>
    <cfRule type="cellIs" dxfId="1076" priority="70" stopIfTrue="1" operator="greaterThan">
      <formula>$F$24</formula>
    </cfRule>
    <cfRule type="cellIs" dxfId="1075" priority="71" stopIfTrue="1" operator="lessThanOrEqual">
      <formula>0</formula>
    </cfRule>
    <cfRule type="cellIs" dxfId="1074" priority="61" stopIfTrue="1" operator="lessThanOrEqual">
      <formula>0</formula>
    </cfRule>
    <cfRule type="cellIs" dxfId="1073" priority="62" stopIfTrue="1" operator="greaterThan">
      <formula>$F$21</formula>
    </cfRule>
  </conditionalFormatting>
  <conditionalFormatting sqref="H57">
    <cfRule type="cellIs" dxfId="1072" priority="13" stopIfTrue="1" operator="lessThanOrEqual">
      <formula>0</formula>
    </cfRule>
    <cfRule type="cellIs" dxfId="1071" priority="14" stopIfTrue="1" operator="greaterThan">
      <formula>#REF!</formula>
    </cfRule>
    <cfRule type="cellIs" dxfId="1070" priority="25" stopIfTrue="1" operator="lessThanOrEqual">
      <formula>0</formula>
    </cfRule>
    <cfRule type="cellIs" dxfId="1069" priority="24" stopIfTrue="1" operator="greaterThan">
      <formula>$F$20</formula>
    </cfRule>
    <cfRule type="cellIs" dxfId="1068" priority="23" stopIfTrue="1" operator="lessThanOrEqual">
      <formula>0</formula>
    </cfRule>
    <cfRule type="cellIs" dxfId="1067" priority="22" stopIfTrue="1" operator="greaterThan">
      <formula>$F$22</formula>
    </cfRule>
  </conditionalFormatting>
  <conditionalFormatting sqref="H58:H59">
    <cfRule type="cellIs" dxfId="1066" priority="48" stopIfTrue="1" operator="greaterThan">
      <formula>$F$20</formula>
    </cfRule>
    <cfRule type="cellIs" dxfId="1065" priority="47" stopIfTrue="1" operator="lessThanOrEqual">
      <formula>0</formula>
    </cfRule>
    <cfRule type="cellIs" dxfId="1064" priority="59" stopIfTrue="1" operator="lessThanOrEqual">
      <formula>0</formula>
    </cfRule>
    <cfRule type="cellIs" dxfId="1063" priority="57" stopIfTrue="1" operator="lessThanOrEqual">
      <formula>0</formula>
    </cfRule>
    <cfRule type="cellIs" dxfId="1062" priority="58" stopIfTrue="1" operator="greaterThan">
      <formula>$F$21</formula>
    </cfRule>
    <cfRule type="cellIs" dxfId="1061" priority="56" stopIfTrue="1" operator="greaterThan">
      <formula>$F$23</formula>
    </cfRule>
  </conditionalFormatting>
  <conditionalFormatting sqref="H60">
    <cfRule type="cellIs" dxfId="1060" priority="78" stopIfTrue="1" operator="lessThanOrEqual">
      <formula>0</formula>
    </cfRule>
    <cfRule type="cellIs" dxfId="1059" priority="79" stopIfTrue="1" operator="greaterThan">
      <formula>$F$36</formula>
    </cfRule>
    <cfRule type="cellIs" dxfId="1058" priority="87" stopIfTrue="1" operator="greaterThan">
      <formula>$F$39</formula>
    </cfRule>
    <cfRule type="cellIs" dxfId="1057" priority="89" stopIfTrue="1" operator="greaterThan">
      <formula>$F$37</formula>
    </cfRule>
    <cfRule type="cellIs" dxfId="1056" priority="90" stopIfTrue="1" operator="lessThanOrEqual">
      <formula>0</formula>
    </cfRule>
    <cfRule type="cellIs" dxfId="1055" priority="88" stopIfTrue="1" operator="lessThanOrEqual">
      <formula>0</formula>
    </cfRule>
  </conditionalFormatting>
  <conditionalFormatting sqref="H64:H71">
    <cfRule type="cellIs" dxfId="1054" priority="111" stopIfTrue="1" operator="greaterThan">
      <formula>$J64</formula>
    </cfRule>
    <cfRule type="cellIs" dxfId="1053" priority="112" stopIfTrue="1" operator="lessThanOrEqual">
      <formula>0</formula>
    </cfRule>
  </conditionalFormatting>
  <conditionalFormatting sqref="H72">
    <cfRule type="cellIs" dxfId="1052" priority="113" operator="greaterThan">
      <formula>5.3</formula>
    </cfRule>
  </conditionalFormatting>
  <conditionalFormatting sqref="H75 H77:H83">
    <cfRule type="cellIs" dxfId="1051" priority="146" stopIfTrue="1" operator="greaterThan">
      <formula>4.5</formula>
    </cfRule>
    <cfRule type="cellIs" dxfId="1050" priority="147" stopIfTrue="1" operator="lessThanOrEqual">
      <formula>0</formula>
    </cfRule>
  </conditionalFormatting>
  <conditionalFormatting sqref="H55:I55">
    <cfRule type="cellIs" dxfId="1049" priority="35" stopIfTrue="1" operator="lessThanOrEqual">
      <formula>0</formula>
    </cfRule>
    <cfRule type="cellIs" dxfId="1048" priority="32" stopIfTrue="1" operator="greaterThan">
      <formula>$F$21</formula>
    </cfRule>
  </conditionalFormatting>
  <conditionalFormatting sqref="H56:I56">
    <cfRule type="cellIs" dxfId="1047" priority="63" stopIfTrue="1" operator="lessThanOrEqual">
      <formula>0</formula>
    </cfRule>
    <cfRule type="cellIs" dxfId="1046" priority="60" stopIfTrue="1" operator="greaterThan">
      <formula>$F$23</formula>
    </cfRule>
  </conditionalFormatting>
  <conditionalFormatting sqref="H57:I57">
    <cfRule type="cellIs" dxfId="1045" priority="12" stopIfTrue="1" operator="greaterThan">
      <formula>$F$21</formula>
    </cfRule>
    <cfRule type="cellIs" dxfId="1044" priority="15" stopIfTrue="1" operator="lessThanOrEqual">
      <formula>0</formula>
    </cfRule>
  </conditionalFormatting>
  <conditionalFormatting sqref="H58:I59">
    <cfRule type="cellIs" dxfId="1043" priority="49" stopIfTrue="1" operator="lessThanOrEqual">
      <formula>0</formula>
    </cfRule>
    <cfRule type="cellIs" dxfId="1042" priority="46" stopIfTrue="1" operator="greaterThan">
      <formula>$F$22</formula>
    </cfRule>
  </conditionalFormatting>
  <conditionalFormatting sqref="H60:I60">
    <cfRule type="cellIs" dxfId="1041" priority="77" stopIfTrue="1" operator="greaterThan">
      <formula>$F$38</formula>
    </cfRule>
    <cfRule type="cellIs" dxfId="1040" priority="80" stopIfTrue="1" operator="lessThanOrEqual">
      <formula>0</formula>
    </cfRule>
  </conditionalFormatting>
  <conditionalFormatting sqref="H73:I73">
    <cfRule type="cellIs" dxfId="1039" priority="103" stopIfTrue="1" operator="lessThanOrEqual">
      <formula>0</formula>
    </cfRule>
    <cfRule type="cellIs" dxfId="1038" priority="102" stopIfTrue="1" operator="greaterThan">
      <formula>$J73</formula>
    </cfRule>
  </conditionalFormatting>
  <conditionalFormatting sqref="I55">
    <cfRule type="cellIs" dxfId="1037" priority="37" stopIfTrue="1" operator="lessThanOrEqual">
      <formula>0</formula>
    </cfRule>
    <cfRule type="cellIs" dxfId="1036" priority="36" stopIfTrue="1" operator="greaterThan">
      <formula>#REF!</formula>
    </cfRule>
    <cfRule type="cellIs" dxfId="1035" priority="41" stopIfTrue="1" operator="lessThanOrEqual">
      <formula>0</formula>
    </cfRule>
    <cfRule type="cellIs" dxfId="1034" priority="40" stopIfTrue="1" operator="greaterThan">
      <formula>#REF!</formula>
    </cfRule>
    <cfRule type="cellIs" dxfId="1033" priority="39" stopIfTrue="1" operator="lessThanOrEqual">
      <formula>0</formula>
    </cfRule>
    <cfRule type="cellIs" dxfId="1032" priority="38" stopIfTrue="1" operator="greaterThan">
      <formula>$F$21</formula>
    </cfRule>
  </conditionalFormatting>
  <conditionalFormatting sqref="I56">
    <cfRule type="cellIs" dxfId="1031" priority="64" stopIfTrue="1" operator="greaterThan">
      <formula>$F$21</formula>
    </cfRule>
    <cfRule type="cellIs" dxfId="1030" priority="67" stopIfTrue="1" operator="lessThanOrEqual">
      <formula>0</formula>
    </cfRule>
    <cfRule type="cellIs" dxfId="1029" priority="66" stopIfTrue="1" operator="greaterThan">
      <formula>$F$23</formula>
    </cfRule>
    <cfRule type="cellIs" dxfId="1028" priority="65" stopIfTrue="1" operator="lessThanOrEqual">
      <formula>0</formula>
    </cfRule>
    <cfRule type="cellIs" dxfId="1027" priority="69" stopIfTrue="1" operator="lessThanOrEqual">
      <formula>0</formula>
    </cfRule>
    <cfRule type="cellIs" dxfId="1026" priority="68" stopIfTrue="1" operator="greaterThan">
      <formula>$F$21</formula>
    </cfRule>
  </conditionalFormatting>
  <conditionalFormatting sqref="I57">
    <cfRule type="cellIs" dxfId="1025" priority="17" stopIfTrue="1" operator="lessThanOrEqual">
      <formula>0</formula>
    </cfRule>
    <cfRule type="cellIs" dxfId="1024" priority="16" stopIfTrue="1" operator="greaterThan">
      <formula>#REF!</formula>
    </cfRule>
    <cfRule type="cellIs" dxfId="1023" priority="21" stopIfTrue="1" operator="lessThanOrEqual">
      <formula>0</formula>
    </cfRule>
    <cfRule type="cellIs" dxfId="1022" priority="20" stopIfTrue="1" operator="greaterThan">
      <formula>#REF!</formula>
    </cfRule>
    <cfRule type="cellIs" dxfId="1021" priority="19" stopIfTrue="1" operator="lessThanOrEqual">
      <formula>0</formula>
    </cfRule>
    <cfRule type="cellIs" dxfId="1020" priority="18" stopIfTrue="1" operator="greaterThan">
      <formula>$F$21</formula>
    </cfRule>
  </conditionalFormatting>
  <conditionalFormatting sqref="I58:I59">
    <cfRule type="cellIs" dxfId="1019" priority="55" stopIfTrue="1" operator="lessThanOrEqual">
      <formula>0</formula>
    </cfRule>
    <cfRule type="cellIs" dxfId="1018" priority="54" stopIfTrue="1" operator="greaterThan">
      <formula>$F$20</formula>
    </cfRule>
    <cfRule type="cellIs" dxfId="1017" priority="53" stopIfTrue="1" operator="lessThanOrEqual">
      <formula>0</formula>
    </cfRule>
    <cfRule type="cellIs" dxfId="1016" priority="52" stopIfTrue="1" operator="greaterThan">
      <formula>$F$22</formula>
    </cfRule>
    <cfRule type="cellIs" dxfId="1015" priority="51" stopIfTrue="1" operator="lessThanOrEqual">
      <formula>0</formula>
    </cfRule>
    <cfRule type="cellIs" dxfId="1014" priority="50" stopIfTrue="1" operator="greaterThan">
      <formula>$F$20</formula>
    </cfRule>
  </conditionalFormatting>
  <conditionalFormatting sqref="I60">
    <cfRule type="cellIs" dxfId="1013" priority="82" stopIfTrue="1" operator="lessThanOrEqual">
      <formula>0</formula>
    </cfRule>
    <cfRule type="cellIs" dxfId="1012" priority="83" stopIfTrue="1" operator="greaterThan">
      <formula>$F$38</formula>
    </cfRule>
    <cfRule type="cellIs" dxfId="1011" priority="84" stopIfTrue="1" operator="lessThanOrEqual">
      <formula>0</formula>
    </cfRule>
    <cfRule type="cellIs" dxfId="1010" priority="85" stopIfTrue="1" operator="greaterThan">
      <formula>$F$36</formula>
    </cfRule>
    <cfRule type="cellIs" dxfId="1009" priority="86" stopIfTrue="1" operator="lessThanOrEqual">
      <formula>0</formula>
    </cfRule>
    <cfRule type="cellIs" dxfId="1008" priority="81" stopIfTrue="1" operator="greaterThan">
      <formula>$F$36</formula>
    </cfRule>
  </conditionalFormatting>
  <conditionalFormatting sqref="I64:I72">
    <cfRule type="cellIs" dxfId="1007" priority="115" stopIfTrue="1" operator="lessThanOrEqual">
      <formula>0</formula>
    </cfRule>
    <cfRule type="cellIs" dxfId="1006" priority="114" stopIfTrue="1" operator="greaterThan">
      <formula>$J64</formula>
    </cfRule>
  </conditionalFormatting>
  <conditionalFormatting sqref="I75:I83">
    <cfRule type="cellIs" dxfId="1005" priority="143" stopIfTrue="1" operator="lessThanOrEqual">
      <formula>0</formula>
    </cfRule>
    <cfRule type="cellIs" dxfId="1004" priority="142" stopIfTrue="1" operator="greaterThan">
      <formula>4.5</formula>
    </cfRule>
  </conditionalFormatting>
  <conditionalFormatting sqref="I10:J23">
    <cfRule type="cellIs" dxfId="1003" priority="1" operator="lessThan">
      <formula>97.9</formula>
    </cfRule>
  </conditionalFormatting>
  <conditionalFormatting sqref="J26:J28">
    <cfRule type="cellIs" dxfId="1002" priority="92" stopIfTrue="1" operator="lessThan">
      <formula>96.8</formula>
    </cfRule>
    <cfRule type="cellIs" dxfId="1001" priority="93" stopIfTrue="1" operator="greaterThan">
      <formula>100</formula>
    </cfRule>
    <cfRule type="cellIs" dxfId="1000" priority="94" operator="lessThan">
      <formula>98</formula>
    </cfRule>
  </conditionalFormatting>
  <conditionalFormatting sqref="J26:J30">
    <cfRule type="cellIs" dxfId="999" priority="91" operator="lessThan">
      <formula>97.4</formula>
    </cfRule>
  </conditionalFormatting>
  <conditionalFormatting sqref="J31">
    <cfRule type="cellIs" dxfId="998" priority="95" operator="lessThan">
      <formula>98</formula>
    </cfRule>
  </conditionalFormatting>
  <conditionalFormatting sqref="J33:J34">
    <cfRule type="cellIs" dxfId="997" priority="96" stopIfTrue="1" operator="lessThan">
      <formula>96.8</formula>
    </cfRule>
    <cfRule type="cellIs" dxfId="996" priority="97" stopIfTrue="1" operator="greaterThan">
      <formula>100</formula>
    </cfRule>
  </conditionalFormatting>
  <conditionalFormatting sqref="J33:J35">
    <cfRule type="cellIs" dxfId="995" priority="98" operator="lessThan">
      <formula>98</formula>
    </cfRule>
  </conditionalFormatting>
  <conditionalFormatting sqref="J73">
    <cfRule type="cellIs" dxfId="994" priority="99" stopIfTrue="1" operator="greaterThan">
      <formula>$F73</formula>
    </cfRule>
    <cfRule type="cellIs" dxfId="993" priority="100" stopIfTrue="1" operator="lessThanOrEqual">
      <formula>0</formula>
    </cfRule>
  </conditionalFormatting>
  <conditionalFormatting sqref="K10:K23">
    <cfRule type="cellIs" dxfId="992" priority="6" operator="greaterThan">
      <formula>6.4</formula>
    </cfRule>
    <cfRule type="cellIs" dxfId="991" priority="5" operator="lessThan">
      <formula>4</formula>
    </cfRule>
    <cfRule type="cellIs" dxfId="990" priority="4" operator="greaterThan">
      <formula>6</formula>
    </cfRule>
  </conditionalFormatting>
  <conditionalFormatting sqref="K55:K60 K64:N70 K71 M71:N71 K72:N72">
    <cfRule type="cellIs" dxfId="989" priority="76" stopIfTrue="1" operator="lessThan">
      <formula>100%</formula>
    </cfRule>
  </conditionalFormatting>
  <conditionalFormatting sqref="K75:K80">
    <cfRule type="cellIs" dxfId="988" priority="148" stopIfTrue="1" operator="lessThan">
      <formula>100%</formula>
    </cfRule>
  </conditionalFormatting>
  <conditionalFormatting sqref="K82:K83">
    <cfRule type="cellIs" dxfId="987" priority="155" stopIfTrue="1" operator="lessThan">
      <formula>100%</formula>
    </cfRule>
  </conditionalFormatting>
  <conditionalFormatting sqref="L10:L18">
    <cfRule type="cellIs" dxfId="986" priority="8" operator="between">
      <formula>61</formula>
      <formula>65</formula>
    </cfRule>
    <cfRule type="cellIs" dxfId="985" priority="9" operator="greaterThan">
      <formula>65</formula>
    </cfRule>
  </conditionalFormatting>
  <conditionalFormatting sqref="L19:M19 L20:L23">
    <cfRule type="cellIs" dxfId="984" priority="29" operator="between">
      <formula>61</formula>
      <formula>65</formula>
    </cfRule>
    <cfRule type="cellIs" dxfId="983" priority="30" operator="greaterThan">
      <formula>65</formula>
    </cfRule>
  </conditionalFormatting>
  <conditionalFormatting sqref="L26:M37">
    <cfRule type="cellIs" dxfId="982" priority="106" operator="lessThan">
      <formula>98</formula>
    </cfRule>
  </conditionalFormatting>
  <conditionalFormatting sqref="L41:N41">
    <cfRule type="cellIs" dxfId="981" priority="31" operator="notEqual">
      <formula>#REF!</formula>
    </cfRule>
  </conditionalFormatting>
  <conditionalFormatting sqref="L73:N73">
    <cfRule type="cellIs" dxfId="980" priority="101" stopIfTrue="1" operator="lessThan">
      <formula>100%</formula>
    </cfRule>
  </conditionalFormatting>
  <conditionalFormatting sqref="L75:N83">
    <cfRule type="cellIs" dxfId="979" priority="133" stopIfTrue="1" operator="lessThan">
      <formula>100%</formula>
    </cfRule>
  </conditionalFormatting>
  <conditionalFormatting sqref="M10:M23">
    <cfRule type="expression" dxfId="978" priority="7">
      <formula>IF(+(IF(M10&lt;U10,0,IF(M10&gt;V10,0,1)))=0,1)</formula>
    </cfRule>
  </conditionalFormatting>
  <conditionalFormatting sqref="N10:N23">
    <cfRule type="expression" dxfId="977" priority="3">
      <formula>IF(+(IF(N10&lt;W10,0,IF(N10&gt;X10,0,1)))=0,1)</formula>
    </cfRule>
  </conditionalFormatting>
  <conditionalFormatting sqref="P6">
    <cfRule type="cellIs" dxfId="976" priority="129" operator="greaterThanOrEqual">
      <formula>19</formula>
    </cfRule>
  </conditionalFormatting>
  <dataValidations count="1">
    <dataValidation type="list" allowBlank="1" showInputMessage="1" showErrorMessage="1" sqref="R8" xr:uid="{2B15EEFC-115A-4D3B-8705-96E64232158F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D995-FA8B-4B96-A271-B312058E7DF9}">
  <sheetPr>
    <pageSetUpPr fitToPage="1"/>
  </sheetPr>
  <dimension ref="A1:BE81"/>
  <sheetViews>
    <sheetView topLeftCell="A6" zoomScale="80" zoomScaleNormal="80" workbookViewId="0">
      <selection activeCell="I20" sqref="I20:O2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45894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[24]Brewhouse!$A712</f>
        <v>CA604</v>
      </c>
      <c r="D10" s="279">
        <f>[24]Brewhouse!$AF712</f>
        <v>54.5</v>
      </c>
      <c r="E10" s="279">
        <f>[24]Brewhouse!$AI712</f>
        <v>52.6</v>
      </c>
      <c r="F10" s="278">
        <f>[24]Brewhouse!$V712</f>
        <v>70</v>
      </c>
      <c r="G10" s="279">
        <f>[24]Brewhouse!AG712</f>
        <v>11.4</v>
      </c>
      <c r="H10" s="396">
        <v>11.6</v>
      </c>
      <c r="I10" s="368">
        <f>[24]Brewhouse!$AU712</f>
        <v>94.406883962835934</v>
      </c>
      <c r="J10" s="368">
        <f>[24]Brewhouse!$AV712</f>
        <v>95.98708180783585</v>
      </c>
      <c r="K10" s="281">
        <f>[24]Brewhouse!$Q712</f>
        <v>5.9074733096085419</v>
      </c>
      <c r="L10" s="276">
        <f>[24]Brewhouse!$P712</f>
        <v>61</v>
      </c>
      <c r="M10" s="397">
        <f>[24]Brewhouse!$U712-[24]Brewhouse!$T712</f>
        <v>0.11527777777777781</v>
      </c>
      <c r="N10" s="370">
        <f>[24]Brewhouse!$Z712</f>
        <v>0.27222222222222225</v>
      </c>
      <c r="O10" s="371" t="str">
        <f>[24]Brewhouse!$AX712</f>
        <v>R. Regis</v>
      </c>
      <c r="P10" s="418"/>
      <c r="R10" s="277" t="str">
        <f t="shared" ref="R10:R30" si="0">B10</f>
        <v>CARIB</v>
      </c>
      <c r="S10" s="296">
        <f t="shared" ref="S10:S30" si="1">VLOOKUP($B10,$R$3:$X$9,2,FALSE)</f>
        <v>11.6</v>
      </c>
      <c r="T10" s="296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296">
        <f t="shared" ref="Z10:Z30" si="8">VLOOKUP($B10,$R$3:$Z$9,9,FALSE)</f>
        <v>60</v>
      </c>
    </row>
    <row r="11" spans="2:29" ht="15.75" customHeight="1">
      <c r="B11" s="29"/>
      <c r="C11" s="366"/>
      <c r="D11" s="279"/>
      <c r="E11" s="279"/>
      <c r="F11" s="278"/>
      <c r="G11" s="279"/>
      <c r="H11" s="396"/>
      <c r="I11" s="422"/>
      <c r="J11" s="422"/>
      <c r="K11" s="476"/>
      <c r="L11" s="276"/>
      <c r="M11" s="374"/>
      <c r="N11" s="370"/>
      <c r="O11" s="423"/>
      <c r="P11" s="418"/>
      <c r="R11" s="277">
        <f t="shared" ref="R11:R27" si="9">B11</f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customHeight="1">
      <c r="B12" s="33" t="s">
        <v>9</v>
      </c>
      <c r="C12" s="366" t="str">
        <f>[22]Brewhouse!$A344</f>
        <v>ST323</v>
      </c>
      <c r="D12" s="279">
        <f>[22]Brewhouse!$AD344</f>
        <v>48.7</v>
      </c>
      <c r="E12" s="279">
        <f>[22]Brewhouse!$AG344</f>
        <v>47.5</v>
      </c>
      <c r="F12" s="278">
        <f>[22]Brewhouse!$V344</f>
        <v>61</v>
      </c>
      <c r="G12" s="279">
        <f>[22]Brewhouse!$AE344</f>
        <v>12</v>
      </c>
      <c r="H12" s="396">
        <v>12</v>
      </c>
      <c r="I12" s="422">
        <f>[22]Brewhouse!$AS344</f>
        <v>94.613353191374685</v>
      </c>
      <c r="J12" s="422">
        <f>[22]Brewhouse!$AT344</f>
        <v>95.97673752965207</v>
      </c>
      <c r="K12" s="281">
        <f>[22]Brewhouse!$Q344</f>
        <v>14.205607476635517</v>
      </c>
      <c r="L12" s="276">
        <f>[22]Brewhouse!$P344</f>
        <v>63</v>
      </c>
      <c r="M12" s="374">
        <f>[22]Brewhouse!$U344-[22]Brewhouse!$T344</f>
        <v>0.10347222222222219</v>
      </c>
      <c r="N12" s="370">
        <f>[22]Brewhouse!$AW344</f>
        <v>0.23055555555555557</v>
      </c>
      <c r="O12" s="423" t="str">
        <f>[22]Brewhouse!$AV344</f>
        <v>K. Benjamin</v>
      </c>
      <c r="P12" s="418"/>
      <c r="R12" s="277" t="str">
        <f t="shared" si="9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[22]Brewhouse!$A345</f>
        <v>ST324</v>
      </c>
      <c r="D13" s="279">
        <f>[22]Brewhouse!$AD345</f>
        <v>50.5</v>
      </c>
      <c r="E13" s="279">
        <f>[22]Brewhouse!$AG345</f>
        <v>49.8</v>
      </c>
      <c r="F13" s="278">
        <f>[22]Brewhouse!$V345</f>
        <v>56</v>
      </c>
      <c r="G13" s="279">
        <f>[22]Brewhouse!$AE345</f>
        <v>12.1</v>
      </c>
      <c r="H13" s="396">
        <v>11.9</v>
      </c>
      <c r="I13" s="422">
        <f>[22]Brewhouse!$AS345</f>
        <v>99.938312405651004</v>
      </c>
      <c r="J13" s="422">
        <f>[22]Brewhouse!$AT345</f>
        <v>101.37889800373389</v>
      </c>
      <c r="K13" s="281">
        <f>[22]Brewhouse!$Q345</f>
        <v>10.694183864915564</v>
      </c>
      <c r="L13" s="276">
        <f>[22]Brewhouse!$P345</f>
        <v>58</v>
      </c>
      <c r="M13" s="374">
        <f>[22]Brewhouse!$U345-[22]Brewhouse!$T345</f>
        <v>0.10763888888888884</v>
      </c>
      <c r="N13" s="370">
        <f>[22]Brewhouse!$AW345</f>
        <v>0.23680555555555549</v>
      </c>
      <c r="O13" s="423" t="str">
        <f>[22]Brewhouse!$AV345</f>
        <v>K. Benjamin</v>
      </c>
      <c r="P13" s="418"/>
      <c r="R13" s="277" t="str">
        <f t="shared" si="9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[22]Brewhouse!$A346</f>
        <v>ST325</v>
      </c>
      <c r="D14" s="279">
        <f>[22]Brewhouse!$AD346</f>
        <v>48.2</v>
      </c>
      <c r="E14" s="279">
        <f>[22]Brewhouse!$AG346</f>
        <v>47.4</v>
      </c>
      <c r="F14" s="278">
        <f>[22]Brewhouse!$V346</f>
        <v>55</v>
      </c>
      <c r="G14" s="279">
        <f>[22]Brewhouse!$AE346</f>
        <v>12.4</v>
      </c>
      <c r="H14" s="396">
        <v>12.5</v>
      </c>
      <c r="I14" s="422">
        <f>[22]Brewhouse!$AS346</f>
        <v>97.966859207422701</v>
      </c>
      <c r="J14" s="422">
        <f>[22]Brewhouse!$AT346</f>
        <v>99.37764628060529</v>
      </c>
      <c r="K14" s="281">
        <f>[22]Brewhouse!$Q346</f>
        <v>11.753731343283578</v>
      </c>
      <c r="L14" s="276">
        <f>[22]Brewhouse!$P346</f>
        <v>59</v>
      </c>
      <c r="M14" s="374">
        <f>[22]Brewhouse!$U346-[22]Brewhouse!$T346</f>
        <v>9.7916666666666652E-2</v>
      </c>
      <c r="N14" s="370">
        <f>[22]Brewhouse!$AW346</f>
        <v>0.22638888888888892</v>
      </c>
      <c r="O14" s="423" t="str">
        <f>[22]Brewhouse!$AV346</f>
        <v>K. Benjamin</v>
      </c>
      <c r="P14" s="418"/>
      <c r="R14" s="277" t="str">
        <f t="shared" si="9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[22]Brewhouse!$A347</f>
        <v>ST326</v>
      </c>
      <c r="D15" s="279">
        <f>[22]Brewhouse!$AD347</f>
        <v>48.5</v>
      </c>
      <c r="E15" s="279">
        <f>[22]Brewhouse!$AG347</f>
        <v>48.1</v>
      </c>
      <c r="F15" s="278">
        <f>[22]Brewhouse!$V347</f>
        <v>60</v>
      </c>
      <c r="G15" s="279">
        <f>[22]Brewhouse!$AE347</f>
        <v>11.9</v>
      </c>
      <c r="H15" s="396">
        <v>11.9</v>
      </c>
      <c r="I15" s="422">
        <f>[22]Brewhouse!$AS347</f>
        <v>95.088374890616095</v>
      </c>
      <c r="J15" s="422">
        <f>[22]Brewhouse!$AT347</f>
        <v>96.458157669081118</v>
      </c>
      <c r="K15" s="281">
        <f>[22]Brewhouse!$Q347</f>
        <v>13.446969696969688</v>
      </c>
      <c r="L15" s="276">
        <f>[22]Brewhouse!$P347</f>
        <v>60</v>
      </c>
      <c r="M15" s="374">
        <f>[22]Brewhouse!$U347-[22]Brewhouse!$T347</f>
        <v>0.11180555555555571</v>
      </c>
      <c r="N15" s="370">
        <f>[22]Brewhouse!$AW347</f>
        <v>0.25902777777777786</v>
      </c>
      <c r="O15" s="423" t="str">
        <f>[22]Brewhouse!$AV347</f>
        <v>R. Regis</v>
      </c>
      <c r="P15" s="418"/>
      <c r="R15" s="277" t="str">
        <f t="shared" si="9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[22]Brewhouse!$A348</f>
        <v>ST327</v>
      </c>
      <c r="D16" s="279">
        <f>[22]Brewhouse!$AD348</f>
        <v>48.9</v>
      </c>
      <c r="E16" s="279">
        <f>[22]Brewhouse!$AG348</f>
        <v>48.2</v>
      </c>
      <c r="F16" s="278">
        <f>[22]Brewhouse!$V348</f>
        <v>53</v>
      </c>
      <c r="G16" s="279">
        <f>[22]Brewhouse!$AE348</f>
        <v>12.1</v>
      </c>
      <c r="H16" s="396">
        <v>12</v>
      </c>
      <c r="I16" s="422">
        <f>[22]Brewhouse!$AS348</f>
        <v>96.848486613901059</v>
      </c>
      <c r="J16" s="422">
        <f>[22]Brewhouse!$AT348</f>
        <v>98.244079364621768</v>
      </c>
      <c r="K16" s="281">
        <f>[22]Brewhouse!$Q348</f>
        <v>11.028037383177567</v>
      </c>
      <c r="L16" s="276">
        <f>[22]Brewhouse!$P348</f>
        <v>60</v>
      </c>
      <c r="M16" s="374">
        <f>[22]Brewhouse!$U348-[22]Brewhouse!$T348</f>
        <v>0.10347222222222219</v>
      </c>
      <c r="N16" s="370">
        <f>[22]Brewhouse!$AW348</f>
        <v>0.24791666666666667</v>
      </c>
      <c r="O16" s="423" t="str">
        <f>[22]Brewhouse!$AV348</f>
        <v>R. Regis</v>
      </c>
      <c r="P16" s="418"/>
      <c r="R16" s="277" t="str">
        <f t="shared" si="9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477">
        <v>45892</v>
      </c>
      <c r="C17" s="366"/>
      <c r="D17" s="279"/>
      <c r="E17" s="279"/>
      <c r="F17" s="278"/>
      <c r="G17" s="279"/>
      <c r="H17" s="396"/>
      <c r="I17" s="422"/>
      <c r="J17" s="422"/>
      <c r="K17" s="281"/>
      <c r="L17" s="276"/>
      <c r="M17" s="374"/>
      <c r="N17" s="370"/>
      <c r="O17" s="423"/>
      <c r="P17" s="418"/>
      <c r="R17" s="277">
        <f t="shared" si="9"/>
        <v>45892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.75" customHeight="1">
      <c r="B18" s="33" t="s">
        <v>9</v>
      </c>
      <c r="C18" s="366" t="str">
        <f>[22]Brewhouse!$A349</f>
        <v>ST328</v>
      </c>
      <c r="D18" s="279">
        <f>[22]Brewhouse!$AD349</f>
        <v>50.9</v>
      </c>
      <c r="E18" s="279">
        <f>[22]Brewhouse!$AG349</f>
        <v>50.2</v>
      </c>
      <c r="F18" s="278">
        <f>[22]Brewhouse!$V349</f>
        <v>62</v>
      </c>
      <c r="G18" s="279">
        <f>[22]Brewhouse!$AE349</f>
        <v>12</v>
      </c>
      <c r="H18" s="396">
        <v>12</v>
      </c>
      <c r="I18" s="422">
        <f>[22]Brewhouse!$AS349</f>
        <v>100.11666028610431</v>
      </c>
      <c r="J18" s="422">
        <f>[22]Brewhouse!$AT349</f>
        <v>101.55887735264997</v>
      </c>
      <c r="K18" s="281">
        <f>[22]Brewhouse!$Q349</f>
        <v>11.049723756906065</v>
      </c>
      <c r="L18" s="276">
        <f>[22]Brewhouse!$P349</f>
        <v>60</v>
      </c>
      <c r="M18" s="374">
        <f>[22]Brewhouse!$U349-[22]Brewhouse!$T349</f>
        <v>0.11319444444444446</v>
      </c>
      <c r="N18" s="370">
        <f>[22]Brewhouse!$AW349</f>
        <v>0.24652777777777779</v>
      </c>
      <c r="O18" s="423" t="str">
        <f>[22]Brewhouse!$AV349</f>
        <v>R. Regis</v>
      </c>
      <c r="P18" s="418"/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33" t="s">
        <v>9</v>
      </c>
      <c r="C19" s="366" t="str">
        <f>[22]Brewhouse!$A350</f>
        <v>ST329</v>
      </c>
      <c r="D19" s="279">
        <f>[22]Brewhouse!$AD350</f>
        <v>50.2</v>
      </c>
      <c r="E19" s="279">
        <f>[22]Brewhouse!$AG350</f>
        <v>49.8</v>
      </c>
      <c r="F19" s="278">
        <f>[22]Brewhouse!$V350</f>
        <v>52</v>
      </c>
      <c r="G19" s="279">
        <f>[22]Brewhouse!$AE350</f>
        <v>11.9</v>
      </c>
      <c r="H19" s="396">
        <v>11.9</v>
      </c>
      <c r="I19" s="422">
        <f>[22]Brewhouse!$AS350</f>
        <v>98.449086685086911</v>
      </c>
      <c r="J19" s="422">
        <f>[22]Brewhouse!$AT350</f>
        <v>99.86728174470349</v>
      </c>
      <c r="K19" s="281">
        <f>[22]Brewhouse!$Q350</f>
        <v>12.154696132596674</v>
      </c>
      <c r="L19" s="276">
        <f>[22]Brewhouse!$P350</f>
        <v>61</v>
      </c>
      <c r="M19" s="374">
        <f>[22]Brewhouse!$U350-[22]Brewhouse!$T350</f>
        <v>0.10138888888888892</v>
      </c>
      <c r="N19" s="370">
        <f>[22]Brewhouse!$AW350</f>
        <v>0.23750000000000002</v>
      </c>
      <c r="O19" s="423" t="str">
        <f>[22]Brewhouse!$AV350</f>
        <v>R. Regis</v>
      </c>
      <c r="P19" s="418"/>
      <c r="R19" s="277" t="str">
        <f t="shared" si="9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.75" customHeight="1">
      <c r="B20" s="33" t="s">
        <v>9</v>
      </c>
      <c r="C20" s="366" t="str">
        <f>[22]Brewhouse!$A351</f>
        <v>ST330</v>
      </c>
      <c r="D20" s="279">
        <f>[22]Brewhouse!$AD351</f>
        <v>50.8</v>
      </c>
      <c r="E20" s="279">
        <f>[22]Brewhouse!$AG351</f>
        <v>50.2</v>
      </c>
      <c r="F20" s="278">
        <f>[22]Brewhouse!$V351</f>
        <v>64</v>
      </c>
      <c r="G20" s="279">
        <f>[22]Brewhouse!$AE351</f>
        <v>11.9</v>
      </c>
      <c r="H20" s="396">
        <v>11.9</v>
      </c>
      <c r="I20" s="422">
        <f>[22]Brewhouse!$AS351</f>
        <v>99.364341668365995</v>
      </c>
      <c r="J20" s="422">
        <f>[22]Brewhouse!$AT351</f>
        <v>100.79525340622446</v>
      </c>
      <c r="K20" s="281">
        <f>[22]Brewhouse!$Q351</f>
        <v>13.099630996309966</v>
      </c>
      <c r="L20" s="276">
        <f>[22]Brewhouse!$P351</f>
        <v>61</v>
      </c>
      <c r="M20" s="374">
        <f>[22]Brewhouse!$U351-[22]Brewhouse!$T351</f>
        <v>0.11597222222222225</v>
      </c>
      <c r="N20" s="370">
        <f>[22]Brewhouse!$AW351</f>
        <v>0.28958333333333336</v>
      </c>
      <c r="O20" s="423" t="str">
        <f>[22]Brewhouse!$AV351</f>
        <v>K. Benjamin</v>
      </c>
      <c r="P20" s="418" t="s">
        <v>199</v>
      </c>
      <c r="R20" s="277" t="str">
        <f t="shared" si="9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422"/>
      <c r="J21" s="422"/>
      <c r="K21" s="476"/>
      <c r="L21" s="276"/>
      <c r="M21" s="374"/>
      <c r="N21" s="370"/>
      <c r="O21" s="423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customHeight="1">
      <c r="B22" s="29"/>
      <c r="C22" s="366"/>
      <c r="D22" s="279"/>
      <c r="E22" s="279"/>
      <c r="F22" s="278"/>
      <c r="G22" s="279"/>
      <c r="H22" s="471"/>
      <c r="I22" s="422"/>
      <c r="J22" s="422"/>
      <c r="K22" s="281"/>
      <c r="L22" s="276"/>
      <c r="M22" s="374"/>
      <c r="N22" s="370"/>
      <c r="O22" s="423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29"/>
      <c r="J27" s="529"/>
      <c r="K27" s="529"/>
      <c r="L27" s="529"/>
      <c r="M27" s="529"/>
      <c r="N27" s="529"/>
      <c r="O27" s="1"/>
      <c r="P27" s="12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thickBot="1">
      <c r="B28" s="388" t="s">
        <v>162</v>
      </c>
      <c r="C28" s="388"/>
      <c r="D28" s="542" t="s">
        <v>35</v>
      </c>
      <c r="E28" s="543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83" t="str">
        <f>I29</f>
        <v>CARIB</v>
      </c>
      <c r="C29" s="362">
        <f>[24]Process!$D663</f>
        <v>11.8</v>
      </c>
      <c r="D29" s="533">
        <v>11.68</v>
      </c>
      <c r="E29" s="522"/>
      <c r="F29" s="294"/>
      <c r="G29" s="294"/>
      <c r="H29" s="348"/>
      <c r="I29" s="29" t="s">
        <v>6</v>
      </c>
      <c r="J29" s="280"/>
      <c r="K29" s="284">
        <f>COUNTA([24]Brewhouse!$A$655:$A$712)</f>
        <v>58</v>
      </c>
      <c r="L29" s="305">
        <f>AVERAGE([24]Brewhouse!$AU$655:$AU$712)</f>
        <v>96.715439984851429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$712)</f>
        <v>97.766528896448975</v>
      </c>
      <c r="N29" s="30">
        <v>98</v>
      </c>
      <c r="O29" s="11"/>
      <c r="P29" s="31"/>
      <c r="R29" s="277" t="str">
        <f t="shared" si="0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1:26" ht="15" customHeight="1">
      <c r="A30" s="28"/>
      <c r="B30" s="584"/>
      <c r="C30" s="362">
        <f>[24]Process!$D664</f>
        <v>11.9</v>
      </c>
      <c r="D30" s="534"/>
      <c r="E30" s="517"/>
      <c r="F30" s="294"/>
      <c r="G30" s="294"/>
      <c r="H30" s="348"/>
      <c r="I30" s="33" t="s">
        <v>9</v>
      </c>
      <c r="J30" s="280"/>
      <c r="K30" s="284">
        <f>COUNTA([22]Brewhouse!$A$324:$A$351)</f>
        <v>28</v>
      </c>
      <c r="L30" s="302">
        <f>AVERAGE([22]Brewhouse!$AS$324:$AS$351)</f>
        <v>97.947765983174435</v>
      </c>
      <c r="M30" s="302">
        <f>AVERAGE([22]Brewhouse!$AS$15:$AS$64,[22]Brewhouse!$AS$66:$AS$103,[22]Brewhouse!$AS$105:$AS$140,[22]Brewhouse!$AS$142:$AS$193,[22]Brewhouse!$AS$195:$AS$240,[22]Brewhouse!$AS$242:$AS$273,[22]Brewhouse!$AS$275:$AS$322,[22]Brewhouse!$AS$324:$AS$351)</f>
        <v>98.056103648802193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84"/>
      <c r="C31" s="362">
        <f>[24]Process!$D665</f>
        <v>12</v>
      </c>
      <c r="D31" s="533">
        <v>11.64</v>
      </c>
      <c r="E31" s="522"/>
      <c r="F31" s="294"/>
      <c r="G31" s="294"/>
      <c r="H31" s="348"/>
      <c r="I31" s="34" t="s">
        <v>12</v>
      </c>
      <c r="J31" s="280"/>
      <c r="K31" s="284">
        <f>COUNTA([25]Brewhouse!$A$81:$A$84)</f>
        <v>4</v>
      </c>
      <c r="L31" s="302">
        <f>AVERAGE([25]Brewhouse!$AU$81:$AU$84)</f>
        <v>96.0203759926994</v>
      </c>
      <c r="M31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65" customHeight="1">
      <c r="A32" s="28"/>
      <c r="B32" s="584"/>
      <c r="C32" s="362">
        <f>[24]Process!$D666</f>
        <v>11.7</v>
      </c>
      <c r="D32" s="534"/>
      <c r="E32" s="517"/>
      <c r="F32" s="294"/>
      <c r="G32" s="294"/>
      <c r="H32" s="348"/>
      <c r="I32" s="22" t="s">
        <v>33</v>
      </c>
      <c r="J32" s="280"/>
      <c r="K32" s="284">
        <f>COUNTA([26]Brewhouse!$A$64:$A$77)</f>
        <v>14</v>
      </c>
      <c r="L32" s="302">
        <f>AVERAGE([26]Brewhouse!$AV$64:$AV$77)</f>
        <v>97.585594897114063</v>
      </c>
      <c r="M32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65" customHeight="1">
      <c r="A33" s="28"/>
      <c r="B33" s="584"/>
      <c r="C33" s="362">
        <f>[24]Process!$D667</f>
        <v>11.6</v>
      </c>
      <c r="D33" s="533">
        <v>11.64</v>
      </c>
      <c r="E33" s="522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65" customHeight="1">
      <c r="A34" s="28"/>
      <c r="B34" s="584"/>
      <c r="C34" s="362">
        <f>[24]Process!$D668</f>
        <v>11.9</v>
      </c>
      <c r="D34" s="534"/>
      <c r="E34" s="517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AVERAGE([27]Brewhouse!$AT$4:$AT$11,[27]Brewhouse!$AT$13:$AT$16,[27]Brewhouse!$AT$18:$AT$21,[27]Brewhouse!$AT$26)</f>
        <v>94.588057846623641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84"/>
      <c r="C35" s="362">
        <f>[24]Process!$D669</f>
        <v>11.7</v>
      </c>
      <c r="D35" s="533">
        <v>11.66</v>
      </c>
      <c r="E35" s="522"/>
      <c r="F35" s="417"/>
      <c r="G35" s="294"/>
      <c r="H35" s="348"/>
      <c r="I35" s="37" t="s">
        <v>16</v>
      </c>
      <c r="J35" s="323"/>
      <c r="K35" s="284"/>
      <c r="L35" s="302"/>
      <c r="M35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84"/>
      <c r="C36" s="362">
        <f>[24]Process!$D670</f>
        <v>11.6</v>
      </c>
      <c r="D36" s="534"/>
      <c r="E36" s="517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AVERAGE([28]Brewhouse!$AU$5:$AU$8,[28]Brewhouse!$AU$10:$AU$13)</f>
        <v>94.247666625193744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65" customHeight="1">
      <c r="A37" s="28"/>
      <c r="B37" s="584"/>
      <c r="C37" s="349"/>
      <c r="D37" s="533"/>
      <c r="E37" s="522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84"/>
      <c r="C38" s="349"/>
      <c r="D38" s="534"/>
      <c r="E38" s="517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84"/>
      <c r="C39" s="349"/>
      <c r="D39" s="533"/>
      <c r="E39" s="522"/>
      <c r="F39" s="294"/>
      <c r="G39" s="294"/>
      <c r="H39" s="348"/>
      <c r="I39" s="1"/>
      <c r="J39" s="39"/>
      <c r="K39" s="404">
        <f>SUM(K29:K38)</f>
        <v>104</v>
      </c>
      <c r="L39" s="405">
        <f>((L29*K29)+(L30*K30)+(L31*K31)+(L32*K32)+(L33*K33)+(K36*L36)+(L34*K34)+(L35*K35)+(L38*K38))/(K39)</f>
        <v>97.137623069044821</v>
      </c>
      <c r="M39" s="405">
        <f>AVERAGE('[31]Jan 31st'!$L$65,'[32]Feb 28th'!$L$35,'[33]Mar. 31st'!$L$35,'[34]Apr. 30th'!$L$45,'[35]May 30th'!$L$37,'[36]June 30th'!$L$57,L39)</f>
        <v>97.584219080872387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.75" thickBot="1">
      <c r="B40" s="585"/>
      <c r="C40" s="350"/>
      <c r="D40" s="534"/>
      <c r="E40" s="517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.75" thickBot="1">
      <c r="B41" s="593"/>
      <c r="C41" s="362"/>
      <c r="D41" s="514"/>
      <c r="E41" s="515"/>
      <c r="F41" s="294"/>
      <c r="G41" s="42"/>
      <c r="H41" s="41"/>
      <c r="I41" s="42"/>
      <c r="J41" s="569" t="s">
        <v>129</v>
      </c>
      <c r="K41" s="569"/>
      <c r="L41" s="294"/>
      <c r="M41" s="294"/>
      <c r="N41" s="294"/>
      <c r="O41" s="294"/>
      <c r="P41" s="12"/>
    </row>
    <row r="42" spans="1:56" ht="15.75" thickBot="1">
      <c r="B42" s="584"/>
      <c r="C42" s="362"/>
      <c r="D42" s="516"/>
      <c r="E42" s="517"/>
      <c r="F42" s="294"/>
      <c r="G42" s="42"/>
      <c r="H42" s="41"/>
      <c r="I42" s="292" t="s">
        <v>17</v>
      </c>
      <c r="J42" s="293" t="s">
        <v>197</v>
      </c>
      <c r="K42" s="293" t="s">
        <v>198</v>
      </c>
      <c r="L42" s="519" t="s">
        <v>136</v>
      </c>
      <c r="M42" s="519"/>
      <c r="N42" s="520"/>
      <c r="O42" s="294"/>
      <c r="P42" s="12"/>
    </row>
    <row r="43" spans="1:56" ht="15" customHeight="1" thickBot="1">
      <c r="B43" s="584"/>
      <c r="C43" s="349"/>
      <c r="D43" s="570"/>
      <c r="E43" s="571"/>
      <c r="F43" s="294"/>
      <c r="G43" s="42"/>
      <c r="H43" s="41"/>
      <c r="I43" s="287" t="s">
        <v>6</v>
      </c>
      <c r="J43" s="324">
        <v>1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84"/>
      <c r="C44" s="349"/>
      <c r="D44" s="516"/>
      <c r="E44" s="517"/>
      <c r="F44" s="294"/>
      <c r="G44" s="42"/>
      <c r="H44" s="41"/>
      <c r="I44" s="345" t="s">
        <v>9</v>
      </c>
      <c r="J44" s="324">
        <v>5</v>
      </c>
      <c r="K44" s="324">
        <v>3</v>
      </c>
      <c r="L44" s="344">
        <f>AVERAGE('Aug 4th '!K58,'Aug 5th '!K58,'Aug 6th '!K58,'Aug 7th '!K58,'Aug 8th '!K48,'Aug 13th'!K52,'Aug 14th'!K51,'Aug 15th-16th'!J57,'Aug 15th-16th'!K57,'Aug 18th'!K54,'Aug 19th'!K56,'Aug 20th'!K59,'Aug 22nd-23rd'!K53,'Aug 22nd-23rd'!J53)</f>
        <v>6.9285714285714288</v>
      </c>
      <c r="M44" s="325">
        <f>AVERAGE('[31]Jan 29th '!$M$70,'[32]Feb 28th'!$L$40,'[33]Mar. 31st'!$L$40,'[34]Apr. 30th'!$L$50,'[35]May 30th'!$L$42,'[36]June 30th'!$L$62,'[37]July 29th '!$L$49,L44)</f>
        <v>6.905686037837067</v>
      </c>
      <c r="N44" s="416">
        <v>9.1999999999999993</v>
      </c>
      <c r="O44" s="294"/>
      <c r="P44" s="12"/>
    </row>
    <row r="45" spans="1:56" ht="15" customHeight="1">
      <c r="B45" s="584"/>
      <c r="C45" s="349"/>
      <c r="D45" s="570"/>
      <c r="E45" s="571"/>
      <c r="F45" s="294"/>
      <c r="G45" s="42"/>
      <c r="H45" s="41"/>
      <c r="I45" s="288" t="s">
        <v>40</v>
      </c>
      <c r="J45" s="324"/>
      <c r="K45" s="324"/>
      <c r="L45" s="294"/>
      <c r="M45" s="294"/>
      <c r="N45" s="294"/>
      <c r="O45" s="294"/>
      <c r="P45" s="12"/>
    </row>
    <row r="46" spans="1:56" ht="15" customHeight="1">
      <c r="B46" s="584"/>
      <c r="C46" s="349"/>
      <c r="D46" s="516"/>
      <c r="E46" s="517"/>
      <c r="F46" s="294"/>
      <c r="G46" s="42"/>
      <c r="H46" s="41"/>
      <c r="I46" s="289" t="s">
        <v>33</v>
      </c>
      <c r="J46" s="324"/>
      <c r="K46" s="324"/>
      <c r="L46" s="294"/>
      <c r="M46" s="294"/>
      <c r="N46" s="294"/>
      <c r="O46" s="294"/>
      <c r="P46" s="12"/>
    </row>
    <row r="47" spans="1:56" ht="15">
      <c r="B47" s="584"/>
      <c r="C47" s="349"/>
      <c r="D47" s="570"/>
      <c r="E47" s="571"/>
      <c r="F47" s="294"/>
      <c r="G47" s="42"/>
      <c r="H47" s="41"/>
      <c r="I47" s="290" t="s">
        <v>16</v>
      </c>
      <c r="J47" s="324"/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4"/>
      <c r="C48" s="349"/>
      <c r="D48" s="516"/>
      <c r="E48" s="517"/>
      <c r="F48" s="294"/>
      <c r="G48" s="42"/>
      <c r="H48" s="41"/>
      <c r="I48" s="291" t="s">
        <v>15</v>
      </c>
      <c r="J48" s="324"/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84"/>
      <c r="C49" s="349"/>
      <c r="D49" s="570"/>
      <c r="E49" s="571"/>
      <c r="F49" s="294"/>
      <c r="G49" s="42"/>
      <c r="H49" s="41"/>
      <c r="I49" s="291" t="s">
        <v>149</v>
      </c>
      <c r="J49" s="324"/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85"/>
      <c r="C50" s="350"/>
      <c r="D50" s="572"/>
      <c r="E50" s="573"/>
      <c r="F50" s="294"/>
      <c r="G50" s="42"/>
      <c r="H50" s="41"/>
      <c r="I50" s="291" t="s">
        <v>148</v>
      </c>
      <c r="J50" s="324"/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4">
        <f>AVERAGE(D29:E50)</f>
        <v>11.655000000000001</v>
      </c>
      <c r="E51" s="575"/>
      <c r="F51" s="294"/>
      <c r="H51" s="41"/>
      <c r="I51" s="295" t="s">
        <v>134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295" t="s">
        <v>131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346" t="s">
        <v>130</v>
      </c>
      <c r="J53" s="324">
        <f>SUM(J43:J52)</f>
        <v>6</v>
      </c>
      <c r="K53" s="324">
        <f>SUM(K43:K52)</f>
        <v>3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1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495" t="s">
        <v>17</v>
      </c>
      <c r="C56" s="495" t="s">
        <v>44</v>
      </c>
      <c r="D56" s="507" t="s">
        <v>45</v>
      </c>
      <c r="E56" s="509" t="s">
        <v>46</v>
      </c>
      <c r="F56" s="503" t="s">
        <v>47</v>
      </c>
      <c r="G56" s="493" t="s">
        <v>48</v>
      </c>
      <c r="H56" s="495" t="s">
        <v>49</v>
      </c>
      <c r="I56" s="495" t="s">
        <v>50</v>
      </c>
      <c r="J56" s="487" t="s">
        <v>28</v>
      </c>
      <c r="K56" s="499" t="s">
        <v>51</v>
      </c>
      <c r="L56" s="501" t="s">
        <v>52</v>
      </c>
      <c r="M56" s="487" t="s">
        <v>53</v>
      </c>
      <c r="N56" s="13"/>
      <c r="O56" s="13"/>
      <c r="P56" s="50"/>
    </row>
    <row r="57" spans="2:57" ht="28.5" customHeight="1" thickTop="1" thickBot="1">
      <c r="B57" s="496"/>
      <c r="C57" s="496"/>
      <c r="D57" s="508"/>
      <c r="E57" s="510"/>
      <c r="F57" s="504"/>
      <c r="G57" s="494"/>
      <c r="H57" s="496"/>
      <c r="I57" s="496"/>
      <c r="J57" s="488"/>
      <c r="K57" s="500"/>
      <c r="L57" s="502"/>
      <c r="M57" s="488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9.45" customHeight="1" thickBot="1">
      <c r="B58" s="475" t="str">
        <f>I43</f>
        <v>CARIB</v>
      </c>
      <c r="C58" s="445">
        <v>45891</v>
      </c>
      <c r="D58" s="446">
        <f>[38]August_2025!$Y$3</f>
        <v>407.00000000000006</v>
      </c>
      <c r="E58" s="447"/>
      <c r="F58" s="448"/>
      <c r="G58" s="449">
        <f>[38]August_2025!$Y$7</f>
        <v>394.4</v>
      </c>
      <c r="H58" s="450"/>
      <c r="I58" s="451"/>
      <c r="J58" s="452" t="s">
        <v>150</v>
      </c>
      <c r="K58" s="453">
        <f>[39]August_2025!$Y$18</f>
        <v>1.383859649122807</v>
      </c>
      <c r="L58" s="464">
        <f>(((D58+E58)-G58)/(D58+E58))*100</f>
        <v>3.095823095823115</v>
      </c>
      <c r="M58" s="465" t="s">
        <v>170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69"/>
      <c r="C59" s="434"/>
      <c r="D59" s="435"/>
      <c r="E59" s="436"/>
      <c r="F59" s="437"/>
      <c r="G59" s="438"/>
      <c r="H59" s="439"/>
      <c r="I59" s="454"/>
      <c r="J59" s="455"/>
      <c r="K59" s="440"/>
      <c r="L59" s="456"/>
      <c r="M59" s="42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59.45" hidden="1" customHeight="1" thickBot="1">
      <c r="B60" s="475"/>
      <c r="C60" s="445"/>
      <c r="D60" s="446"/>
      <c r="E60" s="447"/>
      <c r="F60" s="448"/>
      <c r="G60" s="449"/>
      <c r="H60" s="450"/>
      <c r="I60" s="451"/>
      <c r="J60" s="452"/>
      <c r="K60" s="453"/>
      <c r="L60" s="466" t="e">
        <f>(((D60+E60)-G60)/(D60+E60))*100</f>
        <v>#DIV/0!</v>
      </c>
      <c r="M60" s="46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8"/>
      <c r="C61" s="434"/>
      <c r="D61" s="435"/>
      <c r="E61" s="436"/>
      <c r="F61" s="437"/>
      <c r="G61" s="438"/>
      <c r="H61" s="439"/>
      <c r="I61" s="454"/>
      <c r="J61" s="455"/>
      <c r="K61" s="440"/>
      <c r="L61" s="456"/>
      <c r="M61" s="42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6.6" hidden="1" customHeight="1" thickBot="1">
      <c r="B62" s="387"/>
      <c r="C62" s="445">
        <v>45873</v>
      </c>
      <c r="D62" s="446"/>
      <c r="E62" s="447"/>
      <c r="F62" s="448"/>
      <c r="G62" s="449"/>
      <c r="H62" s="450"/>
      <c r="I62" s="451"/>
      <c r="J62" s="452" t="s">
        <v>163</v>
      </c>
      <c r="K62" s="453"/>
      <c r="L62" s="459" t="e">
        <f>(((D62+E62)-G62)/(D62+E62))*100</f>
        <v>#DIV/0!</v>
      </c>
      <c r="M62" s="46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41"/>
      <c r="C63" s="427"/>
      <c r="D63" s="428"/>
      <c r="E63" s="429"/>
      <c r="F63" s="430"/>
      <c r="G63" s="431"/>
      <c r="H63" s="432"/>
      <c r="I63" s="442"/>
      <c r="J63" s="443"/>
      <c r="K63" s="433"/>
      <c r="L63" s="444"/>
      <c r="M63" s="426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89" t="s">
        <v>55</v>
      </c>
      <c r="C65" s="490"/>
      <c r="D65" s="490"/>
      <c r="E65" s="490"/>
      <c r="F65" s="491"/>
      <c r="G65" s="489" t="s">
        <v>56</v>
      </c>
      <c r="H65" s="490"/>
      <c r="I65" s="490"/>
      <c r="J65" s="491"/>
      <c r="K65" s="489" t="s">
        <v>51</v>
      </c>
      <c r="L65" s="490"/>
      <c r="M65" s="490"/>
      <c r="N65" s="492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>
        <f>L58</f>
        <v>3.095823095823115</v>
      </c>
      <c r="D67" s="76">
        <v>4.931140364211239</v>
      </c>
      <c r="E67" s="76">
        <v>6.1957696007512126</v>
      </c>
      <c r="F67" s="66">
        <v>4.8</v>
      </c>
      <c r="G67" s="65">
        <f>[38]August_2025!$Y$11</f>
        <v>4.2756629120265623</v>
      </c>
      <c r="H67" s="76">
        <v>6.9340478782129695</v>
      </c>
      <c r="I67" s="76">
        <v>6.2615666585643188</v>
      </c>
      <c r="J67" s="66">
        <v>4.8</v>
      </c>
      <c r="K67" s="67">
        <f>K58</f>
        <v>1.383859649122807</v>
      </c>
      <c r="L67" s="194">
        <v>1.0756140350877192</v>
      </c>
      <c r="M67" s="194">
        <v>0.7684191168003327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4.8352458838586454</v>
      </c>
      <c r="E68" s="76">
        <v>5.8467024060595829</v>
      </c>
      <c r="F68" s="66">
        <v>4.8</v>
      </c>
      <c r="G68" s="65"/>
      <c r="H68" s="76">
        <v>5.4081292916136592</v>
      </c>
      <c r="I68" s="76">
        <v>5.5174185987401785</v>
      </c>
      <c r="J68" s="66">
        <v>4.8</v>
      </c>
      <c r="K68" s="67"/>
      <c r="L68" s="194">
        <v>0.673187134502924</v>
      </c>
      <c r="M68" s="194">
        <v>0.75083800083487295</v>
      </c>
      <c r="N68" s="68">
        <v>1</v>
      </c>
      <c r="P68" s="69"/>
    </row>
    <row r="69" spans="2:16" ht="15">
      <c r="B69" s="34" t="s">
        <v>40</v>
      </c>
      <c r="C69" s="65"/>
      <c r="D69" s="76">
        <v>8.0382775119617147</v>
      </c>
      <c r="E69" s="76">
        <v>11.429743886837057</v>
      </c>
      <c r="F69" s="66">
        <v>5.5</v>
      </c>
      <c r="G69" s="65"/>
      <c r="H69" s="76">
        <v>10.370027728825649</v>
      </c>
      <c r="I69" s="76">
        <v>13.047305235287777</v>
      </c>
      <c r="J69" s="66">
        <v>5.5</v>
      </c>
      <c r="K69" s="67"/>
      <c r="L69" s="194">
        <v>0.67438596491228076</v>
      </c>
      <c r="M69" s="194">
        <v>0.55172216056233814</v>
      </c>
      <c r="N69" s="68">
        <v>1</v>
      </c>
      <c r="P69" s="69"/>
    </row>
    <row r="70" spans="2:16" ht="15">
      <c r="B70" s="22" t="s">
        <v>33</v>
      </c>
      <c r="C70" s="65"/>
      <c r="D70" s="76">
        <v>3.992015968063888</v>
      </c>
      <c r="E70" s="76">
        <v>4.8818566667667298</v>
      </c>
      <c r="F70" s="66">
        <v>3.3</v>
      </c>
      <c r="G70" s="65"/>
      <c r="H70" s="76">
        <v>4.3345910844408779</v>
      </c>
      <c r="I70" s="76">
        <v>4.7612385632312364</v>
      </c>
      <c r="J70" s="66">
        <v>3.3</v>
      </c>
      <c r="K70" s="67"/>
      <c r="L70" s="194">
        <v>1.016578947368421</v>
      </c>
      <c r="M70" s="194">
        <v>0.82603070175438598</v>
      </c>
      <c r="N70" s="68">
        <v>1</v>
      </c>
      <c r="P70" s="69"/>
    </row>
    <row r="71" spans="2:16" ht="15">
      <c r="B71" s="35" t="s">
        <v>165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>
        <v>5.2552552552552552</v>
      </c>
      <c r="E72" s="76">
        <v>6.9158697961943529</v>
      </c>
      <c r="F72" s="70">
        <f>[21]May_2022!$M$43</f>
        <v>3.4878406700073312</v>
      </c>
      <c r="G72" s="282"/>
      <c r="H72" s="76">
        <v>6.7916330640214131</v>
      </c>
      <c r="I72" s="76">
        <v>8.5598888260252064</v>
      </c>
      <c r="J72" s="66">
        <v>5.5</v>
      </c>
      <c r="K72" s="67"/>
      <c r="L72" s="194">
        <v>0.66421052631578947</v>
      </c>
      <c r="M72" s="194">
        <v>0.60705263157894729</v>
      </c>
      <c r="N72" s="68">
        <v>1</v>
      </c>
      <c r="P72" s="69"/>
    </row>
    <row r="73" spans="2:16" ht="15">
      <c r="B73" s="37" t="s">
        <v>16</v>
      </c>
      <c r="C73" s="65"/>
      <c r="D73" s="76">
        <v>4.1414141414141357</v>
      </c>
      <c r="E73" s="76">
        <v>3.0301127264734369</v>
      </c>
      <c r="F73" s="66">
        <v>3.3</v>
      </c>
      <c r="G73" s="282"/>
      <c r="H73" s="76">
        <v>7.0415942868172152</v>
      </c>
      <c r="I73" s="76">
        <v>4.4974189022907662</v>
      </c>
      <c r="J73" s="66">
        <v>3.3</v>
      </c>
      <c r="K73" s="67"/>
      <c r="L73" s="194">
        <v>0.33298245614035088</v>
      </c>
      <c r="M73" s="194">
        <v>0.80374720357941831</v>
      </c>
      <c r="N73" s="71">
        <v>1</v>
      </c>
      <c r="P73" s="69"/>
    </row>
    <row r="74" spans="2:16" ht="15.75" thickBot="1">
      <c r="B74" s="38" t="s">
        <v>164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5.0122568537403884</v>
      </c>
      <c r="E76" s="76">
        <v>6.2561530091176252</v>
      </c>
      <c r="F76" s="341">
        <v>5.5</v>
      </c>
      <c r="H76" s="76">
        <v>6.5621968305462266</v>
      </c>
      <c r="I76" s="76">
        <v>6.5759292284197146</v>
      </c>
      <c r="J76" s="341">
        <v>5.5</v>
      </c>
      <c r="L76" s="194">
        <v>0.83619493177387905</v>
      </c>
      <c r="M76" s="194">
        <v>0.73623931093884587</v>
      </c>
      <c r="N76" s="386">
        <v>1</v>
      </c>
    </row>
    <row r="80" spans="2:16">
      <c r="F80" s="315"/>
    </row>
    <row r="81" spans="6:6" ht="15">
      <c r="F81" s="341"/>
    </row>
  </sheetData>
  <mergeCells count="51">
    <mergeCell ref="M56:M57"/>
    <mergeCell ref="B65:F65"/>
    <mergeCell ref="G65:J65"/>
    <mergeCell ref="K65:N65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975" priority="139" operator="notBetween">
      <formula>#REF!</formula>
      <formula>#REF!</formula>
    </cfRule>
  </conditionalFormatting>
  <conditionalFormatting sqref="C55">
    <cfRule type="cellIs" dxfId="974" priority="170" stopIfTrue="1" operator="lessThan">
      <formula>96</formula>
    </cfRule>
    <cfRule type="cellIs" dxfId="973" priority="171" stopIfTrue="1" operator="greaterThan">
      <formula>100</formula>
    </cfRule>
  </conditionalFormatting>
  <conditionalFormatting sqref="C67:C71">
    <cfRule type="cellIs" dxfId="972" priority="120" stopIfTrue="1" operator="lessThanOrEqual">
      <formula>0</formula>
    </cfRule>
  </conditionalFormatting>
  <conditionalFormatting sqref="C67:C75">
    <cfRule type="cellIs" dxfId="971" priority="119" stopIfTrue="1" operator="greaterThan">
      <formula>$F67</formula>
    </cfRule>
  </conditionalFormatting>
  <conditionalFormatting sqref="C68">
    <cfRule type="cellIs" dxfId="970" priority="174" stopIfTrue="1" operator="greaterThan">
      <formula>$F67</formula>
    </cfRule>
  </conditionalFormatting>
  <conditionalFormatting sqref="C72">
    <cfRule type="cellIs" dxfId="969" priority="39" stopIfTrue="1" operator="greaterThan">
      <formula>$F71</formula>
    </cfRule>
    <cfRule type="cellIs" dxfId="968" priority="38" stopIfTrue="1" operator="lessThanOrEqual">
      <formula>0</formula>
    </cfRule>
  </conditionalFormatting>
  <conditionalFormatting sqref="C78:C82">
    <cfRule type="cellIs" dxfId="967" priority="162" stopIfTrue="1" operator="lessThanOrEqual">
      <formula>0</formula>
    </cfRule>
  </conditionalFormatting>
  <conditionalFormatting sqref="C79:C82">
    <cfRule type="cellIs" dxfId="966" priority="161" stopIfTrue="1" operator="greaterThan">
      <formula>$F$78</formula>
    </cfRule>
  </conditionalFormatting>
  <conditionalFormatting sqref="C84">
    <cfRule type="cellIs" dxfId="965" priority="163" stopIfTrue="1" operator="greaterThan">
      <formula>$F$78</formula>
    </cfRule>
    <cfRule type="cellIs" dxfId="964" priority="164" stopIfTrue="1" operator="lessThanOrEqual">
      <formula>0</formula>
    </cfRule>
  </conditionalFormatting>
  <conditionalFormatting sqref="C78:D78 D80:D86">
    <cfRule type="cellIs" dxfId="963" priority="156" stopIfTrue="1" operator="greaterThan">
      <formula>4.5</formula>
    </cfRule>
  </conditionalFormatting>
  <conditionalFormatting sqref="D51:D52">
    <cfRule type="cellIs" dxfId="962" priority="140" operator="notBetween">
      <formula>#REF!</formula>
      <formula>#REF!</formula>
    </cfRule>
  </conditionalFormatting>
  <conditionalFormatting sqref="D67:D74">
    <cfRule type="cellIs" dxfId="961" priority="134" stopIfTrue="1" operator="lessThanOrEqual">
      <formula>0</formula>
    </cfRule>
  </conditionalFormatting>
  <conditionalFormatting sqref="D75">
    <cfRule type="cellIs" dxfId="960" priority="133" stopIfTrue="1" operator="lessThanOrEqual">
      <formula>0</formula>
    </cfRule>
  </conditionalFormatting>
  <conditionalFormatting sqref="D78 D80:D86">
    <cfRule type="cellIs" dxfId="959" priority="157" stopIfTrue="1" operator="lessThanOrEqual">
      <formula>0</formula>
    </cfRule>
  </conditionalFormatting>
  <conditionalFormatting sqref="D79">
    <cfRule type="cellIs" dxfId="958" priority="148" stopIfTrue="1" operator="greaterThan">
      <formula>$F$78</formula>
    </cfRule>
    <cfRule type="cellIs" dxfId="957" priority="149" stopIfTrue="1" operator="lessThanOrEqual">
      <formula>0</formula>
    </cfRule>
  </conditionalFormatting>
  <conditionalFormatting sqref="D67:E76">
    <cfRule type="cellIs" dxfId="956" priority="116" stopIfTrue="1" operator="greaterThan">
      <formula>$F67</formula>
    </cfRule>
  </conditionalFormatting>
  <conditionalFormatting sqref="D76:E76">
    <cfRule type="cellIs" dxfId="955" priority="117" stopIfTrue="1" operator="lessThanOrEqual">
      <formula>0</formula>
    </cfRule>
  </conditionalFormatting>
  <conditionalFormatting sqref="E10:E26">
    <cfRule type="cellIs" dxfId="954" priority="22" operator="lessThan">
      <formula>48</formula>
    </cfRule>
  </conditionalFormatting>
  <conditionalFormatting sqref="E54 E55:F55">
    <cfRule type="cellIs" dxfId="953" priority="153" stopIfTrue="1" operator="greaterThan">
      <formula>100</formula>
    </cfRule>
  </conditionalFormatting>
  <conditionalFormatting sqref="E55">
    <cfRule type="cellIs" dxfId="952" priority="151" stopIfTrue="1" operator="greaterThan">
      <formula>100</formula>
    </cfRule>
    <cfRule type="cellIs" dxfId="951" priority="150" stopIfTrue="1" operator="lessThan">
      <formula>96.8</formula>
    </cfRule>
  </conditionalFormatting>
  <conditionalFormatting sqref="E67:E75">
    <cfRule type="cellIs" dxfId="950" priority="128" stopIfTrue="1" operator="lessThanOrEqual">
      <formula>0</formula>
    </cfRule>
  </conditionalFormatting>
  <conditionalFormatting sqref="E78:E86">
    <cfRule type="cellIs" dxfId="949" priority="142" stopIfTrue="1" operator="greaterThan">
      <formula>4.5</formula>
    </cfRule>
    <cfRule type="cellIs" dxfId="948" priority="143" stopIfTrue="1" operator="lessThanOrEqual">
      <formula>0</formula>
    </cfRule>
  </conditionalFormatting>
  <conditionalFormatting sqref="E55:F55 E54">
    <cfRule type="cellIs" dxfId="947" priority="152" stopIfTrue="1" operator="lessThan">
      <formula>96.5</formula>
    </cfRule>
  </conditionalFormatting>
  <conditionalFormatting sqref="F10:F26">
    <cfRule type="cellIs" dxfId="946" priority="23" operator="greaterThan">
      <formula>60</formula>
    </cfRule>
  </conditionalFormatting>
  <conditionalFormatting sqref="F55">
    <cfRule type="cellIs" dxfId="945" priority="169" stopIfTrue="1" operator="greaterThan">
      <formula>100</formula>
    </cfRule>
    <cfRule type="cellIs" dxfId="944" priority="168" stopIfTrue="1" operator="lessThan">
      <formula>96.8</formula>
    </cfRule>
  </conditionalFormatting>
  <conditionalFormatting sqref="F76">
    <cfRule type="cellIs" dxfId="943" priority="130" stopIfTrue="1" operator="lessThanOrEqual">
      <formula>0</formula>
    </cfRule>
    <cfRule type="cellIs" dxfId="942" priority="129" stopIfTrue="1" operator="greaterThan">
      <formula>$F76</formula>
    </cfRule>
  </conditionalFormatting>
  <conditionalFormatting sqref="F81">
    <cfRule type="cellIs" dxfId="941" priority="87" stopIfTrue="1" operator="lessThanOrEqual">
      <formula>0</formula>
    </cfRule>
    <cfRule type="cellIs" dxfId="940" priority="86" stopIfTrue="1" operator="greaterThan">
      <formula>$F81</formula>
    </cfRule>
  </conditionalFormatting>
  <conditionalFormatting sqref="G10:G14 G21:G22">
    <cfRule type="expression" dxfId="939" priority="14">
      <formula>IF(+(IF(G10&lt;S10,0,IF(G10&gt;T10,0,1)))=0,1)</formula>
    </cfRule>
  </conditionalFormatting>
  <conditionalFormatting sqref="G67:G68 C73:C75">
    <cfRule type="cellIs" dxfId="938" priority="136" stopIfTrue="1" operator="lessThanOrEqual">
      <formula>0</formula>
    </cfRule>
  </conditionalFormatting>
  <conditionalFormatting sqref="G67:G68">
    <cfRule type="cellIs" dxfId="937" priority="121" stopIfTrue="1" operator="greaterThan">
      <formula>$F67</formula>
    </cfRule>
    <cfRule type="cellIs" dxfId="936" priority="135" stopIfTrue="1" operator="greaterThan">
      <formula>$F67</formula>
    </cfRule>
    <cfRule type="cellIs" dxfId="935" priority="122" stopIfTrue="1" operator="lessThanOrEqual">
      <formula>0</formula>
    </cfRule>
  </conditionalFormatting>
  <conditionalFormatting sqref="G69">
    <cfRule type="cellIs" dxfId="934" priority="173" stopIfTrue="1" operator="lessThanOrEqual">
      <formula>0</formula>
    </cfRule>
    <cfRule type="cellIs" dxfId="933" priority="172" stopIfTrue="1" operator="greaterThan">
      <formula>$F68</formula>
    </cfRule>
  </conditionalFormatting>
  <conditionalFormatting sqref="G70">
    <cfRule type="cellIs" dxfId="932" priority="132" stopIfTrue="1" operator="lessThanOrEqual">
      <formula>0</formula>
    </cfRule>
    <cfRule type="cellIs" dxfId="931" priority="131" stopIfTrue="1" operator="greaterThan">
      <formula>$F70</formula>
    </cfRule>
  </conditionalFormatting>
  <conditionalFormatting sqref="G71:G75">
    <cfRule type="cellIs" dxfId="930" priority="138" stopIfTrue="1" operator="lessThanOrEqual">
      <formula>0</formula>
    </cfRule>
    <cfRule type="cellIs" dxfId="929" priority="137" stopIfTrue="1" operator="greaterThan">
      <formula>$J71</formula>
    </cfRule>
  </conditionalFormatting>
  <conditionalFormatting sqref="G80:G85 C83 C85">
    <cfRule type="cellIs" dxfId="928" priority="165" stopIfTrue="1" operator="greaterThan">
      <formula>4.5</formula>
    </cfRule>
    <cfRule type="cellIs" dxfId="927" priority="166" stopIfTrue="1" operator="lessThanOrEqual">
      <formula>0</formula>
    </cfRule>
  </conditionalFormatting>
  <conditionalFormatting sqref="G79:H79">
    <cfRule type="cellIs" dxfId="926" priority="147" stopIfTrue="1" operator="lessThanOrEqual">
      <formula>0</formula>
    </cfRule>
    <cfRule type="cellIs" dxfId="925" priority="146" stopIfTrue="1" operator="greaterThan">
      <formula>$F$78</formula>
    </cfRule>
  </conditionalFormatting>
  <conditionalFormatting sqref="H10:H22 G15:G20 G23:H26">
    <cfRule type="expression" dxfId="924" priority="40">
      <formula>IF(+(IF(G10&lt;#REF!,0,IF(G10&gt;#REF!,0,1)))=0,1)</formula>
    </cfRule>
  </conditionalFormatting>
  <conditionalFormatting sqref="H40:H54 I54">
    <cfRule type="cellIs" dxfId="923" priority="144" stopIfTrue="1" operator="greaterThan">
      <formula>0</formula>
    </cfRule>
  </conditionalFormatting>
  <conditionalFormatting sqref="H58">
    <cfRule type="cellIs" dxfId="922" priority="57" stopIfTrue="1" operator="lessThanOrEqual">
      <formula>0</formula>
    </cfRule>
    <cfRule type="cellIs" dxfId="921" priority="56" stopIfTrue="1" operator="greaterThan">
      <formula>$F$23</formula>
    </cfRule>
    <cfRule type="cellIs" dxfId="920" priority="55" stopIfTrue="1" operator="lessThanOrEqual">
      <formula>0</formula>
    </cfRule>
    <cfRule type="cellIs" dxfId="919" priority="45" stopIfTrue="1" operator="lessThanOrEqual">
      <formula>0</formula>
    </cfRule>
    <cfRule type="cellIs" dxfId="918" priority="46" stopIfTrue="1" operator="greaterThan">
      <formula>#REF!</formula>
    </cfRule>
    <cfRule type="cellIs" dxfId="917" priority="54" stopIfTrue="1" operator="greaterThan">
      <formula>$F$25</formula>
    </cfRule>
  </conditionalFormatting>
  <conditionalFormatting sqref="H59">
    <cfRule type="cellIs" dxfId="916" priority="84" stopIfTrue="1" operator="greaterThan">
      <formula>$F$25</formula>
    </cfRule>
    <cfRule type="cellIs" dxfId="915" priority="85" stopIfTrue="1" operator="lessThanOrEqual">
      <formula>0</formula>
    </cfRule>
    <cfRule type="cellIs" dxfId="914" priority="82" stopIfTrue="1" operator="greaterThan">
      <formula>$F$27</formula>
    </cfRule>
    <cfRule type="cellIs" dxfId="913" priority="83" stopIfTrue="1" operator="lessThanOrEqual">
      <formula>0</formula>
    </cfRule>
    <cfRule type="cellIs" dxfId="912" priority="73" stopIfTrue="1" operator="lessThanOrEqual">
      <formula>0</formula>
    </cfRule>
    <cfRule type="cellIs" dxfId="911" priority="74" stopIfTrue="1" operator="greaterThan">
      <formula>$F$24</formula>
    </cfRule>
  </conditionalFormatting>
  <conditionalFormatting sqref="H60">
    <cfRule type="cellIs" dxfId="910" priority="25" stopIfTrue="1" operator="lessThanOrEqual">
      <formula>0</formula>
    </cfRule>
    <cfRule type="cellIs" dxfId="909" priority="26" stopIfTrue="1" operator="greaterThan">
      <formula>#REF!</formula>
    </cfRule>
    <cfRule type="cellIs" dxfId="908" priority="37" stopIfTrue="1" operator="lessThanOrEqual">
      <formula>0</formula>
    </cfRule>
    <cfRule type="cellIs" dxfId="907" priority="36" stopIfTrue="1" operator="greaterThan">
      <formula>$F$23</formula>
    </cfRule>
    <cfRule type="cellIs" dxfId="906" priority="35" stopIfTrue="1" operator="lessThanOrEqual">
      <formula>0</formula>
    </cfRule>
    <cfRule type="cellIs" dxfId="905" priority="34" stopIfTrue="1" operator="greaterThan">
      <formula>$F$25</formula>
    </cfRule>
  </conditionalFormatting>
  <conditionalFormatting sqref="H61:H62">
    <cfRule type="cellIs" dxfId="904" priority="60" stopIfTrue="1" operator="greaterThan">
      <formula>$F$23</formula>
    </cfRule>
    <cfRule type="cellIs" dxfId="903" priority="59" stopIfTrue="1" operator="lessThanOrEqual">
      <formula>0</formula>
    </cfRule>
    <cfRule type="cellIs" dxfId="902" priority="71" stopIfTrue="1" operator="lessThanOrEqual">
      <formula>0</formula>
    </cfRule>
    <cfRule type="cellIs" dxfId="901" priority="69" stopIfTrue="1" operator="lessThanOrEqual">
      <formula>0</formula>
    </cfRule>
    <cfRule type="cellIs" dxfId="900" priority="70" stopIfTrue="1" operator="greaterThan">
      <formula>$F$24</formula>
    </cfRule>
    <cfRule type="cellIs" dxfId="899" priority="68" stopIfTrue="1" operator="greaterThan">
      <formula>$F$26</formula>
    </cfRule>
  </conditionalFormatting>
  <conditionalFormatting sqref="H63">
    <cfRule type="cellIs" dxfId="898" priority="90" stopIfTrue="1" operator="lessThanOrEqual">
      <formula>0</formula>
    </cfRule>
    <cfRule type="cellIs" dxfId="897" priority="91" stopIfTrue="1" operator="greaterThan">
      <formula>$F$39</formula>
    </cfRule>
    <cfRule type="cellIs" dxfId="896" priority="99" stopIfTrue="1" operator="greaterThan">
      <formula>$F$42</formula>
    </cfRule>
    <cfRule type="cellIs" dxfId="895" priority="101" stopIfTrue="1" operator="greaterThan">
      <formula>$F$40</formula>
    </cfRule>
    <cfRule type="cellIs" dxfId="894" priority="102" stopIfTrue="1" operator="lessThanOrEqual">
      <formula>0</formula>
    </cfRule>
    <cfRule type="cellIs" dxfId="893" priority="100" stopIfTrue="1" operator="lessThanOrEqual">
      <formula>0</formula>
    </cfRule>
  </conditionalFormatting>
  <conditionalFormatting sqref="H67:H74">
    <cfRule type="cellIs" dxfId="892" priority="123" stopIfTrue="1" operator="greaterThan">
      <formula>$J67</formula>
    </cfRule>
    <cfRule type="cellIs" dxfId="891" priority="124" stopIfTrue="1" operator="lessThanOrEqual">
      <formula>0</formula>
    </cfRule>
  </conditionalFormatting>
  <conditionalFormatting sqref="H75">
    <cfRule type="cellIs" dxfId="890" priority="125" operator="greaterThan">
      <formula>5.3</formula>
    </cfRule>
  </conditionalFormatting>
  <conditionalFormatting sqref="H78 H80:H86">
    <cfRule type="cellIs" dxfId="889" priority="158" stopIfTrue="1" operator="greaterThan">
      <formula>4.5</formula>
    </cfRule>
    <cfRule type="cellIs" dxfId="888" priority="159" stopIfTrue="1" operator="lessThanOrEqual">
      <formula>0</formula>
    </cfRule>
  </conditionalFormatting>
  <conditionalFormatting sqref="H58:I58">
    <cfRule type="cellIs" dxfId="887" priority="47" stopIfTrue="1" operator="lessThanOrEqual">
      <formula>0</formula>
    </cfRule>
    <cfRule type="cellIs" dxfId="886" priority="44" stopIfTrue="1" operator="greaterThan">
      <formula>$F$24</formula>
    </cfRule>
  </conditionalFormatting>
  <conditionalFormatting sqref="H59:I59">
    <cfRule type="cellIs" dxfId="885" priority="75" stopIfTrue="1" operator="lessThanOrEqual">
      <formula>0</formula>
    </cfRule>
    <cfRule type="cellIs" dxfId="884" priority="72" stopIfTrue="1" operator="greaterThan">
      <formula>$F$26</formula>
    </cfRule>
  </conditionalFormatting>
  <conditionalFormatting sqref="H60:I60">
    <cfRule type="cellIs" dxfId="883" priority="24" stopIfTrue="1" operator="greaterThan">
      <formula>$F$24</formula>
    </cfRule>
    <cfRule type="cellIs" dxfId="882" priority="27" stopIfTrue="1" operator="lessThanOrEqual">
      <formula>0</formula>
    </cfRule>
  </conditionalFormatting>
  <conditionalFormatting sqref="H61:I62">
    <cfRule type="cellIs" dxfId="881" priority="61" stopIfTrue="1" operator="lessThanOrEqual">
      <formula>0</formula>
    </cfRule>
    <cfRule type="cellIs" dxfId="880" priority="58" stopIfTrue="1" operator="greaterThan">
      <formula>$F$25</formula>
    </cfRule>
  </conditionalFormatting>
  <conditionalFormatting sqref="H63:I63">
    <cfRule type="cellIs" dxfId="879" priority="89" stopIfTrue="1" operator="greaterThan">
      <formula>$F$41</formula>
    </cfRule>
    <cfRule type="cellIs" dxfId="878" priority="92" stopIfTrue="1" operator="lessThanOrEqual">
      <formula>0</formula>
    </cfRule>
  </conditionalFormatting>
  <conditionalFormatting sqref="H76:I76">
    <cfRule type="cellIs" dxfId="877" priority="115" stopIfTrue="1" operator="lessThanOrEqual">
      <formula>0</formula>
    </cfRule>
    <cfRule type="cellIs" dxfId="876" priority="114" stopIfTrue="1" operator="greaterThan">
      <formula>$J76</formula>
    </cfRule>
  </conditionalFormatting>
  <conditionalFormatting sqref="I58">
    <cfRule type="cellIs" dxfId="875" priority="49" stopIfTrue="1" operator="lessThanOrEqual">
      <formula>0</formula>
    </cfRule>
    <cfRule type="cellIs" dxfId="874" priority="48" stopIfTrue="1" operator="greaterThan">
      <formula>#REF!</formula>
    </cfRule>
    <cfRule type="cellIs" dxfId="873" priority="53" stopIfTrue="1" operator="lessThanOrEqual">
      <formula>0</formula>
    </cfRule>
    <cfRule type="cellIs" dxfId="872" priority="52" stopIfTrue="1" operator="greaterThan">
      <formula>#REF!</formula>
    </cfRule>
    <cfRule type="cellIs" dxfId="871" priority="51" stopIfTrue="1" operator="lessThanOrEqual">
      <formula>0</formula>
    </cfRule>
    <cfRule type="cellIs" dxfId="870" priority="50" stopIfTrue="1" operator="greaterThan">
      <formula>$F$24</formula>
    </cfRule>
  </conditionalFormatting>
  <conditionalFormatting sqref="I59">
    <cfRule type="cellIs" dxfId="869" priority="76" stopIfTrue="1" operator="greaterThan">
      <formula>$F$24</formula>
    </cfRule>
    <cfRule type="cellIs" dxfId="868" priority="79" stopIfTrue="1" operator="lessThanOrEqual">
      <formula>0</formula>
    </cfRule>
    <cfRule type="cellIs" dxfId="867" priority="78" stopIfTrue="1" operator="greaterThan">
      <formula>$F$26</formula>
    </cfRule>
    <cfRule type="cellIs" dxfId="866" priority="77" stopIfTrue="1" operator="lessThanOrEqual">
      <formula>0</formula>
    </cfRule>
    <cfRule type="cellIs" dxfId="865" priority="81" stopIfTrue="1" operator="lessThanOrEqual">
      <formula>0</formula>
    </cfRule>
    <cfRule type="cellIs" dxfId="864" priority="80" stopIfTrue="1" operator="greaterThan">
      <formula>$F$24</formula>
    </cfRule>
  </conditionalFormatting>
  <conditionalFormatting sqref="I60">
    <cfRule type="cellIs" dxfId="863" priority="29" stopIfTrue="1" operator="lessThanOrEqual">
      <formula>0</formula>
    </cfRule>
    <cfRule type="cellIs" dxfId="862" priority="28" stopIfTrue="1" operator="greaterThan">
      <formula>#REF!</formula>
    </cfRule>
    <cfRule type="cellIs" dxfId="861" priority="33" stopIfTrue="1" operator="lessThanOrEqual">
      <formula>0</formula>
    </cfRule>
    <cfRule type="cellIs" dxfId="860" priority="32" stopIfTrue="1" operator="greaterThan">
      <formula>#REF!</formula>
    </cfRule>
    <cfRule type="cellIs" dxfId="859" priority="31" stopIfTrue="1" operator="lessThanOrEqual">
      <formula>0</formula>
    </cfRule>
    <cfRule type="cellIs" dxfId="858" priority="30" stopIfTrue="1" operator="greaterThan">
      <formula>$F$24</formula>
    </cfRule>
  </conditionalFormatting>
  <conditionalFormatting sqref="I61:I62">
    <cfRule type="cellIs" dxfId="857" priority="67" stopIfTrue="1" operator="lessThanOrEqual">
      <formula>0</formula>
    </cfRule>
    <cfRule type="cellIs" dxfId="856" priority="66" stopIfTrue="1" operator="greaterThan">
      <formula>$F$23</formula>
    </cfRule>
    <cfRule type="cellIs" dxfId="855" priority="65" stopIfTrue="1" operator="lessThanOrEqual">
      <formula>0</formula>
    </cfRule>
    <cfRule type="cellIs" dxfId="854" priority="64" stopIfTrue="1" operator="greaterThan">
      <formula>$F$25</formula>
    </cfRule>
    <cfRule type="cellIs" dxfId="853" priority="63" stopIfTrue="1" operator="lessThanOrEqual">
      <formula>0</formula>
    </cfRule>
    <cfRule type="cellIs" dxfId="852" priority="62" stopIfTrue="1" operator="greaterThan">
      <formula>$F$23</formula>
    </cfRule>
  </conditionalFormatting>
  <conditionalFormatting sqref="I63">
    <cfRule type="cellIs" dxfId="851" priority="94" stopIfTrue="1" operator="lessThanOrEqual">
      <formula>0</formula>
    </cfRule>
    <cfRule type="cellIs" dxfId="850" priority="95" stopIfTrue="1" operator="greaterThan">
      <formula>$F$41</formula>
    </cfRule>
    <cfRule type="cellIs" dxfId="849" priority="96" stopIfTrue="1" operator="lessThanOrEqual">
      <formula>0</formula>
    </cfRule>
    <cfRule type="cellIs" dxfId="848" priority="97" stopIfTrue="1" operator="greaterThan">
      <formula>$F$39</formula>
    </cfRule>
    <cfRule type="cellIs" dxfId="847" priority="98" stopIfTrue="1" operator="lessThanOrEqual">
      <formula>0</formula>
    </cfRule>
    <cfRule type="cellIs" dxfId="846" priority="93" stopIfTrue="1" operator="greaterThan">
      <formula>$F$39</formula>
    </cfRule>
  </conditionalFormatting>
  <conditionalFormatting sqref="I67:I75">
    <cfRule type="cellIs" dxfId="845" priority="127" stopIfTrue="1" operator="lessThanOrEqual">
      <formula>0</formula>
    </cfRule>
    <cfRule type="cellIs" dxfId="844" priority="126" stopIfTrue="1" operator="greaterThan">
      <formula>$J67</formula>
    </cfRule>
  </conditionalFormatting>
  <conditionalFormatting sqref="I78:I86">
    <cfRule type="cellIs" dxfId="843" priority="155" stopIfTrue="1" operator="lessThanOrEqual">
      <formula>0</formula>
    </cfRule>
    <cfRule type="cellIs" dxfId="842" priority="154" stopIfTrue="1" operator="greaterThan">
      <formula>4.5</formula>
    </cfRule>
  </conditionalFormatting>
  <conditionalFormatting sqref="I10:J26">
    <cfRule type="cellIs" dxfId="841" priority="13" operator="lessThan">
      <formula>97.9</formula>
    </cfRule>
  </conditionalFormatting>
  <conditionalFormatting sqref="J29:J31">
    <cfRule type="cellIs" dxfId="840" priority="104" stopIfTrue="1" operator="lessThan">
      <formula>96.8</formula>
    </cfRule>
    <cfRule type="cellIs" dxfId="839" priority="105" stopIfTrue="1" operator="greaterThan">
      <formula>100</formula>
    </cfRule>
    <cfRule type="cellIs" dxfId="838" priority="106" operator="lessThan">
      <formula>98</formula>
    </cfRule>
  </conditionalFormatting>
  <conditionalFormatting sqref="J29:J33">
    <cfRule type="cellIs" dxfId="837" priority="103" operator="lessThan">
      <formula>97.4</formula>
    </cfRule>
  </conditionalFormatting>
  <conditionalFormatting sqref="J34">
    <cfRule type="cellIs" dxfId="836" priority="107" operator="lessThan">
      <formula>98</formula>
    </cfRule>
  </conditionalFormatting>
  <conditionalFormatting sqref="J36:J37">
    <cfRule type="cellIs" dxfId="835" priority="108" stopIfTrue="1" operator="lessThan">
      <formula>96.8</formula>
    </cfRule>
    <cfRule type="cellIs" dxfId="834" priority="109" stopIfTrue="1" operator="greaterThan">
      <formula>100</formula>
    </cfRule>
  </conditionalFormatting>
  <conditionalFormatting sqref="J36:J38">
    <cfRule type="cellIs" dxfId="833" priority="110" operator="lessThan">
      <formula>98</formula>
    </cfRule>
  </conditionalFormatting>
  <conditionalFormatting sqref="J76">
    <cfRule type="cellIs" dxfId="832" priority="111" stopIfTrue="1" operator="greaterThan">
      <formula>$F76</formula>
    </cfRule>
    <cfRule type="cellIs" dxfId="831" priority="112" stopIfTrue="1" operator="lessThanOrEqual">
      <formula>0</formula>
    </cfRule>
  </conditionalFormatting>
  <conditionalFormatting sqref="K10:K26">
    <cfRule type="cellIs" dxfId="830" priority="18" operator="greaterThan">
      <formula>6.4</formula>
    </cfRule>
    <cfRule type="cellIs" dxfId="829" priority="17" operator="lessThan">
      <formula>4</formula>
    </cfRule>
    <cfRule type="cellIs" dxfId="828" priority="16" operator="greaterThan">
      <formula>6</formula>
    </cfRule>
  </conditionalFormatting>
  <conditionalFormatting sqref="K58:K63 K67:N73 K74 M74:N74 K75:N75">
    <cfRule type="cellIs" dxfId="827" priority="88" stopIfTrue="1" operator="lessThan">
      <formula>100%</formula>
    </cfRule>
  </conditionalFormatting>
  <conditionalFormatting sqref="K78:K83">
    <cfRule type="cellIs" dxfId="826" priority="160" stopIfTrue="1" operator="lessThan">
      <formula>100%</formula>
    </cfRule>
  </conditionalFormatting>
  <conditionalFormatting sqref="K85:K86">
    <cfRule type="cellIs" dxfId="825" priority="167" stopIfTrue="1" operator="lessThan">
      <formula>100%</formula>
    </cfRule>
  </conditionalFormatting>
  <conditionalFormatting sqref="L10:L11 L12:M20 L21">
    <cfRule type="cellIs" dxfId="824" priority="21" operator="greaterThan">
      <formula>65</formula>
    </cfRule>
  </conditionalFormatting>
  <conditionalFormatting sqref="L12:M20 L10:L11 L21">
    <cfRule type="cellIs" dxfId="823" priority="20" operator="between">
      <formula>61</formula>
      <formula>65</formula>
    </cfRule>
  </conditionalFormatting>
  <conditionalFormatting sqref="L22:M22 L23:L26">
    <cfRule type="cellIs" dxfId="822" priority="41" operator="between">
      <formula>61</formula>
      <formula>65</formula>
    </cfRule>
    <cfRule type="cellIs" dxfId="821" priority="42" operator="greaterThan">
      <formula>65</formula>
    </cfRule>
  </conditionalFormatting>
  <conditionalFormatting sqref="L29:M40">
    <cfRule type="cellIs" dxfId="820" priority="118" operator="lessThan">
      <formula>98</formula>
    </cfRule>
  </conditionalFormatting>
  <conditionalFormatting sqref="L44:N44">
    <cfRule type="cellIs" dxfId="819" priority="43" operator="notEqual">
      <formula>#REF!</formula>
    </cfRule>
  </conditionalFormatting>
  <conditionalFormatting sqref="L76:N76">
    <cfRule type="cellIs" dxfId="818" priority="113" stopIfTrue="1" operator="lessThan">
      <formula>100%</formula>
    </cfRule>
  </conditionalFormatting>
  <conditionalFormatting sqref="L78:N86">
    <cfRule type="cellIs" dxfId="817" priority="145" stopIfTrue="1" operator="lessThan">
      <formula>100%</formula>
    </cfRule>
  </conditionalFormatting>
  <conditionalFormatting sqref="M10:M26">
    <cfRule type="expression" dxfId="816" priority="19">
      <formula>IF(+(IF(M10&lt;U10,0,IF(M10&gt;V10,0,1)))=0,1)</formula>
    </cfRule>
  </conditionalFormatting>
  <conditionalFormatting sqref="N10:N26">
    <cfRule type="expression" dxfId="815" priority="15">
      <formula>IF(+(IF(N10&lt;W10,0,IF(N10&gt;X10,0,1)))=0,1)</formula>
    </cfRule>
  </conditionalFormatting>
  <conditionalFormatting sqref="P6">
    <cfRule type="cellIs" dxfId="814" priority="141" operator="greaterThanOrEqual">
      <formula>19</formula>
    </cfRule>
  </conditionalFormatting>
  <dataValidations count="1">
    <dataValidation type="list" allowBlank="1" showInputMessage="1" showErrorMessage="1" sqref="R8" xr:uid="{00BCF34A-0BE9-45E7-B88B-0F5FBE7A2701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3F6C-6D71-4EFE-A1C0-54A09E76995F}">
  <sheetPr>
    <pageSetUpPr fitToPage="1"/>
  </sheetPr>
  <dimension ref="A1:BE81"/>
  <sheetViews>
    <sheetView topLeftCell="A5" zoomScale="80" zoomScaleNormal="80" workbookViewId="0">
      <selection activeCell="C21" sqref="C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45895</v>
      </c>
      <c r="J4" s="398" t="s">
        <v>173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[24]Brewhouse!$A713</f>
        <v>CA605</v>
      </c>
      <c r="D10" s="279">
        <f>[24]Brewhouse!$AF713</f>
        <v>49.4</v>
      </c>
      <c r="E10" s="279">
        <f>[24]Brewhouse!$AI713</f>
        <v>48</v>
      </c>
      <c r="F10" s="278">
        <f>[24]Brewhouse!$V713</f>
        <v>60</v>
      </c>
      <c r="G10" s="279">
        <f>[24]Brewhouse!AG713</f>
        <v>11.7</v>
      </c>
      <c r="H10" s="396">
        <v>11.6</v>
      </c>
      <c r="I10" s="368">
        <f>[24]Brewhouse!$AU713</f>
        <v>91.254953718205954</v>
      </c>
      <c r="J10" s="368">
        <f>[24]Brewhouse!$AV713</f>
        <v>92.77838490709857</v>
      </c>
      <c r="K10" s="281">
        <f>[24]Brewhouse!$Q713</f>
        <v>11.811594202898554</v>
      </c>
      <c r="L10" s="276">
        <f>[24]Brewhouse!$P713</f>
        <v>60</v>
      </c>
      <c r="M10" s="397">
        <f>[24]Brewhouse!$U713-[24]Brewhouse!$T713</f>
        <v>0.11180555555555557</v>
      </c>
      <c r="N10" s="370">
        <f>[24]Brewhouse!$Z713</f>
        <v>0.23888888888888893</v>
      </c>
      <c r="O10" s="423" t="str">
        <f>[24]Brewhouse!$AX713</f>
        <v>R. Regis</v>
      </c>
      <c r="P10" s="418"/>
      <c r="R10" s="277" t="str">
        <f t="shared" ref="R10:R30" si="0">B10</f>
        <v>CARIB</v>
      </c>
      <c r="S10" s="296">
        <f t="shared" ref="S10:S30" si="1">VLOOKUP($B10,$R$3:$X$9,2,FALSE)</f>
        <v>11.6</v>
      </c>
      <c r="T10" s="296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296">
        <f t="shared" ref="Z10:Z30" si="8">VLOOKUP($B10,$R$3:$Z$9,9,FALSE)</f>
        <v>60</v>
      </c>
    </row>
    <row r="11" spans="2:29" ht="15.75" customHeight="1">
      <c r="B11" s="29" t="s">
        <v>6</v>
      </c>
      <c r="C11" s="366" t="str">
        <f>[24]Brewhouse!$A714</f>
        <v>CA606</v>
      </c>
      <c r="D11" s="279">
        <f>[24]Brewhouse!$AF714</f>
        <v>54.4</v>
      </c>
      <c r="E11" s="279">
        <f>[24]Brewhouse!$AI714</f>
        <v>53.3</v>
      </c>
      <c r="F11" s="278">
        <f>[24]Brewhouse!$V714</f>
        <v>64</v>
      </c>
      <c r="G11" s="279">
        <f>[24]Brewhouse!AG714</f>
        <v>11.6</v>
      </c>
      <c r="H11" s="367"/>
      <c r="I11" s="368">
        <f>[24]Brewhouse!$AU714</f>
        <v>100.66658270876239</v>
      </c>
      <c r="J11" s="368">
        <f>[24]Brewhouse!$AV714</f>
        <v>102.34676825815544</v>
      </c>
      <c r="K11" s="281">
        <f>[24]Brewhouse!$Q714</f>
        <v>7.2432432432432359</v>
      </c>
      <c r="L11" s="276">
        <f>[24]Brewhouse!$P714</f>
        <v>60</v>
      </c>
      <c r="M11" s="397">
        <f>[24]Brewhouse!$U714-[24]Brewhouse!$T714</f>
        <v>0.11666666666666664</v>
      </c>
      <c r="N11" s="370">
        <f>[24]Brewhouse!$Z714</f>
        <v>0.24513888888888888</v>
      </c>
      <c r="O11" s="423" t="str">
        <f>[24]Brewhouse!$AX714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[24]Brewhouse!$A715</f>
        <v>CA607</v>
      </c>
      <c r="D12" s="279">
        <f>[24]Brewhouse!$AF715</f>
        <v>50.9</v>
      </c>
      <c r="E12" s="279">
        <f>[24]Brewhouse!$AI715</f>
        <v>50.2</v>
      </c>
      <c r="F12" s="278">
        <f>[24]Brewhouse!$V715</f>
        <v>62</v>
      </c>
      <c r="G12" s="279">
        <f>[24]Brewhouse!AG715</f>
        <v>11.7</v>
      </c>
      <c r="H12" s="396">
        <v>11.8</v>
      </c>
      <c r="I12" s="368">
        <f>[24]Brewhouse!$AU715</f>
        <v>95.672180304079035</v>
      </c>
      <c r="J12" s="368">
        <f>[24]Brewhouse!$AV715</f>
        <v>97.269006286449923</v>
      </c>
      <c r="K12" s="281">
        <f>[24]Brewhouse!$Q715</f>
        <v>10.590339892665465</v>
      </c>
      <c r="L12" s="276">
        <f>[24]Brewhouse!$P715</f>
        <v>59</v>
      </c>
      <c r="M12" s="397">
        <f>[24]Brewhouse!$U715-[24]Brewhouse!$T715</f>
        <v>0.1076388888888889</v>
      </c>
      <c r="N12" s="370">
        <f>[24]Brewhouse!$Z715</f>
        <v>0.24583333333333335</v>
      </c>
      <c r="O12" s="423" t="str">
        <f>[24]Brewhouse!$AX715</f>
        <v>R.Sookram</v>
      </c>
      <c r="P12" s="418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[24]Brewhouse!$A716</f>
        <v>CA608</v>
      </c>
      <c r="D13" s="279">
        <f>[24]Brewhouse!$AF716</f>
        <v>52.1</v>
      </c>
      <c r="E13" s="279">
        <f>[24]Brewhouse!$AI716</f>
        <v>50.1</v>
      </c>
      <c r="F13" s="278">
        <f>[24]Brewhouse!$V716</f>
        <v>58</v>
      </c>
      <c r="G13" s="279">
        <f>[24]Brewhouse!AG716</f>
        <v>11.8</v>
      </c>
      <c r="H13" s="367"/>
      <c r="I13" s="368">
        <f>[24]Brewhouse!$AU716</f>
        <v>100.24168624444627</v>
      </c>
      <c r="J13" s="368">
        <f>[24]Brewhouse!$AV716</f>
        <v>101.98370929039828</v>
      </c>
      <c r="K13" s="281">
        <f>[24]Brewhouse!$Q716</f>
        <v>6.5818181818181776</v>
      </c>
      <c r="L13" s="276">
        <f>[24]Brewhouse!$P716</f>
        <v>59</v>
      </c>
      <c r="M13" s="397">
        <f>[24]Brewhouse!$U716-[24]Brewhouse!$T716</f>
        <v>0.10138888888888886</v>
      </c>
      <c r="N13" s="370">
        <f>[24]Brewhouse!$Z716</f>
        <v>0.24930555555555556</v>
      </c>
      <c r="O13" s="423" t="str">
        <f>[24]Brewhouse!$AX716</f>
        <v>R.Sookram</v>
      </c>
      <c r="P13" s="418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[24]Brewhouse!$A717</f>
        <v>CA609</v>
      </c>
      <c r="D14" s="279">
        <f>[24]Brewhouse!$AF717</f>
        <v>52.4</v>
      </c>
      <c r="E14" s="279">
        <f>[24]Brewhouse!$AI717</f>
        <v>50.4</v>
      </c>
      <c r="F14" s="278">
        <f>[24]Brewhouse!$V717</f>
        <v>53</v>
      </c>
      <c r="G14" s="279">
        <f>[24]Brewhouse!AG717</f>
        <v>11.6</v>
      </c>
      <c r="H14" s="396">
        <v>11.6</v>
      </c>
      <c r="I14" s="368">
        <f>[24]Brewhouse!$AU717</f>
        <v>95.855441016502525</v>
      </c>
      <c r="J14" s="368">
        <f>[24]Brewhouse!$AV717</f>
        <v>97.523689401532948</v>
      </c>
      <c r="K14" s="281">
        <f>[24]Brewhouse!$Q717</f>
        <v>4.2962962962962967</v>
      </c>
      <c r="L14" s="276">
        <f>[24]Brewhouse!$P717</f>
        <v>58</v>
      </c>
      <c r="M14" s="397">
        <f>[24]Brewhouse!$U717-[24]Brewhouse!$T717</f>
        <v>0.10277777777777775</v>
      </c>
      <c r="N14" s="370">
        <f>[24]Brewhouse!$Z717</f>
        <v>0.23402777777777778</v>
      </c>
      <c r="O14" s="423" t="str">
        <f>[24]Brewhouse!$AX717</f>
        <v>R.Sookram</v>
      </c>
      <c r="P14" s="418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[24]Brewhouse!$A718</f>
        <v>CA610</v>
      </c>
      <c r="D15" s="279">
        <f>[24]Brewhouse!$AF718</f>
        <v>53.3</v>
      </c>
      <c r="E15" s="279">
        <f>[24]Brewhouse!$AI718</f>
        <v>51</v>
      </c>
      <c r="F15" s="278">
        <f>[24]Brewhouse!$V718</f>
        <v>59</v>
      </c>
      <c r="G15" s="279">
        <f>[24]Brewhouse!AG718</f>
        <v>11.4</v>
      </c>
      <c r="H15" s="396">
        <v>11.9</v>
      </c>
      <c r="I15" s="368">
        <f>[24]Brewhouse!$AU718</f>
        <v>95.829213866646711</v>
      </c>
      <c r="J15" s="368">
        <f>[24]Brewhouse!$AV718</f>
        <v>97.496546993277803</v>
      </c>
      <c r="K15" s="281">
        <f>[24]Brewhouse!$Q718</f>
        <v>6.151079136690651</v>
      </c>
      <c r="L15" s="276">
        <f>[24]Brewhouse!$P718</f>
        <v>62</v>
      </c>
      <c r="M15" s="397">
        <f>[24]Brewhouse!$U718-[24]Brewhouse!$T718</f>
        <v>0.10763888888888895</v>
      </c>
      <c r="N15" s="370">
        <f>[24]Brewhouse!$Z718</f>
        <v>0.23888888888888893</v>
      </c>
      <c r="O15" s="423" t="str">
        <f>[24]Brewhouse!$AX718</f>
        <v>K.Benjamin</v>
      </c>
      <c r="P15" s="418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[24]Brewhouse!$A719</f>
        <v>CA611</v>
      </c>
      <c r="D16" s="279">
        <f>[24]Brewhouse!$AF719</f>
        <v>51</v>
      </c>
      <c r="E16" s="279">
        <f>[24]Brewhouse!$AI719</f>
        <v>50.6</v>
      </c>
      <c r="F16" s="278">
        <f>[24]Brewhouse!$V719</f>
        <v>57</v>
      </c>
      <c r="G16" s="279">
        <f>[24]Brewhouse!AG719</f>
        <v>11.6</v>
      </c>
      <c r="H16" s="396">
        <v>11.6</v>
      </c>
      <c r="I16" s="368">
        <f>[24]Brewhouse!$AU719</f>
        <v>96.5946434748966</v>
      </c>
      <c r="J16" s="368">
        <f>[24]Brewhouse!$AV719</f>
        <v>98.27547999403825</v>
      </c>
      <c r="K16" s="281">
        <f>[24]Brewhouse!$Q719</f>
        <v>9.7307001795332173</v>
      </c>
      <c r="L16" s="276">
        <f>[24]Brewhouse!$P719</f>
        <v>60</v>
      </c>
      <c r="M16" s="397">
        <f>[24]Brewhouse!$U719-[24]Brewhouse!$T719</f>
        <v>0.10833333333333328</v>
      </c>
      <c r="N16" s="370">
        <f>[24]Brewhouse!$Z719</f>
        <v>0.24444444444444435</v>
      </c>
      <c r="O16" s="423" t="str">
        <f>[24]Brewhouse!$AX719</f>
        <v>K.Benjamin</v>
      </c>
      <c r="P16" s="418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29" t="s">
        <v>6</v>
      </c>
      <c r="C17" s="366" t="str">
        <f>[24]Brewhouse!$A720</f>
        <v>CA612</v>
      </c>
      <c r="D17" s="279">
        <f>[24]Brewhouse!$AF720</f>
        <v>51.6</v>
      </c>
      <c r="E17" s="279">
        <f>[24]Brewhouse!$AI720</f>
        <v>51.4</v>
      </c>
      <c r="F17" s="278">
        <f>[24]Brewhouse!$V720</f>
        <v>61</v>
      </c>
      <c r="G17" s="279">
        <f>[24]Brewhouse!AG720</f>
        <v>11.7</v>
      </c>
      <c r="H17" s="396">
        <v>11.6</v>
      </c>
      <c r="I17" s="368">
        <f>[24]Brewhouse!$AU720</f>
        <v>98.766868880380287</v>
      </c>
      <c r="J17" s="368">
        <f>[24]Brewhouse!$AV720</f>
        <v>100.48569305168978</v>
      </c>
      <c r="K17" s="281">
        <f>[24]Brewhouse!$Q720</f>
        <v>8.8172043010752592</v>
      </c>
      <c r="L17" s="276">
        <f>[24]Brewhouse!$P720</f>
        <v>61</v>
      </c>
      <c r="M17" s="397">
        <f>[24]Brewhouse!$U720-[24]Brewhouse!$T720</f>
        <v>0.10972222222222217</v>
      </c>
      <c r="N17" s="370">
        <f>[24]Brewhouse!$Z720</f>
        <v>0.2416666666666667</v>
      </c>
      <c r="O17" s="423" t="str">
        <f>[24]Brewhouse!$AX720</f>
        <v>K.Benjamin</v>
      </c>
      <c r="P17" s="418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29" t="s">
        <v>6</v>
      </c>
      <c r="C18" s="366" t="str">
        <f>[24]Brewhouse!$A721</f>
        <v>CA613</v>
      </c>
      <c r="D18" s="279">
        <f>[24]Brewhouse!$AF721</f>
        <v>49.8</v>
      </c>
      <c r="E18" s="279">
        <f>[24]Brewhouse!$AI721</f>
        <v>47.3</v>
      </c>
      <c r="F18" s="278">
        <f>[24]Brewhouse!$V721</f>
        <v>54</v>
      </c>
      <c r="G18" s="279">
        <f>[24]Brewhouse!AG721</f>
        <v>11.9</v>
      </c>
      <c r="H18" s="396">
        <v>11.7</v>
      </c>
      <c r="I18" s="368">
        <f>[24]Brewhouse!$AU721</f>
        <v>92.984654156961994</v>
      </c>
      <c r="J18" s="368">
        <f>[24]Brewhouse!$AV721</f>
        <v>94.602494770368082</v>
      </c>
      <c r="K18" s="281">
        <f>[24]Brewhouse!$Q721</f>
        <v>11.56756756756757</v>
      </c>
      <c r="L18" s="276">
        <f>[24]Brewhouse!$P721</f>
        <v>60</v>
      </c>
      <c r="M18" s="397">
        <f>[24]Brewhouse!$U721-[24]Brewhouse!$T721</f>
        <v>0.10347222222222219</v>
      </c>
      <c r="N18" s="370">
        <f>[24]Brewhouse!$Z721</f>
        <v>0.23124999999999996</v>
      </c>
      <c r="O18" s="423" t="str">
        <f>[24]Brewhouse!$AX721</f>
        <v>K.Benjamin</v>
      </c>
      <c r="P18" s="418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6" ht="15.75" customHeight="1">
      <c r="B19" s="29" t="s">
        <v>6</v>
      </c>
      <c r="C19" s="366" t="str">
        <f>[24]Brewhouse!$A722</f>
        <v>CA614</v>
      </c>
      <c r="D19" s="279">
        <f>[24]Brewhouse!$AF722</f>
        <v>49.9</v>
      </c>
      <c r="E19" s="279">
        <f>[24]Brewhouse!$AI722</f>
        <v>49.4</v>
      </c>
      <c r="F19" s="278">
        <f>[24]Brewhouse!$V722</f>
        <v>60</v>
      </c>
      <c r="G19" s="279">
        <f>[24]Brewhouse!AG722</f>
        <v>11.6</v>
      </c>
      <c r="H19" s="396">
        <v>11.7</v>
      </c>
      <c r="I19" s="368">
        <f>[24]Brewhouse!$AU722</f>
        <v>93.891733112726655</v>
      </c>
      <c r="J19" s="368">
        <f>[24]Brewhouse!$AV722</f>
        <v>96.064140209258625</v>
      </c>
      <c r="K19" s="281">
        <f>[24]Brewhouse!$Q722</f>
        <v>10.905797101449281</v>
      </c>
      <c r="L19" s="276">
        <f>[24]Brewhouse!$P722</f>
        <v>60</v>
      </c>
      <c r="M19" s="397">
        <f>[24]Brewhouse!$U722-[24]Brewhouse!$T722</f>
        <v>0.11111111111111116</v>
      </c>
      <c r="N19" s="370">
        <f>[24]Brewhouse!$Z722</f>
        <v>0.25</v>
      </c>
      <c r="O19" s="423" t="str">
        <f>[24]Brewhouse!$AX722</f>
        <v>R. Regis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6" ht="15.75" customHeight="1">
      <c r="B20" s="477">
        <v>45895</v>
      </c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3"/>
      <c r="P20" s="418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1:26" ht="15.75" customHeight="1">
      <c r="B21" s="29" t="s">
        <v>6</v>
      </c>
      <c r="C21" s="366" t="str">
        <f>[24]Brewhouse!$A723</f>
        <v>CA615</v>
      </c>
      <c r="D21" s="279">
        <f>[24]Brewhouse!$AF723</f>
        <v>52.3</v>
      </c>
      <c r="E21" s="279">
        <f>[24]Brewhouse!$AI723</f>
        <v>50.2</v>
      </c>
      <c r="F21" s="278">
        <f>[24]Brewhouse!$V723</f>
        <v>62</v>
      </c>
      <c r="G21" s="279">
        <f>[24]Brewhouse!AG723</f>
        <v>11.7</v>
      </c>
      <c r="H21" s="396">
        <v>11.7</v>
      </c>
      <c r="I21" s="368">
        <f>[24]Brewhouse!$AU723</f>
        <v>95.328941787599831</v>
      </c>
      <c r="J21" s="368">
        <f>[24]Brewhouse!$AV723</f>
        <v>97.535567169261114</v>
      </c>
      <c r="K21" s="281">
        <f>[24]Brewhouse!$Q723</f>
        <v>8.0570409982174738</v>
      </c>
      <c r="L21" s="276">
        <f>[24]Brewhouse!$P723</f>
        <v>60</v>
      </c>
      <c r="M21" s="397">
        <f>[24]Brewhouse!$U723-[24]Brewhouse!$T723</f>
        <v>0.11527777777777781</v>
      </c>
      <c r="N21" s="370">
        <f>[24]Brewhouse!$Z723</f>
        <v>0.26111111111111107</v>
      </c>
      <c r="O21" s="423" t="str">
        <f>[24]Brewhouse!$AX723</f>
        <v>R. Regis</v>
      </c>
      <c r="P21" s="418"/>
      <c r="R21" s="277" t="str">
        <f t="shared" si="0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1:26" ht="15.75" hidden="1" customHeight="1">
      <c r="B22" s="33"/>
      <c r="C22" s="366"/>
      <c r="D22" s="279"/>
      <c r="E22" s="279"/>
      <c r="F22" s="278"/>
      <c r="G22" s="279"/>
      <c r="H22" s="396"/>
      <c r="I22" s="422"/>
      <c r="J22" s="422"/>
      <c r="K22" s="281"/>
      <c r="L22" s="276"/>
      <c r="M22" s="374"/>
      <c r="N22" s="370"/>
      <c r="O22" s="423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33"/>
      <c r="C23" s="366"/>
      <c r="D23" s="279"/>
      <c r="E23" s="279"/>
      <c r="F23" s="278"/>
      <c r="G23" s="279"/>
      <c r="H23" s="396"/>
      <c r="I23" s="422"/>
      <c r="J23" s="422"/>
      <c r="K23" s="281"/>
      <c r="L23" s="276"/>
      <c r="M23" s="374"/>
      <c r="N23" s="370"/>
      <c r="O23" s="423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29"/>
      <c r="J27" s="529"/>
      <c r="K27" s="529"/>
      <c r="L27" s="529"/>
      <c r="M27" s="529"/>
      <c r="N27" s="529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.75" thickBot="1">
      <c r="B28" s="388" t="s">
        <v>162</v>
      </c>
      <c r="C28" s="388"/>
      <c r="D28" s="542" t="s">
        <v>35</v>
      </c>
      <c r="E28" s="543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83"/>
      <c r="C29" s="362"/>
      <c r="D29" s="533"/>
      <c r="E29" s="522"/>
      <c r="F29" s="294"/>
      <c r="G29" s="294"/>
      <c r="H29" s="348"/>
      <c r="I29" s="29" t="s">
        <v>6</v>
      </c>
      <c r="J29" s="280">
        <f>AVERAGE(I10:I19)</f>
        <v>96.175795748360855</v>
      </c>
      <c r="K29" s="284">
        <f>COUNTA([24]Brewhouse!$A$655:$A$723)</f>
        <v>69</v>
      </c>
      <c r="L29" s="305">
        <f>AVERAGE([24]Brewhouse!$AU$655:$AU$723)</f>
        <v>96.617136498443358</v>
      </c>
      <c r="M2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$723)</f>
        <v>97.736602438716943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6" ht="15" customHeight="1">
      <c r="A30" s="28"/>
      <c r="B30" s="584"/>
      <c r="C30" s="362"/>
      <c r="D30" s="534"/>
      <c r="E30" s="517"/>
      <c r="F30" s="294"/>
      <c r="G30" s="294"/>
      <c r="H30" s="348"/>
      <c r="I30" s="33" t="s">
        <v>9</v>
      </c>
      <c r="J30" s="280"/>
      <c r="K30" s="284">
        <f>COUNTA([22]Brewhouse!$A$324:$A$351)</f>
        <v>28</v>
      </c>
      <c r="L30" s="302">
        <f>AVERAGE([22]Brewhouse!$AS$324:$AS$351)</f>
        <v>97.947765983174435</v>
      </c>
      <c r="M30" s="302">
        <f>AVERAGE([22]Brewhouse!$AS$15:$AS$64,[22]Brewhouse!$AS$66:$AS$103,[22]Brewhouse!$AS$105:$AS$140,[22]Brewhouse!$AS$142:$AS$193,[22]Brewhouse!$AS$195:$AS$240,[22]Brewhouse!$AS$242:$AS$273,[22]Brewhouse!$AS$275:$AS$322,[22]Brewhouse!$AS$324:$AS$351)</f>
        <v>98.056103648802193</v>
      </c>
      <c r="N30" s="30">
        <v>98</v>
      </c>
      <c r="O30" s="11"/>
      <c r="P30" s="31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6" ht="14.65" customHeight="1">
      <c r="A31" s="28"/>
      <c r="B31" s="584"/>
      <c r="C31" s="362"/>
      <c r="D31" s="533"/>
      <c r="E31" s="522"/>
      <c r="F31" s="294"/>
      <c r="G31" s="294"/>
      <c r="H31" s="348"/>
      <c r="I31" s="34" t="s">
        <v>12</v>
      </c>
      <c r="J31" s="280"/>
      <c r="K31" s="284">
        <f>COUNTA([25]Brewhouse!$A$81:$A$84)</f>
        <v>4</v>
      </c>
      <c r="L31" s="302">
        <f>AVERAGE([25]Brewhouse!$AU$81:$AU$84)</f>
        <v>96.0203759926994</v>
      </c>
      <c r="M31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65" customHeight="1">
      <c r="A32" s="28"/>
      <c r="B32" s="584"/>
      <c r="C32" s="362"/>
      <c r="D32" s="534"/>
      <c r="E32" s="517"/>
      <c r="F32" s="294"/>
      <c r="G32" s="294"/>
      <c r="H32" s="348"/>
      <c r="I32" s="22" t="s">
        <v>33</v>
      </c>
      <c r="J32" s="280"/>
      <c r="K32" s="284">
        <f>COUNTA([26]Brewhouse!$A$64:$A$77)</f>
        <v>14</v>
      </c>
      <c r="L32" s="302">
        <f>AVERAGE([26]Brewhouse!$AV$64:$AV$77)</f>
        <v>97.585594897114063</v>
      </c>
      <c r="M32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65" customHeight="1">
      <c r="A33" s="28"/>
      <c r="B33" s="584"/>
      <c r="C33" s="362"/>
      <c r="D33" s="533"/>
      <c r="E33" s="522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65" customHeight="1">
      <c r="A34" s="28"/>
      <c r="B34" s="584"/>
      <c r="C34" s="362"/>
      <c r="D34" s="534"/>
      <c r="E34" s="517"/>
      <c r="F34" s="417"/>
      <c r="G34" s="294"/>
      <c r="H34" s="348"/>
      <c r="I34" s="36" t="s">
        <v>15</v>
      </c>
      <c r="J34" s="323"/>
      <c r="K34" s="284"/>
      <c r="L34" s="302"/>
      <c r="M34" s="302">
        <f>AVERAGE([27]Brewhouse!$AT$4:$AT$11,[27]Brewhouse!$AT$13:$AT$16,[27]Brewhouse!$AT$18:$AT$21,[27]Brewhouse!$AT$26)</f>
        <v>94.588057846623641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84"/>
      <c r="C35" s="362"/>
      <c r="D35" s="533"/>
      <c r="E35" s="522"/>
      <c r="F35" s="417"/>
      <c r="G35" s="294"/>
      <c r="H35" s="348"/>
      <c r="I35" s="37" t="s">
        <v>16</v>
      </c>
      <c r="J35" s="323"/>
      <c r="K35" s="284"/>
      <c r="L35" s="302"/>
      <c r="M35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65" customHeight="1">
      <c r="A36" s="28"/>
      <c r="B36" s="584"/>
      <c r="C36" s="362"/>
      <c r="D36" s="534"/>
      <c r="E36" s="517"/>
      <c r="F36" s="294"/>
      <c r="G36" s="294"/>
      <c r="H36" s="348"/>
      <c r="I36" s="411" t="s">
        <v>158</v>
      </c>
      <c r="J36" s="326"/>
      <c r="K36" s="284"/>
      <c r="L36" s="305"/>
      <c r="M36" s="305">
        <f>AVERAGE([28]Brewhouse!$AU$5:$AU$8,[28]Brewhouse!$AU$10:$AU$13)</f>
        <v>94.247666625193744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65" customHeight="1">
      <c r="A37" s="28"/>
      <c r="B37" s="584"/>
      <c r="C37" s="349"/>
      <c r="D37" s="533"/>
      <c r="E37" s="522"/>
      <c r="F37" s="294"/>
      <c r="G37" s="294"/>
      <c r="H37" s="348"/>
      <c r="I37" s="410" t="s">
        <v>157</v>
      </c>
      <c r="J37" s="326"/>
      <c r="K37" s="284"/>
      <c r="L37" s="305"/>
      <c r="M37" s="305">
        <f>AVERAGE([29]Brewhouse!$AW$26:$AW$27)</f>
        <v>95.310680905194914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84"/>
      <c r="C38" s="349"/>
      <c r="D38" s="534"/>
      <c r="E38" s="517"/>
      <c r="F38" s="294"/>
      <c r="G38" s="294"/>
      <c r="H38" s="348"/>
      <c r="I38" s="406" t="s">
        <v>156</v>
      </c>
      <c r="J38" s="327"/>
      <c r="K38" s="407"/>
      <c r="L38" s="408"/>
      <c r="M38" s="408">
        <f>AVERAGE([30]Brewhouse!$AU$13:$AU$14)</f>
        <v>97.110575243268045</v>
      </c>
      <c r="N38" s="409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84"/>
      <c r="C39" s="349"/>
      <c r="D39" s="533"/>
      <c r="E39" s="522"/>
      <c r="F39" s="294"/>
      <c r="G39" s="294"/>
      <c r="H39" s="348"/>
      <c r="I39" s="1"/>
      <c r="J39" s="39"/>
      <c r="K39" s="404">
        <f>SUM(K29:K38)</f>
        <v>115</v>
      </c>
      <c r="L39" s="405">
        <f>((L29*K29)+(L30*K30)+(L31*K31)+(L32*K32)+(L33*K33)+(K36*L36)+(L34*K34)+(L35*K35)+(L38*K38))/(K39)</f>
        <v>97.038258247407555</v>
      </c>
      <c r="M39" s="405">
        <f>AVERAGE('[31]Jan 31st'!$L$65,'[32]Feb 28th'!$L$35,'[33]Mar. 31st'!$L$35,'[34]Apr. 30th'!$L$45,'[35]May 30th'!$L$37,'[36]June 30th'!$L$57,L39)</f>
        <v>97.570024106352776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.75" thickBot="1">
      <c r="B40" s="585"/>
      <c r="C40" s="350"/>
      <c r="D40" s="534"/>
      <c r="E40" s="517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.75" thickBot="1">
      <c r="B41" s="593"/>
      <c r="C41" s="362"/>
      <c r="D41" s="514"/>
      <c r="E41" s="515"/>
      <c r="F41" s="294"/>
      <c r="G41" s="42"/>
      <c r="H41" s="41"/>
      <c r="I41" s="42"/>
      <c r="J41" s="569" t="s">
        <v>129</v>
      </c>
      <c r="K41" s="569"/>
      <c r="L41" s="294"/>
      <c r="M41" s="294"/>
      <c r="N41" s="294"/>
      <c r="O41" s="294"/>
      <c r="P41" s="12"/>
    </row>
    <row r="42" spans="1:56" ht="15.75" thickBot="1">
      <c r="B42" s="584"/>
      <c r="C42" s="362"/>
      <c r="D42" s="516"/>
      <c r="E42" s="517"/>
      <c r="F42" s="294"/>
      <c r="G42" s="42"/>
      <c r="H42" s="41"/>
      <c r="I42" s="42"/>
      <c r="J42" s="292" t="s">
        <v>17</v>
      </c>
      <c r="K42" s="293" t="s">
        <v>147</v>
      </c>
      <c r="L42" s="519" t="s">
        <v>136</v>
      </c>
      <c r="M42" s="519"/>
      <c r="N42" s="520"/>
      <c r="O42" s="294"/>
      <c r="P42" s="12"/>
    </row>
    <row r="43" spans="1:56" ht="15" customHeight="1" thickBot="1">
      <c r="B43" s="584"/>
      <c r="C43" s="349"/>
      <c r="D43" s="570"/>
      <c r="E43" s="571"/>
      <c r="F43" s="294"/>
      <c r="G43" s="42"/>
      <c r="H43" s="41"/>
      <c r="I43" s="42"/>
      <c r="J43" s="287" t="s">
        <v>6</v>
      </c>
      <c r="K43" s="324">
        <v>10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84"/>
      <c r="C44" s="349"/>
      <c r="D44" s="516"/>
      <c r="E44" s="517"/>
      <c r="F44" s="294"/>
      <c r="G44" s="42"/>
      <c r="H44" s="41"/>
      <c r="I44" s="42"/>
      <c r="J44" s="345" t="s">
        <v>9</v>
      </c>
      <c r="K44" s="324"/>
      <c r="L44" s="344">
        <f>AVERAGE('Aug 4th '!K58,'Aug 5th '!K58,'Aug 6th '!K58,'Aug 7th '!K58,'Aug 8th '!K48,'Aug 13th'!K52,'Aug 14th'!K51,'Aug 15th-16th'!J57,'Aug 15th-16th'!K57,'Aug 18th'!K54,'Aug 19th'!K56,'Aug 20th'!K59,'Aug 25th'!K53,'Aug 22nd-23rd'!J53,'Aug 22nd-23rd'!K53,'Aug 25th'!J53)</f>
        <v>7.1333333333333337</v>
      </c>
      <c r="M44" s="325">
        <f>AVERAGE('[31]Jan 29th '!$M$70,'[32]Feb 28th'!$L$40,'[33]Mar. 31st'!$L$40,'[34]Apr. 30th'!$L$50,'[35]May 30th'!$L$42,'[36]June 30th'!$L$62,'[37]July 29th '!$L$49,L44)</f>
        <v>6.9312812759323048</v>
      </c>
      <c r="N44" s="416">
        <v>9.1999999999999993</v>
      </c>
      <c r="O44" s="294"/>
      <c r="P44" s="12"/>
    </row>
    <row r="45" spans="1:56" ht="15" customHeight="1">
      <c r="B45" s="584"/>
      <c r="C45" s="349"/>
      <c r="D45" s="570"/>
      <c r="E45" s="571"/>
      <c r="F45" s="294"/>
      <c r="G45" s="42"/>
      <c r="H45" s="41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84"/>
      <c r="C46" s="349"/>
      <c r="D46" s="516"/>
      <c r="E46" s="517"/>
      <c r="F46" s="294"/>
      <c r="G46" s="42"/>
      <c r="H46" s="41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84"/>
      <c r="C47" s="349"/>
      <c r="D47" s="570"/>
      <c r="E47" s="571"/>
      <c r="F47" s="294"/>
      <c r="G47" s="42"/>
      <c r="H47" s="41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84"/>
      <c r="C48" s="349"/>
      <c r="D48" s="516"/>
      <c r="E48" s="517"/>
      <c r="F48" s="294"/>
      <c r="G48" s="42"/>
      <c r="H48" s="41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5">
      <c r="B49" s="584"/>
      <c r="C49" s="349"/>
      <c r="D49" s="570"/>
      <c r="E49" s="571"/>
      <c r="F49" s="294"/>
      <c r="G49" s="42"/>
      <c r="H49" s="41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thickBot="1">
      <c r="B50" s="585"/>
      <c r="C50" s="350"/>
      <c r="D50" s="572"/>
      <c r="E50" s="573"/>
      <c r="F50" s="294"/>
      <c r="G50" s="42"/>
      <c r="H50" s="41"/>
      <c r="I50" s="42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 thickBot="1">
      <c r="B51" s="312" t="s">
        <v>139</v>
      </c>
      <c r="C51" s="313"/>
      <c r="D51" s="574" t="e">
        <f>AVERAGE(D29:E50)</f>
        <v>#DIV/0!</v>
      </c>
      <c r="E51" s="575"/>
      <c r="F51" s="294"/>
      <c r="H51" s="41"/>
      <c r="I51" s="42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649999999999999" customHeight="1">
      <c r="B52" s="363"/>
      <c r="C52" s="364"/>
      <c r="D52" s="365"/>
      <c r="E52" s="365"/>
      <c r="F52" s="294"/>
      <c r="G52" s="42"/>
      <c r="H52" s="41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6" customHeight="1">
      <c r="B53" s="45"/>
      <c r="C53" s="11"/>
      <c r="D53" s="11"/>
      <c r="E53" s="46"/>
      <c r="F53" s="294"/>
      <c r="G53" s="42"/>
      <c r="H53" s="41"/>
      <c r="I53" s="42"/>
      <c r="J53" s="346" t="s">
        <v>130</v>
      </c>
      <c r="K53" s="324">
        <f>SUM(K43:K52)</f>
        <v>10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2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2:57" ht="15" customHeight="1" thickBot="1">
      <c r="B56" s="495" t="s">
        <v>17</v>
      </c>
      <c r="C56" s="495" t="s">
        <v>44</v>
      </c>
      <c r="D56" s="507" t="s">
        <v>45</v>
      </c>
      <c r="E56" s="509" t="s">
        <v>46</v>
      </c>
      <c r="F56" s="503" t="s">
        <v>47</v>
      </c>
      <c r="G56" s="493" t="s">
        <v>48</v>
      </c>
      <c r="H56" s="495" t="s">
        <v>49</v>
      </c>
      <c r="I56" s="495" t="s">
        <v>50</v>
      </c>
      <c r="J56" s="487" t="s">
        <v>28</v>
      </c>
      <c r="K56" s="499" t="s">
        <v>51</v>
      </c>
      <c r="L56" s="501" t="s">
        <v>52</v>
      </c>
      <c r="M56" s="487" t="s">
        <v>53</v>
      </c>
      <c r="N56" s="13"/>
      <c r="O56" s="13"/>
      <c r="P56" s="50"/>
    </row>
    <row r="57" spans="2:57" ht="28.5" customHeight="1" thickTop="1" thickBot="1">
      <c r="B57" s="496"/>
      <c r="C57" s="496"/>
      <c r="D57" s="508"/>
      <c r="E57" s="510"/>
      <c r="F57" s="504"/>
      <c r="G57" s="494"/>
      <c r="H57" s="496"/>
      <c r="I57" s="496"/>
      <c r="J57" s="488"/>
      <c r="K57" s="500"/>
      <c r="L57" s="502"/>
      <c r="M57" s="488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9.45" customHeight="1" thickBot="1">
      <c r="B58" s="475"/>
      <c r="C58" s="445"/>
      <c r="D58" s="446"/>
      <c r="E58" s="447"/>
      <c r="F58" s="448"/>
      <c r="G58" s="449"/>
      <c r="H58" s="450"/>
      <c r="I58" s="451"/>
      <c r="J58" s="452"/>
      <c r="K58" s="453"/>
      <c r="L58" s="464" t="e">
        <f>(((D58+E58)-G58)/(D58+E58))*100</f>
        <v>#DIV/0!</v>
      </c>
      <c r="M58" s="46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[20]January_2019!L7</f>
        <v>285.8</v>
      </c>
      <c r="AC58" s="57">
        <f>[20]January_2019!M7</f>
        <v>508.1</v>
      </c>
      <c r="AD58" s="57">
        <f>[20]January_2019!N7</f>
        <v>0</v>
      </c>
      <c r="AE58" s="57">
        <f>[20]January_2019!O7</f>
        <v>0</v>
      </c>
      <c r="AF58" s="57">
        <f>[20]January_2019!P7</f>
        <v>109.56666666666666</v>
      </c>
      <c r="AG58" s="57">
        <f>[20]January_2019!Q7</f>
        <v>297.64999999999998</v>
      </c>
      <c r="AH58" s="57">
        <f>[20]January_2019!R7</f>
        <v>122.3</v>
      </c>
      <c r="AI58" s="57">
        <f>[20]January_2019!S7</f>
        <v>0</v>
      </c>
      <c r="AJ58" s="57">
        <f>[20]January_2019!T7</f>
        <v>294.7</v>
      </c>
      <c r="AK58" s="57">
        <f>[20]January_2019!U7</f>
        <v>280.5</v>
      </c>
      <c r="AL58" s="57">
        <f>[20]January_2019!V7</f>
        <v>0</v>
      </c>
      <c r="AM58" s="57">
        <f>[20]January_2019!W7</f>
        <v>0</v>
      </c>
      <c r="AN58" s="57">
        <f>[20]January_2019!X7</f>
        <v>188.25</v>
      </c>
      <c r="AO58" s="57">
        <f>[20]January_2019!Y7</f>
        <v>295.7</v>
      </c>
      <c r="AP58" s="57">
        <f>[20]January_2019!Z7</f>
        <v>257.8</v>
      </c>
      <c r="AQ58" s="57">
        <f>[20]January_2019!AA7</f>
        <v>291.2</v>
      </c>
      <c r="AR58" s="57">
        <f>[20]January_2019!AB7</f>
        <v>187</v>
      </c>
      <c r="AS58" s="57">
        <f>[20]January_2019!AC7</f>
        <v>0</v>
      </c>
      <c r="AT58" s="57">
        <f>[20]January_2019!AD7</f>
        <v>0</v>
      </c>
      <c r="AU58" s="57">
        <f>[20]January_2019!AE7</f>
        <v>485.1</v>
      </c>
      <c r="AV58" s="57">
        <f>[20]January_2019!AF7</f>
        <v>171.55</v>
      </c>
      <c r="AW58" s="57">
        <f>[20]January_2019!AG7</f>
        <v>423.8</v>
      </c>
      <c r="AX58" s="277">
        <f>[20]January_2019!AH7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20.45" hidden="1" customHeight="1" thickBot="1">
      <c r="B59" s="469"/>
      <c r="C59" s="434"/>
      <c r="D59" s="435"/>
      <c r="E59" s="436"/>
      <c r="F59" s="437"/>
      <c r="G59" s="438"/>
      <c r="H59" s="439"/>
      <c r="I59" s="454"/>
      <c r="J59" s="455"/>
      <c r="K59" s="440"/>
      <c r="L59" s="456"/>
      <c r="M59" s="42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59.45" hidden="1" customHeight="1" thickBot="1">
      <c r="B60" s="475"/>
      <c r="C60" s="445"/>
      <c r="D60" s="446"/>
      <c r="E60" s="447"/>
      <c r="F60" s="448"/>
      <c r="G60" s="449"/>
      <c r="H60" s="450"/>
      <c r="I60" s="451"/>
      <c r="J60" s="452"/>
      <c r="K60" s="453"/>
      <c r="L60" s="466" t="e">
        <f>(((D60+E60)-G60)/(D60+E60))*100</f>
        <v>#DIV/0!</v>
      </c>
      <c r="M60" s="46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8"/>
      <c r="C61" s="434"/>
      <c r="D61" s="435"/>
      <c r="E61" s="436"/>
      <c r="F61" s="437"/>
      <c r="G61" s="438"/>
      <c r="H61" s="439"/>
      <c r="I61" s="454"/>
      <c r="J61" s="455"/>
      <c r="K61" s="440"/>
      <c r="L61" s="456"/>
      <c r="M61" s="42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6.6" hidden="1" customHeight="1" thickBot="1">
      <c r="B62" s="387"/>
      <c r="C62" s="445">
        <v>45873</v>
      </c>
      <c r="D62" s="446"/>
      <c r="E62" s="447"/>
      <c r="F62" s="448"/>
      <c r="G62" s="449"/>
      <c r="H62" s="450"/>
      <c r="I62" s="451"/>
      <c r="J62" s="452" t="s">
        <v>163</v>
      </c>
      <c r="K62" s="453"/>
      <c r="L62" s="459" t="e">
        <f>(((D62+E62)-G62)/(D62+E62))*100</f>
        <v>#DIV/0!</v>
      </c>
      <c r="M62" s="46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41"/>
      <c r="C63" s="427"/>
      <c r="D63" s="428"/>
      <c r="E63" s="429"/>
      <c r="F63" s="430"/>
      <c r="G63" s="431"/>
      <c r="H63" s="432"/>
      <c r="I63" s="442"/>
      <c r="J63" s="443"/>
      <c r="K63" s="433"/>
      <c r="L63" s="444"/>
      <c r="M63" s="426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2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489" t="s">
        <v>55</v>
      </c>
      <c r="C65" s="490"/>
      <c r="D65" s="490"/>
      <c r="E65" s="490"/>
      <c r="F65" s="491"/>
      <c r="G65" s="489" t="s">
        <v>56</v>
      </c>
      <c r="H65" s="490"/>
      <c r="I65" s="490"/>
      <c r="J65" s="491"/>
      <c r="K65" s="489" t="s">
        <v>51</v>
      </c>
      <c r="L65" s="490"/>
      <c r="M65" s="490"/>
      <c r="N65" s="492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65"/>
      <c r="D67" s="76">
        <v>4.931140364211239</v>
      </c>
      <c r="E67" s="76">
        <v>6.1957696007512126</v>
      </c>
      <c r="F67" s="66">
        <v>4.8</v>
      </c>
      <c r="G67" s="65"/>
      <c r="H67" s="76">
        <v>6.9340478782129695</v>
      </c>
      <c r="I67" s="76">
        <v>6.2615666585643188</v>
      </c>
      <c r="J67" s="66">
        <v>4.8</v>
      </c>
      <c r="K67" s="67"/>
      <c r="L67" s="194">
        <v>1.0756140350877192</v>
      </c>
      <c r="M67" s="194">
        <v>0.7684191168003327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4.8352458838586454</v>
      </c>
      <c r="E68" s="76">
        <v>5.8467024060595829</v>
      </c>
      <c r="F68" s="66">
        <v>4.8</v>
      </c>
      <c r="G68" s="65"/>
      <c r="H68" s="76">
        <v>5.4081292916136592</v>
      </c>
      <c r="I68" s="76">
        <v>5.5174185987401785</v>
      </c>
      <c r="J68" s="66">
        <v>4.8</v>
      </c>
      <c r="K68" s="67"/>
      <c r="L68" s="194">
        <v>0.673187134502924</v>
      </c>
      <c r="M68" s="194">
        <v>0.75083800083487295</v>
      </c>
      <c r="N68" s="68">
        <v>1</v>
      </c>
      <c r="P68" s="69"/>
    </row>
    <row r="69" spans="2:16" ht="15">
      <c r="B69" s="34" t="s">
        <v>40</v>
      </c>
      <c r="C69" s="65"/>
      <c r="D69" s="76">
        <v>8.0382775119617147</v>
      </c>
      <c r="E69" s="76">
        <v>11.429743886837057</v>
      </c>
      <c r="F69" s="66">
        <v>5.5</v>
      </c>
      <c r="G69" s="65"/>
      <c r="H69" s="76">
        <v>10.370027728825649</v>
      </c>
      <c r="I69" s="76">
        <v>13.047305235287777</v>
      </c>
      <c r="J69" s="66">
        <v>5.5</v>
      </c>
      <c r="K69" s="67"/>
      <c r="L69" s="194">
        <v>0.67438596491228076</v>
      </c>
      <c r="M69" s="194">
        <v>0.55172216056233814</v>
      </c>
      <c r="N69" s="68">
        <v>1</v>
      </c>
      <c r="P69" s="69"/>
    </row>
    <row r="70" spans="2:16" ht="15">
      <c r="B70" s="22" t="s">
        <v>33</v>
      </c>
      <c r="C70" s="65"/>
      <c r="D70" s="76">
        <v>3.992015968063888</v>
      </c>
      <c r="E70" s="76">
        <v>4.8818566667667298</v>
      </c>
      <c r="F70" s="66">
        <v>3.3</v>
      </c>
      <c r="G70" s="65"/>
      <c r="H70" s="76">
        <v>4.3345910844408779</v>
      </c>
      <c r="I70" s="76">
        <v>4.7612385632312364</v>
      </c>
      <c r="J70" s="66">
        <v>3.3</v>
      </c>
      <c r="K70" s="67"/>
      <c r="L70" s="194">
        <v>1.016578947368421</v>
      </c>
      <c r="M70" s="194">
        <v>0.82603070175438598</v>
      </c>
      <c r="N70" s="68">
        <v>1</v>
      </c>
      <c r="P70" s="69"/>
    </row>
    <row r="71" spans="2:16" ht="15">
      <c r="B71" s="35" t="s">
        <v>165</v>
      </c>
      <c r="C71" s="65"/>
      <c r="D71" s="76"/>
      <c r="E71" s="76">
        <v>7.837301587301579</v>
      </c>
      <c r="F71" s="66">
        <v>3.3</v>
      </c>
      <c r="G71" s="282"/>
      <c r="H71" s="76"/>
      <c r="I71" s="76">
        <v>5.3377569154690221</v>
      </c>
      <c r="J71" s="66">
        <v>3</v>
      </c>
      <c r="K71" s="67"/>
      <c r="L71" s="194"/>
      <c r="M71" s="194">
        <v>0.32596491228070179</v>
      </c>
      <c r="N71" s="68">
        <v>1</v>
      </c>
      <c r="P71" s="69"/>
    </row>
    <row r="72" spans="2:16" ht="15">
      <c r="B72" s="36" t="s">
        <v>15</v>
      </c>
      <c r="C72" s="65"/>
      <c r="D72" s="76">
        <v>5.2552552552552552</v>
      </c>
      <c r="E72" s="76">
        <v>6.9158697961943529</v>
      </c>
      <c r="F72" s="70">
        <f>[21]May_2022!$M$43</f>
        <v>3.4878406700073312</v>
      </c>
      <c r="G72" s="282"/>
      <c r="H72" s="76">
        <v>6.7916330640214131</v>
      </c>
      <c r="I72" s="76">
        <v>8.5598888260252064</v>
      </c>
      <c r="J72" s="66">
        <v>5.5</v>
      </c>
      <c r="K72" s="67"/>
      <c r="L72" s="194">
        <v>0.66421052631578947</v>
      </c>
      <c r="M72" s="194">
        <v>0.60705263157894729</v>
      </c>
      <c r="N72" s="68">
        <v>1</v>
      </c>
      <c r="P72" s="69"/>
    </row>
    <row r="73" spans="2:16" ht="15">
      <c r="B73" s="37" t="s">
        <v>16</v>
      </c>
      <c r="C73" s="65"/>
      <c r="D73" s="76">
        <v>4.1414141414141357</v>
      </c>
      <c r="E73" s="76">
        <v>3.0301127264734369</v>
      </c>
      <c r="F73" s="66">
        <v>3.3</v>
      </c>
      <c r="G73" s="282"/>
      <c r="H73" s="76">
        <v>7.0415942868172152</v>
      </c>
      <c r="I73" s="76">
        <v>4.4974189022907662</v>
      </c>
      <c r="J73" s="66">
        <v>3.3</v>
      </c>
      <c r="K73" s="67"/>
      <c r="L73" s="194">
        <v>0.33298245614035088</v>
      </c>
      <c r="M73" s="194">
        <v>0.80374720357941831</v>
      </c>
      <c r="N73" s="71">
        <v>1</v>
      </c>
      <c r="P73" s="69"/>
    </row>
    <row r="74" spans="2:16" ht="15.75" thickBot="1">
      <c r="B74" s="38" t="s">
        <v>164</v>
      </c>
      <c r="C74" s="65"/>
      <c r="D74" s="76"/>
      <c r="E74" s="76">
        <v>11.483253588516746</v>
      </c>
      <c r="F74" s="66">
        <v>7.5</v>
      </c>
      <c r="G74" s="282"/>
      <c r="H74" s="76"/>
      <c r="I74" s="76">
        <v>9.7934336121043764</v>
      </c>
      <c r="J74" s="66">
        <v>7.5</v>
      </c>
      <c r="K74" s="67"/>
      <c r="M74" s="194">
        <v>0.32456140350877194</v>
      </c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>
        <v>7.2653644592663174</v>
      </c>
      <c r="F75" s="66">
        <v>4.8</v>
      </c>
      <c r="G75" s="282"/>
      <c r="H75" s="76"/>
      <c r="I75" s="76">
        <v>8.1715311054411259</v>
      </c>
      <c r="J75" s="66">
        <v>4.8</v>
      </c>
      <c r="K75" s="67"/>
      <c r="L75" s="194"/>
      <c r="M75" s="194">
        <v>0.51368421052631585</v>
      </c>
      <c r="N75" s="71">
        <v>1</v>
      </c>
      <c r="O75" s="74"/>
      <c r="P75" s="75"/>
    </row>
    <row r="76" spans="2:16" ht="15">
      <c r="D76" s="76">
        <v>5.0122568537403884</v>
      </c>
      <c r="E76" s="76">
        <v>6.2561530091176252</v>
      </c>
      <c r="F76" s="341">
        <v>5.5</v>
      </c>
      <c r="H76" s="76">
        <v>6.5621968305462266</v>
      </c>
      <c r="I76" s="76">
        <v>6.5759292284197146</v>
      </c>
      <c r="J76" s="341">
        <v>5.5</v>
      </c>
      <c r="L76" s="194">
        <v>0.83619493177387905</v>
      </c>
      <c r="M76" s="194">
        <v>0.73623931093884587</v>
      </c>
      <c r="N76" s="386">
        <v>1</v>
      </c>
    </row>
    <row r="80" spans="2:16">
      <c r="F80" s="315"/>
    </row>
    <row r="81" spans="6:6" ht="15">
      <c r="F8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5:F65"/>
    <mergeCell ref="G65:J65"/>
    <mergeCell ref="K65:N65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813" priority="127" operator="notBetween">
      <formula>#REF!</formula>
      <formula>#REF!</formula>
    </cfRule>
  </conditionalFormatting>
  <conditionalFormatting sqref="C55">
    <cfRule type="cellIs" dxfId="812" priority="158" stopIfTrue="1" operator="lessThan">
      <formula>96</formula>
    </cfRule>
    <cfRule type="cellIs" dxfId="811" priority="159" stopIfTrue="1" operator="greaterThan">
      <formula>100</formula>
    </cfRule>
  </conditionalFormatting>
  <conditionalFormatting sqref="C67:C71">
    <cfRule type="cellIs" dxfId="810" priority="108" stopIfTrue="1" operator="lessThanOrEqual">
      <formula>0</formula>
    </cfRule>
  </conditionalFormatting>
  <conditionalFormatting sqref="C67:C75">
    <cfRule type="cellIs" dxfId="809" priority="107" stopIfTrue="1" operator="greaterThan">
      <formula>$F67</formula>
    </cfRule>
  </conditionalFormatting>
  <conditionalFormatting sqref="C68">
    <cfRule type="cellIs" dxfId="808" priority="162" stopIfTrue="1" operator="greaterThan">
      <formula>$F67</formula>
    </cfRule>
  </conditionalFormatting>
  <conditionalFormatting sqref="C72">
    <cfRule type="cellIs" dxfId="807" priority="27" stopIfTrue="1" operator="greaterThan">
      <formula>$F71</formula>
    </cfRule>
    <cfRule type="cellIs" dxfId="806" priority="26" stopIfTrue="1" operator="lessThanOrEqual">
      <formula>0</formula>
    </cfRule>
  </conditionalFormatting>
  <conditionalFormatting sqref="C78:C82">
    <cfRule type="cellIs" dxfId="805" priority="150" stopIfTrue="1" operator="lessThanOrEqual">
      <formula>0</formula>
    </cfRule>
  </conditionalFormatting>
  <conditionalFormatting sqref="C79:C82">
    <cfRule type="cellIs" dxfId="804" priority="149" stopIfTrue="1" operator="greaterThan">
      <formula>$F$78</formula>
    </cfRule>
  </conditionalFormatting>
  <conditionalFormatting sqref="C84">
    <cfRule type="cellIs" dxfId="803" priority="151" stopIfTrue="1" operator="greaterThan">
      <formula>$F$78</formula>
    </cfRule>
    <cfRule type="cellIs" dxfId="802" priority="152" stopIfTrue="1" operator="lessThanOrEqual">
      <formula>0</formula>
    </cfRule>
  </conditionalFormatting>
  <conditionalFormatting sqref="C78:D78 D80:D86">
    <cfRule type="cellIs" dxfId="801" priority="144" stopIfTrue="1" operator="greaterThan">
      <formula>4.5</formula>
    </cfRule>
  </conditionalFormatting>
  <conditionalFormatting sqref="D51:D52">
    <cfRule type="cellIs" dxfId="800" priority="128" operator="notBetween">
      <formula>#REF!</formula>
      <formula>#REF!</formula>
    </cfRule>
  </conditionalFormatting>
  <conditionalFormatting sqref="D67:D74">
    <cfRule type="cellIs" dxfId="799" priority="122" stopIfTrue="1" operator="lessThanOrEqual">
      <formula>0</formula>
    </cfRule>
  </conditionalFormatting>
  <conditionalFormatting sqref="D75">
    <cfRule type="cellIs" dxfId="798" priority="121" stopIfTrue="1" operator="lessThanOrEqual">
      <formula>0</formula>
    </cfRule>
  </conditionalFormatting>
  <conditionalFormatting sqref="D78 D80:D86">
    <cfRule type="cellIs" dxfId="797" priority="145" stopIfTrue="1" operator="lessThanOrEqual">
      <formula>0</formula>
    </cfRule>
  </conditionalFormatting>
  <conditionalFormatting sqref="D79">
    <cfRule type="cellIs" dxfId="796" priority="136" stopIfTrue="1" operator="greaterThan">
      <formula>$F$78</formula>
    </cfRule>
    <cfRule type="cellIs" dxfId="795" priority="137" stopIfTrue="1" operator="lessThanOrEqual">
      <formula>0</formula>
    </cfRule>
  </conditionalFormatting>
  <conditionalFormatting sqref="D67:E76">
    <cfRule type="cellIs" dxfId="794" priority="104" stopIfTrue="1" operator="greaterThan">
      <formula>$F67</formula>
    </cfRule>
  </conditionalFormatting>
  <conditionalFormatting sqref="D76:E76">
    <cfRule type="cellIs" dxfId="793" priority="105" stopIfTrue="1" operator="lessThanOrEqual">
      <formula>0</formula>
    </cfRule>
  </conditionalFormatting>
  <conditionalFormatting sqref="E10:E26">
    <cfRule type="cellIs" dxfId="792" priority="10" operator="lessThan">
      <formula>48</formula>
    </cfRule>
  </conditionalFormatting>
  <conditionalFormatting sqref="E54 E55:F55">
    <cfRule type="cellIs" dxfId="791" priority="141" stopIfTrue="1" operator="greaterThan">
      <formula>100</formula>
    </cfRule>
  </conditionalFormatting>
  <conditionalFormatting sqref="E55">
    <cfRule type="cellIs" dxfId="790" priority="139" stopIfTrue="1" operator="greaterThan">
      <formula>100</formula>
    </cfRule>
    <cfRule type="cellIs" dxfId="789" priority="138" stopIfTrue="1" operator="lessThan">
      <formula>96.8</formula>
    </cfRule>
  </conditionalFormatting>
  <conditionalFormatting sqref="E67:E75">
    <cfRule type="cellIs" dxfId="788" priority="116" stopIfTrue="1" operator="lessThanOrEqual">
      <formula>0</formula>
    </cfRule>
  </conditionalFormatting>
  <conditionalFormatting sqref="E78:E86">
    <cfRule type="cellIs" dxfId="787" priority="130" stopIfTrue="1" operator="greaterThan">
      <formula>4.5</formula>
    </cfRule>
    <cfRule type="cellIs" dxfId="786" priority="131" stopIfTrue="1" operator="lessThanOrEqual">
      <formula>0</formula>
    </cfRule>
  </conditionalFormatting>
  <conditionalFormatting sqref="E55:F55 E54">
    <cfRule type="cellIs" dxfId="785" priority="140" stopIfTrue="1" operator="lessThan">
      <formula>96.5</formula>
    </cfRule>
  </conditionalFormatting>
  <conditionalFormatting sqref="F10:F26">
    <cfRule type="cellIs" dxfId="784" priority="11" operator="greaterThan">
      <formula>60</formula>
    </cfRule>
  </conditionalFormatting>
  <conditionalFormatting sqref="F55">
    <cfRule type="cellIs" dxfId="783" priority="157" stopIfTrue="1" operator="greaterThan">
      <formula>100</formula>
    </cfRule>
    <cfRule type="cellIs" dxfId="782" priority="156" stopIfTrue="1" operator="lessThan">
      <formula>96.8</formula>
    </cfRule>
  </conditionalFormatting>
  <conditionalFormatting sqref="F76">
    <cfRule type="cellIs" dxfId="781" priority="118" stopIfTrue="1" operator="lessThanOrEqual">
      <formula>0</formula>
    </cfRule>
    <cfRule type="cellIs" dxfId="780" priority="117" stopIfTrue="1" operator="greaterThan">
      <formula>$F76</formula>
    </cfRule>
  </conditionalFormatting>
  <conditionalFormatting sqref="F81">
    <cfRule type="cellIs" dxfId="779" priority="75" stopIfTrue="1" operator="lessThanOrEqual">
      <formula>0</formula>
    </cfRule>
    <cfRule type="cellIs" dxfId="778" priority="74" stopIfTrue="1" operator="greaterThan">
      <formula>$F81</formula>
    </cfRule>
  </conditionalFormatting>
  <conditionalFormatting sqref="G10:G23">
    <cfRule type="expression" dxfId="777" priority="2">
      <formula>IF(+(IF(G10&lt;S10,0,IF(G10&gt;T10,0,1)))=0,1)</formula>
    </cfRule>
  </conditionalFormatting>
  <conditionalFormatting sqref="G67:G68 C73:C75">
    <cfRule type="cellIs" dxfId="776" priority="124" stopIfTrue="1" operator="lessThanOrEqual">
      <formula>0</formula>
    </cfRule>
  </conditionalFormatting>
  <conditionalFormatting sqref="G67:G68">
    <cfRule type="cellIs" dxfId="775" priority="109" stopIfTrue="1" operator="greaterThan">
      <formula>$F67</formula>
    </cfRule>
    <cfRule type="cellIs" dxfId="774" priority="123" stopIfTrue="1" operator="greaterThan">
      <formula>$F67</formula>
    </cfRule>
    <cfRule type="cellIs" dxfId="773" priority="110" stopIfTrue="1" operator="lessThanOrEqual">
      <formula>0</formula>
    </cfRule>
  </conditionalFormatting>
  <conditionalFormatting sqref="G69">
    <cfRule type="cellIs" dxfId="772" priority="161" stopIfTrue="1" operator="lessThanOrEqual">
      <formula>0</formula>
    </cfRule>
    <cfRule type="cellIs" dxfId="771" priority="160" stopIfTrue="1" operator="greaterThan">
      <formula>$F68</formula>
    </cfRule>
  </conditionalFormatting>
  <conditionalFormatting sqref="G70">
    <cfRule type="cellIs" dxfId="770" priority="120" stopIfTrue="1" operator="lessThanOrEqual">
      <formula>0</formula>
    </cfRule>
    <cfRule type="cellIs" dxfId="769" priority="119" stopIfTrue="1" operator="greaterThan">
      <formula>$F70</formula>
    </cfRule>
  </conditionalFormatting>
  <conditionalFormatting sqref="G71:G75">
    <cfRule type="cellIs" dxfId="768" priority="126" stopIfTrue="1" operator="lessThanOrEqual">
      <formula>0</formula>
    </cfRule>
    <cfRule type="cellIs" dxfId="767" priority="125" stopIfTrue="1" operator="greaterThan">
      <formula>$J71</formula>
    </cfRule>
  </conditionalFormatting>
  <conditionalFormatting sqref="G80:G85 C83 C85">
    <cfRule type="cellIs" dxfId="766" priority="153" stopIfTrue="1" operator="greaterThan">
      <formula>4.5</formula>
    </cfRule>
    <cfRule type="cellIs" dxfId="765" priority="154" stopIfTrue="1" operator="lessThanOrEqual">
      <formula>0</formula>
    </cfRule>
  </conditionalFormatting>
  <conditionalFormatting sqref="G79:H79">
    <cfRule type="cellIs" dxfId="764" priority="135" stopIfTrue="1" operator="lessThanOrEqual">
      <formula>0</formula>
    </cfRule>
    <cfRule type="cellIs" dxfId="763" priority="134" stopIfTrue="1" operator="greaterThan">
      <formula>$F$78</formula>
    </cfRule>
  </conditionalFormatting>
  <conditionalFormatting sqref="H10:H25 G24:G25 G26:H26">
    <cfRule type="expression" dxfId="762" priority="28">
      <formula>IF(+(IF(G10&lt;#REF!,0,IF(G10&gt;#REF!,0,1)))=0,1)</formula>
    </cfRule>
  </conditionalFormatting>
  <conditionalFormatting sqref="H40:H54">
    <cfRule type="cellIs" dxfId="761" priority="132" stopIfTrue="1" operator="greaterThan">
      <formula>0</formula>
    </cfRule>
  </conditionalFormatting>
  <conditionalFormatting sqref="H58">
    <cfRule type="cellIs" dxfId="760" priority="45" stopIfTrue="1" operator="lessThanOrEqual">
      <formula>0</formula>
    </cfRule>
    <cfRule type="cellIs" dxfId="759" priority="44" stopIfTrue="1" operator="greaterThan">
      <formula>$F$23</formula>
    </cfRule>
    <cfRule type="cellIs" dxfId="758" priority="43" stopIfTrue="1" operator="lessThanOrEqual">
      <formula>0</formula>
    </cfRule>
    <cfRule type="cellIs" dxfId="757" priority="33" stopIfTrue="1" operator="lessThanOrEqual">
      <formula>0</formula>
    </cfRule>
    <cfRule type="cellIs" dxfId="756" priority="34" stopIfTrue="1" operator="greaterThan">
      <formula>#REF!</formula>
    </cfRule>
    <cfRule type="cellIs" dxfId="755" priority="42" stopIfTrue="1" operator="greaterThan">
      <formula>$F$25</formula>
    </cfRule>
  </conditionalFormatting>
  <conditionalFormatting sqref="H59">
    <cfRule type="cellIs" dxfId="754" priority="72" stopIfTrue="1" operator="greaterThan">
      <formula>$F$25</formula>
    </cfRule>
    <cfRule type="cellIs" dxfId="753" priority="73" stopIfTrue="1" operator="lessThanOrEqual">
      <formula>0</formula>
    </cfRule>
    <cfRule type="cellIs" dxfId="752" priority="70" stopIfTrue="1" operator="greaterThan">
      <formula>$F$27</formula>
    </cfRule>
    <cfRule type="cellIs" dxfId="751" priority="71" stopIfTrue="1" operator="lessThanOrEqual">
      <formula>0</formula>
    </cfRule>
    <cfRule type="cellIs" dxfId="750" priority="61" stopIfTrue="1" operator="lessThanOrEqual">
      <formula>0</formula>
    </cfRule>
    <cfRule type="cellIs" dxfId="749" priority="62" stopIfTrue="1" operator="greaterThan">
      <formula>$F$24</formula>
    </cfRule>
  </conditionalFormatting>
  <conditionalFormatting sqref="H60">
    <cfRule type="cellIs" dxfId="748" priority="13" stopIfTrue="1" operator="lessThanOrEqual">
      <formula>0</formula>
    </cfRule>
    <cfRule type="cellIs" dxfId="747" priority="14" stopIfTrue="1" operator="greaterThan">
      <formula>#REF!</formula>
    </cfRule>
    <cfRule type="cellIs" dxfId="746" priority="25" stopIfTrue="1" operator="lessThanOrEqual">
      <formula>0</formula>
    </cfRule>
    <cfRule type="cellIs" dxfId="745" priority="24" stopIfTrue="1" operator="greaterThan">
      <formula>$F$23</formula>
    </cfRule>
    <cfRule type="cellIs" dxfId="744" priority="23" stopIfTrue="1" operator="lessThanOrEqual">
      <formula>0</formula>
    </cfRule>
    <cfRule type="cellIs" dxfId="743" priority="22" stopIfTrue="1" operator="greaterThan">
      <formula>$F$25</formula>
    </cfRule>
  </conditionalFormatting>
  <conditionalFormatting sqref="H61:H62">
    <cfRule type="cellIs" dxfId="742" priority="48" stopIfTrue="1" operator="greaterThan">
      <formula>$F$23</formula>
    </cfRule>
    <cfRule type="cellIs" dxfId="741" priority="47" stopIfTrue="1" operator="lessThanOrEqual">
      <formula>0</formula>
    </cfRule>
    <cfRule type="cellIs" dxfId="740" priority="59" stopIfTrue="1" operator="lessThanOrEqual">
      <formula>0</formula>
    </cfRule>
    <cfRule type="cellIs" dxfId="739" priority="57" stopIfTrue="1" operator="lessThanOrEqual">
      <formula>0</formula>
    </cfRule>
    <cfRule type="cellIs" dxfId="738" priority="58" stopIfTrue="1" operator="greaterThan">
      <formula>$F$24</formula>
    </cfRule>
    <cfRule type="cellIs" dxfId="737" priority="56" stopIfTrue="1" operator="greaterThan">
      <formula>$F$26</formula>
    </cfRule>
  </conditionalFormatting>
  <conditionalFormatting sqref="H63">
    <cfRule type="cellIs" dxfId="736" priority="78" stopIfTrue="1" operator="lessThanOrEqual">
      <formula>0</formula>
    </cfRule>
    <cfRule type="cellIs" dxfId="735" priority="79" stopIfTrue="1" operator="greaterThan">
      <formula>$F$39</formula>
    </cfRule>
    <cfRule type="cellIs" dxfId="734" priority="87" stopIfTrue="1" operator="greaterThan">
      <formula>$F$42</formula>
    </cfRule>
    <cfRule type="cellIs" dxfId="733" priority="89" stopIfTrue="1" operator="greaterThan">
      <formula>$F$40</formula>
    </cfRule>
    <cfRule type="cellIs" dxfId="732" priority="90" stopIfTrue="1" operator="lessThanOrEqual">
      <formula>0</formula>
    </cfRule>
    <cfRule type="cellIs" dxfId="731" priority="88" stopIfTrue="1" operator="lessThanOrEqual">
      <formula>0</formula>
    </cfRule>
  </conditionalFormatting>
  <conditionalFormatting sqref="H67:H74">
    <cfRule type="cellIs" dxfId="730" priority="111" stopIfTrue="1" operator="greaterThan">
      <formula>$J67</formula>
    </cfRule>
    <cfRule type="cellIs" dxfId="729" priority="112" stopIfTrue="1" operator="lessThanOrEqual">
      <formula>0</formula>
    </cfRule>
  </conditionalFormatting>
  <conditionalFormatting sqref="H75">
    <cfRule type="cellIs" dxfId="728" priority="113" operator="greaterThan">
      <formula>5.3</formula>
    </cfRule>
  </conditionalFormatting>
  <conditionalFormatting sqref="H78 H80:H86">
    <cfRule type="cellIs" dxfId="727" priority="146" stopIfTrue="1" operator="greaterThan">
      <formula>4.5</formula>
    </cfRule>
    <cfRule type="cellIs" dxfId="726" priority="147" stopIfTrue="1" operator="lessThanOrEqual">
      <formula>0</formula>
    </cfRule>
  </conditionalFormatting>
  <conditionalFormatting sqref="H58:I58">
    <cfRule type="cellIs" dxfId="725" priority="35" stopIfTrue="1" operator="lessThanOrEqual">
      <formula>0</formula>
    </cfRule>
    <cfRule type="cellIs" dxfId="724" priority="32" stopIfTrue="1" operator="greaterThan">
      <formula>$F$24</formula>
    </cfRule>
  </conditionalFormatting>
  <conditionalFormatting sqref="H59:I59">
    <cfRule type="cellIs" dxfId="723" priority="63" stopIfTrue="1" operator="lessThanOrEqual">
      <formula>0</formula>
    </cfRule>
    <cfRule type="cellIs" dxfId="722" priority="60" stopIfTrue="1" operator="greaterThan">
      <formula>$F$26</formula>
    </cfRule>
  </conditionalFormatting>
  <conditionalFormatting sqref="H60:I60">
    <cfRule type="cellIs" dxfId="721" priority="12" stopIfTrue="1" operator="greaterThan">
      <formula>$F$24</formula>
    </cfRule>
    <cfRule type="cellIs" dxfId="720" priority="15" stopIfTrue="1" operator="lessThanOrEqual">
      <formula>0</formula>
    </cfRule>
  </conditionalFormatting>
  <conditionalFormatting sqref="H61:I62">
    <cfRule type="cellIs" dxfId="719" priority="49" stopIfTrue="1" operator="lessThanOrEqual">
      <formula>0</formula>
    </cfRule>
    <cfRule type="cellIs" dxfId="718" priority="46" stopIfTrue="1" operator="greaterThan">
      <formula>$F$25</formula>
    </cfRule>
  </conditionalFormatting>
  <conditionalFormatting sqref="H63:I63">
    <cfRule type="cellIs" dxfId="717" priority="77" stopIfTrue="1" operator="greaterThan">
      <formula>$F$41</formula>
    </cfRule>
    <cfRule type="cellIs" dxfId="716" priority="80" stopIfTrue="1" operator="lessThanOrEqual">
      <formula>0</formula>
    </cfRule>
  </conditionalFormatting>
  <conditionalFormatting sqref="H76:I76">
    <cfRule type="cellIs" dxfId="715" priority="103" stopIfTrue="1" operator="lessThanOrEqual">
      <formula>0</formula>
    </cfRule>
    <cfRule type="cellIs" dxfId="714" priority="102" stopIfTrue="1" operator="greaterThan">
      <formula>$J76</formula>
    </cfRule>
  </conditionalFormatting>
  <conditionalFormatting sqref="I58">
    <cfRule type="cellIs" dxfId="713" priority="37" stopIfTrue="1" operator="lessThanOrEqual">
      <formula>0</formula>
    </cfRule>
    <cfRule type="cellIs" dxfId="712" priority="36" stopIfTrue="1" operator="greaterThan">
      <formula>#REF!</formula>
    </cfRule>
    <cfRule type="cellIs" dxfId="711" priority="41" stopIfTrue="1" operator="lessThanOrEqual">
      <formula>0</formula>
    </cfRule>
    <cfRule type="cellIs" dxfId="710" priority="40" stopIfTrue="1" operator="greaterThan">
      <formula>#REF!</formula>
    </cfRule>
    <cfRule type="cellIs" dxfId="709" priority="39" stopIfTrue="1" operator="lessThanOrEqual">
      <formula>0</formula>
    </cfRule>
    <cfRule type="cellIs" dxfId="708" priority="38" stopIfTrue="1" operator="greaterThan">
      <formula>$F$24</formula>
    </cfRule>
  </conditionalFormatting>
  <conditionalFormatting sqref="I59">
    <cfRule type="cellIs" dxfId="707" priority="64" stopIfTrue="1" operator="greaterThan">
      <formula>$F$24</formula>
    </cfRule>
    <cfRule type="cellIs" dxfId="706" priority="67" stopIfTrue="1" operator="lessThanOrEqual">
      <formula>0</formula>
    </cfRule>
    <cfRule type="cellIs" dxfId="705" priority="66" stopIfTrue="1" operator="greaterThan">
      <formula>$F$26</formula>
    </cfRule>
    <cfRule type="cellIs" dxfId="704" priority="65" stopIfTrue="1" operator="lessThanOrEqual">
      <formula>0</formula>
    </cfRule>
    <cfRule type="cellIs" dxfId="703" priority="69" stopIfTrue="1" operator="lessThanOrEqual">
      <formula>0</formula>
    </cfRule>
    <cfRule type="cellIs" dxfId="702" priority="68" stopIfTrue="1" operator="greaterThan">
      <formula>$F$24</formula>
    </cfRule>
  </conditionalFormatting>
  <conditionalFormatting sqref="I60">
    <cfRule type="cellIs" dxfId="701" priority="17" stopIfTrue="1" operator="lessThanOrEqual">
      <formula>0</formula>
    </cfRule>
    <cfRule type="cellIs" dxfId="700" priority="16" stopIfTrue="1" operator="greaterThan">
      <formula>#REF!</formula>
    </cfRule>
    <cfRule type="cellIs" dxfId="699" priority="21" stopIfTrue="1" operator="lessThanOrEqual">
      <formula>0</formula>
    </cfRule>
    <cfRule type="cellIs" dxfId="698" priority="20" stopIfTrue="1" operator="greaterThan">
      <formula>#REF!</formula>
    </cfRule>
    <cfRule type="cellIs" dxfId="697" priority="19" stopIfTrue="1" operator="lessThanOrEqual">
      <formula>0</formula>
    </cfRule>
    <cfRule type="cellIs" dxfId="696" priority="18" stopIfTrue="1" operator="greaterThan">
      <formula>$F$24</formula>
    </cfRule>
  </conditionalFormatting>
  <conditionalFormatting sqref="I61:I62">
    <cfRule type="cellIs" dxfId="695" priority="55" stopIfTrue="1" operator="lessThanOrEqual">
      <formula>0</formula>
    </cfRule>
    <cfRule type="cellIs" dxfId="694" priority="54" stopIfTrue="1" operator="greaterThan">
      <formula>$F$23</formula>
    </cfRule>
    <cfRule type="cellIs" dxfId="693" priority="53" stopIfTrue="1" operator="lessThanOrEqual">
      <formula>0</formula>
    </cfRule>
    <cfRule type="cellIs" dxfId="692" priority="52" stopIfTrue="1" operator="greaterThan">
      <formula>$F$25</formula>
    </cfRule>
    <cfRule type="cellIs" dxfId="691" priority="51" stopIfTrue="1" operator="lessThanOrEqual">
      <formula>0</formula>
    </cfRule>
    <cfRule type="cellIs" dxfId="690" priority="50" stopIfTrue="1" operator="greaterThan">
      <formula>$F$23</formula>
    </cfRule>
  </conditionalFormatting>
  <conditionalFormatting sqref="I63">
    <cfRule type="cellIs" dxfId="689" priority="82" stopIfTrue="1" operator="lessThanOrEqual">
      <formula>0</formula>
    </cfRule>
    <cfRule type="cellIs" dxfId="688" priority="83" stopIfTrue="1" operator="greaterThan">
      <formula>$F$41</formula>
    </cfRule>
    <cfRule type="cellIs" dxfId="687" priority="84" stopIfTrue="1" operator="lessThanOrEqual">
      <formula>0</formula>
    </cfRule>
    <cfRule type="cellIs" dxfId="686" priority="85" stopIfTrue="1" operator="greaterThan">
      <formula>$F$39</formula>
    </cfRule>
    <cfRule type="cellIs" dxfId="685" priority="86" stopIfTrue="1" operator="lessThanOrEqual">
      <formula>0</formula>
    </cfRule>
    <cfRule type="cellIs" dxfId="684" priority="81" stopIfTrue="1" operator="greaterThan">
      <formula>$F$39</formula>
    </cfRule>
  </conditionalFormatting>
  <conditionalFormatting sqref="I67:I75">
    <cfRule type="cellIs" dxfId="683" priority="115" stopIfTrue="1" operator="lessThanOrEqual">
      <formula>0</formula>
    </cfRule>
    <cfRule type="cellIs" dxfId="682" priority="114" stopIfTrue="1" operator="greaterThan">
      <formula>$J67</formula>
    </cfRule>
  </conditionalFormatting>
  <conditionalFormatting sqref="I78:I86">
    <cfRule type="cellIs" dxfId="681" priority="143" stopIfTrue="1" operator="lessThanOrEqual">
      <formula>0</formula>
    </cfRule>
    <cfRule type="cellIs" dxfId="680" priority="142" stopIfTrue="1" operator="greaterThan">
      <formula>4.5</formula>
    </cfRule>
  </conditionalFormatting>
  <conditionalFormatting sqref="I10:J26">
    <cfRule type="cellIs" dxfId="679" priority="1" operator="lessThan">
      <formula>97.9</formula>
    </cfRule>
  </conditionalFormatting>
  <conditionalFormatting sqref="J29:J31">
    <cfRule type="cellIs" dxfId="678" priority="92" stopIfTrue="1" operator="lessThan">
      <formula>96.8</formula>
    </cfRule>
    <cfRule type="cellIs" dxfId="677" priority="93" stopIfTrue="1" operator="greaterThan">
      <formula>100</formula>
    </cfRule>
    <cfRule type="cellIs" dxfId="676" priority="94" operator="lessThan">
      <formula>98</formula>
    </cfRule>
  </conditionalFormatting>
  <conditionalFormatting sqref="J29:J33">
    <cfRule type="cellIs" dxfId="675" priority="91" operator="lessThan">
      <formula>97.4</formula>
    </cfRule>
  </conditionalFormatting>
  <conditionalFormatting sqref="J34">
    <cfRule type="cellIs" dxfId="674" priority="95" operator="lessThan">
      <formula>98</formula>
    </cfRule>
  </conditionalFormatting>
  <conditionalFormatting sqref="J36:J37">
    <cfRule type="cellIs" dxfId="673" priority="96" stopIfTrue="1" operator="lessThan">
      <formula>96.8</formula>
    </cfRule>
    <cfRule type="cellIs" dxfId="672" priority="97" stopIfTrue="1" operator="greaterThan">
      <formula>100</formula>
    </cfRule>
  </conditionalFormatting>
  <conditionalFormatting sqref="J36:J38">
    <cfRule type="cellIs" dxfId="671" priority="98" operator="lessThan">
      <formula>98</formula>
    </cfRule>
  </conditionalFormatting>
  <conditionalFormatting sqref="J76">
    <cfRule type="cellIs" dxfId="670" priority="99" stopIfTrue="1" operator="greaterThan">
      <formula>$F76</formula>
    </cfRule>
    <cfRule type="cellIs" dxfId="669" priority="100" stopIfTrue="1" operator="lessThanOrEqual">
      <formula>0</formula>
    </cfRule>
  </conditionalFormatting>
  <conditionalFormatting sqref="K10:K26">
    <cfRule type="cellIs" dxfId="668" priority="6" operator="greaterThan">
      <formula>6.4</formula>
    </cfRule>
    <cfRule type="cellIs" dxfId="667" priority="5" operator="lessThan">
      <formula>4</formula>
    </cfRule>
    <cfRule type="cellIs" dxfId="666" priority="4" operator="greaterThan">
      <formula>6</formula>
    </cfRule>
  </conditionalFormatting>
  <conditionalFormatting sqref="K58:K63 K67:N73 K74 M74:N74 K75:N75">
    <cfRule type="cellIs" dxfId="665" priority="76" stopIfTrue="1" operator="lessThan">
      <formula>100%</formula>
    </cfRule>
  </conditionalFormatting>
  <conditionalFormatting sqref="K78:K83">
    <cfRule type="cellIs" dxfId="664" priority="148" stopIfTrue="1" operator="lessThan">
      <formula>100%</formula>
    </cfRule>
  </conditionalFormatting>
  <conditionalFormatting sqref="K85:K86">
    <cfRule type="cellIs" dxfId="663" priority="155" stopIfTrue="1" operator="lessThan">
      <formula>100%</formula>
    </cfRule>
  </conditionalFormatting>
  <conditionalFormatting sqref="L10:L21 L22:M23">
    <cfRule type="cellIs" dxfId="662" priority="9" operator="greaterThan">
      <formula>65</formula>
    </cfRule>
  </conditionalFormatting>
  <conditionalFormatting sqref="L24:L26">
    <cfRule type="cellIs" dxfId="661" priority="29" operator="between">
      <formula>61</formula>
      <formula>65</formula>
    </cfRule>
    <cfRule type="cellIs" dxfId="660" priority="30" operator="greaterThan">
      <formula>65</formula>
    </cfRule>
  </conditionalFormatting>
  <conditionalFormatting sqref="L22:M23 L10:L21">
    <cfRule type="cellIs" dxfId="659" priority="8" operator="between">
      <formula>61</formula>
      <formula>65</formula>
    </cfRule>
  </conditionalFormatting>
  <conditionalFormatting sqref="L29:M40">
    <cfRule type="cellIs" dxfId="658" priority="106" operator="lessThan">
      <formula>98</formula>
    </cfRule>
  </conditionalFormatting>
  <conditionalFormatting sqref="L44:N44">
    <cfRule type="cellIs" dxfId="657" priority="31" operator="notEqual">
      <formula>#REF!</formula>
    </cfRule>
  </conditionalFormatting>
  <conditionalFormatting sqref="L76:N76">
    <cfRule type="cellIs" dxfId="656" priority="101" stopIfTrue="1" operator="lessThan">
      <formula>100%</formula>
    </cfRule>
  </conditionalFormatting>
  <conditionalFormatting sqref="L78:N86">
    <cfRule type="cellIs" dxfId="655" priority="133" stopIfTrue="1" operator="lessThan">
      <formula>100%</formula>
    </cfRule>
  </conditionalFormatting>
  <conditionalFormatting sqref="M10:M26">
    <cfRule type="expression" dxfId="654" priority="7">
      <formula>IF(+(IF(M10&lt;U10,0,IF(M10&gt;V10,0,1)))=0,1)</formula>
    </cfRule>
  </conditionalFormatting>
  <conditionalFormatting sqref="N10:N26">
    <cfRule type="expression" dxfId="653" priority="3">
      <formula>IF(+(IF(N10&lt;W10,0,IF(N10&gt;X10,0,1)))=0,1)</formula>
    </cfRule>
  </conditionalFormatting>
  <conditionalFormatting sqref="P6">
    <cfRule type="cellIs" dxfId="652" priority="129" operator="greaterThanOrEqual">
      <formula>19</formula>
    </cfRule>
  </conditionalFormatting>
  <dataValidations count="1">
    <dataValidation type="list" allowBlank="1" showInputMessage="1" showErrorMessage="1" sqref="R8" xr:uid="{936EB160-13D3-4CBE-ACB8-35D8B5967AAB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5244-E8F1-4C2B-B16E-4EBF75745EAD}">
  <sheetPr>
    <pageSetUpPr fitToPage="1"/>
  </sheetPr>
  <dimension ref="A1:BE77"/>
  <sheetViews>
    <sheetView topLeftCell="A19" zoomScale="80" zoomScaleNormal="80" workbookViewId="0">
      <selection activeCell="I51" sqref="I5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45896</v>
      </c>
      <c r="J4" s="398" t="s">
        <v>201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200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[24]Brewhouse!$A723</f>
        <v>CA615</v>
      </c>
      <c r="D10" s="279">
        <f>[24]Brewhouse!$AF723</f>
        <v>52.3</v>
      </c>
      <c r="E10" s="279">
        <f>[24]Brewhouse!$AI723</f>
        <v>50.2</v>
      </c>
      <c r="F10" s="278">
        <f>[24]Brewhouse!$V723</f>
        <v>62</v>
      </c>
      <c r="G10" s="279">
        <f>[24]Brewhouse!AG723</f>
        <v>11.7</v>
      </c>
      <c r="H10" s="396">
        <v>11.7</v>
      </c>
      <c r="I10" s="368">
        <f>[24]Brewhouse!$AU723</f>
        <v>95.328941787599831</v>
      </c>
      <c r="J10" s="368">
        <f>[24]Brewhouse!$AV723</f>
        <v>97.535567169261114</v>
      </c>
      <c r="K10" s="281">
        <f>[24]Brewhouse!$Q723</f>
        <v>8.0570409982174738</v>
      </c>
      <c r="L10" s="276">
        <f>[24]Brewhouse!$P723</f>
        <v>60</v>
      </c>
      <c r="M10" s="397">
        <f>[24]Brewhouse!$U723-[24]Brewhouse!$T723</f>
        <v>0.11527777777777781</v>
      </c>
      <c r="N10" s="370">
        <f>[24]Brewhouse!$Z723</f>
        <v>0.26111111111111107</v>
      </c>
      <c r="O10" s="423" t="str">
        <f>[24]Brewhouse!$AX723</f>
        <v>R. Regis</v>
      </c>
      <c r="P10" s="418"/>
      <c r="R10" s="277" t="str">
        <f t="shared" ref="R10:R11" si="0">B10</f>
        <v>CARIB</v>
      </c>
      <c r="S10" s="296">
        <f t="shared" ref="S10:S28" si="1">VLOOKUP($B10,$R$3:$X$9,2,FALSE)</f>
        <v>11.6</v>
      </c>
      <c r="T10" s="296">
        <f t="shared" ref="T10:T28" si="2">VLOOKUP($B10,$R$3:$X$9,3,FALSE)</f>
        <v>12</v>
      </c>
      <c r="U10" s="297">
        <f t="shared" ref="U10:U28" si="3">VLOOKUP($B10,$R$3:$X$9,4,FALSE)</f>
        <v>0</v>
      </c>
      <c r="V10" s="297">
        <f t="shared" ref="V10:V28" si="4">VLOOKUP($B10,$R$3:$X$9,5,FALSE)</f>
        <v>0.118055555555556</v>
      </c>
      <c r="W10" s="297">
        <f t="shared" ref="W10:W28" si="5">VLOOKUP($B10,$R$3:$X$9,6,FALSE)</f>
        <v>0.22569444444444445</v>
      </c>
      <c r="X10" s="297">
        <f t="shared" ref="X10:X28" si="6">VLOOKUP($B10,$R$3:$X$9,7,FALSE)</f>
        <v>0.2638888888888889</v>
      </c>
      <c r="Y10" s="297">
        <f t="shared" ref="Y10:Y28" si="7">VLOOKUP($B10,$R$3:$Z$9,8,FALSE)</f>
        <v>0</v>
      </c>
      <c r="Z10" s="296">
        <f t="shared" ref="Z10:Z28" si="8">VLOOKUP($B10,$R$3:$Z$9,9,FALSE)</f>
        <v>60</v>
      </c>
    </row>
    <row r="11" spans="2:29" ht="15.75" customHeight="1">
      <c r="B11" s="29" t="s">
        <v>6</v>
      </c>
      <c r="C11" s="366" t="str">
        <f>[24]Brewhouse!$A724</f>
        <v>CA616</v>
      </c>
      <c r="D11" s="279">
        <f>[24]Brewhouse!$AF724</f>
        <v>52.7</v>
      </c>
      <c r="E11" s="279">
        <f>[24]Brewhouse!$AI724</f>
        <v>50.9</v>
      </c>
      <c r="F11" s="278">
        <f>[24]Brewhouse!$V724</f>
        <v>65</v>
      </c>
      <c r="G11" s="279">
        <f>[24]Brewhouse!AG724</f>
        <v>11.8</v>
      </c>
      <c r="H11" s="396">
        <v>11.8</v>
      </c>
      <c r="I11" s="368">
        <f>[24]Brewhouse!$AU724</f>
        <v>90.068244804867078</v>
      </c>
      <c r="J11" s="368">
        <f>[24]Brewhouse!$AV724</f>
        <v>92.152644626324772</v>
      </c>
      <c r="K11" s="281">
        <f>[24]Brewhouse!$Q724</f>
        <v>7.0125223613595606</v>
      </c>
      <c r="L11" s="276">
        <f>[24]Brewhouse!$P724</f>
        <v>60</v>
      </c>
      <c r="M11" s="397">
        <f>[24]Brewhouse!$U724-[24]Brewhouse!$T724</f>
        <v>0.10972222222222225</v>
      </c>
      <c r="N11" s="370">
        <f>[24]Brewhouse!$Z724</f>
        <v>0.25486111111111109</v>
      </c>
      <c r="O11" s="423" t="str">
        <f>[24]Brewhouse!$AX724</f>
        <v>R. Regis</v>
      </c>
      <c r="P11" s="418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[24]Brewhouse!$A725</f>
        <v>CA617</v>
      </c>
      <c r="D12" s="279">
        <f>[24]Brewhouse!$AF725</f>
        <v>49.3</v>
      </c>
      <c r="E12" s="279">
        <f>[24]Brewhouse!$AI725</f>
        <v>47.2</v>
      </c>
      <c r="F12" s="278">
        <f>[24]Brewhouse!$V725</f>
        <v>59</v>
      </c>
      <c r="G12" s="279">
        <f>[24]Brewhouse!AG725</f>
        <v>12.3</v>
      </c>
      <c r="H12" s="471">
        <v>12.3</v>
      </c>
      <c r="I12" s="368">
        <f>[24]Brewhouse!$AU725</f>
        <v>94.067285834427324</v>
      </c>
      <c r="J12" s="368">
        <f>[24]Brewhouse!$AV725</f>
        <v>96.155477658350435</v>
      </c>
      <c r="K12" s="281">
        <f>[24]Brewhouse!$Q725</f>
        <v>9.5344506517690952</v>
      </c>
      <c r="L12" s="276">
        <f>[24]Brewhouse!$P725</f>
        <v>60</v>
      </c>
      <c r="M12" s="397">
        <f>[24]Brewhouse!$U725-[24]Brewhouse!$T725</f>
        <v>0.11249999999999993</v>
      </c>
      <c r="N12" s="370">
        <f>[24]Brewhouse!$Z725</f>
        <v>0.2409722222222222</v>
      </c>
      <c r="O12" s="423" t="str">
        <f>[24]Brewhouse!$AX725</f>
        <v>D. Gomez</v>
      </c>
      <c r="P12" s="418"/>
      <c r="R12" s="277" t="str">
        <f t="shared" ref="R12:R28" si="9">B12</f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[24]Brewhouse!$A726</f>
        <v>CA618</v>
      </c>
      <c r="D13" s="279">
        <f>[24]Brewhouse!$AF726</f>
        <v>51.1</v>
      </c>
      <c r="E13" s="279">
        <f>[24]Brewhouse!$AI726</f>
        <v>50.5</v>
      </c>
      <c r="F13" s="278">
        <f>[24]Brewhouse!$V726</f>
        <v>60</v>
      </c>
      <c r="G13" s="279">
        <f>[24]Brewhouse!AG726</f>
        <v>11.9</v>
      </c>
      <c r="H13" s="396">
        <v>11.8</v>
      </c>
      <c r="I13" s="368">
        <f>[24]Brewhouse!$AU726</f>
        <v>97.447717155036315</v>
      </c>
      <c r="J13" s="368">
        <f>[24]Brewhouse!$AV726</f>
        <v>99.610480363823882</v>
      </c>
      <c r="K13" s="281">
        <f>[24]Brewhouse!$Q726</f>
        <v>11.630434782608697</v>
      </c>
      <c r="L13" s="276">
        <f>[24]Brewhouse!$P726</f>
        <v>58</v>
      </c>
      <c r="M13" s="397">
        <f>[24]Brewhouse!$U726-[24]Brewhouse!$T726</f>
        <v>0.10833333333333339</v>
      </c>
      <c r="N13" s="370">
        <f>[24]Brewhouse!$Z726</f>
        <v>0.26041666666666669</v>
      </c>
      <c r="O13" s="423" t="str">
        <f>[24]Brewhouse!$AX726</f>
        <v>D. Gomez</v>
      </c>
      <c r="P13" s="418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[24]Brewhouse!$A727</f>
        <v>CA619</v>
      </c>
      <c r="D14" s="279">
        <f>[24]Brewhouse!$AF727</f>
        <v>51.8</v>
      </c>
      <c r="E14" s="279">
        <f>[24]Brewhouse!$AI727</f>
        <v>50.1</v>
      </c>
      <c r="F14" s="278">
        <f>[24]Brewhouse!$V727</f>
        <v>59</v>
      </c>
      <c r="G14" s="279">
        <f>[24]Brewhouse!AG727</f>
        <v>11.9</v>
      </c>
      <c r="H14" s="396">
        <v>11.8</v>
      </c>
      <c r="I14" s="368">
        <f>[24]Brewhouse!$AU727</f>
        <v>96.91430580541217</v>
      </c>
      <c r="J14" s="368">
        <f>[24]Brewhouse!$AV727</f>
        <v>99.064760179628536</v>
      </c>
      <c r="K14" s="281">
        <f>[24]Brewhouse!$Q727</f>
        <v>6.3216266173752338</v>
      </c>
      <c r="L14" s="276">
        <f>[24]Brewhouse!$P727</f>
        <v>60</v>
      </c>
      <c r="M14" s="397">
        <f>[24]Brewhouse!$U727-[24]Brewhouse!$T727</f>
        <v>0.11111111111111116</v>
      </c>
      <c r="N14" s="370">
        <f>[24]Brewhouse!$Z727</f>
        <v>0.2590277777777778</v>
      </c>
      <c r="O14" s="423" t="str">
        <f>[24]Brewhouse!$AX727</f>
        <v>D. Gomez</v>
      </c>
      <c r="P14" s="418"/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[24]Brewhouse!$A728</f>
        <v>CA620</v>
      </c>
      <c r="D15" s="279">
        <f>[24]Brewhouse!$AF728</f>
        <v>52.7</v>
      </c>
      <c r="E15" s="279">
        <f>[24]Brewhouse!$AI728</f>
        <v>50.7</v>
      </c>
      <c r="F15" s="278">
        <f>[24]Brewhouse!$V728</f>
        <v>53</v>
      </c>
      <c r="G15" s="279">
        <f>[24]Brewhouse!AG728</f>
        <v>12</v>
      </c>
      <c r="H15" s="396">
        <v>11.8</v>
      </c>
      <c r="I15" s="368">
        <f>[24]Brewhouse!$AU728</f>
        <v>98.270733122829682</v>
      </c>
      <c r="J15" s="368">
        <f>[24]Brewhouse!$AV728</f>
        <v>100.54606546808355</v>
      </c>
      <c r="K15" s="281">
        <f>[24]Brewhouse!$Q728</f>
        <v>7.1785714285714217</v>
      </c>
      <c r="L15" s="276">
        <f>[24]Brewhouse!$P728</f>
        <v>59</v>
      </c>
      <c r="M15" s="397">
        <f>[24]Brewhouse!$U728-[24]Brewhouse!$T728</f>
        <v>0.10277777777777775</v>
      </c>
      <c r="N15" s="370">
        <f>[24]Brewhouse!$Z728</f>
        <v>0.25347222222222221</v>
      </c>
      <c r="O15" s="423" t="str">
        <f>[24]Brewhouse!$AX728</f>
        <v>K.Benjamin</v>
      </c>
      <c r="P15" s="418"/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[24]Brewhouse!$A729</f>
        <v>CA621</v>
      </c>
      <c r="D16" s="279">
        <f>[24]Brewhouse!$AF729</f>
        <v>52</v>
      </c>
      <c r="E16" s="279">
        <f>[24]Brewhouse!$AI729</f>
        <v>51.5</v>
      </c>
      <c r="F16" s="278">
        <f>[24]Brewhouse!$V729</f>
        <v>59</v>
      </c>
      <c r="G16" s="279">
        <f>[24]Brewhouse!AG729</f>
        <v>12</v>
      </c>
      <c r="H16" s="396">
        <v>11.7</v>
      </c>
      <c r="I16" s="368">
        <f>[24]Brewhouse!$AU729</f>
        <v>100.68465189715201</v>
      </c>
      <c r="J16" s="368">
        <f>[24]Brewhouse!$AV729</f>
        <v>103.01499557139356</v>
      </c>
      <c r="K16" s="281">
        <f>[24]Brewhouse!$Q729</f>
        <v>7.6036036036036005</v>
      </c>
      <c r="L16" s="276">
        <f>[24]Brewhouse!$P729</f>
        <v>60</v>
      </c>
      <c r="M16" s="397">
        <f>[24]Brewhouse!$U729-[24]Brewhouse!$T729</f>
        <v>0.12291666666666656</v>
      </c>
      <c r="N16" s="370">
        <f>[24]Brewhouse!$Z729</f>
        <v>0.25347222222222221</v>
      </c>
      <c r="O16" s="423" t="str">
        <f>[24]Brewhouse!$AX729</f>
        <v>K.Benjamin</v>
      </c>
      <c r="P16" s="418" t="s">
        <v>193</v>
      </c>
      <c r="R16" s="277" t="str">
        <f t="shared" si="9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29" t="s">
        <v>6</v>
      </c>
      <c r="C17" s="366" t="str">
        <f>[24]Brewhouse!$A730</f>
        <v>CA622</v>
      </c>
      <c r="D17" s="279">
        <f>[24]Brewhouse!$AF730</f>
        <v>54.7</v>
      </c>
      <c r="E17" s="279">
        <f>[24]Brewhouse!$AI730</f>
        <v>50.6</v>
      </c>
      <c r="F17" s="278">
        <f>[24]Brewhouse!$V730</f>
        <v>60</v>
      </c>
      <c r="G17" s="279">
        <f>[24]Brewhouse!AG730</f>
        <v>11.9</v>
      </c>
      <c r="H17" s="396">
        <v>11.8</v>
      </c>
      <c r="I17" s="368">
        <f>[24]Brewhouse!$AU730</f>
        <v>97.576513945686116</v>
      </c>
      <c r="J17" s="368">
        <f>[24]Brewhouse!$AV730</f>
        <v>99.835408895166466</v>
      </c>
      <c r="K17" s="281">
        <f>[24]Brewhouse!$Q730</f>
        <v>3.087971274685815</v>
      </c>
      <c r="L17" s="276">
        <f>[24]Brewhouse!$P730</f>
        <v>60</v>
      </c>
      <c r="M17" s="397">
        <f>[24]Brewhouse!$U730-[24]Brewhouse!$T730</f>
        <v>0.10416666666666674</v>
      </c>
      <c r="N17" s="370">
        <f>[24]Brewhouse!$Z730</f>
        <v>0.23958333333333337</v>
      </c>
      <c r="O17" s="423" t="str">
        <f>[24]Brewhouse!$AX730</f>
        <v>K.Benjamin</v>
      </c>
      <c r="P17" s="418"/>
      <c r="R17" s="277" t="str">
        <f t="shared" si="9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75" customHeight="1">
      <c r="B18" s="29" t="s">
        <v>6</v>
      </c>
      <c r="C18" s="366" t="str">
        <f>[24]Brewhouse!$A731</f>
        <v>CA623</v>
      </c>
      <c r="D18" s="279">
        <f>[24]Brewhouse!$AF731</f>
        <v>53.7</v>
      </c>
      <c r="E18" s="279">
        <f>[24]Brewhouse!$AI731</f>
        <v>51.7</v>
      </c>
      <c r="F18" s="278">
        <f>[24]Brewhouse!$V731</f>
        <v>65</v>
      </c>
      <c r="G18" s="279">
        <f>[24]Brewhouse!AG731</f>
        <v>11.9</v>
      </c>
      <c r="H18" s="396">
        <v>11.8</v>
      </c>
      <c r="I18" s="368">
        <f>[24]Brewhouse!$AU731</f>
        <v>100.1904434842934</v>
      </c>
      <c r="J18" s="368">
        <f>[24]Brewhouse!$AV731</f>
        <v>102.50934871755153</v>
      </c>
      <c r="K18" s="281">
        <f>[24]Brewhouse!$Q731</f>
        <v>5.4316546762589981</v>
      </c>
      <c r="L18" s="276">
        <f>[24]Brewhouse!$P731</f>
        <v>60</v>
      </c>
      <c r="M18" s="397">
        <f>[24]Brewhouse!$U731-[24]Brewhouse!$T731</f>
        <v>0.13055555555555565</v>
      </c>
      <c r="N18" s="370">
        <f>[24]Brewhouse!$Z731</f>
        <v>0.26111111111111118</v>
      </c>
      <c r="O18" s="423" t="str">
        <f>[24]Brewhouse!$AX731</f>
        <v>K.Benjamin</v>
      </c>
      <c r="P18" s="418" t="s">
        <v>203</v>
      </c>
      <c r="R18" s="277" t="str">
        <f t="shared" si="9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.75" customHeight="1">
      <c r="B19" s="29" t="s">
        <v>6</v>
      </c>
      <c r="C19" s="366" t="str">
        <f>[24]Brewhouse!$A732</f>
        <v>CA624</v>
      </c>
      <c r="D19" s="279">
        <f>[24]Brewhouse!$AF732</f>
        <v>51.9</v>
      </c>
      <c r="E19" s="279">
        <f>[24]Brewhouse!$AI732</f>
        <v>50.9</v>
      </c>
      <c r="F19" s="278">
        <f>[24]Brewhouse!$V732</f>
        <v>67</v>
      </c>
      <c r="G19" s="279">
        <f>[24]Brewhouse!AG732</f>
        <v>11.6</v>
      </c>
      <c r="H19" s="396">
        <v>11.7</v>
      </c>
      <c r="I19" s="368">
        <f>[24]Brewhouse!$AU732</f>
        <v>96.382789717284254</v>
      </c>
      <c r="J19" s="368">
        <f>[24]Brewhouse!$AV732</f>
        <v>98.613201461501234</v>
      </c>
      <c r="K19" s="281">
        <f>[24]Brewhouse!$Q732</f>
        <v>7.6173285198555947</v>
      </c>
      <c r="L19" s="276">
        <f>[24]Brewhouse!$P732</f>
        <v>60</v>
      </c>
      <c r="M19" s="397">
        <f>[24]Brewhouse!$U732-[24]Brewhouse!$T732</f>
        <v>0.11944444444444446</v>
      </c>
      <c r="N19" s="370">
        <f>[24]Brewhouse!$Z732</f>
        <v>0.27777777777777779</v>
      </c>
      <c r="O19" s="423" t="str">
        <f>[24]Brewhouse!$AX732</f>
        <v>R. Regis</v>
      </c>
      <c r="P19" s="418" t="s">
        <v>202</v>
      </c>
      <c r="R19" s="277" t="str">
        <f t="shared" si="9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.75" customHeight="1">
      <c r="B20" s="33"/>
      <c r="C20" s="366"/>
      <c r="D20" s="279"/>
      <c r="E20" s="279"/>
      <c r="F20" s="278"/>
      <c r="G20" s="279"/>
      <c r="H20" s="396"/>
      <c r="I20" s="422"/>
      <c r="J20" s="422"/>
      <c r="K20" s="281"/>
      <c r="L20" s="276"/>
      <c r="M20" s="374"/>
      <c r="N20" s="370"/>
      <c r="O20" s="423"/>
      <c r="P20" s="418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29"/>
      <c r="J23" s="529"/>
      <c r="K23" s="529"/>
      <c r="L23" s="529"/>
      <c r="M23" s="529"/>
      <c r="N23" s="529"/>
      <c r="O23" s="1"/>
      <c r="P23" s="12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thickBot="1">
      <c r="B24" s="388" t="s">
        <v>162</v>
      </c>
      <c r="C24" s="388"/>
      <c r="D24" s="542" t="s">
        <v>35</v>
      </c>
      <c r="E24" s="543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583"/>
      <c r="C25" s="362"/>
      <c r="D25" s="533"/>
      <c r="E25" s="522"/>
      <c r="F25" s="294"/>
      <c r="G25" s="294"/>
      <c r="H25" s="348"/>
      <c r="I25" s="29" t="s">
        <v>6</v>
      </c>
      <c r="J25" s="280">
        <f>AVERAGE(I10:I19)</f>
        <v>96.693162755458815</v>
      </c>
      <c r="K25" s="284">
        <f>COUNTA([24]Brewhouse!$A$655:$A$732)</f>
        <v>78</v>
      </c>
      <c r="L25" s="305">
        <f>AVERAGE([24]Brewhouse!$AU$655:$AU$732)</f>
        <v>96.643398771276665</v>
      </c>
      <c r="M25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$732)</f>
        <v>97.723697718167955</v>
      </c>
      <c r="N25" s="30">
        <v>98</v>
      </c>
      <c r="O25" s="11"/>
      <c r="P25" s="31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84"/>
      <c r="C26" s="362"/>
      <c r="D26" s="534"/>
      <c r="E26" s="517"/>
      <c r="F26" s="294"/>
      <c r="G26" s="294"/>
      <c r="H26" s="348"/>
      <c r="I26" s="33" t="s">
        <v>9</v>
      </c>
      <c r="J26" s="280"/>
      <c r="K26" s="284">
        <f>COUNTA([22]Brewhouse!$A$324:$A$351)</f>
        <v>28</v>
      </c>
      <c r="L26" s="302">
        <f>AVERAGE([22]Brewhouse!$AS$324:$AS$351)</f>
        <v>97.947765983174435</v>
      </c>
      <c r="M26" s="302">
        <f>AVERAGE([22]Brewhouse!$AS$15:$AS$64,[22]Brewhouse!$AS$66:$AS$103,[22]Brewhouse!$AS$105:$AS$140,[22]Brewhouse!$AS$142:$AS$193,[22]Brewhouse!$AS$195:$AS$240,[22]Brewhouse!$AS$242:$AS$273,[22]Brewhouse!$AS$275:$AS$322,[22]Brewhouse!$AS$324:$AS$351)</f>
        <v>98.056103648802193</v>
      </c>
      <c r="N26" s="30">
        <v>98</v>
      </c>
      <c r="O26" s="11"/>
      <c r="P26" s="31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4.65" customHeight="1">
      <c r="A27" s="28"/>
      <c r="B27" s="584"/>
      <c r="C27" s="362"/>
      <c r="D27" s="533"/>
      <c r="E27" s="522"/>
      <c r="F27" s="294"/>
      <c r="G27" s="294"/>
      <c r="H27" s="348"/>
      <c r="I27" s="34" t="s">
        <v>12</v>
      </c>
      <c r="J27" s="280"/>
      <c r="K27" s="284">
        <f>COUNTA([25]Brewhouse!$A$81:$A$84)</f>
        <v>4</v>
      </c>
      <c r="L27" s="302">
        <f>AVERAGE([25]Brewhouse!$AU$81:$AU$84)</f>
        <v>96.0203759926994</v>
      </c>
      <c r="M27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27" s="30">
        <v>98</v>
      </c>
      <c r="O27" s="11"/>
      <c r="P27" s="31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84"/>
      <c r="C28" s="362"/>
      <c r="D28" s="534"/>
      <c r="E28" s="517"/>
      <c r="F28" s="294"/>
      <c r="G28" s="294"/>
      <c r="H28" s="348"/>
      <c r="I28" s="22" t="s">
        <v>33</v>
      </c>
      <c r="J28" s="280"/>
      <c r="K28" s="284">
        <f>COUNTA([26]Brewhouse!$A$64:$A$77)</f>
        <v>14</v>
      </c>
      <c r="L28" s="302">
        <f>AVERAGE([26]Brewhouse!$AV$64:$AV$77)</f>
        <v>97.585594897114063</v>
      </c>
      <c r="M28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84"/>
      <c r="C29" s="362"/>
      <c r="D29" s="533"/>
      <c r="E29" s="522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4.65" customHeight="1">
      <c r="A30" s="28"/>
      <c r="B30" s="584"/>
      <c r="C30" s="362"/>
      <c r="D30" s="534"/>
      <c r="E30" s="517"/>
      <c r="F30" s="417"/>
      <c r="G30" s="294"/>
      <c r="H30" s="348"/>
      <c r="I30" s="36" t="s">
        <v>15</v>
      </c>
      <c r="J30" s="323"/>
      <c r="K30" s="284"/>
      <c r="L30" s="302"/>
      <c r="M30" s="302">
        <f>AVERAGE([27]Brewhouse!$AT$4:$AT$11,[27]Brewhouse!$AT$13:$AT$16,[27]Brewhouse!$AT$18:$AT$21,[27]Brewhouse!$AT$26)</f>
        <v>94.588057846623641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65" customHeight="1">
      <c r="A31" s="28"/>
      <c r="B31" s="584"/>
      <c r="C31" s="362"/>
      <c r="D31" s="533"/>
      <c r="E31" s="522"/>
      <c r="F31" s="417"/>
      <c r="G31" s="294"/>
      <c r="H31" s="348"/>
      <c r="I31" s="37" t="s">
        <v>16</v>
      </c>
      <c r="J31" s="323"/>
      <c r="K31" s="284"/>
      <c r="L31" s="302"/>
      <c r="M31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1" s="30">
        <v>98</v>
      </c>
      <c r="O31" s="11"/>
      <c r="P31" s="31" t="s">
        <v>41</v>
      </c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65" customHeight="1">
      <c r="A32" s="28"/>
      <c r="B32" s="584"/>
      <c r="C32" s="362"/>
      <c r="D32" s="534"/>
      <c r="E32" s="517"/>
      <c r="F32" s="294"/>
      <c r="G32" s="294"/>
      <c r="H32" s="348"/>
      <c r="I32" s="411" t="s">
        <v>158</v>
      </c>
      <c r="J32" s="326"/>
      <c r="K32" s="284"/>
      <c r="L32" s="305"/>
      <c r="M32" s="305">
        <f>AVERAGE([28]Brewhouse!$AU$5:$AU$8,[28]Brewhouse!$AU$10:$AU$13)</f>
        <v>94.247666625193744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84"/>
      <c r="C33" s="349"/>
      <c r="D33" s="533"/>
      <c r="E33" s="522"/>
      <c r="F33" s="294"/>
      <c r="G33" s="294"/>
      <c r="H33" s="348"/>
      <c r="I33" s="410" t="s">
        <v>157</v>
      </c>
      <c r="J33" s="326"/>
      <c r="K33" s="284"/>
      <c r="L33" s="305"/>
      <c r="M33" s="305">
        <f>AVERAGE([29]Brewhouse!$AW$26:$AW$27)</f>
        <v>95.310680905194914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584"/>
      <c r="C34" s="349"/>
      <c r="D34" s="534"/>
      <c r="E34" s="517"/>
      <c r="F34" s="294"/>
      <c r="G34" s="294"/>
      <c r="H34" s="348"/>
      <c r="I34" s="406" t="s">
        <v>156</v>
      </c>
      <c r="J34" s="327"/>
      <c r="K34" s="407"/>
      <c r="L34" s="408"/>
      <c r="M34" s="408">
        <f>AVERAGE([30]Brewhouse!$AU$13:$AU$14)</f>
        <v>97.110575243268045</v>
      </c>
      <c r="N34" s="409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584"/>
      <c r="C35" s="349"/>
      <c r="D35" s="533"/>
      <c r="E35" s="522"/>
      <c r="F35" s="294"/>
      <c r="G35" s="294"/>
      <c r="H35" s="348"/>
      <c r="I35" s="1"/>
      <c r="J35" s="39"/>
      <c r="K35" s="404">
        <f>SUM(K25:K34)</f>
        <v>124</v>
      </c>
      <c r="L35" s="405">
        <f>((L25*K25)+(L26*K26)+(L27*K27)+(L28*K28)+(L29*K29)+(K32*L32)+(L30*K30)+(L31*K31)+(L34*K34))/(K35)</f>
        <v>97.024212775958532</v>
      </c>
      <c r="M35" s="405">
        <f>AVERAGE('[31]Jan 31st'!$L$65,'[32]Feb 28th'!$L$35,'[33]Mar. 31st'!$L$35,'[34]Apr. 30th'!$L$45,'[35]May 30th'!$L$37,'[36]June 30th'!$L$57,L35)</f>
        <v>97.568017610431497</v>
      </c>
      <c r="N35" s="4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.75" thickBot="1">
      <c r="B36" s="585"/>
      <c r="C36" s="350"/>
      <c r="D36" s="534"/>
      <c r="E36" s="517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.75" thickBot="1">
      <c r="B37" s="593"/>
      <c r="C37" s="362"/>
      <c r="D37" s="514"/>
      <c r="E37" s="515"/>
      <c r="F37" s="294"/>
      <c r="G37" s="42"/>
      <c r="H37" s="41"/>
      <c r="I37" s="42"/>
      <c r="J37" s="569" t="s">
        <v>129</v>
      </c>
      <c r="K37" s="569"/>
      <c r="L37" s="294"/>
      <c r="M37" s="294"/>
      <c r="N37" s="294"/>
      <c r="O37" s="294"/>
      <c r="P37" s="12"/>
    </row>
    <row r="38" spans="1:56" ht="15.75" thickBot="1">
      <c r="B38" s="584"/>
      <c r="C38" s="362"/>
      <c r="D38" s="516"/>
      <c r="E38" s="517"/>
      <c r="F38" s="294"/>
      <c r="G38" s="42"/>
      <c r="H38" s="41"/>
      <c r="I38" s="42"/>
      <c r="J38" s="292" t="s">
        <v>17</v>
      </c>
      <c r="K38" s="293" t="s">
        <v>147</v>
      </c>
      <c r="L38" s="519" t="s">
        <v>136</v>
      </c>
      <c r="M38" s="519"/>
      <c r="N38" s="520"/>
      <c r="O38" s="294"/>
      <c r="P38" s="12"/>
    </row>
    <row r="39" spans="1:56" ht="15" customHeight="1" thickBot="1">
      <c r="B39" s="584"/>
      <c r="C39" s="349"/>
      <c r="D39" s="570"/>
      <c r="E39" s="571"/>
      <c r="F39" s="294"/>
      <c r="G39" s="42"/>
      <c r="H39" s="41"/>
      <c r="I39" s="42"/>
      <c r="J39" s="287" t="s">
        <v>6</v>
      </c>
      <c r="K39" s="324">
        <v>10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84"/>
      <c r="C40" s="349"/>
      <c r="D40" s="516"/>
      <c r="E40" s="517"/>
      <c r="F40" s="294"/>
      <c r="G40" s="42"/>
      <c r="H40" s="41"/>
      <c r="I40" s="42"/>
      <c r="J40" s="345" t="s">
        <v>9</v>
      </c>
      <c r="K40" s="324"/>
      <c r="L40" s="344">
        <f>AVERAGE('Aug 4th '!K58,'Aug 5th '!K58,'Aug 6th '!K58,'Aug 7th '!K58,'Aug 8th '!K48,'Aug 13th'!K52,'Aug 14th'!K51,'Aug 15th-16th'!J57,'Aug 15th-16th'!K57,'Aug 18th'!K54,'Aug 19th'!K56,'Aug 20th'!K59,'Aug 26th'!K49,'Aug 22nd-23rd'!J53,'Aug 22nd-23rd'!K53,'Aug 25th'!K53,)</f>
        <v>6.882352941176471</v>
      </c>
      <c r="M40" s="325">
        <f>AVERAGE('[31]Jan 29th '!$M$70,'[32]Feb 28th'!$L$40,'[33]Mar. 31st'!$L$40,'[34]Apr. 30th'!$L$50,'[35]May 30th'!$L$42,'[36]June 30th'!$L$62,'[37]July 29th '!$L$49,L40)</f>
        <v>6.8999087269126971</v>
      </c>
      <c r="N40" s="416">
        <v>9.1999999999999993</v>
      </c>
      <c r="O40" s="294"/>
      <c r="P40" s="12"/>
    </row>
    <row r="41" spans="1:56" ht="15" customHeight="1">
      <c r="B41" s="584"/>
      <c r="C41" s="349"/>
      <c r="D41" s="570"/>
      <c r="E41" s="571"/>
      <c r="F41" s="294"/>
      <c r="G41" s="42"/>
      <c r="H41" s="41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84"/>
      <c r="C42" s="349"/>
      <c r="D42" s="516"/>
      <c r="E42" s="517"/>
      <c r="F42" s="294"/>
      <c r="G42" s="42"/>
      <c r="H42" s="41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84"/>
      <c r="C43" s="349"/>
      <c r="D43" s="570"/>
      <c r="E43" s="571"/>
      <c r="F43" s="294"/>
      <c r="G43" s="42"/>
      <c r="H43" s="41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84"/>
      <c r="C44" s="349"/>
      <c r="D44" s="516"/>
      <c r="E44" s="517"/>
      <c r="F44" s="294"/>
      <c r="G44" s="42"/>
      <c r="H44" s="41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4"/>
      <c r="C45" s="349"/>
      <c r="D45" s="570"/>
      <c r="E45" s="571"/>
      <c r="F45" s="294"/>
      <c r="G45" s="42"/>
      <c r="H45" s="41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85"/>
      <c r="C46" s="350"/>
      <c r="D46" s="572"/>
      <c r="E46" s="573"/>
      <c r="F46" s="294"/>
      <c r="G46" s="42"/>
      <c r="H46" s="41"/>
      <c r="I46" s="42"/>
      <c r="J46" s="291" t="s">
        <v>148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74" t="e">
        <f>AVERAGE(D25:E46)</f>
        <v>#DIV/0!</v>
      </c>
      <c r="E47" s="575"/>
      <c r="F47" s="294"/>
      <c r="H47" s="41"/>
      <c r="I47" s="42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1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1"/>
      <c r="I49" s="42"/>
      <c r="J49" s="346" t="s">
        <v>130</v>
      </c>
      <c r="K49" s="324">
        <f>SUM(K39:K48)</f>
        <v>10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495" t="s">
        <v>17</v>
      </c>
      <c r="C52" s="495" t="s">
        <v>44</v>
      </c>
      <c r="D52" s="507" t="s">
        <v>45</v>
      </c>
      <c r="E52" s="509" t="s">
        <v>46</v>
      </c>
      <c r="F52" s="503" t="s">
        <v>47</v>
      </c>
      <c r="G52" s="493" t="s">
        <v>48</v>
      </c>
      <c r="H52" s="495" t="s">
        <v>49</v>
      </c>
      <c r="I52" s="495" t="s">
        <v>50</v>
      </c>
      <c r="J52" s="487" t="s">
        <v>28</v>
      </c>
      <c r="K52" s="499" t="s">
        <v>51</v>
      </c>
      <c r="L52" s="501" t="s">
        <v>52</v>
      </c>
      <c r="M52" s="487" t="s">
        <v>53</v>
      </c>
      <c r="N52" s="13"/>
      <c r="O52" s="13"/>
      <c r="P52" s="50"/>
    </row>
    <row r="53" spans="2:57" ht="28.5" customHeight="1" thickTop="1" thickBot="1">
      <c r="B53" s="496"/>
      <c r="C53" s="496"/>
      <c r="D53" s="508"/>
      <c r="E53" s="510"/>
      <c r="F53" s="504"/>
      <c r="G53" s="494"/>
      <c r="H53" s="496"/>
      <c r="I53" s="496"/>
      <c r="J53" s="488"/>
      <c r="K53" s="500"/>
      <c r="L53" s="502"/>
      <c r="M53" s="488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9.45" customHeight="1" thickBot="1">
      <c r="B54" s="475"/>
      <c r="C54" s="445"/>
      <c r="D54" s="446"/>
      <c r="E54" s="447"/>
      <c r="F54" s="448"/>
      <c r="G54" s="449"/>
      <c r="H54" s="450"/>
      <c r="I54" s="451"/>
      <c r="J54" s="452"/>
      <c r="K54" s="453"/>
      <c r="L54" s="464" t="e">
        <f>(((D54+E54)-G54)/(D54+E54))*100</f>
        <v>#DIV/0!</v>
      </c>
      <c r="M54" s="46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[20]January_2019!L7</f>
        <v>285.8</v>
      </c>
      <c r="AC54" s="57">
        <f>[20]January_2019!M7</f>
        <v>508.1</v>
      </c>
      <c r="AD54" s="57">
        <f>[20]January_2019!N7</f>
        <v>0</v>
      </c>
      <c r="AE54" s="57">
        <f>[20]January_2019!O7</f>
        <v>0</v>
      </c>
      <c r="AF54" s="57">
        <f>[20]January_2019!P7</f>
        <v>109.56666666666666</v>
      </c>
      <c r="AG54" s="57">
        <f>[20]January_2019!Q7</f>
        <v>297.64999999999998</v>
      </c>
      <c r="AH54" s="57">
        <f>[20]January_2019!R7</f>
        <v>122.3</v>
      </c>
      <c r="AI54" s="57">
        <f>[20]January_2019!S7</f>
        <v>0</v>
      </c>
      <c r="AJ54" s="57">
        <f>[20]January_2019!T7</f>
        <v>294.7</v>
      </c>
      <c r="AK54" s="57">
        <f>[20]January_2019!U7</f>
        <v>280.5</v>
      </c>
      <c r="AL54" s="57">
        <f>[20]January_2019!V7</f>
        <v>0</v>
      </c>
      <c r="AM54" s="57">
        <f>[20]January_2019!W7</f>
        <v>0</v>
      </c>
      <c r="AN54" s="57">
        <f>[20]January_2019!X7</f>
        <v>188.25</v>
      </c>
      <c r="AO54" s="57">
        <f>[20]January_2019!Y7</f>
        <v>295.7</v>
      </c>
      <c r="AP54" s="57">
        <f>[20]January_2019!Z7</f>
        <v>257.8</v>
      </c>
      <c r="AQ54" s="57">
        <f>[20]January_2019!AA7</f>
        <v>291.2</v>
      </c>
      <c r="AR54" s="57">
        <f>[20]January_2019!AB7</f>
        <v>187</v>
      </c>
      <c r="AS54" s="57">
        <f>[20]January_2019!AC7</f>
        <v>0</v>
      </c>
      <c r="AT54" s="57">
        <f>[20]January_2019!AD7</f>
        <v>0</v>
      </c>
      <c r="AU54" s="57">
        <f>[20]January_2019!AE7</f>
        <v>485.1</v>
      </c>
      <c r="AV54" s="57">
        <f>[20]January_2019!AF7</f>
        <v>171.55</v>
      </c>
      <c r="AW54" s="57">
        <f>[20]January_2019!AG7</f>
        <v>423.8</v>
      </c>
      <c r="AX54" s="277">
        <f>[20]January_2019!AH7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20.45" hidden="1" customHeight="1" thickBot="1">
      <c r="B55" s="469"/>
      <c r="C55" s="434"/>
      <c r="D55" s="435"/>
      <c r="E55" s="436"/>
      <c r="F55" s="437"/>
      <c r="G55" s="438"/>
      <c r="H55" s="439"/>
      <c r="I55" s="454"/>
      <c r="J55" s="455"/>
      <c r="K55" s="440"/>
      <c r="L55" s="456"/>
      <c r="M55" s="42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59.45" hidden="1" customHeight="1" thickBot="1">
      <c r="B56" s="475"/>
      <c r="C56" s="445"/>
      <c r="D56" s="446"/>
      <c r="E56" s="447"/>
      <c r="F56" s="448"/>
      <c r="G56" s="449"/>
      <c r="H56" s="450"/>
      <c r="I56" s="451"/>
      <c r="J56" s="452"/>
      <c r="K56" s="453"/>
      <c r="L56" s="466" t="e">
        <f>(((D56+E56)-G56)/(D56+E56))*100</f>
        <v>#DIV/0!</v>
      </c>
      <c r="M56" s="46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8"/>
      <c r="C57" s="434"/>
      <c r="D57" s="435"/>
      <c r="E57" s="436"/>
      <c r="F57" s="437"/>
      <c r="G57" s="438"/>
      <c r="H57" s="439"/>
      <c r="I57" s="454"/>
      <c r="J57" s="455"/>
      <c r="K57" s="440"/>
      <c r="L57" s="456"/>
      <c r="M57" s="42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6.6" hidden="1" customHeight="1" thickBot="1">
      <c r="B58" s="387"/>
      <c r="C58" s="445">
        <v>45873</v>
      </c>
      <c r="D58" s="446"/>
      <c r="E58" s="447"/>
      <c r="F58" s="448"/>
      <c r="G58" s="449"/>
      <c r="H58" s="450"/>
      <c r="I58" s="451"/>
      <c r="J58" s="452" t="s">
        <v>163</v>
      </c>
      <c r="K58" s="453"/>
      <c r="L58" s="459" t="e">
        <f>(((D58+E58)-G58)/(D58+E58))*100</f>
        <v>#DIV/0!</v>
      </c>
      <c r="M58" s="46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41"/>
      <c r="C59" s="427"/>
      <c r="D59" s="428"/>
      <c r="E59" s="429"/>
      <c r="F59" s="430"/>
      <c r="G59" s="431"/>
      <c r="H59" s="432"/>
      <c r="I59" s="442"/>
      <c r="J59" s="443"/>
      <c r="K59" s="433"/>
      <c r="L59" s="444"/>
      <c r="M59" s="426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 t="s">
        <v>41</v>
      </c>
      <c r="O60" s="56"/>
      <c r="P60" s="60"/>
    </row>
    <row r="61" spans="2:57" ht="15.75" thickBot="1">
      <c r="B61" s="489" t="s">
        <v>55</v>
      </c>
      <c r="C61" s="490"/>
      <c r="D61" s="490"/>
      <c r="E61" s="490"/>
      <c r="F61" s="491"/>
      <c r="G61" s="489" t="s">
        <v>56</v>
      </c>
      <c r="H61" s="490"/>
      <c r="I61" s="490"/>
      <c r="J61" s="491"/>
      <c r="K61" s="489" t="s">
        <v>51</v>
      </c>
      <c r="L61" s="490"/>
      <c r="M61" s="490"/>
      <c r="N61" s="492"/>
      <c r="O61" s="56"/>
      <c r="P61" s="50"/>
    </row>
    <row r="62" spans="2:57" ht="15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 ht="15">
      <c r="B63" s="29" t="s">
        <v>6</v>
      </c>
      <c r="C63" s="65"/>
      <c r="D63" s="76">
        <v>4.931140364211239</v>
      </c>
      <c r="E63" s="76">
        <v>6.1957696007512126</v>
      </c>
      <c r="F63" s="66">
        <v>4.8</v>
      </c>
      <c r="G63" s="65"/>
      <c r="H63" s="76">
        <v>6.9340478782129695</v>
      </c>
      <c r="I63" s="76">
        <v>6.2615666585643188</v>
      </c>
      <c r="J63" s="66">
        <v>4.8</v>
      </c>
      <c r="K63" s="67"/>
      <c r="L63" s="194">
        <v>1.0756140350877192</v>
      </c>
      <c r="M63" s="194">
        <v>0.7684191168003327</v>
      </c>
      <c r="N63" s="68">
        <v>1</v>
      </c>
      <c r="O63" s="56"/>
      <c r="P63" s="69"/>
    </row>
    <row r="64" spans="2:57" ht="15">
      <c r="B64" s="33" t="s">
        <v>9</v>
      </c>
      <c r="C64" s="65"/>
      <c r="D64" s="76">
        <v>4.8352458838586454</v>
      </c>
      <c r="E64" s="76">
        <v>5.8467024060595829</v>
      </c>
      <c r="F64" s="66">
        <v>4.8</v>
      </c>
      <c r="G64" s="65"/>
      <c r="H64" s="76">
        <v>5.4081292916136592</v>
      </c>
      <c r="I64" s="76">
        <v>5.5174185987401785</v>
      </c>
      <c r="J64" s="66">
        <v>4.8</v>
      </c>
      <c r="K64" s="67"/>
      <c r="L64" s="194">
        <v>0.673187134502924</v>
      </c>
      <c r="M64" s="194">
        <v>0.75083800083487295</v>
      </c>
      <c r="N64" s="68">
        <v>1</v>
      </c>
      <c r="P64" s="69"/>
    </row>
    <row r="65" spans="2:16" ht="15">
      <c r="B65" s="34" t="s">
        <v>40</v>
      </c>
      <c r="C65" s="65"/>
      <c r="D65" s="76">
        <v>8.0382775119617147</v>
      </c>
      <c r="E65" s="76">
        <v>11.429743886837057</v>
      </c>
      <c r="F65" s="66">
        <v>5.5</v>
      </c>
      <c r="G65" s="65"/>
      <c r="H65" s="76">
        <v>10.370027728825649</v>
      </c>
      <c r="I65" s="76">
        <v>13.047305235287777</v>
      </c>
      <c r="J65" s="66">
        <v>5.5</v>
      </c>
      <c r="K65" s="67"/>
      <c r="L65" s="194">
        <v>0.67438596491228076</v>
      </c>
      <c r="M65" s="194">
        <v>0.55172216056233814</v>
      </c>
      <c r="N65" s="68">
        <v>1</v>
      </c>
      <c r="P65" s="69"/>
    </row>
    <row r="66" spans="2:16" ht="15">
      <c r="B66" s="22" t="s">
        <v>33</v>
      </c>
      <c r="C66" s="65"/>
      <c r="D66" s="76">
        <v>3.992015968063888</v>
      </c>
      <c r="E66" s="76">
        <v>4.8818566667667298</v>
      </c>
      <c r="F66" s="66">
        <v>3.3</v>
      </c>
      <c r="G66" s="65"/>
      <c r="H66" s="76">
        <v>4.3345910844408779</v>
      </c>
      <c r="I66" s="76">
        <v>4.7612385632312364</v>
      </c>
      <c r="J66" s="66">
        <v>3.3</v>
      </c>
      <c r="K66" s="67"/>
      <c r="L66" s="194">
        <v>1.016578947368421</v>
      </c>
      <c r="M66" s="194">
        <v>0.82603070175438598</v>
      </c>
      <c r="N66" s="68">
        <v>1</v>
      </c>
      <c r="P66" s="69"/>
    </row>
    <row r="67" spans="2:16" ht="15">
      <c r="B67" s="35" t="s">
        <v>165</v>
      </c>
      <c r="C67" s="65"/>
      <c r="D67" s="76"/>
      <c r="E67" s="76">
        <v>7.837301587301579</v>
      </c>
      <c r="F67" s="66">
        <v>3.3</v>
      </c>
      <c r="G67" s="282"/>
      <c r="H67" s="76"/>
      <c r="I67" s="76">
        <v>5.3377569154690221</v>
      </c>
      <c r="J67" s="66">
        <v>3</v>
      </c>
      <c r="K67" s="67"/>
      <c r="L67" s="194"/>
      <c r="M67" s="194">
        <v>0.32596491228070179</v>
      </c>
      <c r="N67" s="68">
        <v>1</v>
      </c>
      <c r="P67" s="69"/>
    </row>
    <row r="68" spans="2:16" ht="15">
      <c r="B68" s="36" t="s">
        <v>15</v>
      </c>
      <c r="C68" s="65"/>
      <c r="D68" s="76">
        <v>5.2552552552552552</v>
      </c>
      <c r="E68" s="76">
        <v>6.9158697961943529</v>
      </c>
      <c r="F68" s="70">
        <f>[21]May_2022!$M$43</f>
        <v>3.4878406700073312</v>
      </c>
      <c r="G68" s="282"/>
      <c r="H68" s="76">
        <v>6.7916330640214131</v>
      </c>
      <c r="I68" s="76">
        <v>8.5598888260252064</v>
      </c>
      <c r="J68" s="66">
        <v>5.5</v>
      </c>
      <c r="K68" s="67"/>
      <c r="L68" s="194">
        <v>0.66421052631578947</v>
      </c>
      <c r="M68" s="194">
        <v>0.60705263157894729</v>
      </c>
      <c r="N68" s="68">
        <v>1</v>
      </c>
      <c r="P68" s="69"/>
    </row>
    <row r="69" spans="2:16" ht="15">
      <c r="B69" s="37" t="s">
        <v>16</v>
      </c>
      <c r="C69" s="65"/>
      <c r="D69" s="76">
        <v>4.1414141414141357</v>
      </c>
      <c r="E69" s="76">
        <v>3.0301127264734369</v>
      </c>
      <c r="F69" s="66">
        <v>3.3</v>
      </c>
      <c r="G69" s="282"/>
      <c r="H69" s="76">
        <v>7.0415942868172152</v>
      </c>
      <c r="I69" s="76">
        <v>4.4974189022907662</v>
      </c>
      <c r="J69" s="66">
        <v>3.3</v>
      </c>
      <c r="K69" s="67"/>
      <c r="L69" s="194">
        <v>0.33298245614035088</v>
      </c>
      <c r="M69" s="194">
        <v>0.80374720357941831</v>
      </c>
      <c r="N69" s="71">
        <v>1</v>
      </c>
      <c r="P69" s="69"/>
    </row>
    <row r="70" spans="2:16" ht="15.75" thickBot="1">
      <c r="B70" s="38" t="s">
        <v>164</v>
      </c>
      <c r="C70" s="65"/>
      <c r="D70" s="76"/>
      <c r="E70" s="76">
        <v>11.483253588516746</v>
      </c>
      <c r="F70" s="66">
        <v>7.5</v>
      </c>
      <c r="G70" s="282"/>
      <c r="H70" s="76"/>
      <c r="I70" s="76">
        <v>9.7934336121043764</v>
      </c>
      <c r="J70" s="66">
        <v>7.5</v>
      </c>
      <c r="K70" s="67"/>
      <c r="M70" s="194">
        <v>0.32456140350877194</v>
      </c>
      <c r="N70" s="71">
        <v>1</v>
      </c>
      <c r="P70" s="69"/>
    </row>
    <row r="71" spans="2:16" ht="15.75" thickBot="1">
      <c r="B71" s="414" t="s">
        <v>161</v>
      </c>
      <c r="C71" s="65"/>
      <c r="D71" s="76"/>
      <c r="E71" s="76">
        <v>7.2653644592663174</v>
      </c>
      <c r="F71" s="66">
        <v>4.8</v>
      </c>
      <c r="G71" s="282"/>
      <c r="H71" s="76"/>
      <c r="I71" s="76">
        <v>8.1715311054411259</v>
      </c>
      <c r="J71" s="66">
        <v>4.8</v>
      </c>
      <c r="K71" s="67"/>
      <c r="L71" s="194"/>
      <c r="M71" s="194">
        <v>0.51368421052631585</v>
      </c>
      <c r="N71" s="71">
        <v>1</v>
      </c>
      <c r="O71" s="74"/>
      <c r="P71" s="75"/>
    </row>
    <row r="72" spans="2:16" ht="15">
      <c r="D72" s="76">
        <v>5.0122568537403884</v>
      </c>
      <c r="E72" s="76">
        <v>6.2561530091176252</v>
      </c>
      <c r="F72" s="341">
        <v>5.5</v>
      </c>
      <c r="H72" s="76">
        <v>6.5621968305462266</v>
      </c>
      <c r="I72" s="76">
        <v>6.5759292284197146</v>
      </c>
      <c r="J72" s="341">
        <v>5.5</v>
      </c>
      <c r="L72" s="194">
        <v>0.83619493177387905</v>
      </c>
      <c r="M72" s="194">
        <v>0.73623931093884587</v>
      </c>
      <c r="N72" s="386">
        <v>1</v>
      </c>
    </row>
    <row r="76" spans="2:16">
      <c r="F76" s="315"/>
    </row>
    <row r="77" spans="2:16" ht="15">
      <c r="F77" s="341"/>
    </row>
  </sheetData>
  <mergeCells count="51">
    <mergeCell ref="M52:M53"/>
    <mergeCell ref="B61:F61"/>
    <mergeCell ref="G61:J61"/>
    <mergeCell ref="K61:N61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651" priority="158" operator="notBetween">
      <formula>#REF!</formula>
      <formula>#REF!</formula>
    </cfRule>
  </conditionalFormatting>
  <conditionalFormatting sqref="C51">
    <cfRule type="cellIs" dxfId="650" priority="189" stopIfTrue="1" operator="lessThan">
      <formula>96</formula>
    </cfRule>
    <cfRule type="cellIs" dxfId="649" priority="190" stopIfTrue="1" operator="greaterThan">
      <formula>100</formula>
    </cfRule>
  </conditionalFormatting>
  <conditionalFormatting sqref="C63:C67">
    <cfRule type="cellIs" dxfId="648" priority="139" stopIfTrue="1" operator="lessThanOrEqual">
      <formula>0</formula>
    </cfRule>
  </conditionalFormatting>
  <conditionalFormatting sqref="C63:C71">
    <cfRule type="cellIs" dxfId="647" priority="138" stopIfTrue="1" operator="greaterThan">
      <formula>$F63</formula>
    </cfRule>
  </conditionalFormatting>
  <conditionalFormatting sqref="C64">
    <cfRule type="cellIs" dxfId="646" priority="193" stopIfTrue="1" operator="greaterThan">
      <formula>$F63</formula>
    </cfRule>
  </conditionalFormatting>
  <conditionalFormatting sqref="C68">
    <cfRule type="cellIs" dxfId="645" priority="58" stopIfTrue="1" operator="greaterThan">
      <formula>$F67</formula>
    </cfRule>
    <cfRule type="cellIs" dxfId="644" priority="57" stopIfTrue="1" operator="lessThanOrEqual">
      <formula>0</formula>
    </cfRule>
  </conditionalFormatting>
  <conditionalFormatting sqref="C74:C78">
    <cfRule type="cellIs" dxfId="643" priority="181" stopIfTrue="1" operator="lessThanOrEqual">
      <formula>0</formula>
    </cfRule>
  </conditionalFormatting>
  <conditionalFormatting sqref="C75:C78">
    <cfRule type="cellIs" dxfId="642" priority="180" stopIfTrue="1" operator="greaterThan">
      <formula>$F$74</formula>
    </cfRule>
  </conditionalFormatting>
  <conditionalFormatting sqref="C80">
    <cfRule type="cellIs" dxfId="641" priority="182" stopIfTrue="1" operator="greaterThan">
      <formula>$F$74</formula>
    </cfRule>
    <cfRule type="cellIs" dxfId="640" priority="183" stopIfTrue="1" operator="lessThanOrEqual">
      <formula>0</formula>
    </cfRule>
  </conditionalFormatting>
  <conditionalFormatting sqref="C74:D74 D76:D82">
    <cfRule type="cellIs" dxfId="639" priority="175" stopIfTrue="1" operator="greaterThan">
      <formula>4.5</formula>
    </cfRule>
  </conditionalFormatting>
  <conditionalFormatting sqref="D47:D48">
    <cfRule type="cellIs" dxfId="638" priority="159" operator="notBetween">
      <formula>#REF!</formula>
      <formula>#REF!</formula>
    </cfRule>
  </conditionalFormatting>
  <conditionalFormatting sqref="D63:D70">
    <cfRule type="cellIs" dxfId="637" priority="153" stopIfTrue="1" operator="lessThanOrEqual">
      <formula>0</formula>
    </cfRule>
  </conditionalFormatting>
  <conditionalFormatting sqref="D71">
    <cfRule type="cellIs" dxfId="636" priority="152" stopIfTrue="1" operator="lessThanOrEqual">
      <formula>0</formula>
    </cfRule>
  </conditionalFormatting>
  <conditionalFormatting sqref="D74 D76:D82">
    <cfRule type="cellIs" dxfId="635" priority="176" stopIfTrue="1" operator="lessThanOrEqual">
      <formula>0</formula>
    </cfRule>
  </conditionalFormatting>
  <conditionalFormatting sqref="D75">
    <cfRule type="cellIs" dxfId="634" priority="167" stopIfTrue="1" operator="greaterThan">
      <formula>$F$74</formula>
    </cfRule>
    <cfRule type="cellIs" dxfId="633" priority="168" stopIfTrue="1" operator="lessThanOrEqual">
      <formula>0</formula>
    </cfRule>
  </conditionalFormatting>
  <conditionalFormatting sqref="D63:E72">
    <cfRule type="cellIs" dxfId="632" priority="135" stopIfTrue="1" operator="greaterThan">
      <formula>$F63</formula>
    </cfRule>
  </conditionalFormatting>
  <conditionalFormatting sqref="D72:E72">
    <cfRule type="cellIs" dxfId="631" priority="136" stopIfTrue="1" operator="lessThanOrEqual">
      <formula>0</formula>
    </cfRule>
  </conditionalFormatting>
  <conditionalFormatting sqref="E10:E22">
    <cfRule type="cellIs" dxfId="630" priority="29" operator="lessThan">
      <formula>48</formula>
    </cfRule>
  </conditionalFormatting>
  <conditionalFormatting sqref="E50 E51:F51">
    <cfRule type="cellIs" dxfId="629" priority="172" stopIfTrue="1" operator="greaterThan">
      <formula>100</formula>
    </cfRule>
  </conditionalFormatting>
  <conditionalFormatting sqref="E51">
    <cfRule type="cellIs" dxfId="628" priority="170" stopIfTrue="1" operator="greaterThan">
      <formula>100</formula>
    </cfRule>
    <cfRule type="cellIs" dxfId="627" priority="169" stopIfTrue="1" operator="lessThan">
      <formula>96.8</formula>
    </cfRule>
  </conditionalFormatting>
  <conditionalFormatting sqref="E63:E71">
    <cfRule type="cellIs" dxfId="626" priority="147" stopIfTrue="1" operator="lessThanOrEqual">
      <formula>0</formula>
    </cfRule>
  </conditionalFormatting>
  <conditionalFormatting sqref="E74:E82">
    <cfRule type="cellIs" dxfId="625" priority="162" stopIfTrue="1" operator="lessThanOrEqual">
      <formula>0</formula>
    </cfRule>
    <cfRule type="cellIs" dxfId="624" priority="161" stopIfTrue="1" operator="greaterThan">
      <formula>4.5</formula>
    </cfRule>
  </conditionalFormatting>
  <conditionalFormatting sqref="E51:F51 E50">
    <cfRule type="cellIs" dxfId="623" priority="171" stopIfTrue="1" operator="lessThan">
      <formula>96.5</formula>
    </cfRule>
  </conditionalFormatting>
  <conditionalFormatting sqref="F10:F22">
    <cfRule type="cellIs" dxfId="622" priority="30" operator="greaterThan">
      <formula>60</formula>
    </cfRule>
  </conditionalFormatting>
  <conditionalFormatting sqref="F51">
    <cfRule type="cellIs" dxfId="621" priority="188" stopIfTrue="1" operator="greaterThan">
      <formula>100</formula>
    </cfRule>
    <cfRule type="cellIs" dxfId="620" priority="187" stopIfTrue="1" operator="lessThan">
      <formula>96.8</formula>
    </cfRule>
  </conditionalFormatting>
  <conditionalFormatting sqref="F72">
    <cfRule type="cellIs" dxfId="619" priority="149" stopIfTrue="1" operator="lessThanOrEqual">
      <formula>0</formula>
    </cfRule>
    <cfRule type="cellIs" dxfId="618" priority="148" stopIfTrue="1" operator="greaterThan">
      <formula>$F72</formula>
    </cfRule>
  </conditionalFormatting>
  <conditionalFormatting sqref="F77">
    <cfRule type="cellIs" dxfId="617" priority="106" stopIfTrue="1" operator="lessThanOrEqual">
      <formula>0</formula>
    </cfRule>
    <cfRule type="cellIs" dxfId="616" priority="105" stopIfTrue="1" operator="greaterThan">
      <formula>$F77</formula>
    </cfRule>
  </conditionalFormatting>
  <conditionalFormatting sqref="G10:G19">
    <cfRule type="expression" dxfId="615" priority="2">
      <formula>IF(+(IF(G10&lt;S10,0,IF(G10&gt;T10,0,1)))=0,1)</formula>
    </cfRule>
  </conditionalFormatting>
  <conditionalFormatting sqref="G63:G64 C69:C71">
    <cfRule type="cellIs" dxfId="614" priority="155" stopIfTrue="1" operator="lessThanOrEqual">
      <formula>0</formula>
    </cfRule>
  </conditionalFormatting>
  <conditionalFormatting sqref="G63:G64">
    <cfRule type="cellIs" dxfId="613" priority="141" stopIfTrue="1" operator="lessThanOrEqual">
      <formula>0</formula>
    </cfRule>
    <cfRule type="cellIs" dxfId="612" priority="140" stopIfTrue="1" operator="greaterThan">
      <formula>$F63</formula>
    </cfRule>
    <cfRule type="cellIs" dxfId="611" priority="154" stopIfTrue="1" operator="greaterThan">
      <formula>$F63</formula>
    </cfRule>
  </conditionalFormatting>
  <conditionalFormatting sqref="G65">
    <cfRule type="cellIs" dxfId="610" priority="191" stopIfTrue="1" operator="greaterThan">
      <formula>$F64</formula>
    </cfRule>
    <cfRule type="cellIs" dxfId="609" priority="192" stopIfTrue="1" operator="lessThanOrEqual">
      <formula>0</formula>
    </cfRule>
  </conditionalFormatting>
  <conditionalFormatting sqref="G66">
    <cfRule type="cellIs" dxfId="608" priority="151" stopIfTrue="1" operator="lessThanOrEqual">
      <formula>0</formula>
    </cfRule>
    <cfRule type="cellIs" dxfId="607" priority="150" stopIfTrue="1" operator="greaterThan">
      <formula>$F66</formula>
    </cfRule>
  </conditionalFormatting>
  <conditionalFormatting sqref="G67:G71">
    <cfRule type="cellIs" dxfId="606" priority="157" stopIfTrue="1" operator="lessThanOrEqual">
      <formula>0</formula>
    </cfRule>
    <cfRule type="cellIs" dxfId="605" priority="156" stopIfTrue="1" operator="greaterThan">
      <formula>$J67</formula>
    </cfRule>
  </conditionalFormatting>
  <conditionalFormatting sqref="G76:G81 C79 C81">
    <cfRule type="cellIs" dxfId="604" priority="185" stopIfTrue="1" operator="lessThanOrEqual">
      <formula>0</formula>
    </cfRule>
    <cfRule type="cellIs" dxfId="603" priority="184" stopIfTrue="1" operator="greaterThan">
      <formula>4.5</formula>
    </cfRule>
  </conditionalFormatting>
  <conditionalFormatting sqref="G75:H75">
    <cfRule type="cellIs" dxfId="602" priority="165" stopIfTrue="1" operator="greaterThan">
      <formula>$F$74</formula>
    </cfRule>
    <cfRule type="cellIs" dxfId="601" priority="166" stopIfTrue="1" operator="lessThanOrEqual">
      <formula>0</formula>
    </cfRule>
  </conditionalFormatting>
  <conditionalFormatting sqref="H10:H19 G20:H22">
    <cfRule type="expression" dxfId="600" priority="31">
      <formula>IF(+(IF(G10&lt;#REF!,0,IF(G10&gt;#REF!,0,1)))=0,1)</formula>
    </cfRule>
  </conditionalFormatting>
  <conditionalFormatting sqref="H36:H50">
    <cfRule type="cellIs" dxfId="599" priority="163" stopIfTrue="1" operator="greaterThan">
      <formula>0</formula>
    </cfRule>
  </conditionalFormatting>
  <conditionalFormatting sqref="H54">
    <cfRule type="cellIs" dxfId="598" priority="74" stopIfTrue="1" operator="lessThanOrEqual">
      <formula>0</formula>
    </cfRule>
    <cfRule type="cellIs" dxfId="597" priority="64" stopIfTrue="1" operator="lessThanOrEqual">
      <formula>0</formula>
    </cfRule>
    <cfRule type="cellIs" dxfId="596" priority="73" stopIfTrue="1" operator="greaterThan">
      <formula>$F$21</formula>
    </cfRule>
    <cfRule type="cellIs" dxfId="595" priority="76" stopIfTrue="1" operator="lessThanOrEqual">
      <formula>0</formula>
    </cfRule>
    <cfRule type="cellIs" dxfId="594" priority="75" stopIfTrue="1" operator="greaterThan">
      <formula>#REF!</formula>
    </cfRule>
    <cfRule type="cellIs" dxfId="593" priority="65" stopIfTrue="1" operator="greaterThan">
      <formula>#REF!</formula>
    </cfRule>
  </conditionalFormatting>
  <conditionalFormatting sqref="H55">
    <cfRule type="cellIs" dxfId="592" priority="104" stopIfTrue="1" operator="lessThanOrEqual">
      <formula>0</formula>
    </cfRule>
    <cfRule type="cellIs" dxfId="591" priority="103" stopIfTrue="1" operator="greaterThan">
      <formula>$F$21</formula>
    </cfRule>
    <cfRule type="cellIs" dxfId="590" priority="102" stopIfTrue="1" operator="lessThanOrEqual">
      <formula>0</formula>
    </cfRule>
    <cfRule type="cellIs" dxfId="589" priority="92" stopIfTrue="1" operator="lessThanOrEqual">
      <formula>0</formula>
    </cfRule>
    <cfRule type="cellIs" dxfId="588" priority="93" stopIfTrue="1" operator="greaterThan">
      <formula>#REF!</formula>
    </cfRule>
    <cfRule type="cellIs" dxfId="587" priority="101" stopIfTrue="1" operator="greaterThan">
      <formula>$F$23</formula>
    </cfRule>
  </conditionalFormatting>
  <conditionalFormatting sqref="H56">
    <cfRule type="cellIs" dxfId="586" priority="45" stopIfTrue="1" operator="greaterThan">
      <formula>#REF!</formula>
    </cfRule>
    <cfRule type="cellIs" dxfId="585" priority="44" stopIfTrue="1" operator="lessThanOrEqual">
      <formula>0</formula>
    </cfRule>
    <cfRule type="cellIs" dxfId="584" priority="56" stopIfTrue="1" operator="lessThanOrEqual">
      <formula>0</formula>
    </cfRule>
    <cfRule type="cellIs" dxfId="583" priority="55" stopIfTrue="1" operator="greaterThan">
      <formula>#REF!</formula>
    </cfRule>
    <cfRule type="cellIs" dxfId="582" priority="54" stopIfTrue="1" operator="lessThanOrEqual">
      <formula>0</formula>
    </cfRule>
    <cfRule type="cellIs" dxfId="581" priority="53" stopIfTrue="1" operator="greaterThan">
      <formula>$F$21</formula>
    </cfRule>
  </conditionalFormatting>
  <conditionalFormatting sqref="H57:H58">
    <cfRule type="cellIs" dxfId="580" priority="79" stopIfTrue="1" operator="greaterThan">
      <formula>#REF!</formula>
    </cfRule>
    <cfRule type="cellIs" dxfId="579" priority="78" stopIfTrue="1" operator="lessThanOrEqual">
      <formula>0</formula>
    </cfRule>
    <cfRule type="cellIs" dxfId="578" priority="90" stopIfTrue="1" operator="lessThanOrEqual">
      <formula>0</formula>
    </cfRule>
    <cfRule type="cellIs" dxfId="577" priority="89" stopIfTrue="1" operator="greaterThan">
      <formula>#REF!</formula>
    </cfRule>
    <cfRule type="cellIs" dxfId="576" priority="88" stopIfTrue="1" operator="lessThanOrEqual">
      <formula>0</formula>
    </cfRule>
    <cfRule type="cellIs" dxfId="575" priority="87" stopIfTrue="1" operator="greaterThan">
      <formula>$F$22</formula>
    </cfRule>
  </conditionalFormatting>
  <conditionalFormatting sqref="H59">
    <cfRule type="cellIs" dxfId="574" priority="109" stopIfTrue="1" operator="lessThanOrEqual">
      <formula>0</formula>
    </cfRule>
    <cfRule type="cellIs" dxfId="573" priority="118" stopIfTrue="1" operator="greaterThan">
      <formula>$F$38</formula>
    </cfRule>
    <cfRule type="cellIs" dxfId="572" priority="119" stopIfTrue="1" operator="lessThanOrEqual">
      <formula>0</formula>
    </cfRule>
    <cfRule type="cellIs" dxfId="571" priority="120" stopIfTrue="1" operator="greaterThan">
      <formula>$F$36</formula>
    </cfRule>
    <cfRule type="cellIs" dxfId="570" priority="110" stopIfTrue="1" operator="greaterThan">
      <formula>$F$35</formula>
    </cfRule>
    <cfRule type="cellIs" dxfId="569" priority="121" stopIfTrue="1" operator="lessThanOrEqual">
      <formula>0</formula>
    </cfRule>
  </conditionalFormatting>
  <conditionalFormatting sqref="H63:H70">
    <cfRule type="cellIs" dxfId="568" priority="143" stopIfTrue="1" operator="lessThanOrEqual">
      <formula>0</formula>
    </cfRule>
    <cfRule type="cellIs" dxfId="567" priority="142" stopIfTrue="1" operator="greaterThan">
      <formula>$J63</formula>
    </cfRule>
  </conditionalFormatting>
  <conditionalFormatting sqref="H71">
    <cfRule type="cellIs" dxfId="566" priority="144" operator="greaterThan">
      <formula>5.3</formula>
    </cfRule>
  </conditionalFormatting>
  <conditionalFormatting sqref="H74 H76:H82">
    <cfRule type="cellIs" dxfId="565" priority="177" stopIfTrue="1" operator="greaterThan">
      <formula>4.5</formula>
    </cfRule>
    <cfRule type="cellIs" dxfId="564" priority="178" stopIfTrue="1" operator="lessThanOrEqual">
      <formula>0</formula>
    </cfRule>
  </conditionalFormatting>
  <conditionalFormatting sqref="H54:I54">
    <cfRule type="cellIs" dxfId="563" priority="66" stopIfTrue="1" operator="lessThanOrEqual">
      <formula>0</formula>
    </cfRule>
    <cfRule type="cellIs" dxfId="562" priority="63" stopIfTrue="1" operator="greaterThan">
      <formula>#REF!</formula>
    </cfRule>
  </conditionalFormatting>
  <conditionalFormatting sqref="H55:I55">
    <cfRule type="cellIs" dxfId="561" priority="94" stopIfTrue="1" operator="lessThanOrEqual">
      <formula>0</formula>
    </cfRule>
    <cfRule type="cellIs" dxfId="560" priority="91" stopIfTrue="1" operator="greaterThan">
      <formula>$F$22</formula>
    </cfRule>
  </conditionalFormatting>
  <conditionalFormatting sqref="H56:I56">
    <cfRule type="cellIs" dxfId="559" priority="43" stopIfTrue="1" operator="greaterThan">
      <formula>#REF!</formula>
    </cfRule>
    <cfRule type="cellIs" dxfId="558" priority="46" stopIfTrue="1" operator="lessThanOrEqual">
      <formula>0</formula>
    </cfRule>
  </conditionalFormatting>
  <conditionalFormatting sqref="H57:I58">
    <cfRule type="cellIs" dxfId="557" priority="77" stopIfTrue="1" operator="greaterThan">
      <formula>$F$21</formula>
    </cfRule>
    <cfRule type="cellIs" dxfId="556" priority="80" stopIfTrue="1" operator="lessThanOrEqual">
      <formula>0</formula>
    </cfRule>
  </conditionalFormatting>
  <conditionalFormatting sqref="H59:I59">
    <cfRule type="cellIs" dxfId="555" priority="111" stopIfTrue="1" operator="lessThanOrEqual">
      <formula>0</formula>
    </cfRule>
    <cfRule type="cellIs" dxfId="554" priority="108" stopIfTrue="1" operator="greaterThan">
      <formula>$F$37</formula>
    </cfRule>
  </conditionalFormatting>
  <conditionalFormatting sqref="H72:I72">
    <cfRule type="cellIs" dxfId="553" priority="134" stopIfTrue="1" operator="lessThanOrEqual">
      <formula>0</formula>
    </cfRule>
    <cfRule type="cellIs" dxfId="552" priority="133" stopIfTrue="1" operator="greaterThan">
      <formula>$J72</formula>
    </cfRule>
  </conditionalFormatting>
  <conditionalFormatting sqref="I54">
    <cfRule type="cellIs" dxfId="551" priority="70" stopIfTrue="1" operator="lessThanOrEqual">
      <formula>0</formula>
    </cfRule>
    <cfRule type="cellIs" dxfId="550" priority="67" stopIfTrue="1" operator="greaterThan">
      <formula>#REF!</formula>
    </cfRule>
    <cfRule type="cellIs" dxfId="549" priority="68" stopIfTrue="1" operator="lessThanOrEqual">
      <formula>0</formula>
    </cfRule>
    <cfRule type="cellIs" dxfId="548" priority="69" stopIfTrue="1" operator="greaterThan">
      <formula>#REF!</formula>
    </cfRule>
    <cfRule type="cellIs" dxfId="547" priority="71" stopIfTrue="1" operator="greaterThan">
      <formula>#REF!</formula>
    </cfRule>
    <cfRule type="cellIs" dxfId="546" priority="72" stopIfTrue="1" operator="lessThanOrEqual">
      <formula>0</formula>
    </cfRule>
  </conditionalFormatting>
  <conditionalFormatting sqref="I55">
    <cfRule type="cellIs" dxfId="545" priority="98" stopIfTrue="1" operator="lessThanOrEqual">
      <formula>0</formula>
    </cfRule>
    <cfRule type="cellIs" dxfId="544" priority="99" stopIfTrue="1" operator="greaterThan">
      <formula>#REF!</formula>
    </cfRule>
    <cfRule type="cellIs" dxfId="543" priority="100" stopIfTrue="1" operator="lessThanOrEqual">
      <formula>0</formula>
    </cfRule>
    <cfRule type="cellIs" dxfId="542" priority="95" stopIfTrue="1" operator="greaterThan">
      <formula>#REF!</formula>
    </cfRule>
    <cfRule type="cellIs" dxfId="541" priority="97" stopIfTrue="1" operator="greaterThan">
      <formula>$F$22</formula>
    </cfRule>
    <cfRule type="cellIs" dxfId="540" priority="96" stopIfTrue="1" operator="lessThanOrEqual">
      <formula>0</formula>
    </cfRule>
  </conditionalFormatting>
  <conditionalFormatting sqref="I56">
    <cfRule type="cellIs" dxfId="539" priority="47" stopIfTrue="1" operator="greaterThan">
      <formula>#REF!</formula>
    </cfRule>
    <cfRule type="cellIs" dxfId="538" priority="49" stopIfTrue="1" operator="greaterThan">
      <formula>#REF!</formula>
    </cfRule>
    <cfRule type="cellIs" dxfId="537" priority="52" stopIfTrue="1" operator="lessThanOrEqual">
      <formula>0</formula>
    </cfRule>
    <cfRule type="cellIs" dxfId="536" priority="51" stopIfTrue="1" operator="greaterThan">
      <formula>#REF!</formula>
    </cfRule>
    <cfRule type="cellIs" dxfId="535" priority="50" stopIfTrue="1" operator="lessThanOrEqual">
      <formula>0</formula>
    </cfRule>
    <cfRule type="cellIs" dxfId="534" priority="48" stopIfTrue="1" operator="lessThanOrEqual">
      <formula>0</formula>
    </cfRule>
  </conditionalFormatting>
  <conditionalFormatting sqref="I57:I58">
    <cfRule type="cellIs" dxfId="533" priority="85" stopIfTrue="1" operator="greaterThan">
      <formula>#REF!</formula>
    </cfRule>
    <cfRule type="cellIs" dxfId="532" priority="84" stopIfTrue="1" operator="lessThanOrEqual">
      <formula>0</formula>
    </cfRule>
    <cfRule type="cellIs" dxfId="531" priority="83" stopIfTrue="1" operator="greaterThan">
      <formula>$F$21</formula>
    </cfRule>
    <cfRule type="cellIs" dxfId="530" priority="82" stopIfTrue="1" operator="lessThanOrEqual">
      <formula>0</formula>
    </cfRule>
    <cfRule type="cellIs" dxfId="529" priority="81" stopIfTrue="1" operator="greaterThan">
      <formula>#REF!</formula>
    </cfRule>
    <cfRule type="cellIs" dxfId="528" priority="86" stopIfTrue="1" operator="lessThanOrEqual">
      <formula>0</formula>
    </cfRule>
  </conditionalFormatting>
  <conditionalFormatting sqref="I59">
    <cfRule type="cellIs" dxfId="527" priority="115" stopIfTrue="1" operator="lessThanOrEqual">
      <formula>0</formula>
    </cfRule>
    <cfRule type="cellIs" dxfId="526" priority="112" stopIfTrue="1" operator="greaterThan">
      <formula>$F$35</formula>
    </cfRule>
    <cfRule type="cellIs" dxfId="525" priority="116" stopIfTrue="1" operator="greaterThan">
      <formula>$F$35</formula>
    </cfRule>
    <cfRule type="cellIs" dxfId="524" priority="117" stopIfTrue="1" operator="lessThanOrEqual">
      <formula>0</formula>
    </cfRule>
    <cfRule type="cellIs" dxfId="523" priority="114" stopIfTrue="1" operator="greaterThan">
      <formula>$F$37</formula>
    </cfRule>
    <cfRule type="cellIs" dxfId="522" priority="113" stopIfTrue="1" operator="lessThanOrEqual">
      <formula>0</formula>
    </cfRule>
  </conditionalFormatting>
  <conditionalFormatting sqref="I63:I71">
    <cfRule type="cellIs" dxfId="521" priority="145" stopIfTrue="1" operator="greaterThan">
      <formula>$J63</formula>
    </cfRule>
    <cfRule type="cellIs" dxfId="520" priority="146" stopIfTrue="1" operator="lessThanOrEqual">
      <formula>0</formula>
    </cfRule>
  </conditionalFormatting>
  <conditionalFormatting sqref="I74:I82">
    <cfRule type="cellIs" dxfId="519" priority="173" stopIfTrue="1" operator="greaterThan">
      <formula>4.5</formula>
    </cfRule>
    <cfRule type="cellIs" dxfId="518" priority="174" stopIfTrue="1" operator="lessThanOrEqual">
      <formula>0</formula>
    </cfRule>
  </conditionalFormatting>
  <conditionalFormatting sqref="I10:J22">
    <cfRule type="cellIs" dxfId="517" priority="21" operator="lessThan">
      <formula>97.9</formula>
    </cfRule>
  </conditionalFormatting>
  <conditionalFormatting sqref="J25:J27">
    <cfRule type="cellIs" dxfId="516" priority="123" stopIfTrue="1" operator="lessThan">
      <formula>96.8</formula>
    </cfRule>
    <cfRule type="cellIs" dxfId="515" priority="125" operator="lessThan">
      <formula>98</formula>
    </cfRule>
    <cfRule type="cellIs" dxfId="514" priority="124" stopIfTrue="1" operator="greaterThan">
      <formula>100</formula>
    </cfRule>
  </conditionalFormatting>
  <conditionalFormatting sqref="J25:J29">
    <cfRule type="cellIs" dxfId="513" priority="122" operator="lessThan">
      <formula>97.4</formula>
    </cfRule>
  </conditionalFormatting>
  <conditionalFormatting sqref="J30">
    <cfRule type="cellIs" dxfId="512" priority="126" operator="lessThan">
      <formula>98</formula>
    </cfRule>
  </conditionalFormatting>
  <conditionalFormatting sqref="J32:J33">
    <cfRule type="cellIs" dxfId="511" priority="127" stopIfTrue="1" operator="lessThan">
      <formula>96.8</formula>
    </cfRule>
    <cfRule type="cellIs" dxfId="510" priority="128" stopIfTrue="1" operator="greaterThan">
      <formula>100</formula>
    </cfRule>
  </conditionalFormatting>
  <conditionalFormatting sqref="J32:J34">
    <cfRule type="cellIs" dxfId="509" priority="129" operator="lessThan">
      <formula>98</formula>
    </cfRule>
  </conditionalFormatting>
  <conditionalFormatting sqref="J72">
    <cfRule type="cellIs" dxfId="508" priority="130" stopIfTrue="1" operator="greaterThan">
      <formula>$F72</formula>
    </cfRule>
    <cfRule type="cellIs" dxfId="507" priority="131" stopIfTrue="1" operator="lessThanOrEqual">
      <formula>0</formula>
    </cfRule>
  </conditionalFormatting>
  <conditionalFormatting sqref="K10:K22">
    <cfRule type="cellIs" dxfId="506" priority="25" operator="greaterThan">
      <formula>6.4</formula>
    </cfRule>
    <cfRule type="cellIs" dxfId="505" priority="23" operator="greaterThan">
      <formula>6</formula>
    </cfRule>
    <cfRule type="cellIs" dxfId="504" priority="24" operator="lessThan">
      <formula>4</formula>
    </cfRule>
  </conditionalFormatting>
  <conditionalFormatting sqref="K54:K59 K63:N69 K70 M70:N70 K71:N71">
    <cfRule type="cellIs" dxfId="503" priority="107" stopIfTrue="1" operator="lessThan">
      <formula>100%</formula>
    </cfRule>
  </conditionalFormatting>
  <conditionalFormatting sqref="K74:K79">
    <cfRule type="cellIs" dxfId="502" priority="179" stopIfTrue="1" operator="lessThan">
      <formula>100%</formula>
    </cfRule>
  </conditionalFormatting>
  <conditionalFormatting sqref="K81:K82">
    <cfRule type="cellIs" dxfId="501" priority="186" stopIfTrue="1" operator="lessThan">
      <formula>100%</formula>
    </cfRule>
  </conditionalFormatting>
  <conditionalFormatting sqref="L10:L19">
    <cfRule type="cellIs" dxfId="500" priority="8" operator="between">
      <formula>61</formula>
      <formula>65</formula>
    </cfRule>
    <cfRule type="cellIs" dxfId="499" priority="9" operator="greaterThan">
      <formula>65</formula>
    </cfRule>
  </conditionalFormatting>
  <conditionalFormatting sqref="L21:L22">
    <cfRule type="cellIs" dxfId="498" priority="39" operator="between">
      <formula>61</formula>
      <formula>65</formula>
    </cfRule>
    <cfRule type="cellIs" dxfId="497" priority="40" operator="greaterThan">
      <formula>65</formula>
    </cfRule>
  </conditionalFormatting>
  <conditionalFormatting sqref="L20:M20">
    <cfRule type="cellIs" dxfId="496" priority="20" operator="greaterThan">
      <formula>65</formula>
    </cfRule>
    <cfRule type="cellIs" dxfId="495" priority="19" operator="between">
      <formula>61</formula>
      <formula>65</formula>
    </cfRule>
  </conditionalFormatting>
  <conditionalFormatting sqref="L25:M36">
    <cfRule type="cellIs" dxfId="494" priority="137" operator="lessThan">
      <formula>98</formula>
    </cfRule>
  </conditionalFormatting>
  <conditionalFormatting sqref="L40:N40">
    <cfRule type="cellIs" dxfId="493" priority="62" operator="notEqual">
      <formula>#REF!</formula>
    </cfRule>
  </conditionalFormatting>
  <conditionalFormatting sqref="L72:N72">
    <cfRule type="cellIs" dxfId="492" priority="132" stopIfTrue="1" operator="lessThan">
      <formula>100%</formula>
    </cfRule>
  </conditionalFormatting>
  <conditionalFormatting sqref="L74:N82">
    <cfRule type="cellIs" dxfId="491" priority="164" stopIfTrue="1" operator="lessThan">
      <formula>100%</formula>
    </cfRule>
  </conditionalFormatting>
  <conditionalFormatting sqref="M10:M22">
    <cfRule type="expression" dxfId="490" priority="26">
      <formula>IF(+(IF(M10&lt;U10,0,IF(M10&gt;V10,0,1)))=0,1)</formula>
    </cfRule>
  </conditionalFormatting>
  <conditionalFormatting sqref="N10:N22">
    <cfRule type="expression" dxfId="489" priority="22">
      <formula>IF(+(IF(N10&lt;W10,0,IF(N10&gt;X10,0,1)))=0,1)</formula>
    </cfRule>
  </conditionalFormatting>
  <conditionalFormatting sqref="P6">
    <cfRule type="cellIs" dxfId="488" priority="160" operator="greaterThanOrEqual">
      <formula>19</formula>
    </cfRule>
  </conditionalFormatting>
  <dataValidations count="1">
    <dataValidation type="list" allowBlank="1" showInputMessage="1" showErrorMessage="1" sqref="R8" xr:uid="{2C7F8D13-4C82-4A32-8026-A698621525DB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D7C5-B145-419A-A406-15CCE33A30E3}">
  <sheetPr>
    <pageSetUpPr fitToPage="1"/>
  </sheetPr>
  <dimension ref="A1:BE78"/>
  <sheetViews>
    <sheetView topLeftCell="B17" zoomScale="80" zoomScaleNormal="8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45897</v>
      </c>
      <c r="J4" s="398" t="s">
        <v>201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200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[22]Brewhouse!$A352</f>
        <v>ST331</v>
      </c>
      <c r="D10" s="279">
        <f>[22]Brewhouse!$AD352</f>
        <v>49.4</v>
      </c>
      <c r="E10" s="279">
        <f>[22]Brewhouse!$AG352</f>
        <v>49.1</v>
      </c>
      <c r="F10" s="278">
        <f>[22]Brewhouse!$V352</f>
        <v>60</v>
      </c>
      <c r="G10" s="279">
        <f>[22]Brewhouse!$AE352</f>
        <v>11.9</v>
      </c>
      <c r="H10" s="396">
        <v>11.9</v>
      </c>
      <c r="I10" s="422">
        <f>[22]Brewhouse!$AS352</f>
        <v>96.250646252877047</v>
      </c>
      <c r="J10" s="422">
        <f>[22]Brewhouse!$AT352</f>
        <v>98.096158322107712</v>
      </c>
      <c r="K10" s="281">
        <f>[22]Brewhouse!$Q352</f>
        <v>16.326530612244895</v>
      </c>
      <c r="L10" s="276">
        <f>[22]Brewhouse!$P352</f>
        <v>60</v>
      </c>
      <c r="M10" s="374">
        <f>[22]Brewhouse!$U352-[22]Brewhouse!$T352</f>
        <v>0.11874999999999999</v>
      </c>
      <c r="N10" s="370">
        <f>[22]Brewhouse!$AW352</f>
        <v>0.2583333333333333</v>
      </c>
      <c r="O10" s="423" t="str">
        <f>[22]Brewhouse!$AV352</f>
        <v>R. Regis</v>
      </c>
      <c r="P10" s="418"/>
      <c r="R10" s="277" t="str">
        <f t="shared" ref="R10:R29" si="0">B10</f>
        <v>STAG</v>
      </c>
      <c r="S10" s="296">
        <f t="shared" ref="S10:S29" si="1">VLOOKUP($B10,$R$3:$X$9,2,FALSE)</f>
        <v>11.6</v>
      </c>
      <c r="T10" s="296">
        <f t="shared" ref="T10:T29" si="2">VLOOKUP($B10,$R$3:$X$9,3,FALSE)</f>
        <v>12</v>
      </c>
      <c r="U10" s="297">
        <f t="shared" ref="U10:U29" si="3">VLOOKUP($B10,$R$3:$X$9,4,FALSE)</f>
        <v>0</v>
      </c>
      <c r="V10" s="297">
        <f t="shared" ref="V10:V29" si="4">VLOOKUP($B10,$R$3:$X$9,5,FALSE)</f>
        <v>0.118055555555556</v>
      </c>
      <c r="W10" s="297">
        <f t="shared" ref="W10:W29" si="5">VLOOKUP($B10,$R$3:$X$9,6,FALSE)</f>
        <v>0.22569444444444445</v>
      </c>
      <c r="X10" s="297">
        <f t="shared" ref="X10:X29" si="6">VLOOKUP($B10,$R$3:$X$9,7,FALSE)</f>
        <v>0.2638888888888889</v>
      </c>
      <c r="Y10" s="297">
        <f t="shared" ref="Y10:Y29" si="7">VLOOKUP($B10,$R$3:$Z$9,8,FALSE)</f>
        <v>0</v>
      </c>
      <c r="Z10" s="296">
        <f t="shared" ref="Z10:Z29" si="8">VLOOKUP($B10,$R$3:$Z$9,9,FALSE)</f>
        <v>60</v>
      </c>
    </row>
    <row r="11" spans="2:29" ht="15.75" customHeight="1">
      <c r="B11" s="33" t="s">
        <v>9</v>
      </c>
      <c r="C11" s="366" t="str">
        <f>[22]Brewhouse!$A353</f>
        <v>ST332</v>
      </c>
      <c r="D11" s="279">
        <f>[22]Brewhouse!$AD353</f>
        <v>49.8</v>
      </c>
      <c r="E11" s="279">
        <f>[22]Brewhouse!$AG353</f>
        <v>49.5</v>
      </c>
      <c r="F11" s="278">
        <f>[22]Brewhouse!$V353</f>
        <v>61</v>
      </c>
      <c r="G11" s="463">
        <f>[22]Brewhouse!$AE353</f>
        <v>12.1</v>
      </c>
      <c r="H11" s="471">
        <v>12.1</v>
      </c>
      <c r="I11" s="422">
        <f>[22]Brewhouse!$AS353</f>
        <v>98.626177673601688</v>
      </c>
      <c r="J11" s="422">
        <f>[22]Brewhouse!$AT353</f>
        <v>100.51784967755239</v>
      </c>
      <c r="K11" s="281">
        <f>[22]Brewhouse!$Q353</f>
        <v>11.923076923076916</v>
      </c>
      <c r="L11" s="276">
        <f>[22]Brewhouse!$P353</f>
        <v>59</v>
      </c>
      <c r="M11" s="374">
        <f>[22]Brewhouse!$U353-[22]Brewhouse!$T353</f>
        <v>0.10972222222222222</v>
      </c>
      <c r="N11" s="370">
        <f>[22]Brewhouse!$AW353</f>
        <v>0.25069444444444444</v>
      </c>
      <c r="O11" s="423" t="str">
        <f>[22]Brewhouse!$AV353</f>
        <v>R.Sookram</v>
      </c>
      <c r="P11" s="418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[22]Brewhouse!$A354</f>
        <v>ST333</v>
      </c>
      <c r="D12" s="279">
        <f>[22]Brewhouse!$AD354</f>
        <v>51.6</v>
      </c>
      <c r="E12" s="279">
        <f>[22]Brewhouse!$AG354</f>
        <v>51.1</v>
      </c>
      <c r="F12" s="278">
        <f>[22]Brewhouse!$V354</f>
        <v>66</v>
      </c>
      <c r="G12" s="279">
        <f>[22]Brewhouse!$AE354</f>
        <v>11.8</v>
      </c>
      <c r="H12" s="396">
        <v>11.8</v>
      </c>
      <c r="I12" s="422">
        <f>[22]Brewhouse!$AS354</f>
        <v>99.286195716080925</v>
      </c>
      <c r="J12" s="422">
        <f>[22]Brewhouse!$AT354</f>
        <v>101.18991147940805</v>
      </c>
      <c r="K12" s="281">
        <f>[22]Brewhouse!$Q354</f>
        <v>12.94559099437148</v>
      </c>
      <c r="L12" s="276">
        <f>[22]Brewhouse!$P354</f>
        <v>57</v>
      </c>
      <c r="M12" s="374">
        <f>[22]Brewhouse!$U354-[22]Brewhouse!$T354</f>
        <v>0.1166666666666667</v>
      </c>
      <c r="N12" s="370">
        <f>[22]Brewhouse!$AW354</f>
        <v>0.25555555555555554</v>
      </c>
      <c r="O12" s="423" t="str">
        <f>[22]Brewhouse!$AV354</f>
        <v>R.Sookram</v>
      </c>
      <c r="P12" s="418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[22]Brewhouse!$A355</f>
        <v>ST334</v>
      </c>
      <c r="D13" s="279">
        <f>[22]Brewhouse!$AD355</f>
        <v>49.5</v>
      </c>
      <c r="E13" s="279">
        <f>[22]Brewhouse!$AG355</f>
        <v>49.2</v>
      </c>
      <c r="F13" s="278">
        <f>[22]Brewhouse!$V355</f>
        <v>62</v>
      </c>
      <c r="G13" s="279">
        <f>[22]Brewhouse!$AE355</f>
        <v>11.9</v>
      </c>
      <c r="H13" s="396">
        <v>11.9</v>
      </c>
      <c r="I13" s="422">
        <f>[22]Brewhouse!$AS355</f>
        <v>96.567361522018899</v>
      </c>
      <c r="J13" s="422">
        <f>[22]Brewhouse!$AT355</f>
        <v>98.418346128328878</v>
      </c>
      <c r="K13" s="281">
        <f>[22]Brewhouse!$Q355</f>
        <v>13.80597014925373</v>
      </c>
      <c r="L13" s="276">
        <f>[22]Brewhouse!$P355</f>
        <v>58</v>
      </c>
      <c r="M13" s="374">
        <f>[22]Brewhouse!$U355-[22]Brewhouse!$T355</f>
        <v>0.11249999999999993</v>
      </c>
      <c r="N13" s="370">
        <f>[22]Brewhouse!$AW355</f>
        <v>0.24374999999999997</v>
      </c>
      <c r="O13" s="423" t="str">
        <f>[22]Brewhouse!$AV355</f>
        <v>R.Sookram</v>
      </c>
      <c r="P13" s="418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[22]Brewhouse!$A356</f>
        <v>ST335</v>
      </c>
      <c r="D14" s="279">
        <f>[22]Brewhouse!$AD356</f>
        <v>51.2</v>
      </c>
      <c r="E14" s="279">
        <f>[22]Brewhouse!$AG356</f>
        <v>50.6</v>
      </c>
      <c r="F14" s="278">
        <f>[22]Brewhouse!$V356</f>
        <v>57</v>
      </c>
      <c r="G14" s="279">
        <f>[22]Brewhouse!$AE356</f>
        <v>11.9</v>
      </c>
      <c r="H14" s="396">
        <v>11.9</v>
      </c>
      <c r="I14" s="422">
        <f>[22]Brewhouse!$AS356</f>
        <v>99.68944278657402</v>
      </c>
      <c r="J14" s="422">
        <f>[22]Brewhouse!$AT356</f>
        <v>101.59840283575612</v>
      </c>
      <c r="K14" s="281">
        <f>[22]Brewhouse!$Q356</f>
        <v>14.65677179962894</v>
      </c>
      <c r="L14" s="276">
        <f>[22]Brewhouse!$P356</f>
        <v>59</v>
      </c>
      <c r="M14" s="374">
        <f>[22]Brewhouse!$U356-[22]Brewhouse!$T356</f>
        <v>0.11249999999999993</v>
      </c>
      <c r="N14" s="370">
        <f>[22]Brewhouse!$AW356</f>
        <v>0.24305555555555552</v>
      </c>
      <c r="O14" s="423" t="str">
        <f>[22]Brewhouse!$AV356</f>
        <v>R.Sookram</v>
      </c>
      <c r="P14" s="418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[22]Brewhouse!$A357</f>
        <v>ST336</v>
      </c>
      <c r="D15" s="279">
        <f>[22]Brewhouse!$AD357</f>
        <v>50.9</v>
      </c>
      <c r="E15" s="279">
        <f>[22]Brewhouse!$AG357</f>
        <v>50.6</v>
      </c>
      <c r="F15" s="278">
        <f>[22]Brewhouse!$V357</f>
        <v>57</v>
      </c>
      <c r="G15" s="279">
        <f>[22]Brewhouse!$AE357</f>
        <v>11.9</v>
      </c>
      <c r="H15" s="396">
        <v>12</v>
      </c>
      <c r="I15" s="422">
        <f>[22]Brewhouse!$AS357</f>
        <v>99.564386645320724</v>
      </c>
      <c r="J15" s="422">
        <f>[22]Brewhouse!$AT357</f>
        <v>101.47157542734936</v>
      </c>
      <c r="K15" s="281">
        <f>[22]Brewhouse!$Q357</f>
        <v>14.981273408239701</v>
      </c>
      <c r="L15" s="276">
        <f>[22]Brewhouse!$P357</f>
        <v>61</v>
      </c>
      <c r="M15" s="374">
        <f>[22]Brewhouse!$U357-[22]Brewhouse!$T357</f>
        <v>0.11388888888888893</v>
      </c>
      <c r="N15" s="370">
        <f>[22]Brewhouse!$AW357</f>
        <v>0.2416666666666667</v>
      </c>
      <c r="O15" s="423" t="str">
        <f>[22]Brewhouse!$AV357</f>
        <v>K. Benjamin</v>
      </c>
      <c r="P15" s="418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[22]Brewhouse!$A358</f>
        <v>ST337</v>
      </c>
      <c r="D16" s="279">
        <f>[22]Brewhouse!$AD358</f>
        <v>49.9</v>
      </c>
      <c r="E16" s="279">
        <f>[22]Brewhouse!$AG358</f>
        <v>49.6</v>
      </c>
      <c r="F16" s="278">
        <f>[22]Brewhouse!$V358</f>
        <v>60</v>
      </c>
      <c r="G16" s="279">
        <f>[22]Brewhouse!$AE358</f>
        <v>12</v>
      </c>
      <c r="H16" s="396">
        <v>11.9</v>
      </c>
      <c r="I16" s="422">
        <f>[22]Brewhouse!$AS358</f>
        <v>98.706657837081977</v>
      </c>
      <c r="J16" s="422">
        <f>[22]Brewhouse!$AT358</f>
        <v>100.59617885145933</v>
      </c>
      <c r="K16" s="281">
        <f>[22]Brewhouse!$Q358</f>
        <v>14.071294559099426</v>
      </c>
      <c r="L16" s="276">
        <f>[22]Brewhouse!$P358</f>
        <v>62</v>
      </c>
      <c r="M16" s="374">
        <f>[22]Brewhouse!$U358-[22]Brewhouse!$T358</f>
        <v>0.11180555555555549</v>
      </c>
      <c r="N16" s="370">
        <f>[22]Brewhouse!$AW358</f>
        <v>0.24374999999999991</v>
      </c>
      <c r="O16" s="423" t="str">
        <f>[22]Brewhouse!$AV358</f>
        <v>K. Benjamin</v>
      </c>
      <c r="P16" s="418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33" t="s">
        <v>9</v>
      </c>
      <c r="C17" s="366" t="str">
        <f>[22]Brewhouse!$A359</f>
        <v>ST338</v>
      </c>
      <c r="D17" s="279">
        <f>[22]Brewhouse!$AD359</f>
        <v>49.7</v>
      </c>
      <c r="E17" s="279">
        <f>[22]Brewhouse!$AG359</f>
        <v>49.9</v>
      </c>
      <c r="F17" s="278">
        <f>[22]Brewhouse!$V359</f>
        <v>56</v>
      </c>
      <c r="G17" s="279">
        <f>[22]Brewhouse!$AE359</f>
        <v>12</v>
      </c>
      <c r="H17" s="396">
        <v>12</v>
      </c>
      <c r="I17" s="422">
        <f>[22]Brewhouse!$AS359</f>
        <v>98.93042550475694</v>
      </c>
      <c r="J17" s="422">
        <f>[22]Brewhouse!$AT359</f>
        <v>100.8260884785187</v>
      </c>
      <c r="K17" s="281">
        <f>[22]Brewhouse!$Q359</f>
        <v>13.493530499075778</v>
      </c>
      <c r="L17" s="276">
        <f>[22]Brewhouse!$P359</f>
        <v>61</v>
      </c>
      <c r="M17" s="374">
        <f>[22]Brewhouse!$U359-[22]Brewhouse!$T359</f>
        <v>0.10972222222222228</v>
      </c>
      <c r="N17" s="370">
        <f>[22]Brewhouse!$AW359</f>
        <v>0.23819444444444449</v>
      </c>
      <c r="O17" s="423" t="str">
        <f>[22]Brewhouse!$AV359</f>
        <v>K. Benjamin</v>
      </c>
      <c r="P17" s="418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22"/>
      <c r="J18" s="422"/>
      <c r="K18" s="281"/>
      <c r="L18" s="276"/>
      <c r="M18" s="374"/>
      <c r="N18" s="370"/>
      <c r="O18" s="423"/>
      <c r="P18" s="418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29" t="s">
        <v>6</v>
      </c>
      <c r="C19" s="366" t="str">
        <f>[24]Brewhouse!$A733</f>
        <v>CA625</v>
      </c>
      <c r="D19" s="279">
        <f>[24]Brewhouse!$AF733</f>
        <v>49.4</v>
      </c>
      <c r="E19" s="279">
        <f>[24]Brewhouse!$AI733</f>
        <v>47</v>
      </c>
      <c r="F19" s="278">
        <f>[24]Brewhouse!$V733</f>
        <v>54</v>
      </c>
      <c r="G19" s="279">
        <f>[24]Brewhouse!AG733</f>
        <v>12</v>
      </c>
      <c r="H19" s="396">
        <v>11.9</v>
      </c>
      <c r="I19" s="368">
        <f>[24]Brewhouse!$AU733</f>
        <v>92.804231078083191</v>
      </c>
      <c r="J19" s="368">
        <f>[24]Brewhouse!$AV733</f>
        <v>94.951238440677528</v>
      </c>
      <c r="K19" s="281">
        <f>[24]Brewhouse!$Q733</f>
        <v>9.7570093457943905</v>
      </c>
      <c r="L19" s="276">
        <f>[24]Brewhouse!$P733</f>
        <v>63</v>
      </c>
      <c r="M19" s="397">
        <f>[24]Brewhouse!$U733-[24]Brewhouse!$T733</f>
        <v>0.10624999999999996</v>
      </c>
      <c r="N19" s="370">
        <f>[24]Brewhouse!$Z733</f>
        <v>0.23263888888888884</v>
      </c>
      <c r="O19" s="423" t="str">
        <f>[24]Brewhouse!$AX733</f>
        <v>K.Benjamin</v>
      </c>
      <c r="P19" s="418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.75" customHeight="1">
      <c r="B20" s="29" t="s">
        <v>6</v>
      </c>
      <c r="C20" s="366" t="str">
        <f>[24]Brewhouse!$A734</f>
        <v>CA626</v>
      </c>
      <c r="D20" s="279">
        <f>[24]Brewhouse!$AF734</f>
        <v>52</v>
      </c>
      <c r="E20" s="279">
        <f>[24]Brewhouse!$AI734</f>
        <v>51.5</v>
      </c>
      <c r="F20" s="278">
        <f>[24]Brewhouse!$V734</f>
        <v>60</v>
      </c>
      <c r="G20" s="279">
        <f>[24]Brewhouse!AG734</f>
        <v>11.6</v>
      </c>
      <c r="H20" s="396">
        <v>11.7</v>
      </c>
      <c r="I20" s="368">
        <f>[24]Brewhouse!$AU734</f>
        <v>97.518932621613743</v>
      </c>
      <c r="J20" s="368">
        <f>[24]Brewhouse!$AV734</f>
        <v>99.775636056332289</v>
      </c>
      <c r="K20" s="281">
        <f>[24]Brewhouse!$Q734</f>
        <v>9.7132616487455117</v>
      </c>
      <c r="L20" s="276">
        <f>[24]Brewhouse!$P734</f>
        <v>60</v>
      </c>
      <c r="M20" s="397">
        <f>[24]Brewhouse!$U734-[24]Brewhouse!$T734</f>
        <v>0.10902777777777795</v>
      </c>
      <c r="N20" s="370">
        <f>[24]Brewhouse!$Z734</f>
        <v>0.24097222222222225</v>
      </c>
      <c r="O20" s="423" t="str">
        <f>[24]Brewhouse!$AX734</f>
        <v>R. Regis</v>
      </c>
      <c r="P20" s="418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1:27" ht="15.75" customHeight="1">
      <c r="B21" s="29" t="s">
        <v>6</v>
      </c>
      <c r="C21" s="366" t="str">
        <f>[24]Brewhouse!$A735</f>
        <v>CA627</v>
      </c>
      <c r="D21" s="279">
        <f>[24]Brewhouse!$AF735</f>
        <v>51.6</v>
      </c>
      <c r="E21" s="279">
        <f>[24]Brewhouse!$AI735</f>
        <v>50.1</v>
      </c>
      <c r="F21" s="278">
        <f>[24]Brewhouse!$V735</f>
        <v>60</v>
      </c>
      <c r="G21" s="279">
        <f>[24]Brewhouse!AG735</f>
        <v>11.7</v>
      </c>
      <c r="H21" s="396">
        <v>11.8</v>
      </c>
      <c r="I21" s="368">
        <f>[24]Brewhouse!$AU735</f>
        <v>95.319316778775942</v>
      </c>
      <c r="J21" s="368">
        <f>[24]Brewhouse!$AV735</f>
        <v>97.434147452140053</v>
      </c>
      <c r="K21" s="281">
        <f>[24]Brewhouse!$Q735</f>
        <v>7.9927667269439322</v>
      </c>
      <c r="L21" s="276">
        <f>[24]Brewhouse!$P735</f>
        <v>61</v>
      </c>
      <c r="M21" s="397">
        <f>[24]Brewhouse!$U735-[24]Brewhouse!$T735</f>
        <v>0.10486111111111129</v>
      </c>
      <c r="N21" s="370">
        <f>[24]Brewhouse!$Z735</f>
        <v>0.23958333333333348</v>
      </c>
      <c r="O21" s="423" t="str">
        <f>[24]Brewhouse!$AX735</f>
        <v>R. Regis</v>
      </c>
      <c r="P21" s="418"/>
      <c r="R21" s="277" t="str">
        <f t="shared" si="0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1:27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29"/>
      <c r="J24" s="529"/>
      <c r="K24" s="529"/>
      <c r="L24" s="529"/>
      <c r="M24" s="529"/>
      <c r="N24" s="529"/>
      <c r="O24" s="1"/>
      <c r="P24" s="12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thickBot="1">
      <c r="B25" s="388" t="s">
        <v>162</v>
      </c>
      <c r="C25" s="388"/>
      <c r="D25" s="542" t="s">
        <v>35</v>
      </c>
      <c r="E25" s="543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" customHeight="1">
      <c r="A26" s="28"/>
      <c r="B26" s="583"/>
      <c r="C26" s="362"/>
      <c r="D26" s="533"/>
      <c r="E26" s="522"/>
      <c r="F26" s="294"/>
      <c r="G26" s="294"/>
      <c r="H26" s="348"/>
      <c r="I26" s="29" t="s">
        <v>6</v>
      </c>
      <c r="J26" s="280">
        <f>AVERAGE(I19:I21)</f>
        <v>95.214160159490959</v>
      </c>
      <c r="K26" s="284">
        <f>COUNTA([24]Brewhouse!$A$655:$A$735)</f>
        <v>81</v>
      </c>
      <c r="L26" s="305">
        <f>AVERAGE([24]Brewhouse!$AU$655:$AU$735)</f>
        <v>96.590464007877202</v>
      </c>
      <c r="M26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$735)</f>
        <v>97.711651937886302</v>
      </c>
      <c r="N26" s="30">
        <v>98</v>
      </c>
      <c r="O26" s="11"/>
      <c r="P26" s="31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84"/>
      <c r="C27" s="362"/>
      <c r="D27" s="534"/>
      <c r="E27" s="517"/>
      <c r="F27" s="294"/>
      <c r="G27" s="294"/>
      <c r="H27" s="348"/>
      <c r="I27" s="33" t="s">
        <v>9</v>
      </c>
      <c r="J27" s="280">
        <f>AVERAGE(I10:I17)</f>
        <v>98.452661742289024</v>
      </c>
      <c r="K27" s="284">
        <f>COUNTA([22]Brewhouse!$A$324:$A$359)</f>
        <v>36</v>
      </c>
      <c r="L27" s="302">
        <f>AVERAGE([22]Brewhouse!$AS$324:$AS$359)</f>
        <v>98.059965040755458</v>
      </c>
      <c r="M27" s="302">
        <f>AVERAGE([22]Brewhouse!$AS$15:$AS$64,[22]Brewhouse!$AS$66:$AS$103,[22]Brewhouse!$AS$105:$AS$140,[22]Brewhouse!$AS$142:$AS$193,[22]Brewhouse!$AS$195:$AS$240,[22]Brewhouse!$AS$242:$AS$273,[22]Brewhouse!$AS$275:$AS$322,[22]Brewhouse!$AS$324:$AS$359)</f>
        <v>98.065489639180555</v>
      </c>
      <c r="N27" s="30">
        <v>98</v>
      </c>
      <c r="O27" s="11"/>
      <c r="P27" s="31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4.65" customHeight="1">
      <c r="A28" s="28"/>
      <c r="B28" s="584"/>
      <c r="C28" s="362"/>
      <c r="D28" s="533"/>
      <c r="E28" s="522"/>
      <c r="F28" s="294"/>
      <c r="G28" s="294"/>
      <c r="H28" s="348"/>
      <c r="I28" s="34" t="s">
        <v>12</v>
      </c>
      <c r="J28" s="280"/>
      <c r="K28" s="284">
        <f>COUNTA([25]Brewhouse!$A$81:$A$84)</f>
        <v>4</v>
      </c>
      <c r="L28" s="302">
        <f>AVERAGE([25]Brewhouse!$AU$81:$AU$84)</f>
        <v>96.0203759926994</v>
      </c>
      <c r="M28" s="302">
        <f>AVERAGE([25]Brewhouse!$AU$4:$AU$7,[25]Brewhouse!$AU$9:$AU$22,[25]Brewhouse!$AU$24:$AU$35,[25]Brewhouse!$AU$37:$AU$45,[25]Brewhouse!$AU$47:$AU$62,[25]Brewhouse!$AU$64:$AU$79,[25]Brewhouse!$AU$81:$AU$83)</f>
        <v>96.977065126843257</v>
      </c>
      <c r="N28" s="30">
        <v>98</v>
      </c>
      <c r="O28" s="11"/>
      <c r="P28" s="31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84"/>
      <c r="C29" s="362"/>
      <c r="D29" s="534"/>
      <c r="E29" s="517"/>
      <c r="F29" s="294"/>
      <c r="G29" s="294"/>
      <c r="H29" s="348"/>
      <c r="I29" s="22" t="s">
        <v>33</v>
      </c>
      <c r="J29" s="280"/>
      <c r="K29" s="284">
        <f>COUNTA([26]Brewhouse!$A$64:$A$77)</f>
        <v>14</v>
      </c>
      <c r="L29" s="302">
        <f>AVERAGE([26]Brewhouse!$AV$64:$AV$77)</f>
        <v>97.585594897114063</v>
      </c>
      <c r="M29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29" s="30">
        <v>98</v>
      </c>
      <c r="O29" s="11"/>
      <c r="P29" s="31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84"/>
      <c r="C30" s="362"/>
      <c r="D30" s="533"/>
      <c r="E30" s="522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7" ht="14.65" customHeight="1">
      <c r="A31" s="28"/>
      <c r="B31" s="584"/>
      <c r="C31" s="362"/>
      <c r="D31" s="534"/>
      <c r="E31" s="517"/>
      <c r="F31" s="417"/>
      <c r="G31" s="294"/>
      <c r="H31" s="348"/>
      <c r="I31" s="36" t="s">
        <v>15</v>
      </c>
      <c r="J31" s="323"/>
      <c r="K31" s="284"/>
      <c r="L31" s="302"/>
      <c r="M31" s="302">
        <f>AVERAGE([27]Brewhouse!$AT$4:$AT$11,[27]Brewhouse!$AT$13:$AT$16,[27]Brewhouse!$AT$18:$AT$21,[27]Brewhouse!$AT$26)</f>
        <v>94.588057846623641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65" customHeight="1">
      <c r="A32" s="28"/>
      <c r="B32" s="584"/>
      <c r="C32" s="362"/>
      <c r="D32" s="533"/>
      <c r="E32" s="522"/>
      <c r="F32" s="417"/>
      <c r="G32" s="294"/>
      <c r="H32" s="348"/>
      <c r="I32" s="37" t="s">
        <v>16</v>
      </c>
      <c r="J32" s="323"/>
      <c r="K32" s="284"/>
      <c r="L32" s="302"/>
      <c r="M32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2" s="30">
        <v>98</v>
      </c>
      <c r="O32" s="11"/>
      <c r="P32" s="31" t="s">
        <v>41</v>
      </c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84"/>
      <c r="C33" s="362"/>
      <c r="D33" s="534"/>
      <c r="E33" s="517"/>
      <c r="F33" s="294"/>
      <c r="G33" s="294"/>
      <c r="H33" s="348"/>
      <c r="I33" s="411" t="s">
        <v>158</v>
      </c>
      <c r="J33" s="326"/>
      <c r="K33" s="284"/>
      <c r="L33" s="305"/>
      <c r="M33" s="305">
        <f>AVERAGE([28]Brewhouse!$AU$5:$AU$8,[28]Brewhouse!$AU$10:$AU$13)</f>
        <v>94.247666625193744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84"/>
      <c r="C34" s="349"/>
      <c r="D34" s="533"/>
      <c r="E34" s="522"/>
      <c r="F34" s="294"/>
      <c r="G34" s="294"/>
      <c r="H34" s="348"/>
      <c r="I34" s="410" t="s">
        <v>157</v>
      </c>
      <c r="J34" s="326"/>
      <c r="K34" s="284"/>
      <c r="L34" s="305"/>
      <c r="M34" s="305">
        <f>AVERAGE([29]Brewhouse!$AW$26:$AW$27)</f>
        <v>95.310680905194914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584"/>
      <c r="C35" s="349"/>
      <c r="D35" s="534"/>
      <c r="E35" s="517"/>
      <c r="F35" s="294"/>
      <c r="G35" s="294"/>
      <c r="H35" s="348"/>
      <c r="I35" s="406" t="s">
        <v>156</v>
      </c>
      <c r="J35" s="327"/>
      <c r="K35" s="407"/>
      <c r="L35" s="408"/>
      <c r="M35" s="408">
        <f>AVERAGE([30]Brewhouse!$AU$13:$AU$14)</f>
        <v>97.110575243268045</v>
      </c>
      <c r="N35" s="409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84"/>
      <c r="C36" s="349"/>
      <c r="D36" s="533"/>
      <c r="E36" s="522"/>
      <c r="F36" s="294"/>
      <c r="G36" s="294"/>
      <c r="H36" s="348"/>
      <c r="I36" s="1"/>
      <c r="J36" s="39"/>
      <c r="K36" s="404">
        <f>SUM(K26:K35)</f>
        <v>135</v>
      </c>
      <c r="L36" s="405">
        <f>((L26*K26)+(L27*K27)+(L28*K28)+(L29*K29)+(L30*K30)+(K33*L33)+(L31*K31)+(L32*K32)+(L35*K35))/(K36)</f>
        <v>97.068638212115872</v>
      </c>
      <c r="M36" s="405">
        <f>AVERAGE('[31]Jan 31st'!$L$65,'[32]Feb 28th'!$L$35,'[33]Mar. 31st'!$L$35,'[34]Apr. 30th'!$L$45,'[35]May 30th'!$L$37,'[36]June 30th'!$L$57,L36)</f>
        <v>97.574364101311104</v>
      </c>
      <c r="N36" s="4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.75" thickBot="1">
      <c r="B37" s="585"/>
      <c r="C37" s="350"/>
      <c r="D37" s="534"/>
      <c r="E37" s="517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93"/>
      <c r="C38" s="362"/>
      <c r="D38" s="514"/>
      <c r="E38" s="515"/>
      <c r="F38" s="294"/>
      <c r="G38" s="42"/>
      <c r="H38" s="41"/>
      <c r="I38" s="42"/>
      <c r="J38" s="569" t="s">
        <v>129</v>
      </c>
      <c r="K38" s="569"/>
      <c r="L38" s="294"/>
      <c r="M38" s="294"/>
      <c r="N38" s="294"/>
      <c r="O38" s="294"/>
      <c r="P38" s="12"/>
    </row>
    <row r="39" spans="1:56" ht="15.75" thickBot="1">
      <c r="B39" s="584"/>
      <c r="C39" s="362"/>
      <c r="D39" s="516"/>
      <c r="E39" s="517"/>
      <c r="F39" s="294"/>
      <c r="G39" s="42"/>
      <c r="H39" s="41"/>
      <c r="I39" s="42"/>
      <c r="J39" s="292" t="s">
        <v>17</v>
      </c>
      <c r="K39" s="293" t="s">
        <v>147</v>
      </c>
      <c r="L39" s="519" t="s">
        <v>136</v>
      </c>
      <c r="M39" s="519"/>
      <c r="N39" s="520"/>
      <c r="O39" s="294"/>
      <c r="P39" s="12"/>
    </row>
    <row r="40" spans="1:56" ht="15" customHeight="1" thickBot="1">
      <c r="B40" s="584"/>
      <c r="C40" s="349"/>
      <c r="D40" s="570"/>
      <c r="E40" s="571"/>
      <c r="F40" s="294"/>
      <c r="G40" s="42"/>
      <c r="H40" s="41"/>
      <c r="I40" s="42"/>
      <c r="J40" s="287" t="s">
        <v>6</v>
      </c>
      <c r="K40" s="324">
        <f>COUNTA(B19:B21)</f>
        <v>3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84"/>
      <c r="C41" s="349"/>
      <c r="D41" s="516"/>
      <c r="E41" s="517"/>
      <c r="F41" s="294"/>
      <c r="G41" s="42"/>
      <c r="H41" s="41"/>
      <c r="I41" s="42"/>
      <c r="J41" s="345" t="s">
        <v>9</v>
      </c>
      <c r="K41" s="324">
        <f>COUNTA(B10:B17)</f>
        <v>8</v>
      </c>
      <c r="L41" s="344">
        <f>AVERAGE('Aug 4th '!K58,'Aug 5th '!K58,'Aug 6th '!K58,'Aug 7th '!K58,'Aug 8th '!K48,'Aug 13th'!K52,'Aug 14th'!K51,'Aug 15th-16th'!J57,'Aug 15th-16th'!K57,'Aug 18th'!K54,'Aug 19th'!K56,'Aug 20th'!K59,'Aug 22nd-23rd'!J53,'Aug 22nd-23rd'!K53,'Aug 25th'!K53,'Aug 26th'!K49,'Aug 27th'!K50)</f>
        <v>7.5294117647058822</v>
      </c>
      <c r="M41" s="325">
        <f>AVERAGE('[31]Jan 29th '!$M$70,'[32]Feb 28th'!$L$40,'[33]Mar. 31st'!$L$40,'[34]Apr. 30th'!$L$50,'[35]May 30th'!$L$42,'[36]June 30th'!$L$62,'[37]July 29th '!$L$49,L41)</f>
        <v>6.9807910798538737</v>
      </c>
      <c r="N41" s="416">
        <v>9.1999999999999993</v>
      </c>
      <c r="O41" s="294"/>
      <c r="P41" s="12"/>
    </row>
    <row r="42" spans="1:56" ht="15" customHeight="1">
      <c r="B42" s="584"/>
      <c r="C42" s="349"/>
      <c r="D42" s="570"/>
      <c r="E42" s="571"/>
      <c r="F42" s="294"/>
      <c r="G42" s="42"/>
      <c r="H42" s="41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84"/>
      <c r="C43" s="349"/>
      <c r="D43" s="516"/>
      <c r="E43" s="517"/>
      <c r="F43" s="294"/>
      <c r="G43" s="42"/>
      <c r="H43" s="41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84"/>
      <c r="C44" s="349"/>
      <c r="D44" s="570"/>
      <c r="E44" s="571"/>
      <c r="F44" s="294"/>
      <c r="G44" s="42"/>
      <c r="H44" s="41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84"/>
      <c r="C45" s="349"/>
      <c r="D45" s="516"/>
      <c r="E45" s="517"/>
      <c r="F45" s="294"/>
      <c r="G45" s="42"/>
      <c r="H45" s="41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84"/>
      <c r="C46" s="349"/>
      <c r="D46" s="570"/>
      <c r="E46" s="571"/>
      <c r="F46" s="294"/>
      <c r="G46" s="42"/>
      <c r="H46" s="41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85"/>
      <c r="C47" s="350"/>
      <c r="D47" s="572"/>
      <c r="E47" s="573"/>
      <c r="F47" s="294"/>
      <c r="G47" s="42"/>
      <c r="H47" s="41"/>
      <c r="I47" s="42"/>
      <c r="J47" s="291" t="s">
        <v>148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74" t="e">
        <f>AVERAGE(D26:E47)</f>
        <v>#DIV/0!</v>
      </c>
      <c r="E48" s="575"/>
      <c r="F48" s="294"/>
      <c r="H48" s="41"/>
      <c r="I48" s="42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1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1"/>
      <c r="I50" s="42"/>
      <c r="J50" s="346" t="s">
        <v>130</v>
      </c>
      <c r="K50" s="324">
        <f>SUM(K40:K49)</f>
        <v>11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495" t="s">
        <v>17</v>
      </c>
      <c r="C53" s="495" t="s">
        <v>44</v>
      </c>
      <c r="D53" s="507" t="s">
        <v>45</v>
      </c>
      <c r="E53" s="509" t="s">
        <v>46</v>
      </c>
      <c r="F53" s="503" t="s">
        <v>47</v>
      </c>
      <c r="G53" s="493" t="s">
        <v>48</v>
      </c>
      <c r="H53" s="495" t="s">
        <v>49</v>
      </c>
      <c r="I53" s="495" t="s">
        <v>50</v>
      </c>
      <c r="J53" s="487" t="s">
        <v>28</v>
      </c>
      <c r="K53" s="499" t="s">
        <v>51</v>
      </c>
      <c r="L53" s="501" t="s">
        <v>52</v>
      </c>
      <c r="M53" s="487" t="s">
        <v>53</v>
      </c>
      <c r="N53" s="13"/>
      <c r="O53" s="13"/>
      <c r="P53" s="50"/>
    </row>
    <row r="54" spans="2:57" ht="28.5" customHeight="1" thickTop="1" thickBot="1">
      <c r="B54" s="496"/>
      <c r="C54" s="496"/>
      <c r="D54" s="508"/>
      <c r="E54" s="510"/>
      <c r="F54" s="504"/>
      <c r="G54" s="494"/>
      <c r="H54" s="496"/>
      <c r="I54" s="496"/>
      <c r="J54" s="488"/>
      <c r="K54" s="500"/>
      <c r="L54" s="502"/>
      <c r="M54" s="488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9.45" customHeight="1" thickBot="1">
      <c r="B55" s="475"/>
      <c r="C55" s="445"/>
      <c r="D55" s="446"/>
      <c r="E55" s="447"/>
      <c r="F55" s="448"/>
      <c r="G55" s="449"/>
      <c r="H55" s="450"/>
      <c r="I55" s="451"/>
      <c r="J55" s="452"/>
      <c r="K55" s="453"/>
      <c r="L55" s="464" t="e">
        <f>(((D55+E55)-G55)/(D55+E55))*100</f>
        <v>#DIV/0!</v>
      </c>
      <c r="M55" s="46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[20]January_2019!L7</f>
        <v>285.8</v>
      </c>
      <c r="AC55" s="57">
        <f>[20]January_2019!M7</f>
        <v>508.1</v>
      </c>
      <c r="AD55" s="57">
        <f>[20]January_2019!N7</f>
        <v>0</v>
      </c>
      <c r="AE55" s="57">
        <f>[20]January_2019!O7</f>
        <v>0</v>
      </c>
      <c r="AF55" s="57">
        <f>[20]January_2019!P7</f>
        <v>109.56666666666666</v>
      </c>
      <c r="AG55" s="57">
        <f>[20]January_2019!Q7</f>
        <v>297.64999999999998</v>
      </c>
      <c r="AH55" s="57">
        <f>[20]January_2019!R7</f>
        <v>122.3</v>
      </c>
      <c r="AI55" s="57">
        <f>[20]January_2019!S7</f>
        <v>0</v>
      </c>
      <c r="AJ55" s="57">
        <f>[20]January_2019!T7</f>
        <v>294.7</v>
      </c>
      <c r="AK55" s="57">
        <f>[20]January_2019!U7</f>
        <v>280.5</v>
      </c>
      <c r="AL55" s="57">
        <f>[20]January_2019!V7</f>
        <v>0</v>
      </c>
      <c r="AM55" s="57">
        <f>[20]January_2019!W7</f>
        <v>0</v>
      </c>
      <c r="AN55" s="57">
        <f>[20]January_2019!X7</f>
        <v>188.25</v>
      </c>
      <c r="AO55" s="57">
        <f>[20]January_2019!Y7</f>
        <v>295.7</v>
      </c>
      <c r="AP55" s="57">
        <f>[20]January_2019!Z7</f>
        <v>257.8</v>
      </c>
      <c r="AQ55" s="57">
        <f>[20]January_2019!AA7</f>
        <v>291.2</v>
      </c>
      <c r="AR55" s="57">
        <f>[20]January_2019!AB7</f>
        <v>187</v>
      </c>
      <c r="AS55" s="57">
        <f>[20]January_2019!AC7</f>
        <v>0</v>
      </c>
      <c r="AT55" s="57">
        <f>[20]January_2019!AD7</f>
        <v>0</v>
      </c>
      <c r="AU55" s="57">
        <f>[20]January_2019!AE7</f>
        <v>485.1</v>
      </c>
      <c r="AV55" s="57">
        <f>[20]January_2019!AF7</f>
        <v>171.55</v>
      </c>
      <c r="AW55" s="57">
        <f>[20]January_2019!AG7</f>
        <v>423.8</v>
      </c>
      <c r="AX55" s="277">
        <f>[20]January_2019!AH7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20.45" hidden="1" customHeight="1" thickBot="1">
      <c r="B56" s="469"/>
      <c r="C56" s="434"/>
      <c r="D56" s="435"/>
      <c r="E56" s="436"/>
      <c r="F56" s="437"/>
      <c r="G56" s="438"/>
      <c r="H56" s="439"/>
      <c r="I56" s="454"/>
      <c r="J56" s="455"/>
      <c r="K56" s="440"/>
      <c r="L56" s="456"/>
      <c r="M56" s="42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59.45" hidden="1" customHeight="1" thickBot="1">
      <c r="B57" s="475"/>
      <c r="C57" s="445"/>
      <c r="D57" s="446"/>
      <c r="E57" s="447"/>
      <c r="F57" s="448"/>
      <c r="G57" s="449"/>
      <c r="H57" s="450"/>
      <c r="I57" s="451"/>
      <c r="J57" s="452"/>
      <c r="K57" s="453"/>
      <c r="L57" s="466" t="e">
        <f>(((D57+E57)-G57)/(D57+E57))*100</f>
        <v>#DIV/0!</v>
      </c>
      <c r="M57" s="46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8"/>
      <c r="C58" s="434"/>
      <c r="D58" s="435"/>
      <c r="E58" s="436"/>
      <c r="F58" s="437"/>
      <c r="G58" s="438"/>
      <c r="H58" s="439"/>
      <c r="I58" s="454"/>
      <c r="J58" s="455"/>
      <c r="K58" s="440"/>
      <c r="L58" s="456"/>
      <c r="M58" s="42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6.6" hidden="1" customHeight="1" thickBot="1">
      <c r="B59" s="387"/>
      <c r="C59" s="445">
        <v>45873</v>
      </c>
      <c r="D59" s="446"/>
      <c r="E59" s="447"/>
      <c r="F59" s="448"/>
      <c r="G59" s="449"/>
      <c r="H59" s="450"/>
      <c r="I59" s="451"/>
      <c r="J59" s="452" t="s">
        <v>163</v>
      </c>
      <c r="K59" s="453"/>
      <c r="L59" s="459" t="e">
        <f>(((D59+E59)-G59)/(D59+E59))*100</f>
        <v>#DIV/0!</v>
      </c>
      <c r="M59" s="46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41"/>
      <c r="C60" s="427"/>
      <c r="D60" s="428"/>
      <c r="E60" s="429"/>
      <c r="F60" s="430"/>
      <c r="G60" s="431"/>
      <c r="H60" s="432"/>
      <c r="I60" s="442"/>
      <c r="J60" s="443"/>
      <c r="K60" s="433"/>
      <c r="L60" s="444"/>
      <c r="M60" s="426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489" t="s">
        <v>55</v>
      </c>
      <c r="C62" s="490"/>
      <c r="D62" s="490"/>
      <c r="E62" s="490"/>
      <c r="F62" s="491"/>
      <c r="G62" s="489" t="s">
        <v>56</v>
      </c>
      <c r="H62" s="490"/>
      <c r="I62" s="490"/>
      <c r="J62" s="491"/>
      <c r="K62" s="489" t="s">
        <v>51</v>
      </c>
      <c r="L62" s="490"/>
      <c r="M62" s="490"/>
      <c r="N62" s="492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/>
      <c r="D64" s="76">
        <v>4.931140364211239</v>
      </c>
      <c r="E64" s="76">
        <v>6.1957696007512126</v>
      </c>
      <c r="F64" s="66">
        <v>4.8</v>
      </c>
      <c r="G64" s="65"/>
      <c r="H64" s="76">
        <v>6.9340478782129695</v>
      </c>
      <c r="I64" s="76">
        <v>6.2615666585643188</v>
      </c>
      <c r="J64" s="66">
        <v>4.8</v>
      </c>
      <c r="K64" s="67"/>
      <c r="L64" s="194">
        <v>1.0756140350877192</v>
      </c>
      <c r="M64" s="194">
        <v>0.7684191168003327</v>
      </c>
      <c r="N64" s="68">
        <v>1</v>
      </c>
      <c r="O64" s="56"/>
      <c r="P64" s="69"/>
    </row>
    <row r="65" spans="2:16" ht="15">
      <c r="B65" s="33" t="s">
        <v>9</v>
      </c>
      <c r="C65" s="65"/>
      <c r="D65" s="76">
        <v>4.8352458838586454</v>
      </c>
      <c r="E65" s="76">
        <v>5.8467024060595829</v>
      </c>
      <c r="F65" s="66">
        <v>4.8</v>
      </c>
      <c r="G65" s="65"/>
      <c r="H65" s="76">
        <v>5.4081292916136592</v>
      </c>
      <c r="I65" s="76">
        <v>5.5174185987401785</v>
      </c>
      <c r="J65" s="66">
        <v>4.8</v>
      </c>
      <c r="K65" s="67"/>
      <c r="L65" s="194">
        <v>0.673187134502924</v>
      </c>
      <c r="M65" s="194">
        <v>0.75083800083487295</v>
      </c>
      <c r="N65" s="68">
        <v>1</v>
      </c>
      <c r="P65" s="69"/>
    </row>
    <row r="66" spans="2:16" ht="15">
      <c r="B66" s="34" t="s">
        <v>40</v>
      </c>
      <c r="C66" s="65"/>
      <c r="D66" s="76">
        <v>8.0382775119617147</v>
      </c>
      <c r="E66" s="76">
        <v>11.429743886837057</v>
      </c>
      <c r="F66" s="66">
        <v>5.5</v>
      </c>
      <c r="G66" s="65"/>
      <c r="H66" s="76">
        <v>10.370027728825649</v>
      </c>
      <c r="I66" s="76">
        <v>13.047305235287777</v>
      </c>
      <c r="J66" s="66">
        <v>5.5</v>
      </c>
      <c r="K66" s="67"/>
      <c r="L66" s="194">
        <v>0.67438596491228076</v>
      </c>
      <c r="M66" s="194">
        <v>0.55172216056233814</v>
      </c>
      <c r="N66" s="68">
        <v>1</v>
      </c>
      <c r="P66" s="69"/>
    </row>
    <row r="67" spans="2:16" ht="15">
      <c r="B67" s="22" t="s">
        <v>33</v>
      </c>
      <c r="C67" s="65"/>
      <c r="D67" s="76">
        <v>3.992015968063888</v>
      </c>
      <c r="E67" s="76">
        <v>4.8818566667667298</v>
      </c>
      <c r="F67" s="66">
        <v>3.3</v>
      </c>
      <c r="G67" s="65"/>
      <c r="H67" s="76">
        <v>4.3345910844408779</v>
      </c>
      <c r="I67" s="76">
        <v>4.7612385632312364</v>
      </c>
      <c r="J67" s="66">
        <v>3.3</v>
      </c>
      <c r="K67" s="67"/>
      <c r="L67" s="194">
        <v>1.016578947368421</v>
      </c>
      <c r="M67" s="194">
        <v>0.82603070175438598</v>
      </c>
      <c r="N67" s="68">
        <v>1</v>
      </c>
      <c r="P67" s="69"/>
    </row>
    <row r="68" spans="2:16" ht="15">
      <c r="B68" s="35" t="s">
        <v>165</v>
      </c>
      <c r="C68" s="65"/>
      <c r="D68" s="76"/>
      <c r="E68" s="76">
        <v>7.837301587301579</v>
      </c>
      <c r="F68" s="66">
        <v>3.3</v>
      </c>
      <c r="G68" s="282"/>
      <c r="H68" s="76"/>
      <c r="I68" s="76">
        <v>5.3377569154690221</v>
      </c>
      <c r="J68" s="66">
        <v>3</v>
      </c>
      <c r="K68" s="67"/>
      <c r="L68" s="194"/>
      <c r="M68" s="194">
        <v>0.32596491228070179</v>
      </c>
      <c r="N68" s="68">
        <v>1</v>
      </c>
      <c r="P68" s="69"/>
    </row>
    <row r="69" spans="2:16" ht="15">
      <c r="B69" s="36" t="s">
        <v>15</v>
      </c>
      <c r="C69" s="65"/>
      <c r="D69" s="76">
        <v>5.2552552552552552</v>
      </c>
      <c r="E69" s="76">
        <v>6.9158697961943529</v>
      </c>
      <c r="F69" s="70">
        <f>[21]May_2022!$M$43</f>
        <v>3.4878406700073312</v>
      </c>
      <c r="G69" s="282"/>
      <c r="H69" s="76">
        <v>6.7916330640214131</v>
      </c>
      <c r="I69" s="76">
        <v>8.5598888260252064</v>
      </c>
      <c r="J69" s="66">
        <v>5.5</v>
      </c>
      <c r="K69" s="67"/>
      <c r="L69" s="194">
        <v>0.66421052631578947</v>
      </c>
      <c r="M69" s="194">
        <v>0.60705263157894729</v>
      </c>
      <c r="N69" s="68">
        <v>1</v>
      </c>
      <c r="P69" s="69"/>
    </row>
    <row r="70" spans="2:16" ht="15">
      <c r="B70" s="37" t="s">
        <v>16</v>
      </c>
      <c r="C70" s="65"/>
      <c r="D70" s="76">
        <v>4.1414141414141357</v>
      </c>
      <c r="E70" s="76">
        <v>3.0301127264734369</v>
      </c>
      <c r="F70" s="66">
        <v>3.3</v>
      </c>
      <c r="G70" s="282"/>
      <c r="H70" s="76">
        <v>7.0415942868172152</v>
      </c>
      <c r="I70" s="76">
        <v>4.4974189022907662</v>
      </c>
      <c r="J70" s="66">
        <v>3.3</v>
      </c>
      <c r="K70" s="67"/>
      <c r="L70" s="194">
        <v>0.33298245614035088</v>
      </c>
      <c r="M70" s="194">
        <v>0.80374720357941831</v>
      </c>
      <c r="N70" s="71">
        <v>1</v>
      </c>
      <c r="P70" s="69"/>
    </row>
    <row r="71" spans="2:16" ht="15.75" thickBot="1">
      <c r="B71" s="38" t="s">
        <v>164</v>
      </c>
      <c r="C71" s="65"/>
      <c r="D71" s="76"/>
      <c r="E71" s="76">
        <v>11.483253588516746</v>
      </c>
      <c r="F71" s="66">
        <v>7.5</v>
      </c>
      <c r="G71" s="282"/>
      <c r="H71" s="76"/>
      <c r="I71" s="76">
        <v>9.7934336121043764</v>
      </c>
      <c r="J71" s="66">
        <v>7.5</v>
      </c>
      <c r="K71" s="67"/>
      <c r="M71" s="194">
        <v>0.32456140350877194</v>
      </c>
      <c r="N71" s="71">
        <v>1</v>
      </c>
      <c r="P71" s="69"/>
    </row>
    <row r="72" spans="2:16" ht="15.75" thickBot="1">
      <c r="B72" s="414" t="s">
        <v>161</v>
      </c>
      <c r="C72" s="65"/>
      <c r="D72" s="76"/>
      <c r="E72" s="76">
        <v>7.2653644592663174</v>
      </c>
      <c r="F72" s="66">
        <v>4.8</v>
      </c>
      <c r="G72" s="282"/>
      <c r="H72" s="76"/>
      <c r="I72" s="76">
        <v>8.1715311054411259</v>
      </c>
      <c r="J72" s="66">
        <v>4.8</v>
      </c>
      <c r="K72" s="67"/>
      <c r="L72" s="194"/>
      <c r="M72" s="194">
        <v>0.51368421052631585</v>
      </c>
      <c r="N72" s="71">
        <v>1</v>
      </c>
      <c r="O72" s="74"/>
      <c r="P72" s="75"/>
    </row>
    <row r="73" spans="2:16" ht="15">
      <c r="D73" s="76">
        <v>5.0122568537403884</v>
      </c>
      <c r="E73" s="76">
        <v>6.2561530091176252</v>
      </c>
      <c r="F73" s="341">
        <v>5.5</v>
      </c>
      <c r="H73" s="76">
        <v>6.5621968305462266</v>
      </c>
      <c r="I73" s="76">
        <v>6.5759292284197146</v>
      </c>
      <c r="J73" s="341">
        <v>5.5</v>
      </c>
      <c r="L73" s="194">
        <v>0.83619493177387905</v>
      </c>
      <c r="M73" s="194">
        <v>0.73623931093884587</v>
      </c>
      <c r="N73" s="386">
        <v>1</v>
      </c>
    </row>
    <row r="77" spans="2:16">
      <c r="F77" s="315"/>
    </row>
    <row r="78" spans="2:16" ht="15">
      <c r="F78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2:F62"/>
    <mergeCell ref="G62:J62"/>
    <mergeCell ref="K62:N62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487" priority="141" operator="notBetween">
      <formula>#REF!</formula>
      <formula>#REF!</formula>
    </cfRule>
  </conditionalFormatting>
  <conditionalFormatting sqref="C52">
    <cfRule type="cellIs" dxfId="486" priority="172" stopIfTrue="1" operator="lessThan">
      <formula>96</formula>
    </cfRule>
    <cfRule type="cellIs" dxfId="485" priority="173" stopIfTrue="1" operator="greaterThan">
      <formula>100</formula>
    </cfRule>
  </conditionalFormatting>
  <conditionalFormatting sqref="C64:C68">
    <cfRule type="cellIs" dxfId="484" priority="122" stopIfTrue="1" operator="lessThanOrEqual">
      <formula>0</formula>
    </cfRule>
  </conditionalFormatting>
  <conditionalFormatting sqref="C64:C72">
    <cfRule type="cellIs" dxfId="483" priority="121" stopIfTrue="1" operator="greaterThan">
      <formula>$F64</formula>
    </cfRule>
  </conditionalFormatting>
  <conditionalFormatting sqref="C65">
    <cfRule type="cellIs" dxfId="482" priority="176" stopIfTrue="1" operator="greaterThan">
      <formula>$F64</formula>
    </cfRule>
  </conditionalFormatting>
  <conditionalFormatting sqref="C69">
    <cfRule type="cellIs" dxfId="481" priority="43" stopIfTrue="1" operator="lessThanOrEqual">
      <formula>0</formula>
    </cfRule>
    <cfRule type="cellIs" dxfId="480" priority="44" stopIfTrue="1" operator="greaterThan">
      <formula>$F68</formula>
    </cfRule>
  </conditionalFormatting>
  <conditionalFormatting sqref="C75:C79">
    <cfRule type="cellIs" dxfId="479" priority="164" stopIfTrue="1" operator="lessThanOrEqual">
      <formula>0</formula>
    </cfRule>
  </conditionalFormatting>
  <conditionalFormatting sqref="C76:C79">
    <cfRule type="cellIs" dxfId="478" priority="163" stopIfTrue="1" operator="greaterThan">
      <formula>$F$75</formula>
    </cfRule>
  </conditionalFormatting>
  <conditionalFormatting sqref="C81">
    <cfRule type="cellIs" dxfId="477" priority="165" stopIfTrue="1" operator="greaterThan">
      <formula>$F$75</formula>
    </cfRule>
    <cfRule type="cellIs" dxfId="476" priority="166" stopIfTrue="1" operator="lessThanOrEqual">
      <formula>0</formula>
    </cfRule>
  </conditionalFormatting>
  <conditionalFormatting sqref="C75:D75 D77:D83">
    <cfRule type="cellIs" dxfId="475" priority="158" stopIfTrue="1" operator="greaterThan">
      <formula>4.5</formula>
    </cfRule>
  </conditionalFormatting>
  <conditionalFormatting sqref="D48:D49">
    <cfRule type="cellIs" dxfId="474" priority="142" operator="notBetween">
      <formula>#REF!</formula>
      <formula>#REF!</formula>
    </cfRule>
  </conditionalFormatting>
  <conditionalFormatting sqref="D64:D71">
    <cfRule type="cellIs" dxfId="473" priority="136" stopIfTrue="1" operator="lessThanOrEqual">
      <formula>0</formula>
    </cfRule>
  </conditionalFormatting>
  <conditionalFormatting sqref="D72">
    <cfRule type="cellIs" dxfId="472" priority="135" stopIfTrue="1" operator="lessThanOrEqual">
      <formula>0</formula>
    </cfRule>
  </conditionalFormatting>
  <conditionalFormatting sqref="D75 D77:D83">
    <cfRule type="cellIs" dxfId="471" priority="159" stopIfTrue="1" operator="lessThanOrEqual">
      <formula>0</formula>
    </cfRule>
  </conditionalFormatting>
  <conditionalFormatting sqref="D76">
    <cfRule type="cellIs" dxfId="470" priority="151" stopIfTrue="1" operator="lessThanOrEqual">
      <formula>0</formula>
    </cfRule>
    <cfRule type="cellIs" dxfId="469" priority="150" stopIfTrue="1" operator="greaterThan">
      <formula>$F$75</formula>
    </cfRule>
  </conditionalFormatting>
  <conditionalFormatting sqref="D64:E73">
    <cfRule type="cellIs" dxfId="468" priority="118" stopIfTrue="1" operator="greaterThan">
      <formula>$F64</formula>
    </cfRule>
  </conditionalFormatting>
  <conditionalFormatting sqref="D73:E73">
    <cfRule type="cellIs" dxfId="467" priority="119" stopIfTrue="1" operator="lessThanOrEqual">
      <formula>0</formula>
    </cfRule>
  </conditionalFormatting>
  <conditionalFormatting sqref="E10:E23">
    <cfRule type="cellIs" dxfId="466" priority="24" operator="lessThan">
      <formula>48</formula>
    </cfRule>
  </conditionalFormatting>
  <conditionalFormatting sqref="E51 E52:F52">
    <cfRule type="cellIs" dxfId="465" priority="155" stopIfTrue="1" operator="greaterThan">
      <formula>100</formula>
    </cfRule>
  </conditionalFormatting>
  <conditionalFormatting sqref="E52">
    <cfRule type="cellIs" dxfId="464" priority="153" stopIfTrue="1" operator="greaterThan">
      <formula>100</formula>
    </cfRule>
    <cfRule type="cellIs" dxfId="463" priority="152" stopIfTrue="1" operator="lessThan">
      <formula>96.8</formula>
    </cfRule>
  </conditionalFormatting>
  <conditionalFormatting sqref="E64:E72">
    <cfRule type="cellIs" dxfId="462" priority="130" stopIfTrue="1" operator="lessThanOrEqual">
      <formula>0</formula>
    </cfRule>
  </conditionalFormatting>
  <conditionalFormatting sqref="E75:E83">
    <cfRule type="cellIs" dxfId="461" priority="145" stopIfTrue="1" operator="lessThanOrEqual">
      <formula>0</formula>
    </cfRule>
    <cfRule type="cellIs" dxfId="460" priority="144" stopIfTrue="1" operator="greaterThan">
      <formula>4.5</formula>
    </cfRule>
  </conditionalFormatting>
  <conditionalFormatting sqref="E52:F52 E51">
    <cfRule type="cellIs" dxfId="459" priority="154" stopIfTrue="1" operator="lessThan">
      <formula>96.5</formula>
    </cfRule>
  </conditionalFormatting>
  <conditionalFormatting sqref="F10:F23">
    <cfRule type="cellIs" dxfId="458" priority="25" operator="greaterThan">
      <formula>60</formula>
    </cfRule>
  </conditionalFormatting>
  <conditionalFormatting sqref="F52">
    <cfRule type="cellIs" dxfId="457" priority="171" stopIfTrue="1" operator="greaterThan">
      <formula>100</formula>
    </cfRule>
    <cfRule type="cellIs" dxfId="456" priority="170" stopIfTrue="1" operator="lessThan">
      <formula>96.8</formula>
    </cfRule>
  </conditionalFormatting>
  <conditionalFormatting sqref="F73">
    <cfRule type="cellIs" dxfId="455" priority="132" stopIfTrue="1" operator="lessThanOrEqual">
      <formula>0</formula>
    </cfRule>
    <cfRule type="cellIs" dxfId="454" priority="131" stopIfTrue="1" operator="greaterThan">
      <formula>$F73</formula>
    </cfRule>
  </conditionalFormatting>
  <conditionalFormatting sqref="F78">
    <cfRule type="cellIs" dxfId="453" priority="88" stopIfTrue="1" operator="greaterThan">
      <formula>$F78</formula>
    </cfRule>
    <cfRule type="cellIs" dxfId="452" priority="89" stopIfTrue="1" operator="lessThanOrEqual">
      <formula>0</formula>
    </cfRule>
  </conditionalFormatting>
  <conditionalFormatting sqref="G19:G21">
    <cfRule type="expression" dxfId="451" priority="1">
      <formula>IF(+(IF(G19&lt;S19,0,IF(G19&gt;T19,0,1)))=0,1)</formula>
    </cfRule>
  </conditionalFormatting>
  <conditionalFormatting sqref="G64:G65 C70:C72">
    <cfRule type="cellIs" dxfId="450" priority="138" stopIfTrue="1" operator="lessThanOrEqual">
      <formula>0</formula>
    </cfRule>
  </conditionalFormatting>
  <conditionalFormatting sqref="G64:G65">
    <cfRule type="cellIs" dxfId="449" priority="137" stopIfTrue="1" operator="greaterThan">
      <formula>$F64</formula>
    </cfRule>
    <cfRule type="cellIs" dxfId="448" priority="123" stopIfTrue="1" operator="greaterThan">
      <formula>$F64</formula>
    </cfRule>
    <cfRule type="cellIs" dxfId="447" priority="124" stopIfTrue="1" operator="lessThanOrEqual">
      <formula>0</formula>
    </cfRule>
  </conditionalFormatting>
  <conditionalFormatting sqref="G66">
    <cfRule type="cellIs" dxfId="446" priority="175" stopIfTrue="1" operator="lessThanOrEqual">
      <formula>0</formula>
    </cfRule>
    <cfRule type="cellIs" dxfId="445" priority="174" stopIfTrue="1" operator="greaterThan">
      <formula>$F65</formula>
    </cfRule>
  </conditionalFormatting>
  <conditionalFormatting sqref="G67">
    <cfRule type="cellIs" dxfId="444" priority="134" stopIfTrue="1" operator="lessThanOrEqual">
      <formula>0</formula>
    </cfRule>
    <cfRule type="cellIs" dxfId="443" priority="133" stopIfTrue="1" operator="greaterThan">
      <formula>$F67</formula>
    </cfRule>
  </conditionalFormatting>
  <conditionalFormatting sqref="G68:G72">
    <cfRule type="cellIs" dxfId="442" priority="140" stopIfTrue="1" operator="lessThanOrEqual">
      <formula>0</formula>
    </cfRule>
    <cfRule type="cellIs" dxfId="441" priority="139" stopIfTrue="1" operator="greaterThan">
      <formula>$J68</formula>
    </cfRule>
  </conditionalFormatting>
  <conditionalFormatting sqref="G77:G82 C80 C82">
    <cfRule type="cellIs" dxfId="440" priority="168" stopIfTrue="1" operator="lessThanOrEqual">
      <formula>0</formula>
    </cfRule>
    <cfRule type="cellIs" dxfId="439" priority="167" stopIfTrue="1" operator="greaterThan">
      <formula>4.5</formula>
    </cfRule>
  </conditionalFormatting>
  <conditionalFormatting sqref="G10:H18 H19:H21 G22:H23">
    <cfRule type="expression" dxfId="438" priority="26">
      <formula>IF(+(IF(G10&lt;#REF!,0,IF(G10&gt;#REF!,0,1)))=0,1)</formula>
    </cfRule>
  </conditionalFormatting>
  <conditionalFormatting sqref="G76:H76">
    <cfRule type="cellIs" dxfId="437" priority="149" stopIfTrue="1" operator="lessThanOrEqual">
      <formula>0</formula>
    </cfRule>
    <cfRule type="cellIs" dxfId="436" priority="148" stopIfTrue="1" operator="greaterThan">
      <formula>$F$75</formula>
    </cfRule>
  </conditionalFormatting>
  <conditionalFormatting sqref="H37:H51">
    <cfRule type="cellIs" dxfId="435" priority="146" stopIfTrue="1" operator="greaterThan">
      <formula>0</formula>
    </cfRule>
  </conditionalFormatting>
  <conditionalFormatting sqref="H55">
    <cfRule type="cellIs" dxfId="434" priority="59" stopIfTrue="1" operator="lessThanOrEqual">
      <formula>0</formula>
    </cfRule>
    <cfRule type="cellIs" dxfId="433" priority="58" stopIfTrue="1" operator="greaterThan">
      <formula>$F$14</formula>
    </cfRule>
    <cfRule type="cellIs" dxfId="432" priority="47" stopIfTrue="1" operator="lessThanOrEqual">
      <formula>0</formula>
    </cfRule>
    <cfRule type="cellIs" dxfId="431" priority="48" stopIfTrue="1" operator="greaterThan">
      <formula>#REF!</formula>
    </cfRule>
    <cfRule type="cellIs" dxfId="430" priority="56" stopIfTrue="1" operator="greaterThan">
      <formula>$F$22</formula>
    </cfRule>
    <cfRule type="cellIs" dxfId="429" priority="57" stopIfTrue="1" operator="lessThanOrEqual">
      <formula>0</formula>
    </cfRule>
  </conditionalFormatting>
  <conditionalFormatting sqref="H56">
    <cfRule type="cellIs" dxfId="428" priority="87" stopIfTrue="1" operator="lessThanOrEqual">
      <formula>0</formula>
    </cfRule>
    <cfRule type="cellIs" dxfId="427" priority="86" stopIfTrue="1" operator="greaterThan">
      <formula>$F$22</formula>
    </cfRule>
    <cfRule type="cellIs" dxfId="426" priority="84" stopIfTrue="1" operator="greaterThan">
      <formula>$F$24</formula>
    </cfRule>
    <cfRule type="cellIs" dxfId="425" priority="75" stopIfTrue="1" operator="lessThanOrEqual">
      <formula>0</formula>
    </cfRule>
    <cfRule type="cellIs" dxfId="424" priority="76" stopIfTrue="1" operator="greaterThan">
      <formula>$F$15</formula>
    </cfRule>
    <cfRule type="cellIs" dxfId="423" priority="85" stopIfTrue="1" operator="lessThanOrEqual">
      <formula>0</formula>
    </cfRule>
  </conditionalFormatting>
  <conditionalFormatting sqref="H57">
    <cfRule type="cellIs" dxfId="422" priority="42" stopIfTrue="1" operator="lessThanOrEqual">
      <formula>0</formula>
    </cfRule>
    <cfRule type="cellIs" dxfId="421" priority="30" stopIfTrue="1" operator="lessThanOrEqual">
      <formula>0</formula>
    </cfRule>
    <cfRule type="cellIs" dxfId="420" priority="41" stopIfTrue="1" operator="greaterThan">
      <formula>$F$14</formula>
    </cfRule>
    <cfRule type="cellIs" dxfId="419" priority="40" stopIfTrue="1" operator="lessThanOrEqual">
      <formula>0</formula>
    </cfRule>
    <cfRule type="cellIs" dxfId="418" priority="39" stopIfTrue="1" operator="greaterThan">
      <formula>$F$22</formula>
    </cfRule>
    <cfRule type="cellIs" dxfId="417" priority="31" stopIfTrue="1" operator="greaterThan">
      <formula>#REF!</formula>
    </cfRule>
  </conditionalFormatting>
  <conditionalFormatting sqref="H58:H59">
    <cfRule type="cellIs" dxfId="416" priority="73" stopIfTrue="1" operator="lessThanOrEqual">
      <formula>0</formula>
    </cfRule>
    <cfRule type="cellIs" dxfId="415" priority="72" stopIfTrue="1" operator="greaterThan">
      <formula>$F$15</formula>
    </cfRule>
    <cfRule type="cellIs" dxfId="414" priority="71" stopIfTrue="1" operator="lessThanOrEqual">
      <formula>0</formula>
    </cfRule>
    <cfRule type="cellIs" dxfId="413" priority="70" stopIfTrue="1" operator="greaterThan">
      <formula>$F$23</formula>
    </cfRule>
    <cfRule type="cellIs" dxfId="412" priority="61" stopIfTrue="1" operator="lessThanOrEqual">
      <formula>0</formula>
    </cfRule>
    <cfRule type="cellIs" dxfId="411" priority="62" stopIfTrue="1" operator="greaterThan">
      <formula>$F$14</formula>
    </cfRule>
  </conditionalFormatting>
  <conditionalFormatting sqref="H60">
    <cfRule type="cellIs" dxfId="410" priority="102" stopIfTrue="1" operator="lessThanOrEqual">
      <formula>0</formula>
    </cfRule>
    <cfRule type="cellIs" dxfId="409" priority="92" stopIfTrue="1" operator="lessThanOrEqual">
      <formula>0</formula>
    </cfRule>
    <cfRule type="cellIs" dxfId="408" priority="93" stopIfTrue="1" operator="greaterThan">
      <formula>$F$36</formula>
    </cfRule>
    <cfRule type="cellIs" dxfId="407" priority="101" stopIfTrue="1" operator="greaterThan">
      <formula>$F$39</formula>
    </cfRule>
    <cfRule type="cellIs" dxfId="406" priority="103" stopIfTrue="1" operator="greaterThan">
      <formula>$F$37</formula>
    </cfRule>
    <cfRule type="cellIs" dxfId="405" priority="104" stopIfTrue="1" operator="lessThanOrEqual">
      <formula>0</formula>
    </cfRule>
  </conditionalFormatting>
  <conditionalFormatting sqref="H64:H71">
    <cfRule type="cellIs" dxfId="404" priority="126" stopIfTrue="1" operator="lessThanOrEqual">
      <formula>0</formula>
    </cfRule>
    <cfRule type="cellIs" dxfId="403" priority="125" stopIfTrue="1" operator="greaterThan">
      <formula>$J64</formula>
    </cfRule>
  </conditionalFormatting>
  <conditionalFormatting sqref="H72">
    <cfRule type="cellIs" dxfId="402" priority="127" operator="greaterThan">
      <formula>5.3</formula>
    </cfRule>
  </conditionalFormatting>
  <conditionalFormatting sqref="H75 H77:H83">
    <cfRule type="cellIs" dxfId="401" priority="160" stopIfTrue="1" operator="greaterThan">
      <formula>4.5</formula>
    </cfRule>
    <cfRule type="cellIs" dxfId="400" priority="161" stopIfTrue="1" operator="lessThanOrEqual">
      <formula>0</formula>
    </cfRule>
  </conditionalFormatting>
  <conditionalFormatting sqref="H55:I55">
    <cfRule type="cellIs" dxfId="399" priority="49" stopIfTrue="1" operator="lessThanOrEqual">
      <formula>0</formula>
    </cfRule>
    <cfRule type="cellIs" dxfId="398" priority="46" stopIfTrue="1" operator="greaterThan">
      <formula>$F$15</formula>
    </cfRule>
  </conditionalFormatting>
  <conditionalFormatting sqref="H56:I56">
    <cfRule type="cellIs" dxfId="397" priority="74" stopIfTrue="1" operator="greaterThan">
      <formula>$F$23</formula>
    </cfRule>
    <cfRule type="cellIs" dxfId="396" priority="77" stopIfTrue="1" operator="lessThanOrEqual">
      <formula>0</formula>
    </cfRule>
  </conditionalFormatting>
  <conditionalFormatting sqref="H57:I57">
    <cfRule type="cellIs" dxfId="395" priority="29" stopIfTrue="1" operator="greaterThan">
      <formula>$F$15</formula>
    </cfRule>
    <cfRule type="cellIs" dxfId="394" priority="32" stopIfTrue="1" operator="lessThanOrEqual">
      <formula>0</formula>
    </cfRule>
  </conditionalFormatting>
  <conditionalFormatting sqref="H58:I59">
    <cfRule type="cellIs" dxfId="393" priority="60" stopIfTrue="1" operator="greaterThan">
      <formula>$F$22</formula>
    </cfRule>
    <cfRule type="cellIs" dxfId="392" priority="63" stopIfTrue="1" operator="lessThanOrEqual">
      <formula>0</formula>
    </cfRule>
  </conditionalFormatting>
  <conditionalFormatting sqref="H60:I60">
    <cfRule type="cellIs" dxfId="391" priority="91" stopIfTrue="1" operator="greaterThan">
      <formula>$F$38</formula>
    </cfRule>
    <cfRule type="cellIs" dxfId="390" priority="94" stopIfTrue="1" operator="lessThanOrEqual">
      <formula>0</formula>
    </cfRule>
  </conditionalFormatting>
  <conditionalFormatting sqref="H73:I73">
    <cfRule type="cellIs" dxfId="389" priority="117" stopIfTrue="1" operator="lessThanOrEqual">
      <formula>0</formula>
    </cfRule>
    <cfRule type="cellIs" dxfId="388" priority="116" stopIfTrue="1" operator="greaterThan">
      <formula>$J73</formula>
    </cfRule>
  </conditionalFormatting>
  <conditionalFormatting sqref="I55">
    <cfRule type="cellIs" dxfId="387" priority="55" stopIfTrue="1" operator="lessThanOrEqual">
      <formula>0</formula>
    </cfRule>
    <cfRule type="cellIs" dxfId="386" priority="54" stopIfTrue="1" operator="greaterThan">
      <formula>#REF!</formula>
    </cfRule>
    <cfRule type="cellIs" dxfId="385" priority="53" stopIfTrue="1" operator="lessThanOrEqual">
      <formula>0</formula>
    </cfRule>
    <cfRule type="cellIs" dxfId="384" priority="52" stopIfTrue="1" operator="greaterThan">
      <formula>$F$15</formula>
    </cfRule>
    <cfRule type="cellIs" dxfId="383" priority="51" stopIfTrue="1" operator="lessThanOrEqual">
      <formula>0</formula>
    </cfRule>
    <cfRule type="cellIs" dxfId="382" priority="50" stopIfTrue="1" operator="greaterThan">
      <formula>#REF!</formula>
    </cfRule>
  </conditionalFormatting>
  <conditionalFormatting sqref="I56">
    <cfRule type="cellIs" dxfId="381" priority="78" stopIfTrue="1" operator="greaterThan">
      <formula>$F$15</formula>
    </cfRule>
    <cfRule type="cellIs" dxfId="380" priority="83" stopIfTrue="1" operator="lessThanOrEqual">
      <formula>0</formula>
    </cfRule>
    <cfRule type="cellIs" dxfId="379" priority="81" stopIfTrue="1" operator="lessThanOrEqual">
      <formula>0</formula>
    </cfRule>
    <cfRule type="cellIs" dxfId="378" priority="80" stopIfTrue="1" operator="greaterThan">
      <formula>$F$23</formula>
    </cfRule>
    <cfRule type="cellIs" dxfId="377" priority="79" stopIfTrue="1" operator="lessThanOrEqual">
      <formula>0</formula>
    </cfRule>
    <cfRule type="cellIs" dxfId="376" priority="82" stopIfTrue="1" operator="greaterThan">
      <formula>$F$15</formula>
    </cfRule>
  </conditionalFormatting>
  <conditionalFormatting sqref="I57">
    <cfRule type="cellIs" dxfId="375" priority="33" stopIfTrue="1" operator="greaterThan">
      <formula>#REF!</formula>
    </cfRule>
    <cfRule type="cellIs" dxfId="374" priority="34" stopIfTrue="1" operator="lessThanOrEqual">
      <formula>0</formula>
    </cfRule>
    <cfRule type="cellIs" dxfId="373" priority="36" stopIfTrue="1" operator="lessThanOrEqual">
      <formula>0</formula>
    </cfRule>
    <cfRule type="cellIs" dxfId="372" priority="37" stopIfTrue="1" operator="greaterThan">
      <formula>#REF!</formula>
    </cfRule>
    <cfRule type="cellIs" dxfId="371" priority="38" stopIfTrue="1" operator="lessThanOrEqual">
      <formula>0</formula>
    </cfRule>
    <cfRule type="cellIs" dxfId="370" priority="35" stopIfTrue="1" operator="greaterThan">
      <formula>$F$15</formula>
    </cfRule>
  </conditionalFormatting>
  <conditionalFormatting sqref="I58:I59">
    <cfRule type="cellIs" dxfId="369" priority="68" stopIfTrue="1" operator="greaterThan">
      <formula>$F$14</formula>
    </cfRule>
    <cfRule type="cellIs" dxfId="368" priority="66" stopIfTrue="1" operator="greaterThan">
      <formula>$F$22</formula>
    </cfRule>
    <cfRule type="cellIs" dxfId="367" priority="65" stopIfTrue="1" operator="lessThanOrEqual">
      <formula>0</formula>
    </cfRule>
    <cfRule type="cellIs" dxfId="366" priority="64" stopIfTrue="1" operator="greaterThan">
      <formula>$F$14</formula>
    </cfRule>
    <cfRule type="cellIs" dxfId="365" priority="67" stopIfTrue="1" operator="lessThanOrEqual">
      <formula>0</formula>
    </cfRule>
    <cfRule type="cellIs" dxfId="364" priority="69" stopIfTrue="1" operator="lessThanOrEqual">
      <formula>0</formula>
    </cfRule>
  </conditionalFormatting>
  <conditionalFormatting sqref="I60">
    <cfRule type="cellIs" dxfId="363" priority="99" stopIfTrue="1" operator="greaterThan">
      <formula>$F$36</formula>
    </cfRule>
    <cfRule type="cellIs" dxfId="362" priority="97" stopIfTrue="1" operator="greaterThan">
      <formula>$F$38</formula>
    </cfRule>
    <cfRule type="cellIs" dxfId="361" priority="98" stopIfTrue="1" operator="lessThanOrEqual">
      <formula>0</formula>
    </cfRule>
    <cfRule type="cellIs" dxfId="360" priority="100" stopIfTrue="1" operator="lessThanOrEqual">
      <formula>0</formula>
    </cfRule>
    <cfRule type="cellIs" dxfId="359" priority="95" stopIfTrue="1" operator="greaterThan">
      <formula>$F$36</formula>
    </cfRule>
    <cfRule type="cellIs" dxfId="358" priority="96" stopIfTrue="1" operator="lessThanOrEqual">
      <formula>0</formula>
    </cfRule>
  </conditionalFormatting>
  <conditionalFormatting sqref="I64:I72">
    <cfRule type="cellIs" dxfId="357" priority="128" stopIfTrue="1" operator="greaterThan">
      <formula>$J64</formula>
    </cfRule>
    <cfRule type="cellIs" dxfId="356" priority="129" stopIfTrue="1" operator="lessThanOrEqual">
      <formula>0</formula>
    </cfRule>
  </conditionalFormatting>
  <conditionalFormatting sqref="I75:I83">
    <cfRule type="cellIs" dxfId="355" priority="156" stopIfTrue="1" operator="greaterThan">
      <formula>4.5</formula>
    </cfRule>
    <cfRule type="cellIs" dxfId="354" priority="157" stopIfTrue="1" operator="lessThanOrEqual">
      <formula>0</formula>
    </cfRule>
  </conditionalFormatting>
  <conditionalFormatting sqref="I10:J23">
    <cfRule type="cellIs" dxfId="353" priority="18" operator="lessThan">
      <formula>97.9</formula>
    </cfRule>
  </conditionalFormatting>
  <conditionalFormatting sqref="J26:J28">
    <cfRule type="cellIs" dxfId="352" priority="106" stopIfTrue="1" operator="lessThan">
      <formula>96.8</formula>
    </cfRule>
    <cfRule type="cellIs" dxfId="351" priority="107" stopIfTrue="1" operator="greaterThan">
      <formula>100</formula>
    </cfRule>
    <cfRule type="cellIs" dxfId="350" priority="108" operator="lessThan">
      <formula>98</formula>
    </cfRule>
  </conditionalFormatting>
  <conditionalFormatting sqref="J26:J30">
    <cfRule type="cellIs" dxfId="349" priority="105" operator="lessThan">
      <formula>97.4</formula>
    </cfRule>
  </conditionalFormatting>
  <conditionalFormatting sqref="J31">
    <cfRule type="cellIs" dxfId="348" priority="109" operator="lessThan">
      <formula>98</formula>
    </cfRule>
  </conditionalFormatting>
  <conditionalFormatting sqref="J33:J34">
    <cfRule type="cellIs" dxfId="347" priority="110" stopIfTrue="1" operator="lessThan">
      <formula>96.8</formula>
    </cfRule>
    <cfRule type="cellIs" dxfId="346" priority="111" stopIfTrue="1" operator="greaterThan">
      <formula>100</formula>
    </cfRule>
  </conditionalFormatting>
  <conditionalFormatting sqref="J33:J35">
    <cfRule type="cellIs" dxfId="345" priority="112" operator="lessThan">
      <formula>98</formula>
    </cfRule>
  </conditionalFormatting>
  <conditionalFormatting sqref="J73">
    <cfRule type="cellIs" dxfId="344" priority="113" stopIfTrue="1" operator="greaterThan">
      <formula>$F73</formula>
    </cfRule>
    <cfRule type="cellIs" dxfId="343" priority="114" stopIfTrue="1" operator="lessThanOrEqual">
      <formula>0</formula>
    </cfRule>
  </conditionalFormatting>
  <conditionalFormatting sqref="K10:K23">
    <cfRule type="cellIs" dxfId="342" priority="22" operator="greaterThan">
      <formula>6.4</formula>
    </cfRule>
    <cfRule type="cellIs" dxfId="341" priority="21" operator="lessThan">
      <formula>4</formula>
    </cfRule>
    <cfRule type="cellIs" dxfId="340" priority="20" operator="greaterThan">
      <formula>6</formula>
    </cfRule>
  </conditionalFormatting>
  <conditionalFormatting sqref="K55:K60 K64:N70 K71 M71:N71 K72:N72">
    <cfRule type="cellIs" dxfId="339" priority="90" stopIfTrue="1" operator="lessThan">
      <formula>100%</formula>
    </cfRule>
  </conditionalFormatting>
  <conditionalFormatting sqref="K75:K80">
    <cfRule type="cellIs" dxfId="338" priority="162" stopIfTrue="1" operator="lessThan">
      <formula>100%</formula>
    </cfRule>
  </conditionalFormatting>
  <conditionalFormatting sqref="K82:K83">
    <cfRule type="cellIs" dxfId="337" priority="169" stopIfTrue="1" operator="lessThan">
      <formula>100%</formula>
    </cfRule>
  </conditionalFormatting>
  <conditionalFormatting sqref="L19:L23">
    <cfRule type="cellIs" dxfId="336" priority="3" operator="greaterThan">
      <formula>65</formula>
    </cfRule>
    <cfRule type="cellIs" dxfId="335" priority="2" operator="between">
      <formula>61</formula>
      <formula>65</formula>
    </cfRule>
  </conditionalFormatting>
  <conditionalFormatting sqref="L10:M18">
    <cfRule type="cellIs" dxfId="334" priority="17" operator="greaterThan">
      <formula>65</formula>
    </cfRule>
    <cfRule type="cellIs" dxfId="333" priority="16" operator="between">
      <formula>61</formula>
      <formula>65</formula>
    </cfRule>
  </conditionalFormatting>
  <conditionalFormatting sqref="L26:M37">
    <cfRule type="cellIs" dxfId="332" priority="120" operator="lessThan">
      <formula>98</formula>
    </cfRule>
  </conditionalFormatting>
  <conditionalFormatting sqref="L41:N41">
    <cfRule type="cellIs" dxfId="331" priority="45" operator="notEqual">
      <formula>#REF!</formula>
    </cfRule>
  </conditionalFormatting>
  <conditionalFormatting sqref="L73:N73">
    <cfRule type="cellIs" dxfId="330" priority="115" stopIfTrue="1" operator="lessThan">
      <formula>100%</formula>
    </cfRule>
  </conditionalFormatting>
  <conditionalFormatting sqref="L75:N83">
    <cfRule type="cellIs" dxfId="329" priority="147" stopIfTrue="1" operator="lessThan">
      <formula>100%</formula>
    </cfRule>
  </conditionalFormatting>
  <conditionalFormatting sqref="M10:M23">
    <cfRule type="expression" dxfId="328" priority="23">
      <formula>IF(+(IF(M10&lt;U10,0,IF(M10&gt;V10,0,1)))=0,1)</formula>
    </cfRule>
  </conditionalFormatting>
  <conditionalFormatting sqref="N10:N23">
    <cfRule type="expression" dxfId="327" priority="19">
      <formula>IF(+(IF(N10&lt;W10,0,IF(N10&gt;X10,0,1)))=0,1)</formula>
    </cfRule>
  </conditionalFormatting>
  <conditionalFormatting sqref="P6">
    <cfRule type="cellIs" dxfId="326" priority="143" operator="greaterThanOrEqual">
      <formula>19</formula>
    </cfRule>
  </conditionalFormatting>
  <dataValidations count="1">
    <dataValidation type="list" allowBlank="1" showInputMessage="1" showErrorMessage="1" sqref="R8" xr:uid="{AED9C06F-E594-49DD-B681-5BC31758048A}">
      <formula1>ProductList</formula1>
    </dataValidation>
  </dataValidations>
  <pageMargins left="0.7" right="0.7" top="0.75" bottom="0.75" header="0.3" footer="0.3"/>
  <pageSetup scale="42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3DD8-ABE2-4EBF-8740-3278A6B55E2D}">
  <sheetPr>
    <pageSetUpPr fitToPage="1"/>
  </sheetPr>
  <dimension ref="A1:BE79"/>
  <sheetViews>
    <sheetView topLeftCell="A10" zoomScale="80" zoomScaleNormal="80" workbookViewId="0">
      <selection activeCell="M16" sqref="M16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19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45898</v>
      </c>
      <c r="J4" s="398" t="s">
        <v>201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200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[24]Brewhouse!$A736</f>
        <v>CA628</v>
      </c>
      <c r="D10" s="279">
        <f>[24]Brewhouse!$AF736</f>
        <v>51</v>
      </c>
      <c r="E10" s="279">
        <f>[24]Brewhouse!$AI736</f>
        <v>49.3</v>
      </c>
      <c r="F10" s="278">
        <f>[24]Brewhouse!$V736</f>
        <v>63</v>
      </c>
      <c r="G10" s="279">
        <f>[24]Brewhouse!AG736</f>
        <v>11.9</v>
      </c>
      <c r="H10" s="396">
        <v>11.7</v>
      </c>
      <c r="I10" s="368">
        <f>[24]Brewhouse!$AU736</f>
        <v>96.013932215448122</v>
      </c>
      <c r="J10" s="368">
        <f>[24]Brewhouse!$AV736</f>
        <v>98.235686211378919</v>
      </c>
      <c r="K10" s="281">
        <f>[24]Brewhouse!$Q736</f>
        <v>9.5683453237410081</v>
      </c>
      <c r="L10" s="276">
        <f>[24]Brewhouse!$P736</f>
        <v>61</v>
      </c>
      <c r="M10" s="397">
        <f>[24]Brewhouse!$U736-[24]Brewhouse!$T736</f>
        <v>0.11458333333333334</v>
      </c>
      <c r="N10" s="370">
        <f>[24]Brewhouse!$Z736</f>
        <v>0.25625000000000003</v>
      </c>
      <c r="O10" s="423" t="str">
        <f>[24]Brewhouse!$AX736</f>
        <v>R. Regis</v>
      </c>
      <c r="P10" s="418"/>
      <c r="R10" s="277" t="str">
        <f t="shared" ref="R10" si="0">B10</f>
        <v>CARIB</v>
      </c>
      <c r="S10" s="296">
        <f t="shared" ref="S10:S30" si="1">VLOOKUP($B10,$R$3:$X$9,2,FALSE)</f>
        <v>11.6</v>
      </c>
      <c r="T10" s="296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296">
        <f t="shared" ref="Z10:Z30" si="8">VLOOKUP($B10,$R$3:$Z$9,9,FALSE)</f>
        <v>60</v>
      </c>
    </row>
    <row r="11" spans="2:29" ht="15.75" customHeight="1">
      <c r="B11" s="29" t="s">
        <v>6</v>
      </c>
      <c r="C11" s="366" t="str">
        <f>[24]Brewhouse!$A737</f>
        <v>CA629</v>
      </c>
      <c r="D11" s="279">
        <f>[24]Brewhouse!$AF737</f>
        <v>52.3</v>
      </c>
      <c r="E11" s="279">
        <f>[24]Brewhouse!$AI737</f>
        <v>50.2</v>
      </c>
      <c r="F11" s="278">
        <f>[24]Brewhouse!$V737</f>
        <v>82</v>
      </c>
      <c r="G11" s="279">
        <f>[24]Brewhouse!AG737</f>
        <v>11.7</v>
      </c>
      <c r="H11" s="396">
        <v>11.7</v>
      </c>
      <c r="I11" s="368">
        <f>[24]Brewhouse!$AU737</f>
        <v>96.039117326010768</v>
      </c>
      <c r="J11" s="368">
        <f>[24]Brewhouse!$AV737</f>
        <v>98.261454103197778</v>
      </c>
      <c r="K11" s="281">
        <f>[24]Brewhouse!$Q737</f>
        <v>6.3883847549909305</v>
      </c>
      <c r="L11" s="276">
        <f>[24]Brewhouse!$P737</f>
        <v>59</v>
      </c>
      <c r="M11" s="397">
        <f>[24]Brewhouse!$U737-[24]Brewhouse!$T737</f>
        <v>0.12083333333333329</v>
      </c>
      <c r="N11" s="370">
        <f>[24]Brewhouse!$Z737</f>
        <v>0.2673611111111111</v>
      </c>
      <c r="O11" s="423" t="str">
        <f>[24]Brewhouse!$AX737</f>
        <v>R. Regis</v>
      </c>
      <c r="P11" s="418"/>
      <c r="R11" s="277" t="str">
        <f t="shared" ref="R11:R30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[24]Brewhouse!$A738</f>
        <v>CA630</v>
      </c>
      <c r="D12" s="279">
        <f>[24]Brewhouse!$AF738</f>
        <v>52.6</v>
      </c>
      <c r="E12" s="279">
        <f>[24]Brewhouse!$AI738</f>
        <v>51</v>
      </c>
      <c r="F12" s="278">
        <f>[24]Brewhouse!$V738</f>
        <v>66</v>
      </c>
      <c r="G12" s="279">
        <f>[24]Brewhouse!AG738</f>
        <v>11.8</v>
      </c>
      <c r="H12" s="396">
        <v>11.8</v>
      </c>
      <c r="I12" s="368">
        <f>[24]Brewhouse!$AU738</f>
        <v>98.325106629636323</v>
      </c>
      <c r="J12" s="368">
        <f>[24]Brewhouse!$AV738</f>
        <v>100.60046588434774</v>
      </c>
      <c r="K12" s="281">
        <f>[24]Brewhouse!$Q738</f>
        <v>5.3284671532846621</v>
      </c>
      <c r="L12" s="276">
        <f>[24]Brewhouse!$P738</f>
        <v>57</v>
      </c>
      <c r="M12" s="397">
        <f>[24]Brewhouse!$U738-[24]Brewhouse!$T738</f>
        <v>0.11527777777777776</v>
      </c>
      <c r="N12" s="370">
        <f>[24]Brewhouse!$Z738</f>
        <v>0.25486111111111109</v>
      </c>
      <c r="O12" s="423" t="str">
        <f>[24]Brewhouse!$AX738</f>
        <v>R.Sookram</v>
      </c>
      <c r="P12" s="418"/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3"/>
      <c r="P13" s="418"/>
      <c r="R13" s="277">
        <f t="shared" si="9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4" t="s">
        <v>12</v>
      </c>
      <c r="C14" s="366" t="str">
        <f>[25]Brewhouse!$A85</f>
        <v>GU076</v>
      </c>
      <c r="D14" s="279">
        <f>[25]Brewhouse!$AF85</f>
        <v>53.7</v>
      </c>
      <c r="E14" s="279">
        <f>[25]Brewhouse!$AI85</f>
        <v>50.8</v>
      </c>
      <c r="F14" s="278">
        <f>[25]Brewhouse!$V85</f>
        <v>66</v>
      </c>
      <c r="G14" s="279">
        <f>[25]Brewhouse!$AG85</f>
        <v>17.3</v>
      </c>
      <c r="H14" s="396">
        <v>17.399999999999999</v>
      </c>
      <c r="I14" s="422">
        <f>[25]Brewhouse!$AU85</f>
        <v>95.007032865785504</v>
      </c>
      <c r="J14" s="422">
        <f>[25]Brewhouse!$AV85</f>
        <v>96.889095079770101</v>
      </c>
      <c r="K14" s="476">
        <f>[25]Brewhouse!$R85</f>
        <v>12.245614035087714</v>
      </c>
      <c r="L14" s="276">
        <f>[25]Brewhouse!$O85</f>
        <v>59</v>
      </c>
      <c r="M14" s="374">
        <f>[25]Brewhouse!$U85-[25]Brewhouse!$T85</f>
        <v>0.12361111111111112</v>
      </c>
      <c r="N14" s="370">
        <f>[25]Brewhouse!$Z85</f>
        <v>0.26319444444444445</v>
      </c>
      <c r="O14" s="423" t="str">
        <f>[25]Brewhouse!$AW85</f>
        <v>R. Sookram</v>
      </c>
      <c r="P14" s="418"/>
      <c r="R14" s="277" t="str">
        <f t="shared" si="9"/>
        <v>GUINNESS</v>
      </c>
      <c r="S14" s="296">
        <f t="shared" si="1"/>
        <v>17</v>
      </c>
      <c r="T14" s="296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296">
        <f t="shared" si="8"/>
        <v>60</v>
      </c>
    </row>
    <row r="15" spans="2:29" ht="15.75" customHeight="1">
      <c r="B15" s="34" t="s">
        <v>12</v>
      </c>
      <c r="C15" s="366" t="str">
        <f>[25]Brewhouse!$A86</f>
        <v>GU077</v>
      </c>
      <c r="D15" s="279">
        <f>[25]Brewhouse!$AF86</f>
        <v>53.9</v>
      </c>
      <c r="E15" s="279">
        <f>[25]Brewhouse!$AI86</f>
        <v>51.4</v>
      </c>
      <c r="F15" s="278">
        <f>[25]Brewhouse!$V86</f>
        <v>58</v>
      </c>
      <c r="G15" s="279">
        <f>[25]Brewhouse!$AG86</f>
        <v>17.5</v>
      </c>
      <c r="H15" s="396">
        <v>17.8</v>
      </c>
      <c r="I15" s="422">
        <f>[25]Brewhouse!$AU86</f>
        <v>97.272320791361707</v>
      </c>
      <c r="J15" s="422">
        <f>[25]Brewhouse!$AV86</f>
        <v>99.199257712827659</v>
      </c>
      <c r="K15" s="476">
        <f>[25]Brewhouse!$R86</f>
        <v>11.057192374350091</v>
      </c>
      <c r="L15" s="276">
        <f>[25]Brewhouse!$O86</f>
        <v>60</v>
      </c>
      <c r="M15" s="374">
        <f>[25]Brewhouse!$U86-[25]Brewhouse!$T86</f>
        <v>0.1118055555555556</v>
      </c>
      <c r="N15" s="370">
        <f>[25]Brewhouse!$Z86</f>
        <v>0.25</v>
      </c>
      <c r="O15" s="423" t="str">
        <f>[25]Brewhouse!$AW86</f>
        <v>K. Benjamin</v>
      </c>
      <c r="P15" s="418"/>
      <c r="R15" s="277" t="str">
        <f t="shared" si="9"/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5.75" customHeight="1">
      <c r="B16" s="34" t="s">
        <v>12</v>
      </c>
      <c r="C16" s="366" t="str">
        <f>[25]Brewhouse!$A87</f>
        <v>GU078</v>
      </c>
      <c r="D16" s="279">
        <f>[25]Brewhouse!$AF87</f>
        <v>54.3</v>
      </c>
      <c r="E16" s="279">
        <f>[25]Brewhouse!$AI87</f>
        <v>51.6</v>
      </c>
      <c r="F16" s="278">
        <f>[25]Brewhouse!$V87</f>
        <v>57</v>
      </c>
      <c r="G16" s="279">
        <f>[25]Brewhouse!$AG87</f>
        <v>17.5</v>
      </c>
      <c r="H16" s="396">
        <v>17.5</v>
      </c>
      <c r="I16" s="422">
        <f>[25]Brewhouse!$AU87</f>
        <v>97.807774624525237</v>
      </c>
      <c r="J16" s="422">
        <f>[25]Brewhouse!$AV87</f>
        <v>99.744636910447383</v>
      </c>
      <c r="K16" s="476">
        <f>[25]Brewhouse!$R87</f>
        <v>10.785340314136112</v>
      </c>
      <c r="L16" s="276">
        <f>[25]Brewhouse!$O87</f>
        <v>58</v>
      </c>
      <c r="M16" s="374">
        <f>[25]Brewhouse!$U87-[25]Brewhouse!$T87</f>
        <v>0.12083333333333335</v>
      </c>
      <c r="N16" s="370">
        <f>[25]Brewhouse!$Z87</f>
        <v>0.26319444444444451</v>
      </c>
      <c r="O16" s="423" t="str">
        <f>[25]Brewhouse!$AW87</f>
        <v>K. Benjamin</v>
      </c>
      <c r="P16" s="418"/>
      <c r="R16" s="277" t="str">
        <f t="shared" si="9"/>
        <v>GUINNESS</v>
      </c>
      <c r="S16" s="296">
        <f t="shared" si="1"/>
        <v>17</v>
      </c>
      <c r="T16" s="296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296">
        <f t="shared" si="8"/>
        <v>60</v>
      </c>
    </row>
    <row r="17" spans="1:27" ht="15.75" customHeight="1">
      <c r="B17" s="34" t="s">
        <v>12</v>
      </c>
      <c r="C17" s="366" t="str">
        <f>[25]Brewhouse!$A88</f>
        <v>GU079</v>
      </c>
      <c r="D17" s="279">
        <f>[25]Brewhouse!$AF88</f>
        <v>55</v>
      </c>
      <c r="E17" s="279">
        <f>[25]Brewhouse!$AI88</f>
        <v>52.4</v>
      </c>
      <c r="F17" s="278">
        <f>[25]Brewhouse!$V88</f>
        <v>64</v>
      </c>
      <c r="G17" s="279">
        <f>[25]Brewhouse!$AG88</f>
        <v>17.100000000000001</v>
      </c>
      <c r="H17" s="396">
        <v>17.399999999999999</v>
      </c>
      <c r="I17" s="422">
        <f>[25]Brewhouse!$AU88</f>
        <v>97.014543681424854</v>
      </c>
      <c r="J17" s="422">
        <f>[25]Brewhouse!$AV88</f>
        <v>98.935358859091608</v>
      </c>
      <c r="K17" s="476">
        <f>[25]Brewhouse!$R88</f>
        <v>9.4645941278065582</v>
      </c>
      <c r="L17" s="276">
        <f>[25]Brewhouse!$O88</f>
        <v>60</v>
      </c>
      <c r="M17" s="374">
        <f>[25]Brewhouse!$U88-[25]Brewhouse!$T88</f>
        <v>0.11944444444444435</v>
      </c>
      <c r="N17" s="370">
        <f>[25]Brewhouse!$Z88</f>
        <v>0.2583333333333333</v>
      </c>
      <c r="O17" s="423" t="str">
        <f>[25]Brewhouse!$AW88</f>
        <v>K. Benjamin</v>
      </c>
      <c r="P17" s="418"/>
      <c r="R17" s="277" t="str">
        <f t="shared" ref="R17:R24" si="10">B17</f>
        <v>GUINNESS</v>
      </c>
      <c r="S17" s="296">
        <f t="shared" si="1"/>
        <v>17</v>
      </c>
      <c r="T17" s="296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296">
        <f t="shared" si="8"/>
        <v>60</v>
      </c>
    </row>
    <row r="18" spans="1:27" ht="15.75" customHeight="1">
      <c r="B18" s="34" t="s">
        <v>12</v>
      </c>
      <c r="C18" s="366" t="str">
        <f>[25]Brewhouse!$A89</f>
        <v>GU080</v>
      </c>
      <c r="D18" s="279">
        <f>[25]Brewhouse!$AF89</f>
        <v>53.9</v>
      </c>
      <c r="E18" s="279">
        <f>[25]Brewhouse!$AI89</f>
        <v>51.3</v>
      </c>
      <c r="F18" s="278">
        <f>[25]Brewhouse!$V89</f>
        <v>67</v>
      </c>
      <c r="G18" s="279">
        <f>[25]Brewhouse!$AG89</f>
        <v>17.399999999999999</v>
      </c>
      <c r="H18" s="396">
        <v>17.399999999999999</v>
      </c>
      <c r="I18" s="422">
        <f>[25]Brewhouse!$AU89</f>
        <v>96.667741026067404</v>
      </c>
      <c r="J18" s="422">
        <f>[25]Brewhouse!$AV89</f>
        <v>98.58202751890957</v>
      </c>
      <c r="K18" s="476">
        <f>[25]Brewhouse!$R89</f>
        <v>10.069686411149815</v>
      </c>
      <c r="L18" s="276">
        <f>[25]Brewhouse!$O89</f>
        <v>59</v>
      </c>
      <c r="M18" s="374">
        <f>[25]Brewhouse!$U89-[25]Brewhouse!$T89</f>
        <v>0.12291666666666656</v>
      </c>
      <c r="N18" s="370">
        <f>[25]Brewhouse!$Z89</f>
        <v>0.26527777777777772</v>
      </c>
      <c r="O18" s="423" t="str">
        <f>[25]Brewhouse!$AW89</f>
        <v>K. Benjamin</v>
      </c>
      <c r="P18" s="418"/>
      <c r="R18" s="277" t="str">
        <f t="shared" si="10"/>
        <v>GUINNESS</v>
      </c>
      <c r="S18" s="296">
        <f t="shared" si="1"/>
        <v>17</v>
      </c>
      <c r="T18" s="296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296">
        <f t="shared" si="8"/>
        <v>60</v>
      </c>
    </row>
    <row r="19" spans="1:27" ht="15.75" customHeight="1">
      <c r="B19" s="34" t="s">
        <v>12</v>
      </c>
      <c r="C19" s="366" t="str">
        <f>[25]Brewhouse!$A90</f>
        <v>GU081</v>
      </c>
      <c r="D19" s="279">
        <f>[25]Brewhouse!$AF90</f>
        <v>54.2</v>
      </c>
      <c r="E19" s="279">
        <f>[25]Brewhouse!$AI90</f>
        <v>51.4</v>
      </c>
      <c r="F19" s="278">
        <f>[25]Brewhouse!$V90</f>
        <v>68</v>
      </c>
      <c r="G19" s="279">
        <f>[25]Brewhouse!$AG90</f>
        <v>17.100000000000001</v>
      </c>
      <c r="H19" s="396">
        <v>17.100000000000001</v>
      </c>
      <c r="I19" s="422">
        <f>[25]Brewhouse!$AU90</f>
        <v>95.010280290434139</v>
      </c>
      <c r="J19" s="422">
        <f>[25]Brewhouse!$AV90</f>
        <v>96.89207593891868</v>
      </c>
      <c r="K19" s="476">
        <f>[25]Brewhouse!$R90</f>
        <v>10.436300174520065</v>
      </c>
      <c r="L19" s="276">
        <f>[25]Brewhouse!$O90</f>
        <v>58</v>
      </c>
      <c r="M19" s="374">
        <f>[25]Brewhouse!$U90-[25]Brewhouse!$T90</f>
        <v>0.13263888888888897</v>
      </c>
      <c r="N19" s="370">
        <f>[25]Brewhouse!$Z90</f>
        <v>0.28472222222222221</v>
      </c>
      <c r="O19" s="423" t="str">
        <f>[25]Brewhouse!$AW90</f>
        <v>R. Regis</v>
      </c>
      <c r="P19" s="418" t="s">
        <v>193</v>
      </c>
      <c r="R19" s="277" t="str">
        <f t="shared" si="10"/>
        <v>GUINNESS</v>
      </c>
      <c r="S19" s="296">
        <f t="shared" si="1"/>
        <v>17</v>
      </c>
      <c r="T19" s="296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296">
        <f t="shared" si="8"/>
        <v>60</v>
      </c>
    </row>
    <row r="20" spans="1:27" ht="15.75" customHeight="1">
      <c r="B20" s="477">
        <v>45898</v>
      </c>
      <c r="C20" s="366"/>
      <c r="D20" s="279"/>
      <c r="E20" s="279"/>
      <c r="F20" s="278"/>
      <c r="G20" s="279"/>
      <c r="H20" s="396"/>
      <c r="I20" s="422"/>
      <c r="J20" s="422"/>
      <c r="K20" s="476"/>
      <c r="L20" s="276"/>
      <c r="M20" s="374"/>
      <c r="N20" s="370"/>
      <c r="O20" s="423"/>
      <c r="P20" s="418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1:27" ht="15.75" customHeight="1">
      <c r="B21" s="34" t="s">
        <v>12</v>
      </c>
      <c r="C21" s="366" t="str">
        <f>[25]Brewhouse!$A91</f>
        <v>GU082</v>
      </c>
      <c r="D21" s="279">
        <f>[25]Brewhouse!$AF91</f>
        <v>53</v>
      </c>
      <c r="E21" s="279">
        <f>[25]Brewhouse!$AI91</f>
        <v>51.6</v>
      </c>
      <c r="F21" s="278">
        <f>[25]Brewhouse!$V91</f>
        <v>66</v>
      </c>
      <c r="G21" s="279">
        <f>[25]Brewhouse!$AG91</f>
        <v>17.5</v>
      </c>
      <c r="H21" s="367"/>
      <c r="I21" s="422">
        <f>[25]Brewhouse!$AU91</f>
        <v>97.886445156995904</v>
      </c>
      <c r="J21" s="422">
        <f>[25]Brewhouse!$AV91</f>
        <v>99.824523329716314</v>
      </c>
      <c r="K21" s="476">
        <f>[25]Brewhouse!$R91</f>
        <v>10.01733102253033</v>
      </c>
      <c r="L21" s="276">
        <f>[25]Brewhouse!$O91</f>
        <v>59</v>
      </c>
      <c r="M21" s="374">
        <f>[25]Brewhouse!$U91-[25]Brewhouse!$T91</f>
        <v>0.12083333333333335</v>
      </c>
      <c r="N21" s="370">
        <f>[25]Brewhouse!$Z91</f>
        <v>0.28472222222222232</v>
      </c>
      <c r="O21" s="423" t="str">
        <f>[25]Brewhouse!$AW91</f>
        <v>R. Regis</v>
      </c>
      <c r="P21" s="418"/>
      <c r="R21" s="277" t="str">
        <f t="shared" si="10"/>
        <v>GUINNESS</v>
      </c>
      <c r="S21" s="296">
        <f t="shared" si="1"/>
        <v>17</v>
      </c>
      <c r="T21" s="296">
        <f t="shared" si="2"/>
        <v>17.5</v>
      </c>
      <c r="U21" s="297">
        <f t="shared" si="3"/>
        <v>0</v>
      </c>
      <c r="V21" s="297">
        <f t="shared" si="4"/>
        <v>0.1076388888888889</v>
      </c>
      <c r="W21" s="297">
        <f t="shared" si="5"/>
        <v>0.24652777777777779</v>
      </c>
      <c r="X21" s="297">
        <f t="shared" si="6"/>
        <v>0.28472222222222221</v>
      </c>
      <c r="Y21" s="297">
        <f t="shared" si="7"/>
        <v>0</v>
      </c>
      <c r="Z21" s="296">
        <f t="shared" si="8"/>
        <v>60</v>
      </c>
    </row>
    <row r="22" spans="1:27" ht="15.75" customHeight="1">
      <c r="B22" s="34"/>
      <c r="C22" s="366"/>
      <c r="D22" s="279"/>
      <c r="E22" s="279"/>
      <c r="F22" s="278"/>
      <c r="G22" s="279"/>
      <c r="H22" s="396"/>
      <c r="I22" s="422"/>
      <c r="J22" s="422"/>
      <c r="K22" s="476"/>
      <c r="L22" s="276"/>
      <c r="M22" s="374"/>
      <c r="N22" s="370"/>
      <c r="O22" s="423"/>
      <c r="P22" s="418"/>
      <c r="R22" s="277">
        <f t="shared" si="1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1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1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29"/>
      <c r="J25" s="529"/>
      <c r="K25" s="529"/>
      <c r="L25" s="529"/>
      <c r="M25" s="529"/>
      <c r="N25" s="529"/>
      <c r="O25" s="1"/>
      <c r="P25" s="12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thickBot="1">
      <c r="B26" s="388" t="s">
        <v>162</v>
      </c>
      <c r="C26" s="388"/>
      <c r="D26" s="542" t="s">
        <v>35</v>
      </c>
      <c r="E26" s="543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customHeight="1">
      <c r="A27" s="28"/>
      <c r="B27" s="583" t="str">
        <f>I27</f>
        <v>CARIB</v>
      </c>
      <c r="C27" s="362" cm="1">
        <f t="array" ref="C27:C34">[24]Process!$D$655:$D$662</f>
        <v>11.9</v>
      </c>
      <c r="D27" s="533">
        <v>11.71</v>
      </c>
      <c r="E27" s="522"/>
      <c r="F27" s="294"/>
      <c r="G27" s="294"/>
      <c r="H27" s="348"/>
      <c r="I27" s="29" t="s">
        <v>6</v>
      </c>
      <c r="J27" s="280">
        <f>AVERAGE(I10:I12)</f>
        <v>96.7927187236984</v>
      </c>
      <c r="K27" s="284">
        <f>COUNTA([24]Brewhouse!$A$655:$A$738)</f>
        <v>84</v>
      </c>
      <c r="L27" s="305">
        <f>AVERAGE([24]Brewhouse!$AU$655:$AU$738)</f>
        <v>96.597687390585094</v>
      </c>
      <c r="M27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$738)</f>
        <v>97.707262129538279</v>
      </c>
      <c r="N27" s="30">
        <v>98</v>
      </c>
      <c r="O27" s="11"/>
      <c r="P27" s="31"/>
      <c r="R27" s="277" t="str">
        <f t="shared" si="9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1:27" ht="15" customHeight="1">
      <c r="A28" s="28"/>
      <c r="B28" s="584"/>
      <c r="C28" s="362">
        <v>11.7</v>
      </c>
      <c r="D28" s="534"/>
      <c r="E28" s="517"/>
      <c r="F28" s="294"/>
      <c r="G28" s="294"/>
      <c r="H28" s="348"/>
      <c r="I28" s="33" t="s">
        <v>9</v>
      </c>
      <c r="J28" s="280"/>
      <c r="K28" s="284">
        <f>COUNTA([22]Brewhouse!$A$324:$A$359)</f>
        <v>36</v>
      </c>
      <c r="L28" s="302">
        <f>AVERAGE([22]Brewhouse!$AS$324:$AS$359)</f>
        <v>98.059965040755458</v>
      </c>
      <c r="M28" s="302">
        <f>AVERAGE([22]Brewhouse!$AS$15:$AS$64,[22]Brewhouse!$AS$66:$AS$103,[22]Brewhouse!$AS$105:$AS$140,[22]Brewhouse!$AS$142:$AS$193,[22]Brewhouse!$AS$195:$AS$240,[22]Brewhouse!$AS$242:$AS$273,[22]Brewhouse!$AS$275:$AS$322,[22]Brewhouse!$AS$324:$AS$359)</f>
        <v>98.065489639180555</v>
      </c>
      <c r="N28" s="30">
        <v>98</v>
      </c>
      <c r="O28" s="11"/>
      <c r="P28" s="31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7" ht="14.65" customHeight="1">
      <c r="A29" s="28"/>
      <c r="B29" s="584"/>
      <c r="C29" s="362">
        <v>11.9</v>
      </c>
      <c r="D29" s="533">
        <v>11.65</v>
      </c>
      <c r="E29" s="522"/>
      <c r="F29" s="294"/>
      <c r="G29" s="294"/>
      <c r="H29" s="348"/>
      <c r="I29" s="34" t="s">
        <v>12</v>
      </c>
      <c r="J29" s="280">
        <f>AVERAGE(I14:I20)</f>
        <v>96.463282213266481</v>
      </c>
      <c r="K29" s="284">
        <f>COUNTA([25]Brewhouse!$A$81:$A$90)</f>
        <v>10</v>
      </c>
      <c r="L29" s="302">
        <f>AVERAGE([25]Brewhouse!$AU$81:$AU$90)</f>
        <v>96.28611972503964</v>
      </c>
      <c r="M29" s="302">
        <f>AVERAGE([25]Brewhouse!$AU$4:$AU$7,[25]Brewhouse!$AU$9:$AU$22,[25]Brewhouse!$AU$24:$AU$35,[25]Brewhouse!$AU$37:$AU$45,[25]Brewhouse!$AU$47:$AU$62,[25]Brewhouse!$AU$64:$AU$79,[25]Brewhouse!$AU$81:$AU$90)</f>
        <v>96.9284505114788</v>
      </c>
      <c r="N29" s="30">
        <v>98</v>
      </c>
      <c r="O29" s="11"/>
      <c r="P29" s="31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1:27" ht="14.65" customHeight="1">
      <c r="A30" s="28"/>
      <c r="B30" s="584"/>
      <c r="C30" s="362">
        <v>11.9</v>
      </c>
      <c r="D30" s="534"/>
      <c r="E30" s="517"/>
      <c r="F30" s="294"/>
      <c r="G30" s="294"/>
      <c r="H30" s="348"/>
      <c r="I30" s="22" t="s">
        <v>33</v>
      </c>
      <c r="J30" s="280"/>
      <c r="K30" s="284">
        <f>COUNTA([26]Brewhouse!$A$64:$A$77)</f>
        <v>14</v>
      </c>
      <c r="L30" s="302">
        <f>AVERAGE([26]Brewhouse!$AV$64:$AV$77)</f>
        <v>97.585594897114063</v>
      </c>
      <c r="M30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30" s="30">
        <v>98</v>
      </c>
      <c r="O30" s="11"/>
      <c r="P30" s="31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1:27" ht="14.65" customHeight="1">
      <c r="A31" s="28"/>
      <c r="B31" s="584"/>
      <c r="C31" s="362">
        <v>12</v>
      </c>
      <c r="D31" s="533">
        <v>11.52</v>
      </c>
      <c r="E31" s="522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7" ht="14.65" customHeight="1">
      <c r="A32" s="28"/>
      <c r="B32" s="584"/>
      <c r="C32" s="362">
        <v>11.8</v>
      </c>
      <c r="D32" s="534"/>
      <c r="E32" s="517"/>
      <c r="F32" s="417"/>
      <c r="G32" s="294"/>
      <c r="H32" s="348"/>
      <c r="I32" s="36" t="s">
        <v>15</v>
      </c>
      <c r="J32" s="323"/>
      <c r="K32" s="284"/>
      <c r="L32" s="302"/>
      <c r="M32" s="302">
        <f>AVERAGE([27]Brewhouse!$AT$4:$AT$11,[27]Brewhouse!$AT$13:$AT$16,[27]Brewhouse!$AT$18:$AT$21,[27]Brewhouse!$AT$26)</f>
        <v>94.588057846623641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65" customHeight="1">
      <c r="A33" s="28"/>
      <c r="B33" s="584"/>
      <c r="C33" s="362">
        <v>11.7</v>
      </c>
      <c r="D33" s="533">
        <v>11.6</v>
      </c>
      <c r="E33" s="522"/>
      <c r="F33" s="417"/>
      <c r="G33" s="294"/>
      <c r="H33" s="348"/>
      <c r="I33" s="37" t="s">
        <v>16</v>
      </c>
      <c r="J33" s="323"/>
      <c r="K33" s="284"/>
      <c r="L33" s="302"/>
      <c r="M33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65" customHeight="1">
      <c r="A34" s="28"/>
      <c r="B34" s="584"/>
      <c r="C34" s="362">
        <v>11.8</v>
      </c>
      <c r="D34" s="534"/>
      <c r="E34" s="517"/>
      <c r="F34" s="294"/>
      <c r="G34" s="294"/>
      <c r="H34" s="348"/>
      <c r="I34" s="411" t="s">
        <v>158</v>
      </c>
      <c r="J34" s="326"/>
      <c r="K34" s="284"/>
      <c r="L34" s="305"/>
      <c r="M34" s="305">
        <f>AVERAGE([28]Brewhouse!$AU$5:$AU$8,[28]Brewhouse!$AU$10:$AU$13)</f>
        <v>94.247666625193744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65" customHeight="1">
      <c r="A35" s="28"/>
      <c r="B35" s="584"/>
      <c r="C35" s="349"/>
      <c r="D35" s="533"/>
      <c r="E35" s="522"/>
      <c r="F35" s="294"/>
      <c r="G35" s="294"/>
      <c r="H35" s="348"/>
      <c r="I35" s="410" t="s">
        <v>157</v>
      </c>
      <c r="J35" s="326"/>
      <c r="K35" s="284"/>
      <c r="L35" s="305"/>
      <c r="M35" s="305">
        <f>AVERAGE([29]Brewhouse!$AW$26:$AW$27)</f>
        <v>95.310680905194914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584"/>
      <c r="C36" s="349"/>
      <c r="D36" s="534"/>
      <c r="E36" s="517"/>
      <c r="F36" s="294"/>
      <c r="G36" s="294"/>
      <c r="H36" s="348"/>
      <c r="I36" s="406" t="s">
        <v>156</v>
      </c>
      <c r="J36" s="327"/>
      <c r="K36" s="407"/>
      <c r="L36" s="408"/>
      <c r="M36" s="408">
        <f>AVERAGE([30]Brewhouse!$AU$13:$AU$14)</f>
        <v>97.110575243268045</v>
      </c>
      <c r="N36" s="409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584"/>
      <c r="C37" s="349"/>
      <c r="D37" s="533"/>
      <c r="E37" s="522"/>
      <c r="F37" s="294"/>
      <c r="G37" s="294"/>
      <c r="H37" s="348"/>
      <c r="I37" s="1"/>
      <c r="J37" s="39"/>
      <c r="K37" s="404">
        <f>SUM(K27:K36)</f>
        <v>144</v>
      </c>
      <c r="L37" s="405">
        <f>((L27*K27)+(L28*K28)+(L29*K29)+(L30*K30)+(L31*K31)+(K34*L34)+(L32*K32)+(L33*K33)+(L36*K36))/(K37)</f>
        <v>97.037666722821797</v>
      </c>
      <c r="M37" s="405">
        <f>AVERAGE('[31]Jan 31st'!$L$65,'[32]Feb 28th'!$L$35,'[33]Mar. 31st'!$L$35,'[34]Apr. 30th'!$L$45,'[35]May 30th'!$L$37,'[36]June 30th'!$L$57,L37)</f>
        <v>97.569939602840535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.75" thickBot="1">
      <c r="B38" s="585"/>
      <c r="C38" s="350"/>
      <c r="D38" s="534"/>
      <c r="E38" s="517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.75" thickBot="1">
      <c r="B39" s="594" t="str">
        <f>I29</f>
        <v>GUINNESS</v>
      </c>
      <c r="C39" s="362" cm="1">
        <f t="array" ref="C39:C42">[25]Process!$D$93:$D$96</f>
        <v>17.600000000000001</v>
      </c>
      <c r="D39" s="514">
        <v>17.16</v>
      </c>
      <c r="E39" s="515"/>
      <c r="F39" s="294"/>
      <c r="G39" s="42"/>
      <c r="H39" s="41"/>
      <c r="I39" s="42"/>
      <c r="J39" s="569" t="s">
        <v>129</v>
      </c>
      <c r="K39" s="569"/>
      <c r="L39" s="294"/>
      <c r="M39" s="294"/>
      <c r="N39" s="294"/>
      <c r="O39" s="294"/>
      <c r="P39" s="12"/>
    </row>
    <row r="40" spans="1:56" ht="15.75" thickBot="1">
      <c r="B40" s="595"/>
      <c r="C40" s="362">
        <v>17.2</v>
      </c>
      <c r="D40" s="516"/>
      <c r="E40" s="517"/>
      <c r="F40" s="294"/>
      <c r="G40" s="42"/>
      <c r="H40" s="41"/>
      <c r="I40" s="42"/>
      <c r="J40" s="292" t="s">
        <v>17</v>
      </c>
      <c r="K40" s="293" t="s">
        <v>147</v>
      </c>
      <c r="L40" s="519" t="s">
        <v>136</v>
      </c>
      <c r="M40" s="519"/>
      <c r="N40" s="520"/>
      <c r="O40" s="294"/>
      <c r="P40" s="12"/>
    </row>
    <row r="41" spans="1:56" ht="15" customHeight="1" thickBot="1">
      <c r="B41" s="595"/>
      <c r="C41" s="349">
        <v>17.2</v>
      </c>
      <c r="D41" s="570">
        <v>16.940000000000001</v>
      </c>
      <c r="E41" s="571"/>
      <c r="F41" s="294"/>
      <c r="G41" s="42"/>
      <c r="H41" s="41"/>
      <c r="I41" s="42"/>
      <c r="J41" s="287" t="s">
        <v>6</v>
      </c>
      <c r="K41" s="324">
        <v>3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95"/>
      <c r="C42" s="349">
        <v>17.2</v>
      </c>
      <c r="D42" s="516"/>
      <c r="E42" s="517"/>
      <c r="F42" s="294"/>
      <c r="G42" s="42"/>
      <c r="H42" s="41"/>
      <c r="I42" s="42"/>
      <c r="J42" s="345" t="s">
        <v>9</v>
      </c>
      <c r="K42" s="324"/>
      <c r="L42" s="344">
        <f>AVERAGE('Aug 4th '!K58,'Aug 5th '!K58,'Aug 6th '!K58,'Aug 7th '!K58,'Aug 8th '!K48,'Aug 13th'!K52,'Aug 14th'!K51,'Aug 15th-16th'!J57,'Aug 15th-16th'!K57,'Aug 18th'!K54,'Aug 19th'!K56,'Aug 20th'!K59,'Aug 22nd-23rd'!J53,'Aug 22nd-23rd'!K53,'Aug 25th'!K53,'Aug 26th'!K49,'Aug 27th'!K50,'Aug 28th'!K51)</f>
        <v>7.6111111111111107</v>
      </c>
      <c r="M42" s="325">
        <f>AVERAGE('[31]Jan 29th '!$M$70,'[32]Feb 28th'!$L$40,'[33]Mar. 31st'!$L$40,'[34]Apr. 30th'!$L$50,'[35]May 30th'!$L$42,'[36]June 30th'!$L$62,'[37]July 29th '!$L$49,L42)</f>
        <v>6.9910034981545266</v>
      </c>
      <c r="N42" s="416">
        <v>9.1999999999999993</v>
      </c>
      <c r="O42" s="294"/>
      <c r="P42" s="12"/>
    </row>
    <row r="43" spans="1:56" ht="15" customHeight="1">
      <c r="B43" s="595"/>
      <c r="C43" s="349"/>
      <c r="D43" s="570"/>
      <c r="E43" s="571"/>
      <c r="F43" s="294"/>
      <c r="G43" s="42"/>
      <c r="H43" s="41"/>
      <c r="I43" s="42"/>
      <c r="J43" s="288" t="s">
        <v>40</v>
      </c>
      <c r="K43" s="324">
        <v>6</v>
      </c>
      <c r="L43" s="294"/>
      <c r="M43" s="294"/>
      <c r="N43" s="294"/>
      <c r="O43" s="294"/>
      <c r="P43" s="12"/>
    </row>
    <row r="44" spans="1:56" ht="15" customHeight="1">
      <c r="B44" s="595"/>
      <c r="C44" s="349"/>
      <c r="D44" s="516"/>
      <c r="E44" s="517"/>
      <c r="F44" s="294"/>
      <c r="G44" s="42"/>
      <c r="H44" s="41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95"/>
      <c r="C45" s="349"/>
      <c r="D45" s="570"/>
      <c r="E45" s="571"/>
      <c r="F45" s="294"/>
      <c r="G45" s="42"/>
      <c r="H45" s="41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95"/>
      <c r="C46" s="349"/>
      <c r="D46" s="516"/>
      <c r="E46" s="517"/>
      <c r="F46" s="294"/>
      <c r="G46" s="42"/>
      <c r="H46" s="41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95"/>
      <c r="C47" s="349"/>
      <c r="D47" s="570"/>
      <c r="E47" s="571"/>
      <c r="F47" s="294"/>
      <c r="G47" s="42"/>
      <c r="H47" s="41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96"/>
      <c r="C48" s="350"/>
      <c r="D48" s="572"/>
      <c r="E48" s="573"/>
      <c r="F48" s="294"/>
      <c r="G48" s="42"/>
      <c r="H48" s="41"/>
      <c r="I48" s="42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74">
        <f>AVERAGE(D27:E48)</f>
        <v>13.43</v>
      </c>
      <c r="E49" s="575"/>
      <c r="F49" s="294"/>
      <c r="H49" s="41"/>
      <c r="I49" s="42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1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1"/>
      <c r="I51" s="42"/>
      <c r="J51" s="346" t="s">
        <v>130</v>
      </c>
      <c r="K51" s="324">
        <f>SUM(K41:K50)</f>
        <v>9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495" t="s">
        <v>17</v>
      </c>
      <c r="C54" s="495" t="s">
        <v>44</v>
      </c>
      <c r="D54" s="507" t="s">
        <v>45</v>
      </c>
      <c r="E54" s="509" t="s">
        <v>46</v>
      </c>
      <c r="F54" s="503" t="s">
        <v>47</v>
      </c>
      <c r="G54" s="493" t="s">
        <v>48</v>
      </c>
      <c r="H54" s="495" t="s">
        <v>49</v>
      </c>
      <c r="I54" s="495" t="s">
        <v>50</v>
      </c>
      <c r="J54" s="487" t="s">
        <v>28</v>
      </c>
      <c r="K54" s="499" t="s">
        <v>51</v>
      </c>
      <c r="L54" s="501" t="s">
        <v>52</v>
      </c>
      <c r="M54" s="487" t="s">
        <v>53</v>
      </c>
      <c r="N54" s="13"/>
      <c r="O54" s="13"/>
      <c r="P54" s="50"/>
    </row>
    <row r="55" spans="2:57" ht="28.5" customHeight="1" thickTop="1" thickBot="1">
      <c r="B55" s="496"/>
      <c r="C55" s="496"/>
      <c r="D55" s="508"/>
      <c r="E55" s="510"/>
      <c r="F55" s="504"/>
      <c r="G55" s="494"/>
      <c r="H55" s="496"/>
      <c r="I55" s="496"/>
      <c r="J55" s="488"/>
      <c r="K55" s="500"/>
      <c r="L55" s="502"/>
      <c r="M55" s="488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9.45" customHeight="1" thickBot="1">
      <c r="B56" s="475" t="str">
        <f>J41</f>
        <v>CARIB</v>
      </c>
      <c r="C56" s="445">
        <v>45897</v>
      </c>
      <c r="D56" s="446">
        <f>[38]August_2025!$AE$3</f>
        <v>408.09999999999997</v>
      </c>
      <c r="E56" s="447"/>
      <c r="F56" s="448"/>
      <c r="G56" s="449">
        <f>[38]August_2025!$AE$7</f>
        <v>385.7</v>
      </c>
      <c r="H56" s="450"/>
      <c r="I56" s="451"/>
      <c r="J56" s="452" t="s">
        <v>178</v>
      </c>
      <c r="K56" s="453">
        <f>[39]August_2025!$AE$18</f>
        <v>0.67666666666666664</v>
      </c>
      <c r="L56" s="466">
        <f>(((D56+E56)-G56)/(D56+E56))*100</f>
        <v>5.4888507718696351</v>
      </c>
      <c r="M56" s="465" t="s">
        <v>204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[20]January_2019!L7</f>
        <v>285.8</v>
      </c>
      <c r="AC56" s="57">
        <f>[20]January_2019!M7</f>
        <v>508.1</v>
      </c>
      <c r="AD56" s="57">
        <f>[20]January_2019!N7</f>
        <v>0</v>
      </c>
      <c r="AE56" s="57">
        <f>[20]January_2019!O7</f>
        <v>0</v>
      </c>
      <c r="AF56" s="57">
        <f>[20]January_2019!P7</f>
        <v>109.56666666666666</v>
      </c>
      <c r="AG56" s="57">
        <f>[20]January_2019!Q7</f>
        <v>297.64999999999998</v>
      </c>
      <c r="AH56" s="57">
        <f>[20]January_2019!R7</f>
        <v>122.3</v>
      </c>
      <c r="AI56" s="57">
        <f>[20]January_2019!S7</f>
        <v>0</v>
      </c>
      <c r="AJ56" s="57">
        <f>[20]January_2019!T7</f>
        <v>294.7</v>
      </c>
      <c r="AK56" s="57">
        <f>[20]January_2019!U7</f>
        <v>280.5</v>
      </c>
      <c r="AL56" s="57">
        <f>[20]January_2019!V7</f>
        <v>0</v>
      </c>
      <c r="AM56" s="57">
        <f>[20]January_2019!W7</f>
        <v>0</v>
      </c>
      <c r="AN56" s="57">
        <f>[20]January_2019!X7</f>
        <v>188.25</v>
      </c>
      <c r="AO56" s="57">
        <f>[20]January_2019!Y7</f>
        <v>295.7</v>
      </c>
      <c r="AP56" s="57">
        <f>[20]January_2019!Z7</f>
        <v>257.8</v>
      </c>
      <c r="AQ56" s="57">
        <f>[20]January_2019!AA7</f>
        <v>291.2</v>
      </c>
      <c r="AR56" s="57">
        <f>[20]January_2019!AB7</f>
        <v>187</v>
      </c>
      <c r="AS56" s="57">
        <f>[20]January_2019!AC7</f>
        <v>0</v>
      </c>
      <c r="AT56" s="57">
        <f>[20]January_2019!AD7</f>
        <v>0</v>
      </c>
      <c r="AU56" s="57">
        <f>[20]January_2019!AE7</f>
        <v>485.1</v>
      </c>
      <c r="AV56" s="57">
        <f>[20]January_2019!AF7</f>
        <v>171.55</v>
      </c>
      <c r="AW56" s="57">
        <f>[20]January_2019!AG7</f>
        <v>423.8</v>
      </c>
      <c r="AX56" s="277">
        <f>[20]January_2019!AH7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20.45" customHeight="1" thickBot="1">
      <c r="B57" s="469"/>
      <c r="C57" s="434"/>
      <c r="D57" s="435"/>
      <c r="E57" s="436"/>
      <c r="F57" s="437"/>
      <c r="G57" s="438"/>
      <c r="H57" s="439"/>
      <c r="I57" s="454"/>
      <c r="J57" s="455"/>
      <c r="K57" s="440"/>
      <c r="L57" s="456"/>
      <c r="M57" s="42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59.45" customHeight="1" thickBot="1">
      <c r="B58" s="483" t="str">
        <f>J43</f>
        <v>GUINN</v>
      </c>
      <c r="C58" s="445">
        <v>45897</v>
      </c>
      <c r="D58" s="446">
        <f>[38]August_2025!$AE$23</f>
        <v>204.9</v>
      </c>
      <c r="E58" s="447"/>
      <c r="F58" s="448"/>
      <c r="G58" s="449">
        <f>[38]August_2025!$AE$28</f>
        <v>194.39999999999998</v>
      </c>
      <c r="H58" s="450"/>
      <c r="I58" s="451"/>
      <c r="J58" s="452" t="s">
        <v>178</v>
      </c>
      <c r="K58" s="453"/>
      <c r="L58" s="464">
        <f>(((D58+E58)-G58)/(D58+E58))*100</f>
        <v>5.1244509516837624</v>
      </c>
      <c r="M58" s="465" t="s">
        <v>175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5.75" hidden="1" thickBot="1">
      <c r="B59" s="458"/>
      <c r="C59" s="434"/>
      <c r="D59" s="435"/>
      <c r="E59" s="436"/>
      <c r="F59" s="437"/>
      <c r="G59" s="438"/>
      <c r="H59" s="439"/>
      <c r="I59" s="454"/>
      <c r="J59" s="455"/>
      <c r="K59" s="440"/>
      <c r="L59" s="456"/>
      <c r="M59" s="42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6.6" hidden="1" customHeight="1" thickBot="1">
      <c r="B60" s="387"/>
      <c r="C60" s="445">
        <v>45873</v>
      </c>
      <c r="D60" s="446"/>
      <c r="E60" s="447"/>
      <c r="F60" s="448"/>
      <c r="G60" s="449"/>
      <c r="H60" s="450"/>
      <c r="I60" s="451"/>
      <c r="J60" s="452" t="s">
        <v>163</v>
      </c>
      <c r="K60" s="453"/>
      <c r="L60" s="459" t="e">
        <f>(((D60+E60)-G60)/(D60+E60))*100</f>
        <v>#DIV/0!</v>
      </c>
      <c r="M60" s="46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 thickBot="1">
      <c r="B61" s="441"/>
      <c r="C61" s="427"/>
      <c r="D61" s="428"/>
      <c r="E61" s="429"/>
      <c r="F61" s="430"/>
      <c r="G61" s="431"/>
      <c r="H61" s="432"/>
      <c r="I61" s="442"/>
      <c r="J61" s="443"/>
      <c r="K61" s="433"/>
      <c r="L61" s="444"/>
      <c r="M61" s="426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489" t="s">
        <v>55</v>
      </c>
      <c r="C63" s="490"/>
      <c r="D63" s="490"/>
      <c r="E63" s="490"/>
      <c r="F63" s="491"/>
      <c r="G63" s="489" t="s">
        <v>56</v>
      </c>
      <c r="H63" s="490"/>
      <c r="I63" s="490"/>
      <c r="J63" s="491"/>
      <c r="K63" s="489" t="s">
        <v>51</v>
      </c>
      <c r="L63" s="490"/>
      <c r="M63" s="490"/>
      <c r="N63" s="492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L56</f>
        <v>5.4888507718696351</v>
      </c>
      <c r="D65" s="76">
        <v>4.9926975712663166</v>
      </c>
      <c r="E65" s="76">
        <v>6.1863053119627098</v>
      </c>
      <c r="F65" s="66">
        <v>4.8</v>
      </c>
      <c r="G65" s="65">
        <f>[38]August_2025!$AE$11</f>
        <v>7.2447121872549394</v>
      </c>
      <c r="H65" s="76">
        <v>6.9680928977540333</v>
      </c>
      <c r="I65" s="76">
        <v>6.2747379448232614</v>
      </c>
      <c r="J65" s="66">
        <v>4.8</v>
      </c>
      <c r="K65" s="67">
        <f>K56</f>
        <v>0.67666666666666664</v>
      </c>
      <c r="L65" s="194">
        <v>1.0257456140350876</v>
      </c>
      <c r="M65" s="194">
        <v>0.76728814457591332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4.8352458838586454</v>
      </c>
      <c r="E66" s="76">
        <v>5.8467024060595829</v>
      </c>
      <c r="F66" s="66">
        <v>4.8</v>
      </c>
      <c r="G66" s="65"/>
      <c r="H66" s="76">
        <v>5.4081292916136592</v>
      </c>
      <c r="I66" s="76">
        <v>5.5174185987401785</v>
      </c>
      <c r="J66" s="66">
        <v>4.8</v>
      </c>
      <c r="K66" s="67"/>
      <c r="L66" s="194">
        <v>0.673187134502924</v>
      </c>
      <c r="M66" s="194">
        <v>0.75083800083487295</v>
      </c>
      <c r="N66" s="68">
        <v>1</v>
      </c>
      <c r="P66" s="69"/>
    </row>
    <row r="67" spans="2:16" ht="15">
      <c r="B67" s="34" t="s">
        <v>40</v>
      </c>
      <c r="C67" s="65">
        <f>L58</f>
        <v>5.1244509516837624</v>
      </c>
      <c r="D67" s="76">
        <v>7.8197165153686754</v>
      </c>
      <c r="E67" s="76">
        <v>11.234664338556245</v>
      </c>
      <c r="F67" s="66">
        <v>5.5</v>
      </c>
      <c r="G67" s="65">
        <f>[38]August_2025!$AE$32</f>
        <v>10.051578450143497</v>
      </c>
      <c r="H67" s="76">
        <v>10.387665592755834</v>
      </c>
      <c r="I67" s="76">
        <v>12.922645762818227</v>
      </c>
      <c r="J67" s="66">
        <v>5.5</v>
      </c>
      <c r="K67" s="67">
        <f>[39]August_2025!$AE$32</f>
        <v>0.34105263157894733</v>
      </c>
      <c r="L67" s="194">
        <v>0.50771929824561401</v>
      </c>
      <c r="M67" s="194">
        <v>0.53918754349338904</v>
      </c>
      <c r="N67" s="68">
        <v>1</v>
      </c>
      <c r="P67" s="69"/>
    </row>
    <row r="68" spans="2:16" ht="15">
      <c r="B68" s="22" t="s">
        <v>33</v>
      </c>
      <c r="C68" s="65"/>
      <c r="D68" s="76">
        <v>3.992015968063888</v>
      </c>
      <c r="E68" s="76">
        <v>4.8818566667667298</v>
      </c>
      <c r="F68" s="66">
        <v>3.3</v>
      </c>
      <c r="G68" s="65"/>
      <c r="H68" s="76">
        <v>4.3345910844408779</v>
      </c>
      <c r="I68" s="76">
        <v>4.7612385632312364</v>
      </c>
      <c r="J68" s="66">
        <v>3.3</v>
      </c>
      <c r="K68" s="67"/>
      <c r="L68" s="194">
        <v>1.016578947368421</v>
      </c>
      <c r="M68" s="194">
        <v>0.82603070175438598</v>
      </c>
      <c r="N68" s="68">
        <v>1</v>
      </c>
      <c r="P68" s="69"/>
    </row>
    <row r="69" spans="2:16" ht="15">
      <c r="B69" s="35" t="s">
        <v>165</v>
      </c>
      <c r="C69" s="65"/>
      <c r="D69" s="76"/>
      <c r="E69" s="76">
        <v>7.837301587301579</v>
      </c>
      <c r="F69" s="66">
        <v>3.3</v>
      </c>
      <c r="G69" s="282"/>
      <c r="H69" s="76"/>
      <c r="I69" s="76">
        <v>5.3377569154690221</v>
      </c>
      <c r="J69" s="66">
        <v>3</v>
      </c>
      <c r="K69" s="67"/>
      <c r="L69" s="194"/>
      <c r="M69" s="194">
        <v>0.32596491228070179</v>
      </c>
      <c r="N69" s="68">
        <v>1</v>
      </c>
      <c r="P69" s="69"/>
    </row>
    <row r="70" spans="2:16" ht="15">
      <c r="B70" s="36" t="s">
        <v>15</v>
      </c>
      <c r="C70" s="65"/>
      <c r="D70" s="76">
        <v>5.2552552552552552</v>
      </c>
      <c r="E70" s="76">
        <v>6.9158697961943529</v>
      </c>
      <c r="F70" s="70">
        <f>[21]May_2022!$M$43</f>
        <v>3.4878406700073312</v>
      </c>
      <c r="G70" s="282"/>
      <c r="H70" s="76">
        <v>6.7916330640214131</v>
      </c>
      <c r="I70" s="76">
        <v>8.5598888260252064</v>
      </c>
      <c r="J70" s="66">
        <v>5.5</v>
      </c>
      <c r="K70" s="67"/>
      <c r="L70" s="194">
        <v>0.66421052631578947</v>
      </c>
      <c r="M70" s="194">
        <v>0.60705263157894729</v>
      </c>
      <c r="N70" s="68">
        <v>1</v>
      </c>
      <c r="P70" s="69"/>
    </row>
    <row r="71" spans="2:16" ht="15">
      <c r="B71" s="37" t="s">
        <v>16</v>
      </c>
      <c r="C71" s="65"/>
      <c r="D71" s="76">
        <v>4.1414141414141357</v>
      </c>
      <c r="E71" s="76">
        <v>3.0301127264734369</v>
      </c>
      <c r="F71" s="66">
        <v>3.3</v>
      </c>
      <c r="G71" s="282"/>
      <c r="H71" s="76">
        <v>7.0415942868172152</v>
      </c>
      <c r="I71" s="76">
        <v>4.4974189022907662</v>
      </c>
      <c r="J71" s="66">
        <v>3.3</v>
      </c>
      <c r="K71" s="67"/>
      <c r="L71" s="194">
        <v>0.33298245614035088</v>
      </c>
      <c r="M71" s="194">
        <v>0.80374720357941831</v>
      </c>
      <c r="N71" s="71">
        <v>1</v>
      </c>
      <c r="P71" s="69"/>
    </row>
    <row r="72" spans="2:16" ht="15.75" thickBot="1">
      <c r="B72" s="38" t="s">
        <v>164</v>
      </c>
      <c r="C72" s="65"/>
      <c r="D72" s="76"/>
      <c r="E72" s="76">
        <v>11.483253588516746</v>
      </c>
      <c r="F72" s="66">
        <v>7.5</v>
      </c>
      <c r="G72" s="282"/>
      <c r="H72" s="76"/>
      <c r="I72" s="76">
        <v>9.7934336121043764</v>
      </c>
      <c r="J72" s="66">
        <v>7.5</v>
      </c>
      <c r="K72" s="67"/>
      <c r="M72" s="194">
        <v>0.32456140350877194</v>
      </c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>
        <v>7.2653644592663174</v>
      </c>
      <c r="F73" s="66">
        <v>4.8</v>
      </c>
      <c r="G73" s="282"/>
      <c r="H73" s="76"/>
      <c r="I73" s="76">
        <v>8.1715311054411259</v>
      </c>
      <c r="J73" s="66">
        <v>4.8</v>
      </c>
      <c r="K73" s="67"/>
      <c r="L73" s="194"/>
      <c r="M73" s="194">
        <v>0.51368421052631585</v>
      </c>
      <c r="N73" s="71">
        <v>1</v>
      </c>
      <c r="O73" s="74"/>
      <c r="P73" s="75"/>
    </row>
    <row r="74" spans="2:16" ht="15">
      <c r="D74" s="76">
        <v>5.1154734238954784</v>
      </c>
      <c r="E74" s="76">
        <v>6.2548613910040505</v>
      </c>
      <c r="F74" s="341">
        <v>5.5</v>
      </c>
      <c r="H74" s="76">
        <v>6.7645264921372448</v>
      </c>
      <c r="I74" s="76">
        <v>6.5991187345197613</v>
      </c>
      <c r="J74" s="341">
        <v>5.5</v>
      </c>
      <c r="L74" s="194">
        <v>0.83025016244314487</v>
      </c>
      <c r="M74" s="194">
        <v>0.73359130997378019</v>
      </c>
      <c r="N74" s="386">
        <v>1</v>
      </c>
    </row>
    <row r="78" spans="2:16">
      <c r="F78" s="315"/>
    </row>
    <row r="79" spans="2:16" ht="15">
      <c r="F79" s="341"/>
    </row>
  </sheetData>
  <mergeCells count="51">
    <mergeCell ref="M54:M55"/>
    <mergeCell ref="B63:F63"/>
    <mergeCell ref="G63:J63"/>
    <mergeCell ref="K63:N63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325" priority="140" operator="notBetween">
      <formula>#REF!</formula>
      <formula>#REF!</formula>
    </cfRule>
  </conditionalFormatting>
  <conditionalFormatting sqref="C53">
    <cfRule type="cellIs" dxfId="324" priority="171" stopIfTrue="1" operator="lessThan">
      <formula>96</formula>
    </cfRule>
    <cfRule type="cellIs" dxfId="323" priority="172" stopIfTrue="1" operator="greaterThan">
      <formula>100</formula>
    </cfRule>
  </conditionalFormatting>
  <conditionalFormatting sqref="C65:C69">
    <cfRule type="cellIs" dxfId="322" priority="121" stopIfTrue="1" operator="lessThanOrEqual">
      <formula>0</formula>
    </cfRule>
  </conditionalFormatting>
  <conditionalFormatting sqref="C65:C73">
    <cfRule type="cellIs" dxfId="321" priority="120" stopIfTrue="1" operator="greaterThan">
      <formula>$F65</formula>
    </cfRule>
  </conditionalFormatting>
  <conditionalFormatting sqref="C66">
    <cfRule type="cellIs" dxfId="320" priority="175" stopIfTrue="1" operator="greaterThan">
      <formula>$F65</formula>
    </cfRule>
  </conditionalFormatting>
  <conditionalFormatting sqref="C70">
    <cfRule type="cellIs" dxfId="319" priority="43" stopIfTrue="1" operator="greaterThan">
      <formula>$F69</formula>
    </cfRule>
    <cfRule type="cellIs" dxfId="318" priority="42" stopIfTrue="1" operator="lessThanOrEqual">
      <formula>0</formula>
    </cfRule>
  </conditionalFormatting>
  <conditionalFormatting sqref="C76:C80">
    <cfRule type="cellIs" dxfId="317" priority="163" stopIfTrue="1" operator="lessThanOrEqual">
      <formula>0</formula>
    </cfRule>
  </conditionalFormatting>
  <conditionalFormatting sqref="C77:C80">
    <cfRule type="cellIs" dxfId="316" priority="162" stopIfTrue="1" operator="greaterThan">
      <formula>$F$76</formula>
    </cfRule>
  </conditionalFormatting>
  <conditionalFormatting sqref="C82">
    <cfRule type="cellIs" dxfId="315" priority="164" stopIfTrue="1" operator="greaterThan">
      <formula>$F$76</formula>
    </cfRule>
    <cfRule type="cellIs" dxfId="314" priority="165" stopIfTrue="1" operator="lessThanOrEqual">
      <formula>0</formula>
    </cfRule>
  </conditionalFormatting>
  <conditionalFormatting sqref="C76:D76 D78:D84">
    <cfRule type="cellIs" dxfId="313" priority="157" stopIfTrue="1" operator="greaterThan">
      <formula>4.5</formula>
    </cfRule>
  </conditionalFormatting>
  <conditionalFormatting sqref="D49:D50">
    <cfRule type="cellIs" dxfId="312" priority="141" operator="notBetween">
      <formula>#REF!</formula>
      <formula>#REF!</formula>
    </cfRule>
  </conditionalFormatting>
  <conditionalFormatting sqref="D65:D72">
    <cfRule type="cellIs" dxfId="311" priority="135" stopIfTrue="1" operator="lessThanOrEqual">
      <formula>0</formula>
    </cfRule>
  </conditionalFormatting>
  <conditionalFormatting sqref="D73">
    <cfRule type="cellIs" dxfId="310" priority="134" stopIfTrue="1" operator="lessThanOrEqual">
      <formula>0</formula>
    </cfRule>
  </conditionalFormatting>
  <conditionalFormatting sqref="D76 D78:D84">
    <cfRule type="cellIs" dxfId="309" priority="158" stopIfTrue="1" operator="lessThanOrEqual">
      <formula>0</formula>
    </cfRule>
  </conditionalFormatting>
  <conditionalFormatting sqref="D77">
    <cfRule type="cellIs" dxfId="308" priority="149" stopIfTrue="1" operator="greaterThan">
      <formula>$F$76</formula>
    </cfRule>
    <cfRule type="cellIs" dxfId="307" priority="150" stopIfTrue="1" operator="lessThanOrEqual">
      <formula>0</formula>
    </cfRule>
  </conditionalFormatting>
  <conditionalFormatting sqref="D65:E74">
    <cfRule type="cellIs" dxfId="306" priority="117" stopIfTrue="1" operator="greaterThan">
      <formula>$F65</formula>
    </cfRule>
  </conditionalFormatting>
  <conditionalFormatting sqref="D74:E74">
    <cfRule type="cellIs" dxfId="305" priority="118" stopIfTrue="1" operator="lessThanOrEqual">
      <formula>0</formula>
    </cfRule>
  </conditionalFormatting>
  <conditionalFormatting sqref="E10:E24">
    <cfRule type="cellIs" dxfId="304" priority="11" operator="lessThan">
      <formula>48</formula>
    </cfRule>
  </conditionalFormatting>
  <conditionalFormatting sqref="E52 E53:F53">
    <cfRule type="cellIs" dxfId="303" priority="154" stopIfTrue="1" operator="greaterThan">
      <formula>100</formula>
    </cfRule>
  </conditionalFormatting>
  <conditionalFormatting sqref="E53">
    <cfRule type="cellIs" dxfId="302" priority="151" stopIfTrue="1" operator="lessThan">
      <formula>96.8</formula>
    </cfRule>
    <cfRule type="cellIs" dxfId="301" priority="152" stopIfTrue="1" operator="greaterThan">
      <formula>100</formula>
    </cfRule>
  </conditionalFormatting>
  <conditionalFormatting sqref="E65:E73">
    <cfRule type="cellIs" dxfId="300" priority="129" stopIfTrue="1" operator="lessThanOrEqual">
      <formula>0</formula>
    </cfRule>
  </conditionalFormatting>
  <conditionalFormatting sqref="E76:E84">
    <cfRule type="cellIs" dxfId="299" priority="143" stopIfTrue="1" operator="greaterThan">
      <formula>4.5</formula>
    </cfRule>
    <cfRule type="cellIs" dxfId="298" priority="144" stopIfTrue="1" operator="lessThanOrEqual">
      <formula>0</formula>
    </cfRule>
  </conditionalFormatting>
  <conditionalFormatting sqref="E53:F53 E52">
    <cfRule type="cellIs" dxfId="297" priority="153" stopIfTrue="1" operator="lessThan">
      <formula>96.5</formula>
    </cfRule>
  </conditionalFormatting>
  <conditionalFormatting sqref="F10:F24">
    <cfRule type="cellIs" dxfId="296" priority="12" operator="greaterThan">
      <formula>60</formula>
    </cfRule>
  </conditionalFormatting>
  <conditionalFormatting sqref="F53">
    <cfRule type="cellIs" dxfId="295" priority="170" stopIfTrue="1" operator="greaterThan">
      <formula>100</formula>
    </cfRule>
    <cfRule type="cellIs" dxfId="294" priority="169" stopIfTrue="1" operator="lessThan">
      <formula>96.8</formula>
    </cfRule>
  </conditionalFormatting>
  <conditionalFormatting sqref="F74">
    <cfRule type="cellIs" dxfId="293" priority="130" stopIfTrue="1" operator="greaterThan">
      <formula>$F74</formula>
    </cfRule>
    <cfRule type="cellIs" dxfId="292" priority="131" stopIfTrue="1" operator="lessThanOrEqual">
      <formula>0</formula>
    </cfRule>
  </conditionalFormatting>
  <conditionalFormatting sqref="F79">
    <cfRule type="cellIs" dxfId="291" priority="88" stopIfTrue="1" operator="lessThanOrEqual">
      <formula>0</formula>
    </cfRule>
    <cfRule type="cellIs" dxfId="290" priority="87" stopIfTrue="1" operator="greaterThan">
      <formula>$F79</formula>
    </cfRule>
  </conditionalFormatting>
  <conditionalFormatting sqref="G10:G11 M10:N11">
    <cfRule type="expression" dxfId="289" priority="218">
      <formula>IF(+(IF(G10&lt;#REF!,0,IF(G10&gt;#REF!,0,1)))=0,1)</formula>
    </cfRule>
  </conditionalFormatting>
  <conditionalFormatting sqref="G12:G22">
    <cfRule type="expression" dxfId="288" priority="2">
      <formula>IF(+(IF(G12&lt;S12,0,IF(G12&gt;T12,0,1)))=0,1)</formula>
    </cfRule>
  </conditionalFormatting>
  <conditionalFormatting sqref="G65:G66 C71:C73">
    <cfRule type="cellIs" dxfId="287" priority="137" stopIfTrue="1" operator="lessThanOrEqual">
      <formula>0</formula>
    </cfRule>
  </conditionalFormatting>
  <conditionalFormatting sqref="G65:G66">
    <cfRule type="cellIs" dxfId="286" priority="123" stopIfTrue="1" operator="lessThanOrEqual">
      <formula>0</formula>
    </cfRule>
    <cfRule type="cellIs" dxfId="285" priority="122" stopIfTrue="1" operator="greaterThan">
      <formula>$F65</formula>
    </cfRule>
    <cfRule type="cellIs" dxfId="284" priority="136" stopIfTrue="1" operator="greaterThan">
      <formula>$F65</formula>
    </cfRule>
  </conditionalFormatting>
  <conditionalFormatting sqref="G67">
    <cfRule type="cellIs" dxfId="283" priority="174" stopIfTrue="1" operator="lessThanOrEqual">
      <formula>0</formula>
    </cfRule>
    <cfRule type="cellIs" dxfId="282" priority="173" stopIfTrue="1" operator="greaterThan">
      <formula>$F66</formula>
    </cfRule>
  </conditionalFormatting>
  <conditionalFormatting sqref="G68">
    <cfRule type="cellIs" dxfId="281" priority="133" stopIfTrue="1" operator="lessThanOrEqual">
      <formula>0</formula>
    </cfRule>
    <cfRule type="cellIs" dxfId="280" priority="132" stopIfTrue="1" operator="greaterThan">
      <formula>$F68</formula>
    </cfRule>
  </conditionalFormatting>
  <conditionalFormatting sqref="G69:G73">
    <cfRule type="cellIs" dxfId="279" priority="138" stopIfTrue="1" operator="greaterThan">
      <formula>$J69</formula>
    </cfRule>
    <cfRule type="cellIs" dxfId="278" priority="139" stopIfTrue="1" operator="lessThanOrEqual">
      <formula>0</formula>
    </cfRule>
  </conditionalFormatting>
  <conditionalFormatting sqref="G78:G83 C81 C83">
    <cfRule type="cellIs" dxfId="277" priority="167" stopIfTrue="1" operator="lessThanOrEqual">
      <formula>0</formula>
    </cfRule>
    <cfRule type="cellIs" dxfId="276" priority="166" stopIfTrue="1" operator="greaterThan">
      <formula>4.5</formula>
    </cfRule>
  </conditionalFormatting>
  <conditionalFormatting sqref="G23:H24">
    <cfRule type="expression" dxfId="275" priority="27">
      <formula>IF(+(IF(G23&lt;#REF!,0,IF(G23&gt;#REF!,0,1)))=0,1)</formula>
    </cfRule>
  </conditionalFormatting>
  <conditionalFormatting sqref="G77:H77">
    <cfRule type="cellIs" dxfId="274" priority="148" stopIfTrue="1" operator="lessThanOrEqual">
      <formula>0</formula>
    </cfRule>
    <cfRule type="cellIs" dxfId="273" priority="147" stopIfTrue="1" operator="greaterThan">
      <formula>$F$76</formula>
    </cfRule>
  </conditionalFormatting>
  <conditionalFormatting sqref="H10:H22">
    <cfRule type="expression" dxfId="272" priority="13">
      <formula>IF(+(IF(H10&lt;#REF!,0,IF(H10&gt;#REF!,0,1)))=0,1)</formula>
    </cfRule>
  </conditionalFormatting>
  <conditionalFormatting sqref="H38:H52">
    <cfRule type="cellIs" dxfId="271" priority="145" stopIfTrue="1" operator="greaterThan">
      <formula>0</formula>
    </cfRule>
  </conditionalFormatting>
  <conditionalFormatting sqref="H56">
    <cfRule type="cellIs" dxfId="270" priority="57" stopIfTrue="1" operator="greaterThan">
      <formula>#REF!</formula>
    </cfRule>
    <cfRule type="cellIs" dxfId="269" priority="55" stopIfTrue="1" operator="greaterThan">
      <formula>$F$23</formula>
    </cfRule>
    <cfRule type="cellIs" dxfId="268" priority="56" stopIfTrue="1" operator="lessThanOrEqual">
      <formula>0</formula>
    </cfRule>
    <cfRule type="cellIs" dxfId="267" priority="46" stopIfTrue="1" operator="lessThanOrEqual">
      <formula>0</formula>
    </cfRule>
    <cfRule type="cellIs" dxfId="266" priority="47" stopIfTrue="1" operator="greaterThan">
      <formula>#REF!</formula>
    </cfRule>
    <cfRule type="cellIs" dxfId="265" priority="58" stopIfTrue="1" operator="lessThanOrEqual">
      <formula>0</formula>
    </cfRule>
  </conditionalFormatting>
  <conditionalFormatting sqref="H57">
    <cfRule type="cellIs" dxfId="264" priority="83" stopIfTrue="1" operator="greaterThan">
      <formula>$F$25</formula>
    </cfRule>
    <cfRule type="cellIs" dxfId="263" priority="84" stopIfTrue="1" operator="lessThanOrEqual">
      <formula>0</formula>
    </cfRule>
    <cfRule type="cellIs" dxfId="262" priority="85" stopIfTrue="1" operator="greaterThan">
      <formula>$F$23</formula>
    </cfRule>
    <cfRule type="cellIs" dxfId="261" priority="86" stopIfTrue="1" operator="lessThanOrEqual">
      <formula>0</formula>
    </cfRule>
    <cfRule type="cellIs" dxfId="260" priority="74" stopIfTrue="1" operator="lessThanOrEqual">
      <formula>0</formula>
    </cfRule>
    <cfRule type="cellIs" dxfId="259" priority="75" stopIfTrue="1" operator="greaterThan">
      <formula>#REF!</formula>
    </cfRule>
  </conditionalFormatting>
  <conditionalFormatting sqref="H58">
    <cfRule type="cellIs" dxfId="258" priority="38" stopIfTrue="1" operator="greaterThan">
      <formula>$F$23</formula>
    </cfRule>
    <cfRule type="cellIs" dxfId="257" priority="41" stopIfTrue="1" operator="lessThanOrEqual">
      <formula>0</formula>
    </cfRule>
    <cfRule type="cellIs" dxfId="256" priority="40" stopIfTrue="1" operator="greaterThan">
      <formula>#REF!</formula>
    </cfRule>
    <cfRule type="cellIs" dxfId="255" priority="39" stopIfTrue="1" operator="lessThanOrEqual">
      <formula>0</formula>
    </cfRule>
    <cfRule type="cellIs" dxfId="254" priority="30" stopIfTrue="1" operator="greaterThan">
      <formula>#REF!</formula>
    </cfRule>
    <cfRule type="cellIs" dxfId="253" priority="29" stopIfTrue="1" operator="lessThanOrEqual">
      <formula>0</formula>
    </cfRule>
  </conditionalFormatting>
  <conditionalFormatting sqref="H59:H60">
    <cfRule type="cellIs" dxfId="252" priority="69" stopIfTrue="1" operator="greaterThan">
      <formula>$F$24</formula>
    </cfRule>
    <cfRule type="cellIs" dxfId="251" priority="70" stopIfTrue="1" operator="lessThanOrEqual">
      <formula>0</formula>
    </cfRule>
    <cfRule type="cellIs" dxfId="250" priority="60" stopIfTrue="1" operator="lessThanOrEqual">
      <formula>0</formula>
    </cfRule>
    <cfRule type="cellIs" dxfId="249" priority="61" stopIfTrue="1" operator="greaterThan">
      <formula>#REF!</formula>
    </cfRule>
    <cfRule type="cellIs" dxfId="248" priority="72" stopIfTrue="1" operator="lessThanOrEqual">
      <formula>0</formula>
    </cfRule>
    <cfRule type="cellIs" dxfId="247" priority="71" stopIfTrue="1" operator="greaterThan">
      <formula>#REF!</formula>
    </cfRule>
  </conditionalFormatting>
  <conditionalFormatting sqref="H61">
    <cfRule type="cellIs" dxfId="246" priority="101" stopIfTrue="1" operator="lessThanOrEqual">
      <formula>0</formula>
    </cfRule>
    <cfRule type="cellIs" dxfId="245" priority="100" stopIfTrue="1" operator="greaterThan">
      <formula>$F$40</formula>
    </cfRule>
    <cfRule type="cellIs" dxfId="244" priority="103" stopIfTrue="1" operator="lessThanOrEqual">
      <formula>0</formula>
    </cfRule>
    <cfRule type="cellIs" dxfId="243" priority="91" stopIfTrue="1" operator="lessThanOrEqual">
      <formula>0</formula>
    </cfRule>
    <cfRule type="cellIs" dxfId="242" priority="92" stopIfTrue="1" operator="greaterThan">
      <formula>$F$37</formula>
    </cfRule>
    <cfRule type="cellIs" dxfId="241" priority="102" stopIfTrue="1" operator="greaterThan">
      <formula>$F$38</formula>
    </cfRule>
  </conditionalFormatting>
  <conditionalFormatting sqref="H65:H72">
    <cfRule type="cellIs" dxfId="240" priority="124" stopIfTrue="1" operator="greaterThan">
      <formula>$J65</formula>
    </cfRule>
    <cfRule type="cellIs" dxfId="239" priority="125" stopIfTrue="1" operator="lessThanOrEqual">
      <formula>0</formula>
    </cfRule>
  </conditionalFormatting>
  <conditionalFormatting sqref="H73">
    <cfRule type="cellIs" dxfId="238" priority="126" operator="greaterThan">
      <formula>5.3</formula>
    </cfRule>
  </conditionalFormatting>
  <conditionalFormatting sqref="H76 H78:H84">
    <cfRule type="cellIs" dxfId="237" priority="159" stopIfTrue="1" operator="greaterThan">
      <formula>4.5</formula>
    </cfRule>
    <cfRule type="cellIs" dxfId="236" priority="160" stopIfTrue="1" operator="lessThanOrEqual">
      <formula>0</formula>
    </cfRule>
  </conditionalFormatting>
  <conditionalFormatting sqref="H56:I56">
    <cfRule type="cellIs" dxfId="235" priority="45" stopIfTrue="1" operator="greaterThan">
      <formula>#REF!</formula>
    </cfRule>
    <cfRule type="cellIs" dxfId="234" priority="48" stopIfTrue="1" operator="lessThanOrEqual">
      <formula>0</formula>
    </cfRule>
  </conditionalFormatting>
  <conditionalFormatting sqref="H57:I57">
    <cfRule type="cellIs" dxfId="233" priority="76" stopIfTrue="1" operator="lessThanOrEqual">
      <formula>0</formula>
    </cfRule>
    <cfRule type="cellIs" dxfId="232" priority="73" stopIfTrue="1" operator="greaterThan">
      <formula>$F$24</formula>
    </cfRule>
  </conditionalFormatting>
  <conditionalFormatting sqref="H58:I58">
    <cfRule type="cellIs" dxfId="231" priority="28" stopIfTrue="1" operator="greaterThan">
      <formula>#REF!</formula>
    </cfRule>
    <cfRule type="cellIs" dxfId="230" priority="31" stopIfTrue="1" operator="lessThanOrEqual">
      <formula>0</formula>
    </cfRule>
  </conditionalFormatting>
  <conditionalFormatting sqref="H59:I60">
    <cfRule type="cellIs" dxfId="229" priority="62" stopIfTrue="1" operator="lessThanOrEqual">
      <formula>0</formula>
    </cfRule>
    <cfRule type="cellIs" dxfId="228" priority="59" stopIfTrue="1" operator="greaterThan">
      <formula>$F$23</formula>
    </cfRule>
  </conditionalFormatting>
  <conditionalFormatting sqref="H61:I61">
    <cfRule type="cellIs" dxfId="227" priority="93" stopIfTrue="1" operator="lessThanOrEqual">
      <formula>0</formula>
    </cfRule>
    <cfRule type="cellIs" dxfId="226" priority="90" stopIfTrue="1" operator="greaterThan">
      <formula>$F$39</formula>
    </cfRule>
  </conditionalFormatting>
  <conditionalFormatting sqref="H74:I74">
    <cfRule type="cellIs" dxfId="225" priority="116" stopIfTrue="1" operator="lessThanOrEqual">
      <formula>0</formula>
    </cfRule>
    <cfRule type="cellIs" dxfId="224" priority="115" stopIfTrue="1" operator="greaterThan">
      <formula>$J74</formula>
    </cfRule>
  </conditionalFormatting>
  <conditionalFormatting sqref="I56">
    <cfRule type="cellIs" dxfId="223" priority="53" stopIfTrue="1" operator="greaterThan">
      <formula>#REF!</formula>
    </cfRule>
    <cfRule type="cellIs" dxfId="222" priority="52" stopIfTrue="1" operator="lessThanOrEqual">
      <formula>0</formula>
    </cfRule>
    <cfRule type="cellIs" dxfId="221" priority="51" stopIfTrue="1" operator="greaterThan">
      <formula>#REF!</formula>
    </cfRule>
    <cfRule type="cellIs" dxfId="220" priority="50" stopIfTrue="1" operator="lessThanOrEqual">
      <formula>0</formula>
    </cfRule>
    <cfRule type="cellIs" dxfId="219" priority="49" stopIfTrue="1" operator="greaterThan">
      <formula>#REF!</formula>
    </cfRule>
    <cfRule type="cellIs" dxfId="218" priority="54" stopIfTrue="1" operator="lessThanOrEqual">
      <formula>0</formula>
    </cfRule>
  </conditionalFormatting>
  <conditionalFormatting sqref="I57">
    <cfRule type="cellIs" dxfId="217" priority="81" stopIfTrue="1" operator="greaterThan">
      <formula>#REF!</formula>
    </cfRule>
    <cfRule type="cellIs" dxfId="216" priority="80" stopIfTrue="1" operator="lessThanOrEqual">
      <formula>0</formula>
    </cfRule>
    <cfRule type="cellIs" dxfId="215" priority="79" stopIfTrue="1" operator="greaterThan">
      <formula>$F$24</formula>
    </cfRule>
    <cfRule type="cellIs" dxfId="214" priority="78" stopIfTrue="1" operator="lessThanOrEqual">
      <formula>0</formula>
    </cfRule>
    <cfRule type="cellIs" dxfId="213" priority="77" stopIfTrue="1" operator="greaterThan">
      <formula>#REF!</formula>
    </cfRule>
    <cfRule type="cellIs" dxfId="212" priority="82" stopIfTrue="1" operator="lessThanOrEqual">
      <formula>0</formula>
    </cfRule>
  </conditionalFormatting>
  <conditionalFormatting sqref="I58">
    <cfRule type="cellIs" dxfId="211" priority="37" stopIfTrue="1" operator="lessThanOrEqual">
      <formula>0</formula>
    </cfRule>
    <cfRule type="cellIs" dxfId="210" priority="36" stopIfTrue="1" operator="greaterThan">
      <formula>#REF!</formula>
    </cfRule>
    <cfRule type="cellIs" dxfId="209" priority="35" stopIfTrue="1" operator="lessThanOrEqual">
      <formula>0</formula>
    </cfRule>
    <cfRule type="cellIs" dxfId="208" priority="33" stopIfTrue="1" operator="lessThanOrEqual">
      <formula>0</formula>
    </cfRule>
    <cfRule type="cellIs" dxfId="207" priority="32" stopIfTrue="1" operator="greaterThan">
      <formula>#REF!</formula>
    </cfRule>
    <cfRule type="cellIs" dxfId="206" priority="34" stopIfTrue="1" operator="greaterThan">
      <formula>#REF!</formula>
    </cfRule>
  </conditionalFormatting>
  <conditionalFormatting sqref="I59:I60">
    <cfRule type="cellIs" dxfId="205" priority="67" stopIfTrue="1" operator="greaterThan">
      <formula>#REF!</formula>
    </cfRule>
    <cfRule type="cellIs" dxfId="204" priority="68" stopIfTrue="1" operator="lessThanOrEqual">
      <formula>0</formula>
    </cfRule>
    <cfRule type="cellIs" dxfId="203" priority="66" stopIfTrue="1" operator="lessThanOrEqual">
      <formula>0</formula>
    </cfRule>
    <cfRule type="cellIs" dxfId="202" priority="65" stopIfTrue="1" operator="greaterThan">
      <formula>$F$23</formula>
    </cfRule>
    <cfRule type="cellIs" dxfId="201" priority="64" stopIfTrue="1" operator="lessThanOrEqual">
      <formula>0</formula>
    </cfRule>
    <cfRule type="cellIs" dxfId="200" priority="63" stopIfTrue="1" operator="greaterThan">
      <formula>#REF!</formula>
    </cfRule>
  </conditionalFormatting>
  <conditionalFormatting sqref="I61">
    <cfRule type="cellIs" dxfId="199" priority="96" stopIfTrue="1" operator="greaterThan">
      <formula>$F$39</formula>
    </cfRule>
    <cfRule type="cellIs" dxfId="198" priority="94" stopIfTrue="1" operator="greaterThan">
      <formula>$F$37</formula>
    </cfRule>
    <cfRule type="cellIs" dxfId="197" priority="95" stopIfTrue="1" operator="lessThanOrEqual">
      <formula>0</formula>
    </cfRule>
    <cfRule type="cellIs" dxfId="196" priority="99" stopIfTrue="1" operator="lessThanOrEqual">
      <formula>0</formula>
    </cfRule>
    <cfRule type="cellIs" dxfId="195" priority="98" stopIfTrue="1" operator="greaterThan">
      <formula>$F$37</formula>
    </cfRule>
    <cfRule type="cellIs" dxfId="194" priority="97" stopIfTrue="1" operator="lessThanOrEqual">
      <formula>0</formula>
    </cfRule>
  </conditionalFormatting>
  <conditionalFormatting sqref="I65:I73">
    <cfRule type="cellIs" dxfId="193" priority="127" stopIfTrue="1" operator="greaterThan">
      <formula>$J65</formula>
    </cfRule>
    <cfRule type="cellIs" dxfId="192" priority="128" stopIfTrue="1" operator="lessThanOrEqual">
      <formula>0</formula>
    </cfRule>
  </conditionalFormatting>
  <conditionalFormatting sqref="I76:I84">
    <cfRule type="cellIs" dxfId="191" priority="156" stopIfTrue="1" operator="lessThanOrEqual">
      <formula>0</formula>
    </cfRule>
    <cfRule type="cellIs" dxfId="190" priority="155" stopIfTrue="1" operator="greaterThan">
      <formula>4.5</formula>
    </cfRule>
  </conditionalFormatting>
  <conditionalFormatting sqref="I10:J24">
    <cfRule type="cellIs" dxfId="189" priority="7" operator="lessThan">
      <formula>97.9</formula>
    </cfRule>
  </conditionalFormatting>
  <conditionalFormatting sqref="J27:J29">
    <cfRule type="cellIs" dxfId="188" priority="105" stopIfTrue="1" operator="lessThan">
      <formula>96.8</formula>
    </cfRule>
    <cfRule type="cellIs" dxfId="187" priority="106" stopIfTrue="1" operator="greaterThan">
      <formula>100</formula>
    </cfRule>
    <cfRule type="cellIs" dxfId="186" priority="107" operator="lessThan">
      <formula>98</formula>
    </cfRule>
  </conditionalFormatting>
  <conditionalFormatting sqref="J27:J31">
    <cfRule type="cellIs" dxfId="185" priority="104" operator="lessThan">
      <formula>97.4</formula>
    </cfRule>
  </conditionalFormatting>
  <conditionalFormatting sqref="J32">
    <cfRule type="cellIs" dxfId="184" priority="108" operator="lessThan">
      <formula>98</formula>
    </cfRule>
  </conditionalFormatting>
  <conditionalFormatting sqref="J34:J35">
    <cfRule type="cellIs" dxfId="183" priority="109" stopIfTrue="1" operator="lessThan">
      <formula>96.8</formula>
    </cfRule>
    <cfRule type="cellIs" dxfId="182" priority="110" stopIfTrue="1" operator="greaterThan">
      <formula>100</formula>
    </cfRule>
  </conditionalFormatting>
  <conditionalFormatting sqref="J34:J36">
    <cfRule type="cellIs" dxfId="181" priority="111" operator="lessThan">
      <formula>98</formula>
    </cfRule>
  </conditionalFormatting>
  <conditionalFormatting sqref="J74">
    <cfRule type="cellIs" dxfId="180" priority="112" stopIfTrue="1" operator="greaterThan">
      <formula>$F74</formula>
    </cfRule>
    <cfRule type="cellIs" dxfId="179" priority="113" stopIfTrue="1" operator="lessThanOrEqual">
      <formula>0</formula>
    </cfRule>
  </conditionalFormatting>
  <conditionalFormatting sqref="K10:K24">
    <cfRule type="cellIs" dxfId="178" priority="4" operator="greaterThan">
      <formula>6</formula>
    </cfRule>
    <cfRule type="cellIs" dxfId="177" priority="6" operator="greaterThan">
      <formula>6.4</formula>
    </cfRule>
    <cfRule type="cellIs" dxfId="176" priority="5" operator="lessThan">
      <formula>4</formula>
    </cfRule>
  </conditionalFormatting>
  <conditionalFormatting sqref="K56:K61 K65:N71 K72 M72:N72 K73:N73">
    <cfRule type="cellIs" dxfId="175" priority="89" stopIfTrue="1" operator="lessThan">
      <formula>100%</formula>
    </cfRule>
  </conditionalFormatting>
  <conditionalFormatting sqref="K76:K81">
    <cfRule type="cellIs" dxfId="174" priority="161" stopIfTrue="1" operator="lessThan">
      <formula>100%</formula>
    </cfRule>
  </conditionalFormatting>
  <conditionalFormatting sqref="K83:K84">
    <cfRule type="cellIs" dxfId="173" priority="168" stopIfTrue="1" operator="lessThan">
      <formula>100%</formula>
    </cfRule>
  </conditionalFormatting>
  <conditionalFormatting sqref="L10:L24">
    <cfRule type="cellIs" dxfId="172" priority="9" operator="between">
      <formula>61</formula>
      <formula>65</formula>
    </cfRule>
    <cfRule type="cellIs" dxfId="171" priority="10" operator="greaterThan">
      <formula>65</formula>
    </cfRule>
  </conditionalFormatting>
  <conditionalFormatting sqref="L27:M38">
    <cfRule type="cellIs" dxfId="170" priority="1" operator="lessThan">
      <formula>98</formula>
    </cfRule>
  </conditionalFormatting>
  <conditionalFormatting sqref="L42:N42">
    <cfRule type="cellIs" dxfId="169" priority="44" operator="notEqual">
      <formula>#REF!</formula>
    </cfRule>
  </conditionalFormatting>
  <conditionalFormatting sqref="L74:N74">
    <cfRule type="cellIs" dxfId="168" priority="114" stopIfTrue="1" operator="lessThan">
      <formula>100%</formula>
    </cfRule>
  </conditionalFormatting>
  <conditionalFormatting sqref="L76:N84">
    <cfRule type="cellIs" dxfId="167" priority="146" stopIfTrue="1" operator="lessThan">
      <formula>100%</formula>
    </cfRule>
  </conditionalFormatting>
  <conditionalFormatting sqref="M12:M22">
    <cfRule type="expression" dxfId="166" priority="8">
      <formula>IF(+(IF(M12&lt;U12,0,IF(M12&gt;V12,0,1)))=0,1)</formula>
    </cfRule>
  </conditionalFormatting>
  <conditionalFormatting sqref="M23:M24">
    <cfRule type="expression" dxfId="165" priority="220">
      <formula>IF(+(IF(M23&lt;U10,0,IF(M23&gt;V10,0,1)))=0,1)</formula>
    </cfRule>
  </conditionalFormatting>
  <conditionalFormatting sqref="N12:N22">
    <cfRule type="expression" dxfId="164" priority="3">
      <formula>IF(+(IF(N12&lt;W12,0,IF(N12&gt;X12,0,1)))=0,1)</formula>
    </cfRule>
  </conditionalFormatting>
  <conditionalFormatting sqref="N23:N24">
    <cfRule type="expression" dxfId="163" priority="223">
      <formula>IF(+(IF(N23&lt;W10,0,IF(N23&gt;X10,0,1)))=0,1)</formula>
    </cfRule>
  </conditionalFormatting>
  <conditionalFormatting sqref="P6">
    <cfRule type="cellIs" dxfId="162" priority="142" operator="greaterThanOrEqual">
      <formula>19</formula>
    </cfRule>
  </conditionalFormatting>
  <dataValidations count="1">
    <dataValidation type="list" allowBlank="1" showInputMessage="1" showErrorMessage="1" sqref="R8" xr:uid="{668E444D-64FE-4B87-93F3-E0EE1E0455E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FB25-A0D3-4E16-B975-693AAA016023}">
  <sheetPr>
    <pageSetUpPr fitToPage="1"/>
  </sheetPr>
  <dimension ref="A1:BE71"/>
  <sheetViews>
    <sheetView tabSelected="1" zoomScale="80" zoomScaleNormal="80" workbookViewId="0">
      <selection activeCell="P29" sqref="P2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0.5703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67.425781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540" t="s">
        <v>0</v>
      </c>
      <c r="T1" s="540"/>
      <c r="U1" s="540" t="s">
        <v>1</v>
      </c>
      <c r="V1" s="540"/>
      <c r="W1" s="540" t="s">
        <v>2</v>
      </c>
      <c r="X1" s="540"/>
      <c r="Y1" s="540" t="s">
        <v>124</v>
      </c>
      <c r="Z1" s="540"/>
    </row>
    <row r="2" spans="2:29" ht="15">
      <c r="B2" s="541" t="s">
        <v>3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19">
        <v>45901</v>
      </c>
      <c r="J4" s="398" t="s">
        <v>201</v>
      </c>
      <c r="K4" s="398"/>
      <c r="L4" s="11"/>
      <c r="M4" s="562" t="s">
        <v>8</v>
      </c>
      <c r="N4" s="563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59"/>
      <c r="D5" s="559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200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</v>
      </c>
      <c r="T7" s="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85</v>
      </c>
      <c r="AA7" s="13"/>
      <c r="AB7" s="13"/>
      <c r="AC7" s="13"/>
    </row>
    <row r="8" spans="2:29" ht="25.5" customHeight="1">
      <c r="B8" s="499" t="s">
        <v>17</v>
      </c>
      <c r="C8" s="509" t="s">
        <v>18</v>
      </c>
      <c r="D8" s="509" t="s">
        <v>19</v>
      </c>
      <c r="E8" s="356" t="s">
        <v>20</v>
      </c>
      <c r="F8" s="356" t="s">
        <v>21</v>
      </c>
      <c r="G8" s="509" t="s">
        <v>22</v>
      </c>
      <c r="H8" s="550" t="s">
        <v>144</v>
      </c>
      <c r="I8" s="509" t="s">
        <v>166</v>
      </c>
      <c r="J8" s="552" t="s">
        <v>23</v>
      </c>
      <c r="K8" s="554" t="s">
        <v>142</v>
      </c>
      <c r="L8" s="556" t="s">
        <v>24</v>
      </c>
      <c r="M8" s="359" t="s">
        <v>25</v>
      </c>
      <c r="N8" s="17" t="s">
        <v>26</v>
      </c>
      <c r="O8" s="503" t="s">
        <v>155</v>
      </c>
      <c r="P8" s="564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548"/>
      <c r="C9" s="549"/>
      <c r="D9" s="549"/>
      <c r="E9" s="357" t="s">
        <v>30</v>
      </c>
      <c r="F9" s="357" t="s">
        <v>31</v>
      </c>
      <c r="G9" s="549"/>
      <c r="H9" s="551"/>
      <c r="I9" s="549"/>
      <c r="J9" s="553"/>
      <c r="K9" s="555"/>
      <c r="L9" s="557"/>
      <c r="M9" s="20" t="s">
        <v>32</v>
      </c>
      <c r="N9" s="21" t="s">
        <v>41</v>
      </c>
      <c r="O9" s="565"/>
      <c r="P9" s="564"/>
      <c r="R9" s="3" t="s">
        <v>33</v>
      </c>
      <c r="S9" s="7">
        <v>14.2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4" t="s">
        <v>12</v>
      </c>
      <c r="C10" s="366" t="str">
        <f>[25]Brewhouse!$A91</f>
        <v>GU082</v>
      </c>
      <c r="D10" s="279">
        <f>[25]Brewhouse!$AF91</f>
        <v>53</v>
      </c>
      <c r="E10" s="279">
        <f>[25]Brewhouse!$AI91</f>
        <v>51.6</v>
      </c>
      <c r="F10" s="278">
        <f>[25]Brewhouse!$V91</f>
        <v>66</v>
      </c>
      <c r="G10" s="279">
        <f>[25]Brewhouse!$AG91</f>
        <v>17.5</v>
      </c>
      <c r="H10" s="367"/>
      <c r="I10" s="422">
        <f>[25]Brewhouse!$AU91</f>
        <v>97.886445156995904</v>
      </c>
      <c r="J10" s="422">
        <f>[25]Brewhouse!$AV91</f>
        <v>99.824523329716314</v>
      </c>
      <c r="K10" s="476">
        <f>[25]Brewhouse!$R91</f>
        <v>10.01733102253033</v>
      </c>
      <c r="L10" s="276">
        <f>[25]Brewhouse!$O91</f>
        <v>59</v>
      </c>
      <c r="M10" s="374">
        <f>[25]Brewhouse!$U91-[25]Brewhouse!$T91</f>
        <v>0.12083333333333335</v>
      </c>
      <c r="N10" s="370">
        <f>[25]Brewhouse!$Z91</f>
        <v>0.28472222222222232</v>
      </c>
      <c r="O10" s="423" t="str">
        <f>[25]Brewhouse!$AW91</f>
        <v>R. Regis</v>
      </c>
      <c r="P10" s="418"/>
      <c r="R10" s="277" t="str">
        <f t="shared" ref="R10:R22" si="0">B10</f>
        <v>GUINNESS</v>
      </c>
      <c r="S10" s="296">
        <f t="shared" ref="S10:S22" si="1">VLOOKUP($B10,$R$3:$X$9,2,FALSE)</f>
        <v>17</v>
      </c>
      <c r="T10" s="296">
        <f t="shared" ref="T10:T22" si="2">VLOOKUP($B10,$R$3:$X$9,3,FALSE)</f>
        <v>17.5</v>
      </c>
      <c r="U10" s="297">
        <f t="shared" ref="U10:U22" si="3">VLOOKUP($B10,$R$3:$X$9,4,FALSE)</f>
        <v>0</v>
      </c>
      <c r="V10" s="297">
        <f t="shared" ref="V10:V22" si="4">VLOOKUP($B10,$R$3:$X$9,5,FALSE)</f>
        <v>0.1076388888888889</v>
      </c>
      <c r="W10" s="297">
        <f t="shared" ref="W10:W22" si="5">VLOOKUP($B10,$R$3:$X$9,6,FALSE)</f>
        <v>0.24652777777777779</v>
      </c>
      <c r="X10" s="297">
        <f t="shared" ref="X10:X22" si="6">VLOOKUP($B10,$R$3:$X$9,7,FALSE)</f>
        <v>0.28472222222222221</v>
      </c>
      <c r="Y10" s="297">
        <f t="shared" ref="Y10:Y22" si="7">VLOOKUP($B10,$R$3:$Z$9,8,FALSE)</f>
        <v>0</v>
      </c>
      <c r="Z10" s="296">
        <f t="shared" ref="Z10:Z22" si="8">VLOOKUP($B10,$R$3:$Z$9,9,FALSE)</f>
        <v>60</v>
      </c>
    </row>
    <row r="11" spans="2:29" ht="15.75" customHeight="1">
      <c r="B11" s="34" t="s">
        <v>12</v>
      </c>
      <c r="C11" s="366" t="str">
        <f>[25]Brewhouse!$A92</f>
        <v>GU083</v>
      </c>
      <c r="D11" s="279">
        <f>[25]Brewhouse!$AF92</f>
        <v>53.9</v>
      </c>
      <c r="E11" s="279">
        <f>[25]Brewhouse!$AI92</f>
        <v>51.4</v>
      </c>
      <c r="F11" s="278">
        <f>[25]Brewhouse!$V92</f>
        <v>66</v>
      </c>
      <c r="G11" s="279">
        <f>[25]Brewhouse!$AG92</f>
        <v>17.399999999999999</v>
      </c>
      <c r="H11" s="367"/>
      <c r="I11" s="422">
        <f>[25]Brewhouse!$AU92</f>
        <v>96.778397165023506</v>
      </c>
      <c r="J11" s="422">
        <f>[25]Brewhouse!$AV92</f>
        <v>98.695212546430028</v>
      </c>
      <c r="K11" s="476">
        <f>[25]Brewhouse!$R92</f>
        <v>8.3859649122807038</v>
      </c>
      <c r="L11" s="276">
        <f>[25]Brewhouse!$O92</f>
        <v>58</v>
      </c>
      <c r="M11" s="374">
        <f>[25]Brewhouse!$U92-[25]Brewhouse!$T92</f>
        <v>0.11944444444444446</v>
      </c>
      <c r="N11" s="370">
        <f>[25]Brewhouse!$Z92</f>
        <v>0.25347222222222221</v>
      </c>
      <c r="O11" s="423" t="str">
        <f>[25]Brewhouse!$AW92</f>
        <v>R. Regis</v>
      </c>
      <c r="P11" s="418"/>
      <c r="R11" s="277" t="str">
        <f t="shared" ref="R11:R17" si="9">B11</f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5.75" customHeight="1">
      <c r="B12" s="34"/>
      <c r="C12" s="366"/>
      <c r="D12" s="279"/>
      <c r="E12" s="279"/>
      <c r="F12" s="278"/>
      <c r="G12" s="279"/>
      <c r="H12" s="396"/>
      <c r="I12" s="422"/>
      <c r="J12" s="422"/>
      <c r="K12" s="476"/>
      <c r="L12" s="276"/>
      <c r="M12" s="374"/>
      <c r="N12" s="370"/>
      <c r="O12" s="423"/>
      <c r="P12" s="418"/>
      <c r="R12" s="277">
        <f t="shared" si="9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customHeight="1">
      <c r="B13" s="34"/>
      <c r="C13" s="366"/>
      <c r="D13" s="279"/>
      <c r="E13" s="279"/>
      <c r="F13" s="278"/>
      <c r="G13" s="279"/>
      <c r="H13" s="396"/>
      <c r="I13" s="422"/>
      <c r="J13" s="422"/>
      <c r="K13" s="476"/>
      <c r="L13" s="276"/>
      <c r="M13" s="374"/>
      <c r="N13" s="370"/>
      <c r="O13" s="423"/>
      <c r="P13" s="418"/>
      <c r="R13" s="277">
        <f t="shared" si="9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4"/>
      <c r="C14" s="366"/>
      <c r="D14" s="279"/>
      <c r="E14" s="279"/>
      <c r="F14" s="278"/>
      <c r="G14" s="279"/>
      <c r="H14" s="396"/>
      <c r="I14" s="422"/>
      <c r="J14" s="422"/>
      <c r="K14" s="476"/>
      <c r="L14" s="276"/>
      <c r="M14" s="374"/>
      <c r="N14" s="370"/>
      <c r="O14" s="423"/>
      <c r="P14" s="418"/>
      <c r="R14" s="277">
        <f t="shared" si="9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18"/>
      <c r="R15" s="277">
        <f t="shared" si="9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 thickBot="1">
      <c r="B17" s="358"/>
      <c r="C17" s="358"/>
      <c r="D17" s="358"/>
      <c r="E17" s="358"/>
      <c r="F17" s="294"/>
      <c r="G17" s="294"/>
      <c r="H17" s="348"/>
      <c r="I17" s="529"/>
      <c r="J17" s="529"/>
      <c r="K17" s="529"/>
      <c r="L17" s="529"/>
      <c r="M17" s="529"/>
      <c r="N17" s="529"/>
      <c r="O17" s="1"/>
      <c r="P17" s="12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thickBot="1">
      <c r="B18" s="388" t="s">
        <v>162</v>
      </c>
      <c r="C18" s="388"/>
      <c r="D18" s="542" t="s">
        <v>35</v>
      </c>
      <c r="E18" s="543"/>
      <c r="F18" s="294"/>
      <c r="G18" s="294"/>
      <c r="H18" s="348"/>
      <c r="I18" s="24" t="s">
        <v>17</v>
      </c>
      <c r="J18" s="25" t="s">
        <v>36</v>
      </c>
      <c r="K18" s="26" t="s">
        <v>138</v>
      </c>
      <c r="L18" s="25" t="s">
        <v>37</v>
      </c>
      <c r="M18" s="25" t="s">
        <v>38</v>
      </c>
      <c r="N18" s="27" t="s">
        <v>39</v>
      </c>
      <c r="O18" s="294"/>
      <c r="P18" s="12"/>
      <c r="R18" s="277" t="str">
        <f t="shared" si="0"/>
        <v xml:space="preserve">BRAND 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" customHeight="1">
      <c r="A19" s="28"/>
      <c r="B19" s="583" t="str">
        <f>I19</f>
        <v>CARIB</v>
      </c>
      <c r="C19" s="362" cm="1">
        <f t="array" ref="C19:C26">[24]Process!$D$671:$D$678</f>
        <v>12</v>
      </c>
      <c r="D19" s="533">
        <v>11.6</v>
      </c>
      <c r="E19" s="522"/>
      <c r="F19" s="294"/>
      <c r="G19" s="294"/>
      <c r="H19" s="348"/>
      <c r="I19" s="29" t="s">
        <v>6</v>
      </c>
      <c r="J19" s="280"/>
      <c r="K19" s="284">
        <f>COUNTA([24]Brewhouse!$A$655:$A$738)</f>
        <v>84</v>
      </c>
      <c r="L19" s="486">
        <v>96.7</v>
      </c>
      <c r="M19" s="302">
        <f>AVERAGE([24]Brewhouse!$AU$102:$AU$171,[24]Brewhouse!$AU$173:$AU$253,[24]Brewhouse!$AU$255:$AU$339,[24]Brewhouse!$AU$341:$AU$346,[24]Brewhouse!$AU$348,[24]Brewhouse!$AU$349:$AU$406,[24]Brewhouse!$AU$408:$AU$491,[24]Brewhouse!$AU$493:$AU$578,[24]Brewhouse!$AU$580:$AU$652,[24]Brewhouse!$AU$655:$AU$738)</f>
        <v>97.707262129538279</v>
      </c>
      <c r="N19" s="30">
        <v>98</v>
      </c>
      <c r="O19" s="11"/>
      <c r="P19" s="31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" customHeight="1">
      <c r="A20" s="28"/>
      <c r="B20" s="584"/>
      <c r="C20" s="362">
        <v>11.9</v>
      </c>
      <c r="D20" s="534"/>
      <c r="E20" s="517"/>
      <c r="F20" s="294"/>
      <c r="G20" s="294"/>
      <c r="H20" s="348"/>
      <c r="I20" s="33" t="s">
        <v>9</v>
      </c>
      <c r="J20" s="280"/>
      <c r="K20" s="284">
        <f>COUNTA([22]Brewhouse!$A$324:$A$359)</f>
        <v>36</v>
      </c>
      <c r="L20" s="302">
        <f>AVERAGE([22]Brewhouse!$AS$324:$AS$359)</f>
        <v>98.059965040755458</v>
      </c>
      <c r="M20" s="302">
        <f>AVERAGE([22]Brewhouse!$AS$15:$AS$64,[22]Brewhouse!$AS$66:$AS$103,[22]Brewhouse!$AS$105:$AS$140,[22]Brewhouse!$AS$142:$AS$193,[22]Brewhouse!$AS$195:$AS$240,[22]Brewhouse!$AS$242:$AS$273,[22]Brewhouse!$AS$275:$AS$322,[22]Brewhouse!$AS$324:$AS$359)</f>
        <v>98.065489639180555</v>
      </c>
      <c r="N20" s="30">
        <v>98</v>
      </c>
      <c r="O20" s="11"/>
      <c r="P20" s="31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4.65" customHeight="1">
      <c r="A21" s="28"/>
      <c r="B21" s="584"/>
      <c r="C21" s="362">
        <v>11.8</v>
      </c>
      <c r="D21" s="533">
        <v>11.65</v>
      </c>
      <c r="E21" s="522"/>
      <c r="F21" s="294"/>
      <c r="G21" s="294"/>
      <c r="H21" s="348"/>
      <c r="I21" s="34" t="s">
        <v>12</v>
      </c>
      <c r="J21" s="280">
        <f>AVERAGE(I10:I11)</f>
        <v>97.332421161009705</v>
      </c>
      <c r="K21" s="284">
        <f>COUNTA([25]Brewhouse!$A$81:$A$92)</f>
        <v>12</v>
      </c>
      <c r="L21" s="302">
        <f>AVERAGE([25]Brewhouse!$AU$81:$AU$92)</f>
        <v>96.460503297701322</v>
      </c>
      <c r="M21" s="302">
        <f>AVERAGE([25]Brewhouse!$AU$4:$AU$7,[25]Brewhouse!$AU$9:$AU$22,[25]Brewhouse!$AU$24:$AU$35,[25]Brewhouse!$AU$37:$AU$45,[25]Brewhouse!$AU$47:$AU$62,[25]Brewhouse!$AU$64:$AU$79,[25]Brewhouse!$AU$81:$AU$92)</f>
        <v>96.938184743997624</v>
      </c>
      <c r="N21" s="30">
        <v>98</v>
      </c>
      <c r="O21" s="11"/>
      <c r="P21" s="31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4.65" customHeight="1">
      <c r="A22" s="28"/>
      <c r="B22" s="584"/>
      <c r="C22" s="362">
        <v>11.8</v>
      </c>
      <c r="D22" s="534"/>
      <c r="E22" s="517"/>
      <c r="F22" s="294"/>
      <c r="G22" s="294"/>
      <c r="H22" s="348"/>
      <c r="I22" s="22" t="s">
        <v>33</v>
      </c>
      <c r="J22" s="280"/>
      <c r="K22" s="284">
        <f>COUNTA([26]Brewhouse!$A$64:$A$77)</f>
        <v>14</v>
      </c>
      <c r="L22" s="302">
        <f>AVERAGE([26]Brewhouse!$AV$64:$AV$77)</f>
        <v>97.585594897114063</v>
      </c>
      <c r="M22" s="302">
        <f>AVERAGE([26]Brewhouse!$AV$5:$AV$14,[26]Brewhouse!$AV$16:$AV$19,[26]Brewhouse!$AV$21:$AV$24,[26]Brewhouse!$AV$26:$AV$33,[26]Brewhouse!$AV$35:$AV$46,[26]Brewhouse!$AV$48:$AV$53,[26]Brewhouse!$AV$55:$AV$62,[26]Brewhouse!$AV$64:$AV$77)</f>
        <v>98.521410557268055</v>
      </c>
      <c r="N22" s="30">
        <v>98</v>
      </c>
      <c r="O22" s="11"/>
      <c r="P22" s="31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4.65" customHeight="1">
      <c r="A23" s="28"/>
      <c r="B23" s="584"/>
      <c r="C23" s="362">
        <v>11.7</v>
      </c>
      <c r="D23" s="533">
        <v>11.74</v>
      </c>
      <c r="E23" s="522"/>
      <c r="F23" s="417"/>
      <c r="G23" s="294"/>
      <c r="H23" s="348"/>
      <c r="I23" s="35" t="s">
        <v>29</v>
      </c>
      <c r="J23" s="280"/>
      <c r="K23" s="284"/>
      <c r="L23" s="302"/>
      <c r="M23" s="302"/>
      <c r="N23" s="30">
        <v>98</v>
      </c>
      <c r="O23" s="11"/>
      <c r="P23" s="31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1:27" ht="14.65" customHeight="1">
      <c r="A24" s="28"/>
      <c r="B24" s="584"/>
      <c r="C24" s="362">
        <v>11.6</v>
      </c>
      <c r="D24" s="534"/>
      <c r="E24" s="517"/>
      <c r="F24" s="417"/>
      <c r="G24" s="294"/>
      <c r="H24" s="348"/>
      <c r="I24" s="36" t="s">
        <v>15</v>
      </c>
      <c r="J24" s="323"/>
      <c r="K24" s="284"/>
      <c r="L24" s="302"/>
      <c r="M24" s="302">
        <f>AVERAGE([27]Brewhouse!$AT$4:$AT$11,[27]Brewhouse!$AT$13:$AT$16,[27]Brewhouse!$AT$18:$AT$21,[27]Brewhouse!$AT$26)</f>
        <v>94.588057846623641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  <c r="AA24" s="296"/>
    </row>
    <row r="25" spans="1:27" ht="14.65" customHeight="1">
      <c r="A25" s="28"/>
      <c r="B25" s="584"/>
      <c r="C25" s="362">
        <v>11.9</v>
      </c>
      <c r="D25" s="533">
        <v>11.63</v>
      </c>
      <c r="E25" s="522"/>
      <c r="F25" s="417"/>
      <c r="G25" s="294"/>
      <c r="H25" s="348"/>
      <c r="I25" s="37" t="s">
        <v>16</v>
      </c>
      <c r="J25" s="323"/>
      <c r="K25" s="284"/>
      <c r="L25" s="302"/>
      <c r="M25" s="302">
        <f>AVERAGE([23]Brewhouse!$AY$6:$AY$13,[23]Brewhouse!$AY$15:$AY$20,[23]Brewhouse!$AY$22:$AY$29,[23]Brewhouse!$AY$31:$AY$34,[23]Brewhouse!$AY$36:$AY$43,[23]Brewhouse!$AY$45:$AY$50, [23]Brewhouse!$AY$56:$AY$73)</f>
        <v>97.363751190177027</v>
      </c>
      <c r="N25" s="30">
        <v>98</v>
      </c>
      <c r="O25" s="11"/>
      <c r="P25" s="31" t="s">
        <v>41</v>
      </c>
      <c r="R25" s="277"/>
      <c r="S25" s="296"/>
      <c r="T25" s="296"/>
      <c r="U25" s="297"/>
      <c r="V25" s="297"/>
      <c r="W25" s="297"/>
      <c r="X25" s="297"/>
      <c r="Y25" s="297"/>
      <c r="Z25" s="296"/>
      <c r="AA25" s="296"/>
    </row>
    <row r="26" spans="1:27" ht="14.65" customHeight="1">
      <c r="A26" s="28"/>
      <c r="B26" s="584"/>
      <c r="C26" s="362">
        <v>11.9</v>
      </c>
      <c r="D26" s="534"/>
      <c r="E26" s="517"/>
      <c r="F26" s="294"/>
      <c r="G26" s="294"/>
      <c r="H26" s="348"/>
      <c r="I26" s="411" t="s">
        <v>158</v>
      </c>
      <c r="J26" s="326"/>
      <c r="K26" s="284"/>
      <c r="L26" s="305"/>
      <c r="M26" s="305">
        <f>AVERAGE([28]Brewhouse!$AU$5:$AU$8,[28]Brewhouse!$AU$10:$AU$13)</f>
        <v>94.247666625193744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  <c r="AA26" s="296"/>
    </row>
    <row r="27" spans="1:27" ht="14.65" customHeight="1">
      <c r="A27" s="28"/>
      <c r="B27" s="584"/>
      <c r="C27" s="349"/>
      <c r="D27" s="533"/>
      <c r="E27" s="522"/>
      <c r="F27" s="294"/>
      <c r="G27" s="294"/>
      <c r="H27" s="348"/>
      <c r="I27" s="410" t="s">
        <v>157</v>
      </c>
      <c r="J27" s="326"/>
      <c r="K27" s="284"/>
      <c r="L27" s="305"/>
      <c r="M27" s="305">
        <f>AVERAGE([29]Brewhouse!$AW$26:$AW$27)</f>
        <v>95.310680905194914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  <c r="AA27" s="296"/>
    </row>
    <row r="28" spans="1:27" ht="15" customHeight="1" thickBot="1">
      <c r="A28" s="28"/>
      <c r="B28" s="584"/>
      <c r="C28" s="349"/>
      <c r="D28" s="534"/>
      <c r="E28" s="517"/>
      <c r="F28" s="294"/>
      <c r="G28" s="294"/>
      <c r="H28" s="348"/>
      <c r="I28" s="406" t="s">
        <v>156</v>
      </c>
      <c r="J28" s="327"/>
      <c r="K28" s="407"/>
      <c r="L28" s="408"/>
      <c r="M28" s="408">
        <f>AVERAGE([30]Brewhouse!$AU$13:$AU$14)</f>
        <v>97.110575243268045</v>
      </c>
      <c r="N28" s="409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  <c r="AA28" s="296"/>
    </row>
    <row r="29" spans="1:27" ht="15" customHeight="1" thickBot="1">
      <c r="A29" s="28"/>
      <c r="B29" s="584"/>
      <c r="C29" s="349"/>
      <c r="D29" s="533"/>
      <c r="E29" s="522"/>
      <c r="F29" s="294"/>
      <c r="G29" s="294"/>
      <c r="H29" s="348"/>
      <c r="I29" s="1"/>
      <c r="J29" s="39"/>
      <c r="K29" s="404">
        <f>SUM(K19:K28)</f>
        <v>146</v>
      </c>
      <c r="L29" s="485">
        <v>97.1</v>
      </c>
      <c r="M29" s="405">
        <f>AVERAGE('[31]Jan 31st'!$L$65,'[32]Feb 28th'!$L$35,'[33]Mar. 31st'!$L$35,'[34]Apr. 30th'!$L$45,'[35]May 30th'!$L$37,'[36]June 30th'!$L$57,L29)</f>
        <v>97.578844356723138</v>
      </c>
      <c r="N29" s="4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5.75" thickBot="1">
      <c r="B30" s="585"/>
      <c r="C30" s="350"/>
      <c r="D30" s="534"/>
      <c r="E30" s="517"/>
      <c r="F30" s="294"/>
      <c r="G30" s="42"/>
      <c r="H30" s="41"/>
      <c r="I30" s="42"/>
      <c r="J30" s="42"/>
      <c r="K30" s="351"/>
      <c r="L30" s="348"/>
      <c r="M30" s="348"/>
      <c r="N30" s="11"/>
      <c r="O30" s="294"/>
      <c r="P30" s="12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5.75" thickBot="1">
      <c r="B31" s="589" t="str">
        <f>I20</f>
        <v>STAG</v>
      </c>
      <c r="C31" s="362" cm="1">
        <f t="array" ref="C31:C32">[22]Process!$D$332:$D$333</f>
        <v>10.4</v>
      </c>
      <c r="D31" s="514">
        <v>11.7</v>
      </c>
      <c r="E31" s="515"/>
      <c r="F31" s="294"/>
      <c r="G31" s="42"/>
      <c r="H31" s="41"/>
      <c r="I31" s="42"/>
      <c r="J31" s="569" t="s">
        <v>129</v>
      </c>
      <c r="K31" s="569"/>
      <c r="L31" s="294"/>
      <c r="M31" s="294"/>
      <c r="N31" s="294"/>
      <c r="O31" s="294"/>
      <c r="P31" s="12"/>
    </row>
    <row r="32" spans="1:27" ht="15.75" thickBot="1">
      <c r="B32" s="531"/>
      <c r="C32" s="362">
        <v>12</v>
      </c>
      <c r="D32" s="516"/>
      <c r="E32" s="517"/>
      <c r="F32" s="294"/>
      <c r="G32" s="42"/>
      <c r="H32" s="41"/>
      <c r="I32" s="42"/>
      <c r="J32" s="292" t="s">
        <v>17</v>
      </c>
      <c r="K32" s="293" t="s">
        <v>147</v>
      </c>
      <c r="L32" s="519" t="s">
        <v>136</v>
      </c>
      <c r="M32" s="519"/>
      <c r="N32" s="520"/>
      <c r="O32" s="294"/>
      <c r="P32" s="12"/>
    </row>
    <row r="33" spans="2:57" ht="15" customHeight="1" thickBot="1">
      <c r="B33" s="531"/>
      <c r="C33" s="349"/>
      <c r="D33" s="570"/>
      <c r="E33" s="571"/>
      <c r="F33" s="294"/>
      <c r="G33" s="42"/>
      <c r="H33" s="41"/>
      <c r="I33" s="42"/>
      <c r="J33" s="287" t="s">
        <v>6</v>
      </c>
      <c r="K33" s="324"/>
      <c r="L33" s="343" t="s">
        <v>37</v>
      </c>
      <c r="M33" s="307" t="s">
        <v>38</v>
      </c>
      <c r="N33" s="307" t="s">
        <v>84</v>
      </c>
      <c r="O33" s="294"/>
      <c r="P33" s="12"/>
    </row>
    <row r="34" spans="2:57" ht="15.75" customHeight="1" thickBot="1">
      <c r="B34" s="531"/>
      <c r="C34" s="349"/>
      <c r="D34" s="516"/>
      <c r="E34" s="517"/>
      <c r="F34" s="294"/>
      <c r="G34" s="42"/>
      <c r="H34" s="41"/>
      <c r="I34" s="42"/>
      <c r="J34" s="345" t="s">
        <v>9</v>
      </c>
      <c r="K34" s="324"/>
      <c r="L34" s="344">
        <f>AVERAGE('Aug 4th '!K58,'Aug 5th '!K58,'Aug 6th '!K58,'Aug 7th '!K58,'Aug 8th '!K48,'Aug 13th'!K52,'Aug 14th'!K51,'Aug 15th-16th'!J57,'Aug 15th-16th'!K57,'Aug 18th'!K54,'Aug 19th'!K56,'Aug 20th'!K59,'Aug 22nd-23rd'!J53,'Aug 22nd-23rd'!K53,'Aug 25th'!K53,'Aug 26th'!K49,'Aug 27th'!K50,'Aug 28th'!K51,'Aug 29th'!K43)</f>
        <v>7.3157894736842106</v>
      </c>
      <c r="M34" s="325">
        <f>AVERAGE('[31]Jan 29th '!$M$70,'[32]Feb 28th'!$L$40,'[33]Mar. 31st'!$L$40,'[34]Apr. 30th'!$L$50,'[35]May 30th'!$L$42,'[36]June 30th'!$L$62,'[37]July 29th '!$L$49,L34)</f>
        <v>6.9540882934761648</v>
      </c>
      <c r="N34" s="416">
        <v>9.1999999999999993</v>
      </c>
      <c r="O34" s="294"/>
      <c r="P34" s="12"/>
    </row>
    <row r="35" spans="2:57" ht="15" customHeight="1">
      <c r="B35" s="531"/>
      <c r="C35" s="349"/>
      <c r="D35" s="570"/>
      <c r="E35" s="571"/>
      <c r="F35" s="294"/>
      <c r="G35" s="42"/>
      <c r="H35" s="41"/>
      <c r="I35" s="42"/>
      <c r="J35" s="288" t="s">
        <v>40</v>
      </c>
      <c r="K35" s="324">
        <v>2</v>
      </c>
      <c r="L35" s="294"/>
      <c r="M35" s="294"/>
      <c r="N35" s="294"/>
      <c r="O35" s="294"/>
      <c r="P35" s="12"/>
    </row>
    <row r="36" spans="2:57" ht="15" customHeight="1">
      <c r="B36" s="531"/>
      <c r="C36" s="349"/>
      <c r="D36" s="516"/>
      <c r="E36" s="517"/>
      <c r="F36" s="294"/>
      <c r="G36" s="42"/>
      <c r="H36" s="41"/>
      <c r="I36" s="42"/>
      <c r="J36" s="289" t="s">
        <v>33</v>
      </c>
      <c r="K36" s="324"/>
      <c r="L36" s="294"/>
      <c r="M36" s="294"/>
      <c r="N36" s="294"/>
      <c r="O36" s="294"/>
      <c r="P36" s="12"/>
    </row>
    <row r="37" spans="2:57" ht="15">
      <c r="B37" s="531"/>
      <c r="C37" s="349"/>
      <c r="D37" s="570"/>
      <c r="E37" s="571"/>
      <c r="F37" s="294"/>
      <c r="G37" s="42"/>
      <c r="H37" s="41"/>
      <c r="I37" s="42"/>
      <c r="J37" s="290" t="s">
        <v>16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31"/>
      <c r="C38" s="349"/>
      <c r="D38" s="516"/>
      <c r="E38" s="517"/>
      <c r="F38" s="294"/>
      <c r="G38" s="42"/>
      <c r="H38" s="41"/>
      <c r="I38" s="42"/>
      <c r="J38" s="291" t="s">
        <v>15</v>
      </c>
      <c r="K38" s="324"/>
      <c r="L38" s="294"/>
      <c r="M38" s="294"/>
      <c r="N38" s="294"/>
      <c r="O38" s="294"/>
      <c r="P38" s="12"/>
      <c r="BC38" s="44"/>
      <c r="BD38" s="44"/>
    </row>
    <row r="39" spans="2:57" ht="15">
      <c r="B39" s="531"/>
      <c r="C39" s="349"/>
      <c r="D39" s="570"/>
      <c r="E39" s="571"/>
      <c r="F39" s="294"/>
      <c r="G39" s="42"/>
      <c r="H39" s="41"/>
      <c r="I39" s="42"/>
      <c r="J39" s="291" t="s">
        <v>149</v>
      </c>
      <c r="K39" s="324"/>
      <c r="L39" s="294"/>
      <c r="M39" s="294"/>
      <c r="N39" s="294"/>
      <c r="O39" s="294"/>
      <c r="P39" s="12"/>
      <c r="BC39" s="44"/>
      <c r="BD39" s="44"/>
    </row>
    <row r="40" spans="2:57" ht="15.75" thickBot="1">
      <c r="B40" s="532"/>
      <c r="C40" s="350"/>
      <c r="D40" s="572"/>
      <c r="E40" s="573"/>
      <c r="F40" s="294"/>
      <c r="G40" s="42"/>
      <c r="H40" s="41"/>
      <c r="I40" s="42"/>
      <c r="J40" s="291" t="s">
        <v>148</v>
      </c>
      <c r="K40" s="324"/>
      <c r="L40" s="294"/>
      <c r="M40" s="294"/>
      <c r="N40" s="294"/>
      <c r="O40" s="294"/>
      <c r="P40" s="12"/>
      <c r="BC40" s="44"/>
      <c r="BD40" s="44"/>
    </row>
    <row r="41" spans="2:57" ht="17.649999999999999" customHeight="1" thickBot="1">
      <c r="B41" s="312" t="s">
        <v>139</v>
      </c>
      <c r="C41" s="313"/>
      <c r="D41" s="574">
        <f>AVERAGE(D19:E40)</f>
        <v>11.664000000000001</v>
      </c>
      <c r="E41" s="575"/>
      <c r="F41" s="294"/>
      <c r="H41" s="41"/>
      <c r="I41" s="42"/>
      <c r="J41" s="295" t="s">
        <v>134</v>
      </c>
      <c r="K41" s="324"/>
      <c r="L41" s="294"/>
      <c r="M41" s="294"/>
      <c r="N41" s="294"/>
      <c r="O41" s="294"/>
      <c r="P41" s="12"/>
      <c r="BC41" s="44"/>
      <c r="BD41" s="44"/>
    </row>
    <row r="42" spans="2:57" ht="17.649999999999999" customHeight="1">
      <c r="B42" s="363"/>
      <c r="C42" s="364"/>
      <c r="D42" s="365"/>
      <c r="E42" s="365"/>
      <c r="F42" s="294"/>
      <c r="G42" s="42"/>
      <c r="H42" s="41"/>
      <c r="I42" s="42"/>
      <c r="J42" s="295" t="s">
        <v>131</v>
      </c>
      <c r="K42" s="324"/>
      <c r="L42" s="294"/>
      <c r="M42" s="294"/>
      <c r="N42" s="294"/>
      <c r="O42" s="294"/>
      <c r="P42" s="12"/>
      <c r="BC42" s="44"/>
      <c r="BD42" s="44"/>
    </row>
    <row r="43" spans="2:57" ht="15.6" customHeight="1">
      <c r="B43" s="45"/>
      <c r="C43" s="11"/>
      <c r="D43" s="11"/>
      <c r="E43" s="46"/>
      <c r="F43" s="294"/>
      <c r="G43" s="42"/>
      <c r="H43" s="41"/>
      <c r="I43" s="42"/>
      <c r="J43" s="346" t="s">
        <v>130</v>
      </c>
      <c r="K43" s="324">
        <f>SUM(K33:K42)</f>
        <v>2</v>
      </c>
      <c r="L43" s="294"/>
      <c r="M43" s="294"/>
      <c r="N43" s="294"/>
      <c r="O43" s="294"/>
      <c r="P43" s="12"/>
    </row>
    <row r="44" spans="2:57" ht="20.25" customHeight="1">
      <c r="B44" s="15" t="s">
        <v>42</v>
      </c>
      <c r="C44" s="1" t="s">
        <v>43</v>
      </c>
      <c r="D44" s="1"/>
      <c r="E44" s="1"/>
      <c r="F44" s="294"/>
      <c r="G44" s="42"/>
      <c r="H44" s="41"/>
      <c r="I44" s="42"/>
      <c r="L44" s="294"/>
      <c r="N44" s="315"/>
      <c r="P44" s="334"/>
    </row>
    <row r="45" spans="2:57" ht="15" customHeight="1" thickBot="1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1"/>
      <c r="O45" s="48"/>
      <c r="P45" s="49"/>
    </row>
    <row r="46" spans="2:57" ht="15" customHeight="1" thickBot="1">
      <c r="B46" s="495" t="s">
        <v>17</v>
      </c>
      <c r="C46" s="495" t="s">
        <v>44</v>
      </c>
      <c r="D46" s="507" t="s">
        <v>45</v>
      </c>
      <c r="E46" s="509" t="s">
        <v>46</v>
      </c>
      <c r="F46" s="503" t="s">
        <v>47</v>
      </c>
      <c r="G46" s="493" t="s">
        <v>48</v>
      </c>
      <c r="H46" s="495" t="s">
        <v>49</v>
      </c>
      <c r="I46" s="495" t="s">
        <v>50</v>
      </c>
      <c r="J46" s="487" t="s">
        <v>28</v>
      </c>
      <c r="K46" s="499" t="s">
        <v>51</v>
      </c>
      <c r="L46" s="501" t="s">
        <v>52</v>
      </c>
      <c r="M46" s="487" t="s">
        <v>53</v>
      </c>
      <c r="N46" s="13"/>
      <c r="O46" s="13"/>
      <c r="P46" s="50"/>
    </row>
    <row r="47" spans="2:57" ht="28.5" customHeight="1" thickTop="1" thickBot="1">
      <c r="B47" s="496"/>
      <c r="C47" s="496"/>
      <c r="D47" s="508"/>
      <c r="E47" s="510"/>
      <c r="F47" s="504"/>
      <c r="G47" s="494"/>
      <c r="H47" s="597"/>
      <c r="I47" s="597"/>
      <c r="J47" s="488"/>
      <c r="K47" s="500"/>
      <c r="L47" s="502"/>
      <c r="M47" s="488"/>
      <c r="N47" s="13"/>
      <c r="O47" s="13"/>
      <c r="P47" s="50"/>
      <c r="Q47" s="355"/>
      <c r="AB47" s="51">
        <v>43474</v>
      </c>
      <c r="AC47" s="51">
        <v>43475</v>
      </c>
      <c r="AD47" s="51">
        <v>43476</v>
      </c>
      <c r="AE47" s="51">
        <v>43477</v>
      </c>
      <c r="AF47" s="51">
        <v>43478</v>
      </c>
      <c r="AG47" s="51">
        <v>43479</v>
      </c>
      <c r="AH47" s="51">
        <v>43480</v>
      </c>
      <c r="AI47" s="51">
        <v>43481</v>
      </c>
      <c r="AJ47" s="51">
        <v>43482</v>
      </c>
      <c r="AK47" s="51">
        <v>43483</v>
      </c>
      <c r="AL47" s="51">
        <v>43484</v>
      </c>
      <c r="AM47" s="51">
        <v>43485</v>
      </c>
      <c r="AN47" s="51">
        <v>43486</v>
      </c>
      <c r="AO47" s="51">
        <v>43487</v>
      </c>
      <c r="AP47" s="51">
        <v>43488</v>
      </c>
      <c r="AQ47" s="51">
        <v>43489</v>
      </c>
      <c r="AR47" s="51">
        <v>43490</v>
      </c>
      <c r="AS47" s="51">
        <v>43491</v>
      </c>
      <c r="AT47" s="51">
        <v>43492</v>
      </c>
      <c r="AU47" s="51">
        <v>43493</v>
      </c>
      <c r="AV47" s="51">
        <v>43494</v>
      </c>
      <c r="AW47" s="51">
        <v>43495</v>
      </c>
      <c r="AX47" s="51">
        <v>43496</v>
      </c>
    </row>
    <row r="48" spans="2:57" s="54" customFormat="1" ht="59.45" customHeight="1" thickBot="1">
      <c r="B48" s="475" t="str">
        <f>J33</f>
        <v>CARIB</v>
      </c>
      <c r="C48" s="445">
        <v>45898</v>
      </c>
      <c r="D48" s="446">
        <f>[38]August_2025!$AF$3</f>
        <v>409.5</v>
      </c>
      <c r="E48" s="447"/>
      <c r="F48" s="448"/>
      <c r="G48" s="449">
        <f>[38]August_2025!$AF$7</f>
        <v>385.3</v>
      </c>
      <c r="H48" s="484"/>
      <c r="I48" s="484"/>
      <c r="J48" s="452" t="s">
        <v>150</v>
      </c>
      <c r="K48" s="453">
        <f>[39]August_2025!$AF$18</f>
        <v>1.3519298245614035</v>
      </c>
      <c r="L48" s="466">
        <f>(((D48+E48)-G48)/(D48+E48))*100</f>
        <v>5.9096459096459064</v>
      </c>
      <c r="M48" s="465" t="s">
        <v>204</v>
      </c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[20]January_2019!L7</f>
        <v>285.8</v>
      </c>
      <c r="AC48" s="57">
        <f>[20]January_2019!M7</f>
        <v>508.1</v>
      </c>
      <c r="AD48" s="57">
        <f>[20]January_2019!N7</f>
        <v>0</v>
      </c>
      <c r="AE48" s="57">
        <f>[20]January_2019!O7</f>
        <v>0</v>
      </c>
      <c r="AF48" s="57">
        <f>[20]January_2019!P7</f>
        <v>109.56666666666666</v>
      </c>
      <c r="AG48" s="57">
        <f>[20]January_2019!Q7</f>
        <v>297.64999999999998</v>
      </c>
      <c r="AH48" s="57">
        <f>[20]January_2019!R7</f>
        <v>122.3</v>
      </c>
      <c r="AI48" s="57">
        <f>[20]January_2019!S7</f>
        <v>0</v>
      </c>
      <c r="AJ48" s="57">
        <f>[20]January_2019!T7</f>
        <v>294.7</v>
      </c>
      <c r="AK48" s="57">
        <f>[20]January_2019!U7</f>
        <v>280.5</v>
      </c>
      <c r="AL48" s="57">
        <f>[20]January_2019!V7</f>
        <v>0</v>
      </c>
      <c r="AM48" s="57">
        <f>[20]January_2019!W7</f>
        <v>0</v>
      </c>
      <c r="AN48" s="57">
        <f>[20]January_2019!X7</f>
        <v>188.25</v>
      </c>
      <c r="AO48" s="57">
        <f>[20]January_2019!Y7</f>
        <v>295.7</v>
      </c>
      <c r="AP48" s="57">
        <f>[20]January_2019!Z7</f>
        <v>257.8</v>
      </c>
      <c r="AQ48" s="57">
        <f>[20]January_2019!AA7</f>
        <v>291.2</v>
      </c>
      <c r="AR48" s="57">
        <f>[20]January_2019!AB7</f>
        <v>187</v>
      </c>
      <c r="AS48" s="57">
        <f>[20]January_2019!AC7</f>
        <v>0</v>
      </c>
      <c r="AT48" s="57">
        <f>[20]January_2019!AD7</f>
        <v>0</v>
      </c>
      <c r="AU48" s="57">
        <f>[20]January_2019!AE7</f>
        <v>485.1</v>
      </c>
      <c r="AV48" s="57">
        <f>[20]January_2019!AF7</f>
        <v>171.55</v>
      </c>
      <c r="AW48" s="57">
        <f>[20]January_2019!AG7</f>
        <v>423.8</v>
      </c>
      <c r="AX48" s="277">
        <f>[20]January_2019!AH7</f>
        <v>0</v>
      </c>
      <c r="AY48" s="277"/>
      <c r="AZ48" s="277"/>
      <c r="BA48" s="277"/>
      <c r="BB48" s="277"/>
      <c r="BC48" s="277"/>
      <c r="BD48" s="277"/>
      <c r="BE48" s="277"/>
    </row>
    <row r="49" spans="2:57" s="54" customFormat="1" ht="20.45" customHeight="1" thickBot="1">
      <c r="B49" s="469"/>
      <c r="C49" s="434"/>
      <c r="D49" s="435"/>
      <c r="E49" s="436"/>
      <c r="F49" s="437"/>
      <c r="G49" s="438"/>
      <c r="H49" s="432"/>
      <c r="I49" s="432"/>
      <c r="J49" s="455"/>
      <c r="K49" s="440"/>
      <c r="L49" s="456"/>
      <c r="M49" s="42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277"/>
      <c r="AY49" s="277"/>
      <c r="AZ49" s="277"/>
      <c r="BA49" s="277"/>
      <c r="BB49" s="277"/>
      <c r="BC49" s="277"/>
      <c r="BD49" s="277"/>
      <c r="BE49" s="277"/>
    </row>
    <row r="50" spans="2:57" s="54" customFormat="1" ht="59.45" customHeight="1" thickBot="1">
      <c r="B50" s="474" t="str">
        <f>J34</f>
        <v>STAG</v>
      </c>
      <c r="C50" s="445">
        <v>45898</v>
      </c>
      <c r="D50" s="446">
        <f>[38]August_2025!$AF$13</f>
        <v>99.3</v>
      </c>
      <c r="E50" s="447"/>
      <c r="F50" s="448"/>
      <c r="G50" s="449">
        <f>[38]August_2025!$AF$17</f>
        <v>94.6</v>
      </c>
      <c r="H50" s="432"/>
      <c r="I50" s="432"/>
      <c r="J50" s="452" t="s">
        <v>150</v>
      </c>
      <c r="K50" s="453">
        <f>[39]August_2025!$AF$25</f>
        <v>0.33192982456140346</v>
      </c>
      <c r="L50" s="466">
        <f>(((D50+E50)-G50)/(D50+E50))*100</f>
        <v>4.7331319234642528</v>
      </c>
      <c r="M50" s="465" t="s">
        <v>175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15.75" hidden="1" thickBot="1">
      <c r="B51" s="458"/>
      <c r="C51" s="434"/>
      <c r="D51" s="435"/>
      <c r="E51" s="436"/>
      <c r="F51" s="437"/>
      <c r="G51" s="438"/>
      <c r="H51" s="439"/>
      <c r="I51" s="454"/>
      <c r="J51" s="455"/>
      <c r="K51" s="440"/>
      <c r="L51" s="456"/>
      <c r="M51" s="42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36.6" hidden="1" customHeight="1" thickBot="1">
      <c r="B52" s="387"/>
      <c r="C52" s="445"/>
      <c r="D52" s="446"/>
      <c r="E52" s="447"/>
      <c r="F52" s="448"/>
      <c r="G52" s="449"/>
      <c r="H52" s="450"/>
      <c r="I52" s="451"/>
      <c r="J52" s="452" t="s">
        <v>163</v>
      </c>
      <c r="K52" s="453"/>
      <c r="L52" s="459" t="e">
        <f>(((D52+E52)-G52)/(D52+E52))*100</f>
        <v>#DIV/0!</v>
      </c>
      <c r="M52" s="460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16.5" hidden="1" customHeight="1" thickBot="1">
      <c r="B53" s="441"/>
      <c r="C53" s="427"/>
      <c r="D53" s="428"/>
      <c r="E53" s="429"/>
      <c r="F53" s="430"/>
      <c r="G53" s="431"/>
      <c r="H53" s="432"/>
      <c r="I53" s="442"/>
      <c r="J53" s="443"/>
      <c r="K53" s="433"/>
      <c r="L53" s="444"/>
      <c r="M53" s="426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415"/>
      <c r="AC53" s="415"/>
      <c r="AD53" s="415"/>
      <c r="AE53" s="415"/>
      <c r="AF53" s="415"/>
      <c r="AG53" s="415"/>
      <c r="AH53" s="415"/>
      <c r="AI53" s="415"/>
      <c r="AJ53" s="415"/>
      <c r="AK53" s="415"/>
      <c r="AL53" s="415"/>
      <c r="AM53" s="415"/>
      <c r="AN53" s="415"/>
      <c r="AO53" s="415"/>
      <c r="AP53" s="415"/>
      <c r="AQ53" s="415"/>
      <c r="AR53" s="415"/>
      <c r="AS53" s="415"/>
      <c r="AT53" s="415"/>
      <c r="AU53" s="415"/>
      <c r="AV53" s="415"/>
      <c r="AW53" s="415"/>
    </row>
    <row r="54" spans="2:57" ht="18" customHeight="1" thickBot="1">
      <c r="B54" s="59"/>
      <c r="C54" s="30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 t="s">
        <v>41</v>
      </c>
      <c r="O54" s="56"/>
      <c r="P54" s="60"/>
    </row>
    <row r="55" spans="2:57" ht="15.75" thickBot="1">
      <c r="B55" s="489" t="s">
        <v>55</v>
      </c>
      <c r="C55" s="490"/>
      <c r="D55" s="490"/>
      <c r="E55" s="490"/>
      <c r="F55" s="491"/>
      <c r="G55" s="489" t="s">
        <v>56</v>
      </c>
      <c r="H55" s="490"/>
      <c r="I55" s="490"/>
      <c r="J55" s="491"/>
      <c r="K55" s="489" t="s">
        <v>51</v>
      </c>
      <c r="L55" s="490"/>
      <c r="M55" s="490"/>
      <c r="N55" s="492"/>
      <c r="O55" s="56"/>
      <c r="P55" s="50"/>
    </row>
    <row r="56" spans="2:57" ht="15">
      <c r="B56" s="61" t="s">
        <v>17</v>
      </c>
      <c r="C56" s="62" t="s">
        <v>36</v>
      </c>
      <c r="D56" s="62" t="s">
        <v>37</v>
      </c>
      <c r="E56" s="62" t="s">
        <v>38</v>
      </c>
      <c r="F56" s="63" t="s">
        <v>39</v>
      </c>
      <c r="G56" s="62" t="s">
        <v>36</v>
      </c>
      <c r="H56" s="62" t="s">
        <v>37</v>
      </c>
      <c r="I56" s="62" t="s">
        <v>38</v>
      </c>
      <c r="J56" s="63" t="s">
        <v>39</v>
      </c>
      <c r="K56" s="62" t="s">
        <v>36</v>
      </c>
      <c r="L56" s="62" t="s">
        <v>37</v>
      </c>
      <c r="M56" s="62" t="s">
        <v>38</v>
      </c>
      <c r="N56" s="63" t="s">
        <v>39</v>
      </c>
      <c r="O56" s="56"/>
      <c r="P56" s="64"/>
    </row>
    <row r="57" spans="2:57" ht="15">
      <c r="B57" s="29" t="s">
        <v>6</v>
      </c>
      <c r="C57" s="65">
        <f>L48</f>
        <v>5.9096459096459064</v>
      </c>
      <c r="D57" s="76">
        <v>5.0841267135796109</v>
      </c>
      <c r="E57" s="76">
        <v>6.1826379337190565</v>
      </c>
      <c r="F57" s="66">
        <v>4.8</v>
      </c>
      <c r="G57" s="65">
        <f>[38]August_2025!$AF$11</f>
        <v>7.6591027763218369</v>
      </c>
      <c r="H57" s="76">
        <v>7.036501199419833</v>
      </c>
      <c r="I57" s="76">
        <v>6.2930865311978694</v>
      </c>
      <c r="J57" s="66">
        <v>4.8</v>
      </c>
      <c r="K57" s="67">
        <f>K48</f>
        <v>1.3519298245614035</v>
      </c>
      <c r="L57" s="194">
        <v>1.0619883040935671</v>
      </c>
      <c r="M57" s="194">
        <v>0.77440689068275237</v>
      </c>
      <c r="N57" s="68">
        <v>1</v>
      </c>
      <c r="O57" s="56"/>
      <c r="P57" s="69"/>
    </row>
    <row r="58" spans="2:57" ht="15">
      <c r="B58" s="33" t="s">
        <v>9</v>
      </c>
      <c r="C58" s="65">
        <f>L50</f>
        <v>4.7331319234642528</v>
      </c>
      <c r="D58" s="76">
        <v>4.8284050813954389</v>
      </c>
      <c r="E58" s="76">
        <v>5.8398613192243802</v>
      </c>
      <c r="F58" s="66">
        <v>4.8</v>
      </c>
      <c r="G58" s="65">
        <f>[38]August_2025!$AF$21</f>
        <v>0.24710645753146673</v>
      </c>
      <c r="H58" s="76">
        <v>5.0817131718042061</v>
      </c>
      <c r="I58" s="76">
        <v>5.4868544765685812</v>
      </c>
      <c r="J58" s="66">
        <v>4.8</v>
      </c>
      <c r="K58" s="67">
        <f>K50</f>
        <v>0.33192982456140346</v>
      </c>
      <c r="L58" s="194">
        <v>0.60493567251461999</v>
      </c>
      <c r="M58" s="194">
        <v>0.74160008792880283</v>
      </c>
      <c r="N58" s="68">
        <v>1</v>
      </c>
      <c r="P58" s="69"/>
    </row>
    <row r="59" spans="2:57" ht="15">
      <c r="B59" s="34" t="s">
        <v>40</v>
      </c>
      <c r="C59" s="65"/>
      <c r="D59" s="76">
        <v>7.8197165153686754</v>
      </c>
      <c r="E59" s="76">
        <v>11.234664338556245</v>
      </c>
      <c r="F59" s="66">
        <v>5.5</v>
      </c>
      <c r="G59" s="65"/>
      <c r="H59" s="76">
        <v>10.387665592755834</v>
      </c>
      <c r="I59" s="76">
        <v>12.922645762818227</v>
      </c>
      <c r="J59" s="66">
        <v>5.5</v>
      </c>
      <c r="K59" s="67"/>
      <c r="L59" s="194">
        <v>0.50771929824561401</v>
      </c>
      <c r="M59" s="194">
        <v>0.53918754349338904</v>
      </c>
      <c r="N59" s="68">
        <v>1</v>
      </c>
      <c r="P59" s="69"/>
    </row>
    <row r="60" spans="2:57" ht="15">
      <c r="B60" s="22" t="s">
        <v>33</v>
      </c>
      <c r="C60" s="65"/>
      <c r="D60" s="76">
        <v>3.992015968063888</v>
      </c>
      <c r="E60" s="76">
        <v>4.8818566667667298</v>
      </c>
      <c r="F60" s="66">
        <v>3.3</v>
      </c>
      <c r="G60" s="65"/>
      <c r="H60" s="76">
        <v>4.3345910844408779</v>
      </c>
      <c r="I60" s="76">
        <v>4.7612385632312364</v>
      </c>
      <c r="J60" s="66">
        <v>3.3</v>
      </c>
      <c r="K60" s="67"/>
      <c r="L60" s="194">
        <v>1.016578947368421</v>
      </c>
      <c r="M60" s="194">
        <v>0.82603070175438598</v>
      </c>
      <c r="N60" s="68">
        <v>1</v>
      </c>
      <c r="P60" s="69"/>
    </row>
    <row r="61" spans="2:57" ht="15">
      <c r="B61" s="35" t="s">
        <v>165</v>
      </c>
      <c r="C61" s="65"/>
      <c r="D61" s="76"/>
      <c r="E61" s="76">
        <v>7.837301587301579</v>
      </c>
      <c r="F61" s="66">
        <v>3.3</v>
      </c>
      <c r="G61" s="282"/>
      <c r="H61" s="76"/>
      <c r="I61" s="76">
        <v>5.3377569154690221</v>
      </c>
      <c r="J61" s="66">
        <v>3</v>
      </c>
      <c r="K61" s="67"/>
      <c r="L61" s="194"/>
      <c r="M61" s="194">
        <v>0.32596491228070179</v>
      </c>
      <c r="N61" s="68">
        <v>1</v>
      </c>
      <c r="P61" s="69"/>
    </row>
    <row r="62" spans="2:57" ht="15">
      <c r="B62" s="36" t="s">
        <v>15</v>
      </c>
      <c r="C62" s="65"/>
      <c r="D62" s="76">
        <v>5.2552552552552552</v>
      </c>
      <c r="E62" s="76">
        <v>6.9158697961943529</v>
      </c>
      <c r="F62" s="70">
        <f>[21]May_2022!$M$43</f>
        <v>3.4878406700073312</v>
      </c>
      <c r="G62" s="282"/>
      <c r="H62" s="76">
        <v>6.7916330640214131</v>
      </c>
      <c r="I62" s="76">
        <v>8.5598888260252064</v>
      </c>
      <c r="J62" s="66">
        <v>5.5</v>
      </c>
      <c r="K62" s="67"/>
      <c r="L62" s="194">
        <v>0.66421052631578947</v>
      </c>
      <c r="M62" s="194">
        <v>0.60705263157894729</v>
      </c>
      <c r="N62" s="68">
        <v>1</v>
      </c>
      <c r="P62" s="69"/>
    </row>
    <row r="63" spans="2:57" ht="15">
      <c r="B63" s="37" t="s">
        <v>16</v>
      </c>
      <c r="C63" s="65"/>
      <c r="D63" s="76">
        <v>4.1414141414141357</v>
      </c>
      <c r="E63" s="76">
        <v>3.0301127264734369</v>
      </c>
      <c r="F63" s="66">
        <v>3.3</v>
      </c>
      <c r="G63" s="282"/>
      <c r="H63" s="76">
        <v>7.0415942868172152</v>
      </c>
      <c r="I63" s="76">
        <v>4.4974189022907662</v>
      </c>
      <c r="J63" s="66">
        <v>3.3</v>
      </c>
      <c r="K63" s="67"/>
      <c r="L63" s="194"/>
      <c r="M63" s="194">
        <v>0.80374720357941831</v>
      </c>
      <c r="N63" s="71">
        <v>1</v>
      </c>
      <c r="P63" s="69"/>
    </row>
    <row r="64" spans="2:57" ht="15.75" thickBot="1">
      <c r="B64" s="38" t="s">
        <v>164</v>
      </c>
      <c r="C64" s="65"/>
      <c r="D64" s="76"/>
      <c r="E64" s="76">
        <v>11.483253588516746</v>
      </c>
      <c r="F64" s="66">
        <v>7.5</v>
      </c>
      <c r="G64" s="282"/>
      <c r="H64" s="76"/>
      <c r="I64" s="76">
        <v>9.7934336121043764</v>
      </c>
      <c r="J64" s="66">
        <v>7.5</v>
      </c>
      <c r="K64" s="67"/>
      <c r="M64" s="194">
        <v>0.32456140350877194</v>
      </c>
      <c r="N64" s="71">
        <v>1</v>
      </c>
      <c r="P64" s="69"/>
    </row>
    <row r="65" spans="2:16" ht="15.75" thickBot="1">
      <c r="B65" s="414" t="s">
        <v>161</v>
      </c>
      <c r="C65" s="65"/>
      <c r="D65" s="76"/>
      <c r="E65" s="76">
        <v>7.2653644592663174</v>
      </c>
      <c r="F65" s="66">
        <v>4.8</v>
      </c>
      <c r="G65" s="282"/>
      <c r="H65" s="76"/>
      <c r="I65" s="76">
        <v>8.1715311054411259</v>
      </c>
      <c r="J65" s="66">
        <v>4.8</v>
      </c>
      <c r="K65" s="67"/>
      <c r="L65" s="194"/>
      <c r="M65" s="194">
        <v>0.51368421052631585</v>
      </c>
      <c r="N65" s="71">
        <v>1</v>
      </c>
      <c r="O65" s="74"/>
      <c r="P65" s="75"/>
    </row>
    <row r="66" spans="2:16" ht="15">
      <c r="D66" s="76">
        <v>5.155273392847997</v>
      </c>
      <c r="E66" s="76">
        <v>6.2499527977071718</v>
      </c>
      <c r="F66" s="341">
        <v>5.5</v>
      </c>
      <c r="H66" s="76">
        <v>6.7338207164959769</v>
      </c>
      <c r="I66" s="76">
        <v>6.5966426657431283</v>
      </c>
      <c r="J66" s="341">
        <v>5.5</v>
      </c>
      <c r="L66" s="194">
        <v>0.83141812865497067</v>
      </c>
      <c r="M66" s="194">
        <v>0.73483846645797568</v>
      </c>
      <c r="N66" s="386">
        <v>1</v>
      </c>
    </row>
    <row r="70" spans="2:16">
      <c r="F70" s="315"/>
    </row>
    <row r="71" spans="2:16" ht="15">
      <c r="F71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7:N17"/>
    <mergeCell ref="D18:E18"/>
    <mergeCell ref="B19:B30"/>
    <mergeCell ref="D19:E20"/>
    <mergeCell ref="D21:E22"/>
    <mergeCell ref="D23:E24"/>
    <mergeCell ref="D25:E26"/>
    <mergeCell ref="D27:E28"/>
    <mergeCell ref="D29:E30"/>
    <mergeCell ref="B31:B40"/>
    <mergeCell ref="D31:E32"/>
    <mergeCell ref="J31:K31"/>
    <mergeCell ref="L32:N32"/>
    <mergeCell ref="D33:E34"/>
    <mergeCell ref="D35:E36"/>
    <mergeCell ref="D37:E38"/>
    <mergeCell ref="D39:E40"/>
    <mergeCell ref="D41:E41"/>
    <mergeCell ref="B46:B47"/>
    <mergeCell ref="C46:C47"/>
    <mergeCell ref="D46:D47"/>
    <mergeCell ref="E46:E47"/>
    <mergeCell ref="M46:M47"/>
    <mergeCell ref="B55:F55"/>
    <mergeCell ref="G55:J55"/>
    <mergeCell ref="K55:N55"/>
    <mergeCell ref="G46:G47"/>
    <mergeCell ref="H46:H47"/>
    <mergeCell ref="I46:I47"/>
    <mergeCell ref="J46:J47"/>
    <mergeCell ref="K46:K47"/>
    <mergeCell ref="L46:L47"/>
    <mergeCell ref="F46:F47"/>
  </mergeCells>
  <conditionalFormatting sqref="B41:B42">
    <cfRule type="cellIs" dxfId="161" priority="142" operator="notBetween">
      <formula>#REF!</formula>
      <formula>#REF!</formula>
    </cfRule>
  </conditionalFormatting>
  <conditionalFormatting sqref="C45">
    <cfRule type="cellIs" dxfId="160" priority="173" stopIfTrue="1" operator="lessThan">
      <formula>96</formula>
    </cfRule>
    <cfRule type="cellIs" dxfId="159" priority="174" stopIfTrue="1" operator="greaterThan">
      <formula>100</formula>
    </cfRule>
  </conditionalFormatting>
  <conditionalFormatting sqref="C57:C61">
    <cfRule type="cellIs" dxfId="158" priority="123" stopIfTrue="1" operator="lessThanOrEqual">
      <formula>0</formula>
    </cfRule>
  </conditionalFormatting>
  <conditionalFormatting sqref="C57:C65">
    <cfRule type="cellIs" dxfId="157" priority="122" stopIfTrue="1" operator="greaterThan">
      <formula>$F57</formula>
    </cfRule>
  </conditionalFormatting>
  <conditionalFormatting sqref="C58">
    <cfRule type="cellIs" dxfId="156" priority="177" stopIfTrue="1" operator="greaterThan">
      <formula>$F57</formula>
    </cfRule>
  </conditionalFormatting>
  <conditionalFormatting sqref="C62">
    <cfRule type="cellIs" dxfId="155" priority="45" stopIfTrue="1" operator="greaterThan">
      <formula>$F61</formula>
    </cfRule>
    <cfRule type="cellIs" dxfId="154" priority="44" stopIfTrue="1" operator="lessThanOrEqual">
      <formula>0</formula>
    </cfRule>
  </conditionalFormatting>
  <conditionalFormatting sqref="C68:C72">
    <cfRule type="cellIs" dxfId="153" priority="165" stopIfTrue="1" operator="lessThanOrEqual">
      <formula>0</formula>
    </cfRule>
  </conditionalFormatting>
  <conditionalFormatting sqref="C69:C72">
    <cfRule type="cellIs" dxfId="152" priority="164" stopIfTrue="1" operator="greaterThan">
      <formula>$F$68</formula>
    </cfRule>
  </conditionalFormatting>
  <conditionalFormatting sqref="C74">
    <cfRule type="cellIs" dxfId="151" priority="166" stopIfTrue="1" operator="greaterThan">
      <formula>$F$68</formula>
    </cfRule>
    <cfRule type="cellIs" dxfId="150" priority="167" stopIfTrue="1" operator="lessThanOrEqual">
      <formula>0</formula>
    </cfRule>
  </conditionalFormatting>
  <conditionalFormatting sqref="C68:D68 D70:D76">
    <cfRule type="cellIs" dxfId="149" priority="159" stopIfTrue="1" operator="greaterThan">
      <formula>4.5</formula>
    </cfRule>
  </conditionalFormatting>
  <conditionalFormatting sqref="D41:D42">
    <cfRule type="cellIs" dxfId="148" priority="143" operator="notBetween">
      <formula>#REF!</formula>
      <formula>#REF!</formula>
    </cfRule>
  </conditionalFormatting>
  <conditionalFormatting sqref="D57:D64">
    <cfRule type="cellIs" dxfId="147" priority="137" stopIfTrue="1" operator="lessThanOrEqual">
      <formula>0</formula>
    </cfRule>
  </conditionalFormatting>
  <conditionalFormatting sqref="D65">
    <cfRule type="cellIs" dxfId="146" priority="136" stopIfTrue="1" operator="lessThanOrEqual">
      <formula>0</formula>
    </cfRule>
  </conditionalFormatting>
  <conditionalFormatting sqref="D68 D70:D76">
    <cfRule type="cellIs" dxfId="145" priority="160" stopIfTrue="1" operator="lessThanOrEqual">
      <formula>0</formula>
    </cfRule>
  </conditionalFormatting>
  <conditionalFormatting sqref="D69">
    <cfRule type="cellIs" dxfId="144" priority="152" stopIfTrue="1" operator="lessThanOrEqual">
      <formula>0</formula>
    </cfRule>
    <cfRule type="cellIs" dxfId="143" priority="151" stopIfTrue="1" operator="greaterThan">
      <formula>$F$68</formula>
    </cfRule>
  </conditionalFormatting>
  <conditionalFormatting sqref="D57:E66">
    <cfRule type="cellIs" dxfId="142" priority="119" stopIfTrue="1" operator="greaterThan">
      <formula>$F57</formula>
    </cfRule>
  </conditionalFormatting>
  <conditionalFormatting sqref="D66:E66">
    <cfRule type="cellIs" dxfId="141" priority="120" stopIfTrue="1" operator="lessThanOrEqual">
      <formula>0</formula>
    </cfRule>
  </conditionalFormatting>
  <conditionalFormatting sqref="E10:E16">
    <cfRule type="cellIs" dxfId="140" priority="26" operator="lessThan">
      <formula>48</formula>
    </cfRule>
  </conditionalFormatting>
  <conditionalFormatting sqref="E44 E45:F45">
    <cfRule type="cellIs" dxfId="139" priority="156" stopIfTrue="1" operator="greaterThan">
      <formula>100</formula>
    </cfRule>
  </conditionalFormatting>
  <conditionalFormatting sqref="E45">
    <cfRule type="cellIs" dxfId="138" priority="153" stopIfTrue="1" operator="lessThan">
      <formula>96.8</formula>
    </cfRule>
    <cfRule type="cellIs" dxfId="137" priority="154" stopIfTrue="1" operator="greaterThan">
      <formula>100</formula>
    </cfRule>
  </conditionalFormatting>
  <conditionalFormatting sqref="E57:E65">
    <cfRule type="cellIs" dxfId="136" priority="131" stopIfTrue="1" operator="lessThanOrEqual">
      <formula>0</formula>
    </cfRule>
  </conditionalFormatting>
  <conditionalFormatting sqref="E68:E76">
    <cfRule type="cellIs" dxfId="135" priority="145" stopIfTrue="1" operator="greaterThan">
      <formula>4.5</formula>
    </cfRule>
    <cfRule type="cellIs" dxfId="134" priority="146" stopIfTrue="1" operator="lessThanOrEqual">
      <formula>0</formula>
    </cfRule>
  </conditionalFormatting>
  <conditionalFormatting sqref="E45:F45 E44">
    <cfRule type="cellIs" dxfId="133" priority="155" stopIfTrue="1" operator="lessThan">
      <formula>96.5</formula>
    </cfRule>
  </conditionalFormatting>
  <conditionalFormatting sqref="F10:F16">
    <cfRule type="cellIs" dxfId="132" priority="27" operator="greaterThan">
      <formula>60</formula>
    </cfRule>
  </conditionalFormatting>
  <conditionalFormatting sqref="F45">
    <cfRule type="cellIs" dxfId="131" priority="171" stopIfTrue="1" operator="lessThan">
      <formula>96.8</formula>
    </cfRule>
    <cfRule type="cellIs" dxfId="130" priority="172" stopIfTrue="1" operator="greaterThan">
      <formula>100</formula>
    </cfRule>
  </conditionalFormatting>
  <conditionalFormatting sqref="F66">
    <cfRule type="cellIs" dxfId="129" priority="133" stopIfTrue="1" operator="lessThanOrEqual">
      <formula>0</formula>
    </cfRule>
    <cfRule type="cellIs" dxfId="128" priority="132" stopIfTrue="1" operator="greaterThan">
      <formula>$F66</formula>
    </cfRule>
  </conditionalFormatting>
  <conditionalFormatting sqref="F71">
    <cfRule type="cellIs" dxfId="127" priority="89" stopIfTrue="1" operator="greaterThan">
      <formula>$F71</formula>
    </cfRule>
    <cfRule type="cellIs" dxfId="126" priority="90" stopIfTrue="1" operator="lessThanOrEqual">
      <formula>0</formula>
    </cfRule>
  </conditionalFormatting>
  <conditionalFormatting sqref="G10:G14">
    <cfRule type="expression" dxfId="125" priority="17">
      <formula>IF(+(IF(G10&lt;S10,0,IF(G10&gt;T10,0,1)))=0,1)</formula>
    </cfRule>
  </conditionalFormatting>
  <conditionalFormatting sqref="G57:G58 C63:C65">
    <cfRule type="cellIs" dxfId="124" priority="139" stopIfTrue="1" operator="lessThanOrEqual">
      <formula>0</formula>
    </cfRule>
  </conditionalFormatting>
  <conditionalFormatting sqref="G57:G58">
    <cfRule type="cellIs" dxfId="123" priority="125" stopIfTrue="1" operator="lessThanOrEqual">
      <formula>0</formula>
    </cfRule>
    <cfRule type="cellIs" dxfId="122" priority="124" stopIfTrue="1" operator="greaterThan">
      <formula>$F57</formula>
    </cfRule>
    <cfRule type="cellIs" dxfId="121" priority="138" stopIfTrue="1" operator="greaterThan">
      <formula>$F57</formula>
    </cfRule>
  </conditionalFormatting>
  <conditionalFormatting sqref="G59">
    <cfRule type="cellIs" dxfId="120" priority="175" stopIfTrue="1" operator="greaterThan">
      <formula>$F58</formula>
    </cfRule>
    <cfRule type="cellIs" dxfId="119" priority="176" stopIfTrue="1" operator="lessThanOrEqual">
      <formula>0</formula>
    </cfRule>
  </conditionalFormatting>
  <conditionalFormatting sqref="G60">
    <cfRule type="cellIs" dxfId="118" priority="135" stopIfTrue="1" operator="lessThanOrEqual">
      <formula>0</formula>
    </cfRule>
    <cfRule type="cellIs" dxfId="117" priority="134" stopIfTrue="1" operator="greaterThan">
      <formula>$F60</formula>
    </cfRule>
  </conditionalFormatting>
  <conditionalFormatting sqref="G61:G65">
    <cfRule type="cellIs" dxfId="116" priority="141" stopIfTrue="1" operator="lessThanOrEqual">
      <formula>0</formula>
    </cfRule>
    <cfRule type="cellIs" dxfId="115" priority="140" stopIfTrue="1" operator="greaterThan">
      <formula>$J61</formula>
    </cfRule>
  </conditionalFormatting>
  <conditionalFormatting sqref="G70:G75 C73 C75">
    <cfRule type="cellIs" dxfId="114" priority="168" stopIfTrue="1" operator="greaterThan">
      <formula>4.5</formula>
    </cfRule>
    <cfRule type="cellIs" dxfId="113" priority="169" stopIfTrue="1" operator="lessThanOrEqual">
      <formula>0</formula>
    </cfRule>
  </conditionalFormatting>
  <conditionalFormatting sqref="G15:H16">
    <cfRule type="expression" dxfId="112" priority="29">
      <formula>IF(+(IF(G15&lt;#REF!,0,IF(G15&gt;#REF!,0,1)))=0,1)</formula>
    </cfRule>
  </conditionalFormatting>
  <conditionalFormatting sqref="G69:H69">
    <cfRule type="cellIs" dxfId="111" priority="150" stopIfTrue="1" operator="lessThanOrEqual">
      <formula>0</formula>
    </cfRule>
    <cfRule type="cellIs" dxfId="110" priority="149" stopIfTrue="1" operator="greaterThan">
      <formula>$F$68</formula>
    </cfRule>
  </conditionalFormatting>
  <conditionalFormatting sqref="H10:H14">
    <cfRule type="expression" dxfId="109" priority="16">
      <formula>IF(+(IF(H10&lt;#REF!,0,IF(H10&gt;#REF!,0,1)))=0,1)</formula>
    </cfRule>
  </conditionalFormatting>
  <conditionalFormatting sqref="H30:H44">
    <cfRule type="cellIs" dxfId="108" priority="147" stopIfTrue="1" operator="greaterThan">
      <formula>0</formula>
    </cfRule>
  </conditionalFormatting>
  <conditionalFormatting sqref="H48">
    <cfRule type="cellIs" dxfId="107" priority="48" stopIfTrue="1" operator="lessThanOrEqual">
      <formula>0</formula>
    </cfRule>
    <cfRule type="cellIs" dxfId="106" priority="57" stopIfTrue="1" operator="greaterThan">
      <formula>$F$15</formula>
    </cfRule>
    <cfRule type="cellIs" dxfId="105" priority="49" stopIfTrue="1" operator="greaterThan">
      <formula>#REF!</formula>
    </cfRule>
    <cfRule type="cellIs" dxfId="104" priority="58" stopIfTrue="1" operator="lessThanOrEqual">
      <formula>0</formula>
    </cfRule>
    <cfRule type="cellIs" dxfId="103" priority="59" stopIfTrue="1" operator="greaterThan">
      <formula>#REF!</formula>
    </cfRule>
    <cfRule type="cellIs" dxfId="102" priority="60" stopIfTrue="1" operator="lessThanOrEqual">
      <formula>0</formula>
    </cfRule>
  </conditionalFormatting>
  <conditionalFormatting sqref="H49">
    <cfRule type="cellIs" dxfId="101" priority="87" stopIfTrue="1" operator="greaterThan">
      <formula>$F$15</formula>
    </cfRule>
    <cfRule type="cellIs" dxfId="100" priority="86" stopIfTrue="1" operator="lessThanOrEqual">
      <formula>0</formula>
    </cfRule>
    <cfRule type="cellIs" dxfId="99" priority="85" stopIfTrue="1" operator="greaterThan">
      <formula>$F$17</formula>
    </cfRule>
    <cfRule type="cellIs" dxfId="98" priority="88" stopIfTrue="1" operator="lessThanOrEqual">
      <formula>0</formula>
    </cfRule>
    <cfRule type="cellIs" dxfId="97" priority="76" stopIfTrue="1" operator="lessThanOrEqual">
      <formula>0</formula>
    </cfRule>
    <cfRule type="cellIs" dxfId="96" priority="77" stopIfTrue="1" operator="greaterThan">
      <formula>#REF!</formula>
    </cfRule>
  </conditionalFormatting>
  <conditionalFormatting sqref="H50">
    <cfRule type="cellIs" dxfId="95" priority="12" stopIfTrue="1" operator="lessThanOrEqual">
      <formula>0</formula>
    </cfRule>
    <cfRule type="cellIs" dxfId="94" priority="14" stopIfTrue="1" operator="lessThanOrEqual">
      <formula>0</formula>
    </cfRule>
    <cfRule type="cellIs" dxfId="93" priority="13" stopIfTrue="1" operator="greaterThan">
      <formula>$F$36</formula>
    </cfRule>
    <cfRule type="cellIs" dxfId="92" priority="2" stopIfTrue="1" operator="lessThanOrEqual">
      <formula>0</formula>
    </cfRule>
    <cfRule type="cellIs" dxfId="91" priority="3" stopIfTrue="1" operator="greaterThan">
      <formula>$F$35</formula>
    </cfRule>
    <cfRule type="cellIs" dxfId="90" priority="11" stopIfTrue="1" operator="greaterThan">
      <formula>$F$38</formula>
    </cfRule>
  </conditionalFormatting>
  <conditionalFormatting sqref="H51:H52">
    <cfRule type="cellIs" dxfId="89" priority="63" stopIfTrue="1" operator="greaterThan">
      <formula>#REF!</formula>
    </cfRule>
    <cfRule type="cellIs" dxfId="88" priority="71" stopIfTrue="1" operator="greaterThan">
      <formula>$F$16</formula>
    </cfRule>
    <cfRule type="cellIs" dxfId="87" priority="72" stopIfTrue="1" operator="lessThanOrEqual">
      <formula>0</formula>
    </cfRule>
    <cfRule type="cellIs" dxfId="86" priority="73" stopIfTrue="1" operator="greaterThan">
      <formula>#REF!</formula>
    </cfRule>
    <cfRule type="cellIs" dxfId="85" priority="74" stopIfTrue="1" operator="lessThanOrEqual">
      <formula>0</formula>
    </cfRule>
    <cfRule type="cellIs" dxfId="84" priority="62" stopIfTrue="1" operator="lessThanOrEqual">
      <formula>0</formula>
    </cfRule>
  </conditionalFormatting>
  <conditionalFormatting sqref="H53">
    <cfRule type="cellIs" dxfId="83" priority="103" stopIfTrue="1" operator="lessThanOrEqual">
      <formula>0</formula>
    </cfRule>
    <cfRule type="cellIs" dxfId="82" priority="102" stopIfTrue="1" operator="greaterThan">
      <formula>$F$32</formula>
    </cfRule>
    <cfRule type="cellIs" dxfId="81" priority="94" stopIfTrue="1" operator="greaterThan">
      <formula>$F$29</formula>
    </cfRule>
    <cfRule type="cellIs" dxfId="80" priority="105" stopIfTrue="1" operator="lessThanOrEqual">
      <formula>0</formula>
    </cfRule>
    <cfRule type="cellIs" dxfId="79" priority="104" stopIfTrue="1" operator="greaterThan">
      <formula>$F$30</formula>
    </cfRule>
    <cfRule type="cellIs" dxfId="78" priority="93" stopIfTrue="1" operator="lessThanOrEqual">
      <formula>0</formula>
    </cfRule>
  </conditionalFormatting>
  <conditionalFormatting sqref="H57:H64">
    <cfRule type="cellIs" dxfId="77" priority="126" stopIfTrue="1" operator="greaterThan">
      <formula>$J57</formula>
    </cfRule>
    <cfRule type="cellIs" dxfId="76" priority="127" stopIfTrue="1" operator="lessThanOrEqual">
      <formula>0</formula>
    </cfRule>
  </conditionalFormatting>
  <conditionalFormatting sqref="H65">
    <cfRule type="cellIs" dxfId="75" priority="128" operator="greaterThan">
      <formula>5.3</formula>
    </cfRule>
  </conditionalFormatting>
  <conditionalFormatting sqref="H68 H70:H76">
    <cfRule type="cellIs" dxfId="74" priority="161" stopIfTrue="1" operator="greaterThan">
      <formula>4.5</formula>
    </cfRule>
    <cfRule type="cellIs" dxfId="73" priority="162" stopIfTrue="1" operator="lessThanOrEqual">
      <formula>0</formula>
    </cfRule>
  </conditionalFormatting>
  <conditionalFormatting sqref="H48:I48">
    <cfRule type="cellIs" dxfId="72" priority="47" stopIfTrue="1" operator="greaterThan">
      <formula>#REF!</formula>
    </cfRule>
    <cfRule type="cellIs" dxfId="71" priority="50" stopIfTrue="1" operator="lessThanOrEqual">
      <formula>0</formula>
    </cfRule>
  </conditionalFormatting>
  <conditionalFormatting sqref="H49:I49">
    <cfRule type="cellIs" dxfId="70" priority="75" stopIfTrue="1" operator="greaterThan">
      <formula>$F$16</formula>
    </cfRule>
    <cfRule type="cellIs" dxfId="69" priority="78" stopIfTrue="1" operator="lessThanOrEqual">
      <formula>0</formula>
    </cfRule>
  </conditionalFormatting>
  <conditionalFormatting sqref="H50:I50">
    <cfRule type="cellIs" dxfId="68" priority="1" stopIfTrue="1" operator="greaterThan">
      <formula>$F$37</formula>
    </cfRule>
    <cfRule type="cellIs" dxfId="67" priority="4" stopIfTrue="1" operator="lessThanOrEqual">
      <formula>0</formula>
    </cfRule>
  </conditionalFormatting>
  <conditionalFormatting sqref="H51:I52">
    <cfRule type="cellIs" dxfId="66" priority="64" stopIfTrue="1" operator="lessThanOrEqual">
      <formula>0</formula>
    </cfRule>
    <cfRule type="cellIs" dxfId="65" priority="61" stopIfTrue="1" operator="greaterThan">
      <formula>$F$15</formula>
    </cfRule>
  </conditionalFormatting>
  <conditionalFormatting sqref="H53:I53">
    <cfRule type="cellIs" dxfId="64" priority="95" stopIfTrue="1" operator="lessThanOrEqual">
      <formula>0</formula>
    </cfRule>
    <cfRule type="cellIs" dxfId="63" priority="92" stopIfTrue="1" operator="greaterThan">
      <formula>$F$31</formula>
    </cfRule>
  </conditionalFormatting>
  <conditionalFormatting sqref="H66:I66">
    <cfRule type="cellIs" dxfId="62" priority="117" stopIfTrue="1" operator="greaterThan">
      <formula>$J66</formula>
    </cfRule>
    <cfRule type="cellIs" dxfId="61" priority="118" stopIfTrue="1" operator="lessThanOrEqual">
      <formula>0</formula>
    </cfRule>
  </conditionalFormatting>
  <conditionalFormatting sqref="I48">
    <cfRule type="cellIs" dxfId="60" priority="52" stopIfTrue="1" operator="lessThanOrEqual">
      <formula>0</formula>
    </cfRule>
    <cfRule type="cellIs" dxfId="59" priority="53" stopIfTrue="1" operator="greaterThan">
      <formula>#REF!</formula>
    </cfRule>
    <cfRule type="cellIs" dxfId="58" priority="54" stopIfTrue="1" operator="lessThanOrEqual">
      <formula>0</formula>
    </cfRule>
    <cfRule type="cellIs" dxfId="57" priority="55" stopIfTrue="1" operator="greaterThan">
      <formula>#REF!</formula>
    </cfRule>
    <cfRule type="cellIs" dxfId="56" priority="56" stopIfTrue="1" operator="lessThanOrEqual">
      <formula>0</formula>
    </cfRule>
    <cfRule type="cellIs" dxfId="55" priority="51" stopIfTrue="1" operator="greaterThan">
      <formula>#REF!</formula>
    </cfRule>
  </conditionalFormatting>
  <conditionalFormatting sqref="I49">
    <cfRule type="cellIs" dxfId="54" priority="79" stopIfTrue="1" operator="greaterThan">
      <formula>#REF!</formula>
    </cfRule>
    <cfRule type="cellIs" dxfId="53" priority="80" stopIfTrue="1" operator="lessThanOrEqual">
      <formula>0</formula>
    </cfRule>
    <cfRule type="cellIs" dxfId="52" priority="81" stopIfTrue="1" operator="greaterThan">
      <formula>$F$16</formula>
    </cfRule>
    <cfRule type="cellIs" dxfId="51" priority="82" stopIfTrue="1" operator="lessThanOrEqual">
      <formula>0</formula>
    </cfRule>
    <cfRule type="cellIs" dxfId="50" priority="83" stopIfTrue="1" operator="greaterThan">
      <formula>#REF!</formula>
    </cfRule>
    <cfRule type="cellIs" dxfId="49" priority="84" stopIfTrue="1" operator="lessThanOrEqual">
      <formula>0</formula>
    </cfRule>
  </conditionalFormatting>
  <conditionalFormatting sqref="I50">
    <cfRule type="cellIs" dxfId="48" priority="10" stopIfTrue="1" operator="lessThanOrEqual">
      <formula>0</formula>
    </cfRule>
    <cfRule type="cellIs" dxfId="47" priority="9" stopIfTrue="1" operator="greaterThan">
      <formula>$F$35</formula>
    </cfRule>
    <cfRule type="cellIs" dxfId="46" priority="8" stopIfTrue="1" operator="lessThanOrEqual">
      <formula>0</formula>
    </cfRule>
    <cfRule type="cellIs" dxfId="45" priority="7" stopIfTrue="1" operator="greaterThan">
      <formula>$F$37</formula>
    </cfRule>
    <cfRule type="cellIs" dxfId="44" priority="6" stopIfTrue="1" operator="lessThanOrEqual">
      <formula>0</formula>
    </cfRule>
    <cfRule type="cellIs" dxfId="43" priority="5" stopIfTrue="1" operator="greaterThan">
      <formula>$F$35</formula>
    </cfRule>
  </conditionalFormatting>
  <conditionalFormatting sqref="I51:I52">
    <cfRule type="cellIs" dxfId="42" priority="69" stopIfTrue="1" operator="greaterThan">
      <formula>#REF!</formula>
    </cfRule>
    <cfRule type="cellIs" dxfId="41" priority="68" stopIfTrue="1" operator="lessThanOrEqual">
      <formula>0</formula>
    </cfRule>
    <cfRule type="cellIs" dxfId="40" priority="67" stopIfTrue="1" operator="greaterThan">
      <formula>$F$15</formula>
    </cfRule>
    <cfRule type="cellIs" dxfId="39" priority="66" stopIfTrue="1" operator="lessThanOrEqual">
      <formula>0</formula>
    </cfRule>
    <cfRule type="cellIs" dxfId="38" priority="65" stopIfTrue="1" operator="greaterThan">
      <formula>#REF!</formula>
    </cfRule>
    <cfRule type="cellIs" dxfId="37" priority="70" stopIfTrue="1" operator="lessThanOrEqual">
      <formula>0</formula>
    </cfRule>
  </conditionalFormatting>
  <conditionalFormatting sqref="I53">
    <cfRule type="cellIs" dxfId="36" priority="101" stopIfTrue="1" operator="lessThanOrEqual">
      <formula>0</formula>
    </cfRule>
    <cfRule type="cellIs" dxfId="35" priority="100" stopIfTrue="1" operator="greaterThan">
      <formula>$F$29</formula>
    </cfRule>
    <cfRule type="cellIs" dxfId="34" priority="98" stopIfTrue="1" operator="greaterThan">
      <formula>$F$31</formula>
    </cfRule>
    <cfRule type="cellIs" dxfId="33" priority="99" stopIfTrue="1" operator="lessThanOrEqual">
      <formula>0</formula>
    </cfRule>
    <cfRule type="cellIs" dxfId="32" priority="97" stopIfTrue="1" operator="lessThanOrEqual">
      <formula>0</formula>
    </cfRule>
    <cfRule type="cellIs" dxfId="31" priority="96" stopIfTrue="1" operator="greaterThan">
      <formula>$F$29</formula>
    </cfRule>
  </conditionalFormatting>
  <conditionalFormatting sqref="I57:I65">
    <cfRule type="cellIs" dxfId="30" priority="129" stopIfTrue="1" operator="greaterThan">
      <formula>$J57</formula>
    </cfRule>
    <cfRule type="cellIs" dxfId="29" priority="130" stopIfTrue="1" operator="lessThanOrEqual">
      <formula>0</formula>
    </cfRule>
  </conditionalFormatting>
  <conditionalFormatting sqref="I68:I76">
    <cfRule type="cellIs" dxfId="28" priority="157" stopIfTrue="1" operator="greaterThan">
      <formula>4.5</formula>
    </cfRule>
    <cfRule type="cellIs" dxfId="27" priority="158" stopIfTrue="1" operator="lessThanOrEqual">
      <formula>0</formula>
    </cfRule>
  </conditionalFormatting>
  <conditionalFormatting sqref="I10:J16">
    <cfRule type="cellIs" dxfId="26" priority="22" operator="lessThan">
      <formula>97.9</formula>
    </cfRule>
  </conditionalFormatting>
  <conditionalFormatting sqref="J19:J21">
    <cfRule type="cellIs" dxfId="25" priority="107" stopIfTrue="1" operator="lessThan">
      <formula>96.8</formula>
    </cfRule>
    <cfRule type="cellIs" dxfId="24" priority="108" stopIfTrue="1" operator="greaterThan">
      <formula>100</formula>
    </cfRule>
    <cfRule type="cellIs" dxfId="23" priority="109" operator="lessThan">
      <formula>98</formula>
    </cfRule>
  </conditionalFormatting>
  <conditionalFormatting sqref="J19:J23">
    <cfRule type="cellIs" dxfId="22" priority="106" operator="lessThan">
      <formula>97.4</formula>
    </cfRule>
  </conditionalFormatting>
  <conditionalFormatting sqref="J24">
    <cfRule type="cellIs" dxfId="21" priority="110" operator="lessThan">
      <formula>98</formula>
    </cfRule>
  </conditionalFormatting>
  <conditionalFormatting sqref="J26:J27">
    <cfRule type="cellIs" dxfId="20" priority="111" stopIfTrue="1" operator="lessThan">
      <formula>96.8</formula>
    </cfRule>
    <cfRule type="cellIs" dxfId="19" priority="112" stopIfTrue="1" operator="greaterThan">
      <formula>100</formula>
    </cfRule>
  </conditionalFormatting>
  <conditionalFormatting sqref="J26:J28">
    <cfRule type="cellIs" dxfId="18" priority="113" operator="lessThan">
      <formula>98</formula>
    </cfRule>
  </conditionalFormatting>
  <conditionalFormatting sqref="J66">
    <cfRule type="cellIs" dxfId="17" priority="114" stopIfTrue="1" operator="greaterThan">
      <formula>$F66</formula>
    </cfRule>
    <cfRule type="cellIs" dxfId="16" priority="115" stopIfTrue="1" operator="lessThanOrEqual">
      <formula>0</formula>
    </cfRule>
  </conditionalFormatting>
  <conditionalFormatting sqref="K10:K16">
    <cfRule type="cellIs" dxfId="15" priority="21" operator="greaterThan">
      <formula>6.4</formula>
    </cfRule>
    <cfRule type="cellIs" dxfId="14" priority="19" operator="greaterThan">
      <formula>6</formula>
    </cfRule>
    <cfRule type="cellIs" dxfId="13" priority="20" operator="lessThan">
      <formula>4</formula>
    </cfRule>
  </conditionalFormatting>
  <conditionalFormatting sqref="K48:K53 K57:N63 K64 M64:N64 K65:N65">
    <cfRule type="cellIs" dxfId="12" priority="91" stopIfTrue="1" operator="lessThan">
      <formula>100%</formula>
    </cfRule>
  </conditionalFormatting>
  <conditionalFormatting sqref="K68:K73">
    <cfRule type="cellIs" dxfId="11" priority="163" stopIfTrue="1" operator="lessThan">
      <formula>100%</formula>
    </cfRule>
  </conditionalFormatting>
  <conditionalFormatting sqref="K75:K76">
    <cfRule type="cellIs" dxfId="10" priority="170" stopIfTrue="1" operator="lessThan">
      <formula>100%</formula>
    </cfRule>
  </conditionalFormatting>
  <conditionalFormatting sqref="L10:L16">
    <cfRule type="cellIs" dxfId="9" priority="24" operator="between">
      <formula>61</formula>
      <formula>65</formula>
    </cfRule>
    <cfRule type="cellIs" dxfId="8" priority="25" operator="greaterThan">
      <formula>65</formula>
    </cfRule>
  </conditionalFormatting>
  <conditionalFormatting sqref="L19:M30">
    <cfRule type="cellIs" dxfId="7" priority="15" operator="lessThan">
      <formula>98</formula>
    </cfRule>
  </conditionalFormatting>
  <conditionalFormatting sqref="L34:N34">
    <cfRule type="cellIs" dxfId="6" priority="46" operator="notEqual">
      <formula>#REF!</formula>
    </cfRule>
  </conditionalFormatting>
  <conditionalFormatting sqref="L66:N66">
    <cfRule type="cellIs" dxfId="5" priority="116" stopIfTrue="1" operator="lessThan">
      <formula>100%</formula>
    </cfRule>
  </conditionalFormatting>
  <conditionalFormatting sqref="L68:N76">
    <cfRule type="cellIs" dxfId="4" priority="148" stopIfTrue="1" operator="lessThan">
      <formula>100%</formula>
    </cfRule>
  </conditionalFormatting>
  <conditionalFormatting sqref="M10:M14">
    <cfRule type="expression" dxfId="3" priority="23">
      <formula>IF(+(IF(M10&lt;U10,0,IF(M10&gt;V10,0,1)))=0,1)</formula>
    </cfRule>
  </conditionalFormatting>
  <conditionalFormatting sqref="M15:N16">
    <cfRule type="expression" dxfId="2" priority="179">
      <formula>IF(+(IF(M15&lt;#REF!,0,IF(M15&gt;#REF!,0,1)))=0,1)</formula>
    </cfRule>
  </conditionalFormatting>
  <conditionalFormatting sqref="N10:N14">
    <cfRule type="expression" dxfId="1" priority="18">
      <formula>IF(+(IF(N10&lt;W10,0,IF(N10&gt;X10,0,1)))=0,1)</formula>
    </cfRule>
  </conditionalFormatting>
  <conditionalFormatting sqref="P6">
    <cfRule type="cellIs" dxfId="0" priority="144" operator="greaterThanOrEqual">
      <formula>19</formula>
    </cfRule>
  </conditionalFormatting>
  <dataValidations disablePrompts="1" count="1">
    <dataValidation type="list" allowBlank="1" showInputMessage="1" showErrorMessage="1" sqref="R8" xr:uid="{0ABB4742-417A-47B0-A747-2148789A56A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0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0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5" t="s">
        <v>58</v>
      </c>
      <c r="C2" s="625"/>
      <c r="D2" s="625"/>
      <c r="E2" s="625"/>
      <c r="F2" s="625"/>
      <c r="G2" s="625"/>
      <c r="H2" s="625"/>
      <c r="I2" s="625"/>
      <c r="J2" s="625"/>
      <c r="K2" s="625"/>
    </row>
    <row r="3" spans="2:14" ht="15.75" hidden="1" thickBot="1">
      <c r="B3" s="79"/>
    </row>
    <row r="4" spans="2:14" ht="13.5" hidden="1" thickBot="1">
      <c r="B4" s="78" t="s">
        <v>7</v>
      </c>
      <c r="C4" s="626">
        <v>41431</v>
      </c>
      <c r="D4" s="626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3" t="s">
        <v>17</v>
      </c>
      <c r="C8" s="609" t="s">
        <v>18</v>
      </c>
      <c r="D8" s="609" t="s">
        <v>59</v>
      </c>
      <c r="E8" s="80" t="s">
        <v>20</v>
      </c>
      <c r="F8" s="81" t="s">
        <v>21</v>
      </c>
      <c r="G8" s="609" t="s">
        <v>60</v>
      </c>
      <c r="H8" s="609" t="s">
        <v>61</v>
      </c>
      <c r="I8" s="629" t="s">
        <v>62</v>
      </c>
      <c r="J8" s="82" t="s">
        <v>25</v>
      </c>
      <c r="K8" s="619" t="s">
        <v>28</v>
      </c>
    </row>
    <row r="9" spans="2:14" ht="26.25" hidden="1" thickBot="1">
      <c r="B9" s="627"/>
      <c r="C9" s="628"/>
      <c r="D9" s="628"/>
      <c r="E9" s="83" t="s">
        <v>30</v>
      </c>
      <c r="F9" s="84" t="s">
        <v>63</v>
      </c>
      <c r="G9" s="628"/>
      <c r="H9" s="628"/>
      <c r="I9" s="630"/>
      <c r="J9" s="85" t="s">
        <v>32</v>
      </c>
      <c r="K9" s="631"/>
      <c r="L9" s="86"/>
      <c r="M9" s="86"/>
      <c r="N9" s="86"/>
    </row>
    <row r="10" spans="2:14" ht="13.5" hidden="1" thickBot="1">
      <c r="B10" s="87" t="s">
        <v>64</v>
      </c>
      <c r="C10" s="88" t="str">
        <f>[41]Brewhouse!A5359</f>
        <v>CA236</v>
      </c>
      <c r="D10" s="88">
        <f>[41]Brewhouse!B5359</f>
        <v>41437</v>
      </c>
      <c r="E10" s="89">
        <f>[41]Brewhouse!AG5359</f>
        <v>49.011000000000003</v>
      </c>
      <c r="F10" s="90">
        <f>[41]Brewhouse!T5359</f>
        <v>60</v>
      </c>
      <c r="G10" s="91">
        <f>[41]Brewhouse!I5359</f>
        <v>19.79</v>
      </c>
      <c r="H10" s="92">
        <f>[41]Brewhouse!AS5359</f>
        <v>94.981545664755075</v>
      </c>
      <c r="I10" s="92">
        <f>[41]Brewhouse!AT5359</f>
        <v>97.074072469002047</v>
      </c>
      <c r="J10" s="93">
        <f>[41]Brewhouse!S5359-[41]Brewhouse!R5359</f>
        <v>0.10694444444444451</v>
      </c>
      <c r="K10" s="94"/>
      <c r="N10" s="95"/>
    </row>
    <row r="11" spans="2:14" ht="13.5" hidden="1" thickBot="1">
      <c r="B11" s="96"/>
      <c r="C11" s="88" t="str">
        <f>[41]Brewhouse!A5360</f>
        <v>CA237</v>
      </c>
      <c r="D11" s="88">
        <f>[41]Brewhouse!B5360</f>
        <v>41437</v>
      </c>
      <c r="E11" s="89">
        <f>[41]Brewhouse!AG5360</f>
        <v>48.531999999999996</v>
      </c>
      <c r="F11" s="90">
        <f>[41]Brewhouse!T5360</f>
        <v>68</v>
      </c>
      <c r="G11" s="91">
        <f>[41]Brewhouse!I5360</f>
        <v>17.7</v>
      </c>
      <c r="H11" s="92">
        <f>[41]Brewhouse!AS5360</f>
        <v>94.053260986347809</v>
      </c>
      <c r="I11" s="92">
        <f>[41]Brewhouse!AT5360</f>
        <v>96.1253368644918</v>
      </c>
      <c r="J11" s="93">
        <f>[41]Brewhouse!S5360-[41]Brewhouse!R5360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[41]Brewhouse!A5361</f>
        <v>CA238</v>
      </c>
      <c r="D12" s="88">
        <f>[41]Brewhouse!B5361</f>
        <v>41437</v>
      </c>
      <c r="E12" s="89">
        <f>[41]Brewhouse!AG5361</f>
        <v>50.466999999999999</v>
      </c>
      <c r="F12" s="90">
        <f>[41]Brewhouse!T5361</f>
        <v>61</v>
      </c>
      <c r="G12" s="91">
        <f>[41]Brewhouse!I5361</f>
        <v>19.7</v>
      </c>
      <c r="H12" s="92">
        <f>[41]Brewhouse!AS5361</f>
        <v>96.931393272913695</v>
      </c>
      <c r="I12" s="92">
        <f>[41]Brewhouse!AT5361</f>
        <v>99.066876931102286</v>
      </c>
      <c r="J12" s="93">
        <f>[41]Brewhouse!S5361-[41]Brewhouse!R5361</f>
        <v>0.10208333333333341</v>
      </c>
      <c r="K12" s="98"/>
    </row>
    <row r="13" spans="2:14" ht="13.5" hidden="1" thickBot="1">
      <c r="B13" s="99"/>
      <c r="C13" s="88" t="str">
        <f>[41]Brewhouse!A5362</f>
        <v>CA239</v>
      </c>
      <c r="D13" s="88">
        <f>[41]Brewhouse!B5362</f>
        <v>41437</v>
      </c>
      <c r="E13" s="89">
        <f>[41]Brewhouse!AG5362</f>
        <v>49.374000000000002</v>
      </c>
      <c r="F13" s="90">
        <f>[41]Brewhouse!T5362</f>
        <v>62</v>
      </c>
      <c r="G13" s="91">
        <f>[41]Brewhouse!I5362</f>
        <v>19</v>
      </c>
      <c r="H13" s="92">
        <f>[41]Brewhouse!AS5362</f>
        <v>95.68502653795305</v>
      </c>
      <c r="I13" s="92">
        <f>[41]Brewhouse!AT5362</f>
        <v>97.793051643192499</v>
      </c>
      <c r="J13" s="93">
        <f>[41]Brewhouse!S5362-[41]Brewhouse!R5362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7" t="s">
        <v>69</v>
      </c>
      <c r="G21" s="61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[41]Brewhouse!N5359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[41]Brewhouse!N5360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[41]Brewhouse!N5361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[41]Brewhouse!N5362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AVERAGE([41]Brewhouse!$AS$5347:$AS$5362)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AVERAGE([42]Brewhouse!$AQ$641:$AQ$644)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AVERAGE([43]Brewhouse!$AU$708:$AU$711)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AVERAGE([44]Brewhouse!$AY$943:$AY$946)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3" t="s">
        <v>17</v>
      </c>
      <c r="C43" s="609" t="s">
        <v>18</v>
      </c>
      <c r="D43" s="609" t="s">
        <v>44</v>
      </c>
      <c r="E43" s="609" t="s">
        <v>79</v>
      </c>
      <c r="F43" s="609" t="s">
        <v>51</v>
      </c>
      <c r="G43" s="609" t="s">
        <v>48</v>
      </c>
      <c r="H43" s="611" t="s">
        <v>28</v>
      </c>
      <c r="I43" s="612"/>
      <c r="J43" s="612"/>
      <c r="K43" s="619" t="s">
        <v>27</v>
      </c>
    </row>
    <row r="44" spans="2:15" ht="15.75" hidden="1" customHeight="1" thickBot="1">
      <c r="B44" s="624"/>
      <c r="C44" s="610"/>
      <c r="D44" s="610"/>
      <c r="E44" s="610"/>
      <c r="F44" s="610"/>
      <c r="G44" s="610"/>
      <c r="H44" s="613"/>
      <c r="I44" s="614"/>
      <c r="J44" s="614"/>
      <c r="K44" s="62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1"/>
      <c r="I45" s="622"/>
      <c r="J45" s="622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5"/>
      <c r="I46" s="616"/>
      <c r="J46" s="616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5"/>
      <c r="I47" s="616"/>
      <c r="J47" s="616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5"/>
      <c r="I48" s="616"/>
      <c r="J48" s="616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7"/>
      <c r="I49" s="608"/>
      <c r="J49" s="608"/>
      <c r="K49" s="172"/>
    </row>
    <row r="50" spans="2:11" ht="13.5" hidden="1" thickBot="1">
      <c r="B50" s="173"/>
      <c r="C50" s="160"/>
      <c r="E50" s="168"/>
      <c r="F50" s="168"/>
      <c r="G50" s="145"/>
      <c r="H50" s="607"/>
      <c r="I50" s="608"/>
      <c r="J50" s="608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7"/>
      <c r="I51" s="608"/>
      <c r="J51" s="608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8"/>
      <c r="I52" s="599"/>
      <c r="J52" s="599"/>
      <c r="K52" s="183"/>
    </row>
    <row r="53" spans="2:11" ht="13.5" thickBot="1">
      <c r="B53" s="184"/>
      <c r="C53" s="117"/>
      <c r="D53" s="600" t="s">
        <v>80</v>
      </c>
      <c r="E53" s="600"/>
      <c r="F53" s="600"/>
      <c r="G53" s="600"/>
      <c r="H53" s="600"/>
      <c r="I53" s="600"/>
      <c r="J53" s="600"/>
      <c r="K53" s="185"/>
    </row>
    <row r="54" spans="2:11" ht="13.5" thickBot="1">
      <c r="B54" s="601" t="s">
        <v>55</v>
      </c>
      <c r="C54" s="602"/>
      <c r="D54" s="602"/>
      <c r="E54" s="603"/>
      <c r="F54" s="601" t="s">
        <v>56</v>
      </c>
      <c r="G54" s="602"/>
      <c r="H54" s="603"/>
      <c r="I54" s="604" t="s">
        <v>81</v>
      </c>
      <c r="J54" s="605"/>
      <c r="K54" s="606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[40]MTD!$E5</f>
        <v>5.0841267135796109</v>
      </c>
      <c r="E56" s="192">
        <v>5</v>
      </c>
      <c r="F56" s="191"/>
      <c r="G56" s="76">
        <f>[38]August_2025!AN3</f>
        <v>7.036501199419833</v>
      </c>
      <c r="H56" s="192">
        <v>5</v>
      </c>
      <c r="I56" s="193"/>
      <c r="J56" s="194">
        <f>[39]August_2025!AN13</f>
        <v>1.0619883040935671</v>
      </c>
      <c r="K56" s="195">
        <v>1</v>
      </c>
    </row>
    <row r="57" spans="2:11" ht="15">
      <c r="B57" s="33" t="s">
        <v>72</v>
      </c>
      <c r="C57" s="191"/>
      <c r="D57" s="76">
        <f>[40]MTD!$E6</f>
        <v>4.8284050813954389</v>
      </c>
      <c r="E57" s="192">
        <v>5</v>
      </c>
      <c r="F57" s="191"/>
      <c r="G57" s="76">
        <f>[38]August_2025!AN4</f>
        <v>5.0817131718042061</v>
      </c>
      <c r="H57" s="192">
        <v>5</v>
      </c>
      <c r="I57" s="196"/>
      <c r="J57" s="194">
        <f>[39]August_2025!AN14</f>
        <v>0.60493567251461999</v>
      </c>
      <c r="K57" s="195">
        <v>1</v>
      </c>
    </row>
    <row r="58" spans="2:11" ht="15">
      <c r="B58" s="34" t="s">
        <v>73</v>
      </c>
      <c r="C58" s="191"/>
      <c r="D58" s="76">
        <f>[40]MTD!$E7</f>
        <v>7.8197165153686754</v>
      </c>
      <c r="E58" s="192">
        <v>5</v>
      </c>
      <c r="F58" s="191"/>
      <c r="G58" s="76">
        <f>[38]August_2025!AN5</f>
        <v>10.387665592755834</v>
      </c>
      <c r="H58" s="192">
        <v>5</v>
      </c>
      <c r="I58" s="196"/>
      <c r="J58" s="194">
        <f>[39]August_2025!AN15</f>
        <v>0.50771929824561401</v>
      </c>
      <c r="K58" s="195">
        <v>1</v>
      </c>
    </row>
    <row r="59" spans="2:11" ht="15">
      <c r="B59" s="197" t="s">
        <v>74</v>
      </c>
      <c r="C59" s="191"/>
      <c r="D59" s="76">
        <f>[40]MTD!$E8</f>
        <v>3.992015968063888</v>
      </c>
      <c r="E59" s="192">
        <v>3.5</v>
      </c>
      <c r="F59" s="191"/>
      <c r="G59" s="76">
        <f>[38]August_2025!AN6</f>
        <v>4.3345910844408779</v>
      </c>
      <c r="H59" s="192">
        <v>3.5</v>
      </c>
      <c r="I59" s="196"/>
      <c r="J59" s="194">
        <f>[39]August_2025!AN16</f>
        <v>1.016578947368421</v>
      </c>
      <c r="K59" s="195">
        <v>1</v>
      </c>
    </row>
    <row r="60" spans="2:11" ht="15.75" thickBot="1">
      <c r="B60" s="38" t="s">
        <v>160</v>
      </c>
      <c r="C60" s="191"/>
      <c r="D60" s="76" t="e">
        <f>[40]MTD!$E9</f>
        <v>#DIV/0!</v>
      </c>
      <c r="E60" s="192">
        <v>3.5</v>
      </c>
      <c r="F60" s="198"/>
      <c r="G60" s="76" t="e">
        <f>[38]August_2025!AN7</f>
        <v>#DIV/0!</v>
      </c>
      <c r="H60" s="192">
        <v>3.5</v>
      </c>
      <c r="I60" s="196"/>
      <c r="J60" s="194" t="e">
        <f>[39]August_2025!AN17</f>
        <v>#DIV/0!</v>
      </c>
      <c r="K60" s="195">
        <v>1</v>
      </c>
    </row>
    <row r="61" spans="2:11" ht="15">
      <c r="B61" s="199" t="s">
        <v>76</v>
      </c>
      <c r="C61" s="191"/>
      <c r="D61" s="76">
        <f>[40]MTD!$E10</f>
        <v>5.2552552552552552</v>
      </c>
      <c r="E61" s="200">
        <v>5</v>
      </c>
      <c r="F61" s="191"/>
      <c r="G61" s="76">
        <f>[38]August_2025!AN8</f>
        <v>6.7916330640214131</v>
      </c>
      <c r="H61" s="200">
        <v>5</v>
      </c>
      <c r="I61" s="196"/>
      <c r="J61" s="194">
        <f>[39]August_2025!AN18</f>
        <v>0.66421052631578947</v>
      </c>
      <c r="K61" s="195">
        <v>1</v>
      </c>
    </row>
    <row r="62" spans="2:11" ht="15">
      <c r="B62" s="201" t="s">
        <v>82</v>
      </c>
      <c r="C62" s="202"/>
      <c r="D62" s="76">
        <f>[40]MTD!$E11</f>
        <v>4.1414141414141357</v>
      </c>
      <c r="E62" s="200">
        <v>3.3</v>
      </c>
      <c r="F62" s="202"/>
      <c r="G62" s="76">
        <f>[38]August_2025!AN9</f>
        <v>7.0415942868172152</v>
      </c>
      <c r="H62" s="200">
        <v>3.3</v>
      </c>
      <c r="I62" s="203"/>
      <c r="J62" s="194">
        <f>[39]August_2025!AN19</f>
        <v>0.33298245614035088</v>
      </c>
      <c r="K62" s="204">
        <v>1</v>
      </c>
    </row>
    <row r="63" spans="2:11" ht="15.75" thickBot="1">
      <c r="B63" s="38" t="s">
        <v>128</v>
      </c>
      <c r="C63" s="205"/>
      <c r="D63" s="76" t="e">
        <f>[40]MTD!$E12</f>
        <v>#DIV/0!</v>
      </c>
      <c r="E63" s="206">
        <v>3.5</v>
      </c>
      <c r="F63" s="205"/>
      <c r="G63" s="76" t="e">
        <f>[38]August_2025!AN10</f>
        <v>#DIV/0!</v>
      </c>
      <c r="H63" s="206">
        <v>3.5</v>
      </c>
      <c r="I63" s="207"/>
      <c r="J63" s="194" t="e">
        <f>[39]August_2025!AN20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[40]MTD!$E13</f>
        <v>#DIV/0!</v>
      </c>
      <c r="E64" s="192">
        <v>5</v>
      </c>
      <c r="F64" s="198"/>
      <c r="G64" s="76" t="e">
        <f>[38]August_2025!AN11</f>
        <v>#DIV/0!</v>
      </c>
      <c r="H64" s="192">
        <v>5</v>
      </c>
      <c r="I64" s="412"/>
      <c r="J64" s="194">
        <f>[39]August_2025!AN21</f>
        <v>0</v>
      </c>
      <c r="K64" s="208">
        <v>1</v>
      </c>
    </row>
    <row r="65" spans="2:11">
      <c r="B65" s="209"/>
      <c r="C65" s="210"/>
      <c r="D65" s="76">
        <f>[40]MTD!$E14</f>
        <v>5.155273392847997</v>
      </c>
      <c r="E65" s="210"/>
      <c r="F65" s="210"/>
      <c r="G65" s="76">
        <f>[38]August_2025!AN12</f>
        <v>6.7338207164959769</v>
      </c>
      <c r="H65" s="211"/>
      <c r="I65" s="212"/>
      <c r="J65" s="194">
        <f>[39]August_2025!AN22</f>
        <v>0.83141812865497067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F82" sqref="F82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5" t="s">
        <v>58</v>
      </c>
      <c r="C2" s="625"/>
      <c r="D2" s="625"/>
      <c r="E2" s="625"/>
      <c r="F2" s="625"/>
      <c r="G2" s="625"/>
      <c r="H2" s="625"/>
      <c r="I2" s="625"/>
      <c r="J2" s="625"/>
      <c r="K2" s="625"/>
    </row>
    <row r="3" spans="2:14" ht="15.75" hidden="1" thickBot="1">
      <c r="B3" s="79"/>
    </row>
    <row r="4" spans="2:14" ht="13.5" hidden="1" thickBot="1">
      <c r="B4" s="78" t="s">
        <v>7</v>
      </c>
      <c r="C4" s="626">
        <v>41431</v>
      </c>
      <c r="D4" s="626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3" t="s">
        <v>17</v>
      </c>
      <c r="C8" s="609" t="s">
        <v>18</v>
      </c>
      <c r="D8" s="609" t="s">
        <v>59</v>
      </c>
      <c r="E8" s="80" t="s">
        <v>20</v>
      </c>
      <c r="F8" s="81" t="s">
        <v>21</v>
      </c>
      <c r="G8" s="609" t="s">
        <v>60</v>
      </c>
      <c r="H8" s="609" t="s">
        <v>61</v>
      </c>
      <c r="I8" s="629" t="s">
        <v>62</v>
      </c>
      <c r="J8" s="82" t="s">
        <v>25</v>
      </c>
      <c r="K8" s="619" t="s">
        <v>28</v>
      </c>
    </row>
    <row r="9" spans="2:14" ht="26.25" hidden="1" thickBot="1">
      <c r="B9" s="627"/>
      <c r="C9" s="628"/>
      <c r="D9" s="628"/>
      <c r="E9" s="83" t="s">
        <v>30</v>
      </c>
      <c r="F9" s="84" t="s">
        <v>63</v>
      </c>
      <c r="G9" s="628"/>
      <c r="H9" s="628"/>
      <c r="I9" s="630"/>
      <c r="J9" s="85" t="s">
        <v>32</v>
      </c>
      <c r="K9" s="631"/>
      <c r="L9" s="86"/>
      <c r="M9" s="86"/>
      <c r="N9" s="86"/>
    </row>
    <row r="10" spans="2:14" ht="13.5" hidden="1" thickBot="1">
      <c r="B10" s="87" t="s">
        <v>64</v>
      </c>
      <c r="C10" s="88" t="str">
        <f>[41]Brewhouse!A5359</f>
        <v>CA236</v>
      </c>
      <c r="D10" s="88">
        <f>[41]Brewhouse!B5359</f>
        <v>41437</v>
      </c>
      <c r="E10" s="89">
        <f>[41]Brewhouse!AG5359</f>
        <v>49.011000000000003</v>
      </c>
      <c r="F10" s="90">
        <f>[41]Brewhouse!T5359</f>
        <v>60</v>
      </c>
      <c r="G10" s="91">
        <f>[41]Brewhouse!I5359</f>
        <v>19.79</v>
      </c>
      <c r="H10" s="92">
        <f>[41]Brewhouse!AS5359</f>
        <v>94.981545664755075</v>
      </c>
      <c r="I10" s="92">
        <f>[41]Brewhouse!AT5359</f>
        <v>97.074072469002047</v>
      </c>
      <c r="J10" s="93">
        <f>[41]Brewhouse!S5359-[41]Brewhouse!R5359</f>
        <v>0.10694444444444451</v>
      </c>
      <c r="K10" s="94"/>
      <c r="N10" s="95"/>
    </row>
    <row r="11" spans="2:14" ht="13.5" hidden="1" thickBot="1">
      <c r="B11" s="96"/>
      <c r="C11" s="88" t="str">
        <f>[41]Brewhouse!A5360</f>
        <v>CA237</v>
      </c>
      <c r="D11" s="88">
        <f>[41]Brewhouse!B5360</f>
        <v>41437</v>
      </c>
      <c r="E11" s="89">
        <f>[41]Brewhouse!AG5360</f>
        <v>48.531999999999996</v>
      </c>
      <c r="F11" s="90">
        <f>[41]Brewhouse!T5360</f>
        <v>68</v>
      </c>
      <c r="G11" s="91">
        <f>[41]Brewhouse!I5360</f>
        <v>17.7</v>
      </c>
      <c r="H11" s="92">
        <f>[41]Brewhouse!AS5360</f>
        <v>94.053260986347809</v>
      </c>
      <c r="I11" s="92">
        <f>[41]Brewhouse!AT5360</f>
        <v>96.1253368644918</v>
      </c>
      <c r="J11" s="93">
        <f>[41]Brewhouse!S5360-[41]Brewhouse!R5360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[41]Brewhouse!A5361</f>
        <v>CA238</v>
      </c>
      <c r="D12" s="88">
        <f>[41]Brewhouse!B5361</f>
        <v>41437</v>
      </c>
      <c r="E12" s="89">
        <f>[41]Brewhouse!AG5361</f>
        <v>50.466999999999999</v>
      </c>
      <c r="F12" s="90">
        <f>[41]Brewhouse!T5361</f>
        <v>61</v>
      </c>
      <c r="G12" s="91">
        <f>[41]Brewhouse!I5361</f>
        <v>19.7</v>
      </c>
      <c r="H12" s="92">
        <f>[41]Brewhouse!AS5361</f>
        <v>96.931393272913695</v>
      </c>
      <c r="I12" s="92">
        <f>[41]Brewhouse!AT5361</f>
        <v>99.066876931102286</v>
      </c>
      <c r="J12" s="93">
        <f>[41]Brewhouse!S5361-[41]Brewhouse!R5361</f>
        <v>0.10208333333333341</v>
      </c>
      <c r="K12" s="98"/>
    </row>
    <row r="13" spans="2:14" ht="13.5" hidden="1" thickBot="1">
      <c r="B13" s="99"/>
      <c r="C13" s="88" t="str">
        <f>[41]Brewhouse!A5362</f>
        <v>CA239</v>
      </c>
      <c r="D13" s="88">
        <f>[41]Brewhouse!B5362</f>
        <v>41437</v>
      </c>
      <c r="E13" s="89">
        <f>[41]Brewhouse!AG5362</f>
        <v>49.374000000000002</v>
      </c>
      <c r="F13" s="90">
        <f>[41]Brewhouse!T5362</f>
        <v>62</v>
      </c>
      <c r="G13" s="91">
        <f>[41]Brewhouse!I5362</f>
        <v>19</v>
      </c>
      <c r="H13" s="92">
        <f>[41]Brewhouse!AS5362</f>
        <v>95.68502653795305</v>
      </c>
      <c r="I13" s="92">
        <f>[41]Brewhouse!AT5362</f>
        <v>97.793051643192499</v>
      </c>
      <c r="J13" s="93">
        <f>[41]Brewhouse!S5362-[41]Brewhouse!R5362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7" t="s">
        <v>69</v>
      </c>
      <c r="G21" s="618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[41]Brewhouse!N5359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[41]Brewhouse!N5360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[41]Brewhouse!N5361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[41]Brewhouse!N5362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AVERAGE([41]Brewhouse!$AS$5347:$AS$5362)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AVERAGE([42]Brewhouse!$AQ$641:$AQ$644)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AVERAGE([43]Brewhouse!$AU$708:$AU$711)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AVERAGE([44]Brewhouse!$AY$943:$AY$946)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3" t="s">
        <v>17</v>
      </c>
      <c r="C43" s="609" t="s">
        <v>18</v>
      </c>
      <c r="D43" s="609" t="s">
        <v>44</v>
      </c>
      <c r="E43" s="609" t="s">
        <v>79</v>
      </c>
      <c r="F43" s="609" t="s">
        <v>51</v>
      </c>
      <c r="G43" s="609" t="s">
        <v>48</v>
      </c>
      <c r="H43" s="611" t="s">
        <v>28</v>
      </c>
      <c r="I43" s="612"/>
      <c r="J43" s="612"/>
      <c r="K43" s="619" t="s">
        <v>27</v>
      </c>
    </row>
    <row r="44" spans="2:15" ht="15.75" hidden="1" customHeight="1" thickBot="1">
      <c r="B44" s="624"/>
      <c r="C44" s="610"/>
      <c r="D44" s="610"/>
      <c r="E44" s="610"/>
      <c r="F44" s="610"/>
      <c r="G44" s="610"/>
      <c r="H44" s="613"/>
      <c r="I44" s="614"/>
      <c r="J44" s="614"/>
      <c r="K44" s="620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1"/>
      <c r="I45" s="622"/>
      <c r="J45" s="622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5"/>
      <c r="I46" s="616"/>
      <c r="J46" s="616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5"/>
      <c r="I47" s="616"/>
      <c r="J47" s="616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5"/>
      <c r="I48" s="616"/>
      <c r="J48" s="616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7"/>
      <c r="I49" s="608"/>
      <c r="J49" s="608"/>
      <c r="K49" s="172"/>
    </row>
    <row r="50" spans="2:11" ht="13.5" hidden="1" thickBot="1">
      <c r="B50" s="173"/>
      <c r="C50" s="160"/>
      <c r="E50" s="168"/>
      <c r="F50" s="168"/>
      <c r="G50" s="145"/>
      <c r="H50" s="607"/>
      <c r="I50" s="608"/>
      <c r="J50" s="608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7"/>
      <c r="I51" s="608"/>
      <c r="J51" s="608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8"/>
      <c r="I52" s="599"/>
      <c r="J52" s="599"/>
      <c r="K52" s="183"/>
    </row>
    <row r="53" spans="2:11" ht="13.5" thickBot="1">
      <c r="B53" s="184"/>
      <c r="C53" s="117"/>
      <c r="D53" s="600" t="s">
        <v>80</v>
      </c>
      <c r="E53" s="600"/>
      <c r="F53" s="600"/>
      <c r="G53" s="600"/>
      <c r="H53" s="600"/>
      <c r="I53" s="600"/>
      <c r="J53" s="600"/>
      <c r="K53" s="185"/>
    </row>
    <row r="54" spans="2:11" ht="13.5" thickBot="1">
      <c r="B54" s="601" t="s">
        <v>55</v>
      </c>
      <c r="C54" s="602"/>
      <c r="D54" s="602"/>
      <c r="E54" s="603"/>
      <c r="F54" s="601" t="s">
        <v>56</v>
      </c>
      <c r="G54" s="602"/>
      <c r="H54" s="603"/>
      <c r="I54" s="604" t="s">
        <v>81</v>
      </c>
      <c r="J54" s="605"/>
      <c r="K54" s="606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'[40]YTD 2025'!$E5</f>
        <v>6.1826379337190565</v>
      </c>
      <c r="E56" s="192">
        <v>5</v>
      </c>
      <c r="F56" s="191"/>
      <c r="G56" s="76">
        <f>[38]August_2025!AQ3</f>
        <v>6.2930865311978694</v>
      </c>
      <c r="H56" s="192">
        <v>5</v>
      </c>
      <c r="I56" s="193"/>
      <c r="J56" s="194">
        <f>[39]August_2025!AQ13</f>
        <v>0.77440689068275237</v>
      </c>
      <c r="K56" s="195">
        <v>1</v>
      </c>
    </row>
    <row r="57" spans="2:11" ht="15">
      <c r="B57" s="33" t="s">
        <v>72</v>
      </c>
      <c r="C57" s="191"/>
      <c r="D57" s="76">
        <f>'[40]YTD 2025'!$E6</f>
        <v>5.8398613192243802</v>
      </c>
      <c r="E57" s="192">
        <v>5</v>
      </c>
      <c r="F57" s="191"/>
      <c r="G57" s="76">
        <f>[38]August_2025!AQ4</f>
        <v>5.4868544765685812</v>
      </c>
      <c r="H57" s="192">
        <v>5</v>
      </c>
      <c r="I57" s="196"/>
      <c r="J57" s="194">
        <f>[39]August_2025!AQ14</f>
        <v>0.74160008792880283</v>
      </c>
      <c r="K57" s="195">
        <v>1</v>
      </c>
    </row>
    <row r="58" spans="2:11" ht="15">
      <c r="B58" s="34" t="s">
        <v>73</v>
      </c>
      <c r="C58" s="191"/>
      <c r="D58" s="76">
        <f>'[40]YTD 2025'!$E7</f>
        <v>11.234664338556245</v>
      </c>
      <c r="E58" s="192">
        <v>5</v>
      </c>
      <c r="F58" s="191"/>
      <c r="G58" s="76">
        <f>[38]August_2025!AQ5</f>
        <v>12.922645762818227</v>
      </c>
      <c r="H58" s="192">
        <v>5</v>
      </c>
      <c r="I58" s="196"/>
      <c r="J58" s="194">
        <f>[39]August_2025!AQ15</f>
        <v>0.53918754349338904</v>
      </c>
      <c r="K58" s="195">
        <v>1</v>
      </c>
    </row>
    <row r="59" spans="2:11" ht="15">
      <c r="B59" s="197" t="s">
        <v>74</v>
      </c>
      <c r="C59" s="191"/>
      <c r="D59" s="76">
        <f>'[40]YTD 2025'!$E8</f>
        <v>4.8818566667667298</v>
      </c>
      <c r="E59" s="192">
        <v>3.5</v>
      </c>
      <c r="F59" s="191"/>
      <c r="G59" s="76">
        <f>[38]August_2025!AQ6</f>
        <v>4.7612385632312364</v>
      </c>
      <c r="H59" s="192">
        <v>3.5</v>
      </c>
      <c r="I59" s="196"/>
      <c r="J59" s="194">
        <f>[39]August_2025!AQ16</f>
        <v>0.82603070175438598</v>
      </c>
      <c r="K59" s="195">
        <v>1</v>
      </c>
    </row>
    <row r="60" spans="2:11" ht="15.75" thickBot="1">
      <c r="B60" s="38" t="s">
        <v>160</v>
      </c>
      <c r="C60" s="191"/>
      <c r="D60" s="76">
        <f>'[40]YTD 2025'!$E9</f>
        <v>7.837301587301579</v>
      </c>
      <c r="E60" s="192">
        <v>3.5</v>
      </c>
      <c r="F60" s="198"/>
      <c r="G60" s="76">
        <f>[38]August_2025!AQ7</f>
        <v>5.3377569154690221</v>
      </c>
      <c r="H60" s="192">
        <v>3.5</v>
      </c>
      <c r="I60" s="196"/>
      <c r="J60" s="194">
        <f>[39]August_2025!AQ17</f>
        <v>0.32596491228070179</v>
      </c>
      <c r="K60" s="195">
        <v>1</v>
      </c>
    </row>
    <row r="61" spans="2:11" ht="15">
      <c r="B61" s="199" t="s">
        <v>76</v>
      </c>
      <c r="C61" s="191"/>
      <c r="D61" s="76">
        <f>'[40]YTD 2025'!$E10</f>
        <v>6.9158697961943529</v>
      </c>
      <c r="E61" s="200">
        <v>5</v>
      </c>
      <c r="F61" s="191"/>
      <c r="G61" s="76">
        <f>[38]August_2025!AQ8</f>
        <v>8.5598888260252064</v>
      </c>
      <c r="H61" s="200">
        <v>5</v>
      </c>
      <c r="I61" s="196"/>
      <c r="J61" s="194">
        <f>[39]August_2025!AQ18</f>
        <v>0.60705263157894729</v>
      </c>
      <c r="K61" s="195">
        <v>1</v>
      </c>
    </row>
    <row r="62" spans="2:11" ht="15">
      <c r="B62" s="201" t="s">
        <v>82</v>
      </c>
      <c r="C62" s="202"/>
      <c r="D62" s="76">
        <f>'[40]YTD 2025'!$E11</f>
        <v>3.0301127264734369</v>
      </c>
      <c r="E62" s="200">
        <v>3.3</v>
      </c>
      <c r="F62" s="202"/>
      <c r="G62" s="76">
        <f>[38]August_2025!AQ9</f>
        <v>4.4974189022907662</v>
      </c>
      <c r="H62" s="200">
        <v>3.3</v>
      </c>
      <c r="I62" s="203"/>
      <c r="J62" s="194">
        <f>[39]August_2025!AQ19</f>
        <v>0.80374720357941831</v>
      </c>
      <c r="K62" s="204">
        <v>1</v>
      </c>
    </row>
    <row r="63" spans="2:11" ht="15.75" thickBot="1">
      <c r="B63" s="38" t="s">
        <v>128</v>
      </c>
      <c r="C63" s="205"/>
      <c r="D63" s="76">
        <f>'[40]YTD 2025'!$E12</f>
        <v>11.483253588516746</v>
      </c>
      <c r="E63" s="206">
        <v>3.5</v>
      </c>
      <c r="F63" s="205"/>
      <c r="G63" s="76">
        <f>[38]August_2025!AQ10</f>
        <v>9.7934336121043764</v>
      </c>
      <c r="H63" s="206">
        <v>3.5</v>
      </c>
      <c r="I63" s="207"/>
      <c r="J63" s="194">
        <f>[39]August_2025!AQ20</f>
        <v>0.32456140350877194</v>
      </c>
      <c r="K63" s="208">
        <v>1</v>
      </c>
    </row>
    <row r="64" spans="2:11" ht="15.75" thickBot="1">
      <c r="B64" s="413" t="s">
        <v>159</v>
      </c>
      <c r="C64" s="205"/>
      <c r="D64" s="76">
        <f>'[40]YTD 2025'!$E13</f>
        <v>7.2653644592663174</v>
      </c>
      <c r="E64" s="206">
        <v>5</v>
      </c>
      <c r="F64" s="205"/>
      <c r="G64" s="76">
        <f>[38]August_2025!AQ11</f>
        <v>8.1715311054411259</v>
      </c>
      <c r="H64" s="206">
        <v>5</v>
      </c>
      <c r="I64" s="207"/>
      <c r="J64" s="194">
        <f>[39]August_2025!AQ21</f>
        <v>0.51368421052631585</v>
      </c>
      <c r="K64" s="208">
        <v>1</v>
      </c>
    </row>
    <row r="65" spans="2:11">
      <c r="B65" s="209"/>
      <c r="C65" s="210"/>
      <c r="D65" s="76">
        <f>'[40]YTD 2025'!$E14</f>
        <v>6.2499527977071718</v>
      </c>
      <c r="E65" s="210"/>
      <c r="F65" s="210"/>
      <c r="G65" s="76">
        <f>[38]August_2025!AQ12</f>
        <v>6.5966426657431283</v>
      </c>
      <c r="H65" s="211"/>
      <c r="I65" s="212"/>
      <c r="J65" s="194">
        <f>[39]August_2025!AQ22</f>
        <v>0.73483846645797568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32" t="s">
        <v>34</v>
      </c>
      <c r="C2" s="632"/>
      <c r="D2" s="632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32" t="s">
        <v>100</v>
      </c>
      <c r="C14" s="632"/>
      <c r="D14" s="632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32" t="s">
        <v>101</v>
      </c>
      <c r="C27" s="632"/>
      <c r="D27" s="632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34" t="s">
        <v>102</v>
      </c>
      <c r="D3" s="635"/>
      <c r="E3" s="636">
        <f ca="1">TODAY()</f>
        <v>45905</v>
      </c>
      <c r="F3" s="636"/>
      <c r="G3" s="636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7" t="s">
        <v>143</v>
      </c>
      <c r="D14" s="637"/>
      <c r="E14" s="637"/>
      <c r="F14" s="637"/>
      <c r="G14" s="637"/>
      <c r="H14" s="637"/>
    </row>
    <row r="15" spans="3:23" ht="15" customHeight="1">
      <c r="C15" s="637"/>
      <c r="D15" s="637"/>
      <c r="E15" s="637"/>
      <c r="F15" s="637"/>
      <c r="G15" s="637"/>
      <c r="H15" s="637"/>
    </row>
    <row r="16" spans="3:23" ht="15" customHeight="1">
      <c r="C16" s="637"/>
      <c r="D16" s="637"/>
      <c r="E16" s="637"/>
      <c r="F16" s="637"/>
      <c r="G16" s="637"/>
      <c r="H16" s="637"/>
    </row>
    <row r="17" spans="3:8" ht="15" customHeight="1">
      <c r="C17" s="637"/>
      <c r="D17" s="637"/>
      <c r="E17" s="637"/>
      <c r="F17" s="637"/>
      <c r="G17" s="637"/>
      <c r="H17" s="637"/>
    </row>
    <row r="18" spans="3:8" ht="15" customHeight="1">
      <c r="C18" s="637"/>
      <c r="D18" s="637"/>
      <c r="E18" s="637"/>
      <c r="F18" s="637"/>
      <c r="G18" s="637"/>
      <c r="H18" s="637"/>
    </row>
    <row r="19" spans="3:8" ht="15" customHeight="1">
      <c r="C19" s="637"/>
      <c r="D19" s="637"/>
      <c r="E19" s="637"/>
      <c r="F19" s="637"/>
      <c r="G19" s="637"/>
      <c r="H19" s="637"/>
    </row>
    <row r="20" spans="3:8" ht="15" customHeight="1">
      <c r="C20" s="637"/>
      <c r="D20" s="637"/>
      <c r="E20" s="637"/>
      <c r="F20" s="637"/>
      <c r="G20" s="637"/>
      <c r="H20" s="637"/>
    </row>
    <row r="21" spans="3:8" ht="15" customHeight="1">
      <c r="C21" s="637"/>
      <c r="D21" s="637"/>
      <c r="E21" s="637"/>
      <c r="F21" s="637"/>
      <c r="G21" s="637"/>
      <c r="H21" s="637"/>
    </row>
    <row r="22" spans="3:8" ht="15" customHeight="1">
      <c r="C22" s="637"/>
      <c r="D22" s="637"/>
      <c r="E22" s="637"/>
      <c r="F22" s="637"/>
      <c r="G22" s="637"/>
      <c r="H22" s="637"/>
    </row>
    <row r="23" spans="3:8" ht="15" customHeight="1">
      <c r="C23" s="637"/>
      <c r="D23" s="637"/>
      <c r="E23" s="637"/>
      <c r="F23" s="637"/>
      <c r="G23" s="637"/>
      <c r="H23" s="637"/>
    </row>
    <row r="24" spans="3:8" ht="15" customHeight="1">
      <c r="C24" s="637"/>
      <c r="D24" s="637"/>
      <c r="E24" s="637"/>
      <c r="F24" s="637"/>
      <c r="G24" s="637"/>
      <c r="H24" s="637"/>
    </row>
    <row r="25" spans="3:8" ht="15" customHeight="1">
      <c r="C25" s="637"/>
      <c r="D25" s="637"/>
      <c r="E25" s="637"/>
      <c r="F25" s="637"/>
      <c r="G25" s="637"/>
      <c r="H25" s="637"/>
    </row>
    <row r="26" spans="3:8" ht="15" customHeight="1">
      <c r="C26" s="637"/>
      <c r="D26" s="637"/>
      <c r="E26" s="637"/>
      <c r="F26" s="637"/>
      <c r="G26" s="637"/>
      <c r="H26" s="637"/>
    </row>
    <row r="27" spans="3:8" ht="15" customHeight="1">
      <c r="C27" s="637"/>
      <c r="D27" s="637"/>
      <c r="E27" s="637"/>
      <c r="F27" s="637"/>
      <c r="G27" s="637"/>
      <c r="H27" s="637"/>
    </row>
    <row r="28" spans="3:8" ht="15" customHeight="1">
      <c r="C28" s="637"/>
      <c r="D28" s="637"/>
      <c r="E28" s="637"/>
      <c r="F28" s="637"/>
      <c r="G28" s="637"/>
      <c r="H28" s="637"/>
    </row>
    <row r="29" spans="3:8" ht="15" customHeight="1">
      <c r="C29" s="637"/>
      <c r="D29" s="637"/>
      <c r="E29" s="637"/>
      <c r="F29" s="637"/>
      <c r="G29" s="637"/>
      <c r="H29" s="637"/>
    </row>
    <row r="30" spans="3:8" ht="15" customHeight="1">
      <c r="C30" s="637"/>
      <c r="D30" s="637"/>
      <c r="E30" s="637"/>
      <c r="F30" s="637"/>
      <c r="G30" s="637"/>
      <c r="H30" s="637"/>
    </row>
    <row r="31" spans="3:8" ht="15" customHeight="1">
      <c r="C31" s="637"/>
      <c r="D31" s="637"/>
      <c r="E31" s="637"/>
      <c r="F31" s="637"/>
      <c r="G31" s="637"/>
      <c r="H31" s="637"/>
    </row>
    <row r="36" spans="2:17" ht="15" customHeight="1"/>
    <row r="37" spans="2:17" ht="15" customHeight="1"/>
    <row r="38" spans="2:17" ht="30.75" customHeight="1" thickBot="1">
      <c r="C38" s="638" t="s">
        <v>109</v>
      </c>
      <c r="D38" s="638"/>
      <c r="E38" s="638"/>
      <c r="F38" s="639">
        <f ca="1">TODAY()</f>
        <v>45905</v>
      </c>
      <c r="G38" s="639"/>
      <c r="H38" s="639"/>
      <c r="I38" s="639"/>
      <c r="J38" s="640" t="s">
        <v>110</v>
      </c>
      <c r="K38" s="640"/>
      <c r="L38" s="640"/>
      <c r="M38" s="640"/>
      <c r="N38" s="640"/>
      <c r="O38" s="640"/>
      <c r="P38" s="640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'[45]Brewer Performance'!D40</f>
        <v>96.507822129582451</v>
      </c>
      <c r="E40" s="259">
        <f>AVERAGE('[46]Feb. 1'!I12:I13,'[46]Feb. 2'!I11:I14,[46]Feb.4!I13,[46]Feb.8!I14:I16,[46]Feb.9!I14,[46]Feb.9!I17:I18,[46]Feb10!I13:I16,[46]Feb14!I17,[46]Feb14!I15:I17,[46]Feb17!I10,[46]Feb17!I19:I21,'[46]Feb 21'!I10:I12,'[46]Feb 22'!I11:I13,'[46]Feb 23'!I14:I16,'[46]Feb 24'!I10:I12,'[46]Feb 25'!I13:I15,'[46]Feb 28'!I15:I18)</f>
        <v>98.284801217583563</v>
      </c>
      <c r="F40" s="259">
        <v>98.226686244092193</v>
      </c>
      <c r="G40" s="259">
        <v>98.210530202427222</v>
      </c>
      <c r="H40" s="259">
        <f>'[47]Brewer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'[45]Brewer Performance'!D41</f>
        <v>97.99738587335284</v>
      </c>
      <c r="E41" s="259">
        <f>AVERAGE('[46]Feb. 1'!I10:I11,'[46]Feb. 2'!I10,[46]Feb.3!I11:I13,[46]Feb.4!I10:I12,[46]Feb.8!I10,[46]Feb.8!I13,[46]Feb.9!I10:I13,[46]Feb10!I10:I12,[46]Feb11!I11:I13,[46]Feb14!I13:I14,[46]Feb17!I16:I18,[46]Feb18!I13:I15,'[46]Feb 21'!I17:I19,'[46]Feb 22'!I10,'[46]Feb 22'!I20:I22,'[46]Feb 23'!I10:I11,'[46]Feb 23'!I21,'[46]Feb 25'!I10:I12,'[46]Feb 28'!I11:I14)</f>
        <v>97.918121549662388</v>
      </c>
      <c r="F41" s="259">
        <v>98.070081368185257</v>
      </c>
      <c r="G41" s="259">
        <v>97.79453968977019</v>
      </c>
      <c r="H41" s="259">
        <f>'[47]Brewer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'[45]Brewer Performance'!D43</f>
        <v>98.304611060419475</v>
      </c>
      <c r="E44" s="259">
        <f>AVERAGE('[46]Feb. 2'!I15,[46]Feb.3!I10,[46]Feb.4!I16:I17,[46]Feb.8!I19:I21,[46]Feb.9!I19:I20,[46]Feb10!I17:I18,[46]Feb11!I10,[46]Feb14!I10:I12,[46]Feb17!I11:I13,[46]Feb18!I10:I12,'[46]Feb 21'!I13,'[46]Feb 21'!I16,'[46]Feb 22'!I16:I19,'[46]Feb 23'!I17:I20,'[46]Feb 24'!I15:I18,'[46]Feb 25'!I16:I17,'[46]Feb 28'!I10,'[46]Feb 28'!I19:I20)</f>
        <v>97.289162940824014</v>
      </c>
      <c r="F44" s="259">
        <v>98.163642226187022</v>
      </c>
      <c r="G44" s="259">
        <v>97.964054285784258</v>
      </c>
      <c r="H44" s="259">
        <f>'[47]Brewer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'[45]Brewer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'[45]Brewer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33" t="s">
        <v>123</v>
      </c>
      <c r="C48" s="633"/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</row>
    <row r="49" spans="2:17" ht="15" customHeight="1">
      <c r="B49" s="633"/>
      <c r="C49" s="633"/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</row>
    <row r="50" spans="2:17" ht="15" customHeight="1"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</row>
    <row r="51" spans="2:17" ht="15" customHeight="1"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633"/>
      <c r="Q51" s="633"/>
    </row>
    <row r="52" spans="2:17" ht="15" customHeight="1"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</row>
    <row r="53" spans="2:17" ht="15" customHeight="1"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</row>
    <row r="54" spans="2:17" ht="15" customHeight="1">
      <c r="B54" s="633"/>
      <c r="C54" s="633"/>
      <c r="D54" s="633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633"/>
      <c r="Q54" s="633"/>
    </row>
    <row r="55" spans="2:17" ht="15" customHeight="1">
      <c r="B55" s="633"/>
      <c r="C55" s="633"/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3"/>
      <c r="P55" s="633"/>
      <c r="Q55" s="633"/>
    </row>
    <row r="56" spans="2:17" ht="15" customHeight="1">
      <c r="B56" s="633"/>
      <c r="C56" s="633"/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3"/>
      <c r="P56" s="633"/>
      <c r="Q56" s="633"/>
    </row>
    <row r="57" spans="2:17" ht="15" customHeight="1">
      <c r="B57" s="633"/>
      <c r="C57" s="633"/>
      <c r="D57" s="633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633"/>
      <c r="Q57" s="633"/>
    </row>
    <row r="58" spans="2:17" ht="15" customHeight="1">
      <c r="B58" s="633"/>
      <c r="C58" s="633"/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633"/>
      <c r="Q58" s="633"/>
    </row>
    <row r="59" spans="2:17" ht="15" customHeight="1">
      <c r="B59" s="633"/>
      <c r="C59" s="633"/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633"/>
      <c r="Q59" s="633"/>
    </row>
    <row r="60" spans="2:17" ht="15" customHeight="1">
      <c r="B60" s="633"/>
      <c r="C60" s="633"/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633"/>
      <c r="Q60" s="633"/>
    </row>
    <row r="61" spans="2:17" ht="15" customHeight="1">
      <c r="B61" s="633"/>
      <c r="C61" s="633"/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633"/>
      <c r="Q61" s="633"/>
    </row>
    <row r="62" spans="2:17" ht="15" customHeight="1"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633"/>
      <c r="Q62" s="633"/>
    </row>
    <row r="63" spans="2:17" ht="15" customHeight="1"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3"/>
      <c r="P63" s="633"/>
      <c r="Q63" s="633"/>
    </row>
    <row r="64" spans="2:17" ht="15" customHeight="1"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</row>
    <row r="65" spans="2:17" ht="15" customHeight="1">
      <c r="B65" s="633"/>
      <c r="C65" s="633"/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633"/>
      <c r="Q65" s="633"/>
    </row>
    <row r="66" spans="2:17" ht="15" customHeight="1">
      <c r="B66" s="633"/>
      <c r="C66" s="633"/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633"/>
      <c r="Q66" s="633"/>
    </row>
    <row r="67" spans="2:17" ht="15" customHeight="1"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3"/>
    </row>
    <row r="68" spans="2:17" ht="15" customHeight="1"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633"/>
      <c r="Q68" s="633"/>
    </row>
    <row r="69" spans="2:17" ht="15" customHeight="1"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633"/>
      <c r="Q69" s="633"/>
    </row>
    <row r="70" spans="2:17" ht="15" customHeight="1"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633"/>
      <c r="Q70" s="633"/>
    </row>
    <row r="71" spans="2:17" ht="15" customHeight="1"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</row>
    <row r="72" spans="2:17" ht="15" customHeight="1"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633"/>
      <c r="Q72" s="633"/>
    </row>
    <row r="73" spans="2:17" ht="15" customHeight="1">
      <c r="B73" s="633"/>
      <c r="C73" s="633"/>
      <c r="D73" s="633"/>
      <c r="E73" s="633"/>
      <c r="F73" s="633"/>
      <c r="G73" s="633"/>
      <c r="H73" s="633"/>
      <c r="I73" s="633"/>
      <c r="J73" s="633"/>
      <c r="K73" s="633"/>
      <c r="L73" s="633"/>
      <c r="M73" s="633"/>
      <c r="N73" s="633"/>
      <c r="O73" s="633"/>
      <c r="P73" s="633"/>
      <c r="Q73" s="633"/>
    </row>
    <row r="74" spans="2:17" ht="15" customHeight="1"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633"/>
      <c r="Q74" s="633"/>
    </row>
    <row r="75" spans="2:17" ht="15" customHeight="1"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3"/>
      <c r="P75" s="633"/>
      <c r="Q75" s="633"/>
    </row>
    <row r="76" spans="2:17"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3</vt:i4>
      </vt:variant>
    </vt:vector>
  </HeadingPairs>
  <TitlesOfParts>
    <vt:vector size="26" baseType="lpstr">
      <vt:lpstr>Dec 18th</vt:lpstr>
      <vt:lpstr>Aug 4th </vt:lpstr>
      <vt:lpstr>Aug 5th </vt:lpstr>
      <vt:lpstr>Aug 6th </vt:lpstr>
      <vt:lpstr>Aug 7th </vt:lpstr>
      <vt:lpstr>Aug 8th </vt:lpstr>
      <vt:lpstr>Aug 13th</vt:lpstr>
      <vt:lpstr>Aug 14th</vt:lpstr>
      <vt:lpstr>Aug 15th-16th</vt:lpstr>
      <vt:lpstr>Aug 18th</vt:lpstr>
      <vt:lpstr>Aug 19th</vt:lpstr>
      <vt:lpstr>Aug 20th</vt:lpstr>
      <vt:lpstr>Aug 21st</vt:lpstr>
      <vt:lpstr>Aug 22nd-23rd</vt:lpstr>
      <vt:lpstr>Aug 25th</vt:lpstr>
      <vt:lpstr>Aug 26th</vt:lpstr>
      <vt:lpstr>Aug 27th</vt:lpstr>
      <vt:lpstr>Aug 28th</vt:lpstr>
      <vt:lpstr>Aug 29th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2025-09-05T13:03:06Z</dcterms:modified>
</cp:coreProperties>
</file>