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drawings/drawing1.xml" ContentType="application/vnd.openxmlformats-officedocument.drawing+xml"/>
  <Override PartName="/xl/comments2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5 Daily Process Report\"/>
    </mc:Choice>
  </mc:AlternateContent>
  <xr:revisionPtr revIDLastSave="0" documentId="13_ncr:1_{FCB5B55E-255C-451F-8EE0-C972769807BC}" xr6:coauthVersionLast="47" xr6:coauthVersionMax="47" xr10:uidLastSave="{00000000-0000-0000-0000-000000000000}"/>
  <bookViews>
    <workbookView xWindow="-120" yWindow="-120" windowWidth="29040" windowHeight="15720" tabRatio="599" firstSheet="1" activeTab="1" xr2:uid="{1120807F-7390-4E10-A66F-84111922E872}"/>
  </bookViews>
  <sheets>
    <sheet name="Dec 18th" sheetId="658" state="hidden" r:id="rId1"/>
    <sheet name="Nov.3rd" sheetId="860" r:id="rId2"/>
    <sheet name="Nov 4th" sheetId="861" r:id="rId3"/>
    <sheet name="Nov 5th" sheetId="862" r:id="rId4"/>
    <sheet name="Nov 6th " sheetId="863" r:id="rId5"/>
    <sheet name="Nov 7th-8th" sheetId="864" r:id="rId6"/>
    <sheet name="Nov 10th" sheetId="865" r:id="rId7"/>
    <sheet name="Nov 11th" sheetId="866" r:id="rId8"/>
    <sheet name="Nov 12th" sheetId="867" r:id="rId9"/>
    <sheet name="Nov 13th&amp; 14th" sheetId="868" r:id="rId10"/>
    <sheet name="Nov 15th" sheetId="869" r:id="rId11"/>
    <sheet name="Nov 17th" sheetId="870" r:id="rId12"/>
    <sheet name="Nov 18th" sheetId="871" r:id="rId13"/>
    <sheet name="Nov 19th " sheetId="872" r:id="rId14"/>
    <sheet name="Nov 20th" sheetId="873" r:id="rId15"/>
    <sheet name="Nov 21st" sheetId="874" r:id="rId16"/>
    <sheet name="Nov 22nd-23rd" sheetId="875" r:id="rId17"/>
    <sheet name="Nov 24th" sheetId="876" r:id="rId18"/>
    <sheet name="Nov 25th" sheetId="877" r:id="rId19"/>
    <sheet name="Nov 26th" sheetId="878" r:id="rId20"/>
    <sheet name="Nov 27th" sheetId="879" r:id="rId21"/>
    <sheet name="Nov 28th-30th" sheetId="880" r:id="rId22"/>
    <sheet name="MTD_Links" sheetId="18" r:id="rId23"/>
    <sheet name="YTD_Links" sheetId="19" r:id="rId24"/>
    <sheet name="KPIs" sheetId="20" state="hidden" r:id="rId25"/>
    <sheet name="Brewer Performance" sheetId="21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xlnm.Print_Area" localSheetId="25">'Brewer Performance'!$B$2:$K$35</definedName>
    <definedName name="_xlnm.Print_Area" localSheetId="22">MTD_Links!$B$2:$K$65</definedName>
    <definedName name="_xlnm.Print_Area" localSheetId="23">YTD_Links!$B$2:$K$65</definedName>
    <definedName name="ProductList" localSheetId="25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9" i="880" l="1"/>
  <c r="B30" i="880"/>
  <c r="C30" i="880" l="1" a="1"/>
  <c r="C30" i="880" s="1"/>
  <c r="M30" i="880" l="1"/>
  <c r="L30" i="880"/>
  <c r="K30" i="880"/>
  <c r="R10" i="880"/>
  <c r="S10" i="880"/>
  <c r="T10" i="880"/>
  <c r="U10" i="880"/>
  <c r="V10" i="880"/>
  <c r="W10" i="880"/>
  <c r="X10" i="880"/>
  <c r="Y10" i="880"/>
  <c r="Z10" i="880"/>
  <c r="R11" i="880"/>
  <c r="S11" i="880"/>
  <c r="T11" i="880"/>
  <c r="U11" i="880"/>
  <c r="V11" i="880"/>
  <c r="W11" i="880"/>
  <c r="X11" i="880"/>
  <c r="Y11" i="880"/>
  <c r="Z11" i="880"/>
  <c r="R12" i="880"/>
  <c r="S12" i="880"/>
  <c r="T12" i="880"/>
  <c r="U12" i="880"/>
  <c r="V12" i="880"/>
  <c r="W12" i="880"/>
  <c r="X12" i="880"/>
  <c r="Y12" i="880"/>
  <c r="Z12" i="880"/>
  <c r="R13" i="880"/>
  <c r="S13" i="880"/>
  <c r="T13" i="880"/>
  <c r="U13" i="880"/>
  <c r="V13" i="880"/>
  <c r="W13" i="880"/>
  <c r="X13" i="880"/>
  <c r="Y13" i="880"/>
  <c r="Z13" i="880"/>
  <c r="R14" i="880"/>
  <c r="S14" i="880"/>
  <c r="T14" i="880"/>
  <c r="U14" i="880"/>
  <c r="V14" i="880"/>
  <c r="W14" i="880"/>
  <c r="X14" i="880"/>
  <c r="Y14" i="880"/>
  <c r="Z14" i="880"/>
  <c r="R16" i="880"/>
  <c r="S16" i="880"/>
  <c r="T16" i="880"/>
  <c r="U16" i="880"/>
  <c r="V16" i="880"/>
  <c r="W16" i="880"/>
  <c r="X16" i="880"/>
  <c r="Y16" i="880"/>
  <c r="Z16" i="880"/>
  <c r="R17" i="880"/>
  <c r="S17" i="880"/>
  <c r="T17" i="880"/>
  <c r="U17" i="880"/>
  <c r="V17" i="880"/>
  <c r="W17" i="880"/>
  <c r="X17" i="880"/>
  <c r="Y17" i="880"/>
  <c r="Z17" i="880"/>
  <c r="R18" i="880"/>
  <c r="S18" i="880"/>
  <c r="T18" i="880"/>
  <c r="U18" i="880"/>
  <c r="V18" i="880"/>
  <c r="W18" i="880"/>
  <c r="X18" i="880"/>
  <c r="Y18" i="880"/>
  <c r="Z18" i="880"/>
  <c r="C24" i="880"/>
  <c r="K44" i="880" s="1"/>
  <c r="K54" i="880" s="1"/>
  <c r="D24" i="880"/>
  <c r="E24" i="880"/>
  <c r="F24" i="880"/>
  <c r="G24" i="880"/>
  <c r="I24" i="880"/>
  <c r="J24" i="880"/>
  <c r="L24" i="880"/>
  <c r="M24" i="880"/>
  <c r="N24" i="880"/>
  <c r="O24" i="880"/>
  <c r="C25" i="880"/>
  <c r="D25" i="880"/>
  <c r="E25" i="880"/>
  <c r="F25" i="880"/>
  <c r="G25" i="880"/>
  <c r="I25" i="880"/>
  <c r="J25" i="880"/>
  <c r="L25" i="880"/>
  <c r="M25" i="880"/>
  <c r="N25" i="880"/>
  <c r="O25" i="880"/>
  <c r="C10" i="880"/>
  <c r="I44" i="880" s="1"/>
  <c r="I54" i="880" s="1"/>
  <c r="D10" i="880"/>
  <c r="E10" i="880"/>
  <c r="F10" i="880"/>
  <c r="G10" i="880"/>
  <c r="I10" i="880"/>
  <c r="J10" i="880"/>
  <c r="L10" i="880"/>
  <c r="M10" i="880"/>
  <c r="N10" i="880"/>
  <c r="O10" i="880"/>
  <c r="C11" i="880"/>
  <c r="D11" i="880"/>
  <c r="E11" i="880"/>
  <c r="F11" i="880"/>
  <c r="G11" i="880"/>
  <c r="I11" i="880"/>
  <c r="J11" i="880"/>
  <c r="L11" i="880"/>
  <c r="M11" i="880"/>
  <c r="N11" i="880"/>
  <c r="O11" i="880"/>
  <c r="C12" i="880"/>
  <c r="D12" i="880"/>
  <c r="E12" i="880"/>
  <c r="F12" i="880"/>
  <c r="G12" i="880"/>
  <c r="I12" i="880"/>
  <c r="J12" i="880"/>
  <c r="L12" i="880"/>
  <c r="M12" i="880"/>
  <c r="N12" i="880"/>
  <c r="O12" i="880"/>
  <c r="C13" i="880"/>
  <c r="D13" i="880"/>
  <c r="E13" i="880"/>
  <c r="F13" i="880"/>
  <c r="G13" i="880"/>
  <c r="I13" i="880"/>
  <c r="J13" i="880"/>
  <c r="L13" i="880"/>
  <c r="M13" i="880"/>
  <c r="N13" i="880"/>
  <c r="O13" i="880"/>
  <c r="C14" i="880"/>
  <c r="D14" i="880"/>
  <c r="E14" i="880"/>
  <c r="F14" i="880"/>
  <c r="G14" i="880"/>
  <c r="I14" i="880"/>
  <c r="J14" i="880"/>
  <c r="L14" i="880"/>
  <c r="M14" i="880"/>
  <c r="N14" i="880"/>
  <c r="O14" i="880"/>
  <c r="C16" i="880"/>
  <c r="D16" i="880"/>
  <c r="E16" i="880"/>
  <c r="F16" i="880"/>
  <c r="G16" i="880"/>
  <c r="I16" i="880"/>
  <c r="J16" i="880"/>
  <c r="M16" i="880"/>
  <c r="N16" i="880"/>
  <c r="O16" i="880"/>
  <c r="C17" i="880"/>
  <c r="D17" i="880"/>
  <c r="E17" i="880"/>
  <c r="F17" i="880"/>
  <c r="G17" i="880"/>
  <c r="I17" i="880"/>
  <c r="J17" i="880"/>
  <c r="L17" i="880"/>
  <c r="M17" i="880"/>
  <c r="N17" i="880"/>
  <c r="O17" i="880"/>
  <c r="C18" i="880"/>
  <c r="D18" i="880"/>
  <c r="E18" i="880"/>
  <c r="F18" i="880"/>
  <c r="G18" i="880"/>
  <c r="I18" i="880"/>
  <c r="J18" i="880"/>
  <c r="L18" i="880"/>
  <c r="M18" i="880"/>
  <c r="N18" i="880"/>
  <c r="O18" i="880"/>
  <c r="C19" i="880"/>
  <c r="D19" i="880"/>
  <c r="E19" i="880"/>
  <c r="F19" i="880"/>
  <c r="G19" i="880"/>
  <c r="I19" i="880"/>
  <c r="J19" i="880"/>
  <c r="L19" i="880"/>
  <c r="M19" i="880"/>
  <c r="N19" i="880"/>
  <c r="O19" i="880"/>
  <c r="C20" i="880"/>
  <c r="D20" i="880"/>
  <c r="E20" i="880"/>
  <c r="F20" i="880"/>
  <c r="G20" i="880"/>
  <c r="I20" i="880"/>
  <c r="J20" i="880"/>
  <c r="L20" i="880"/>
  <c r="M20" i="880"/>
  <c r="N20" i="880"/>
  <c r="O20" i="880"/>
  <c r="C21" i="880"/>
  <c r="D21" i="880"/>
  <c r="E21" i="880"/>
  <c r="F21" i="880"/>
  <c r="G21" i="880"/>
  <c r="I21" i="880"/>
  <c r="J21" i="880"/>
  <c r="L21" i="880"/>
  <c r="M21" i="880"/>
  <c r="N21" i="880"/>
  <c r="O21" i="880"/>
  <c r="C22" i="880"/>
  <c r="D22" i="880"/>
  <c r="E22" i="880"/>
  <c r="F22" i="880"/>
  <c r="G22" i="880"/>
  <c r="I22" i="880"/>
  <c r="J22" i="880"/>
  <c r="L22" i="880"/>
  <c r="M22" i="880"/>
  <c r="N22" i="880"/>
  <c r="O22" i="880"/>
  <c r="F75" i="880"/>
  <c r="L65" i="880"/>
  <c r="L61" i="880"/>
  <c r="AX59" i="880"/>
  <c r="AW59" i="880"/>
  <c r="AV59" i="880"/>
  <c r="AU59" i="880"/>
  <c r="AT59" i="880"/>
  <c r="AS59" i="880"/>
  <c r="AR59" i="880"/>
  <c r="AQ59" i="880"/>
  <c r="AP59" i="880"/>
  <c r="AO59" i="880"/>
  <c r="AN59" i="880"/>
  <c r="AM59" i="880"/>
  <c r="AL59" i="880"/>
  <c r="AK59" i="880"/>
  <c r="AJ59" i="880"/>
  <c r="AI59" i="880"/>
  <c r="AH59" i="880"/>
  <c r="AG59" i="880"/>
  <c r="AF59" i="880"/>
  <c r="AE59" i="880"/>
  <c r="AD59" i="880"/>
  <c r="AC59" i="880"/>
  <c r="AB59" i="880"/>
  <c r="Z41" i="880"/>
  <c r="Y41" i="880"/>
  <c r="X41" i="880"/>
  <c r="W41" i="880"/>
  <c r="V41" i="880"/>
  <c r="U41" i="880"/>
  <c r="T41" i="880"/>
  <c r="S41" i="880"/>
  <c r="R41" i="880"/>
  <c r="Z40" i="880"/>
  <c r="Y40" i="880"/>
  <c r="X40" i="880"/>
  <c r="W40" i="880"/>
  <c r="V40" i="880"/>
  <c r="U40" i="880"/>
  <c r="T40" i="880"/>
  <c r="S40" i="880"/>
  <c r="R40" i="880"/>
  <c r="Z39" i="880"/>
  <c r="Y39" i="880"/>
  <c r="X39" i="880"/>
  <c r="W39" i="880"/>
  <c r="V39" i="880"/>
  <c r="U39" i="880"/>
  <c r="T39" i="880"/>
  <c r="S39" i="880"/>
  <c r="R39" i="880"/>
  <c r="M39" i="880"/>
  <c r="Z38" i="880"/>
  <c r="Y38" i="880"/>
  <c r="X38" i="880"/>
  <c r="W38" i="880"/>
  <c r="V38" i="880"/>
  <c r="U38" i="880"/>
  <c r="T38" i="880"/>
  <c r="S38" i="880"/>
  <c r="R38" i="880"/>
  <c r="M38" i="880"/>
  <c r="Z37" i="880"/>
  <c r="Y37" i="880"/>
  <c r="X37" i="880"/>
  <c r="W37" i="880"/>
  <c r="V37" i="880"/>
  <c r="U37" i="880"/>
  <c r="T37" i="880"/>
  <c r="S37" i="880"/>
  <c r="R37" i="880"/>
  <c r="M37" i="880"/>
  <c r="Z36" i="880"/>
  <c r="Y36" i="880"/>
  <c r="X36" i="880"/>
  <c r="W36" i="880"/>
  <c r="V36" i="880"/>
  <c r="U36" i="880"/>
  <c r="T36" i="880"/>
  <c r="S36" i="880"/>
  <c r="R36" i="880"/>
  <c r="M36" i="880"/>
  <c r="L36" i="880"/>
  <c r="K36" i="880"/>
  <c r="Z35" i="880"/>
  <c r="Y35" i="880"/>
  <c r="X35" i="880"/>
  <c r="W35" i="880"/>
  <c r="V35" i="880"/>
  <c r="U35" i="880"/>
  <c r="T35" i="880"/>
  <c r="S35" i="880"/>
  <c r="R35" i="880"/>
  <c r="M35" i="880"/>
  <c r="Z34" i="880"/>
  <c r="Y34" i="880"/>
  <c r="X34" i="880"/>
  <c r="W34" i="880"/>
  <c r="V34" i="880"/>
  <c r="U34" i="880"/>
  <c r="T34" i="880"/>
  <c r="S34" i="880"/>
  <c r="R34" i="880"/>
  <c r="Z33" i="880"/>
  <c r="Y33" i="880"/>
  <c r="X33" i="880"/>
  <c r="W33" i="880"/>
  <c r="V33" i="880"/>
  <c r="U33" i="880"/>
  <c r="T33" i="880"/>
  <c r="S33" i="880"/>
  <c r="R33" i="880"/>
  <c r="M33" i="880"/>
  <c r="L33" i="880"/>
  <c r="K33" i="880"/>
  <c r="Z32" i="880"/>
  <c r="Y32" i="880"/>
  <c r="X32" i="880"/>
  <c r="W32" i="880"/>
  <c r="V32" i="880"/>
  <c r="U32" i="880"/>
  <c r="T32" i="880"/>
  <c r="S32" i="880"/>
  <c r="R32" i="880"/>
  <c r="M32" i="880"/>
  <c r="L32" i="880"/>
  <c r="K32" i="880"/>
  <c r="Z31" i="880"/>
  <c r="Y31" i="880"/>
  <c r="X31" i="880"/>
  <c r="W31" i="880"/>
  <c r="V31" i="880"/>
  <c r="U31" i="880"/>
  <c r="T31" i="880"/>
  <c r="S31" i="880"/>
  <c r="R31" i="880"/>
  <c r="M31" i="880"/>
  <c r="L31" i="880"/>
  <c r="K31" i="880"/>
  <c r="Z30" i="880"/>
  <c r="Y30" i="880"/>
  <c r="X30" i="880"/>
  <c r="W30" i="880"/>
  <c r="V30" i="880"/>
  <c r="U30" i="880"/>
  <c r="T30" i="880"/>
  <c r="S30" i="880"/>
  <c r="R30" i="880"/>
  <c r="Z29" i="880"/>
  <c r="Y29" i="880"/>
  <c r="X29" i="880"/>
  <c r="W29" i="880"/>
  <c r="V29" i="880"/>
  <c r="U29" i="880"/>
  <c r="T29" i="880"/>
  <c r="S29" i="880"/>
  <c r="R29" i="880"/>
  <c r="Z28" i="880"/>
  <c r="Y28" i="880"/>
  <c r="X28" i="880"/>
  <c r="W28" i="880"/>
  <c r="V28" i="880"/>
  <c r="U28" i="880"/>
  <c r="T28" i="880"/>
  <c r="S28" i="880"/>
  <c r="R28" i="880"/>
  <c r="Z27" i="880"/>
  <c r="Y27" i="880"/>
  <c r="X27" i="880"/>
  <c r="W27" i="880"/>
  <c r="V27" i="880"/>
  <c r="U27" i="880"/>
  <c r="T27" i="880"/>
  <c r="S27" i="880"/>
  <c r="R27" i="880"/>
  <c r="Z26" i="880"/>
  <c r="Y26" i="880"/>
  <c r="X26" i="880"/>
  <c r="W26" i="880"/>
  <c r="V26" i="880"/>
  <c r="U26" i="880"/>
  <c r="T26" i="880"/>
  <c r="S26" i="880"/>
  <c r="R26" i="880"/>
  <c r="Z25" i="880"/>
  <c r="Y25" i="880"/>
  <c r="X25" i="880"/>
  <c r="W25" i="880"/>
  <c r="V25" i="880"/>
  <c r="U25" i="880"/>
  <c r="T25" i="880"/>
  <c r="S25" i="880"/>
  <c r="R25" i="880"/>
  <c r="Z24" i="880"/>
  <c r="Y24" i="880"/>
  <c r="X24" i="880"/>
  <c r="W24" i="880"/>
  <c r="V24" i="880"/>
  <c r="U24" i="880"/>
  <c r="T24" i="880"/>
  <c r="S24" i="880"/>
  <c r="R24" i="880"/>
  <c r="Z22" i="880"/>
  <c r="Y22" i="880"/>
  <c r="X22" i="880"/>
  <c r="W22" i="880"/>
  <c r="V22" i="880"/>
  <c r="U22" i="880"/>
  <c r="T22" i="880"/>
  <c r="S22" i="880"/>
  <c r="R22" i="880"/>
  <c r="Z21" i="880"/>
  <c r="Y21" i="880"/>
  <c r="X21" i="880"/>
  <c r="W21" i="880"/>
  <c r="V21" i="880"/>
  <c r="U21" i="880"/>
  <c r="T21" i="880"/>
  <c r="S21" i="880"/>
  <c r="R21" i="880"/>
  <c r="Z20" i="880"/>
  <c r="Y20" i="880"/>
  <c r="X20" i="880"/>
  <c r="W20" i="880"/>
  <c r="V20" i="880"/>
  <c r="U20" i="880"/>
  <c r="T20" i="880"/>
  <c r="S20" i="880"/>
  <c r="R20" i="880"/>
  <c r="Z19" i="880"/>
  <c r="Y19" i="880"/>
  <c r="X19" i="880"/>
  <c r="W19" i="880"/>
  <c r="V19" i="880"/>
  <c r="U19" i="880"/>
  <c r="T19" i="880"/>
  <c r="S19" i="880"/>
  <c r="R19" i="880"/>
  <c r="M26" i="879"/>
  <c r="L26" i="879"/>
  <c r="K26" i="879"/>
  <c r="J44" i="880" l="1"/>
  <c r="J54" i="880" s="1"/>
  <c r="J30" i="880"/>
  <c r="K40" i="880"/>
  <c r="L40" i="880"/>
  <c r="M40" i="880" s="1"/>
  <c r="K11" i="879"/>
  <c r="N10" i="879"/>
  <c r="K10" i="879"/>
  <c r="L10" i="879"/>
  <c r="M10" i="879"/>
  <c r="O10" i="879"/>
  <c r="L11" i="879"/>
  <c r="M11" i="879"/>
  <c r="N11" i="879"/>
  <c r="O11" i="879"/>
  <c r="C10" i="879"/>
  <c r="D10" i="879"/>
  <c r="E10" i="879"/>
  <c r="F10" i="879"/>
  <c r="G10" i="879"/>
  <c r="C11" i="879"/>
  <c r="D11" i="879"/>
  <c r="E11" i="879"/>
  <c r="F11" i="879"/>
  <c r="G11" i="879"/>
  <c r="F69" i="879"/>
  <c r="L59" i="879"/>
  <c r="L55" i="879"/>
  <c r="AX53" i="879"/>
  <c r="AW53" i="879"/>
  <c r="AV53" i="879"/>
  <c r="AU53" i="879"/>
  <c r="AT53" i="879"/>
  <c r="AS53" i="879"/>
  <c r="AR53" i="879"/>
  <c r="AQ53" i="879"/>
  <c r="AP53" i="879"/>
  <c r="AO53" i="879"/>
  <c r="AN53" i="879"/>
  <c r="AM53" i="879"/>
  <c r="AL53" i="879"/>
  <c r="AK53" i="879"/>
  <c r="AJ53" i="879"/>
  <c r="AI53" i="879"/>
  <c r="AH53" i="879"/>
  <c r="AG53" i="879"/>
  <c r="AF53" i="879"/>
  <c r="AE53" i="879"/>
  <c r="AD53" i="879"/>
  <c r="AC53" i="879"/>
  <c r="AB53" i="879"/>
  <c r="K48" i="879"/>
  <c r="Z35" i="879"/>
  <c r="Y35" i="879"/>
  <c r="X35" i="879"/>
  <c r="W35" i="879"/>
  <c r="V35" i="879"/>
  <c r="U35" i="879"/>
  <c r="T35" i="879"/>
  <c r="S35" i="879"/>
  <c r="R35" i="879"/>
  <c r="Z34" i="879"/>
  <c r="Y34" i="879"/>
  <c r="X34" i="879"/>
  <c r="W34" i="879"/>
  <c r="V34" i="879"/>
  <c r="U34" i="879"/>
  <c r="T34" i="879"/>
  <c r="S34" i="879"/>
  <c r="R34" i="879"/>
  <c r="Z33" i="879"/>
  <c r="Y33" i="879"/>
  <c r="X33" i="879"/>
  <c r="W33" i="879"/>
  <c r="V33" i="879"/>
  <c r="U33" i="879"/>
  <c r="T33" i="879"/>
  <c r="S33" i="879"/>
  <c r="R33" i="879"/>
  <c r="M33" i="879"/>
  <c r="Z32" i="879"/>
  <c r="Y32" i="879"/>
  <c r="X32" i="879"/>
  <c r="W32" i="879"/>
  <c r="V32" i="879"/>
  <c r="U32" i="879"/>
  <c r="T32" i="879"/>
  <c r="S32" i="879"/>
  <c r="R32" i="879"/>
  <c r="M32" i="879"/>
  <c r="Z31" i="879"/>
  <c r="Y31" i="879"/>
  <c r="X31" i="879"/>
  <c r="W31" i="879"/>
  <c r="V31" i="879"/>
  <c r="U31" i="879"/>
  <c r="T31" i="879"/>
  <c r="S31" i="879"/>
  <c r="R31" i="879"/>
  <c r="M31" i="879"/>
  <c r="Z30" i="879"/>
  <c r="Y30" i="879"/>
  <c r="X30" i="879"/>
  <c r="W30" i="879"/>
  <c r="V30" i="879"/>
  <c r="U30" i="879"/>
  <c r="T30" i="879"/>
  <c r="S30" i="879"/>
  <c r="R30" i="879"/>
  <c r="M30" i="879"/>
  <c r="L30" i="879"/>
  <c r="K30" i="879"/>
  <c r="Z29" i="879"/>
  <c r="Y29" i="879"/>
  <c r="X29" i="879"/>
  <c r="W29" i="879"/>
  <c r="V29" i="879"/>
  <c r="U29" i="879"/>
  <c r="T29" i="879"/>
  <c r="S29" i="879"/>
  <c r="R29" i="879"/>
  <c r="M29" i="879"/>
  <c r="Z28" i="879"/>
  <c r="Y28" i="879"/>
  <c r="X28" i="879"/>
  <c r="W28" i="879"/>
  <c r="V28" i="879"/>
  <c r="U28" i="879"/>
  <c r="T28" i="879"/>
  <c r="S28" i="879"/>
  <c r="R28" i="879"/>
  <c r="Z27" i="879"/>
  <c r="Y27" i="879"/>
  <c r="X27" i="879"/>
  <c r="W27" i="879"/>
  <c r="V27" i="879"/>
  <c r="U27" i="879"/>
  <c r="T27" i="879"/>
  <c r="S27" i="879"/>
  <c r="R27" i="879"/>
  <c r="M27" i="879"/>
  <c r="L27" i="879"/>
  <c r="K27" i="879"/>
  <c r="Z26" i="879"/>
  <c r="Y26" i="879"/>
  <c r="X26" i="879"/>
  <c r="W26" i="879"/>
  <c r="V26" i="879"/>
  <c r="U26" i="879"/>
  <c r="T26" i="879"/>
  <c r="S26" i="879"/>
  <c r="R26" i="879"/>
  <c r="Z25" i="879"/>
  <c r="Y25" i="879"/>
  <c r="X25" i="879"/>
  <c r="W25" i="879"/>
  <c r="V25" i="879"/>
  <c r="U25" i="879"/>
  <c r="T25" i="879"/>
  <c r="S25" i="879"/>
  <c r="R25" i="879"/>
  <c r="M25" i="879"/>
  <c r="L25" i="879"/>
  <c r="K25" i="879"/>
  <c r="M24" i="879"/>
  <c r="L24" i="879"/>
  <c r="K24" i="879"/>
  <c r="Z24" i="879"/>
  <c r="Z23" i="879"/>
  <c r="Y23" i="879"/>
  <c r="X23" i="879"/>
  <c r="W23" i="879"/>
  <c r="V23" i="879"/>
  <c r="U23" i="879"/>
  <c r="T23" i="879"/>
  <c r="S23" i="879"/>
  <c r="R23" i="879"/>
  <c r="Z22" i="879"/>
  <c r="Y22" i="879"/>
  <c r="X22" i="879"/>
  <c r="W22" i="879"/>
  <c r="V22" i="879"/>
  <c r="U22" i="879"/>
  <c r="T22" i="879"/>
  <c r="S22" i="879"/>
  <c r="R22" i="879"/>
  <c r="Z21" i="879"/>
  <c r="Y21" i="879"/>
  <c r="X21" i="879"/>
  <c r="W21" i="879"/>
  <c r="V21" i="879"/>
  <c r="U21" i="879"/>
  <c r="T21" i="879"/>
  <c r="S21" i="879"/>
  <c r="R21" i="879"/>
  <c r="Z20" i="879"/>
  <c r="Y20" i="879"/>
  <c r="X20" i="879"/>
  <c r="W20" i="879"/>
  <c r="V20" i="879"/>
  <c r="U20" i="879"/>
  <c r="T20" i="879"/>
  <c r="S20" i="879"/>
  <c r="R20" i="879"/>
  <c r="Z19" i="879"/>
  <c r="Y19" i="879"/>
  <c r="X19" i="879"/>
  <c r="W19" i="879"/>
  <c r="V19" i="879"/>
  <c r="U19" i="879"/>
  <c r="T19" i="879"/>
  <c r="S19" i="879"/>
  <c r="R19" i="879"/>
  <c r="Z18" i="879"/>
  <c r="Y18" i="879"/>
  <c r="X18" i="879"/>
  <c r="W18" i="879"/>
  <c r="V18" i="879"/>
  <c r="U18" i="879"/>
  <c r="T18" i="879"/>
  <c r="S18" i="879"/>
  <c r="R18" i="879"/>
  <c r="Z17" i="879"/>
  <c r="Y17" i="879"/>
  <c r="X17" i="879"/>
  <c r="W17" i="879"/>
  <c r="V17" i="879"/>
  <c r="U17" i="879"/>
  <c r="T17" i="879"/>
  <c r="S17" i="879"/>
  <c r="R17" i="879"/>
  <c r="Z16" i="879"/>
  <c r="Y16" i="879"/>
  <c r="X16" i="879"/>
  <c r="W16" i="879"/>
  <c r="V16" i="879"/>
  <c r="U16" i="879"/>
  <c r="T16" i="879"/>
  <c r="S16" i="879"/>
  <c r="R16" i="879"/>
  <c r="Z15" i="879"/>
  <c r="Y15" i="879"/>
  <c r="X15" i="879"/>
  <c r="W15" i="879"/>
  <c r="V15" i="879"/>
  <c r="U15" i="879"/>
  <c r="T15" i="879"/>
  <c r="S15" i="879"/>
  <c r="R15" i="879"/>
  <c r="Z14" i="879"/>
  <c r="Y14" i="879"/>
  <c r="X14" i="879"/>
  <c r="W14" i="879"/>
  <c r="V14" i="879"/>
  <c r="U14" i="879"/>
  <c r="T14" i="879"/>
  <c r="S14" i="879"/>
  <c r="R14" i="879"/>
  <c r="Z13" i="879"/>
  <c r="Y13" i="879"/>
  <c r="X13" i="879"/>
  <c r="W13" i="879"/>
  <c r="V13" i="879"/>
  <c r="U13" i="879"/>
  <c r="T13" i="879"/>
  <c r="S13" i="879"/>
  <c r="R13" i="879"/>
  <c r="Z12" i="879"/>
  <c r="Y12" i="879"/>
  <c r="X12" i="879"/>
  <c r="W12" i="879"/>
  <c r="V12" i="879"/>
  <c r="U12" i="879"/>
  <c r="T12" i="879"/>
  <c r="S12" i="879"/>
  <c r="R12" i="879"/>
  <c r="Z11" i="879"/>
  <c r="Y11" i="879"/>
  <c r="X11" i="879"/>
  <c r="W11" i="879"/>
  <c r="V11" i="879"/>
  <c r="U11" i="879"/>
  <c r="T11" i="879"/>
  <c r="S11" i="879"/>
  <c r="R11" i="879"/>
  <c r="Z10" i="879"/>
  <c r="Y10" i="879"/>
  <c r="X10" i="879"/>
  <c r="W10" i="879"/>
  <c r="V10" i="879"/>
  <c r="U10" i="879"/>
  <c r="T10" i="879"/>
  <c r="S10" i="879"/>
  <c r="R10" i="879"/>
  <c r="K29" i="878"/>
  <c r="R12" i="878"/>
  <c r="S12" i="878"/>
  <c r="T12" i="878"/>
  <c r="U12" i="878"/>
  <c r="V12" i="878"/>
  <c r="W12" i="878"/>
  <c r="X12" i="878"/>
  <c r="Y12" i="878"/>
  <c r="Z12" i="878"/>
  <c r="R13" i="878"/>
  <c r="S13" i="878"/>
  <c r="T13" i="878"/>
  <c r="U13" i="878"/>
  <c r="V13" i="878"/>
  <c r="W13" i="878"/>
  <c r="X13" i="878"/>
  <c r="Y13" i="878"/>
  <c r="Z13" i="878"/>
  <c r="R14" i="878"/>
  <c r="S14" i="878"/>
  <c r="T14" i="878"/>
  <c r="U14" i="878"/>
  <c r="V14" i="878"/>
  <c r="W14" i="878"/>
  <c r="X14" i="878"/>
  <c r="Y14" i="878"/>
  <c r="Z14" i="878"/>
  <c r="R15" i="878"/>
  <c r="S15" i="878"/>
  <c r="T15" i="878"/>
  <c r="U15" i="878"/>
  <c r="V15" i="878"/>
  <c r="W15" i="878"/>
  <c r="X15" i="878"/>
  <c r="Y15" i="878"/>
  <c r="Z15" i="878"/>
  <c r="R16" i="878"/>
  <c r="S16" i="878"/>
  <c r="T16" i="878"/>
  <c r="U16" i="878"/>
  <c r="V16" i="878"/>
  <c r="W16" i="878"/>
  <c r="X16" i="878"/>
  <c r="Y16" i="878"/>
  <c r="Z16" i="878"/>
  <c r="R17" i="878"/>
  <c r="S17" i="878"/>
  <c r="T17" i="878"/>
  <c r="U17" i="878"/>
  <c r="V17" i="878"/>
  <c r="W17" i="878"/>
  <c r="X17" i="878"/>
  <c r="Y17" i="878"/>
  <c r="Z17" i="878"/>
  <c r="R18" i="878"/>
  <c r="S18" i="878"/>
  <c r="T18" i="878"/>
  <c r="U18" i="878"/>
  <c r="V18" i="878"/>
  <c r="W18" i="878"/>
  <c r="X18" i="878"/>
  <c r="Y18" i="878"/>
  <c r="Z18" i="878"/>
  <c r="R19" i="878"/>
  <c r="S19" i="878"/>
  <c r="T19" i="878"/>
  <c r="U19" i="878"/>
  <c r="V19" i="878"/>
  <c r="W19" i="878"/>
  <c r="X19" i="878"/>
  <c r="Y19" i="878"/>
  <c r="Z19" i="878"/>
  <c r="R20" i="878"/>
  <c r="S20" i="878"/>
  <c r="T20" i="878"/>
  <c r="U20" i="878"/>
  <c r="V20" i="878"/>
  <c r="W20" i="878"/>
  <c r="X20" i="878"/>
  <c r="Y20" i="878"/>
  <c r="Z20" i="878"/>
  <c r="R21" i="878"/>
  <c r="S21" i="878"/>
  <c r="T21" i="878"/>
  <c r="U21" i="878"/>
  <c r="V21" i="878"/>
  <c r="W21" i="878"/>
  <c r="X21" i="878"/>
  <c r="Y21" i="878"/>
  <c r="Z21" i="878"/>
  <c r="R22" i="878"/>
  <c r="S22" i="878"/>
  <c r="T22" i="878"/>
  <c r="U22" i="878"/>
  <c r="V22" i="878"/>
  <c r="W22" i="878"/>
  <c r="X22" i="878"/>
  <c r="Y22" i="878"/>
  <c r="Z22" i="878"/>
  <c r="R23" i="878"/>
  <c r="S23" i="878"/>
  <c r="T23" i="878"/>
  <c r="U23" i="878"/>
  <c r="V23" i="878"/>
  <c r="W23" i="878"/>
  <c r="X23" i="878"/>
  <c r="Y23" i="878"/>
  <c r="Z23" i="878"/>
  <c r="R24" i="878"/>
  <c r="S24" i="878"/>
  <c r="T24" i="878"/>
  <c r="U24" i="878"/>
  <c r="V24" i="878"/>
  <c r="W24" i="878"/>
  <c r="X24" i="878"/>
  <c r="Y24" i="878"/>
  <c r="Z24" i="878"/>
  <c r="R25" i="878"/>
  <c r="S25" i="878"/>
  <c r="T25" i="878"/>
  <c r="U25" i="878"/>
  <c r="V25" i="878"/>
  <c r="W25" i="878"/>
  <c r="X25" i="878"/>
  <c r="Y25" i="878"/>
  <c r="Z25" i="878"/>
  <c r="R26" i="878"/>
  <c r="S26" i="878"/>
  <c r="T26" i="878"/>
  <c r="U26" i="878"/>
  <c r="V26" i="878"/>
  <c r="W26" i="878"/>
  <c r="X26" i="878"/>
  <c r="Y26" i="878"/>
  <c r="Z26" i="878"/>
  <c r="K10" i="878"/>
  <c r="L10" i="878"/>
  <c r="M10" i="878"/>
  <c r="N10" i="878"/>
  <c r="O10" i="878"/>
  <c r="K11" i="878"/>
  <c r="L11" i="878"/>
  <c r="M11" i="878"/>
  <c r="N11" i="878"/>
  <c r="O11" i="878"/>
  <c r="C10" i="878"/>
  <c r="D10" i="878"/>
  <c r="E10" i="878"/>
  <c r="F10" i="878"/>
  <c r="G10" i="878"/>
  <c r="C11" i="878"/>
  <c r="D11" i="878"/>
  <c r="E11" i="878"/>
  <c r="F11" i="878"/>
  <c r="G11" i="878"/>
  <c r="F72" i="878"/>
  <c r="L62" i="878"/>
  <c r="L58" i="878"/>
  <c r="AX56" i="878"/>
  <c r="AW56" i="878"/>
  <c r="AV56" i="878"/>
  <c r="AU56" i="878"/>
  <c r="AT56" i="878"/>
  <c r="AS56" i="878"/>
  <c r="AR56" i="878"/>
  <c r="AQ56" i="878"/>
  <c r="AP56" i="878"/>
  <c r="AO56" i="878"/>
  <c r="AN56" i="878"/>
  <c r="AM56" i="878"/>
  <c r="AL56" i="878"/>
  <c r="AK56" i="878"/>
  <c r="AJ56" i="878"/>
  <c r="AI56" i="878"/>
  <c r="AH56" i="878"/>
  <c r="AG56" i="878"/>
  <c r="AF56" i="878"/>
  <c r="AE56" i="878"/>
  <c r="AD56" i="878"/>
  <c r="AC56" i="878"/>
  <c r="AB56" i="878"/>
  <c r="K51" i="878"/>
  <c r="Z38" i="878"/>
  <c r="Y38" i="878"/>
  <c r="X38" i="878"/>
  <c r="W38" i="878"/>
  <c r="V38" i="878"/>
  <c r="U38" i="878"/>
  <c r="T38" i="878"/>
  <c r="S38" i="878"/>
  <c r="R38" i="878"/>
  <c r="Z37" i="878"/>
  <c r="Y37" i="878"/>
  <c r="X37" i="878"/>
  <c r="W37" i="878"/>
  <c r="V37" i="878"/>
  <c r="U37" i="878"/>
  <c r="T37" i="878"/>
  <c r="S37" i="878"/>
  <c r="R37" i="878"/>
  <c r="Z36" i="878"/>
  <c r="Y36" i="878"/>
  <c r="X36" i="878"/>
  <c r="W36" i="878"/>
  <c r="V36" i="878"/>
  <c r="U36" i="878"/>
  <c r="T36" i="878"/>
  <c r="S36" i="878"/>
  <c r="R36" i="878"/>
  <c r="M36" i="878"/>
  <c r="Z35" i="878"/>
  <c r="Y35" i="878"/>
  <c r="X35" i="878"/>
  <c r="W35" i="878"/>
  <c r="V35" i="878"/>
  <c r="U35" i="878"/>
  <c r="T35" i="878"/>
  <c r="S35" i="878"/>
  <c r="R35" i="878"/>
  <c r="M35" i="878"/>
  <c r="Z34" i="878"/>
  <c r="Y34" i="878"/>
  <c r="X34" i="878"/>
  <c r="W34" i="878"/>
  <c r="V34" i="878"/>
  <c r="U34" i="878"/>
  <c r="T34" i="878"/>
  <c r="S34" i="878"/>
  <c r="R34" i="878"/>
  <c r="M34" i="878"/>
  <c r="Z33" i="878"/>
  <c r="Y33" i="878"/>
  <c r="X33" i="878"/>
  <c r="W33" i="878"/>
  <c r="V33" i="878"/>
  <c r="U33" i="878"/>
  <c r="T33" i="878"/>
  <c r="S33" i="878"/>
  <c r="R33" i="878"/>
  <c r="M33" i="878"/>
  <c r="L33" i="878"/>
  <c r="K33" i="878"/>
  <c r="Z32" i="878"/>
  <c r="Y32" i="878"/>
  <c r="X32" i="878"/>
  <c r="W32" i="878"/>
  <c r="V32" i="878"/>
  <c r="U32" i="878"/>
  <c r="T32" i="878"/>
  <c r="S32" i="878"/>
  <c r="R32" i="878"/>
  <c r="M32" i="878"/>
  <c r="Z31" i="878"/>
  <c r="Y31" i="878"/>
  <c r="X31" i="878"/>
  <c r="W31" i="878"/>
  <c r="V31" i="878"/>
  <c r="U31" i="878"/>
  <c r="T31" i="878"/>
  <c r="S31" i="878"/>
  <c r="R31" i="878"/>
  <c r="Z30" i="878"/>
  <c r="Y30" i="878"/>
  <c r="X30" i="878"/>
  <c r="W30" i="878"/>
  <c r="V30" i="878"/>
  <c r="U30" i="878"/>
  <c r="T30" i="878"/>
  <c r="S30" i="878"/>
  <c r="R30" i="878"/>
  <c r="M30" i="878"/>
  <c r="L30" i="878"/>
  <c r="K30" i="878"/>
  <c r="Z29" i="878"/>
  <c r="Y29" i="878"/>
  <c r="X29" i="878"/>
  <c r="W29" i="878"/>
  <c r="V29" i="878"/>
  <c r="U29" i="878"/>
  <c r="T29" i="878"/>
  <c r="S29" i="878"/>
  <c r="R29" i="878"/>
  <c r="Z28" i="878"/>
  <c r="Y28" i="878"/>
  <c r="X28" i="878"/>
  <c r="W28" i="878"/>
  <c r="V28" i="878"/>
  <c r="U28" i="878"/>
  <c r="T28" i="878"/>
  <c r="S28" i="878"/>
  <c r="R28" i="878"/>
  <c r="M28" i="878"/>
  <c r="L28" i="878"/>
  <c r="K28" i="878"/>
  <c r="M27" i="878"/>
  <c r="L27" i="878"/>
  <c r="K27" i="878"/>
  <c r="B27" i="878"/>
  <c r="X27" i="878" s="1"/>
  <c r="Z11" i="878"/>
  <c r="Y11" i="878"/>
  <c r="X11" i="878"/>
  <c r="W11" i="878"/>
  <c r="V11" i="878"/>
  <c r="U11" i="878"/>
  <c r="T11" i="878"/>
  <c r="S11" i="878"/>
  <c r="R11" i="878"/>
  <c r="Z10" i="878"/>
  <c r="Y10" i="878"/>
  <c r="X10" i="878"/>
  <c r="W10" i="878"/>
  <c r="V10" i="878"/>
  <c r="U10" i="878"/>
  <c r="T10" i="878"/>
  <c r="S10" i="878"/>
  <c r="R10" i="878"/>
  <c r="M29" i="877"/>
  <c r="L29" i="877"/>
  <c r="K29" i="877"/>
  <c r="L31" i="877"/>
  <c r="K31" i="877"/>
  <c r="J10" i="878" l="1"/>
  <c r="J11" i="878"/>
  <c r="K34" i="879"/>
  <c r="S24" i="879"/>
  <c r="U24" i="879"/>
  <c r="V24" i="879"/>
  <c r="X24" i="879"/>
  <c r="Y24" i="879"/>
  <c r="R24" i="879"/>
  <c r="T24" i="879"/>
  <c r="W24" i="879"/>
  <c r="K37" i="878"/>
  <c r="S27" i="878"/>
  <c r="V27" i="878"/>
  <c r="W27" i="878"/>
  <c r="U27" i="878"/>
  <c r="Y27" i="878"/>
  <c r="Z27" i="878"/>
  <c r="R27" i="878"/>
  <c r="T27" i="878"/>
  <c r="N17" i="877"/>
  <c r="N16" i="877"/>
  <c r="K15" i="877"/>
  <c r="K16" i="877"/>
  <c r="K17" i="877"/>
  <c r="K18" i="877"/>
  <c r="R14" i="877"/>
  <c r="S14" i="877"/>
  <c r="T14" i="877"/>
  <c r="U14" i="877"/>
  <c r="V14" i="877"/>
  <c r="W14" i="877"/>
  <c r="X14" i="877"/>
  <c r="Y14" i="877"/>
  <c r="Z14" i="877"/>
  <c r="R15" i="877"/>
  <c r="S15" i="877"/>
  <c r="T15" i="877"/>
  <c r="U15" i="877"/>
  <c r="V15" i="877"/>
  <c r="W15" i="877"/>
  <c r="X15" i="877"/>
  <c r="Y15" i="877"/>
  <c r="Z15" i="877"/>
  <c r="R16" i="877"/>
  <c r="S16" i="877"/>
  <c r="T16" i="877"/>
  <c r="U16" i="877"/>
  <c r="V16" i="877"/>
  <c r="W16" i="877"/>
  <c r="X16" i="877"/>
  <c r="Y16" i="877"/>
  <c r="Z16" i="877"/>
  <c r="R17" i="877"/>
  <c r="S17" i="877"/>
  <c r="T17" i="877"/>
  <c r="U17" i="877"/>
  <c r="V17" i="877"/>
  <c r="W17" i="877"/>
  <c r="X17" i="877"/>
  <c r="Y17" i="877"/>
  <c r="Z17" i="877"/>
  <c r="R18" i="877"/>
  <c r="S18" i="877"/>
  <c r="T18" i="877"/>
  <c r="U18" i="877"/>
  <c r="V18" i="877"/>
  <c r="W18" i="877"/>
  <c r="X18" i="877"/>
  <c r="Y18" i="877"/>
  <c r="Z18" i="877"/>
  <c r="R19" i="877"/>
  <c r="S19" i="877"/>
  <c r="T19" i="877"/>
  <c r="U19" i="877"/>
  <c r="V19" i="877"/>
  <c r="W19" i="877"/>
  <c r="X19" i="877"/>
  <c r="Y19" i="877"/>
  <c r="Z19" i="877"/>
  <c r="R20" i="877"/>
  <c r="S20" i="877"/>
  <c r="T20" i="877"/>
  <c r="U20" i="877"/>
  <c r="V20" i="877"/>
  <c r="W20" i="877"/>
  <c r="X20" i="877"/>
  <c r="Y20" i="877"/>
  <c r="Z20" i="877"/>
  <c r="R21" i="877"/>
  <c r="S21" i="877"/>
  <c r="T21" i="877"/>
  <c r="U21" i="877"/>
  <c r="V21" i="877"/>
  <c r="W21" i="877"/>
  <c r="X21" i="877"/>
  <c r="Y21" i="877"/>
  <c r="Z21" i="877"/>
  <c r="R22" i="877"/>
  <c r="S22" i="877"/>
  <c r="T22" i="877"/>
  <c r="U22" i="877"/>
  <c r="V22" i="877"/>
  <c r="W22" i="877"/>
  <c r="X22" i="877"/>
  <c r="Y22" i="877"/>
  <c r="Z22" i="877"/>
  <c r="R23" i="877"/>
  <c r="S23" i="877"/>
  <c r="T23" i="877"/>
  <c r="U23" i="877"/>
  <c r="V23" i="877"/>
  <c r="W23" i="877"/>
  <c r="X23" i="877"/>
  <c r="Y23" i="877"/>
  <c r="Z23" i="877"/>
  <c r="R24" i="877"/>
  <c r="S24" i="877"/>
  <c r="T24" i="877"/>
  <c r="U24" i="877"/>
  <c r="V24" i="877"/>
  <c r="W24" i="877"/>
  <c r="X24" i="877"/>
  <c r="Y24" i="877"/>
  <c r="Z24" i="877"/>
  <c r="R25" i="877"/>
  <c r="S25" i="877"/>
  <c r="T25" i="877"/>
  <c r="U25" i="877"/>
  <c r="V25" i="877"/>
  <c r="W25" i="877"/>
  <c r="X25" i="877"/>
  <c r="Y25" i="877"/>
  <c r="Z25" i="877"/>
  <c r="R26" i="877"/>
  <c r="S26" i="877"/>
  <c r="T26" i="877"/>
  <c r="U26" i="877"/>
  <c r="V26" i="877"/>
  <c r="W26" i="877"/>
  <c r="X26" i="877"/>
  <c r="Y26" i="877"/>
  <c r="Z26" i="877"/>
  <c r="R27" i="877"/>
  <c r="S27" i="877"/>
  <c r="T27" i="877"/>
  <c r="U27" i="877"/>
  <c r="V27" i="877"/>
  <c r="W27" i="877"/>
  <c r="X27" i="877"/>
  <c r="Y27" i="877"/>
  <c r="Z27" i="877"/>
  <c r="C15" i="877"/>
  <c r="D15" i="877"/>
  <c r="E15" i="877"/>
  <c r="F15" i="877"/>
  <c r="G15" i="877"/>
  <c r="L15" i="877"/>
  <c r="M15" i="877"/>
  <c r="N15" i="877"/>
  <c r="O15" i="877"/>
  <c r="C16" i="877"/>
  <c r="D16" i="877"/>
  <c r="E16" i="877"/>
  <c r="F16" i="877"/>
  <c r="G16" i="877"/>
  <c r="L16" i="877"/>
  <c r="M16" i="877"/>
  <c r="O16" i="877"/>
  <c r="C17" i="877"/>
  <c r="D17" i="877"/>
  <c r="E17" i="877"/>
  <c r="F17" i="877"/>
  <c r="G17" i="877"/>
  <c r="L17" i="877"/>
  <c r="M17" i="877"/>
  <c r="O17" i="877"/>
  <c r="C18" i="877"/>
  <c r="D18" i="877"/>
  <c r="E18" i="877"/>
  <c r="F18" i="877"/>
  <c r="G18" i="877"/>
  <c r="L18" i="877"/>
  <c r="M18" i="877"/>
  <c r="N18" i="877"/>
  <c r="O18" i="877"/>
  <c r="I10" i="879" l="1"/>
  <c r="I10" i="878"/>
  <c r="J11" i="879"/>
  <c r="J10" i="879"/>
  <c r="J17" i="877"/>
  <c r="J15" i="877"/>
  <c r="J16" i="877"/>
  <c r="I18" i="877"/>
  <c r="J18" i="877"/>
  <c r="I16" i="877"/>
  <c r="B29" i="877"/>
  <c r="V29" i="877" s="1"/>
  <c r="R10" i="877"/>
  <c r="S10" i="877"/>
  <c r="T10" i="877"/>
  <c r="U10" i="877"/>
  <c r="V10" i="877"/>
  <c r="W10" i="877"/>
  <c r="X10" i="877"/>
  <c r="Y10" i="877"/>
  <c r="Z10" i="877"/>
  <c r="R11" i="877"/>
  <c r="S11" i="877"/>
  <c r="T11" i="877"/>
  <c r="U11" i="877"/>
  <c r="V11" i="877"/>
  <c r="W11" i="877"/>
  <c r="X11" i="877"/>
  <c r="Y11" i="877"/>
  <c r="Z11" i="877"/>
  <c r="R12" i="877"/>
  <c r="S12" i="877"/>
  <c r="T12" i="877"/>
  <c r="U12" i="877"/>
  <c r="V12" i="877"/>
  <c r="W12" i="877"/>
  <c r="X12" i="877"/>
  <c r="Y12" i="877"/>
  <c r="Z12" i="877"/>
  <c r="R13" i="877"/>
  <c r="S13" i="877"/>
  <c r="T13" i="877"/>
  <c r="U13" i="877"/>
  <c r="V13" i="877"/>
  <c r="W13" i="877"/>
  <c r="X13" i="877"/>
  <c r="Y13" i="877"/>
  <c r="Z13" i="877"/>
  <c r="L10" i="877"/>
  <c r="M10" i="877"/>
  <c r="O10" i="877"/>
  <c r="M11" i="877"/>
  <c r="O11" i="877"/>
  <c r="L12" i="877"/>
  <c r="M12" i="877"/>
  <c r="O12" i="877"/>
  <c r="L13" i="877"/>
  <c r="M13" i="877"/>
  <c r="O13" i="877"/>
  <c r="C13" i="877"/>
  <c r="D13" i="877"/>
  <c r="E13" i="877"/>
  <c r="F13" i="877"/>
  <c r="G13" i="877"/>
  <c r="C10" i="877"/>
  <c r="D10" i="877"/>
  <c r="E10" i="877"/>
  <c r="F10" i="877"/>
  <c r="G10" i="877"/>
  <c r="C11" i="877"/>
  <c r="D11" i="877"/>
  <c r="E11" i="877"/>
  <c r="F11" i="877"/>
  <c r="G11" i="877"/>
  <c r="C12" i="877"/>
  <c r="D12" i="877"/>
  <c r="E12" i="877"/>
  <c r="F12" i="877"/>
  <c r="G12" i="877"/>
  <c r="F74" i="877"/>
  <c r="L64" i="877"/>
  <c r="L60" i="877"/>
  <c r="AX58" i="877"/>
  <c r="AW58" i="877"/>
  <c r="AV58" i="877"/>
  <c r="AU58" i="877"/>
  <c r="AT58" i="877"/>
  <c r="AS58" i="877"/>
  <c r="AR58" i="877"/>
  <c r="AQ58" i="877"/>
  <c r="AP58" i="877"/>
  <c r="AO58" i="877"/>
  <c r="AN58" i="877"/>
  <c r="AM58" i="877"/>
  <c r="AL58" i="877"/>
  <c r="AK58" i="877"/>
  <c r="AJ58" i="877"/>
  <c r="AI58" i="877"/>
  <c r="AH58" i="877"/>
  <c r="AG58" i="877"/>
  <c r="AF58" i="877"/>
  <c r="AE58" i="877"/>
  <c r="AD58" i="877"/>
  <c r="AC58" i="877"/>
  <c r="AB58" i="877"/>
  <c r="Z40" i="877"/>
  <c r="Y40" i="877"/>
  <c r="X40" i="877"/>
  <c r="W40" i="877"/>
  <c r="V40" i="877"/>
  <c r="U40" i="877"/>
  <c r="T40" i="877"/>
  <c r="S40" i="877"/>
  <c r="R40" i="877"/>
  <c r="Z39" i="877"/>
  <c r="Y39" i="877"/>
  <c r="X39" i="877"/>
  <c r="W39" i="877"/>
  <c r="V39" i="877"/>
  <c r="U39" i="877"/>
  <c r="T39" i="877"/>
  <c r="S39" i="877"/>
  <c r="R39" i="877"/>
  <c r="Z38" i="877"/>
  <c r="Y38" i="877"/>
  <c r="X38" i="877"/>
  <c r="W38" i="877"/>
  <c r="V38" i="877"/>
  <c r="U38" i="877"/>
  <c r="T38" i="877"/>
  <c r="S38" i="877"/>
  <c r="R38" i="877"/>
  <c r="M38" i="877"/>
  <c r="Z37" i="877"/>
  <c r="Y37" i="877"/>
  <c r="X37" i="877"/>
  <c r="W37" i="877"/>
  <c r="V37" i="877"/>
  <c r="U37" i="877"/>
  <c r="T37" i="877"/>
  <c r="S37" i="877"/>
  <c r="R37" i="877"/>
  <c r="M37" i="877"/>
  <c r="Z36" i="877"/>
  <c r="Y36" i="877"/>
  <c r="X36" i="877"/>
  <c r="W36" i="877"/>
  <c r="V36" i="877"/>
  <c r="U36" i="877"/>
  <c r="T36" i="877"/>
  <c r="S36" i="877"/>
  <c r="R36" i="877"/>
  <c r="M36" i="877"/>
  <c r="Z35" i="877"/>
  <c r="Y35" i="877"/>
  <c r="X35" i="877"/>
  <c r="W35" i="877"/>
  <c r="V35" i="877"/>
  <c r="U35" i="877"/>
  <c r="T35" i="877"/>
  <c r="S35" i="877"/>
  <c r="R35" i="877"/>
  <c r="M35" i="877"/>
  <c r="L35" i="877"/>
  <c r="K35" i="877"/>
  <c r="Z34" i="877"/>
  <c r="Y34" i="877"/>
  <c r="X34" i="877"/>
  <c r="W34" i="877"/>
  <c r="V34" i="877"/>
  <c r="U34" i="877"/>
  <c r="T34" i="877"/>
  <c r="S34" i="877"/>
  <c r="R34" i="877"/>
  <c r="M34" i="877"/>
  <c r="Z33" i="877"/>
  <c r="Y33" i="877"/>
  <c r="X33" i="877"/>
  <c r="W33" i="877"/>
  <c r="V33" i="877"/>
  <c r="U33" i="877"/>
  <c r="T33" i="877"/>
  <c r="S33" i="877"/>
  <c r="R33" i="877"/>
  <c r="Z32" i="877"/>
  <c r="Y32" i="877"/>
  <c r="X32" i="877"/>
  <c r="W32" i="877"/>
  <c r="V32" i="877"/>
  <c r="U32" i="877"/>
  <c r="T32" i="877"/>
  <c r="S32" i="877"/>
  <c r="R32" i="877"/>
  <c r="M32" i="877"/>
  <c r="L32" i="877"/>
  <c r="K32" i="877"/>
  <c r="Z31" i="877"/>
  <c r="Y31" i="877"/>
  <c r="X31" i="877"/>
  <c r="W31" i="877"/>
  <c r="V31" i="877"/>
  <c r="U31" i="877"/>
  <c r="T31" i="877"/>
  <c r="S31" i="877"/>
  <c r="R31" i="877"/>
  <c r="Z30" i="877"/>
  <c r="Y30" i="877"/>
  <c r="X30" i="877"/>
  <c r="W30" i="877"/>
  <c r="V30" i="877"/>
  <c r="U30" i="877"/>
  <c r="T30" i="877"/>
  <c r="S30" i="877"/>
  <c r="R30" i="877"/>
  <c r="M30" i="877"/>
  <c r="L30" i="877"/>
  <c r="K30" i="877"/>
  <c r="X29" i="877"/>
  <c r="W29" i="877"/>
  <c r="S29" i="877"/>
  <c r="R29" i="877"/>
  <c r="Z28" i="877"/>
  <c r="Y28" i="877"/>
  <c r="X28" i="877"/>
  <c r="W28" i="877"/>
  <c r="V28" i="877"/>
  <c r="U28" i="877"/>
  <c r="T28" i="877"/>
  <c r="S28" i="877"/>
  <c r="R28" i="877"/>
  <c r="M29" i="878" l="1"/>
  <c r="I11" i="878"/>
  <c r="J29" i="878" s="1"/>
  <c r="L34" i="879"/>
  <c r="M34" i="879" s="1"/>
  <c r="L29" i="878"/>
  <c r="L37" i="878" s="1"/>
  <c r="M37" i="878" s="1"/>
  <c r="I11" i="879"/>
  <c r="J26" i="879" s="1"/>
  <c r="I15" i="877"/>
  <c r="I17" i="877"/>
  <c r="Y29" i="877"/>
  <c r="Z29" i="877"/>
  <c r="T29" i="877"/>
  <c r="U29" i="877"/>
  <c r="K39" i="877"/>
  <c r="L39" i="877" s="1"/>
  <c r="M39" i="877" s="1"/>
  <c r="K53" i="877"/>
  <c r="K44" i="876"/>
  <c r="M29" i="876"/>
  <c r="L29" i="876"/>
  <c r="K29" i="876"/>
  <c r="M30" i="876"/>
  <c r="L30" i="876"/>
  <c r="K30" i="876"/>
  <c r="C16" i="876"/>
  <c r="D16" i="876"/>
  <c r="E16" i="876"/>
  <c r="F16" i="876"/>
  <c r="G16" i="876"/>
  <c r="I16" i="876"/>
  <c r="J16" i="876"/>
  <c r="L16" i="876"/>
  <c r="M16" i="876"/>
  <c r="N16" i="876"/>
  <c r="O16" i="876"/>
  <c r="C17" i="876"/>
  <c r="D17" i="876"/>
  <c r="E17" i="876"/>
  <c r="F17" i="876"/>
  <c r="G17" i="876"/>
  <c r="I17" i="876"/>
  <c r="J17" i="876"/>
  <c r="L17" i="876"/>
  <c r="M17" i="876"/>
  <c r="N17" i="876"/>
  <c r="O17" i="876"/>
  <c r="C18" i="876"/>
  <c r="D18" i="876"/>
  <c r="E18" i="876"/>
  <c r="F18" i="876"/>
  <c r="G18" i="876"/>
  <c r="I18" i="876"/>
  <c r="J18" i="876"/>
  <c r="L18" i="876"/>
  <c r="M18" i="876"/>
  <c r="N18" i="876"/>
  <c r="O18" i="876"/>
  <c r="C20" i="876"/>
  <c r="D20" i="876"/>
  <c r="E20" i="876"/>
  <c r="F20" i="876"/>
  <c r="G20" i="876"/>
  <c r="I20" i="876"/>
  <c r="J20" i="876"/>
  <c r="L20" i="876"/>
  <c r="M20" i="876"/>
  <c r="N20" i="876"/>
  <c r="O20" i="876"/>
  <c r="I11" i="876"/>
  <c r="J11" i="876"/>
  <c r="K11" i="876"/>
  <c r="L11" i="876"/>
  <c r="M11" i="876"/>
  <c r="N11" i="876"/>
  <c r="O11" i="876"/>
  <c r="I12" i="876"/>
  <c r="J12" i="876"/>
  <c r="K12" i="876"/>
  <c r="L12" i="876"/>
  <c r="M12" i="876"/>
  <c r="N12" i="876"/>
  <c r="O12" i="876"/>
  <c r="I13" i="876"/>
  <c r="J13" i="876"/>
  <c r="K13" i="876"/>
  <c r="L13" i="876"/>
  <c r="M13" i="876"/>
  <c r="N13" i="876"/>
  <c r="O13" i="876"/>
  <c r="I14" i="876"/>
  <c r="J14" i="876"/>
  <c r="K14" i="876"/>
  <c r="L14" i="876"/>
  <c r="M14" i="876"/>
  <c r="N14" i="876"/>
  <c r="O14" i="876"/>
  <c r="C11" i="876"/>
  <c r="D11" i="876"/>
  <c r="E11" i="876"/>
  <c r="F11" i="876"/>
  <c r="G11" i="876"/>
  <c r="C12" i="876"/>
  <c r="D12" i="876"/>
  <c r="E12" i="876"/>
  <c r="F12" i="876"/>
  <c r="G12" i="876"/>
  <c r="C13" i="876"/>
  <c r="D13" i="876"/>
  <c r="E13" i="876"/>
  <c r="F13" i="876"/>
  <c r="G13" i="876"/>
  <c r="C14" i="876"/>
  <c r="D14" i="876"/>
  <c r="E14" i="876"/>
  <c r="F14" i="876"/>
  <c r="G14" i="876"/>
  <c r="R13" i="876"/>
  <c r="S13" i="876"/>
  <c r="T13" i="876"/>
  <c r="U13" i="876"/>
  <c r="V13" i="876"/>
  <c r="W13" i="876"/>
  <c r="X13" i="876"/>
  <c r="Y13" i="876"/>
  <c r="Z13" i="876"/>
  <c r="R14" i="876"/>
  <c r="S14" i="876"/>
  <c r="T14" i="876"/>
  <c r="U14" i="876"/>
  <c r="V14" i="876"/>
  <c r="W14" i="876"/>
  <c r="X14" i="876"/>
  <c r="Y14" i="876"/>
  <c r="Z14" i="876"/>
  <c r="R15" i="876"/>
  <c r="S15" i="876"/>
  <c r="T15" i="876"/>
  <c r="U15" i="876"/>
  <c r="V15" i="876"/>
  <c r="W15" i="876"/>
  <c r="X15" i="876"/>
  <c r="Y15" i="876"/>
  <c r="Z15" i="876"/>
  <c r="R16" i="876"/>
  <c r="S16" i="876"/>
  <c r="T16" i="876"/>
  <c r="U16" i="876"/>
  <c r="V16" i="876"/>
  <c r="W16" i="876"/>
  <c r="X16" i="876"/>
  <c r="Y16" i="876"/>
  <c r="Z16" i="876"/>
  <c r="R17" i="876"/>
  <c r="S17" i="876"/>
  <c r="T17" i="876"/>
  <c r="U17" i="876"/>
  <c r="V17" i="876"/>
  <c r="W17" i="876"/>
  <c r="X17" i="876"/>
  <c r="Y17" i="876"/>
  <c r="Z17" i="876"/>
  <c r="R18" i="876"/>
  <c r="S18" i="876"/>
  <c r="T18" i="876"/>
  <c r="U18" i="876"/>
  <c r="V18" i="876"/>
  <c r="W18" i="876"/>
  <c r="X18" i="876"/>
  <c r="Y18" i="876"/>
  <c r="Z18" i="876"/>
  <c r="R20" i="876"/>
  <c r="S20" i="876"/>
  <c r="T20" i="876"/>
  <c r="U20" i="876"/>
  <c r="V20" i="876"/>
  <c r="W20" i="876"/>
  <c r="X20" i="876"/>
  <c r="Y20" i="876"/>
  <c r="Z20" i="876"/>
  <c r="R21" i="876"/>
  <c r="S21" i="876"/>
  <c r="T21" i="876"/>
  <c r="U21" i="876"/>
  <c r="V21" i="876"/>
  <c r="W21" i="876"/>
  <c r="X21" i="876"/>
  <c r="Y21" i="876"/>
  <c r="Z21" i="876"/>
  <c r="R22" i="876"/>
  <c r="S22" i="876"/>
  <c r="T22" i="876"/>
  <c r="U22" i="876"/>
  <c r="V22" i="876"/>
  <c r="W22" i="876"/>
  <c r="X22" i="876"/>
  <c r="Y22" i="876"/>
  <c r="Z22" i="876"/>
  <c r="R23" i="876"/>
  <c r="S23" i="876"/>
  <c r="T23" i="876"/>
  <c r="U23" i="876"/>
  <c r="V23" i="876"/>
  <c r="W23" i="876"/>
  <c r="X23" i="876"/>
  <c r="Y23" i="876"/>
  <c r="Z23" i="876"/>
  <c r="R24" i="876"/>
  <c r="S24" i="876"/>
  <c r="T24" i="876"/>
  <c r="U24" i="876"/>
  <c r="V24" i="876"/>
  <c r="W24" i="876"/>
  <c r="X24" i="876"/>
  <c r="Y24" i="876"/>
  <c r="Z24" i="876"/>
  <c r="R25" i="876"/>
  <c r="S25" i="876"/>
  <c r="T25" i="876"/>
  <c r="U25" i="876"/>
  <c r="V25" i="876"/>
  <c r="W25" i="876"/>
  <c r="X25" i="876"/>
  <c r="Y25" i="876"/>
  <c r="Z25" i="876"/>
  <c r="F74" i="876"/>
  <c r="L64" i="876"/>
  <c r="L60" i="876"/>
  <c r="AX58" i="876"/>
  <c r="AW58" i="876"/>
  <c r="AV58" i="876"/>
  <c r="AU58" i="876"/>
  <c r="AT58" i="876"/>
  <c r="AS58" i="876"/>
  <c r="AR58" i="876"/>
  <c r="AQ58" i="876"/>
  <c r="AP58" i="876"/>
  <c r="AO58" i="876"/>
  <c r="AN58" i="876"/>
  <c r="AM58" i="876"/>
  <c r="AL58" i="876"/>
  <c r="AK58" i="876"/>
  <c r="AJ58" i="876"/>
  <c r="AI58" i="876"/>
  <c r="AH58" i="876"/>
  <c r="AG58" i="876"/>
  <c r="AF58" i="876"/>
  <c r="AE58" i="876"/>
  <c r="AD58" i="876"/>
  <c r="AC58" i="876"/>
  <c r="AB58" i="876"/>
  <c r="Z40" i="876"/>
  <c r="Y40" i="876"/>
  <c r="X40" i="876"/>
  <c r="W40" i="876"/>
  <c r="V40" i="876"/>
  <c r="U40" i="876"/>
  <c r="T40" i="876"/>
  <c r="S40" i="876"/>
  <c r="R40" i="876"/>
  <c r="Z39" i="876"/>
  <c r="Y39" i="876"/>
  <c r="X39" i="876"/>
  <c r="W39" i="876"/>
  <c r="V39" i="876"/>
  <c r="U39" i="876"/>
  <c r="T39" i="876"/>
  <c r="S39" i="876"/>
  <c r="R39" i="876"/>
  <c r="Z38" i="876"/>
  <c r="Y38" i="876"/>
  <c r="X38" i="876"/>
  <c r="W38" i="876"/>
  <c r="V38" i="876"/>
  <c r="U38" i="876"/>
  <c r="T38" i="876"/>
  <c r="S38" i="876"/>
  <c r="R38" i="876"/>
  <c r="M38" i="876"/>
  <c r="Z37" i="876"/>
  <c r="Y37" i="876"/>
  <c r="X37" i="876"/>
  <c r="W37" i="876"/>
  <c r="V37" i="876"/>
  <c r="U37" i="876"/>
  <c r="T37" i="876"/>
  <c r="S37" i="876"/>
  <c r="R37" i="876"/>
  <c r="M37" i="876"/>
  <c r="Z36" i="876"/>
  <c r="Y36" i="876"/>
  <c r="X36" i="876"/>
  <c r="W36" i="876"/>
  <c r="V36" i="876"/>
  <c r="U36" i="876"/>
  <c r="T36" i="876"/>
  <c r="S36" i="876"/>
  <c r="R36" i="876"/>
  <c r="M36" i="876"/>
  <c r="Z35" i="876"/>
  <c r="Y35" i="876"/>
  <c r="X35" i="876"/>
  <c r="W35" i="876"/>
  <c r="V35" i="876"/>
  <c r="U35" i="876"/>
  <c r="T35" i="876"/>
  <c r="S35" i="876"/>
  <c r="R35" i="876"/>
  <c r="M35" i="876"/>
  <c r="L35" i="876"/>
  <c r="K35" i="876"/>
  <c r="Z34" i="876"/>
  <c r="Y34" i="876"/>
  <c r="X34" i="876"/>
  <c r="W34" i="876"/>
  <c r="V34" i="876"/>
  <c r="U34" i="876"/>
  <c r="T34" i="876"/>
  <c r="S34" i="876"/>
  <c r="R34" i="876"/>
  <c r="M34" i="876"/>
  <c r="Z33" i="876"/>
  <c r="Y33" i="876"/>
  <c r="X33" i="876"/>
  <c r="W33" i="876"/>
  <c r="V33" i="876"/>
  <c r="U33" i="876"/>
  <c r="T33" i="876"/>
  <c r="S33" i="876"/>
  <c r="R33" i="876"/>
  <c r="Z32" i="876"/>
  <c r="Y32" i="876"/>
  <c r="X32" i="876"/>
  <c r="W32" i="876"/>
  <c r="V32" i="876"/>
  <c r="U32" i="876"/>
  <c r="T32" i="876"/>
  <c r="S32" i="876"/>
  <c r="R32" i="876"/>
  <c r="M32" i="876"/>
  <c r="L32" i="876"/>
  <c r="K32" i="876"/>
  <c r="Z31" i="876"/>
  <c r="Y31" i="876"/>
  <c r="X31" i="876"/>
  <c r="W31" i="876"/>
  <c r="V31" i="876"/>
  <c r="U31" i="876"/>
  <c r="T31" i="876"/>
  <c r="S31" i="876"/>
  <c r="R31" i="876"/>
  <c r="Z30" i="876"/>
  <c r="Y30" i="876"/>
  <c r="X30" i="876"/>
  <c r="W30" i="876"/>
  <c r="V30" i="876"/>
  <c r="U30" i="876"/>
  <c r="T30" i="876"/>
  <c r="S30" i="876"/>
  <c r="R30" i="876"/>
  <c r="Y29" i="876"/>
  <c r="Z28" i="876"/>
  <c r="Y28" i="876"/>
  <c r="X28" i="876"/>
  <c r="W28" i="876"/>
  <c r="V28" i="876"/>
  <c r="U28" i="876"/>
  <c r="T28" i="876"/>
  <c r="S28" i="876"/>
  <c r="R28" i="876"/>
  <c r="Z27" i="876"/>
  <c r="Y27" i="876"/>
  <c r="X27" i="876"/>
  <c r="W27" i="876"/>
  <c r="V27" i="876"/>
  <c r="U27" i="876"/>
  <c r="T27" i="876"/>
  <c r="S27" i="876"/>
  <c r="R27" i="876"/>
  <c r="Z26" i="876"/>
  <c r="Y26" i="876"/>
  <c r="X26" i="876"/>
  <c r="W26" i="876"/>
  <c r="V26" i="876"/>
  <c r="U26" i="876"/>
  <c r="T26" i="876"/>
  <c r="S26" i="876"/>
  <c r="R26" i="876"/>
  <c r="Z12" i="876"/>
  <c r="Y12" i="876"/>
  <c r="X12" i="876"/>
  <c r="W12" i="876"/>
  <c r="V12" i="876"/>
  <c r="U12" i="876"/>
  <c r="T12" i="876"/>
  <c r="S12" i="876"/>
  <c r="R12" i="876"/>
  <c r="Z11" i="876"/>
  <c r="Y11" i="876"/>
  <c r="X11" i="876"/>
  <c r="W11" i="876"/>
  <c r="V11" i="876"/>
  <c r="U11" i="876"/>
  <c r="T11" i="876"/>
  <c r="S11" i="876"/>
  <c r="R11" i="876"/>
  <c r="Z10" i="876"/>
  <c r="Y10" i="876"/>
  <c r="X10" i="876"/>
  <c r="W10" i="876"/>
  <c r="V10" i="876"/>
  <c r="U10" i="876"/>
  <c r="T10" i="876"/>
  <c r="S10" i="876"/>
  <c r="R10" i="876"/>
  <c r="O10" i="876"/>
  <c r="N10" i="876"/>
  <c r="M10" i="876"/>
  <c r="L10" i="876"/>
  <c r="K10" i="876"/>
  <c r="J10" i="876"/>
  <c r="I10" i="876"/>
  <c r="G10" i="876"/>
  <c r="F10" i="876"/>
  <c r="E10" i="876"/>
  <c r="D10" i="876"/>
  <c r="C10" i="876"/>
  <c r="J31" i="877" l="1"/>
  <c r="K43" i="876"/>
  <c r="K53" i="876" s="1"/>
  <c r="J30" i="876"/>
  <c r="J29" i="876"/>
  <c r="K39" i="876"/>
  <c r="L39" i="876" s="1"/>
  <c r="M39" i="876" s="1"/>
  <c r="Z29" i="876"/>
  <c r="R29" i="876"/>
  <c r="S29" i="876"/>
  <c r="T29" i="876"/>
  <c r="U29" i="876"/>
  <c r="W29" i="876"/>
  <c r="V29" i="876"/>
  <c r="X29" i="876"/>
  <c r="C31" i="874" l="1" a="1"/>
  <c r="C31" i="874" s="1"/>
  <c r="M23" i="874"/>
  <c r="L23" i="874"/>
  <c r="K23" i="874"/>
  <c r="B72" i="875"/>
  <c r="K47" i="874"/>
  <c r="K61" i="875"/>
  <c r="J61" i="875"/>
  <c r="M38" i="875"/>
  <c r="L38" i="875"/>
  <c r="K38" i="875"/>
  <c r="M37" i="875"/>
  <c r="L37" i="875"/>
  <c r="K37" i="875"/>
  <c r="R17" i="875"/>
  <c r="S17" i="875"/>
  <c r="T17" i="875"/>
  <c r="U17" i="875"/>
  <c r="V17" i="875"/>
  <c r="W17" i="875"/>
  <c r="X17" i="875"/>
  <c r="Y17" i="875"/>
  <c r="Z17" i="875"/>
  <c r="R18" i="875"/>
  <c r="S18" i="875"/>
  <c r="T18" i="875"/>
  <c r="U18" i="875"/>
  <c r="V18" i="875"/>
  <c r="W18" i="875"/>
  <c r="X18" i="875"/>
  <c r="Y18" i="875"/>
  <c r="Z18" i="875"/>
  <c r="R19" i="875"/>
  <c r="S19" i="875"/>
  <c r="T19" i="875"/>
  <c r="U19" i="875"/>
  <c r="V19" i="875"/>
  <c r="W19" i="875"/>
  <c r="X19" i="875"/>
  <c r="Y19" i="875"/>
  <c r="Z19" i="875"/>
  <c r="R20" i="875"/>
  <c r="S20" i="875"/>
  <c r="T20" i="875"/>
  <c r="U20" i="875"/>
  <c r="V20" i="875"/>
  <c r="W20" i="875"/>
  <c r="X20" i="875"/>
  <c r="Y20" i="875"/>
  <c r="Z20" i="875"/>
  <c r="R21" i="875"/>
  <c r="S21" i="875"/>
  <c r="T21" i="875"/>
  <c r="U21" i="875"/>
  <c r="V21" i="875"/>
  <c r="W21" i="875"/>
  <c r="X21" i="875"/>
  <c r="Y21" i="875"/>
  <c r="Z21" i="875"/>
  <c r="R22" i="875"/>
  <c r="S22" i="875"/>
  <c r="T22" i="875"/>
  <c r="U22" i="875"/>
  <c r="V22" i="875"/>
  <c r="W22" i="875"/>
  <c r="X22" i="875"/>
  <c r="Y22" i="875"/>
  <c r="Z22" i="875"/>
  <c r="R23" i="875"/>
  <c r="S23" i="875"/>
  <c r="T23" i="875"/>
  <c r="U23" i="875"/>
  <c r="V23" i="875"/>
  <c r="W23" i="875"/>
  <c r="X23" i="875"/>
  <c r="Y23" i="875"/>
  <c r="Z23" i="875"/>
  <c r="R24" i="875"/>
  <c r="S24" i="875"/>
  <c r="T24" i="875"/>
  <c r="U24" i="875"/>
  <c r="V24" i="875"/>
  <c r="W24" i="875"/>
  <c r="X24" i="875"/>
  <c r="Y24" i="875"/>
  <c r="Z24" i="875"/>
  <c r="R25" i="875"/>
  <c r="S25" i="875"/>
  <c r="T25" i="875"/>
  <c r="U25" i="875"/>
  <c r="V25" i="875"/>
  <c r="W25" i="875"/>
  <c r="X25" i="875"/>
  <c r="Y25" i="875"/>
  <c r="Z25" i="875"/>
  <c r="R26" i="875"/>
  <c r="S26" i="875"/>
  <c r="T26" i="875"/>
  <c r="U26" i="875"/>
  <c r="V26" i="875"/>
  <c r="W26" i="875"/>
  <c r="X26" i="875"/>
  <c r="Y26" i="875"/>
  <c r="Z26" i="875"/>
  <c r="R27" i="875"/>
  <c r="S27" i="875"/>
  <c r="T27" i="875"/>
  <c r="U27" i="875"/>
  <c r="V27" i="875"/>
  <c r="W27" i="875"/>
  <c r="X27" i="875"/>
  <c r="Y27" i="875"/>
  <c r="Z27" i="875"/>
  <c r="R28" i="875"/>
  <c r="S28" i="875"/>
  <c r="T28" i="875"/>
  <c r="U28" i="875"/>
  <c r="V28" i="875"/>
  <c r="W28" i="875"/>
  <c r="X28" i="875"/>
  <c r="Y28" i="875"/>
  <c r="Z28" i="875"/>
  <c r="R29" i="875"/>
  <c r="S29" i="875"/>
  <c r="T29" i="875"/>
  <c r="U29" i="875"/>
  <c r="V29" i="875"/>
  <c r="W29" i="875"/>
  <c r="X29" i="875"/>
  <c r="Y29" i="875"/>
  <c r="Z29" i="875"/>
  <c r="R30" i="875"/>
  <c r="S30" i="875"/>
  <c r="T30" i="875"/>
  <c r="U30" i="875"/>
  <c r="V30" i="875"/>
  <c r="W30" i="875"/>
  <c r="X30" i="875"/>
  <c r="Y30" i="875"/>
  <c r="Z30" i="875"/>
  <c r="R31" i="875"/>
  <c r="S31" i="875"/>
  <c r="T31" i="875"/>
  <c r="U31" i="875"/>
  <c r="V31" i="875"/>
  <c r="W31" i="875"/>
  <c r="X31" i="875"/>
  <c r="Y31" i="875"/>
  <c r="Z31" i="875"/>
  <c r="R32" i="875"/>
  <c r="S32" i="875"/>
  <c r="T32" i="875"/>
  <c r="U32" i="875"/>
  <c r="V32" i="875"/>
  <c r="W32" i="875"/>
  <c r="X32" i="875"/>
  <c r="Y32" i="875"/>
  <c r="Z32" i="875"/>
  <c r="R33" i="875"/>
  <c r="S33" i="875"/>
  <c r="T33" i="875"/>
  <c r="U33" i="875"/>
  <c r="V33" i="875"/>
  <c r="W33" i="875"/>
  <c r="X33" i="875"/>
  <c r="Y33" i="875"/>
  <c r="Z33" i="875"/>
  <c r="R34" i="875"/>
  <c r="S34" i="875"/>
  <c r="T34" i="875"/>
  <c r="U34" i="875"/>
  <c r="V34" i="875"/>
  <c r="W34" i="875"/>
  <c r="X34" i="875"/>
  <c r="Y34" i="875"/>
  <c r="Z34" i="875"/>
  <c r="R35" i="875"/>
  <c r="S35" i="875"/>
  <c r="T35" i="875"/>
  <c r="U35" i="875"/>
  <c r="V35" i="875"/>
  <c r="W35" i="875"/>
  <c r="X35" i="875"/>
  <c r="Y35" i="875"/>
  <c r="Z35" i="875"/>
  <c r="R36" i="875"/>
  <c r="S36" i="875"/>
  <c r="T36" i="875"/>
  <c r="U36" i="875"/>
  <c r="V36" i="875"/>
  <c r="W36" i="875"/>
  <c r="X36" i="875"/>
  <c r="Y36" i="875"/>
  <c r="Z36" i="875"/>
  <c r="R38" i="875"/>
  <c r="S38" i="875"/>
  <c r="T38" i="875"/>
  <c r="U38" i="875"/>
  <c r="V38" i="875"/>
  <c r="W38" i="875"/>
  <c r="X38" i="875"/>
  <c r="Y38" i="875"/>
  <c r="Z38" i="875"/>
  <c r="R39" i="875"/>
  <c r="S39" i="875"/>
  <c r="T39" i="875"/>
  <c r="U39" i="875"/>
  <c r="V39" i="875"/>
  <c r="W39" i="875"/>
  <c r="X39" i="875"/>
  <c r="Y39" i="875"/>
  <c r="Z39" i="875"/>
  <c r="R40" i="875"/>
  <c r="S40" i="875"/>
  <c r="T40" i="875"/>
  <c r="U40" i="875"/>
  <c r="V40" i="875"/>
  <c r="W40" i="875"/>
  <c r="X40" i="875"/>
  <c r="Y40" i="875"/>
  <c r="Z40" i="875"/>
  <c r="R41" i="875"/>
  <c r="S41" i="875"/>
  <c r="T41" i="875"/>
  <c r="U41" i="875"/>
  <c r="V41" i="875"/>
  <c r="W41" i="875"/>
  <c r="X41" i="875"/>
  <c r="Y41" i="875"/>
  <c r="Z41" i="875"/>
  <c r="C19" i="875"/>
  <c r="D19" i="875"/>
  <c r="E19" i="875"/>
  <c r="F19" i="875"/>
  <c r="G19" i="875"/>
  <c r="I19" i="875"/>
  <c r="J19" i="875"/>
  <c r="K19" i="875"/>
  <c r="L19" i="875"/>
  <c r="M19" i="875"/>
  <c r="N19" i="875"/>
  <c r="O19" i="875"/>
  <c r="C20" i="875"/>
  <c r="D20" i="875"/>
  <c r="E20" i="875"/>
  <c r="F20" i="875"/>
  <c r="G20" i="875"/>
  <c r="I20" i="875"/>
  <c r="J20" i="875"/>
  <c r="K20" i="875"/>
  <c r="L20" i="875"/>
  <c r="M20" i="875"/>
  <c r="N20" i="875"/>
  <c r="O20" i="875"/>
  <c r="C21" i="875"/>
  <c r="D21" i="875"/>
  <c r="E21" i="875"/>
  <c r="F21" i="875"/>
  <c r="G21" i="875"/>
  <c r="I21" i="875"/>
  <c r="J21" i="875"/>
  <c r="K21" i="875"/>
  <c r="L21" i="875"/>
  <c r="M21" i="875"/>
  <c r="N21" i="875"/>
  <c r="O21" i="875"/>
  <c r="C22" i="875"/>
  <c r="D22" i="875"/>
  <c r="E22" i="875"/>
  <c r="F22" i="875"/>
  <c r="G22" i="875"/>
  <c r="I22" i="875"/>
  <c r="J22" i="875"/>
  <c r="K22" i="875"/>
  <c r="L22" i="875"/>
  <c r="M22" i="875"/>
  <c r="N22" i="875"/>
  <c r="O22" i="875"/>
  <c r="C24" i="875"/>
  <c r="D24" i="875"/>
  <c r="E24" i="875"/>
  <c r="F24" i="875"/>
  <c r="G24" i="875"/>
  <c r="I24" i="875"/>
  <c r="J24" i="875"/>
  <c r="K24" i="875"/>
  <c r="L24" i="875"/>
  <c r="M24" i="875"/>
  <c r="N24" i="875"/>
  <c r="O24" i="875"/>
  <c r="C25" i="875"/>
  <c r="D25" i="875"/>
  <c r="E25" i="875"/>
  <c r="F25" i="875"/>
  <c r="G25" i="875"/>
  <c r="I25" i="875"/>
  <c r="J25" i="875"/>
  <c r="K25" i="875"/>
  <c r="L25" i="875"/>
  <c r="M25" i="875"/>
  <c r="N25" i="875"/>
  <c r="O25" i="875"/>
  <c r="O23" i="875"/>
  <c r="N23" i="875"/>
  <c r="M23" i="875"/>
  <c r="L23" i="875"/>
  <c r="K23" i="875"/>
  <c r="J23" i="875"/>
  <c r="I23" i="875"/>
  <c r="G23" i="875"/>
  <c r="F23" i="875"/>
  <c r="E23" i="875"/>
  <c r="D23" i="875"/>
  <c r="C23" i="875"/>
  <c r="I13" i="875"/>
  <c r="J13" i="875"/>
  <c r="L13" i="875"/>
  <c r="M13" i="875"/>
  <c r="N13" i="875"/>
  <c r="O13" i="875"/>
  <c r="I14" i="875"/>
  <c r="J14" i="875"/>
  <c r="L14" i="875"/>
  <c r="M14" i="875"/>
  <c r="N14" i="875"/>
  <c r="O14" i="875"/>
  <c r="I15" i="875"/>
  <c r="J15" i="875"/>
  <c r="L15" i="875"/>
  <c r="M15" i="875"/>
  <c r="N15" i="875"/>
  <c r="O15" i="875"/>
  <c r="I16" i="875"/>
  <c r="J16" i="875"/>
  <c r="L16" i="875"/>
  <c r="M16" i="875"/>
  <c r="N16" i="875"/>
  <c r="O16" i="875"/>
  <c r="C13" i="875"/>
  <c r="D13" i="875"/>
  <c r="E13" i="875"/>
  <c r="F13" i="875"/>
  <c r="G13" i="875"/>
  <c r="C14" i="875"/>
  <c r="D14" i="875"/>
  <c r="E14" i="875"/>
  <c r="F14" i="875"/>
  <c r="G14" i="875"/>
  <c r="C15" i="875"/>
  <c r="D15" i="875"/>
  <c r="E15" i="875"/>
  <c r="F15" i="875"/>
  <c r="G15" i="875"/>
  <c r="C16" i="875"/>
  <c r="D16" i="875"/>
  <c r="E16" i="875"/>
  <c r="F16" i="875"/>
  <c r="G16" i="875"/>
  <c r="R13" i="875"/>
  <c r="S13" i="875"/>
  <c r="T13" i="875"/>
  <c r="U13" i="875"/>
  <c r="V13" i="875"/>
  <c r="W13" i="875"/>
  <c r="X13" i="875"/>
  <c r="Y13" i="875"/>
  <c r="Z13" i="875"/>
  <c r="R14" i="875"/>
  <c r="S14" i="875"/>
  <c r="T14" i="875"/>
  <c r="U14" i="875"/>
  <c r="V14" i="875"/>
  <c r="W14" i="875"/>
  <c r="X14" i="875"/>
  <c r="Y14" i="875"/>
  <c r="Z14" i="875"/>
  <c r="R15" i="875"/>
  <c r="S15" i="875"/>
  <c r="T15" i="875"/>
  <c r="U15" i="875"/>
  <c r="V15" i="875"/>
  <c r="W15" i="875"/>
  <c r="X15" i="875"/>
  <c r="Y15" i="875"/>
  <c r="Z15" i="875"/>
  <c r="R16" i="875"/>
  <c r="S16" i="875"/>
  <c r="T16" i="875"/>
  <c r="U16" i="875"/>
  <c r="V16" i="875"/>
  <c r="W16" i="875"/>
  <c r="X16" i="875"/>
  <c r="Y16" i="875"/>
  <c r="Z16" i="875"/>
  <c r="F82" i="875"/>
  <c r="L68" i="875"/>
  <c r="AX66" i="875"/>
  <c r="AW66" i="875"/>
  <c r="AV66" i="875"/>
  <c r="AU66" i="875"/>
  <c r="AT66" i="875"/>
  <c r="AS66" i="875"/>
  <c r="AR66" i="875"/>
  <c r="AQ66" i="875"/>
  <c r="AP66" i="875"/>
  <c r="AO66" i="875"/>
  <c r="AN66" i="875"/>
  <c r="AM66" i="875"/>
  <c r="AL66" i="875"/>
  <c r="AK66" i="875"/>
  <c r="AJ66" i="875"/>
  <c r="AI66" i="875"/>
  <c r="AH66" i="875"/>
  <c r="AG66" i="875"/>
  <c r="AF66" i="875"/>
  <c r="AE66" i="875"/>
  <c r="AD66" i="875"/>
  <c r="AC66" i="875"/>
  <c r="AB66" i="875"/>
  <c r="B66" i="875"/>
  <c r="Z48" i="875"/>
  <c r="Y48" i="875"/>
  <c r="X48" i="875"/>
  <c r="W48" i="875"/>
  <c r="V48" i="875"/>
  <c r="U48" i="875"/>
  <c r="T48" i="875"/>
  <c r="S48" i="875"/>
  <c r="R48" i="875"/>
  <c r="Z47" i="875"/>
  <c r="Y47" i="875"/>
  <c r="X47" i="875"/>
  <c r="W47" i="875"/>
  <c r="V47" i="875"/>
  <c r="U47" i="875"/>
  <c r="T47" i="875"/>
  <c r="S47" i="875"/>
  <c r="R47" i="875"/>
  <c r="Z46" i="875"/>
  <c r="Y46" i="875"/>
  <c r="X46" i="875"/>
  <c r="W46" i="875"/>
  <c r="V46" i="875"/>
  <c r="U46" i="875"/>
  <c r="T46" i="875"/>
  <c r="S46" i="875"/>
  <c r="R46" i="875"/>
  <c r="M46" i="875"/>
  <c r="Z45" i="875"/>
  <c r="Y45" i="875"/>
  <c r="X45" i="875"/>
  <c r="W45" i="875"/>
  <c r="V45" i="875"/>
  <c r="U45" i="875"/>
  <c r="T45" i="875"/>
  <c r="S45" i="875"/>
  <c r="R45" i="875"/>
  <c r="M45" i="875"/>
  <c r="Z44" i="875"/>
  <c r="Y44" i="875"/>
  <c r="X44" i="875"/>
  <c r="W44" i="875"/>
  <c r="V44" i="875"/>
  <c r="U44" i="875"/>
  <c r="T44" i="875"/>
  <c r="S44" i="875"/>
  <c r="R44" i="875"/>
  <c r="M44" i="875"/>
  <c r="Z43" i="875"/>
  <c r="Y43" i="875"/>
  <c r="X43" i="875"/>
  <c r="W43" i="875"/>
  <c r="V43" i="875"/>
  <c r="U43" i="875"/>
  <c r="T43" i="875"/>
  <c r="S43" i="875"/>
  <c r="R43" i="875"/>
  <c r="M43" i="875"/>
  <c r="L43" i="875"/>
  <c r="K43" i="875"/>
  <c r="Z42" i="875"/>
  <c r="Y42" i="875"/>
  <c r="X42" i="875"/>
  <c r="W42" i="875"/>
  <c r="V42" i="875"/>
  <c r="U42" i="875"/>
  <c r="T42" i="875"/>
  <c r="S42" i="875"/>
  <c r="R42" i="875"/>
  <c r="M42" i="875"/>
  <c r="M40" i="875"/>
  <c r="L40" i="875"/>
  <c r="K40" i="875"/>
  <c r="B37" i="875"/>
  <c r="R37" i="875" s="1"/>
  <c r="Z12" i="875"/>
  <c r="Y12" i="875"/>
  <c r="X12" i="875"/>
  <c r="W12" i="875"/>
  <c r="V12" i="875"/>
  <c r="U12" i="875"/>
  <c r="T12" i="875"/>
  <c r="S12" i="875"/>
  <c r="R12" i="875"/>
  <c r="O12" i="875"/>
  <c r="N12" i="875"/>
  <c r="M12" i="875"/>
  <c r="L12" i="875"/>
  <c r="J12" i="875"/>
  <c r="I12" i="875"/>
  <c r="G12" i="875"/>
  <c r="F12" i="875"/>
  <c r="E12" i="875"/>
  <c r="D12" i="875"/>
  <c r="C12" i="875"/>
  <c r="Z11" i="875"/>
  <c r="Y11" i="875"/>
  <c r="X11" i="875"/>
  <c r="W11" i="875"/>
  <c r="V11" i="875"/>
  <c r="U11" i="875"/>
  <c r="T11" i="875"/>
  <c r="S11" i="875"/>
  <c r="R11" i="875"/>
  <c r="O11" i="875"/>
  <c r="N11" i="875"/>
  <c r="M11" i="875"/>
  <c r="L11" i="875"/>
  <c r="J11" i="875"/>
  <c r="I11" i="875"/>
  <c r="G11" i="875"/>
  <c r="F11" i="875"/>
  <c r="E11" i="875"/>
  <c r="D11" i="875"/>
  <c r="C11" i="875"/>
  <c r="Z10" i="875"/>
  <c r="Y10" i="875"/>
  <c r="X10" i="875"/>
  <c r="W10" i="875"/>
  <c r="V10" i="875"/>
  <c r="U10" i="875"/>
  <c r="T10" i="875"/>
  <c r="S10" i="875"/>
  <c r="R10" i="875"/>
  <c r="O10" i="875"/>
  <c r="N10" i="875"/>
  <c r="M10" i="875"/>
  <c r="L10" i="875"/>
  <c r="J10" i="875"/>
  <c r="I10" i="875"/>
  <c r="G10" i="875"/>
  <c r="F10" i="875"/>
  <c r="E10" i="875"/>
  <c r="D10" i="875"/>
  <c r="C10" i="875"/>
  <c r="Z37" i="875" l="1"/>
  <c r="W37" i="875"/>
  <c r="J37" i="875"/>
  <c r="J38" i="875"/>
  <c r="Y37" i="875"/>
  <c r="X37" i="875"/>
  <c r="V37" i="875"/>
  <c r="U37" i="875"/>
  <c r="T37" i="875"/>
  <c r="S37" i="875"/>
  <c r="K47" i="875"/>
  <c r="L47" i="875" s="1"/>
  <c r="M47" i="875" s="1"/>
  <c r="C10" i="874" l="1"/>
  <c r="D10" i="874"/>
  <c r="E10" i="874"/>
  <c r="F10" i="874"/>
  <c r="G10" i="874"/>
  <c r="I10" i="874"/>
  <c r="J10" i="874"/>
  <c r="L10" i="874"/>
  <c r="M10" i="874"/>
  <c r="N10" i="874"/>
  <c r="O10" i="874"/>
  <c r="C11" i="874"/>
  <c r="D11" i="874"/>
  <c r="E11" i="874"/>
  <c r="F11" i="874"/>
  <c r="G11" i="874"/>
  <c r="I11" i="874"/>
  <c r="J11" i="874"/>
  <c r="L11" i="874"/>
  <c r="M11" i="874"/>
  <c r="N11" i="874"/>
  <c r="O11" i="874"/>
  <c r="C12" i="874"/>
  <c r="D12" i="874"/>
  <c r="E12" i="874"/>
  <c r="F12" i="874"/>
  <c r="G12" i="874"/>
  <c r="I12" i="874"/>
  <c r="J12" i="874"/>
  <c r="L12" i="874"/>
  <c r="M12" i="874"/>
  <c r="N12" i="874"/>
  <c r="O12" i="874"/>
  <c r="C13" i="874"/>
  <c r="D13" i="874"/>
  <c r="E13" i="874"/>
  <c r="F13" i="874"/>
  <c r="G13" i="874"/>
  <c r="I13" i="874"/>
  <c r="J13" i="874"/>
  <c r="L13" i="874"/>
  <c r="M13" i="874"/>
  <c r="N13" i="874"/>
  <c r="O13" i="874"/>
  <c r="C14" i="874"/>
  <c r="D14" i="874"/>
  <c r="E14" i="874"/>
  <c r="F14" i="874"/>
  <c r="G14" i="874"/>
  <c r="I14" i="874"/>
  <c r="J14" i="874"/>
  <c r="L14" i="874"/>
  <c r="M14" i="874"/>
  <c r="N14" i="874"/>
  <c r="O14" i="874"/>
  <c r="C23" i="874" a="1"/>
  <c r="C23" i="874" s="1"/>
  <c r="J23" i="874" l="1"/>
  <c r="B52" i="874"/>
  <c r="B23" i="874"/>
  <c r="Y23" i="874" s="1"/>
  <c r="F68" i="874"/>
  <c r="L54" i="874"/>
  <c r="AX52" i="874"/>
  <c r="AW52" i="874"/>
  <c r="AV52" i="874"/>
  <c r="AU52" i="874"/>
  <c r="AT52" i="874"/>
  <c r="AS52" i="874"/>
  <c r="AR52" i="874"/>
  <c r="AQ52" i="874"/>
  <c r="AP52" i="874"/>
  <c r="AO52" i="874"/>
  <c r="AN52" i="874"/>
  <c r="AM52" i="874"/>
  <c r="AL52" i="874"/>
  <c r="AK52" i="874"/>
  <c r="AJ52" i="874"/>
  <c r="AI52" i="874"/>
  <c r="AH52" i="874"/>
  <c r="AG52" i="874"/>
  <c r="AF52" i="874"/>
  <c r="AE52" i="874"/>
  <c r="AD52" i="874"/>
  <c r="AC52" i="874"/>
  <c r="AB52" i="874"/>
  <c r="Z34" i="874"/>
  <c r="Y34" i="874"/>
  <c r="X34" i="874"/>
  <c r="W34" i="874"/>
  <c r="V34" i="874"/>
  <c r="U34" i="874"/>
  <c r="T34" i="874"/>
  <c r="S34" i="874"/>
  <c r="R34" i="874"/>
  <c r="Z33" i="874"/>
  <c r="Y33" i="874"/>
  <c r="X33" i="874"/>
  <c r="W33" i="874"/>
  <c r="V33" i="874"/>
  <c r="U33" i="874"/>
  <c r="T33" i="874"/>
  <c r="S33" i="874"/>
  <c r="R33" i="874"/>
  <c r="Z32" i="874"/>
  <c r="Y32" i="874"/>
  <c r="X32" i="874"/>
  <c r="W32" i="874"/>
  <c r="V32" i="874"/>
  <c r="U32" i="874"/>
  <c r="T32" i="874"/>
  <c r="S32" i="874"/>
  <c r="R32" i="874"/>
  <c r="M32" i="874"/>
  <c r="Z31" i="874"/>
  <c r="Y31" i="874"/>
  <c r="X31" i="874"/>
  <c r="W31" i="874"/>
  <c r="V31" i="874"/>
  <c r="U31" i="874"/>
  <c r="T31" i="874"/>
  <c r="S31" i="874"/>
  <c r="R31" i="874"/>
  <c r="M31" i="874"/>
  <c r="Z30" i="874"/>
  <c r="Y30" i="874"/>
  <c r="X30" i="874"/>
  <c r="W30" i="874"/>
  <c r="V30" i="874"/>
  <c r="U30" i="874"/>
  <c r="T30" i="874"/>
  <c r="S30" i="874"/>
  <c r="R30" i="874"/>
  <c r="M30" i="874"/>
  <c r="Z29" i="874"/>
  <c r="Y29" i="874"/>
  <c r="X29" i="874"/>
  <c r="W29" i="874"/>
  <c r="V29" i="874"/>
  <c r="U29" i="874"/>
  <c r="T29" i="874"/>
  <c r="S29" i="874"/>
  <c r="R29" i="874"/>
  <c r="M29" i="874"/>
  <c r="L29" i="874"/>
  <c r="K29" i="874"/>
  <c r="Z28" i="874"/>
  <c r="Y28" i="874"/>
  <c r="X28" i="874"/>
  <c r="W28" i="874"/>
  <c r="V28" i="874"/>
  <c r="U28" i="874"/>
  <c r="T28" i="874"/>
  <c r="S28" i="874"/>
  <c r="R28" i="874"/>
  <c r="M28" i="874"/>
  <c r="Z27" i="874"/>
  <c r="Y27" i="874"/>
  <c r="X27" i="874"/>
  <c r="W27" i="874"/>
  <c r="V27" i="874"/>
  <c r="U27" i="874"/>
  <c r="T27" i="874"/>
  <c r="S27" i="874"/>
  <c r="R27" i="874"/>
  <c r="Z26" i="874"/>
  <c r="Y26" i="874"/>
  <c r="X26" i="874"/>
  <c r="W26" i="874"/>
  <c r="V26" i="874"/>
  <c r="U26" i="874"/>
  <c r="T26" i="874"/>
  <c r="S26" i="874"/>
  <c r="R26" i="874"/>
  <c r="M26" i="874"/>
  <c r="L26" i="874"/>
  <c r="K26" i="874"/>
  <c r="K33" i="874" s="1"/>
  <c r="Z25" i="874"/>
  <c r="Y25" i="874"/>
  <c r="X25" i="874"/>
  <c r="W25" i="874"/>
  <c r="V25" i="874"/>
  <c r="U25" i="874"/>
  <c r="T25" i="874"/>
  <c r="S25" i="874"/>
  <c r="R25" i="874"/>
  <c r="Z24" i="874"/>
  <c r="Y24" i="874"/>
  <c r="X24" i="874"/>
  <c r="W24" i="874"/>
  <c r="V24" i="874"/>
  <c r="U24" i="874"/>
  <c r="T24" i="874"/>
  <c r="S24" i="874"/>
  <c r="R24" i="874"/>
  <c r="M24" i="874"/>
  <c r="L24" i="874"/>
  <c r="K24" i="874"/>
  <c r="Z23" i="874"/>
  <c r="U23" i="874"/>
  <c r="T23" i="874"/>
  <c r="S23" i="874"/>
  <c r="R23" i="874"/>
  <c r="Z22" i="874"/>
  <c r="Y22" i="874"/>
  <c r="X22" i="874"/>
  <c r="W22" i="874"/>
  <c r="V22" i="874"/>
  <c r="U22" i="874"/>
  <c r="T22" i="874"/>
  <c r="S22" i="874"/>
  <c r="R22" i="874"/>
  <c r="Z21" i="874"/>
  <c r="Y21" i="874"/>
  <c r="X21" i="874"/>
  <c r="W21" i="874"/>
  <c r="V21" i="874"/>
  <c r="U21" i="874"/>
  <c r="T21" i="874"/>
  <c r="S21" i="874"/>
  <c r="R21" i="874"/>
  <c r="Z20" i="874"/>
  <c r="Y20" i="874"/>
  <c r="X20" i="874"/>
  <c r="W20" i="874"/>
  <c r="V20" i="874"/>
  <c r="U20" i="874"/>
  <c r="T20" i="874"/>
  <c r="S20" i="874"/>
  <c r="R20" i="874"/>
  <c r="Z19" i="874"/>
  <c r="Y19" i="874"/>
  <c r="X19" i="874"/>
  <c r="W19" i="874"/>
  <c r="V19" i="874"/>
  <c r="U19" i="874"/>
  <c r="T19" i="874"/>
  <c r="S19" i="874"/>
  <c r="R19" i="874"/>
  <c r="Z18" i="874"/>
  <c r="Y18" i="874"/>
  <c r="X18" i="874"/>
  <c r="W18" i="874"/>
  <c r="V18" i="874"/>
  <c r="U18" i="874"/>
  <c r="T18" i="874"/>
  <c r="S18" i="874"/>
  <c r="R18" i="874"/>
  <c r="Z17" i="874"/>
  <c r="Y17" i="874"/>
  <c r="X17" i="874"/>
  <c r="W17" i="874"/>
  <c r="V17" i="874"/>
  <c r="U17" i="874"/>
  <c r="T17" i="874"/>
  <c r="S17" i="874"/>
  <c r="R17" i="874"/>
  <c r="Z16" i="874"/>
  <c r="Y16" i="874"/>
  <c r="X16" i="874"/>
  <c r="W16" i="874"/>
  <c r="V16" i="874"/>
  <c r="U16" i="874"/>
  <c r="T16" i="874"/>
  <c r="S16" i="874"/>
  <c r="R16" i="874"/>
  <c r="Z15" i="874"/>
  <c r="Y15" i="874"/>
  <c r="X15" i="874"/>
  <c r="W15" i="874"/>
  <c r="V15" i="874"/>
  <c r="U15" i="874"/>
  <c r="T15" i="874"/>
  <c r="S15" i="874"/>
  <c r="R15" i="874"/>
  <c r="Z14" i="874"/>
  <c r="Y14" i="874"/>
  <c r="X14" i="874"/>
  <c r="W14" i="874"/>
  <c r="V14" i="874"/>
  <c r="U14" i="874"/>
  <c r="T14" i="874"/>
  <c r="S14" i="874"/>
  <c r="R14" i="874"/>
  <c r="Z13" i="874"/>
  <c r="Y13" i="874"/>
  <c r="X13" i="874"/>
  <c r="W13" i="874"/>
  <c r="V13" i="874"/>
  <c r="U13" i="874"/>
  <c r="T13" i="874"/>
  <c r="S13" i="874"/>
  <c r="R13" i="874"/>
  <c r="Z12" i="874"/>
  <c r="Y12" i="874"/>
  <c r="X12" i="874"/>
  <c r="W12" i="874"/>
  <c r="V12" i="874"/>
  <c r="U12" i="874"/>
  <c r="T12" i="874"/>
  <c r="S12" i="874"/>
  <c r="R12" i="874"/>
  <c r="Z11" i="874"/>
  <c r="Y11" i="874"/>
  <c r="X11" i="874"/>
  <c r="W11" i="874"/>
  <c r="V11" i="874"/>
  <c r="U11" i="874"/>
  <c r="T11" i="874"/>
  <c r="S11" i="874"/>
  <c r="R11" i="874"/>
  <c r="Z10" i="874"/>
  <c r="Y10" i="874"/>
  <c r="X10" i="874"/>
  <c r="W10" i="874"/>
  <c r="V10" i="874"/>
  <c r="U10" i="874"/>
  <c r="T10" i="874"/>
  <c r="S10" i="874"/>
  <c r="R10" i="874"/>
  <c r="C37" i="873" a="1"/>
  <c r="C37" i="873" s="1"/>
  <c r="E54" i="873"/>
  <c r="B54" i="873"/>
  <c r="B37" i="873"/>
  <c r="F70" i="873"/>
  <c r="L56" i="873"/>
  <c r="AX54" i="873"/>
  <c r="AW54" i="873"/>
  <c r="AV54" i="873"/>
  <c r="AU54" i="873"/>
  <c r="AT54" i="873"/>
  <c r="AS54" i="873"/>
  <c r="AR54" i="873"/>
  <c r="AQ54" i="873"/>
  <c r="AP54" i="873"/>
  <c r="AO54" i="873"/>
  <c r="AN54" i="873"/>
  <c r="AM54" i="873"/>
  <c r="AL54" i="873"/>
  <c r="AK54" i="873"/>
  <c r="AJ54" i="873"/>
  <c r="AI54" i="873"/>
  <c r="AH54" i="873"/>
  <c r="AG54" i="873"/>
  <c r="AF54" i="873"/>
  <c r="AE54" i="873"/>
  <c r="AD54" i="873"/>
  <c r="AC54" i="873"/>
  <c r="AB54" i="873"/>
  <c r="Z36" i="873"/>
  <c r="Y36" i="873"/>
  <c r="X36" i="873"/>
  <c r="W36" i="873"/>
  <c r="V36" i="873"/>
  <c r="U36" i="873"/>
  <c r="T36" i="873"/>
  <c r="S36" i="873"/>
  <c r="R36" i="873"/>
  <c r="Z35" i="873"/>
  <c r="Y35" i="873"/>
  <c r="X35" i="873"/>
  <c r="W35" i="873"/>
  <c r="V35" i="873"/>
  <c r="U35" i="873"/>
  <c r="T35" i="873"/>
  <c r="S35" i="873"/>
  <c r="R35" i="873"/>
  <c r="Z34" i="873"/>
  <c r="Y34" i="873"/>
  <c r="X34" i="873"/>
  <c r="W34" i="873"/>
  <c r="V34" i="873"/>
  <c r="U34" i="873"/>
  <c r="T34" i="873"/>
  <c r="S34" i="873"/>
  <c r="R34" i="873"/>
  <c r="M34" i="873"/>
  <c r="Z33" i="873"/>
  <c r="Y33" i="873"/>
  <c r="X33" i="873"/>
  <c r="W33" i="873"/>
  <c r="V33" i="873"/>
  <c r="U33" i="873"/>
  <c r="T33" i="873"/>
  <c r="S33" i="873"/>
  <c r="R33" i="873"/>
  <c r="M33" i="873"/>
  <c r="Z32" i="873"/>
  <c r="Y32" i="873"/>
  <c r="X32" i="873"/>
  <c r="W32" i="873"/>
  <c r="V32" i="873"/>
  <c r="U32" i="873"/>
  <c r="T32" i="873"/>
  <c r="S32" i="873"/>
  <c r="R32" i="873"/>
  <c r="M32" i="873"/>
  <c r="Z31" i="873"/>
  <c r="Y31" i="873"/>
  <c r="X31" i="873"/>
  <c r="W31" i="873"/>
  <c r="V31" i="873"/>
  <c r="U31" i="873"/>
  <c r="T31" i="873"/>
  <c r="S31" i="873"/>
  <c r="R31" i="873"/>
  <c r="M31" i="873"/>
  <c r="L31" i="873"/>
  <c r="K31" i="873"/>
  <c r="Z30" i="873"/>
  <c r="Y30" i="873"/>
  <c r="X30" i="873"/>
  <c r="W30" i="873"/>
  <c r="V30" i="873"/>
  <c r="U30" i="873"/>
  <c r="T30" i="873"/>
  <c r="S30" i="873"/>
  <c r="R30" i="873"/>
  <c r="M30" i="873"/>
  <c r="Z29" i="873"/>
  <c r="Y29" i="873"/>
  <c r="X29" i="873"/>
  <c r="W29" i="873"/>
  <c r="V29" i="873"/>
  <c r="U29" i="873"/>
  <c r="T29" i="873"/>
  <c r="S29" i="873"/>
  <c r="R29" i="873"/>
  <c r="Z28" i="873"/>
  <c r="Y28" i="873"/>
  <c r="X28" i="873"/>
  <c r="W28" i="873"/>
  <c r="V28" i="873"/>
  <c r="U28" i="873"/>
  <c r="T28" i="873"/>
  <c r="S28" i="873"/>
  <c r="R28" i="873"/>
  <c r="M28" i="873"/>
  <c r="L28" i="873"/>
  <c r="K28" i="873"/>
  <c r="Z27" i="873"/>
  <c r="Y27" i="873"/>
  <c r="X27" i="873"/>
  <c r="W27" i="873"/>
  <c r="V27" i="873"/>
  <c r="U27" i="873"/>
  <c r="T27" i="873"/>
  <c r="S27" i="873"/>
  <c r="R27" i="873"/>
  <c r="Z26" i="873"/>
  <c r="Y26" i="873"/>
  <c r="X26" i="873"/>
  <c r="W26" i="873"/>
  <c r="V26" i="873"/>
  <c r="U26" i="873"/>
  <c r="T26" i="873"/>
  <c r="S26" i="873"/>
  <c r="R26" i="873"/>
  <c r="M26" i="873"/>
  <c r="L26" i="873"/>
  <c r="K26" i="873"/>
  <c r="Z25" i="873"/>
  <c r="Y25" i="873"/>
  <c r="X25" i="873"/>
  <c r="W25" i="873"/>
  <c r="V25" i="873"/>
  <c r="U25" i="873"/>
  <c r="T25" i="873"/>
  <c r="S25" i="873"/>
  <c r="R25" i="873"/>
  <c r="M25" i="873"/>
  <c r="L25" i="873"/>
  <c r="K25" i="873"/>
  <c r="Z24" i="873"/>
  <c r="Y24" i="873"/>
  <c r="X24" i="873"/>
  <c r="W24" i="873"/>
  <c r="V24" i="873"/>
  <c r="U24" i="873"/>
  <c r="T24" i="873"/>
  <c r="S24" i="873"/>
  <c r="R24" i="873"/>
  <c r="Z23" i="873"/>
  <c r="Y23" i="873"/>
  <c r="X23" i="873"/>
  <c r="W23" i="873"/>
  <c r="V23" i="873"/>
  <c r="U23" i="873"/>
  <c r="T23" i="873"/>
  <c r="S23" i="873"/>
  <c r="R23" i="873"/>
  <c r="Z22" i="873"/>
  <c r="Y22" i="873"/>
  <c r="X22" i="873"/>
  <c r="W22" i="873"/>
  <c r="V22" i="873"/>
  <c r="U22" i="873"/>
  <c r="T22" i="873"/>
  <c r="S22" i="873"/>
  <c r="R22" i="873"/>
  <c r="Z21" i="873"/>
  <c r="Y21" i="873"/>
  <c r="X21" i="873"/>
  <c r="W21" i="873"/>
  <c r="V21" i="873"/>
  <c r="U21" i="873"/>
  <c r="T21" i="873"/>
  <c r="S21" i="873"/>
  <c r="R21" i="873"/>
  <c r="Z20" i="873"/>
  <c r="Y20" i="873"/>
  <c r="X20" i="873"/>
  <c r="W20" i="873"/>
  <c r="V20" i="873"/>
  <c r="U20" i="873"/>
  <c r="T20" i="873"/>
  <c r="S20" i="873"/>
  <c r="R20" i="873"/>
  <c r="Z19" i="873"/>
  <c r="Y19" i="873"/>
  <c r="X19" i="873"/>
  <c r="W19" i="873"/>
  <c r="V19" i="873"/>
  <c r="U19" i="873"/>
  <c r="T19" i="873"/>
  <c r="S19" i="873"/>
  <c r="R19" i="873"/>
  <c r="Z18" i="873"/>
  <c r="Y18" i="873"/>
  <c r="X18" i="873"/>
  <c r="W18" i="873"/>
  <c r="V18" i="873"/>
  <c r="U18" i="873"/>
  <c r="T18" i="873"/>
  <c r="S18" i="873"/>
  <c r="R18" i="873"/>
  <c r="Z17" i="873"/>
  <c r="Y17" i="873"/>
  <c r="X17" i="873"/>
  <c r="W17" i="873"/>
  <c r="V17" i="873"/>
  <c r="U17" i="873"/>
  <c r="T17" i="873"/>
  <c r="S17" i="873"/>
  <c r="R17" i="873"/>
  <c r="Z16" i="873"/>
  <c r="Y16" i="873"/>
  <c r="X16" i="873"/>
  <c r="W16" i="873"/>
  <c r="V16" i="873"/>
  <c r="U16" i="873"/>
  <c r="T16" i="873"/>
  <c r="S16" i="873"/>
  <c r="R16" i="873"/>
  <c r="Z15" i="873"/>
  <c r="Y15" i="873"/>
  <c r="X15" i="873"/>
  <c r="W15" i="873"/>
  <c r="V15" i="873"/>
  <c r="U15" i="873"/>
  <c r="T15" i="873"/>
  <c r="S15" i="873"/>
  <c r="R15" i="873"/>
  <c r="Z14" i="873"/>
  <c r="Y14" i="873"/>
  <c r="X14" i="873"/>
  <c r="W14" i="873"/>
  <c r="V14" i="873"/>
  <c r="U14" i="873"/>
  <c r="T14" i="873"/>
  <c r="S14" i="873"/>
  <c r="R14" i="873"/>
  <c r="Z13" i="873"/>
  <c r="Y13" i="873"/>
  <c r="X13" i="873"/>
  <c r="W13" i="873"/>
  <c r="V13" i="873"/>
  <c r="U13" i="873"/>
  <c r="T13" i="873"/>
  <c r="S13" i="873"/>
  <c r="R13" i="873"/>
  <c r="Z12" i="873"/>
  <c r="Y12" i="873"/>
  <c r="X12" i="873"/>
  <c r="W12" i="873"/>
  <c r="V12" i="873"/>
  <c r="U12" i="873"/>
  <c r="T12" i="873"/>
  <c r="S12" i="873"/>
  <c r="R12" i="873"/>
  <c r="Z11" i="873"/>
  <c r="Y11" i="873"/>
  <c r="X11" i="873"/>
  <c r="W11" i="873"/>
  <c r="V11" i="873"/>
  <c r="U11" i="873"/>
  <c r="T11" i="873"/>
  <c r="S11" i="873"/>
  <c r="R11" i="873"/>
  <c r="Z10" i="873"/>
  <c r="Y10" i="873"/>
  <c r="X10" i="873"/>
  <c r="W10" i="873"/>
  <c r="V10" i="873"/>
  <c r="U10" i="873"/>
  <c r="T10" i="873"/>
  <c r="S10" i="873"/>
  <c r="R10" i="873"/>
  <c r="K49" i="872"/>
  <c r="M26" i="872"/>
  <c r="L26" i="872"/>
  <c r="K26" i="872"/>
  <c r="C13" i="872"/>
  <c r="D13" i="872"/>
  <c r="E13" i="872"/>
  <c r="F13" i="872"/>
  <c r="G13" i="872"/>
  <c r="I13" i="872"/>
  <c r="J13" i="872"/>
  <c r="K13" i="872"/>
  <c r="L13" i="872"/>
  <c r="M13" i="872"/>
  <c r="N13" i="872"/>
  <c r="O13" i="872"/>
  <c r="C14" i="872"/>
  <c r="D14" i="872"/>
  <c r="E14" i="872"/>
  <c r="F14" i="872"/>
  <c r="G14" i="872"/>
  <c r="I14" i="872"/>
  <c r="J14" i="872"/>
  <c r="K14" i="872"/>
  <c r="L14" i="872"/>
  <c r="M14" i="872"/>
  <c r="N14" i="872"/>
  <c r="O14" i="872"/>
  <c r="I10" i="872"/>
  <c r="J10" i="872"/>
  <c r="L10" i="872"/>
  <c r="M10" i="872"/>
  <c r="N10" i="872"/>
  <c r="O10" i="872"/>
  <c r="I11" i="872"/>
  <c r="J11" i="872"/>
  <c r="L11" i="872"/>
  <c r="M11" i="872"/>
  <c r="N11" i="872"/>
  <c r="O11" i="872"/>
  <c r="C10" i="872"/>
  <c r="D10" i="872"/>
  <c r="E10" i="872"/>
  <c r="F10" i="872"/>
  <c r="G10" i="872"/>
  <c r="C11" i="872"/>
  <c r="D11" i="872"/>
  <c r="E11" i="872"/>
  <c r="F11" i="872"/>
  <c r="G11" i="872"/>
  <c r="J26" i="872" l="1"/>
  <c r="L33" i="874"/>
  <c r="M33" i="874" s="1"/>
  <c r="K35" i="873"/>
  <c r="V23" i="874"/>
  <c r="W23" i="874"/>
  <c r="X23" i="874"/>
  <c r="L35" i="873"/>
  <c r="M35" i="873" s="1"/>
  <c r="J25" i="872"/>
  <c r="F70" i="872"/>
  <c r="L56" i="872"/>
  <c r="AX54" i="872"/>
  <c r="AW54" i="872"/>
  <c r="AV54" i="872"/>
  <c r="AU54" i="872"/>
  <c r="AT54" i="872"/>
  <c r="AS54" i="872"/>
  <c r="AR54" i="872"/>
  <c r="AQ54" i="872"/>
  <c r="AP54" i="872"/>
  <c r="AO54" i="872"/>
  <c r="AN54" i="872"/>
  <c r="AM54" i="872"/>
  <c r="AL54" i="872"/>
  <c r="AK54" i="872"/>
  <c r="AJ54" i="872"/>
  <c r="AI54" i="872"/>
  <c r="AH54" i="872"/>
  <c r="AG54" i="872"/>
  <c r="AF54" i="872"/>
  <c r="AE54" i="872"/>
  <c r="AD54" i="872"/>
  <c r="AC54" i="872"/>
  <c r="AB54" i="872"/>
  <c r="Z36" i="872"/>
  <c r="Y36" i="872"/>
  <c r="X36" i="872"/>
  <c r="W36" i="872"/>
  <c r="V36" i="872"/>
  <c r="U36" i="872"/>
  <c r="T36" i="872"/>
  <c r="S36" i="872"/>
  <c r="R36" i="872"/>
  <c r="Z35" i="872"/>
  <c r="Y35" i="872"/>
  <c r="X35" i="872"/>
  <c r="W35" i="872"/>
  <c r="V35" i="872"/>
  <c r="U35" i="872"/>
  <c r="T35" i="872"/>
  <c r="S35" i="872"/>
  <c r="R35" i="872"/>
  <c r="Z34" i="872"/>
  <c r="Y34" i="872"/>
  <c r="X34" i="872"/>
  <c r="W34" i="872"/>
  <c r="V34" i="872"/>
  <c r="U34" i="872"/>
  <c r="T34" i="872"/>
  <c r="S34" i="872"/>
  <c r="R34" i="872"/>
  <c r="M34" i="872"/>
  <c r="Z33" i="872"/>
  <c r="Y33" i="872"/>
  <c r="X33" i="872"/>
  <c r="W33" i="872"/>
  <c r="V33" i="872"/>
  <c r="U33" i="872"/>
  <c r="T33" i="872"/>
  <c r="S33" i="872"/>
  <c r="R33" i="872"/>
  <c r="M33" i="872"/>
  <c r="Z32" i="872"/>
  <c r="Y32" i="872"/>
  <c r="X32" i="872"/>
  <c r="W32" i="872"/>
  <c r="V32" i="872"/>
  <c r="U32" i="872"/>
  <c r="T32" i="872"/>
  <c r="S32" i="872"/>
  <c r="R32" i="872"/>
  <c r="M32" i="872"/>
  <c r="Z31" i="872"/>
  <c r="Y31" i="872"/>
  <c r="X31" i="872"/>
  <c r="W31" i="872"/>
  <c r="V31" i="872"/>
  <c r="U31" i="872"/>
  <c r="T31" i="872"/>
  <c r="S31" i="872"/>
  <c r="R31" i="872"/>
  <c r="M31" i="872"/>
  <c r="L31" i="872"/>
  <c r="K31" i="872"/>
  <c r="Z30" i="872"/>
  <c r="Y30" i="872"/>
  <c r="X30" i="872"/>
  <c r="W30" i="872"/>
  <c r="V30" i="872"/>
  <c r="U30" i="872"/>
  <c r="T30" i="872"/>
  <c r="S30" i="872"/>
  <c r="R30" i="872"/>
  <c r="M30" i="872"/>
  <c r="Z29" i="872"/>
  <c r="Y29" i="872"/>
  <c r="X29" i="872"/>
  <c r="W29" i="872"/>
  <c r="V29" i="872"/>
  <c r="U29" i="872"/>
  <c r="T29" i="872"/>
  <c r="S29" i="872"/>
  <c r="R29" i="872"/>
  <c r="Z28" i="872"/>
  <c r="Y28" i="872"/>
  <c r="X28" i="872"/>
  <c r="W28" i="872"/>
  <c r="V28" i="872"/>
  <c r="U28" i="872"/>
  <c r="T28" i="872"/>
  <c r="S28" i="872"/>
  <c r="R28" i="872"/>
  <c r="M28" i="872"/>
  <c r="L28" i="872"/>
  <c r="K28" i="872"/>
  <c r="Z27" i="872"/>
  <c r="Y27" i="872"/>
  <c r="X27" i="872"/>
  <c r="W27" i="872"/>
  <c r="V27" i="872"/>
  <c r="U27" i="872"/>
  <c r="T27" i="872"/>
  <c r="S27" i="872"/>
  <c r="R27" i="872"/>
  <c r="Z26" i="872"/>
  <c r="Y26" i="872"/>
  <c r="X26" i="872"/>
  <c r="W26" i="872"/>
  <c r="V26" i="872"/>
  <c r="U26" i="872"/>
  <c r="T26" i="872"/>
  <c r="S26" i="872"/>
  <c r="R26" i="872"/>
  <c r="Z25" i="872"/>
  <c r="Y25" i="872"/>
  <c r="X25" i="872"/>
  <c r="W25" i="872"/>
  <c r="V25" i="872"/>
  <c r="U25" i="872"/>
  <c r="M25" i="872"/>
  <c r="L25" i="872"/>
  <c r="K25" i="872"/>
  <c r="T25" i="872"/>
  <c r="Z24" i="872"/>
  <c r="Y24" i="872"/>
  <c r="X24" i="872"/>
  <c r="W24" i="872"/>
  <c r="V24" i="872"/>
  <c r="U24" i="872"/>
  <c r="T24" i="872"/>
  <c r="S24" i="872"/>
  <c r="R24" i="872"/>
  <c r="Z23" i="872"/>
  <c r="Y23" i="872"/>
  <c r="X23" i="872"/>
  <c r="W23" i="872"/>
  <c r="V23" i="872"/>
  <c r="U23" i="872"/>
  <c r="T23" i="872"/>
  <c r="S23" i="872"/>
  <c r="R23" i="872"/>
  <c r="Z22" i="872"/>
  <c r="Y22" i="872"/>
  <c r="X22" i="872"/>
  <c r="W22" i="872"/>
  <c r="V22" i="872"/>
  <c r="U22" i="872"/>
  <c r="T22" i="872"/>
  <c r="S22" i="872"/>
  <c r="R22" i="872"/>
  <c r="Z21" i="872"/>
  <c r="Y21" i="872"/>
  <c r="X21" i="872"/>
  <c r="W21" i="872"/>
  <c r="V21" i="872"/>
  <c r="U21" i="872"/>
  <c r="T21" i="872"/>
  <c r="S21" i="872"/>
  <c r="R21" i="872"/>
  <c r="Z20" i="872"/>
  <c r="Y20" i="872"/>
  <c r="X20" i="872"/>
  <c r="W20" i="872"/>
  <c r="V20" i="872"/>
  <c r="U20" i="872"/>
  <c r="T20" i="872"/>
  <c r="S20" i="872"/>
  <c r="R20" i="872"/>
  <c r="Z19" i="872"/>
  <c r="Y19" i="872"/>
  <c r="X19" i="872"/>
  <c r="W19" i="872"/>
  <c r="V19" i="872"/>
  <c r="U19" i="872"/>
  <c r="T19" i="872"/>
  <c r="S19" i="872"/>
  <c r="R19" i="872"/>
  <c r="Z18" i="872"/>
  <c r="Y18" i="872"/>
  <c r="X18" i="872"/>
  <c r="W18" i="872"/>
  <c r="V18" i="872"/>
  <c r="U18" i="872"/>
  <c r="T18" i="872"/>
  <c r="S18" i="872"/>
  <c r="R18" i="872"/>
  <c r="Z17" i="872"/>
  <c r="Y17" i="872"/>
  <c r="X17" i="872"/>
  <c r="W17" i="872"/>
  <c r="V17" i="872"/>
  <c r="U17" i="872"/>
  <c r="T17" i="872"/>
  <c r="S17" i="872"/>
  <c r="R17" i="872"/>
  <c r="Z16" i="872"/>
  <c r="Y16" i="872"/>
  <c r="X16" i="872"/>
  <c r="W16" i="872"/>
  <c r="V16" i="872"/>
  <c r="U16" i="872"/>
  <c r="T16" i="872"/>
  <c r="S16" i="872"/>
  <c r="R16" i="872"/>
  <c r="Z15" i="872"/>
  <c r="Y15" i="872"/>
  <c r="X15" i="872"/>
  <c r="W15" i="872"/>
  <c r="V15" i="872"/>
  <c r="U15" i="872"/>
  <c r="T15" i="872"/>
  <c r="S15" i="872"/>
  <c r="R15" i="872"/>
  <c r="Z14" i="872"/>
  <c r="Y14" i="872"/>
  <c r="X14" i="872"/>
  <c r="W14" i="872"/>
  <c r="V14" i="872"/>
  <c r="U14" i="872"/>
  <c r="T14" i="872"/>
  <c r="S14" i="872"/>
  <c r="R14" i="872"/>
  <c r="Z13" i="872"/>
  <c r="Y13" i="872"/>
  <c r="X13" i="872"/>
  <c r="W13" i="872"/>
  <c r="V13" i="872"/>
  <c r="U13" i="872"/>
  <c r="T13" i="872"/>
  <c r="S13" i="872"/>
  <c r="R13" i="872"/>
  <c r="Z12" i="872"/>
  <c r="Y12" i="872"/>
  <c r="X12" i="872"/>
  <c r="W12" i="872"/>
  <c r="V12" i="872"/>
  <c r="U12" i="872"/>
  <c r="T12" i="872"/>
  <c r="S12" i="872"/>
  <c r="R12" i="872"/>
  <c r="Z11" i="872"/>
  <c r="Y11" i="872"/>
  <c r="X11" i="872"/>
  <c r="W11" i="872"/>
  <c r="V11" i="872"/>
  <c r="U11" i="872"/>
  <c r="T11" i="872"/>
  <c r="S11" i="872"/>
  <c r="R11" i="872"/>
  <c r="Z10" i="872"/>
  <c r="Y10" i="872"/>
  <c r="X10" i="872"/>
  <c r="W10" i="872"/>
  <c r="V10" i="872"/>
  <c r="U10" i="872"/>
  <c r="T10" i="872"/>
  <c r="S10" i="872"/>
  <c r="R10" i="872"/>
  <c r="K58" i="871"/>
  <c r="K34" i="871"/>
  <c r="B34" i="871"/>
  <c r="C38" i="871" a="1"/>
  <c r="C38" i="871" s="1"/>
  <c r="C34" i="871" a="1"/>
  <c r="C34" i="871" s="1"/>
  <c r="R10" i="871"/>
  <c r="S10" i="871"/>
  <c r="T10" i="871"/>
  <c r="U10" i="871"/>
  <c r="V10" i="871"/>
  <c r="W10" i="871"/>
  <c r="X10" i="871"/>
  <c r="Y10" i="871"/>
  <c r="Z10" i="871"/>
  <c r="R11" i="871"/>
  <c r="S11" i="871"/>
  <c r="T11" i="871"/>
  <c r="U11" i="871"/>
  <c r="V11" i="871"/>
  <c r="W11" i="871"/>
  <c r="X11" i="871"/>
  <c r="Y11" i="871"/>
  <c r="Z11" i="871"/>
  <c r="R12" i="871"/>
  <c r="S12" i="871"/>
  <c r="T12" i="871"/>
  <c r="U12" i="871"/>
  <c r="V12" i="871"/>
  <c r="W12" i="871"/>
  <c r="X12" i="871"/>
  <c r="Y12" i="871"/>
  <c r="Z12" i="871"/>
  <c r="R13" i="871"/>
  <c r="S13" i="871"/>
  <c r="T13" i="871"/>
  <c r="U13" i="871"/>
  <c r="V13" i="871"/>
  <c r="W13" i="871"/>
  <c r="X13" i="871"/>
  <c r="Y13" i="871"/>
  <c r="Z13" i="871"/>
  <c r="R14" i="871"/>
  <c r="S14" i="871"/>
  <c r="T14" i="871"/>
  <c r="U14" i="871"/>
  <c r="V14" i="871"/>
  <c r="W14" i="871"/>
  <c r="X14" i="871"/>
  <c r="Y14" i="871"/>
  <c r="Z14" i="871"/>
  <c r="R15" i="871"/>
  <c r="S15" i="871"/>
  <c r="T15" i="871"/>
  <c r="U15" i="871"/>
  <c r="V15" i="871"/>
  <c r="W15" i="871"/>
  <c r="X15" i="871"/>
  <c r="Y15" i="871"/>
  <c r="Z15" i="871"/>
  <c r="R16" i="871"/>
  <c r="S16" i="871"/>
  <c r="T16" i="871"/>
  <c r="U16" i="871"/>
  <c r="V16" i="871"/>
  <c r="W16" i="871"/>
  <c r="X16" i="871"/>
  <c r="Y16" i="871"/>
  <c r="Z16" i="871"/>
  <c r="R17" i="871"/>
  <c r="S17" i="871"/>
  <c r="T17" i="871"/>
  <c r="U17" i="871"/>
  <c r="V17" i="871"/>
  <c r="W17" i="871"/>
  <c r="X17" i="871"/>
  <c r="Y17" i="871"/>
  <c r="Z17" i="871"/>
  <c r="R18" i="871"/>
  <c r="S18" i="871"/>
  <c r="T18" i="871"/>
  <c r="U18" i="871"/>
  <c r="V18" i="871"/>
  <c r="W18" i="871"/>
  <c r="X18" i="871"/>
  <c r="Y18" i="871"/>
  <c r="Z18" i="871"/>
  <c r="C10" i="871"/>
  <c r="D10" i="871"/>
  <c r="E10" i="871"/>
  <c r="F10" i="871"/>
  <c r="G10" i="871"/>
  <c r="L10" i="871"/>
  <c r="M10" i="871"/>
  <c r="N10" i="871"/>
  <c r="O10" i="871"/>
  <c r="C11" i="871"/>
  <c r="D11" i="871"/>
  <c r="E11" i="871"/>
  <c r="F11" i="871"/>
  <c r="G11" i="871"/>
  <c r="L11" i="871"/>
  <c r="M11" i="871"/>
  <c r="N11" i="871"/>
  <c r="O11" i="871"/>
  <c r="C12" i="871"/>
  <c r="D12" i="871"/>
  <c r="E12" i="871"/>
  <c r="F12" i="871"/>
  <c r="G12" i="871"/>
  <c r="L12" i="871"/>
  <c r="M12" i="871"/>
  <c r="N12" i="871"/>
  <c r="O12" i="871"/>
  <c r="C13" i="871"/>
  <c r="D13" i="871"/>
  <c r="E13" i="871"/>
  <c r="F13" i="871"/>
  <c r="G13" i="871"/>
  <c r="L13" i="871"/>
  <c r="M13" i="871"/>
  <c r="N13" i="871"/>
  <c r="O13" i="871"/>
  <c r="C14" i="871"/>
  <c r="D14" i="871"/>
  <c r="E14" i="871"/>
  <c r="F14" i="871"/>
  <c r="G14" i="871"/>
  <c r="L14" i="871"/>
  <c r="M14" i="871"/>
  <c r="N14" i="871"/>
  <c r="O14" i="871"/>
  <c r="C15" i="871"/>
  <c r="D15" i="871"/>
  <c r="E15" i="871"/>
  <c r="F15" i="871"/>
  <c r="G15" i="871"/>
  <c r="L15" i="871"/>
  <c r="M15" i="871"/>
  <c r="N15" i="871"/>
  <c r="O15" i="871"/>
  <c r="F79" i="871"/>
  <c r="L65" i="871"/>
  <c r="AX63" i="871"/>
  <c r="AW63" i="871"/>
  <c r="AV63" i="871"/>
  <c r="AU63" i="871"/>
  <c r="AT63" i="871"/>
  <c r="AS63" i="871"/>
  <c r="AR63" i="871"/>
  <c r="AQ63" i="871"/>
  <c r="AP63" i="871"/>
  <c r="AO63" i="871"/>
  <c r="AN63" i="871"/>
  <c r="AM63" i="871"/>
  <c r="AL63" i="871"/>
  <c r="AK63" i="871"/>
  <c r="AJ63" i="871"/>
  <c r="AI63" i="871"/>
  <c r="AH63" i="871"/>
  <c r="AG63" i="871"/>
  <c r="AF63" i="871"/>
  <c r="AE63" i="871"/>
  <c r="AD63" i="871"/>
  <c r="AC63" i="871"/>
  <c r="AB63" i="871"/>
  <c r="B63" i="871"/>
  <c r="Z45" i="871"/>
  <c r="Y45" i="871"/>
  <c r="X45" i="871"/>
  <c r="W45" i="871"/>
  <c r="V45" i="871"/>
  <c r="U45" i="871"/>
  <c r="T45" i="871"/>
  <c r="S45" i="871"/>
  <c r="R45" i="871"/>
  <c r="Z44" i="871"/>
  <c r="Y44" i="871"/>
  <c r="X44" i="871"/>
  <c r="W44" i="871"/>
  <c r="V44" i="871"/>
  <c r="U44" i="871"/>
  <c r="T44" i="871"/>
  <c r="S44" i="871"/>
  <c r="R44" i="871"/>
  <c r="Z43" i="871"/>
  <c r="Y43" i="871"/>
  <c r="X43" i="871"/>
  <c r="W43" i="871"/>
  <c r="V43" i="871"/>
  <c r="U43" i="871"/>
  <c r="T43" i="871"/>
  <c r="S43" i="871"/>
  <c r="R43" i="871"/>
  <c r="M43" i="871"/>
  <c r="Z42" i="871"/>
  <c r="Y42" i="871"/>
  <c r="X42" i="871"/>
  <c r="W42" i="871"/>
  <c r="V42" i="871"/>
  <c r="U42" i="871"/>
  <c r="T42" i="871"/>
  <c r="S42" i="871"/>
  <c r="R42" i="871"/>
  <c r="M42" i="871"/>
  <c r="Z41" i="871"/>
  <c r="Y41" i="871"/>
  <c r="X41" i="871"/>
  <c r="W41" i="871"/>
  <c r="V41" i="871"/>
  <c r="U41" i="871"/>
  <c r="T41" i="871"/>
  <c r="S41" i="871"/>
  <c r="R41" i="871"/>
  <c r="M41" i="871"/>
  <c r="Z40" i="871"/>
  <c r="Y40" i="871"/>
  <c r="X40" i="871"/>
  <c r="W40" i="871"/>
  <c r="V40" i="871"/>
  <c r="U40" i="871"/>
  <c r="T40" i="871"/>
  <c r="S40" i="871"/>
  <c r="R40" i="871"/>
  <c r="M40" i="871"/>
  <c r="L40" i="871"/>
  <c r="K40" i="871"/>
  <c r="Z39" i="871"/>
  <c r="Y39" i="871"/>
  <c r="X39" i="871"/>
  <c r="W39" i="871"/>
  <c r="V39" i="871"/>
  <c r="U39" i="871"/>
  <c r="T39" i="871"/>
  <c r="S39" i="871"/>
  <c r="R39" i="871"/>
  <c r="M39" i="871"/>
  <c r="Z38" i="871"/>
  <c r="Y38" i="871"/>
  <c r="X38" i="871"/>
  <c r="W38" i="871"/>
  <c r="V38" i="871"/>
  <c r="U38" i="871"/>
  <c r="T38" i="871"/>
  <c r="S38" i="871"/>
  <c r="R38" i="871"/>
  <c r="Z37" i="871"/>
  <c r="Y37" i="871"/>
  <c r="X37" i="871"/>
  <c r="W37" i="871"/>
  <c r="V37" i="871"/>
  <c r="U37" i="871"/>
  <c r="T37" i="871"/>
  <c r="S37" i="871"/>
  <c r="R37" i="871"/>
  <c r="M37" i="871"/>
  <c r="L37" i="871"/>
  <c r="K37" i="871"/>
  <c r="Z36" i="871"/>
  <c r="Y36" i="871"/>
  <c r="X36" i="871"/>
  <c r="W36" i="871"/>
  <c r="V36" i="871"/>
  <c r="U36" i="871"/>
  <c r="T36" i="871"/>
  <c r="S36" i="871"/>
  <c r="R36" i="871"/>
  <c r="Z35" i="871"/>
  <c r="Y35" i="871"/>
  <c r="X35" i="871"/>
  <c r="W35" i="871"/>
  <c r="V35" i="871"/>
  <c r="U35" i="871"/>
  <c r="T35" i="871"/>
  <c r="S35" i="871"/>
  <c r="R35" i="871"/>
  <c r="M35" i="871"/>
  <c r="L35" i="871"/>
  <c r="K35" i="871"/>
  <c r="Z34" i="871"/>
  <c r="Y34" i="871"/>
  <c r="X34" i="871"/>
  <c r="W34" i="871"/>
  <c r="V34" i="871"/>
  <c r="U34" i="871"/>
  <c r="T34" i="871"/>
  <c r="S34" i="871"/>
  <c r="R34" i="871"/>
  <c r="Z33" i="871"/>
  <c r="Y33" i="871"/>
  <c r="X33" i="871"/>
  <c r="W33" i="871"/>
  <c r="V33" i="871"/>
  <c r="U33" i="871"/>
  <c r="T33" i="871"/>
  <c r="S33" i="871"/>
  <c r="R33" i="871"/>
  <c r="Z32" i="871"/>
  <c r="Y32" i="871"/>
  <c r="X32" i="871"/>
  <c r="W32" i="871"/>
  <c r="V32" i="871"/>
  <c r="U32" i="871"/>
  <c r="T32" i="871"/>
  <c r="S32" i="871"/>
  <c r="R32" i="871"/>
  <c r="Z31" i="871"/>
  <c r="Y31" i="871"/>
  <c r="X31" i="871"/>
  <c r="W31" i="871"/>
  <c r="V31" i="871"/>
  <c r="U31" i="871"/>
  <c r="T31" i="871"/>
  <c r="S31" i="871"/>
  <c r="R31" i="871"/>
  <c r="Z30" i="871"/>
  <c r="Y30" i="871"/>
  <c r="X30" i="871"/>
  <c r="W30" i="871"/>
  <c r="V30" i="871"/>
  <c r="U30" i="871"/>
  <c r="T30" i="871"/>
  <c r="S30" i="871"/>
  <c r="R30" i="871"/>
  <c r="Z29" i="871"/>
  <c r="Y29" i="871"/>
  <c r="X29" i="871"/>
  <c r="W29" i="871"/>
  <c r="V29" i="871"/>
  <c r="U29" i="871"/>
  <c r="T29" i="871"/>
  <c r="S29" i="871"/>
  <c r="R29" i="871"/>
  <c r="Z28" i="871"/>
  <c r="Y28" i="871"/>
  <c r="X28" i="871"/>
  <c r="W28" i="871"/>
  <c r="V28" i="871"/>
  <c r="U28" i="871"/>
  <c r="T28" i="871"/>
  <c r="S28" i="871"/>
  <c r="R28" i="871"/>
  <c r="Z27" i="871"/>
  <c r="Y27" i="871"/>
  <c r="X27" i="871"/>
  <c r="W27" i="871"/>
  <c r="V27" i="871"/>
  <c r="U27" i="871"/>
  <c r="T27" i="871"/>
  <c r="S27" i="871"/>
  <c r="R27" i="871"/>
  <c r="Z26" i="871"/>
  <c r="Y26" i="871"/>
  <c r="X26" i="871"/>
  <c r="W26" i="871"/>
  <c r="V26" i="871"/>
  <c r="U26" i="871"/>
  <c r="T26" i="871"/>
  <c r="S26" i="871"/>
  <c r="R26" i="871"/>
  <c r="Z25" i="871"/>
  <c r="Y25" i="871"/>
  <c r="X25" i="871"/>
  <c r="W25" i="871"/>
  <c r="V25" i="871"/>
  <c r="U25" i="871"/>
  <c r="T25" i="871"/>
  <c r="S25" i="871"/>
  <c r="R25" i="871"/>
  <c r="Z24" i="871"/>
  <c r="Y24" i="871"/>
  <c r="X24" i="871"/>
  <c r="W24" i="871"/>
  <c r="V24" i="871"/>
  <c r="U24" i="871"/>
  <c r="T24" i="871"/>
  <c r="S24" i="871"/>
  <c r="R24" i="871"/>
  <c r="Z23" i="871"/>
  <c r="Y23" i="871"/>
  <c r="X23" i="871"/>
  <c r="W23" i="871"/>
  <c r="V23" i="871"/>
  <c r="U23" i="871"/>
  <c r="T23" i="871"/>
  <c r="S23" i="871"/>
  <c r="R23" i="871"/>
  <c r="Z22" i="871"/>
  <c r="Y22" i="871"/>
  <c r="X22" i="871"/>
  <c r="W22" i="871"/>
  <c r="V22" i="871"/>
  <c r="U22" i="871"/>
  <c r="T22" i="871"/>
  <c r="S22" i="871"/>
  <c r="R22" i="871"/>
  <c r="Z21" i="871"/>
  <c r="Y21" i="871"/>
  <c r="X21" i="871"/>
  <c r="W21" i="871"/>
  <c r="V21" i="871"/>
  <c r="U21" i="871"/>
  <c r="T21" i="871"/>
  <c r="S21" i="871"/>
  <c r="R21" i="871"/>
  <c r="Z20" i="871"/>
  <c r="Y20" i="871"/>
  <c r="X20" i="871"/>
  <c r="W20" i="871"/>
  <c r="V20" i="871"/>
  <c r="U20" i="871"/>
  <c r="T20" i="871"/>
  <c r="S20" i="871"/>
  <c r="R20" i="871"/>
  <c r="Z19" i="871"/>
  <c r="Y19" i="871"/>
  <c r="X19" i="871"/>
  <c r="W19" i="871"/>
  <c r="V19" i="871"/>
  <c r="U19" i="871"/>
  <c r="T19" i="871"/>
  <c r="S19" i="871"/>
  <c r="R19" i="871"/>
  <c r="C29" i="870" a="1"/>
  <c r="C29" i="870" s="1"/>
  <c r="B29" i="870"/>
  <c r="B58" i="870"/>
  <c r="F74" i="870"/>
  <c r="L60" i="870"/>
  <c r="AX58" i="870"/>
  <c r="AW58" i="870"/>
  <c r="AV58" i="870"/>
  <c r="AU58" i="870"/>
  <c r="AT58" i="870"/>
  <c r="AS58" i="870"/>
  <c r="AR58" i="870"/>
  <c r="AQ58" i="870"/>
  <c r="AP58" i="870"/>
  <c r="AO58" i="870"/>
  <c r="AN58" i="870"/>
  <c r="AM58" i="870"/>
  <c r="AL58" i="870"/>
  <c r="AK58" i="870"/>
  <c r="AJ58" i="870"/>
  <c r="AI58" i="870"/>
  <c r="AH58" i="870"/>
  <c r="AG58" i="870"/>
  <c r="AF58" i="870"/>
  <c r="AE58" i="870"/>
  <c r="AD58" i="870"/>
  <c r="AC58" i="870"/>
  <c r="AB58" i="870"/>
  <c r="Z40" i="870"/>
  <c r="Y40" i="870"/>
  <c r="X40" i="870"/>
  <c r="W40" i="870"/>
  <c r="V40" i="870"/>
  <c r="U40" i="870"/>
  <c r="T40" i="870"/>
  <c r="S40" i="870"/>
  <c r="R40" i="870"/>
  <c r="Z39" i="870"/>
  <c r="Y39" i="870"/>
  <c r="X39" i="870"/>
  <c r="W39" i="870"/>
  <c r="V39" i="870"/>
  <c r="U39" i="870"/>
  <c r="T39" i="870"/>
  <c r="S39" i="870"/>
  <c r="R39" i="870"/>
  <c r="Z38" i="870"/>
  <c r="Y38" i="870"/>
  <c r="X38" i="870"/>
  <c r="W38" i="870"/>
  <c r="V38" i="870"/>
  <c r="U38" i="870"/>
  <c r="T38" i="870"/>
  <c r="S38" i="870"/>
  <c r="R38" i="870"/>
  <c r="M38" i="870"/>
  <c r="Z37" i="870"/>
  <c r="Y37" i="870"/>
  <c r="X37" i="870"/>
  <c r="W37" i="870"/>
  <c r="V37" i="870"/>
  <c r="U37" i="870"/>
  <c r="T37" i="870"/>
  <c r="S37" i="870"/>
  <c r="R37" i="870"/>
  <c r="M37" i="870"/>
  <c r="Z36" i="870"/>
  <c r="Y36" i="870"/>
  <c r="X36" i="870"/>
  <c r="W36" i="870"/>
  <c r="V36" i="870"/>
  <c r="U36" i="870"/>
  <c r="T36" i="870"/>
  <c r="S36" i="870"/>
  <c r="R36" i="870"/>
  <c r="M36" i="870"/>
  <c r="Z35" i="870"/>
  <c r="Y35" i="870"/>
  <c r="X35" i="870"/>
  <c r="W35" i="870"/>
  <c r="V35" i="870"/>
  <c r="U35" i="870"/>
  <c r="T35" i="870"/>
  <c r="S35" i="870"/>
  <c r="R35" i="870"/>
  <c r="M35" i="870"/>
  <c r="L35" i="870"/>
  <c r="K35" i="870"/>
  <c r="Z34" i="870"/>
  <c r="Y34" i="870"/>
  <c r="X34" i="870"/>
  <c r="W34" i="870"/>
  <c r="V34" i="870"/>
  <c r="U34" i="870"/>
  <c r="T34" i="870"/>
  <c r="S34" i="870"/>
  <c r="R34" i="870"/>
  <c r="M34" i="870"/>
  <c r="Z33" i="870"/>
  <c r="Y33" i="870"/>
  <c r="X33" i="870"/>
  <c r="W33" i="870"/>
  <c r="V33" i="870"/>
  <c r="U33" i="870"/>
  <c r="T33" i="870"/>
  <c r="S33" i="870"/>
  <c r="R33" i="870"/>
  <c r="Z32" i="870"/>
  <c r="Y32" i="870"/>
  <c r="X32" i="870"/>
  <c r="W32" i="870"/>
  <c r="V32" i="870"/>
  <c r="U32" i="870"/>
  <c r="T32" i="870"/>
  <c r="S32" i="870"/>
  <c r="R32" i="870"/>
  <c r="M32" i="870"/>
  <c r="L32" i="870"/>
  <c r="K32" i="870"/>
  <c r="Z31" i="870"/>
  <c r="Y31" i="870"/>
  <c r="X31" i="870"/>
  <c r="W31" i="870"/>
  <c r="V31" i="870"/>
  <c r="U31" i="870"/>
  <c r="T31" i="870"/>
  <c r="S31" i="870"/>
  <c r="R31" i="870"/>
  <c r="Z30" i="870"/>
  <c r="Y30" i="870"/>
  <c r="X30" i="870"/>
  <c r="W30" i="870"/>
  <c r="V30" i="870"/>
  <c r="U30" i="870"/>
  <c r="T30" i="870"/>
  <c r="S30" i="870"/>
  <c r="R30" i="870"/>
  <c r="M30" i="870"/>
  <c r="L30" i="870"/>
  <c r="K30" i="870"/>
  <c r="X29" i="870"/>
  <c r="U29" i="870"/>
  <c r="M29" i="870"/>
  <c r="L29" i="870"/>
  <c r="K29" i="870"/>
  <c r="W29" i="870"/>
  <c r="Z28" i="870"/>
  <c r="Y28" i="870"/>
  <c r="X28" i="870"/>
  <c r="W28" i="870"/>
  <c r="V28" i="870"/>
  <c r="U28" i="870"/>
  <c r="T28" i="870"/>
  <c r="S28" i="870"/>
  <c r="R28" i="870"/>
  <c r="Z27" i="870"/>
  <c r="Y27" i="870"/>
  <c r="X27" i="870"/>
  <c r="W27" i="870"/>
  <c r="V27" i="870"/>
  <c r="U27" i="870"/>
  <c r="T27" i="870"/>
  <c r="S27" i="870"/>
  <c r="R27" i="870"/>
  <c r="Z26" i="870"/>
  <c r="Y26" i="870"/>
  <c r="X26" i="870"/>
  <c r="W26" i="870"/>
  <c r="V26" i="870"/>
  <c r="U26" i="870"/>
  <c r="T26" i="870"/>
  <c r="S26" i="870"/>
  <c r="R26" i="870"/>
  <c r="Z25" i="870"/>
  <c r="Y25" i="870"/>
  <c r="X25" i="870"/>
  <c r="W25" i="870"/>
  <c r="V25" i="870"/>
  <c r="U25" i="870"/>
  <c r="T25" i="870"/>
  <c r="S25" i="870"/>
  <c r="R25" i="870"/>
  <c r="Z24" i="870"/>
  <c r="Y24" i="870"/>
  <c r="X24" i="870"/>
  <c r="W24" i="870"/>
  <c r="V24" i="870"/>
  <c r="U24" i="870"/>
  <c r="T24" i="870"/>
  <c r="S24" i="870"/>
  <c r="R24" i="870"/>
  <c r="Z23" i="870"/>
  <c r="Y23" i="870"/>
  <c r="X23" i="870"/>
  <c r="W23" i="870"/>
  <c r="V23" i="870"/>
  <c r="U23" i="870"/>
  <c r="T23" i="870"/>
  <c r="S23" i="870"/>
  <c r="R23" i="870"/>
  <c r="Z22" i="870"/>
  <c r="Y22" i="870"/>
  <c r="X22" i="870"/>
  <c r="W22" i="870"/>
  <c r="V22" i="870"/>
  <c r="U22" i="870"/>
  <c r="T22" i="870"/>
  <c r="S22" i="870"/>
  <c r="R22" i="870"/>
  <c r="Z21" i="870"/>
  <c r="Y21" i="870"/>
  <c r="X21" i="870"/>
  <c r="W21" i="870"/>
  <c r="V21" i="870"/>
  <c r="U21" i="870"/>
  <c r="T21" i="870"/>
  <c r="S21" i="870"/>
  <c r="R21" i="870"/>
  <c r="Z20" i="870"/>
  <c r="Y20" i="870"/>
  <c r="X20" i="870"/>
  <c r="W20" i="870"/>
  <c r="V20" i="870"/>
  <c r="U20" i="870"/>
  <c r="T20" i="870"/>
  <c r="S20" i="870"/>
  <c r="R20" i="870"/>
  <c r="Z19" i="870"/>
  <c r="Y19" i="870"/>
  <c r="X19" i="870"/>
  <c r="W19" i="870"/>
  <c r="V19" i="870"/>
  <c r="U19" i="870"/>
  <c r="T19" i="870"/>
  <c r="S19" i="870"/>
  <c r="R19" i="870"/>
  <c r="Z18" i="870"/>
  <c r="Y18" i="870"/>
  <c r="X18" i="870"/>
  <c r="W18" i="870"/>
  <c r="V18" i="870"/>
  <c r="U18" i="870"/>
  <c r="T18" i="870"/>
  <c r="S18" i="870"/>
  <c r="R18" i="870"/>
  <c r="Z17" i="870"/>
  <c r="Y17" i="870"/>
  <c r="X17" i="870"/>
  <c r="W17" i="870"/>
  <c r="V17" i="870"/>
  <c r="U17" i="870"/>
  <c r="T17" i="870"/>
  <c r="S17" i="870"/>
  <c r="R17" i="870"/>
  <c r="Z16" i="870"/>
  <c r="Y16" i="870"/>
  <c r="X16" i="870"/>
  <c r="W16" i="870"/>
  <c r="V16" i="870"/>
  <c r="U16" i="870"/>
  <c r="T16" i="870"/>
  <c r="S16" i="870"/>
  <c r="R16" i="870"/>
  <c r="Z15" i="870"/>
  <c r="Y15" i="870"/>
  <c r="X15" i="870"/>
  <c r="W15" i="870"/>
  <c r="V15" i="870"/>
  <c r="U15" i="870"/>
  <c r="T15" i="870"/>
  <c r="S15" i="870"/>
  <c r="R15" i="870"/>
  <c r="Z14" i="870"/>
  <c r="Y14" i="870"/>
  <c r="X14" i="870"/>
  <c r="W14" i="870"/>
  <c r="V14" i="870"/>
  <c r="U14" i="870"/>
  <c r="T14" i="870"/>
  <c r="S14" i="870"/>
  <c r="R14" i="870"/>
  <c r="Z13" i="870"/>
  <c r="Y13" i="870"/>
  <c r="X13" i="870"/>
  <c r="W13" i="870"/>
  <c r="V13" i="870"/>
  <c r="U13" i="870"/>
  <c r="T13" i="870"/>
  <c r="S13" i="870"/>
  <c r="R13" i="870"/>
  <c r="Z12" i="870"/>
  <c r="Y12" i="870"/>
  <c r="X12" i="870"/>
  <c r="W12" i="870"/>
  <c r="V12" i="870"/>
  <c r="U12" i="870"/>
  <c r="T12" i="870"/>
  <c r="S12" i="870"/>
  <c r="R12" i="870"/>
  <c r="Z11" i="870"/>
  <c r="Y11" i="870"/>
  <c r="X11" i="870"/>
  <c r="W11" i="870"/>
  <c r="V11" i="870"/>
  <c r="U11" i="870"/>
  <c r="T11" i="870"/>
  <c r="S11" i="870"/>
  <c r="R11" i="870"/>
  <c r="Z10" i="870"/>
  <c r="Y10" i="870"/>
  <c r="X10" i="870"/>
  <c r="W10" i="870"/>
  <c r="V10" i="870"/>
  <c r="U10" i="870"/>
  <c r="T10" i="870"/>
  <c r="S10" i="870"/>
  <c r="R10" i="870"/>
  <c r="B58" i="868"/>
  <c r="J53" i="868"/>
  <c r="M30" i="869"/>
  <c r="L30" i="869"/>
  <c r="K30" i="869"/>
  <c r="K44" i="869"/>
  <c r="C31" i="869" a="1"/>
  <c r="C31" i="869" s="1"/>
  <c r="C30" i="869"/>
  <c r="C29" i="869"/>
  <c r="K21" i="868"/>
  <c r="K11" i="869"/>
  <c r="K13" i="869"/>
  <c r="K14" i="869"/>
  <c r="K15" i="869"/>
  <c r="R12" i="869"/>
  <c r="S12" i="869"/>
  <c r="T12" i="869"/>
  <c r="U12" i="869"/>
  <c r="V12" i="869"/>
  <c r="W12" i="869"/>
  <c r="X12" i="869"/>
  <c r="Y12" i="869"/>
  <c r="Z12" i="869"/>
  <c r="R13" i="869"/>
  <c r="S13" i="869"/>
  <c r="T13" i="869"/>
  <c r="U13" i="869"/>
  <c r="V13" i="869"/>
  <c r="W13" i="869"/>
  <c r="X13" i="869"/>
  <c r="Y13" i="869"/>
  <c r="Z13" i="869"/>
  <c r="R14" i="869"/>
  <c r="S14" i="869"/>
  <c r="T14" i="869"/>
  <c r="U14" i="869"/>
  <c r="V14" i="869"/>
  <c r="W14" i="869"/>
  <c r="X14" i="869"/>
  <c r="Y14" i="869"/>
  <c r="Z14" i="869"/>
  <c r="R15" i="869"/>
  <c r="S15" i="869"/>
  <c r="T15" i="869"/>
  <c r="U15" i="869"/>
  <c r="V15" i="869"/>
  <c r="W15" i="869"/>
  <c r="X15" i="869"/>
  <c r="Y15" i="869"/>
  <c r="Z15" i="869"/>
  <c r="R16" i="869"/>
  <c r="S16" i="869"/>
  <c r="T16" i="869"/>
  <c r="U16" i="869"/>
  <c r="V16" i="869"/>
  <c r="W16" i="869"/>
  <c r="X16" i="869"/>
  <c r="Y16" i="869"/>
  <c r="Z16" i="869"/>
  <c r="R17" i="869"/>
  <c r="S17" i="869"/>
  <c r="T17" i="869"/>
  <c r="U17" i="869"/>
  <c r="V17" i="869"/>
  <c r="W17" i="869"/>
  <c r="X17" i="869"/>
  <c r="Y17" i="869"/>
  <c r="Z17" i="869"/>
  <c r="R18" i="869"/>
  <c r="S18" i="869"/>
  <c r="T18" i="869"/>
  <c r="U18" i="869"/>
  <c r="V18" i="869"/>
  <c r="W18" i="869"/>
  <c r="X18" i="869"/>
  <c r="Y18" i="869"/>
  <c r="Z18" i="869"/>
  <c r="R19" i="869"/>
  <c r="S19" i="869"/>
  <c r="T19" i="869"/>
  <c r="U19" i="869"/>
  <c r="V19" i="869"/>
  <c r="W19" i="869"/>
  <c r="X19" i="869"/>
  <c r="Y19" i="869"/>
  <c r="Z19" i="869"/>
  <c r="R20" i="869"/>
  <c r="S20" i="869"/>
  <c r="T20" i="869"/>
  <c r="U20" i="869"/>
  <c r="V20" i="869"/>
  <c r="W20" i="869"/>
  <c r="X20" i="869"/>
  <c r="Y20" i="869"/>
  <c r="Z20" i="869"/>
  <c r="R21" i="869"/>
  <c r="S21" i="869"/>
  <c r="T21" i="869"/>
  <c r="U21" i="869"/>
  <c r="V21" i="869"/>
  <c r="W21" i="869"/>
  <c r="X21" i="869"/>
  <c r="Y21" i="869"/>
  <c r="Z21" i="869"/>
  <c r="R22" i="869"/>
  <c r="S22" i="869"/>
  <c r="T22" i="869"/>
  <c r="U22" i="869"/>
  <c r="V22" i="869"/>
  <c r="W22" i="869"/>
  <c r="X22" i="869"/>
  <c r="Y22" i="869"/>
  <c r="Z22" i="869"/>
  <c r="R23" i="869"/>
  <c r="S23" i="869"/>
  <c r="T23" i="869"/>
  <c r="U23" i="869"/>
  <c r="V23" i="869"/>
  <c r="W23" i="869"/>
  <c r="X23" i="869"/>
  <c r="Y23" i="869"/>
  <c r="Z23" i="869"/>
  <c r="R24" i="869"/>
  <c r="S24" i="869"/>
  <c r="T24" i="869"/>
  <c r="U24" i="869"/>
  <c r="V24" i="869"/>
  <c r="W24" i="869"/>
  <c r="X24" i="869"/>
  <c r="Y24" i="869"/>
  <c r="Z24" i="869"/>
  <c r="R25" i="869"/>
  <c r="S25" i="869"/>
  <c r="T25" i="869"/>
  <c r="U25" i="869"/>
  <c r="V25" i="869"/>
  <c r="W25" i="869"/>
  <c r="X25" i="869"/>
  <c r="Y25" i="869"/>
  <c r="Z25" i="869"/>
  <c r="R26" i="869"/>
  <c r="S26" i="869"/>
  <c r="T26" i="869"/>
  <c r="U26" i="869"/>
  <c r="V26" i="869"/>
  <c r="W26" i="869"/>
  <c r="X26" i="869"/>
  <c r="Y26" i="869"/>
  <c r="Z26" i="869"/>
  <c r="R10" i="869"/>
  <c r="S10" i="869"/>
  <c r="T10" i="869"/>
  <c r="U10" i="869"/>
  <c r="V10" i="869"/>
  <c r="W10" i="869"/>
  <c r="X10" i="869"/>
  <c r="Y10" i="869"/>
  <c r="Z10" i="869"/>
  <c r="C14" i="869"/>
  <c r="D14" i="869"/>
  <c r="E14" i="869"/>
  <c r="F14" i="869"/>
  <c r="G14" i="869"/>
  <c r="I14" i="869"/>
  <c r="J14" i="869"/>
  <c r="L14" i="869"/>
  <c r="M14" i="869"/>
  <c r="N14" i="869"/>
  <c r="O14" i="869"/>
  <c r="C15" i="869"/>
  <c r="D15" i="869"/>
  <c r="E15" i="869"/>
  <c r="F15" i="869"/>
  <c r="G15" i="869"/>
  <c r="I15" i="869"/>
  <c r="J15" i="869"/>
  <c r="L15" i="869"/>
  <c r="M15" i="869"/>
  <c r="N15" i="869"/>
  <c r="O15" i="869"/>
  <c r="C10" i="869"/>
  <c r="D10" i="869"/>
  <c r="E10" i="869"/>
  <c r="F10" i="869"/>
  <c r="G10" i="869"/>
  <c r="I10" i="869"/>
  <c r="J10" i="869"/>
  <c r="K10" i="869"/>
  <c r="L10" i="869"/>
  <c r="M10" i="869"/>
  <c r="N10" i="869"/>
  <c r="O10" i="869"/>
  <c r="C11" i="869"/>
  <c r="D11" i="869"/>
  <c r="E11" i="869"/>
  <c r="F11" i="869"/>
  <c r="G11" i="869"/>
  <c r="I11" i="869"/>
  <c r="J11" i="869"/>
  <c r="L11" i="869"/>
  <c r="M11" i="869"/>
  <c r="N11" i="869"/>
  <c r="O11" i="869"/>
  <c r="C12" i="869"/>
  <c r="D12" i="869"/>
  <c r="E12" i="869"/>
  <c r="F12" i="869"/>
  <c r="G12" i="869"/>
  <c r="I12" i="869"/>
  <c r="J12" i="869"/>
  <c r="K12" i="869"/>
  <c r="L12" i="869"/>
  <c r="M12" i="869"/>
  <c r="N12" i="869"/>
  <c r="O12" i="869"/>
  <c r="C13" i="869"/>
  <c r="D13" i="869"/>
  <c r="E13" i="869"/>
  <c r="F13" i="869"/>
  <c r="G13" i="869"/>
  <c r="I13" i="869"/>
  <c r="J13" i="869"/>
  <c r="L13" i="869"/>
  <c r="M13" i="869"/>
  <c r="N13" i="869"/>
  <c r="O13" i="869"/>
  <c r="R17" i="868"/>
  <c r="S17" i="868"/>
  <c r="T17" i="868"/>
  <c r="U17" i="868"/>
  <c r="V17" i="868"/>
  <c r="W17" i="868"/>
  <c r="X17" i="868"/>
  <c r="Y17" i="868"/>
  <c r="Z17" i="868"/>
  <c r="R19" i="868"/>
  <c r="S19" i="868"/>
  <c r="T19" i="868"/>
  <c r="U19" i="868"/>
  <c r="V19" i="868"/>
  <c r="W19" i="868"/>
  <c r="X19" i="868"/>
  <c r="Y19" i="868"/>
  <c r="Z19" i="868"/>
  <c r="R20" i="868"/>
  <c r="S20" i="868"/>
  <c r="T20" i="868"/>
  <c r="U20" i="868"/>
  <c r="V20" i="868"/>
  <c r="W20" i="868"/>
  <c r="X20" i="868"/>
  <c r="Y20" i="868"/>
  <c r="Z20" i="868"/>
  <c r="R21" i="868"/>
  <c r="S21" i="868"/>
  <c r="T21" i="868"/>
  <c r="U21" i="868"/>
  <c r="V21" i="868"/>
  <c r="W21" i="868"/>
  <c r="X21" i="868"/>
  <c r="Y21" i="868"/>
  <c r="Z21" i="868"/>
  <c r="R22" i="868"/>
  <c r="S22" i="868"/>
  <c r="T22" i="868"/>
  <c r="U22" i="868"/>
  <c r="V22" i="868"/>
  <c r="W22" i="868"/>
  <c r="X22" i="868"/>
  <c r="Y22" i="868"/>
  <c r="Z22" i="868"/>
  <c r="R23" i="868"/>
  <c r="S23" i="868"/>
  <c r="T23" i="868"/>
  <c r="U23" i="868"/>
  <c r="V23" i="868"/>
  <c r="W23" i="868"/>
  <c r="X23" i="868"/>
  <c r="Y23" i="868"/>
  <c r="Z23" i="868"/>
  <c r="R24" i="868"/>
  <c r="S24" i="868"/>
  <c r="T24" i="868"/>
  <c r="U24" i="868"/>
  <c r="V24" i="868"/>
  <c r="W24" i="868"/>
  <c r="X24" i="868"/>
  <c r="Y24" i="868"/>
  <c r="Z24" i="868"/>
  <c r="C21" i="868"/>
  <c r="D21" i="868"/>
  <c r="E21" i="868"/>
  <c r="F21" i="868"/>
  <c r="G21" i="868"/>
  <c r="I21" i="868"/>
  <c r="J21" i="868"/>
  <c r="L21" i="868"/>
  <c r="M21" i="868"/>
  <c r="N21" i="868"/>
  <c r="O21" i="868"/>
  <c r="C22" i="868"/>
  <c r="D22" i="868"/>
  <c r="E22" i="868"/>
  <c r="F22" i="868"/>
  <c r="G22" i="868"/>
  <c r="I22" i="868"/>
  <c r="J22" i="868"/>
  <c r="K22" i="868"/>
  <c r="L22" i="868"/>
  <c r="M22" i="868"/>
  <c r="N22" i="868"/>
  <c r="O22" i="868"/>
  <c r="C23" i="868"/>
  <c r="D23" i="868"/>
  <c r="E23" i="868"/>
  <c r="F23" i="868"/>
  <c r="G23" i="868"/>
  <c r="I23" i="868"/>
  <c r="J23" i="868"/>
  <c r="K23" i="868"/>
  <c r="L23" i="868"/>
  <c r="M23" i="868"/>
  <c r="N23" i="868"/>
  <c r="O23" i="868"/>
  <c r="C20" i="868"/>
  <c r="D20" i="868"/>
  <c r="E20" i="868"/>
  <c r="F20" i="868"/>
  <c r="G20" i="868"/>
  <c r="I20" i="868"/>
  <c r="J20" i="868"/>
  <c r="K20" i="868"/>
  <c r="L20" i="868"/>
  <c r="M20" i="868"/>
  <c r="N20" i="868"/>
  <c r="O20" i="868"/>
  <c r="F74" i="869"/>
  <c r="L60" i="869"/>
  <c r="AX58" i="869"/>
  <c r="AW58" i="869"/>
  <c r="AV58" i="869"/>
  <c r="AU58" i="869"/>
  <c r="AT58" i="869"/>
  <c r="AS58" i="869"/>
  <c r="AR58" i="869"/>
  <c r="AQ58" i="869"/>
  <c r="AP58" i="869"/>
  <c r="AO58" i="869"/>
  <c r="AN58" i="869"/>
  <c r="AM58" i="869"/>
  <c r="AL58" i="869"/>
  <c r="AK58" i="869"/>
  <c r="AJ58" i="869"/>
  <c r="AI58" i="869"/>
  <c r="AH58" i="869"/>
  <c r="AG58" i="869"/>
  <c r="AF58" i="869"/>
  <c r="AE58" i="869"/>
  <c r="AD58" i="869"/>
  <c r="AC58" i="869"/>
  <c r="AB58" i="869"/>
  <c r="B58" i="869"/>
  <c r="K53" i="869"/>
  <c r="Z40" i="869"/>
  <c r="Y40" i="869"/>
  <c r="X40" i="869"/>
  <c r="W40" i="869"/>
  <c r="V40" i="869"/>
  <c r="U40" i="869"/>
  <c r="T40" i="869"/>
  <c r="S40" i="869"/>
  <c r="R40" i="869"/>
  <c r="Z39" i="869"/>
  <c r="Y39" i="869"/>
  <c r="X39" i="869"/>
  <c r="W39" i="869"/>
  <c r="V39" i="869"/>
  <c r="U39" i="869"/>
  <c r="T39" i="869"/>
  <c r="S39" i="869"/>
  <c r="R39" i="869"/>
  <c r="Z38" i="869"/>
  <c r="Y38" i="869"/>
  <c r="X38" i="869"/>
  <c r="W38" i="869"/>
  <c r="V38" i="869"/>
  <c r="U38" i="869"/>
  <c r="T38" i="869"/>
  <c r="S38" i="869"/>
  <c r="R38" i="869"/>
  <c r="M38" i="869"/>
  <c r="Z37" i="869"/>
  <c r="Y37" i="869"/>
  <c r="X37" i="869"/>
  <c r="W37" i="869"/>
  <c r="V37" i="869"/>
  <c r="U37" i="869"/>
  <c r="T37" i="869"/>
  <c r="S37" i="869"/>
  <c r="R37" i="869"/>
  <c r="M37" i="869"/>
  <c r="Z36" i="869"/>
  <c r="Y36" i="869"/>
  <c r="X36" i="869"/>
  <c r="W36" i="869"/>
  <c r="V36" i="869"/>
  <c r="U36" i="869"/>
  <c r="T36" i="869"/>
  <c r="S36" i="869"/>
  <c r="R36" i="869"/>
  <c r="M36" i="869"/>
  <c r="Z35" i="869"/>
  <c r="Y35" i="869"/>
  <c r="X35" i="869"/>
  <c r="W35" i="869"/>
  <c r="V35" i="869"/>
  <c r="U35" i="869"/>
  <c r="T35" i="869"/>
  <c r="S35" i="869"/>
  <c r="R35" i="869"/>
  <c r="M35" i="869"/>
  <c r="L35" i="869"/>
  <c r="K35" i="869"/>
  <c r="Z34" i="869"/>
  <c r="Y34" i="869"/>
  <c r="X34" i="869"/>
  <c r="W34" i="869"/>
  <c r="V34" i="869"/>
  <c r="U34" i="869"/>
  <c r="T34" i="869"/>
  <c r="S34" i="869"/>
  <c r="R34" i="869"/>
  <c r="M34" i="869"/>
  <c r="Z33" i="869"/>
  <c r="Y33" i="869"/>
  <c r="X33" i="869"/>
  <c r="W33" i="869"/>
  <c r="V33" i="869"/>
  <c r="U33" i="869"/>
  <c r="T33" i="869"/>
  <c r="S33" i="869"/>
  <c r="R33" i="869"/>
  <c r="Z32" i="869"/>
  <c r="Y32" i="869"/>
  <c r="X32" i="869"/>
  <c r="W32" i="869"/>
  <c r="V32" i="869"/>
  <c r="U32" i="869"/>
  <c r="T32" i="869"/>
  <c r="S32" i="869"/>
  <c r="R32" i="869"/>
  <c r="M32" i="869"/>
  <c r="L32" i="869"/>
  <c r="K32" i="869"/>
  <c r="Z31" i="869"/>
  <c r="Y31" i="869"/>
  <c r="X31" i="869"/>
  <c r="W31" i="869"/>
  <c r="V31" i="869"/>
  <c r="U31" i="869"/>
  <c r="T31" i="869"/>
  <c r="S31" i="869"/>
  <c r="R31" i="869"/>
  <c r="Z30" i="869"/>
  <c r="Y30" i="869"/>
  <c r="X30" i="869"/>
  <c r="W30" i="869"/>
  <c r="V30" i="869"/>
  <c r="U30" i="869"/>
  <c r="T30" i="869"/>
  <c r="S30" i="869"/>
  <c r="R30" i="869"/>
  <c r="M29" i="869"/>
  <c r="L29" i="869"/>
  <c r="K29" i="869"/>
  <c r="B29" i="869"/>
  <c r="R29" i="869" s="1"/>
  <c r="Z28" i="869"/>
  <c r="Y28" i="869"/>
  <c r="X28" i="869"/>
  <c r="W28" i="869"/>
  <c r="V28" i="869"/>
  <c r="U28" i="869"/>
  <c r="T28" i="869"/>
  <c r="S28" i="869"/>
  <c r="R28" i="869"/>
  <c r="Z27" i="869"/>
  <c r="Y27" i="869"/>
  <c r="X27" i="869"/>
  <c r="W27" i="869"/>
  <c r="V27" i="869"/>
  <c r="U27" i="869"/>
  <c r="T27" i="869"/>
  <c r="S27" i="869"/>
  <c r="R27" i="869"/>
  <c r="Z11" i="869"/>
  <c r="Y11" i="869"/>
  <c r="X11" i="869"/>
  <c r="W11" i="869"/>
  <c r="V11" i="869"/>
  <c r="U11" i="869"/>
  <c r="T11" i="869"/>
  <c r="S11" i="869"/>
  <c r="R11" i="869"/>
  <c r="M29" i="868"/>
  <c r="L29" i="868"/>
  <c r="K29" i="868"/>
  <c r="C17" i="868"/>
  <c r="D17" i="868"/>
  <c r="E17" i="868"/>
  <c r="F17" i="868"/>
  <c r="G17" i="868"/>
  <c r="I17" i="868"/>
  <c r="J17" i="868"/>
  <c r="L17" i="868"/>
  <c r="M17" i="868"/>
  <c r="N17" i="868"/>
  <c r="O17" i="868"/>
  <c r="K44" i="871" l="1"/>
  <c r="K35" i="872"/>
  <c r="L35" i="872" s="1"/>
  <c r="M35" i="872" s="1"/>
  <c r="R25" i="872"/>
  <c r="S25" i="872"/>
  <c r="K39" i="870"/>
  <c r="L39" i="870" s="1"/>
  <c r="M39" i="870" s="1"/>
  <c r="Y29" i="870"/>
  <c r="Z29" i="870"/>
  <c r="R29" i="870"/>
  <c r="S29" i="870"/>
  <c r="T29" i="870"/>
  <c r="V29" i="870"/>
  <c r="J30" i="869"/>
  <c r="J30" i="868"/>
  <c r="X29" i="869"/>
  <c r="V29" i="869"/>
  <c r="W29" i="869"/>
  <c r="Y29" i="869"/>
  <c r="Z29" i="869"/>
  <c r="T29" i="869"/>
  <c r="S29" i="869"/>
  <c r="K39" i="869"/>
  <c r="L39" i="869" s="1"/>
  <c r="M39" i="869" s="1"/>
  <c r="U29" i="869"/>
  <c r="R10" i="868" l="1"/>
  <c r="S10" i="868"/>
  <c r="T10" i="868"/>
  <c r="U10" i="868"/>
  <c r="V10" i="868"/>
  <c r="W10" i="868"/>
  <c r="X10" i="868"/>
  <c r="Y10" i="868"/>
  <c r="Z10" i="868"/>
  <c r="R11" i="868"/>
  <c r="S11" i="868"/>
  <c r="T11" i="868"/>
  <c r="U11" i="868"/>
  <c r="V11" i="868"/>
  <c r="W11" i="868"/>
  <c r="X11" i="868"/>
  <c r="Y11" i="868"/>
  <c r="Z11" i="868"/>
  <c r="R12" i="868"/>
  <c r="S12" i="868"/>
  <c r="T12" i="868"/>
  <c r="U12" i="868"/>
  <c r="V12" i="868"/>
  <c r="W12" i="868"/>
  <c r="X12" i="868"/>
  <c r="Y12" i="868"/>
  <c r="Z12" i="868"/>
  <c r="R13" i="868"/>
  <c r="S13" i="868"/>
  <c r="T13" i="868"/>
  <c r="U13" i="868"/>
  <c r="V13" i="868"/>
  <c r="W13" i="868"/>
  <c r="X13" i="868"/>
  <c r="Y13" i="868"/>
  <c r="Z13" i="868"/>
  <c r="R14" i="868"/>
  <c r="S14" i="868"/>
  <c r="T14" i="868"/>
  <c r="U14" i="868"/>
  <c r="V14" i="868"/>
  <c r="W14" i="868"/>
  <c r="X14" i="868"/>
  <c r="Y14" i="868"/>
  <c r="Z14" i="868"/>
  <c r="R15" i="868"/>
  <c r="S15" i="868"/>
  <c r="T15" i="868"/>
  <c r="U15" i="868"/>
  <c r="V15" i="868"/>
  <c r="W15" i="868"/>
  <c r="X15" i="868"/>
  <c r="Y15" i="868"/>
  <c r="Z15" i="868"/>
  <c r="R16" i="868"/>
  <c r="S16" i="868"/>
  <c r="T16" i="868"/>
  <c r="U16" i="868"/>
  <c r="V16" i="868"/>
  <c r="W16" i="868"/>
  <c r="X16" i="868"/>
  <c r="Y16" i="868"/>
  <c r="Z16" i="868"/>
  <c r="L10" i="868"/>
  <c r="M10" i="868"/>
  <c r="N10" i="868"/>
  <c r="O10" i="868"/>
  <c r="L11" i="868"/>
  <c r="M11" i="868"/>
  <c r="N11" i="868"/>
  <c r="O11" i="868"/>
  <c r="L12" i="868"/>
  <c r="M12" i="868"/>
  <c r="N12" i="868"/>
  <c r="O12" i="868"/>
  <c r="L13" i="868"/>
  <c r="M13" i="868"/>
  <c r="N13" i="868"/>
  <c r="O13" i="868"/>
  <c r="I14" i="868"/>
  <c r="J14" i="868"/>
  <c r="L14" i="868"/>
  <c r="M14" i="868"/>
  <c r="N14" i="868"/>
  <c r="O14" i="868"/>
  <c r="I15" i="868"/>
  <c r="J15" i="868"/>
  <c r="L15" i="868"/>
  <c r="M15" i="868"/>
  <c r="N15" i="868"/>
  <c r="O15" i="868"/>
  <c r="I16" i="868"/>
  <c r="J16" i="868"/>
  <c r="M16" i="868"/>
  <c r="N16" i="868"/>
  <c r="O16" i="868"/>
  <c r="D10" i="868"/>
  <c r="E10" i="868"/>
  <c r="F10" i="868"/>
  <c r="G10" i="868"/>
  <c r="D11" i="868"/>
  <c r="E11" i="868"/>
  <c r="F11" i="868"/>
  <c r="G11" i="868"/>
  <c r="D12" i="868"/>
  <c r="E12" i="868"/>
  <c r="F12" i="868"/>
  <c r="G12" i="868"/>
  <c r="D13" i="868"/>
  <c r="E13" i="868"/>
  <c r="F13" i="868"/>
  <c r="G13" i="868"/>
  <c r="D14" i="868"/>
  <c r="E14" i="868"/>
  <c r="F14" i="868"/>
  <c r="G14" i="868"/>
  <c r="D15" i="868"/>
  <c r="E15" i="868"/>
  <c r="F15" i="868"/>
  <c r="G15" i="868"/>
  <c r="D16" i="868"/>
  <c r="E16" i="868"/>
  <c r="F16" i="868"/>
  <c r="G16" i="868"/>
  <c r="C29" i="868" a="1"/>
  <c r="C29" i="868" s="1"/>
  <c r="C10" i="868" l="1"/>
  <c r="C11" i="868"/>
  <c r="C12" i="868"/>
  <c r="C13" i="868"/>
  <c r="C14" i="868"/>
  <c r="C15" i="868"/>
  <c r="C16" i="868"/>
  <c r="I13" i="868" l="1"/>
  <c r="J10" i="868" l="1"/>
  <c r="I10" i="868"/>
  <c r="I12" i="868"/>
  <c r="I11" i="868"/>
  <c r="J13" i="868"/>
  <c r="J11" i="868"/>
  <c r="J12" i="868"/>
  <c r="J29" i="868" l="1"/>
  <c r="F74" i="868"/>
  <c r="L60" i="868"/>
  <c r="AX58" i="868"/>
  <c r="AW58" i="868"/>
  <c r="AV58" i="868"/>
  <c r="AU58" i="868"/>
  <c r="AT58" i="868"/>
  <c r="AS58" i="868"/>
  <c r="AR58" i="868"/>
  <c r="AQ58" i="868"/>
  <c r="AP58" i="868"/>
  <c r="AO58" i="868"/>
  <c r="AN58" i="868"/>
  <c r="AM58" i="868"/>
  <c r="AL58" i="868"/>
  <c r="AK58" i="868"/>
  <c r="AJ58" i="868"/>
  <c r="AI58" i="868"/>
  <c r="AH58" i="868"/>
  <c r="AG58" i="868"/>
  <c r="AF58" i="868"/>
  <c r="AE58" i="868"/>
  <c r="AD58" i="868"/>
  <c r="AC58" i="868"/>
  <c r="AB58" i="868"/>
  <c r="K53" i="868"/>
  <c r="Z40" i="868"/>
  <c r="Y40" i="868"/>
  <c r="X40" i="868"/>
  <c r="W40" i="868"/>
  <c r="V40" i="868"/>
  <c r="U40" i="868"/>
  <c r="T40" i="868"/>
  <c r="S40" i="868"/>
  <c r="R40" i="868"/>
  <c r="Z39" i="868"/>
  <c r="Y39" i="868"/>
  <c r="X39" i="868"/>
  <c r="W39" i="868"/>
  <c r="V39" i="868"/>
  <c r="U39" i="868"/>
  <c r="T39" i="868"/>
  <c r="S39" i="868"/>
  <c r="R39" i="868"/>
  <c r="Z38" i="868"/>
  <c r="Y38" i="868"/>
  <c r="X38" i="868"/>
  <c r="W38" i="868"/>
  <c r="V38" i="868"/>
  <c r="U38" i="868"/>
  <c r="T38" i="868"/>
  <c r="S38" i="868"/>
  <c r="R38" i="868"/>
  <c r="M38" i="868"/>
  <c r="Z37" i="868"/>
  <c r="Y37" i="868"/>
  <c r="X37" i="868"/>
  <c r="W37" i="868"/>
  <c r="V37" i="868"/>
  <c r="U37" i="868"/>
  <c r="T37" i="868"/>
  <c r="S37" i="868"/>
  <c r="R37" i="868"/>
  <c r="M37" i="868"/>
  <c r="Z36" i="868"/>
  <c r="Y36" i="868"/>
  <c r="X36" i="868"/>
  <c r="W36" i="868"/>
  <c r="V36" i="868"/>
  <c r="U36" i="868"/>
  <c r="T36" i="868"/>
  <c r="S36" i="868"/>
  <c r="R36" i="868"/>
  <c r="M36" i="868"/>
  <c r="Z35" i="868"/>
  <c r="Y35" i="868"/>
  <c r="X35" i="868"/>
  <c r="W35" i="868"/>
  <c r="V35" i="868"/>
  <c r="U35" i="868"/>
  <c r="T35" i="868"/>
  <c r="S35" i="868"/>
  <c r="R35" i="868"/>
  <c r="M35" i="868"/>
  <c r="L35" i="868"/>
  <c r="K35" i="868"/>
  <c r="Z34" i="868"/>
  <c r="Y34" i="868"/>
  <c r="X34" i="868"/>
  <c r="W34" i="868"/>
  <c r="V34" i="868"/>
  <c r="U34" i="868"/>
  <c r="T34" i="868"/>
  <c r="S34" i="868"/>
  <c r="R34" i="868"/>
  <c r="M34" i="868"/>
  <c r="Z33" i="868"/>
  <c r="Y33" i="868"/>
  <c r="X33" i="868"/>
  <c r="W33" i="868"/>
  <c r="V33" i="868"/>
  <c r="U33" i="868"/>
  <c r="T33" i="868"/>
  <c r="S33" i="868"/>
  <c r="R33" i="868"/>
  <c r="Z32" i="868"/>
  <c r="Y32" i="868"/>
  <c r="X32" i="868"/>
  <c r="W32" i="868"/>
  <c r="V32" i="868"/>
  <c r="U32" i="868"/>
  <c r="T32" i="868"/>
  <c r="S32" i="868"/>
  <c r="R32" i="868"/>
  <c r="M32" i="868"/>
  <c r="L32" i="868"/>
  <c r="K32" i="868"/>
  <c r="Z31" i="868"/>
  <c r="Y31" i="868"/>
  <c r="X31" i="868"/>
  <c r="W31" i="868"/>
  <c r="V31" i="868"/>
  <c r="U31" i="868"/>
  <c r="T31" i="868"/>
  <c r="S31" i="868"/>
  <c r="R31" i="868"/>
  <c r="Z30" i="868"/>
  <c r="Y30" i="868"/>
  <c r="X30" i="868"/>
  <c r="W30" i="868"/>
  <c r="V30" i="868"/>
  <c r="U30" i="868"/>
  <c r="T30" i="868"/>
  <c r="S30" i="868"/>
  <c r="R30" i="868"/>
  <c r="M30" i="868"/>
  <c r="L30" i="868"/>
  <c r="K30" i="868"/>
  <c r="B29" i="868"/>
  <c r="U29" i="868" s="1"/>
  <c r="Z28" i="868"/>
  <c r="Y28" i="868"/>
  <c r="X28" i="868"/>
  <c r="W28" i="868"/>
  <c r="V28" i="868"/>
  <c r="U28" i="868"/>
  <c r="T28" i="868"/>
  <c r="S28" i="868"/>
  <c r="R28" i="868"/>
  <c r="Z27" i="868"/>
  <c r="Y27" i="868"/>
  <c r="X27" i="868"/>
  <c r="W27" i="868"/>
  <c r="V27" i="868"/>
  <c r="U27" i="868"/>
  <c r="T27" i="868"/>
  <c r="S27" i="868"/>
  <c r="R27" i="868"/>
  <c r="Z26" i="868"/>
  <c r="Y26" i="868"/>
  <c r="X26" i="868"/>
  <c r="W26" i="868"/>
  <c r="V26" i="868"/>
  <c r="U26" i="868"/>
  <c r="T26" i="868"/>
  <c r="S26" i="868"/>
  <c r="R26" i="868"/>
  <c r="Z25" i="868"/>
  <c r="Y25" i="868"/>
  <c r="X25" i="868"/>
  <c r="W25" i="868"/>
  <c r="V25" i="868"/>
  <c r="U25" i="868"/>
  <c r="T25" i="868"/>
  <c r="S25" i="868"/>
  <c r="R25" i="868"/>
  <c r="G60" i="18"/>
  <c r="G61" i="18"/>
  <c r="G63" i="18"/>
  <c r="G64" i="18"/>
  <c r="W29" i="868" l="1"/>
  <c r="K39" i="868"/>
  <c r="L39" i="868" s="1"/>
  <c r="M39" i="868" s="1"/>
  <c r="X29" i="868"/>
  <c r="Y29" i="868"/>
  <c r="V29" i="868"/>
  <c r="Z29" i="868"/>
  <c r="R29" i="868"/>
  <c r="S29" i="868"/>
  <c r="T29" i="868"/>
  <c r="B23" i="867"/>
  <c r="T23" i="867" s="1"/>
  <c r="M23" i="867"/>
  <c r="L23" i="867"/>
  <c r="K23" i="867"/>
  <c r="B52" i="867"/>
  <c r="C23" i="867" a="1"/>
  <c r="C23" i="867" s="1"/>
  <c r="L12" i="867"/>
  <c r="L11" i="867"/>
  <c r="L10" i="867"/>
  <c r="M10" i="867"/>
  <c r="O10" i="867"/>
  <c r="M11" i="867"/>
  <c r="O11" i="867"/>
  <c r="M12" i="867"/>
  <c r="O12" i="867"/>
  <c r="L13" i="867"/>
  <c r="M13" i="867"/>
  <c r="O13" i="867"/>
  <c r="C10" i="867"/>
  <c r="D10" i="867"/>
  <c r="E10" i="867"/>
  <c r="F10" i="867"/>
  <c r="G10" i="867"/>
  <c r="C11" i="867"/>
  <c r="D11" i="867"/>
  <c r="E11" i="867"/>
  <c r="F11" i="867"/>
  <c r="G11" i="867"/>
  <c r="C12" i="867"/>
  <c r="D12" i="867"/>
  <c r="E12" i="867"/>
  <c r="F12" i="867"/>
  <c r="G12" i="867"/>
  <c r="C13" i="867"/>
  <c r="D13" i="867"/>
  <c r="E13" i="867"/>
  <c r="F13" i="867"/>
  <c r="G13" i="867"/>
  <c r="F68" i="867"/>
  <c r="L54" i="867"/>
  <c r="AX52" i="867"/>
  <c r="AW52" i="867"/>
  <c r="AV52" i="867"/>
  <c r="AU52" i="867"/>
  <c r="AT52" i="867"/>
  <c r="AS52" i="867"/>
  <c r="AR52" i="867"/>
  <c r="AQ52" i="867"/>
  <c r="AP52" i="867"/>
  <c r="AO52" i="867"/>
  <c r="AN52" i="867"/>
  <c r="AM52" i="867"/>
  <c r="AL52" i="867"/>
  <c r="AK52" i="867"/>
  <c r="AJ52" i="867"/>
  <c r="AI52" i="867"/>
  <c r="AH52" i="867"/>
  <c r="AG52" i="867"/>
  <c r="AF52" i="867"/>
  <c r="AE52" i="867"/>
  <c r="AD52" i="867"/>
  <c r="AC52" i="867"/>
  <c r="AB52" i="867"/>
  <c r="K47" i="867"/>
  <c r="Z34" i="867"/>
  <c r="Y34" i="867"/>
  <c r="X34" i="867"/>
  <c r="W34" i="867"/>
  <c r="V34" i="867"/>
  <c r="U34" i="867"/>
  <c r="T34" i="867"/>
  <c r="S34" i="867"/>
  <c r="R34" i="867"/>
  <c r="Z33" i="867"/>
  <c r="Y33" i="867"/>
  <c r="X33" i="867"/>
  <c r="W33" i="867"/>
  <c r="V33" i="867"/>
  <c r="U33" i="867"/>
  <c r="T33" i="867"/>
  <c r="S33" i="867"/>
  <c r="R33" i="867"/>
  <c r="Z32" i="867"/>
  <c r="Y32" i="867"/>
  <c r="X32" i="867"/>
  <c r="W32" i="867"/>
  <c r="V32" i="867"/>
  <c r="U32" i="867"/>
  <c r="T32" i="867"/>
  <c r="S32" i="867"/>
  <c r="R32" i="867"/>
  <c r="M32" i="867"/>
  <c r="Z31" i="867"/>
  <c r="Y31" i="867"/>
  <c r="X31" i="867"/>
  <c r="W31" i="867"/>
  <c r="V31" i="867"/>
  <c r="U31" i="867"/>
  <c r="T31" i="867"/>
  <c r="S31" i="867"/>
  <c r="R31" i="867"/>
  <c r="M31" i="867"/>
  <c r="Z30" i="867"/>
  <c r="Y30" i="867"/>
  <c r="X30" i="867"/>
  <c r="W30" i="867"/>
  <c r="V30" i="867"/>
  <c r="U30" i="867"/>
  <c r="T30" i="867"/>
  <c r="S30" i="867"/>
  <c r="R30" i="867"/>
  <c r="M30" i="867"/>
  <c r="Z29" i="867"/>
  <c r="Y29" i="867"/>
  <c r="X29" i="867"/>
  <c r="W29" i="867"/>
  <c r="V29" i="867"/>
  <c r="U29" i="867"/>
  <c r="T29" i="867"/>
  <c r="S29" i="867"/>
  <c r="R29" i="867"/>
  <c r="M29" i="867"/>
  <c r="L29" i="867"/>
  <c r="K29" i="867"/>
  <c r="Z28" i="867"/>
  <c r="Y28" i="867"/>
  <c r="X28" i="867"/>
  <c r="W28" i="867"/>
  <c r="V28" i="867"/>
  <c r="U28" i="867"/>
  <c r="T28" i="867"/>
  <c r="S28" i="867"/>
  <c r="R28" i="867"/>
  <c r="M28" i="867"/>
  <c r="Z27" i="867"/>
  <c r="Y27" i="867"/>
  <c r="X27" i="867"/>
  <c r="W27" i="867"/>
  <c r="V27" i="867"/>
  <c r="U27" i="867"/>
  <c r="T27" i="867"/>
  <c r="S27" i="867"/>
  <c r="R27" i="867"/>
  <c r="Z26" i="867"/>
  <c r="Y26" i="867"/>
  <c r="X26" i="867"/>
  <c r="W26" i="867"/>
  <c r="V26" i="867"/>
  <c r="U26" i="867"/>
  <c r="T26" i="867"/>
  <c r="S26" i="867"/>
  <c r="R26" i="867"/>
  <c r="M26" i="867"/>
  <c r="L26" i="867"/>
  <c r="K26" i="867"/>
  <c r="Z25" i="867"/>
  <c r="Y25" i="867"/>
  <c r="X25" i="867"/>
  <c r="W25" i="867"/>
  <c r="V25" i="867"/>
  <c r="U25" i="867"/>
  <c r="T25" i="867"/>
  <c r="S25" i="867"/>
  <c r="R25" i="867"/>
  <c r="Z24" i="867"/>
  <c r="Y24" i="867"/>
  <c r="X24" i="867"/>
  <c r="W24" i="867"/>
  <c r="V24" i="867"/>
  <c r="U24" i="867"/>
  <c r="T24" i="867"/>
  <c r="S24" i="867"/>
  <c r="R24" i="867"/>
  <c r="M24" i="867"/>
  <c r="L24" i="867"/>
  <c r="K24" i="867"/>
  <c r="Z22" i="867"/>
  <c r="Y22" i="867"/>
  <c r="X22" i="867"/>
  <c r="W22" i="867"/>
  <c r="V22" i="867"/>
  <c r="U22" i="867"/>
  <c r="T22" i="867"/>
  <c r="S22" i="867"/>
  <c r="R22" i="867"/>
  <c r="Z21" i="867"/>
  <c r="Y21" i="867"/>
  <c r="X21" i="867"/>
  <c r="W21" i="867"/>
  <c r="V21" i="867"/>
  <c r="U21" i="867"/>
  <c r="T21" i="867"/>
  <c r="S21" i="867"/>
  <c r="R21" i="867"/>
  <c r="Z20" i="867"/>
  <c r="Y20" i="867"/>
  <c r="X20" i="867"/>
  <c r="W20" i="867"/>
  <c r="V20" i="867"/>
  <c r="U20" i="867"/>
  <c r="T20" i="867"/>
  <c r="S20" i="867"/>
  <c r="R20" i="867"/>
  <c r="Z19" i="867"/>
  <c r="Y19" i="867"/>
  <c r="X19" i="867"/>
  <c r="W19" i="867"/>
  <c r="V19" i="867"/>
  <c r="U19" i="867"/>
  <c r="T19" i="867"/>
  <c r="S19" i="867"/>
  <c r="R19" i="867"/>
  <c r="Z18" i="867"/>
  <c r="Y18" i="867"/>
  <c r="X18" i="867"/>
  <c r="W18" i="867"/>
  <c r="V18" i="867"/>
  <c r="U18" i="867"/>
  <c r="T18" i="867"/>
  <c r="S18" i="867"/>
  <c r="R18" i="867"/>
  <c r="Z17" i="867"/>
  <c r="Y17" i="867"/>
  <c r="X17" i="867"/>
  <c r="W17" i="867"/>
  <c r="V17" i="867"/>
  <c r="U17" i="867"/>
  <c r="T17" i="867"/>
  <c r="S17" i="867"/>
  <c r="R17" i="867"/>
  <c r="Z16" i="867"/>
  <c r="Y16" i="867"/>
  <c r="X16" i="867"/>
  <c r="W16" i="867"/>
  <c r="V16" i="867"/>
  <c r="U16" i="867"/>
  <c r="T16" i="867"/>
  <c r="S16" i="867"/>
  <c r="R16" i="867"/>
  <c r="Z15" i="867"/>
  <c r="Y15" i="867"/>
  <c r="X15" i="867"/>
  <c r="W15" i="867"/>
  <c r="V15" i="867"/>
  <c r="U15" i="867"/>
  <c r="T15" i="867"/>
  <c r="S15" i="867"/>
  <c r="R15" i="867"/>
  <c r="Z14" i="867"/>
  <c r="Y14" i="867"/>
  <c r="X14" i="867"/>
  <c r="W14" i="867"/>
  <c r="V14" i="867"/>
  <c r="U14" i="867"/>
  <c r="T14" i="867"/>
  <c r="S14" i="867"/>
  <c r="R14" i="867"/>
  <c r="Z13" i="867"/>
  <c r="Y13" i="867"/>
  <c r="X13" i="867"/>
  <c r="W13" i="867"/>
  <c r="V13" i="867"/>
  <c r="U13" i="867"/>
  <c r="T13" i="867"/>
  <c r="S13" i="867"/>
  <c r="R13" i="867"/>
  <c r="Z12" i="867"/>
  <c r="Y12" i="867"/>
  <c r="X12" i="867"/>
  <c r="W12" i="867"/>
  <c r="V12" i="867"/>
  <c r="U12" i="867"/>
  <c r="T12" i="867"/>
  <c r="S12" i="867"/>
  <c r="R12" i="867"/>
  <c r="Z11" i="867"/>
  <c r="Y11" i="867"/>
  <c r="X11" i="867"/>
  <c r="W11" i="867"/>
  <c r="V11" i="867"/>
  <c r="U11" i="867"/>
  <c r="T11" i="867"/>
  <c r="S11" i="867"/>
  <c r="R11" i="867"/>
  <c r="Z10" i="867"/>
  <c r="Y10" i="867"/>
  <c r="X10" i="867"/>
  <c r="W10" i="867"/>
  <c r="V10" i="867"/>
  <c r="U10" i="867"/>
  <c r="T10" i="867"/>
  <c r="S10" i="867"/>
  <c r="R10" i="867"/>
  <c r="M27" i="866"/>
  <c r="L27" i="866"/>
  <c r="K27" i="866"/>
  <c r="K33" i="867" l="1"/>
  <c r="U23" i="867"/>
  <c r="V23" i="867"/>
  <c r="W23" i="867"/>
  <c r="X23" i="867"/>
  <c r="Y23" i="867"/>
  <c r="Z23" i="867"/>
  <c r="R23" i="867"/>
  <c r="S23" i="867"/>
  <c r="L33" i="867"/>
  <c r="M33" i="867" s="1"/>
  <c r="D10" i="866"/>
  <c r="D11" i="866"/>
  <c r="D12" i="866"/>
  <c r="D13" i="866"/>
  <c r="R13" i="866"/>
  <c r="S13" i="866"/>
  <c r="T13" i="866"/>
  <c r="U13" i="866"/>
  <c r="V13" i="866"/>
  <c r="W13" i="866"/>
  <c r="X13" i="866"/>
  <c r="Y13" i="866"/>
  <c r="Z13" i="866"/>
  <c r="R14" i="866"/>
  <c r="S14" i="866"/>
  <c r="T14" i="866"/>
  <c r="U14" i="866"/>
  <c r="V14" i="866"/>
  <c r="W14" i="866"/>
  <c r="X14" i="866"/>
  <c r="Y14" i="866"/>
  <c r="Z14" i="866"/>
  <c r="R15" i="866"/>
  <c r="S15" i="866"/>
  <c r="T15" i="866"/>
  <c r="U15" i="866"/>
  <c r="V15" i="866"/>
  <c r="W15" i="866"/>
  <c r="X15" i="866"/>
  <c r="Y15" i="866"/>
  <c r="Z15" i="866"/>
  <c r="R16" i="866"/>
  <c r="S16" i="866"/>
  <c r="T16" i="866"/>
  <c r="U16" i="866"/>
  <c r="V16" i="866"/>
  <c r="W16" i="866"/>
  <c r="X16" i="866"/>
  <c r="Y16" i="866"/>
  <c r="Z16" i="866"/>
  <c r="R17" i="866"/>
  <c r="S17" i="866"/>
  <c r="T17" i="866"/>
  <c r="U17" i="866"/>
  <c r="V17" i="866"/>
  <c r="W17" i="866"/>
  <c r="X17" i="866"/>
  <c r="Y17" i="866"/>
  <c r="Z17" i="866"/>
  <c r="R18" i="866"/>
  <c r="S18" i="866"/>
  <c r="T18" i="866"/>
  <c r="U18" i="866"/>
  <c r="V18" i="866"/>
  <c r="W18" i="866"/>
  <c r="X18" i="866"/>
  <c r="Y18" i="866"/>
  <c r="Z18" i="866"/>
  <c r="R19" i="866"/>
  <c r="S19" i="866"/>
  <c r="T19" i="866"/>
  <c r="U19" i="866"/>
  <c r="V19" i="866"/>
  <c r="W19" i="866"/>
  <c r="X19" i="866"/>
  <c r="Y19" i="866"/>
  <c r="Z19" i="866"/>
  <c r="R20" i="866"/>
  <c r="S20" i="866"/>
  <c r="T20" i="866"/>
  <c r="U20" i="866"/>
  <c r="V20" i="866"/>
  <c r="W20" i="866"/>
  <c r="X20" i="866"/>
  <c r="Y20" i="866"/>
  <c r="Z20" i="866"/>
  <c r="R21" i="866"/>
  <c r="S21" i="866"/>
  <c r="T21" i="866"/>
  <c r="U21" i="866"/>
  <c r="V21" i="866"/>
  <c r="W21" i="866"/>
  <c r="X21" i="866"/>
  <c r="Y21" i="866"/>
  <c r="Z21" i="866"/>
  <c r="R22" i="866"/>
  <c r="S22" i="866"/>
  <c r="T22" i="866"/>
  <c r="U22" i="866"/>
  <c r="V22" i="866"/>
  <c r="W22" i="866"/>
  <c r="X22" i="866"/>
  <c r="Y22" i="866"/>
  <c r="Z22" i="866"/>
  <c r="R23" i="866"/>
  <c r="S23" i="866"/>
  <c r="T23" i="866"/>
  <c r="U23" i="866"/>
  <c r="V23" i="866"/>
  <c r="W23" i="866"/>
  <c r="X23" i="866"/>
  <c r="Y23" i="866"/>
  <c r="Z23" i="866"/>
  <c r="C10" i="866"/>
  <c r="E10" i="866"/>
  <c r="F10" i="866"/>
  <c r="G10" i="866"/>
  <c r="I10" i="866"/>
  <c r="J10" i="866"/>
  <c r="L10" i="866"/>
  <c r="M10" i="866"/>
  <c r="N10" i="866"/>
  <c r="O10" i="866"/>
  <c r="C11" i="866"/>
  <c r="E11" i="866"/>
  <c r="F11" i="866"/>
  <c r="G11" i="866"/>
  <c r="I11" i="866"/>
  <c r="J11" i="866"/>
  <c r="L11" i="866"/>
  <c r="M11" i="866"/>
  <c r="N11" i="866"/>
  <c r="O11" i="866"/>
  <c r="C12" i="866"/>
  <c r="E12" i="866"/>
  <c r="F12" i="866"/>
  <c r="G12" i="866"/>
  <c r="I12" i="866"/>
  <c r="J12" i="866"/>
  <c r="L12" i="866"/>
  <c r="M12" i="866"/>
  <c r="N12" i="866"/>
  <c r="O12" i="866"/>
  <c r="C13" i="866"/>
  <c r="E13" i="866"/>
  <c r="F13" i="866"/>
  <c r="G13" i="866"/>
  <c r="I13" i="866"/>
  <c r="J13" i="866"/>
  <c r="L13" i="866"/>
  <c r="M13" i="866"/>
  <c r="O13" i="866"/>
  <c r="F72" i="866"/>
  <c r="AX56" i="866"/>
  <c r="AW56" i="866"/>
  <c r="AV56" i="866"/>
  <c r="AU56" i="866"/>
  <c r="AT56" i="866"/>
  <c r="AS56" i="866"/>
  <c r="AR56" i="866"/>
  <c r="AQ56" i="866"/>
  <c r="AP56" i="866"/>
  <c r="AO56" i="866"/>
  <c r="AN56" i="866"/>
  <c r="AM56" i="866"/>
  <c r="AL56" i="866"/>
  <c r="AK56" i="866"/>
  <c r="AJ56" i="866"/>
  <c r="AI56" i="866"/>
  <c r="AH56" i="866"/>
  <c r="AG56" i="866"/>
  <c r="AF56" i="866"/>
  <c r="AE56" i="866"/>
  <c r="AD56" i="866"/>
  <c r="AC56" i="866"/>
  <c r="AB56" i="866"/>
  <c r="L56" i="866"/>
  <c r="K51" i="866"/>
  <c r="Z38" i="866"/>
  <c r="Y38" i="866"/>
  <c r="X38" i="866"/>
  <c r="W38" i="866"/>
  <c r="V38" i="866"/>
  <c r="U38" i="866"/>
  <c r="T38" i="866"/>
  <c r="S38" i="866"/>
  <c r="R38" i="866"/>
  <c r="Z37" i="866"/>
  <c r="Y37" i="866"/>
  <c r="X37" i="866"/>
  <c r="W37" i="866"/>
  <c r="V37" i="866"/>
  <c r="U37" i="866"/>
  <c r="T37" i="866"/>
  <c r="S37" i="866"/>
  <c r="R37" i="866"/>
  <c r="Z36" i="866"/>
  <c r="Y36" i="866"/>
  <c r="X36" i="866"/>
  <c r="W36" i="866"/>
  <c r="V36" i="866"/>
  <c r="U36" i="866"/>
  <c r="T36" i="866"/>
  <c r="S36" i="866"/>
  <c r="R36" i="866"/>
  <c r="M36" i="866"/>
  <c r="Z35" i="866"/>
  <c r="Y35" i="866"/>
  <c r="X35" i="866"/>
  <c r="W35" i="866"/>
  <c r="V35" i="866"/>
  <c r="U35" i="866"/>
  <c r="T35" i="866"/>
  <c r="S35" i="866"/>
  <c r="R35" i="866"/>
  <c r="M35" i="866"/>
  <c r="Z34" i="866"/>
  <c r="Y34" i="866"/>
  <c r="X34" i="866"/>
  <c r="W34" i="866"/>
  <c r="V34" i="866"/>
  <c r="U34" i="866"/>
  <c r="T34" i="866"/>
  <c r="S34" i="866"/>
  <c r="R34" i="866"/>
  <c r="M34" i="866"/>
  <c r="Z33" i="866"/>
  <c r="Y33" i="866"/>
  <c r="X33" i="866"/>
  <c r="W33" i="866"/>
  <c r="V33" i="866"/>
  <c r="U33" i="866"/>
  <c r="T33" i="866"/>
  <c r="S33" i="866"/>
  <c r="R33" i="866"/>
  <c r="M33" i="866"/>
  <c r="L33" i="866"/>
  <c r="K33" i="866"/>
  <c r="Z32" i="866"/>
  <c r="Y32" i="866"/>
  <c r="X32" i="866"/>
  <c r="W32" i="866"/>
  <c r="V32" i="866"/>
  <c r="U32" i="866"/>
  <c r="T32" i="866"/>
  <c r="S32" i="866"/>
  <c r="R32" i="866"/>
  <c r="M32" i="866"/>
  <c r="Z31" i="866"/>
  <c r="Y31" i="866"/>
  <c r="X31" i="866"/>
  <c r="W31" i="866"/>
  <c r="V31" i="866"/>
  <c r="U31" i="866"/>
  <c r="T31" i="866"/>
  <c r="S31" i="866"/>
  <c r="R31" i="866"/>
  <c r="Z30" i="866"/>
  <c r="Y30" i="866"/>
  <c r="X30" i="866"/>
  <c r="W30" i="866"/>
  <c r="V30" i="866"/>
  <c r="U30" i="866"/>
  <c r="T30" i="866"/>
  <c r="S30" i="866"/>
  <c r="R30" i="866"/>
  <c r="M30" i="866"/>
  <c r="L30" i="866"/>
  <c r="K30" i="866"/>
  <c r="Z29" i="866"/>
  <c r="Y29" i="866"/>
  <c r="X29" i="866"/>
  <c r="W29" i="866"/>
  <c r="V29" i="866"/>
  <c r="U29" i="866"/>
  <c r="T29" i="866"/>
  <c r="S29" i="866"/>
  <c r="R29" i="866"/>
  <c r="Z28" i="866"/>
  <c r="Y28" i="866"/>
  <c r="X28" i="866"/>
  <c r="W28" i="866"/>
  <c r="V28" i="866"/>
  <c r="U28" i="866"/>
  <c r="T28" i="866"/>
  <c r="S28" i="866"/>
  <c r="R28" i="866"/>
  <c r="M28" i="866"/>
  <c r="L28" i="866"/>
  <c r="K28" i="866"/>
  <c r="X27" i="866"/>
  <c r="W27" i="866"/>
  <c r="V27" i="866"/>
  <c r="U27" i="866"/>
  <c r="Z27" i="866"/>
  <c r="Z26" i="866"/>
  <c r="Y26" i="866"/>
  <c r="X26" i="866"/>
  <c r="W26" i="866"/>
  <c r="V26" i="866"/>
  <c r="U26" i="866"/>
  <c r="T26" i="866"/>
  <c r="S26" i="866"/>
  <c r="R26" i="866"/>
  <c r="Z25" i="866"/>
  <c r="Y25" i="866"/>
  <c r="X25" i="866"/>
  <c r="W25" i="866"/>
  <c r="V25" i="866"/>
  <c r="U25" i="866"/>
  <c r="T25" i="866"/>
  <c r="S25" i="866"/>
  <c r="R25" i="866"/>
  <c r="Z24" i="866"/>
  <c r="Y24" i="866"/>
  <c r="X24" i="866"/>
  <c r="W24" i="866"/>
  <c r="V24" i="866"/>
  <c r="U24" i="866"/>
  <c r="T24" i="866"/>
  <c r="S24" i="866"/>
  <c r="R24" i="866"/>
  <c r="Z12" i="866"/>
  <c r="Y12" i="866"/>
  <c r="X12" i="866"/>
  <c r="W12" i="866"/>
  <c r="V12" i="866"/>
  <c r="U12" i="866"/>
  <c r="T12" i="866"/>
  <c r="S12" i="866"/>
  <c r="R12" i="866"/>
  <c r="Z11" i="866"/>
  <c r="Y11" i="866"/>
  <c r="X11" i="866"/>
  <c r="W11" i="866"/>
  <c r="V11" i="866"/>
  <c r="U11" i="866"/>
  <c r="T11" i="866"/>
  <c r="S11" i="866"/>
  <c r="R11" i="866"/>
  <c r="Z10" i="866"/>
  <c r="Y10" i="866"/>
  <c r="X10" i="866"/>
  <c r="W10" i="866"/>
  <c r="V10" i="866"/>
  <c r="U10" i="866"/>
  <c r="T10" i="866"/>
  <c r="S10" i="866"/>
  <c r="R10" i="866"/>
  <c r="C41" i="865" a="1"/>
  <c r="C41" i="865" s="1"/>
  <c r="B41" i="865"/>
  <c r="K29" i="865"/>
  <c r="K43" i="865"/>
  <c r="J27" i="866" l="1"/>
  <c r="L58" i="866"/>
  <c r="K37" i="866"/>
  <c r="L37" i="866"/>
  <c r="M37" i="866" s="1"/>
  <c r="R27" i="866"/>
  <c r="S27" i="866"/>
  <c r="T27" i="866"/>
  <c r="Y27" i="866"/>
  <c r="B60" i="865" l="1"/>
  <c r="E58" i="865"/>
  <c r="B58" i="865" l="1"/>
  <c r="C29" i="865" a="1"/>
  <c r="C29" i="865" s="1"/>
  <c r="B29" i="865"/>
  <c r="I10" i="865"/>
  <c r="J10" i="865"/>
  <c r="L10" i="865"/>
  <c r="M10" i="865"/>
  <c r="N10" i="865"/>
  <c r="O10" i="865"/>
  <c r="I11" i="865"/>
  <c r="J11" i="865"/>
  <c r="L11" i="865"/>
  <c r="M11" i="865"/>
  <c r="N11" i="865"/>
  <c r="O11" i="865"/>
  <c r="I12" i="865"/>
  <c r="J12" i="865"/>
  <c r="L12" i="865"/>
  <c r="M12" i="865"/>
  <c r="N12" i="865"/>
  <c r="O12" i="865"/>
  <c r="I13" i="865"/>
  <c r="J13" i="865"/>
  <c r="L13" i="865"/>
  <c r="M13" i="865"/>
  <c r="N13" i="865"/>
  <c r="O13" i="865"/>
  <c r="J14" i="865"/>
  <c r="L14" i="865"/>
  <c r="M14" i="865"/>
  <c r="N14" i="865"/>
  <c r="O14" i="865"/>
  <c r="J15" i="865"/>
  <c r="L15" i="865"/>
  <c r="M15" i="865"/>
  <c r="N15" i="865"/>
  <c r="O15" i="865"/>
  <c r="J16" i="865"/>
  <c r="L16" i="865"/>
  <c r="M16" i="865"/>
  <c r="N16" i="865"/>
  <c r="O16" i="865"/>
  <c r="J17" i="865"/>
  <c r="L17" i="865"/>
  <c r="M17" i="865"/>
  <c r="N17" i="865"/>
  <c r="O17" i="865"/>
  <c r="C10" i="865"/>
  <c r="D10" i="865"/>
  <c r="E10" i="865"/>
  <c r="F10" i="865"/>
  <c r="G10" i="865"/>
  <c r="C11" i="865"/>
  <c r="D11" i="865"/>
  <c r="E11" i="865"/>
  <c r="F11" i="865"/>
  <c r="G11" i="865"/>
  <c r="C12" i="865"/>
  <c r="D12" i="865"/>
  <c r="E12" i="865"/>
  <c r="F12" i="865"/>
  <c r="G12" i="865"/>
  <c r="C13" i="865"/>
  <c r="D13" i="865"/>
  <c r="E13" i="865"/>
  <c r="F13" i="865"/>
  <c r="G13" i="865"/>
  <c r="C14" i="865"/>
  <c r="D14" i="865"/>
  <c r="E14" i="865"/>
  <c r="F14" i="865"/>
  <c r="G14" i="865"/>
  <c r="C15" i="865"/>
  <c r="D15" i="865"/>
  <c r="E15" i="865"/>
  <c r="F15" i="865"/>
  <c r="G15" i="865"/>
  <c r="C16" i="865"/>
  <c r="D16" i="865"/>
  <c r="E16" i="865"/>
  <c r="F16" i="865"/>
  <c r="G16" i="865"/>
  <c r="C17" i="865"/>
  <c r="E17" i="865"/>
  <c r="F17" i="865"/>
  <c r="G17" i="865"/>
  <c r="F74" i="865"/>
  <c r="AX58" i="865"/>
  <c r="AW58" i="865"/>
  <c r="AV58" i="865"/>
  <c r="AU58" i="865"/>
  <c r="AT58" i="865"/>
  <c r="AS58" i="865"/>
  <c r="AR58" i="865"/>
  <c r="AQ58" i="865"/>
  <c r="AP58" i="865"/>
  <c r="AO58" i="865"/>
  <c r="AN58" i="865"/>
  <c r="AM58" i="865"/>
  <c r="AL58" i="865"/>
  <c r="AK58" i="865"/>
  <c r="AJ58" i="865"/>
  <c r="AI58" i="865"/>
  <c r="AH58" i="865"/>
  <c r="AG58" i="865"/>
  <c r="AF58" i="865"/>
  <c r="AE58" i="865"/>
  <c r="AD58" i="865"/>
  <c r="AC58" i="865"/>
  <c r="AB58" i="865"/>
  <c r="K53" i="865"/>
  <c r="Z40" i="865"/>
  <c r="Y40" i="865"/>
  <c r="X40" i="865"/>
  <c r="W40" i="865"/>
  <c r="V40" i="865"/>
  <c r="U40" i="865"/>
  <c r="T40" i="865"/>
  <c r="S40" i="865"/>
  <c r="R40" i="865"/>
  <c r="Z39" i="865"/>
  <c r="Y39" i="865"/>
  <c r="X39" i="865"/>
  <c r="W39" i="865"/>
  <c r="V39" i="865"/>
  <c r="U39" i="865"/>
  <c r="T39" i="865"/>
  <c r="S39" i="865"/>
  <c r="R39" i="865"/>
  <c r="Z38" i="865"/>
  <c r="Y38" i="865"/>
  <c r="X38" i="865"/>
  <c r="W38" i="865"/>
  <c r="V38" i="865"/>
  <c r="U38" i="865"/>
  <c r="T38" i="865"/>
  <c r="S38" i="865"/>
  <c r="R38" i="865"/>
  <c r="M38" i="865"/>
  <c r="Z37" i="865"/>
  <c r="Y37" i="865"/>
  <c r="X37" i="865"/>
  <c r="W37" i="865"/>
  <c r="V37" i="865"/>
  <c r="U37" i="865"/>
  <c r="T37" i="865"/>
  <c r="S37" i="865"/>
  <c r="R37" i="865"/>
  <c r="M37" i="865"/>
  <c r="Z36" i="865"/>
  <c r="Y36" i="865"/>
  <c r="X36" i="865"/>
  <c r="W36" i="865"/>
  <c r="V36" i="865"/>
  <c r="U36" i="865"/>
  <c r="T36" i="865"/>
  <c r="S36" i="865"/>
  <c r="R36" i="865"/>
  <c r="M36" i="865"/>
  <c r="Z35" i="865"/>
  <c r="Y35" i="865"/>
  <c r="X35" i="865"/>
  <c r="W35" i="865"/>
  <c r="V35" i="865"/>
  <c r="U35" i="865"/>
  <c r="T35" i="865"/>
  <c r="S35" i="865"/>
  <c r="R35" i="865"/>
  <c r="M35" i="865"/>
  <c r="L35" i="865"/>
  <c r="K35" i="865"/>
  <c r="Z34" i="865"/>
  <c r="Y34" i="865"/>
  <c r="X34" i="865"/>
  <c r="W34" i="865"/>
  <c r="V34" i="865"/>
  <c r="U34" i="865"/>
  <c r="T34" i="865"/>
  <c r="S34" i="865"/>
  <c r="R34" i="865"/>
  <c r="M34" i="865"/>
  <c r="Z33" i="865"/>
  <c r="Y33" i="865"/>
  <c r="X33" i="865"/>
  <c r="W33" i="865"/>
  <c r="V33" i="865"/>
  <c r="U33" i="865"/>
  <c r="T33" i="865"/>
  <c r="S33" i="865"/>
  <c r="R33" i="865"/>
  <c r="Z32" i="865"/>
  <c r="Y32" i="865"/>
  <c r="X32" i="865"/>
  <c r="W32" i="865"/>
  <c r="V32" i="865"/>
  <c r="U32" i="865"/>
  <c r="T32" i="865"/>
  <c r="S32" i="865"/>
  <c r="R32" i="865"/>
  <c r="M32" i="865"/>
  <c r="L32" i="865"/>
  <c r="K32" i="865"/>
  <c r="Z31" i="865"/>
  <c r="Y31" i="865"/>
  <c r="X31" i="865"/>
  <c r="W31" i="865"/>
  <c r="V31" i="865"/>
  <c r="U31" i="865"/>
  <c r="T31" i="865"/>
  <c r="S31" i="865"/>
  <c r="R31" i="865"/>
  <c r="Z30" i="865"/>
  <c r="Y30" i="865"/>
  <c r="X30" i="865"/>
  <c r="W30" i="865"/>
  <c r="V30" i="865"/>
  <c r="U30" i="865"/>
  <c r="T30" i="865"/>
  <c r="S30" i="865"/>
  <c r="R30" i="865"/>
  <c r="M30" i="865"/>
  <c r="L30" i="865"/>
  <c r="K30" i="865"/>
  <c r="Z29" i="865"/>
  <c r="Y29" i="865"/>
  <c r="X29" i="865"/>
  <c r="W29" i="865"/>
  <c r="V29" i="865"/>
  <c r="U29" i="865"/>
  <c r="T29" i="865"/>
  <c r="S29" i="865"/>
  <c r="R29" i="865"/>
  <c r="Z28" i="865"/>
  <c r="Y28" i="865"/>
  <c r="X28" i="865"/>
  <c r="W28" i="865"/>
  <c r="V28" i="865"/>
  <c r="U28" i="865"/>
  <c r="T28" i="865"/>
  <c r="S28" i="865"/>
  <c r="R28" i="865"/>
  <c r="Z27" i="865"/>
  <c r="Y27" i="865"/>
  <c r="X27" i="865"/>
  <c r="W27" i="865"/>
  <c r="V27" i="865"/>
  <c r="U27" i="865"/>
  <c r="T27" i="865"/>
  <c r="S27" i="865"/>
  <c r="R27" i="865"/>
  <c r="Z26" i="865"/>
  <c r="Y26" i="865"/>
  <c r="X26" i="865"/>
  <c r="W26" i="865"/>
  <c r="V26" i="865"/>
  <c r="U26" i="865"/>
  <c r="T26" i="865"/>
  <c r="S26" i="865"/>
  <c r="R26" i="865"/>
  <c r="Z25" i="865"/>
  <c r="Y25" i="865"/>
  <c r="X25" i="865"/>
  <c r="W25" i="865"/>
  <c r="V25" i="865"/>
  <c r="U25" i="865"/>
  <c r="T25" i="865"/>
  <c r="S25" i="865"/>
  <c r="R25" i="865"/>
  <c r="Z24" i="865"/>
  <c r="Y24" i="865"/>
  <c r="X24" i="865"/>
  <c r="W24" i="865"/>
  <c r="V24" i="865"/>
  <c r="U24" i="865"/>
  <c r="T24" i="865"/>
  <c r="S24" i="865"/>
  <c r="R24" i="865"/>
  <c r="Z23" i="865"/>
  <c r="Y23" i="865"/>
  <c r="X23" i="865"/>
  <c r="W23" i="865"/>
  <c r="V23" i="865"/>
  <c r="U23" i="865"/>
  <c r="T23" i="865"/>
  <c r="S23" i="865"/>
  <c r="R23" i="865"/>
  <c r="Z22" i="865"/>
  <c r="Y22" i="865"/>
  <c r="X22" i="865"/>
  <c r="W22" i="865"/>
  <c r="V22" i="865"/>
  <c r="U22" i="865"/>
  <c r="T22" i="865"/>
  <c r="S22" i="865"/>
  <c r="R22" i="865"/>
  <c r="Z21" i="865"/>
  <c r="Y21" i="865"/>
  <c r="X21" i="865"/>
  <c r="W21" i="865"/>
  <c r="V21" i="865"/>
  <c r="U21" i="865"/>
  <c r="T21" i="865"/>
  <c r="S21" i="865"/>
  <c r="R21" i="865"/>
  <c r="Z20" i="865"/>
  <c r="Y20" i="865"/>
  <c r="X20" i="865"/>
  <c r="W20" i="865"/>
  <c r="V20" i="865"/>
  <c r="U20" i="865"/>
  <c r="T20" i="865"/>
  <c r="S20" i="865"/>
  <c r="R20" i="865"/>
  <c r="Z19" i="865"/>
  <c r="Y19" i="865"/>
  <c r="X19" i="865"/>
  <c r="W19" i="865"/>
  <c r="V19" i="865"/>
  <c r="U19" i="865"/>
  <c r="T19" i="865"/>
  <c r="S19" i="865"/>
  <c r="R19" i="865"/>
  <c r="Z18" i="865"/>
  <c r="Y18" i="865"/>
  <c r="X18" i="865"/>
  <c r="W18" i="865"/>
  <c r="V18" i="865"/>
  <c r="U18" i="865"/>
  <c r="T18" i="865"/>
  <c r="S18" i="865"/>
  <c r="R18" i="865"/>
  <c r="Z17" i="865"/>
  <c r="Y17" i="865"/>
  <c r="X17" i="865"/>
  <c r="W17" i="865"/>
  <c r="V17" i="865"/>
  <c r="U17" i="865"/>
  <c r="T17" i="865"/>
  <c r="S17" i="865"/>
  <c r="R17" i="865"/>
  <c r="Z16" i="865"/>
  <c r="Y16" i="865"/>
  <c r="X16" i="865"/>
  <c r="W16" i="865"/>
  <c r="V16" i="865"/>
  <c r="U16" i="865"/>
  <c r="T16" i="865"/>
  <c r="S16" i="865"/>
  <c r="R16" i="865"/>
  <c r="Z15" i="865"/>
  <c r="Y15" i="865"/>
  <c r="X15" i="865"/>
  <c r="W15" i="865"/>
  <c r="V15" i="865"/>
  <c r="U15" i="865"/>
  <c r="T15" i="865"/>
  <c r="S15" i="865"/>
  <c r="R15" i="865"/>
  <c r="Z14" i="865"/>
  <c r="Y14" i="865"/>
  <c r="X14" i="865"/>
  <c r="W14" i="865"/>
  <c r="V14" i="865"/>
  <c r="U14" i="865"/>
  <c r="T14" i="865"/>
  <c r="S14" i="865"/>
  <c r="R14" i="865"/>
  <c r="Z13" i="865"/>
  <c r="Y13" i="865"/>
  <c r="X13" i="865"/>
  <c r="W13" i="865"/>
  <c r="V13" i="865"/>
  <c r="U13" i="865"/>
  <c r="T13" i="865"/>
  <c r="S13" i="865"/>
  <c r="R13" i="865"/>
  <c r="Z12" i="865"/>
  <c r="Y12" i="865"/>
  <c r="X12" i="865"/>
  <c r="W12" i="865"/>
  <c r="V12" i="865"/>
  <c r="U12" i="865"/>
  <c r="T12" i="865"/>
  <c r="S12" i="865"/>
  <c r="R12" i="865"/>
  <c r="Z11" i="865"/>
  <c r="Y11" i="865"/>
  <c r="X11" i="865"/>
  <c r="W11" i="865"/>
  <c r="V11" i="865"/>
  <c r="U11" i="865"/>
  <c r="T11" i="865"/>
  <c r="S11" i="865"/>
  <c r="R11" i="865"/>
  <c r="Z10" i="865"/>
  <c r="Y10" i="865"/>
  <c r="X10" i="865"/>
  <c r="W10" i="865"/>
  <c r="V10" i="865"/>
  <c r="U10" i="865"/>
  <c r="T10" i="865"/>
  <c r="S10" i="865"/>
  <c r="R10" i="865"/>
  <c r="M32" i="864"/>
  <c r="L31" i="864"/>
  <c r="M31" i="864"/>
  <c r="L32" i="864"/>
  <c r="L34" i="864"/>
  <c r="M34" i="864"/>
  <c r="M36" i="864"/>
  <c r="L37" i="864"/>
  <c r="M37" i="864"/>
  <c r="M38" i="864"/>
  <c r="M39" i="864"/>
  <c r="M40" i="864"/>
  <c r="J45" i="864"/>
  <c r="J55" i="864" s="1"/>
  <c r="K32" i="864"/>
  <c r="K39" i="865" l="1"/>
  <c r="R11" i="864"/>
  <c r="S11" i="864"/>
  <c r="T11" i="864"/>
  <c r="U11" i="864"/>
  <c r="V11" i="864"/>
  <c r="W11" i="864"/>
  <c r="X11" i="864"/>
  <c r="Y11" i="864"/>
  <c r="Z11" i="864"/>
  <c r="R12" i="864"/>
  <c r="S12" i="864"/>
  <c r="T12" i="864"/>
  <c r="U12" i="864"/>
  <c r="V12" i="864"/>
  <c r="W12" i="864"/>
  <c r="X12" i="864"/>
  <c r="Y12" i="864"/>
  <c r="Z12" i="864"/>
  <c r="R13" i="864"/>
  <c r="S13" i="864"/>
  <c r="T13" i="864"/>
  <c r="U13" i="864"/>
  <c r="V13" i="864"/>
  <c r="W13" i="864"/>
  <c r="X13" i="864"/>
  <c r="Y13" i="864"/>
  <c r="Z13" i="864"/>
  <c r="R14" i="864"/>
  <c r="S14" i="864"/>
  <c r="T14" i="864"/>
  <c r="U14" i="864"/>
  <c r="V14" i="864"/>
  <c r="W14" i="864"/>
  <c r="X14" i="864"/>
  <c r="Y14" i="864"/>
  <c r="Z14" i="864"/>
  <c r="R15" i="864"/>
  <c r="S15" i="864"/>
  <c r="T15" i="864"/>
  <c r="U15" i="864"/>
  <c r="V15" i="864"/>
  <c r="W15" i="864"/>
  <c r="X15" i="864"/>
  <c r="Y15" i="864"/>
  <c r="Z15" i="864"/>
  <c r="R16" i="864"/>
  <c r="S16" i="864"/>
  <c r="T16" i="864"/>
  <c r="U16" i="864"/>
  <c r="V16" i="864"/>
  <c r="W16" i="864"/>
  <c r="X16" i="864"/>
  <c r="Y16" i="864"/>
  <c r="Z16" i="864"/>
  <c r="R17" i="864"/>
  <c r="S17" i="864"/>
  <c r="T17" i="864"/>
  <c r="U17" i="864"/>
  <c r="V17" i="864"/>
  <c r="W17" i="864"/>
  <c r="X17" i="864"/>
  <c r="Y17" i="864"/>
  <c r="Z17" i="864"/>
  <c r="R18" i="864"/>
  <c r="S18" i="864"/>
  <c r="T18" i="864"/>
  <c r="U18" i="864"/>
  <c r="V18" i="864"/>
  <c r="W18" i="864"/>
  <c r="X18" i="864"/>
  <c r="Y18" i="864"/>
  <c r="Z18" i="864"/>
  <c r="R19" i="864"/>
  <c r="S19" i="864"/>
  <c r="T19" i="864"/>
  <c r="U19" i="864"/>
  <c r="V19" i="864"/>
  <c r="W19" i="864"/>
  <c r="X19" i="864"/>
  <c r="Y19" i="864"/>
  <c r="Z19" i="864"/>
  <c r="R21" i="864"/>
  <c r="S21" i="864"/>
  <c r="T21" i="864"/>
  <c r="U21" i="864"/>
  <c r="V21" i="864"/>
  <c r="W21" i="864"/>
  <c r="X21" i="864"/>
  <c r="Y21" i="864"/>
  <c r="Z21" i="864"/>
  <c r="R20" i="864"/>
  <c r="S20" i="864"/>
  <c r="T20" i="864"/>
  <c r="U20" i="864"/>
  <c r="V20" i="864"/>
  <c r="W20" i="864"/>
  <c r="X20" i="864"/>
  <c r="Y20" i="864"/>
  <c r="Z20" i="864"/>
  <c r="R22" i="864"/>
  <c r="S22" i="864"/>
  <c r="T22" i="864"/>
  <c r="U22" i="864"/>
  <c r="V22" i="864"/>
  <c r="W22" i="864"/>
  <c r="X22" i="864"/>
  <c r="Y22" i="864"/>
  <c r="Z22" i="864"/>
  <c r="R23" i="864"/>
  <c r="S23" i="864"/>
  <c r="T23" i="864"/>
  <c r="U23" i="864"/>
  <c r="V23" i="864"/>
  <c r="W23" i="864"/>
  <c r="X23" i="864"/>
  <c r="Y23" i="864"/>
  <c r="Z23" i="864"/>
  <c r="R24" i="864"/>
  <c r="S24" i="864"/>
  <c r="T24" i="864"/>
  <c r="U24" i="864"/>
  <c r="V24" i="864"/>
  <c r="W24" i="864"/>
  <c r="X24" i="864"/>
  <c r="Y24" i="864"/>
  <c r="Z24" i="864"/>
  <c r="R25" i="864"/>
  <c r="S25" i="864"/>
  <c r="T25" i="864"/>
  <c r="U25" i="864"/>
  <c r="V25" i="864"/>
  <c r="W25" i="864"/>
  <c r="X25" i="864"/>
  <c r="Y25" i="864"/>
  <c r="Z25" i="864"/>
  <c r="R26" i="864"/>
  <c r="S26" i="864"/>
  <c r="T26" i="864"/>
  <c r="U26" i="864"/>
  <c r="V26" i="864"/>
  <c r="W26" i="864"/>
  <c r="X26" i="864"/>
  <c r="Y26" i="864"/>
  <c r="Z26" i="864"/>
  <c r="R27" i="864"/>
  <c r="S27" i="864"/>
  <c r="T27" i="864"/>
  <c r="U27" i="864"/>
  <c r="V27" i="864"/>
  <c r="W27" i="864"/>
  <c r="X27" i="864"/>
  <c r="Y27" i="864"/>
  <c r="Z27" i="864"/>
  <c r="R28" i="864"/>
  <c r="S28" i="864"/>
  <c r="T28" i="864"/>
  <c r="U28" i="864"/>
  <c r="V28" i="864"/>
  <c r="W28" i="864"/>
  <c r="X28" i="864"/>
  <c r="Y28" i="864"/>
  <c r="Z28" i="864"/>
  <c r="R29" i="864"/>
  <c r="S29" i="864"/>
  <c r="T29" i="864"/>
  <c r="U29" i="864"/>
  <c r="V29" i="864"/>
  <c r="W29" i="864"/>
  <c r="X29" i="864"/>
  <c r="Y29" i="864"/>
  <c r="Z29" i="864"/>
  <c r="R30" i="864"/>
  <c r="S30" i="864"/>
  <c r="T30" i="864"/>
  <c r="U30" i="864"/>
  <c r="V30" i="864"/>
  <c r="W30" i="864"/>
  <c r="X30" i="864"/>
  <c r="Y30" i="864"/>
  <c r="Z30" i="864"/>
  <c r="R31" i="864"/>
  <c r="S31" i="864"/>
  <c r="T31" i="864"/>
  <c r="U31" i="864"/>
  <c r="V31" i="864"/>
  <c r="W31" i="864"/>
  <c r="X31" i="864"/>
  <c r="Y31" i="864"/>
  <c r="Z31" i="864"/>
  <c r="R32" i="864"/>
  <c r="S32" i="864"/>
  <c r="T32" i="864"/>
  <c r="U32" i="864"/>
  <c r="V32" i="864"/>
  <c r="W32" i="864"/>
  <c r="X32" i="864"/>
  <c r="Y32" i="864"/>
  <c r="Z32" i="864"/>
  <c r="R33" i="864"/>
  <c r="S33" i="864"/>
  <c r="T33" i="864"/>
  <c r="U33" i="864"/>
  <c r="V33" i="864"/>
  <c r="W33" i="864"/>
  <c r="X33" i="864"/>
  <c r="Y33" i="864"/>
  <c r="Z33" i="864"/>
  <c r="R34" i="864"/>
  <c r="S34" i="864"/>
  <c r="T34" i="864"/>
  <c r="U34" i="864"/>
  <c r="V34" i="864"/>
  <c r="W34" i="864"/>
  <c r="X34" i="864"/>
  <c r="Y34" i="864"/>
  <c r="Z34" i="864"/>
  <c r="N23" i="864"/>
  <c r="N22" i="864"/>
  <c r="N16" i="864"/>
  <c r="N13" i="864"/>
  <c r="C23" i="864"/>
  <c r="D23" i="864"/>
  <c r="E23" i="864"/>
  <c r="F23" i="864"/>
  <c r="G23" i="864"/>
  <c r="I23" i="864"/>
  <c r="J23" i="864"/>
  <c r="K23" i="864"/>
  <c r="L23" i="864"/>
  <c r="M23" i="864"/>
  <c r="O23" i="864"/>
  <c r="C24" i="864"/>
  <c r="D24" i="864"/>
  <c r="E24" i="864"/>
  <c r="F24" i="864"/>
  <c r="G24" i="864"/>
  <c r="I24" i="864"/>
  <c r="J24" i="864"/>
  <c r="K24" i="864"/>
  <c r="L24" i="864"/>
  <c r="M24" i="864"/>
  <c r="N24" i="864"/>
  <c r="O24" i="864"/>
  <c r="C25" i="864"/>
  <c r="D25" i="864"/>
  <c r="E25" i="864"/>
  <c r="F25" i="864"/>
  <c r="G25" i="864"/>
  <c r="I25" i="864"/>
  <c r="J25" i="864"/>
  <c r="K25" i="864"/>
  <c r="L25" i="864"/>
  <c r="M25" i="864"/>
  <c r="N25" i="864"/>
  <c r="O25" i="864"/>
  <c r="C14" i="864"/>
  <c r="D14" i="864"/>
  <c r="E14" i="864"/>
  <c r="F14" i="864"/>
  <c r="G14" i="864"/>
  <c r="I14" i="864"/>
  <c r="J14" i="864"/>
  <c r="K14" i="864"/>
  <c r="L14" i="864"/>
  <c r="M14" i="864"/>
  <c r="N14" i="864"/>
  <c r="O14" i="864"/>
  <c r="C15" i="864"/>
  <c r="D15" i="864"/>
  <c r="E15" i="864"/>
  <c r="F15" i="864"/>
  <c r="G15" i="864"/>
  <c r="I15" i="864"/>
  <c r="J15" i="864"/>
  <c r="K15" i="864"/>
  <c r="L15" i="864"/>
  <c r="M15" i="864"/>
  <c r="N15" i="864"/>
  <c r="O15" i="864"/>
  <c r="C16" i="864"/>
  <c r="D16" i="864"/>
  <c r="E16" i="864"/>
  <c r="F16" i="864"/>
  <c r="G16" i="864"/>
  <c r="I16" i="864"/>
  <c r="J16" i="864"/>
  <c r="K16" i="864"/>
  <c r="L16" i="864"/>
  <c r="M16" i="864"/>
  <c r="O16" i="864"/>
  <c r="C17" i="864"/>
  <c r="D17" i="864"/>
  <c r="E17" i="864"/>
  <c r="F17" i="864"/>
  <c r="G17" i="864"/>
  <c r="I17" i="864"/>
  <c r="J17" i="864"/>
  <c r="K17" i="864"/>
  <c r="L17" i="864"/>
  <c r="M17" i="864"/>
  <c r="N17" i="864"/>
  <c r="O17" i="864"/>
  <c r="C18" i="864"/>
  <c r="D18" i="864"/>
  <c r="E18" i="864"/>
  <c r="F18" i="864"/>
  <c r="G18" i="864"/>
  <c r="I18" i="864"/>
  <c r="J18" i="864"/>
  <c r="K18" i="864"/>
  <c r="L18" i="864"/>
  <c r="M18" i="864"/>
  <c r="N18" i="864"/>
  <c r="O18" i="864"/>
  <c r="C19" i="864"/>
  <c r="D19" i="864"/>
  <c r="E19" i="864"/>
  <c r="F19" i="864"/>
  <c r="G19" i="864"/>
  <c r="I19" i="864"/>
  <c r="J19" i="864"/>
  <c r="K19" i="864"/>
  <c r="L19" i="864"/>
  <c r="M19" i="864"/>
  <c r="N19" i="864"/>
  <c r="O19" i="864"/>
  <c r="C20" i="864"/>
  <c r="D20" i="864"/>
  <c r="E20" i="864"/>
  <c r="F20" i="864"/>
  <c r="G20" i="864"/>
  <c r="I20" i="864"/>
  <c r="J20" i="864"/>
  <c r="K20" i="864"/>
  <c r="L20" i="864"/>
  <c r="M20" i="864"/>
  <c r="N20" i="864"/>
  <c r="O20" i="864"/>
  <c r="C22" i="864"/>
  <c r="D22" i="864"/>
  <c r="E22" i="864"/>
  <c r="F22" i="864"/>
  <c r="G22" i="864"/>
  <c r="I22" i="864"/>
  <c r="J22" i="864"/>
  <c r="K22" i="864"/>
  <c r="L22" i="864"/>
  <c r="M22" i="864"/>
  <c r="O22" i="864"/>
  <c r="C13" i="864"/>
  <c r="D13" i="864"/>
  <c r="E13" i="864"/>
  <c r="F13" i="864"/>
  <c r="G13" i="864"/>
  <c r="I13" i="864"/>
  <c r="J13" i="864"/>
  <c r="K13" i="864"/>
  <c r="L13" i="864"/>
  <c r="M13" i="864"/>
  <c r="O13" i="864"/>
  <c r="J32" i="864" l="1"/>
  <c r="K31" i="864"/>
  <c r="C11" i="864"/>
  <c r="D11" i="864"/>
  <c r="E11" i="864"/>
  <c r="F11" i="864"/>
  <c r="G11" i="864"/>
  <c r="I11" i="864"/>
  <c r="J11" i="864"/>
  <c r="L11" i="864"/>
  <c r="M11" i="864"/>
  <c r="N11" i="864"/>
  <c r="O11" i="864"/>
  <c r="F76" i="864"/>
  <c r="L62" i="864"/>
  <c r="AX60" i="864"/>
  <c r="AW60" i="864"/>
  <c r="AV60" i="864"/>
  <c r="AU60" i="864"/>
  <c r="AT60" i="864"/>
  <c r="AS60" i="864"/>
  <c r="AR60" i="864"/>
  <c r="AQ60" i="864"/>
  <c r="AP60" i="864"/>
  <c r="AO60" i="864"/>
  <c r="AN60" i="864"/>
  <c r="AM60" i="864"/>
  <c r="AL60" i="864"/>
  <c r="AK60" i="864"/>
  <c r="AJ60" i="864"/>
  <c r="AI60" i="864"/>
  <c r="AH60" i="864"/>
  <c r="AG60" i="864"/>
  <c r="AF60" i="864"/>
  <c r="AE60" i="864"/>
  <c r="AD60" i="864"/>
  <c r="AC60" i="864"/>
  <c r="AB60" i="864"/>
  <c r="L60" i="864"/>
  <c r="Z42" i="864"/>
  <c r="Y42" i="864"/>
  <c r="X42" i="864"/>
  <c r="W42" i="864"/>
  <c r="V42" i="864"/>
  <c r="U42" i="864"/>
  <c r="T42" i="864"/>
  <c r="S42" i="864"/>
  <c r="R42" i="864"/>
  <c r="Z41" i="864"/>
  <c r="Y41" i="864"/>
  <c r="X41" i="864"/>
  <c r="W41" i="864"/>
  <c r="V41" i="864"/>
  <c r="U41" i="864"/>
  <c r="T41" i="864"/>
  <c r="S41" i="864"/>
  <c r="R41" i="864"/>
  <c r="Z40" i="864"/>
  <c r="Y40" i="864"/>
  <c r="X40" i="864"/>
  <c r="W40" i="864"/>
  <c r="V40" i="864"/>
  <c r="U40" i="864"/>
  <c r="T40" i="864"/>
  <c r="S40" i="864"/>
  <c r="R40" i="864"/>
  <c r="Z39" i="864"/>
  <c r="Y39" i="864"/>
  <c r="X39" i="864"/>
  <c r="W39" i="864"/>
  <c r="V39" i="864"/>
  <c r="U39" i="864"/>
  <c r="T39" i="864"/>
  <c r="S39" i="864"/>
  <c r="R39" i="864"/>
  <c r="Z38" i="864"/>
  <c r="Y38" i="864"/>
  <c r="X38" i="864"/>
  <c r="W38" i="864"/>
  <c r="V38" i="864"/>
  <c r="U38" i="864"/>
  <c r="T38" i="864"/>
  <c r="S38" i="864"/>
  <c r="R38" i="864"/>
  <c r="Z37" i="864"/>
  <c r="Y37" i="864"/>
  <c r="X37" i="864"/>
  <c r="W37" i="864"/>
  <c r="V37" i="864"/>
  <c r="U37" i="864"/>
  <c r="T37" i="864"/>
  <c r="S37" i="864"/>
  <c r="R37" i="864"/>
  <c r="K37" i="864"/>
  <c r="Z36" i="864"/>
  <c r="Y36" i="864"/>
  <c r="X36" i="864"/>
  <c r="W36" i="864"/>
  <c r="V36" i="864"/>
  <c r="U36" i="864"/>
  <c r="T36" i="864"/>
  <c r="S36" i="864"/>
  <c r="R36" i="864"/>
  <c r="Z35" i="864"/>
  <c r="Y35" i="864"/>
  <c r="X35" i="864"/>
  <c r="W35" i="864"/>
  <c r="V35" i="864"/>
  <c r="U35" i="864"/>
  <c r="T35" i="864"/>
  <c r="S35" i="864"/>
  <c r="R35" i="864"/>
  <c r="K34" i="864"/>
  <c r="Z10" i="864"/>
  <c r="Y10" i="864"/>
  <c r="X10" i="864"/>
  <c r="W10" i="864"/>
  <c r="V10" i="864"/>
  <c r="U10" i="864"/>
  <c r="T10" i="864"/>
  <c r="S10" i="864"/>
  <c r="R10" i="864"/>
  <c r="O10" i="864"/>
  <c r="N10" i="864"/>
  <c r="M10" i="864"/>
  <c r="L10" i="864"/>
  <c r="J10" i="864"/>
  <c r="I10" i="864"/>
  <c r="G10" i="864"/>
  <c r="F10" i="864"/>
  <c r="E10" i="864"/>
  <c r="D10" i="864"/>
  <c r="C10" i="864"/>
  <c r="M28" i="863"/>
  <c r="L28" i="863"/>
  <c r="K28" i="863"/>
  <c r="C20" i="863"/>
  <c r="D20" i="863"/>
  <c r="E20" i="863"/>
  <c r="F20" i="863"/>
  <c r="G20" i="863"/>
  <c r="I20" i="863"/>
  <c r="J20" i="863"/>
  <c r="L20" i="863"/>
  <c r="M20" i="863"/>
  <c r="N20" i="863"/>
  <c r="O20" i="863"/>
  <c r="C18" i="863"/>
  <c r="D18" i="863"/>
  <c r="E18" i="863"/>
  <c r="F18" i="863"/>
  <c r="G18" i="863"/>
  <c r="I18" i="863"/>
  <c r="J18" i="863"/>
  <c r="L18" i="863"/>
  <c r="M18" i="863"/>
  <c r="N18" i="863"/>
  <c r="O18" i="863"/>
  <c r="J31" i="864" l="1"/>
  <c r="K41" i="864"/>
  <c r="L41" i="864" s="1"/>
  <c r="M41" i="864" s="1"/>
  <c r="K55" i="864"/>
  <c r="E57" i="863"/>
  <c r="B57" i="863"/>
  <c r="C28" i="863" a="1"/>
  <c r="C28" i="863" s="1"/>
  <c r="B28" i="863"/>
  <c r="C11" i="863"/>
  <c r="D11" i="863"/>
  <c r="E11" i="863"/>
  <c r="F11" i="863"/>
  <c r="G11" i="863"/>
  <c r="C12" i="863"/>
  <c r="D12" i="863"/>
  <c r="E12" i="863"/>
  <c r="F12" i="863"/>
  <c r="G12" i="863"/>
  <c r="C13" i="863"/>
  <c r="D13" i="863"/>
  <c r="E13" i="863"/>
  <c r="F13" i="863"/>
  <c r="G13" i="863"/>
  <c r="C14" i="863"/>
  <c r="D14" i="863"/>
  <c r="E14" i="863"/>
  <c r="F14" i="863"/>
  <c r="G14" i="863"/>
  <c r="C15" i="863"/>
  <c r="D15" i="863"/>
  <c r="E15" i="863"/>
  <c r="F15" i="863"/>
  <c r="G15" i="863"/>
  <c r="C16" i="863"/>
  <c r="D16" i="863"/>
  <c r="E16" i="863"/>
  <c r="F16" i="863"/>
  <c r="G16" i="863"/>
  <c r="C17" i="863"/>
  <c r="D17" i="863"/>
  <c r="E17" i="863"/>
  <c r="F17" i="863"/>
  <c r="G17" i="863"/>
  <c r="L11" i="863"/>
  <c r="M11" i="863"/>
  <c r="N11" i="863"/>
  <c r="O11" i="863"/>
  <c r="L12" i="863"/>
  <c r="M12" i="863"/>
  <c r="N12" i="863"/>
  <c r="O12" i="863"/>
  <c r="L13" i="863"/>
  <c r="M13" i="863"/>
  <c r="N13" i="863"/>
  <c r="O13" i="863"/>
  <c r="L14" i="863"/>
  <c r="M14" i="863"/>
  <c r="N14" i="863"/>
  <c r="O14" i="863"/>
  <c r="L15" i="863"/>
  <c r="M15" i="863"/>
  <c r="N15" i="863"/>
  <c r="O15" i="863"/>
  <c r="L16" i="863"/>
  <c r="M16" i="863"/>
  <c r="N16" i="863"/>
  <c r="O16" i="863"/>
  <c r="L17" i="863"/>
  <c r="M17" i="863"/>
  <c r="N17" i="863"/>
  <c r="O17" i="863"/>
  <c r="O10" i="863"/>
  <c r="M10" i="863"/>
  <c r="L10" i="863"/>
  <c r="J10" i="863"/>
  <c r="I10" i="863"/>
  <c r="G10" i="863"/>
  <c r="F10" i="863"/>
  <c r="E10" i="863"/>
  <c r="D10" i="863"/>
  <c r="C10" i="863"/>
  <c r="F73" i="863"/>
  <c r="L59" i="863"/>
  <c r="AX57" i="863"/>
  <c r="AW57" i="863"/>
  <c r="AV57" i="863"/>
  <c r="AU57" i="863"/>
  <c r="AT57" i="863"/>
  <c r="AS57" i="863"/>
  <c r="AR57" i="863"/>
  <c r="AQ57" i="863"/>
  <c r="AP57" i="863"/>
  <c r="AO57" i="863"/>
  <c r="AN57" i="863"/>
  <c r="AM57" i="863"/>
  <c r="AL57" i="863"/>
  <c r="AK57" i="863"/>
  <c r="AJ57" i="863"/>
  <c r="AI57" i="863"/>
  <c r="AH57" i="863"/>
  <c r="AG57" i="863"/>
  <c r="AF57" i="863"/>
  <c r="AE57" i="863"/>
  <c r="AD57" i="863"/>
  <c r="AC57" i="863"/>
  <c r="AB57" i="863"/>
  <c r="Z39" i="863"/>
  <c r="Y39" i="863"/>
  <c r="X39" i="863"/>
  <c r="W39" i="863"/>
  <c r="V39" i="863"/>
  <c r="U39" i="863"/>
  <c r="T39" i="863"/>
  <c r="S39" i="863"/>
  <c r="R39" i="863"/>
  <c r="Z38" i="863"/>
  <c r="Y38" i="863"/>
  <c r="X38" i="863"/>
  <c r="W38" i="863"/>
  <c r="V38" i="863"/>
  <c r="U38" i="863"/>
  <c r="T38" i="863"/>
  <c r="S38" i="863"/>
  <c r="R38" i="863"/>
  <c r="Z37" i="863"/>
  <c r="Y37" i="863"/>
  <c r="X37" i="863"/>
  <c r="W37" i="863"/>
  <c r="V37" i="863"/>
  <c r="U37" i="863"/>
  <c r="T37" i="863"/>
  <c r="S37" i="863"/>
  <c r="R37" i="863"/>
  <c r="M37" i="863"/>
  <c r="Z36" i="863"/>
  <c r="Y36" i="863"/>
  <c r="X36" i="863"/>
  <c r="W36" i="863"/>
  <c r="V36" i="863"/>
  <c r="U36" i="863"/>
  <c r="T36" i="863"/>
  <c r="S36" i="863"/>
  <c r="R36" i="863"/>
  <c r="M36" i="863"/>
  <c r="Z35" i="863"/>
  <c r="Y35" i="863"/>
  <c r="X35" i="863"/>
  <c r="W35" i="863"/>
  <c r="V35" i="863"/>
  <c r="U35" i="863"/>
  <c r="T35" i="863"/>
  <c r="S35" i="863"/>
  <c r="R35" i="863"/>
  <c r="M35" i="863"/>
  <c r="Z34" i="863"/>
  <c r="Y34" i="863"/>
  <c r="X34" i="863"/>
  <c r="W34" i="863"/>
  <c r="V34" i="863"/>
  <c r="U34" i="863"/>
  <c r="T34" i="863"/>
  <c r="S34" i="863"/>
  <c r="R34" i="863"/>
  <c r="M34" i="863"/>
  <c r="L34" i="863"/>
  <c r="K34" i="863"/>
  <c r="Z33" i="863"/>
  <c r="Y33" i="863"/>
  <c r="X33" i="863"/>
  <c r="W33" i="863"/>
  <c r="V33" i="863"/>
  <c r="U33" i="863"/>
  <c r="T33" i="863"/>
  <c r="S33" i="863"/>
  <c r="R33" i="863"/>
  <c r="M33" i="863"/>
  <c r="Z32" i="863"/>
  <c r="Y32" i="863"/>
  <c r="X32" i="863"/>
  <c r="W32" i="863"/>
  <c r="V32" i="863"/>
  <c r="U32" i="863"/>
  <c r="T32" i="863"/>
  <c r="S32" i="863"/>
  <c r="R32" i="863"/>
  <c r="Z31" i="863"/>
  <c r="Y31" i="863"/>
  <c r="X31" i="863"/>
  <c r="W31" i="863"/>
  <c r="V31" i="863"/>
  <c r="U31" i="863"/>
  <c r="T31" i="863"/>
  <c r="S31" i="863"/>
  <c r="R31" i="863"/>
  <c r="M31" i="863"/>
  <c r="L31" i="863"/>
  <c r="K31" i="863"/>
  <c r="Z30" i="863"/>
  <c r="Y30" i="863"/>
  <c r="X30" i="863"/>
  <c r="W30" i="863"/>
  <c r="V30" i="863"/>
  <c r="U30" i="863"/>
  <c r="T30" i="863"/>
  <c r="S30" i="863"/>
  <c r="R30" i="863"/>
  <c r="Z29" i="863"/>
  <c r="Y29" i="863"/>
  <c r="X29" i="863"/>
  <c r="W29" i="863"/>
  <c r="V29" i="863"/>
  <c r="U29" i="863"/>
  <c r="T29" i="863"/>
  <c r="S29" i="863"/>
  <c r="R29" i="863"/>
  <c r="M29" i="863"/>
  <c r="Y28" i="863"/>
  <c r="Z27" i="863"/>
  <c r="Y27" i="863"/>
  <c r="X27" i="863"/>
  <c r="W27" i="863"/>
  <c r="V27" i="863"/>
  <c r="U27" i="863"/>
  <c r="T27" i="863"/>
  <c r="S27" i="863"/>
  <c r="R27" i="863"/>
  <c r="Z26" i="863"/>
  <c r="Y26" i="863"/>
  <c r="X26" i="863"/>
  <c r="W26" i="863"/>
  <c r="V26" i="863"/>
  <c r="U26" i="863"/>
  <c r="T26" i="863"/>
  <c r="S26" i="863"/>
  <c r="R26" i="863"/>
  <c r="Z25" i="863"/>
  <c r="Y25" i="863"/>
  <c r="X25" i="863"/>
  <c r="W25" i="863"/>
  <c r="V25" i="863"/>
  <c r="U25" i="863"/>
  <c r="T25" i="863"/>
  <c r="S25" i="863"/>
  <c r="R25" i="863"/>
  <c r="Z24" i="863"/>
  <c r="Y24" i="863"/>
  <c r="X24" i="863"/>
  <c r="W24" i="863"/>
  <c r="V24" i="863"/>
  <c r="U24" i="863"/>
  <c r="T24" i="863"/>
  <c r="S24" i="863"/>
  <c r="R24" i="863"/>
  <c r="Z23" i="863"/>
  <c r="Y23" i="863"/>
  <c r="X23" i="863"/>
  <c r="W23" i="863"/>
  <c r="V23" i="863"/>
  <c r="U23" i="863"/>
  <c r="T23" i="863"/>
  <c r="S23" i="863"/>
  <c r="R23" i="863"/>
  <c r="Z22" i="863"/>
  <c r="Y22" i="863"/>
  <c r="X22" i="863"/>
  <c r="W22" i="863"/>
  <c r="V22" i="863"/>
  <c r="U22" i="863"/>
  <c r="T22" i="863"/>
  <c r="S22" i="863"/>
  <c r="R22" i="863"/>
  <c r="Z21" i="863"/>
  <c r="Y21" i="863"/>
  <c r="X21" i="863"/>
  <c r="W21" i="863"/>
  <c r="V21" i="863"/>
  <c r="U21" i="863"/>
  <c r="T21" i="863"/>
  <c r="S21" i="863"/>
  <c r="R21" i="863"/>
  <c r="Z20" i="863"/>
  <c r="Y20" i="863"/>
  <c r="X20" i="863"/>
  <c r="W20" i="863"/>
  <c r="V20" i="863"/>
  <c r="U20" i="863"/>
  <c r="T20" i="863"/>
  <c r="S20" i="863"/>
  <c r="R20" i="863"/>
  <c r="Z18" i="863"/>
  <c r="Y18" i="863"/>
  <c r="X18" i="863"/>
  <c r="W18" i="863"/>
  <c r="V18" i="863"/>
  <c r="U18" i="863"/>
  <c r="T18" i="863"/>
  <c r="S18" i="863"/>
  <c r="R18" i="863"/>
  <c r="Z17" i="863"/>
  <c r="Y17" i="863"/>
  <c r="X17" i="863"/>
  <c r="W17" i="863"/>
  <c r="V17" i="863"/>
  <c r="U17" i="863"/>
  <c r="T17" i="863"/>
  <c r="S17" i="863"/>
  <c r="R17" i="863"/>
  <c r="Z16" i="863"/>
  <c r="Y16" i="863"/>
  <c r="X16" i="863"/>
  <c r="W16" i="863"/>
  <c r="V16" i="863"/>
  <c r="U16" i="863"/>
  <c r="T16" i="863"/>
  <c r="S16" i="863"/>
  <c r="R16" i="863"/>
  <c r="Z15" i="863"/>
  <c r="Y15" i="863"/>
  <c r="X15" i="863"/>
  <c r="W15" i="863"/>
  <c r="V15" i="863"/>
  <c r="U15" i="863"/>
  <c r="T15" i="863"/>
  <c r="S15" i="863"/>
  <c r="R15" i="863"/>
  <c r="Z14" i="863"/>
  <c r="Y14" i="863"/>
  <c r="X14" i="863"/>
  <c r="W14" i="863"/>
  <c r="V14" i="863"/>
  <c r="U14" i="863"/>
  <c r="T14" i="863"/>
  <c r="S14" i="863"/>
  <c r="R14" i="863"/>
  <c r="Z13" i="863"/>
  <c r="Y13" i="863"/>
  <c r="X13" i="863"/>
  <c r="W13" i="863"/>
  <c r="V13" i="863"/>
  <c r="U13" i="863"/>
  <c r="T13" i="863"/>
  <c r="S13" i="863"/>
  <c r="R13" i="863"/>
  <c r="Z12" i="863"/>
  <c r="Y12" i="863"/>
  <c r="X12" i="863"/>
  <c r="W12" i="863"/>
  <c r="V12" i="863"/>
  <c r="U12" i="863"/>
  <c r="T12" i="863"/>
  <c r="S12" i="863"/>
  <c r="R12" i="863"/>
  <c r="Z11" i="863"/>
  <c r="Y11" i="863"/>
  <c r="X11" i="863"/>
  <c r="W11" i="863"/>
  <c r="V11" i="863"/>
  <c r="U11" i="863"/>
  <c r="T11" i="863"/>
  <c r="S11" i="863"/>
  <c r="R11" i="863"/>
  <c r="Z10" i="863"/>
  <c r="Y10" i="863"/>
  <c r="X10" i="863"/>
  <c r="W10" i="863"/>
  <c r="V10" i="863"/>
  <c r="U10" i="863"/>
  <c r="T10" i="863"/>
  <c r="S10" i="863"/>
  <c r="R10" i="863"/>
  <c r="K27" i="862"/>
  <c r="K38" i="863" l="1"/>
  <c r="L38" i="863" s="1"/>
  <c r="M38" i="863" s="1"/>
  <c r="K42" i="863"/>
  <c r="K52" i="863" s="1"/>
  <c r="T28" i="863"/>
  <c r="X28" i="863"/>
  <c r="R28" i="863"/>
  <c r="U28" i="863"/>
  <c r="W28" i="863"/>
  <c r="Z28" i="863"/>
  <c r="S28" i="863"/>
  <c r="V28" i="863"/>
  <c r="B56" i="862"/>
  <c r="C27" i="862"/>
  <c r="C28" i="862"/>
  <c r="C29" i="862"/>
  <c r="C30" i="862"/>
  <c r="C31" i="862"/>
  <c r="C32" i="862"/>
  <c r="C33" i="862"/>
  <c r="C34" i="862"/>
  <c r="C35" i="862"/>
  <c r="C36" i="862"/>
  <c r="C37" i="862"/>
  <c r="C38" i="862"/>
  <c r="B27" i="862"/>
  <c r="C18" i="862"/>
  <c r="D18" i="862"/>
  <c r="E18" i="862"/>
  <c r="F18" i="862"/>
  <c r="G18" i="862"/>
  <c r="I18" i="862"/>
  <c r="J18" i="862"/>
  <c r="L18" i="862"/>
  <c r="M18" i="862"/>
  <c r="O18" i="862"/>
  <c r="C19" i="862"/>
  <c r="D19" i="862"/>
  <c r="E19" i="862"/>
  <c r="F19" i="862"/>
  <c r="G19" i="862"/>
  <c r="L19" i="862"/>
  <c r="M19" i="862"/>
  <c r="O19" i="862"/>
  <c r="L45" i="880" l="1"/>
  <c r="M45" i="880" s="1"/>
  <c r="L42" i="878"/>
  <c r="M42" i="878" s="1"/>
  <c r="L39" i="879"/>
  <c r="M39" i="879" s="1"/>
  <c r="L44" i="876"/>
  <c r="L44" i="877"/>
  <c r="L52" i="875"/>
  <c r="L38" i="874"/>
  <c r="L40" i="873"/>
  <c r="L40" i="872"/>
  <c r="L44" i="870"/>
  <c r="L49" i="871"/>
  <c r="L44" i="869"/>
  <c r="L44" i="868"/>
  <c r="L38" i="867"/>
  <c r="L44" i="865"/>
  <c r="L42" i="866"/>
  <c r="L43" i="863"/>
  <c r="L46" i="864"/>
  <c r="Y27" i="862"/>
  <c r="R10" i="862"/>
  <c r="S10" i="862"/>
  <c r="T10" i="862"/>
  <c r="U10" i="862"/>
  <c r="V10" i="862"/>
  <c r="W10" i="862"/>
  <c r="X10" i="862"/>
  <c r="Y10" i="862"/>
  <c r="Z10" i="862"/>
  <c r="R11" i="862"/>
  <c r="S11" i="862"/>
  <c r="T11" i="862"/>
  <c r="U11" i="862"/>
  <c r="V11" i="862"/>
  <c r="W11" i="862"/>
  <c r="X11" i="862"/>
  <c r="Y11" i="862"/>
  <c r="Z11" i="862"/>
  <c r="R12" i="862"/>
  <c r="S12" i="862"/>
  <c r="T12" i="862"/>
  <c r="U12" i="862"/>
  <c r="V12" i="862"/>
  <c r="W12" i="862"/>
  <c r="X12" i="862"/>
  <c r="Y12" i="862"/>
  <c r="Z12" i="862"/>
  <c r="R13" i="862"/>
  <c r="S13" i="862"/>
  <c r="T13" i="862"/>
  <c r="U13" i="862"/>
  <c r="V13" i="862"/>
  <c r="W13" i="862"/>
  <c r="X13" i="862"/>
  <c r="Y13" i="862"/>
  <c r="Z13" i="862"/>
  <c r="R14" i="862"/>
  <c r="S14" i="862"/>
  <c r="T14" i="862"/>
  <c r="U14" i="862"/>
  <c r="V14" i="862"/>
  <c r="W14" i="862"/>
  <c r="X14" i="862"/>
  <c r="Y14" i="862"/>
  <c r="Z14" i="862"/>
  <c r="R15" i="862"/>
  <c r="S15" i="862"/>
  <c r="T15" i="862"/>
  <c r="U15" i="862"/>
  <c r="V15" i="862"/>
  <c r="W15" i="862"/>
  <c r="X15" i="862"/>
  <c r="Y15" i="862"/>
  <c r="Z15" i="862"/>
  <c r="R16" i="862"/>
  <c r="S16" i="862"/>
  <c r="T16" i="862"/>
  <c r="U16" i="862"/>
  <c r="V16" i="862"/>
  <c r="W16" i="862"/>
  <c r="X16" i="862"/>
  <c r="Y16" i="862"/>
  <c r="Z16" i="862"/>
  <c r="R17" i="862"/>
  <c r="S17" i="862"/>
  <c r="T17" i="862"/>
  <c r="U17" i="862"/>
  <c r="V17" i="862"/>
  <c r="W17" i="862"/>
  <c r="X17" i="862"/>
  <c r="Y17" i="862"/>
  <c r="Z17" i="862"/>
  <c r="R18" i="862"/>
  <c r="S18" i="862"/>
  <c r="T18" i="862"/>
  <c r="U18" i="862"/>
  <c r="V18" i="862"/>
  <c r="W18" i="862"/>
  <c r="X18" i="862"/>
  <c r="Y18" i="862"/>
  <c r="Z18" i="862"/>
  <c r="R19" i="862"/>
  <c r="S19" i="862"/>
  <c r="T19" i="862"/>
  <c r="U19" i="862"/>
  <c r="V19" i="862"/>
  <c r="W19" i="862"/>
  <c r="X19" i="862"/>
  <c r="Y19" i="862"/>
  <c r="Z19" i="862"/>
  <c r="R20" i="862"/>
  <c r="S20" i="862"/>
  <c r="T20" i="862"/>
  <c r="U20" i="862"/>
  <c r="V20" i="862"/>
  <c r="W20" i="862"/>
  <c r="X20" i="862"/>
  <c r="Y20" i="862"/>
  <c r="Z20" i="862"/>
  <c r="L10" i="862"/>
  <c r="M10" i="862"/>
  <c r="O10" i="862"/>
  <c r="L11" i="862"/>
  <c r="M11" i="862"/>
  <c r="O11" i="862"/>
  <c r="L12" i="862"/>
  <c r="M12" i="862"/>
  <c r="O12" i="862"/>
  <c r="L13" i="862"/>
  <c r="M13" i="862"/>
  <c r="O13" i="862"/>
  <c r="L14" i="862"/>
  <c r="M14" i="862"/>
  <c r="O14" i="862"/>
  <c r="L15" i="862"/>
  <c r="M15" i="862"/>
  <c r="O15" i="862"/>
  <c r="L16" i="862"/>
  <c r="M16" i="862"/>
  <c r="O16" i="862"/>
  <c r="L17" i="862"/>
  <c r="M17" i="862"/>
  <c r="O17" i="862"/>
  <c r="C10" i="862"/>
  <c r="D10" i="862"/>
  <c r="E10" i="862"/>
  <c r="F10" i="862"/>
  <c r="G10" i="862"/>
  <c r="C11" i="862"/>
  <c r="D11" i="862"/>
  <c r="E11" i="862"/>
  <c r="F11" i="862"/>
  <c r="G11" i="862"/>
  <c r="C12" i="862"/>
  <c r="D12" i="862"/>
  <c r="E12" i="862"/>
  <c r="F12" i="862"/>
  <c r="G12" i="862"/>
  <c r="C13" i="862"/>
  <c r="D13" i="862"/>
  <c r="E13" i="862"/>
  <c r="F13" i="862"/>
  <c r="G13" i="862"/>
  <c r="D14" i="862"/>
  <c r="E14" i="862"/>
  <c r="F14" i="862"/>
  <c r="G14" i="862"/>
  <c r="D15" i="862"/>
  <c r="E15" i="862"/>
  <c r="F15" i="862"/>
  <c r="G15" i="862"/>
  <c r="D16" i="862"/>
  <c r="E16" i="862"/>
  <c r="F16" i="862"/>
  <c r="G16" i="862"/>
  <c r="D17" i="862"/>
  <c r="E17" i="862"/>
  <c r="F17" i="862"/>
  <c r="G17" i="862"/>
  <c r="F72" i="862"/>
  <c r="L58" i="862"/>
  <c r="AX56" i="862"/>
  <c r="AW56" i="862"/>
  <c r="AV56" i="862"/>
  <c r="AU56" i="862"/>
  <c r="AT56" i="862"/>
  <c r="AS56" i="862"/>
  <c r="AR56" i="862"/>
  <c r="AQ56" i="862"/>
  <c r="AP56" i="862"/>
  <c r="AO56" i="862"/>
  <c r="AN56" i="862"/>
  <c r="AM56" i="862"/>
  <c r="AL56" i="862"/>
  <c r="AK56" i="862"/>
  <c r="AJ56" i="862"/>
  <c r="AI56" i="862"/>
  <c r="AH56" i="862"/>
  <c r="AG56" i="862"/>
  <c r="AF56" i="862"/>
  <c r="AE56" i="862"/>
  <c r="AD56" i="862"/>
  <c r="AC56" i="862"/>
  <c r="AB56" i="862"/>
  <c r="K51" i="862"/>
  <c r="L42" i="862" s="1"/>
  <c r="Z38" i="862"/>
  <c r="Y38" i="862"/>
  <c r="X38" i="862"/>
  <c r="W38" i="862"/>
  <c r="V38" i="862"/>
  <c r="U38" i="862"/>
  <c r="T38" i="862"/>
  <c r="S38" i="862"/>
  <c r="R38" i="862"/>
  <c r="Z37" i="862"/>
  <c r="Y37" i="862"/>
  <c r="X37" i="862"/>
  <c r="W37" i="862"/>
  <c r="V37" i="862"/>
  <c r="U37" i="862"/>
  <c r="T37" i="862"/>
  <c r="S37" i="862"/>
  <c r="R37" i="862"/>
  <c r="Z36" i="862"/>
  <c r="Y36" i="862"/>
  <c r="X36" i="862"/>
  <c r="W36" i="862"/>
  <c r="V36" i="862"/>
  <c r="U36" i="862"/>
  <c r="T36" i="862"/>
  <c r="S36" i="862"/>
  <c r="R36" i="862"/>
  <c r="M36" i="862"/>
  <c r="Z35" i="862"/>
  <c r="Y35" i="862"/>
  <c r="X35" i="862"/>
  <c r="W35" i="862"/>
  <c r="V35" i="862"/>
  <c r="U35" i="862"/>
  <c r="T35" i="862"/>
  <c r="S35" i="862"/>
  <c r="R35" i="862"/>
  <c r="M35" i="862"/>
  <c r="Z34" i="862"/>
  <c r="Y34" i="862"/>
  <c r="X34" i="862"/>
  <c r="W34" i="862"/>
  <c r="V34" i="862"/>
  <c r="U34" i="862"/>
  <c r="T34" i="862"/>
  <c r="S34" i="862"/>
  <c r="R34" i="862"/>
  <c r="M34" i="862"/>
  <c r="Z33" i="862"/>
  <c r="Y33" i="862"/>
  <c r="X33" i="862"/>
  <c r="W33" i="862"/>
  <c r="V33" i="862"/>
  <c r="U33" i="862"/>
  <c r="T33" i="862"/>
  <c r="S33" i="862"/>
  <c r="R33" i="862"/>
  <c r="M33" i="862"/>
  <c r="L33" i="862"/>
  <c r="K33" i="862"/>
  <c r="Z32" i="862"/>
  <c r="Y32" i="862"/>
  <c r="X32" i="862"/>
  <c r="W32" i="862"/>
  <c r="V32" i="862"/>
  <c r="U32" i="862"/>
  <c r="T32" i="862"/>
  <c r="S32" i="862"/>
  <c r="R32" i="862"/>
  <c r="M32" i="862"/>
  <c r="Z31" i="862"/>
  <c r="Y31" i="862"/>
  <c r="X31" i="862"/>
  <c r="W31" i="862"/>
  <c r="V31" i="862"/>
  <c r="U31" i="862"/>
  <c r="T31" i="862"/>
  <c r="S31" i="862"/>
  <c r="R31" i="862"/>
  <c r="Z30" i="862"/>
  <c r="Y30" i="862"/>
  <c r="X30" i="862"/>
  <c r="W30" i="862"/>
  <c r="V30" i="862"/>
  <c r="U30" i="862"/>
  <c r="T30" i="862"/>
  <c r="S30" i="862"/>
  <c r="R30" i="862"/>
  <c r="M30" i="862"/>
  <c r="L30" i="862"/>
  <c r="K30" i="862"/>
  <c r="Z29" i="862"/>
  <c r="Y29" i="862"/>
  <c r="X29" i="862"/>
  <c r="W29" i="862"/>
  <c r="V29" i="862"/>
  <c r="U29" i="862"/>
  <c r="T29" i="862"/>
  <c r="S29" i="862"/>
  <c r="R29" i="862"/>
  <c r="Z28" i="862"/>
  <c r="Y28" i="862"/>
  <c r="X28" i="862"/>
  <c r="W28" i="862"/>
  <c r="V28" i="862"/>
  <c r="U28" i="862"/>
  <c r="T28" i="862"/>
  <c r="S28" i="862"/>
  <c r="R28" i="862"/>
  <c r="M28" i="862"/>
  <c r="Z26" i="862"/>
  <c r="Y26" i="862"/>
  <c r="X26" i="862"/>
  <c r="W26" i="862"/>
  <c r="V26" i="862"/>
  <c r="U26" i="862"/>
  <c r="T26" i="862"/>
  <c r="S26" i="862"/>
  <c r="R26" i="862"/>
  <c r="Z25" i="862"/>
  <c r="Y25" i="862"/>
  <c r="X25" i="862"/>
  <c r="W25" i="862"/>
  <c r="V25" i="862"/>
  <c r="U25" i="862"/>
  <c r="T25" i="862"/>
  <c r="S25" i="862"/>
  <c r="R25" i="862"/>
  <c r="Z24" i="862"/>
  <c r="Y24" i="862"/>
  <c r="X24" i="862"/>
  <c r="W24" i="862"/>
  <c r="V24" i="862"/>
  <c r="U24" i="862"/>
  <c r="T24" i="862"/>
  <c r="S24" i="862"/>
  <c r="R24" i="862"/>
  <c r="Z23" i="862"/>
  <c r="Y23" i="862"/>
  <c r="X23" i="862"/>
  <c r="W23" i="862"/>
  <c r="V23" i="862"/>
  <c r="U23" i="862"/>
  <c r="T23" i="862"/>
  <c r="S23" i="862"/>
  <c r="R23" i="862"/>
  <c r="Z22" i="862"/>
  <c r="Y22" i="862"/>
  <c r="X22" i="862"/>
  <c r="W22" i="862"/>
  <c r="V22" i="862"/>
  <c r="U22" i="862"/>
  <c r="T22" i="862"/>
  <c r="S22" i="862"/>
  <c r="R22" i="862"/>
  <c r="Z21" i="862"/>
  <c r="Y21" i="862"/>
  <c r="X21" i="862"/>
  <c r="W21" i="862"/>
  <c r="V21" i="862"/>
  <c r="U21" i="862"/>
  <c r="T21" i="862"/>
  <c r="S21" i="862"/>
  <c r="R21" i="862"/>
  <c r="K28" i="861"/>
  <c r="K37" i="862" l="1"/>
  <c r="R27" i="862"/>
  <c r="S27" i="862"/>
  <c r="T27" i="862"/>
  <c r="U27" i="862"/>
  <c r="V27" i="862"/>
  <c r="W27" i="862"/>
  <c r="X27" i="862"/>
  <c r="Z27" i="862"/>
  <c r="C19" i="861"/>
  <c r="D19" i="861"/>
  <c r="E19" i="861"/>
  <c r="F19" i="861"/>
  <c r="G19" i="861"/>
  <c r="I19" i="861"/>
  <c r="J19" i="861"/>
  <c r="L19" i="861"/>
  <c r="M19" i="861"/>
  <c r="O19" i="861"/>
  <c r="C20" i="861"/>
  <c r="D20" i="861"/>
  <c r="E20" i="861"/>
  <c r="F20" i="861"/>
  <c r="G20" i="861"/>
  <c r="L20" i="861"/>
  <c r="M20" i="861"/>
  <c r="N20" i="861"/>
  <c r="O20" i="861"/>
  <c r="M18" i="861"/>
  <c r="O18" i="861"/>
  <c r="N18" i="861"/>
  <c r="L18" i="861"/>
  <c r="J18" i="861"/>
  <c r="I18" i="861"/>
  <c r="G18" i="861"/>
  <c r="F18" i="861"/>
  <c r="E18" i="861"/>
  <c r="D18" i="861"/>
  <c r="C18" i="861"/>
  <c r="N19" i="861" l="1"/>
  <c r="L43" i="861"/>
  <c r="G60" i="19"/>
  <c r="G63" i="19"/>
  <c r="J60" i="18"/>
  <c r="J61" i="18"/>
  <c r="J63" i="18"/>
  <c r="J64" i="18"/>
  <c r="D60" i="18"/>
  <c r="D61" i="18"/>
  <c r="D63" i="18"/>
  <c r="D64" i="18"/>
  <c r="B59" i="861"/>
  <c r="C29" i="861"/>
  <c r="C30" i="861"/>
  <c r="C31" i="861"/>
  <c r="C32" i="861"/>
  <c r="C40" i="861"/>
  <c r="C41" i="861"/>
  <c r="C42" i="861"/>
  <c r="C43" i="861"/>
  <c r="K31" i="861" l="1"/>
  <c r="I15" i="861" l="1"/>
  <c r="I11" i="861"/>
  <c r="I13" i="861"/>
  <c r="B40" i="861"/>
  <c r="C11" i="861"/>
  <c r="D11" i="861"/>
  <c r="E11" i="861"/>
  <c r="F11" i="861"/>
  <c r="G11" i="861"/>
  <c r="J11" i="861"/>
  <c r="K11" i="861"/>
  <c r="L11" i="861"/>
  <c r="M11" i="861"/>
  <c r="N11" i="861"/>
  <c r="O11" i="861"/>
  <c r="C12" i="861"/>
  <c r="D12" i="861"/>
  <c r="E12" i="861"/>
  <c r="F12" i="861"/>
  <c r="G12" i="861"/>
  <c r="I12" i="861"/>
  <c r="J12" i="861"/>
  <c r="K12" i="861"/>
  <c r="L12" i="861"/>
  <c r="M12" i="861"/>
  <c r="N12" i="861"/>
  <c r="O12" i="861"/>
  <c r="C13" i="861"/>
  <c r="D13" i="861"/>
  <c r="E13" i="861"/>
  <c r="F13" i="861"/>
  <c r="G13" i="861"/>
  <c r="J13" i="861"/>
  <c r="K13" i="861"/>
  <c r="L13" i="861"/>
  <c r="M13" i="861"/>
  <c r="N13" i="861"/>
  <c r="O13" i="861"/>
  <c r="C14" i="861"/>
  <c r="D14" i="861"/>
  <c r="E14" i="861"/>
  <c r="F14" i="861"/>
  <c r="G14" i="861"/>
  <c r="I14" i="861"/>
  <c r="J14" i="861"/>
  <c r="K14" i="861"/>
  <c r="L14" i="861"/>
  <c r="M14" i="861"/>
  <c r="N14" i="861"/>
  <c r="O14" i="861"/>
  <c r="C15" i="861"/>
  <c r="D15" i="861"/>
  <c r="E15" i="861"/>
  <c r="F15" i="861"/>
  <c r="G15" i="861"/>
  <c r="J15" i="861"/>
  <c r="K15" i="861"/>
  <c r="L15" i="861"/>
  <c r="M15" i="861"/>
  <c r="N15" i="861"/>
  <c r="O15" i="861"/>
  <c r="O10" i="861"/>
  <c r="N10" i="861"/>
  <c r="M10" i="861"/>
  <c r="L10" i="861"/>
  <c r="K10" i="861"/>
  <c r="J10" i="861"/>
  <c r="I10" i="861"/>
  <c r="G10" i="861"/>
  <c r="F10" i="861"/>
  <c r="E10" i="861"/>
  <c r="D10" i="861"/>
  <c r="C10" i="861"/>
  <c r="F73" i="861"/>
  <c r="AX57" i="861"/>
  <c r="AW57" i="861"/>
  <c r="AV57" i="861"/>
  <c r="AU57" i="861"/>
  <c r="AT57" i="861"/>
  <c r="AS57" i="861"/>
  <c r="AR57" i="861"/>
  <c r="AQ57" i="861"/>
  <c r="AP57" i="861"/>
  <c r="AO57" i="861"/>
  <c r="AN57" i="861"/>
  <c r="AM57" i="861"/>
  <c r="AL57" i="861"/>
  <c r="AK57" i="861"/>
  <c r="AJ57" i="861"/>
  <c r="AI57" i="861"/>
  <c r="AH57" i="861"/>
  <c r="AG57" i="861"/>
  <c r="AF57" i="861"/>
  <c r="AE57" i="861"/>
  <c r="AD57" i="861"/>
  <c r="AC57" i="861"/>
  <c r="AB57" i="861"/>
  <c r="B57" i="861"/>
  <c r="K52" i="861"/>
  <c r="C51" i="861"/>
  <c r="D50" i="861"/>
  <c r="Z39" i="861"/>
  <c r="Y39" i="861"/>
  <c r="X39" i="861"/>
  <c r="W39" i="861"/>
  <c r="V39" i="861"/>
  <c r="U39" i="861"/>
  <c r="T39" i="861"/>
  <c r="S39" i="861"/>
  <c r="R39" i="861"/>
  <c r="Z38" i="861"/>
  <c r="Y38" i="861"/>
  <c r="X38" i="861"/>
  <c r="W38" i="861"/>
  <c r="V38" i="861"/>
  <c r="U38" i="861"/>
  <c r="T38" i="861"/>
  <c r="S38" i="861"/>
  <c r="R38" i="861"/>
  <c r="Z37" i="861"/>
  <c r="Y37" i="861"/>
  <c r="X37" i="861"/>
  <c r="W37" i="861"/>
  <c r="V37" i="861"/>
  <c r="U37" i="861"/>
  <c r="T37" i="861"/>
  <c r="S37" i="861"/>
  <c r="R37" i="861"/>
  <c r="M37" i="861"/>
  <c r="Z36" i="861"/>
  <c r="Y36" i="861"/>
  <c r="X36" i="861"/>
  <c r="W36" i="861"/>
  <c r="V36" i="861"/>
  <c r="U36" i="861"/>
  <c r="T36" i="861"/>
  <c r="S36" i="861"/>
  <c r="R36" i="861"/>
  <c r="M36" i="861"/>
  <c r="Z35" i="861"/>
  <c r="Y35" i="861"/>
  <c r="X35" i="861"/>
  <c r="W35" i="861"/>
  <c r="V35" i="861"/>
  <c r="U35" i="861"/>
  <c r="T35" i="861"/>
  <c r="S35" i="861"/>
  <c r="R35" i="861"/>
  <c r="M35" i="861"/>
  <c r="Z34" i="861"/>
  <c r="Y34" i="861"/>
  <c r="X34" i="861"/>
  <c r="W34" i="861"/>
  <c r="V34" i="861"/>
  <c r="U34" i="861"/>
  <c r="T34" i="861"/>
  <c r="S34" i="861"/>
  <c r="R34" i="861"/>
  <c r="M34" i="861"/>
  <c r="L34" i="861"/>
  <c r="K34" i="861"/>
  <c r="Z33" i="861"/>
  <c r="Y33" i="861"/>
  <c r="X33" i="861"/>
  <c r="W33" i="861"/>
  <c r="V33" i="861"/>
  <c r="U33" i="861"/>
  <c r="T33" i="861"/>
  <c r="S33" i="861"/>
  <c r="R33" i="861"/>
  <c r="M33" i="861"/>
  <c r="Z32" i="861"/>
  <c r="Y32" i="861"/>
  <c r="X32" i="861"/>
  <c r="W32" i="861"/>
  <c r="V32" i="861"/>
  <c r="U32" i="861"/>
  <c r="T32" i="861"/>
  <c r="S32" i="861"/>
  <c r="R32" i="861"/>
  <c r="Z31" i="861"/>
  <c r="Y31" i="861"/>
  <c r="X31" i="861"/>
  <c r="W31" i="861"/>
  <c r="V31" i="861"/>
  <c r="U31" i="861"/>
  <c r="T31" i="861"/>
  <c r="S31" i="861"/>
  <c r="R31" i="861"/>
  <c r="K38" i="861"/>
  <c r="Z30" i="861"/>
  <c r="Y30" i="861"/>
  <c r="X30" i="861"/>
  <c r="W30" i="861"/>
  <c r="V30" i="861"/>
  <c r="U30" i="861"/>
  <c r="T30" i="861"/>
  <c r="S30" i="861"/>
  <c r="R30" i="861"/>
  <c r="Z29" i="861"/>
  <c r="Y29" i="861"/>
  <c r="X29" i="861"/>
  <c r="W29" i="861"/>
  <c r="V29" i="861"/>
  <c r="U29" i="861"/>
  <c r="T29" i="861"/>
  <c r="S29" i="861"/>
  <c r="R29" i="861"/>
  <c r="M29" i="861"/>
  <c r="Z28" i="861"/>
  <c r="X28" i="861"/>
  <c r="W28" i="861"/>
  <c r="V28" i="861"/>
  <c r="U28" i="861"/>
  <c r="T28" i="861"/>
  <c r="S28" i="861"/>
  <c r="R28" i="861"/>
  <c r="B28" i="861"/>
  <c r="Y28" i="861" s="1"/>
  <c r="Z27" i="861"/>
  <c r="Y27" i="861"/>
  <c r="X27" i="861"/>
  <c r="W27" i="861"/>
  <c r="V27" i="861"/>
  <c r="U27" i="861"/>
  <c r="T27" i="861"/>
  <c r="S27" i="861"/>
  <c r="R27" i="861"/>
  <c r="Z26" i="861"/>
  <c r="Y26" i="861"/>
  <c r="X26" i="861"/>
  <c r="W26" i="861"/>
  <c r="V26" i="861"/>
  <c r="U26" i="861"/>
  <c r="T26" i="861"/>
  <c r="S26" i="861"/>
  <c r="R26" i="861"/>
  <c r="Z25" i="861"/>
  <c r="Y25" i="861"/>
  <c r="X25" i="861"/>
  <c r="W25" i="861"/>
  <c r="V25" i="861"/>
  <c r="U25" i="861"/>
  <c r="T25" i="861"/>
  <c r="S25" i="861"/>
  <c r="R25" i="861"/>
  <c r="Z24" i="861"/>
  <c r="Y24" i="861"/>
  <c r="X24" i="861"/>
  <c r="W24" i="861"/>
  <c r="V24" i="861"/>
  <c r="U24" i="861"/>
  <c r="T24" i="861"/>
  <c r="S24" i="861"/>
  <c r="R24" i="861"/>
  <c r="Z23" i="861"/>
  <c r="Y23" i="861"/>
  <c r="X23" i="861"/>
  <c r="W23" i="861"/>
  <c r="V23" i="861"/>
  <c r="U23" i="861"/>
  <c r="T23" i="861"/>
  <c r="S23" i="861"/>
  <c r="R23" i="861"/>
  <c r="Z22" i="861"/>
  <c r="Y22" i="861"/>
  <c r="X22" i="861"/>
  <c r="W22" i="861"/>
  <c r="V22" i="861"/>
  <c r="U22" i="861"/>
  <c r="T22" i="861"/>
  <c r="S22" i="861"/>
  <c r="R22" i="861"/>
  <c r="Z21" i="861"/>
  <c r="Y21" i="861"/>
  <c r="X21" i="861"/>
  <c r="W21" i="861"/>
  <c r="V21" i="861"/>
  <c r="U21" i="861"/>
  <c r="T21" i="861"/>
  <c r="S21" i="861"/>
  <c r="R21" i="861"/>
  <c r="Z20" i="861"/>
  <c r="Y20" i="861"/>
  <c r="X20" i="861"/>
  <c r="W20" i="861"/>
  <c r="V20" i="861"/>
  <c r="U20" i="861"/>
  <c r="T20" i="861"/>
  <c r="S20" i="861"/>
  <c r="R20" i="861"/>
  <c r="Z19" i="861"/>
  <c r="Y19" i="861"/>
  <c r="X19" i="861"/>
  <c r="W19" i="861"/>
  <c r="V19" i="861"/>
  <c r="U19" i="861"/>
  <c r="T19" i="861"/>
  <c r="S19" i="861"/>
  <c r="R19" i="861"/>
  <c r="Z18" i="861"/>
  <c r="Y18" i="861"/>
  <c r="X18" i="861"/>
  <c r="W18" i="861"/>
  <c r="V18" i="861"/>
  <c r="U18" i="861"/>
  <c r="T18" i="861"/>
  <c r="S18" i="861"/>
  <c r="R18" i="861"/>
  <c r="Z17" i="861"/>
  <c r="Y17" i="861"/>
  <c r="X17" i="861"/>
  <c r="W17" i="861"/>
  <c r="V17" i="861"/>
  <c r="U17" i="861"/>
  <c r="T17" i="861"/>
  <c r="S17" i="861"/>
  <c r="R17" i="861"/>
  <c r="Z16" i="861"/>
  <c r="Y16" i="861"/>
  <c r="X16" i="861"/>
  <c r="W16" i="861"/>
  <c r="V16" i="861"/>
  <c r="U16" i="861"/>
  <c r="T16" i="861"/>
  <c r="S16" i="861"/>
  <c r="R16" i="861"/>
  <c r="Z15" i="861"/>
  <c r="Y15" i="861"/>
  <c r="X15" i="861"/>
  <c r="W15" i="861"/>
  <c r="V15" i="861"/>
  <c r="U15" i="861"/>
  <c r="T15" i="861"/>
  <c r="S15" i="861"/>
  <c r="R15" i="861"/>
  <c r="Z14" i="861"/>
  <c r="Y14" i="861"/>
  <c r="X14" i="861"/>
  <c r="W14" i="861"/>
  <c r="V14" i="861"/>
  <c r="U14" i="861"/>
  <c r="T14" i="861"/>
  <c r="S14" i="861"/>
  <c r="R14" i="861"/>
  <c r="Z13" i="861"/>
  <c r="Y13" i="861"/>
  <c r="X13" i="861"/>
  <c r="W13" i="861"/>
  <c r="V13" i="861"/>
  <c r="U13" i="861"/>
  <c r="T13" i="861"/>
  <c r="S13" i="861"/>
  <c r="R13" i="861"/>
  <c r="Z12" i="861"/>
  <c r="Y12" i="861"/>
  <c r="X12" i="861"/>
  <c r="W12" i="861"/>
  <c r="V12" i="861"/>
  <c r="U12" i="861"/>
  <c r="T12" i="861"/>
  <c r="S12" i="861"/>
  <c r="R12" i="861"/>
  <c r="Z11" i="861"/>
  <c r="Y11" i="861"/>
  <c r="X11" i="861"/>
  <c r="W11" i="861"/>
  <c r="V11" i="861"/>
  <c r="U11" i="861"/>
  <c r="T11" i="861"/>
  <c r="S11" i="861"/>
  <c r="R11" i="861"/>
  <c r="Z10" i="861"/>
  <c r="Y10" i="861"/>
  <c r="X10" i="861"/>
  <c r="W10" i="861"/>
  <c r="V10" i="861"/>
  <c r="U10" i="861"/>
  <c r="T10" i="861"/>
  <c r="S10" i="861"/>
  <c r="R10" i="861"/>
  <c r="M31" i="861" l="1"/>
  <c r="L31" i="861"/>
  <c r="J31" i="861"/>
  <c r="M34" i="860"/>
  <c r="M31" i="860"/>
  <c r="L34" i="860"/>
  <c r="L31" i="860"/>
  <c r="K34" i="860"/>
  <c r="K31" i="860"/>
  <c r="C28" i="860" a="1"/>
  <c r="C28" i="860" s="1"/>
  <c r="N12" i="860" l="1"/>
  <c r="R10" i="860"/>
  <c r="S10" i="860"/>
  <c r="T10" i="860"/>
  <c r="U10" i="860"/>
  <c r="V10" i="860"/>
  <c r="W10" i="860"/>
  <c r="X10" i="860"/>
  <c r="Y10" i="860"/>
  <c r="Z10" i="860"/>
  <c r="R11" i="860"/>
  <c r="S11" i="860"/>
  <c r="T11" i="860"/>
  <c r="U11" i="860"/>
  <c r="V11" i="860"/>
  <c r="W11" i="860"/>
  <c r="X11" i="860"/>
  <c r="Y11" i="860"/>
  <c r="Z11" i="860"/>
  <c r="R12" i="860"/>
  <c r="S12" i="860"/>
  <c r="T12" i="860"/>
  <c r="U12" i="860"/>
  <c r="V12" i="860"/>
  <c r="W12" i="860"/>
  <c r="X12" i="860"/>
  <c r="Y12" i="860"/>
  <c r="Z12" i="860"/>
  <c r="R13" i="860"/>
  <c r="S13" i="860"/>
  <c r="T13" i="860"/>
  <c r="U13" i="860"/>
  <c r="V13" i="860"/>
  <c r="W13" i="860"/>
  <c r="X13" i="860"/>
  <c r="Y13" i="860"/>
  <c r="Z13" i="860"/>
  <c r="C15" i="860"/>
  <c r="D15" i="860"/>
  <c r="E15" i="860"/>
  <c r="F15" i="860"/>
  <c r="G15" i="860"/>
  <c r="K15" i="860"/>
  <c r="L15" i="860"/>
  <c r="M15" i="860"/>
  <c r="N15" i="860"/>
  <c r="O15" i="860"/>
  <c r="C16" i="860"/>
  <c r="D16" i="860"/>
  <c r="E16" i="860"/>
  <c r="F16" i="860"/>
  <c r="G16" i="860"/>
  <c r="K16" i="860"/>
  <c r="L16" i="860"/>
  <c r="M16" i="860"/>
  <c r="N16" i="860"/>
  <c r="O16" i="860"/>
  <c r="I10" i="860"/>
  <c r="J10" i="860"/>
  <c r="L10" i="860"/>
  <c r="M10" i="860"/>
  <c r="N10" i="860"/>
  <c r="O10" i="860"/>
  <c r="I11" i="860"/>
  <c r="J11" i="860"/>
  <c r="L11" i="860"/>
  <c r="M11" i="860"/>
  <c r="N11" i="860"/>
  <c r="O11" i="860"/>
  <c r="I12" i="860"/>
  <c r="J12" i="860"/>
  <c r="L12" i="860"/>
  <c r="M12" i="860"/>
  <c r="O12" i="860"/>
  <c r="I13" i="860"/>
  <c r="J13" i="860"/>
  <c r="L13" i="860"/>
  <c r="M13" i="860"/>
  <c r="N13" i="860"/>
  <c r="O13" i="860"/>
  <c r="C10" i="860"/>
  <c r="D10" i="860"/>
  <c r="E10" i="860"/>
  <c r="F10" i="860"/>
  <c r="G10" i="860"/>
  <c r="C11" i="860"/>
  <c r="D11" i="860"/>
  <c r="E11" i="860"/>
  <c r="F11" i="860"/>
  <c r="G11" i="860"/>
  <c r="C12" i="860"/>
  <c r="D12" i="860"/>
  <c r="E12" i="860"/>
  <c r="F12" i="860"/>
  <c r="G12" i="860"/>
  <c r="C13" i="860"/>
  <c r="D13" i="860"/>
  <c r="E13" i="860"/>
  <c r="F13" i="860"/>
  <c r="G13" i="860"/>
  <c r="J34" i="860" l="1"/>
  <c r="J16" i="860"/>
  <c r="J15" i="860"/>
  <c r="I16" i="860"/>
  <c r="I15" i="860"/>
  <c r="J31" i="860" l="1"/>
  <c r="K13" i="860"/>
  <c r="K12" i="860"/>
  <c r="K11" i="860"/>
  <c r="K10" i="860"/>
  <c r="K68" i="860" l="1"/>
  <c r="R15" i="860" l="1"/>
  <c r="S15" i="860"/>
  <c r="T15" i="860"/>
  <c r="U15" i="860"/>
  <c r="V15" i="860"/>
  <c r="W15" i="860"/>
  <c r="X15" i="860"/>
  <c r="Y15" i="860"/>
  <c r="Z15" i="860"/>
  <c r="R16" i="860"/>
  <c r="S16" i="860"/>
  <c r="T16" i="860"/>
  <c r="U16" i="860"/>
  <c r="V16" i="860"/>
  <c r="W16" i="860"/>
  <c r="X16" i="860"/>
  <c r="Y16" i="860"/>
  <c r="Z16" i="860"/>
  <c r="R17" i="860"/>
  <c r="S17" i="860"/>
  <c r="T17" i="860"/>
  <c r="U17" i="860"/>
  <c r="V17" i="860"/>
  <c r="W17" i="860"/>
  <c r="X17" i="860"/>
  <c r="Y17" i="860"/>
  <c r="Z17" i="860"/>
  <c r="R18" i="860"/>
  <c r="S18" i="860"/>
  <c r="T18" i="860"/>
  <c r="U18" i="860"/>
  <c r="V18" i="860"/>
  <c r="W18" i="860"/>
  <c r="X18" i="860"/>
  <c r="Y18" i="860"/>
  <c r="Z18" i="860"/>
  <c r="R19" i="860"/>
  <c r="S19" i="860"/>
  <c r="T19" i="860"/>
  <c r="U19" i="860"/>
  <c r="V19" i="860"/>
  <c r="W19" i="860"/>
  <c r="X19" i="860"/>
  <c r="Y19" i="860"/>
  <c r="Z19" i="860"/>
  <c r="R20" i="860"/>
  <c r="S20" i="860"/>
  <c r="T20" i="860"/>
  <c r="U20" i="860"/>
  <c r="V20" i="860"/>
  <c r="W20" i="860"/>
  <c r="X20" i="860"/>
  <c r="Y20" i="860"/>
  <c r="Z20" i="860"/>
  <c r="R21" i="860"/>
  <c r="S21" i="860"/>
  <c r="T21" i="860"/>
  <c r="U21" i="860"/>
  <c r="V21" i="860"/>
  <c r="W21" i="860"/>
  <c r="X21" i="860"/>
  <c r="Y21" i="860"/>
  <c r="Z21" i="860"/>
  <c r="R22" i="860"/>
  <c r="S22" i="860"/>
  <c r="T22" i="860"/>
  <c r="U22" i="860"/>
  <c r="V22" i="860"/>
  <c r="W22" i="860"/>
  <c r="X22" i="860"/>
  <c r="Y22" i="860"/>
  <c r="Z22" i="860"/>
  <c r="R23" i="860"/>
  <c r="S23" i="860"/>
  <c r="T23" i="860"/>
  <c r="U23" i="860"/>
  <c r="V23" i="860"/>
  <c r="W23" i="860"/>
  <c r="X23" i="860"/>
  <c r="Y23" i="860"/>
  <c r="Z23" i="860"/>
  <c r="R24" i="860"/>
  <c r="S24" i="860"/>
  <c r="T24" i="860"/>
  <c r="U24" i="860"/>
  <c r="V24" i="860"/>
  <c r="W24" i="860"/>
  <c r="X24" i="860"/>
  <c r="Y24" i="860"/>
  <c r="Z24" i="860"/>
  <c r="R25" i="860"/>
  <c r="S25" i="860"/>
  <c r="T25" i="860"/>
  <c r="U25" i="860"/>
  <c r="V25" i="860"/>
  <c r="W25" i="860"/>
  <c r="X25" i="860"/>
  <c r="Y25" i="860"/>
  <c r="Z25" i="860"/>
  <c r="R26" i="860"/>
  <c r="S26" i="860"/>
  <c r="T26" i="860"/>
  <c r="U26" i="860"/>
  <c r="V26" i="860"/>
  <c r="W26" i="860"/>
  <c r="X26" i="860"/>
  <c r="Y26" i="860"/>
  <c r="Z26" i="860"/>
  <c r="R27" i="860"/>
  <c r="S27" i="860"/>
  <c r="T27" i="860"/>
  <c r="U27" i="860"/>
  <c r="V27" i="860"/>
  <c r="W27" i="860"/>
  <c r="X27" i="860"/>
  <c r="Y27" i="860"/>
  <c r="Z27" i="860"/>
  <c r="T28" i="860"/>
  <c r="R14" i="860"/>
  <c r="S14" i="860"/>
  <c r="T14" i="860"/>
  <c r="U14" i="860"/>
  <c r="V14" i="860"/>
  <c r="W14" i="860"/>
  <c r="X14" i="860"/>
  <c r="Y14" i="860"/>
  <c r="Z14" i="860"/>
  <c r="B28" i="860"/>
  <c r="S28" i="860" s="1"/>
  <c r="B57" i="860"/>
  <c r="F73" i="860"/>
  <c r="AX57" i="860"/>
  <c r="AW57" i="860"/>
  <c r="AV57" i="860"/>
  <c r="AU57" i="860"/>
  <c r="AT57" i="860"/>
  <c r="AS57" i="860"/>
  <c r="AR57" i="860"/>
  <c r="AQ57" i="860"/>
  <c r="AP57" i="860"/>
  <c r="AO57" i="860"/>
  <c r="AN57" i="860"/>
  <c r="AM57" i="860"/>
  <c r="AL57" i="860"/>
  <c r="AK57" i="860"/>
  <c r="AJ57" i="860"/>
  <c r="AI57" i="860"/>
  <c r="AH57" i="860"/>
  <c r="AG57" i="860"/>
  <c r="AF57" i="860"/>
  <c r="AE57" i="860"/>
  <c r="AD57" i="860"/>
  <c r="AC57" i="860"/>
  <c r="AB57" i="860"/>
  <c r="L57" i="860"/>
  <c r="C68" i="860" s="1"/>
  <c r="K52" i="860"/>
  <c r="L43" i="860" s="1"/>
  <c r="C51" i="860"/>
  <c r="D50" i="860"/>
  <c r="Z39" i="860"/>
  <c r="Y39" i="860"/>
  <c r="X39" i="860"/>
  <c r="W39" i="860"/>
  <c r="V39" i="860"/>
  <c r="U39" i="860"/>
  <c r="T39" i="860"/>
  <c r="S39" i="860"/>
  <c r="R39" i="860"/>
  <c r="Z38" i="860"/>
  <c r="Y38" i="860"/>
  <c r="X38" i="860"/>
  <c r="W38" i="860"/>
  <c r="V38" i="860"/>
  <c r="U38" i="860"/>
  <c r="T38" i="860"/>
  <c r="S38" i="860"/>
  <c r="R38" i="860"/>
  <c r="Z37" i="860"/>
  <c r="Y37" i="860"/>
  <c r="X37" i="860"/>
  <c r="W37" i="860"/>
  <c r="V37" i="860"/>
  <c r="U37" i="860"/>
  <c r="T37" i="860"/>
  <c r="S37" i="860"/>
  <c r="R37" i="860"/>
  <c r="M37" i="860"/>
  <c r="Z36" i="860"/>
  <c r="Y36" i="860"/>
  <c r="X36" i="860"/>
  <c r="W36" i="860"/>
  <c r="V36" i="860"/>
  <c r="U36" i="860"/>
  <c r="T36" i="860"/>
  <c r="S36" i="860"/>
  <c r="R36" i="860"/>
  <c r="M36" i="860"/>
  <c r="Z35" i="860"/>
  <c r="Y35" i="860"/>
  <c r="X35" i="860"/>
  <c r="W35" i="860"/>
  <c r="V35" i="860"/>
  <c r="U35" i="860"/>
  <c r="T35" i="860"/>
  <c r="S35" i="860"/>
  <c r="R35" i="860"/>
  <c r="M35" i="860"/>
  <c r="Z34" i="860"/>
  <c r="Y34" i="860"/>
  <c r="X34" i="860"/>
  <c r="W34" i="860"/>
  <c r="V34" i="860"/>
  <c r="U34" i="860"/>
  <c r="T34" i="860"/>
  <c r="S34" i="860"/>
  <c r="R34" i="860"/>
  <c r="Z33" i="860"/>
  <c r="Y33" i="860"/>
  <c r="X33" i="860"/>
  <c r="W33" i="860"/>
  <c r="V33" i="860"/>
  <c r="U33" i="860"/>
  <c r="T33" i="860"/>
  <c r="S33" i="860"/>
  <c r="R33" i="860"/>
  <c r="M33" i="860"/>
  <c r="Z32" i="860"/>
  <c r="Y32" i="860"/>
  <c r="X32" i="860"/>
  <c r="W32" i="860"/>
  <c r="V32" i="860"/>
  <c r="U32" i="860"/>
  <c r="T32" i="860"/>
  <c r="S32" i="860"/>
  <c r="R32" i="860"/>
  <c r="Z31" i="860"/>
  <c r="Y31" i="860"/>
  <c r="X31" i="860"/>
  <c r="W31" i="860"/>
  <c r="V31" i="860"/>
  <c r="U31" i="860"/>
  <c r="T31" i="860"/>
  <c r="S31" i="860"/>
  <c r="R31" i="860"/>
  <c r="Z30" i="860"/>
  <c r="Y30" i="860"/>
  <c r="X30" i="860"/>
  <c r="W30" i="860"/>
  <c r="V30" i="860"/>
  <c r="U30" i="860"/>
  <c r="T30" i="860"/>
  <c r="S30" i="860"/>
  <c r="R30" i="860"/>
  <c r="Z29" i="860"/>
  <c r="Y29" i="860"/>
  <c r="X29" i="860"/>
  <c r="W29" i="860"/>
  <c r="V29" i="860"/>
  <c r="U29" i="860"/>
  <c r="T29" i="860"/>
  <c r="S29" i="860"/>
  <c r="R29" i="860"/>
  <c r="M29" i="860"/>
  <c r="M28" i="860"/>
  <c r="Z28" i="860" l="1"/>
  <c r="Y28" i="860"/>
  <c r="X28" i="860"/>
  <c r="W28" i="860"/>
  <c r="V28" i="860"/>
  <c r="U28" i="860"/>
  <c r="R28" i="860"/>
  <c r="K38" i="860"/>
  <c r="L38" i="860" s="1"/>
  <c r="M38" i="860" s="1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C16" i="862" l="1"/>
  <c r="C17" i="862"/>
  <c r="I17" i="862" l="1"/>
  <c r="J17" i="862"/>
  <c r="I16" i="862"/>
  <c r="J16" i="862"/>
  <c r="C14" i="862" l="1"/>
  <c r="C15" i="862"/>
  <c r="J11" i="862" l="1"/>
  <c r="J20" i="861"/>
  <c r="J13" i="862"/>
  <c r="I13" i="862"/>
  <c r="I14" i="862"/>
  <c r="J14" i="862"/>
  <c r="I12" i="862"/>
  <c r="J12" i="862"/>
  <c r="I11" i="862" l="1"/>
  <c r="M28" i="861" l="1"/>
  <c r="L28" i="861"/>
  <c r="L38" i="861" s="1"/>
  <c r="M38" i="861" s="1"/>
  <c r="I20" i="861"/>
  <c r="J28" i="861" s="1"/>
  <c r="N16" i="862" l="1"/>
  <c r="N17" i="862"/>
  <c r="N18" i="862"/>
  <c r="N19" i="862"/>
  <c r="N15" i="862"/>
  <c r="N14" i="862"/>
  <c r="N13" i="862"/>
  <c r="N12" i="862"/>
  <c r="N11" i="862"/>
  <c r="N10" i="862"/>
  <c r="J19" i="862" l="1"/>
  <c r="I19" i="862"/>
  <c r="J10" i="862" l="1"/>
  <c r="J15" i="862"/>
  <c r="I15" i="862"/>
  <c r="L27" i="862" l="1"/>
  <c r="L37" i="862" s="1"/>
  <c r="M37" i="862" s="1"/>
  <c r="M27" i="862"/>
  <c r="I10" i="862"/>
  <c r="J27" i="862" s="1"/>
  <c r="N10" i="863" l="1"/>
  <c r="J11" i="863" l="1"/>
  <c r="J17" i="863"/>
  <c r="J15" i="863"/>
  <c r="J14" i="863"/>
  <c r="I13" i="863"/>
  <c r="J13" i="863"/>
  <c r="I16" i="863"/>
  <c r="J12" i="863"/>
  <c r="J16" i="863"/>
  <c r="I12" i="863" l="1"/>
  <c r="I11" i="863"/>
  <c r="I17" i="863"/>
  <c r="I15" i="863"/>
  <c r="I14" i="863"/>
  <c r="J28" i="863" l="1"/>
  <c r="I16" i="865" l="1"/>
  <c r="I15" i="865"/>
  <c r="M29" i="865" l="1"/>
  <c r="I14" i="865"/>
  <c r="I17" i="865"/>
  <c r="J29" i="865" l="1"/>
  <c r="L29" i="865"/>
  <c r="L39" i="865" s="1"/>
  <c r="M39" i="865" s="1"/>
  <c r="N13" i="866" l="1"/>
  <c r="N10" i="867" l="1"/>
  <c r="N11" i="867"/>
  <c r="N12" i="867"/>
  <c r="N13" i="867"/>
  <c r="J12" i="867" l="1"/>
  <c r="I10" i="867" l="1"/>
  <c r="J11" i="867"/>
  <c r="J13" i="867"/>
  <c r="J10" i="867"/>
  <c r="I13" i="867"/>
  <c r="I11" i="867"/>
  <c r="I12" i="867" l="1"/>
  <c r="J23" i="867" s="1"/>
  <c r="J61" i="19" l="1"/>
  <c r="J60" i="19" l="1"/>
  <c r="J63" i="19"/>
  <c r="J64" i="19" l="1"/>
  <c r="G64" i="19"/>
  <c r="I13" i="871" l="1"/>
  <c r="J13" i="871"/>
  <c r="J14" i="871"/>
  <c r="I11" i="871"/>
  <c r="J12" i="871"/>
  <c r="I14" i="871"/>
  <c r="J15" i="871"/>
  <c r="J11" i="871" l="1"/>
  <c r="I12" i="871"/>
  <c r="I15" i="871" l="1"/>
  <c r="J10" i="871" l="1"/>
  <c r="I10" i="871" l="1"/>
  <c r="J34" i="871" s="1"/>
  <c r="M34" i="871"/>
  <c r="L34" i="871"/>
  <c r="L44" i="871" s="1"/>
  <c r="M44" i="871" s="1"/>
  <c r="M38" i="874" l="1"/>
  <c r="M43" i="863"/>
  <c r="M38" i="867"/>
  <c r="M49" i="871"/>
  <c r="M44" i="870"/>
  <c r="M40" i="873"/>
  <c r="M42" i="862"/>
  <c r="M40" i="872"/>
  <c r="M44" i="868"/>
  <c r="M44" i="865"/>
  <c r="M44" i="877"/>
  <c r="M46" i="864"/>
  <c r="M42" i="866"/>
  <c r="M52" i="875"/>
  <c r="M44" i="869"/>
  <c r="M44" i="876"/>
  <c r="M43" i="860"/>
  <c r="M43" i="861"/>
  <c r="N10" i="877" l="1"/>
  <c r="N11" i="877"/>
  <c r="N12" i="877"/>
  <c r="N13" i="877"/>
  <c r="J12" i="877" l="1"/>
  <c r="J13" i="877"/>
  <c r="J11" i="877"/>
  <c r="J10" i="877"/>
  <c r="I13" i="877" l="1"/>
  <c r="I11" i="877"/>
  <c r="I12" i="877"/>
  <c r="I10" i="877"/>
  <c r="J29" i="877" s="1"/>
  <c r="M31" i="877" l="1"/>
  <c r="M31" i="876"/>
  <c r="M25" i="867"/>
  <c r="M31" i="868"/>
  <c r="M36" i="871"/>
  <c r="M30" i="861"/>
  <c r="M39" i="875"/>
  <c r="M30" i="860"/>
  <c r="M25" i="874"/>
  <c r="M27" i="872"/>
  <c r="M31" i="865"/>
  <c r="M27" i="873"/>
  <c r="M31" i="869"/>
  <c r="M29" i="862"/>
  <c r="M30" i="863"/>
  <c r="M31" i="870"/>
  <c r="M29" i="866"/>
  <c r="M33" i="864"/>
  <c r="K12" i="871" l="1"/>
  <c r="K13" i="871"/>
  <c r="K14" i="871"/>
  <c r="K15" i="871"/>
  <c r="K10" i="872"/>
  <c r="K11" i="872"/>
  <c r="K10" i="874"/>
  <c r="K11" i="874"/>
  <c r="K12" i="874"/>
  <c r="K13" i="874"/>
  <c r="K14" i="874"/>
  <c r="K10" i="875"/>
  <c r="K11" i="875"/>
  <c r="K12" i="875"/>
  <c r="K13" i="875"/>
  <c r="K14" i="875"/>
  <c r="K15" i="875"/>
  <c r="K16" i="875"/>
  <c r="K16" i="876"/>
  <c r="K17" i="876"/>
  <c r="K18" i="876"/>
  <c r="K20" i="876"/>
  <c r="K10" i="877"/>
  <c r="K11" i="877"/>
  <c r="K12" i="877"/>
  <c r="K13" i="877"/>
  <c r="K10" i="880"/>
  <c r="K11" i="880"/>
  <c r="K12" i="880"/>
  <c r="K13" i="880"/>
  <c r="K14" i="880"/>
  <c r="K17" i="880"/>
  <c r="K18" i="880"/>
  <c r="K19" i="880"/>
  <c r="K20" i="880"/>
  <c r="K21" i="880"/>
  <c r="K22" i="880"/>
  <c r="K24" i="880"/>
  <c r="K25" i="880"/>
  <c r="K11" i="868" l="1"/>
  <c r="K12" i="868"/>
  <c r="K13" i="868"/>
  <c r="K14" i="868"/>
  <c r="K15" i="868"/>
  <c r="K16" i="868"/>
  <c r="K17" i="868"/>
  <c r="K10" i="871"/>
  <c r="K11" i="871"/>
  <c r="K13" i="867" l="1"/>
  <c r="K10" i="868"/>
  <c r="K13" i="866" l="1"/>
  <c r="K11" i="864" l="1"/>
  <c r="K10" i="865"/>
  <c r="K11" i="865"/>
  <c r="K12" i="865"/>
  <c r="K13" i="865"/>
  <c r="K14" i="865"/>
  <c r="K15" i="865"/>
  <c r="K16" i="865"/>
  <c r="K10" i="866"/>
  <c r="K11" i="866"/>
  <c r="K12" i="866"/>
  <c r="K10" i="867"/>
  <c r="K11" i="867"/>
  <c r="K12" i="867"/>
  <c r="K16" i="862" l="1"/>
  <c r="K17" i="862"/>
  <c r="K18" i="862"/>
  <c r="K19" i="862"/>
  <c r="K10" i="863"/>
  <c r="K11" i="863"/>
  <c r="K12" i="863"/>
  <c r="K13" i="863"/>
  <c r="K14" i="863"/>
  <c r="K15" i="863"/>
  <c r="K16" i="863"/>
  <c r="K17" i="863"/>
  <c r="K18" i="863"/>
  <c r="K15" i="862"/>
  <c r="K14" i="862"/>
  <c r="K13" i="862"/>
  <c r="K12" i="862"/>
  <c r="K11" i="862"/>
  <c r="K10" i="862"/>
  <c r="K20" i="861"/>
  <c r="K19" i="861"/>
  <c r="K18" i="861"/>
  <c r="K20" i="863" l="1"/>
  <c r="K10" i="864"/>
  <c r="C36" i="860" l="1" a="1"/>
  <c r="C36" i="860" s="1"/>
  <c r="C28" i="861"/>
  <c r="C49" i="865"/>
  <c r="D60" i="19" l="1"/>
  <c r="D63" i="19"/>
  <c r="D64" i="19"/>
  <c r="D61" i="19"/>
  <c r="D59" i="18" l="1"/>
  <c r="D59" i="19"/>
  <c r="D62" i="18"/>
  <c r="D62" i="19"/>
  <c r="D57" i="18"/>
  <c r="D57" i="19"/>
  <c r="D58" i="19"/>
  <c r="D58" i="18"/>
  <c r="F52" i="867"/>
  <c r="F54" i="873"/>
  <c r="F56" i="862"/>
  <c r="D56" i="18" l="1"/>
  <c r="D56" i="19" l="1"/>
  <c r="D65" i="19" l="1"/>
  <c r="D65" i="18"/>
  <c r="D59" i="880" l="1"/>
  <c r="D72" i="875"/>
  <c r="D66" i="875"/>
  <c r="D63" i="871"/>
  <c r="D58" i="870"/>
  <c r="G70" i="870"/>
  <c r="D58" i="869"/>
  <c r="G69" i="869"/>
  <c r="D58" i="868"/>
  <c r="D52" i="874"/>
  <c r="D52" i="867"/>
  <c r="D60" i="865"/>
  <c r="G63" i="874"/>
  <c r="G75" i="871"/>
  <c r="G63" i="867"/>
  <c r="G69" i="865"/>
  <c r="D59" i="861"/>
  <c r="D54" i="873"/>
  <c r="D58" i="865"/>
  <c r="D57" i="863"/>
  <c r="D57" i="861"/>
  <c r="D56" i="862"/>
  <c r="G59" i="861" l="1"/>
  <c r="G58" i="868"/>
  <c r="G67" i="873"/>
  <c r="L72" i="875"/>
  <c r="G71" i="880"/>
  <c r="G58" i="870"/>
  <c r="L58" i="870" s="1"/>
  <c r="C70" i="870" s="1"/>
  <c r="G66" i="875"/>
  <c r="L66" i="875" s="1"/>
  <c r="C77" i="875" s="1"/>
  <c r="L58" i="868"/>
  <c r="C69" i="868" s="1"/>
  <c r="H54" i="873"/>
  <c r="G58" i="865"/>
  <c r="G72" i="875"/>
  <c r="G57" i="861"/>
  <c r="L56" i="862"/>
  <c r="C68" i="862" s="1"/>
  <c r="G68" i="862"/>
  <c r="G69" i="868"/>
  <c r="G60" i="865"/>
  <c r="L60" i="865" s="1"/>
  <c r="C69" i="865" s="1"/>
  <c r="L63" i="871"/>
  <c r="C75" i="871" s="1"/>
  <c r="L58" i="865"/>
  <c r="C71" i="865" s="1"/>
  <c r="G63" i="871"/>
  <c r="G68" i="861"/>
  <c r="G54" i="873"/>
  <c r="I54" i="873" s="1"/>
  <c r="G58" i="869"/>
  <c r="L57" i="861"/>
  <c r="C68" i="861" s="1"/>
  <c r="G57" i="863"/>
  <c r="L57" i="863" s="1"/>
  <c r="C71" i="863" s="1"/>
  <c r="G52" i="867"/>
  <c r="I52" i="867" s="1"/>
  <c r="G59" i="880"/>
  <c r="G52" i="874"/>
  <c r="L52" i="874" s="1"/>
  <c r="C63" i="874" s="1"/>
  <c r="L58" i="869"/>
  <c r="C69" i="869" s="1"/>
  <c r="L59" i="880"/>
  <c r="C71" i="880" s="1"/>
  <c r="H52" i="867"/>
  <c r="G56" i="862"/>
  <c r="L59" i="861"/>
  <c r="C74" i="861" s="1"/>
  <c r="G74" i="861" l="1"/>
  <c r="G71" i="865"/>
  <c r="G71" i="863"/>
  <c r="G77" i="875"/>
  <c r="L52" i="867"/>
  <c r="C63" i="867" s="1"/>
  <c r="L54" i="873"/>
  <c r="C67" i="873" s="1"/>
  <c r="K58" i="868" l="1"/>
  <c r="K69" i="868" s="1"/>
  <c r="K58" i="865"/>
  <c r="K71" i="865" s="1"/>
  <c r="K56" i="862"/>
  <c r="K68" i="862" s="1"/>
  <c r="K58" i="870"/>
  <c r="K70" i="870" s="1"/>
  <c r="G56" i="18"/>
  <c r="K52" i="874"/>
  <c r="K63" i="874" s="1"/>
  <c r="K57" i="861"/>
  <c r="K68" i="861" s="1"/>
  <c r="K57" i="863"/>
  <c r="K71" i="863" s="1"/>
  <c r="G59" i="18"/>
  <c r="K72" i="875"/>
  <c r="G62" i="18"/>
  <c r="K52" i="867"/>
  <c r="K63" i="867" s="1"/>
  <c r="G57" i="18"/>
  <c r="K71" i="880"/>
  <c r="K60" i="865"/>
  <c r="K69" i="865" s="1"/>
  <c r="K54" i="873"/>
  <c r="K67" i="873" s="1"/>
  <c r="G58" i="18"/>
  <c r="K66" i="875"/>
  <c r="K77" i="875" s="1"/>
  <c r="K58" i="869"/>
  <c r="K69" i="869" s="1"/>
  <c r="K59" i="861"/>
  <c r="K74" i="861" s="1"/>
  <c r="K63" i="871"/>
  <c r="K75" i="871" s="1"/>
  <c r="J59" i="18" l="1"/>
  <c r="J56" i="18"/>
  <c r="G65" i="18"/>
  <c r="J57" i="18"/>
  <c r="J58" i="18"/>
  <c r="J62" i="18"/>
  <c r="J65" i="18" l="1"/>
  <c r="J57" i="19" l="1"/>
  <c r="G62" i="19"/>
  <c r="G56" i="19"/>
  <c r="G57" i="19"/>
  <c r="J62" i="19"/>
  <c r="J56" i="19"/>
  <c r="J65" i="19"/>
  <c r="J59" i="19"/>
  <c r="J58" i="19"/>
  <c r="G61" i="19"/>
  <c r="G59" i="19" l="1"/>
  <c r="G65" i="19"/>
  <c r="G58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D176D36-2285-4A7E-83C3-BF8D681505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CBB8449-E0C6-48F3-9084-84676489AA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49CF852-3BAA-4BEA-9AE3-E52F73CEEA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A3E29C4-5A3A-4121-8800-93CA9AC41AE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A0E9557-2EA7-4CBC-91AB-EDF5183444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01E387D-C46B-4A69-8993-4F4F062099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72AAB0C-98FB-4E6A-BE8D-7FDB34B7DEF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E2D83E1-DAD5-48AB-A6D3-559341A83B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7ECCC36-2DDC-4082-A1B2-1A928D8D19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549D46C-BD56-48AD-AEC4-7FF4B411967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6DFAE12-04A9-4BD9-8521-E1BDF25304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0B4308F-5483-45D4-9DDC-DF83979BB8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D5E97A5-A18F-42FD-A86E-312532721D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A4C73A5-6D60-4A94-9FAD-BFC3EE1F1B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6C65468-6BA4-4460-A6C7-D85DE2C075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A34B4AA-502B-4717-BA43-68EA84B0A6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534F464-EF26-46B3-8F02-F273087E9E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ABC42A0-EBD2-44EE-9CE5-2F84DB1EEB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18F4D82-45DA-4F85-97AD-522710AC5C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C60B7B28-3968-4DD8-BB48-6C6FBA71BF7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DF1F9F6-EDD2-4992-80D3-C68E17604E3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C82400E-DB51-452C-B4FE-B724E80F14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358BBD7-01CA-46C5-9F2B-ED15E7F34A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3E4CC47-DE9E-4D9B-A152-FF31586A610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FBCA09D-B749-447E-86F5-A5D5924133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4C3332A-59D9-4009-B7A4-D884A508682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5D725E0-2247-482E-863D-7E7D546C3D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6A012E1-A9BC-49BC-A4DC-85AD62E7D28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8B0AB62-E465-4FE0-AB29-755B98C435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0D6D26F-5F94-46CC-8C9B-299E1822EC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2334592-27F3-4122-BFD0-8D2A86EF15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E24D7B7-0F92-40F8-B8B8-16ABB23C40D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6C2EE129-5390-418F-B843-0A3ACC565D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1E26CAB-C4B4-4B8C-B682-EDAB103EE9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FE55E1B-B3F9-42DF-8689-098C2A3596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3682A0A-EAD5-430B-941E-E8D77F6069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B80EE49-0E4E-4058-AFD2-16587B1550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36F47A8-F82B-4628-9969-C245ED37081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E3B7F34-EDFF-45DF-A0C6-D8EF89F582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6BB24F3-464C-4DD1-8F5D-F4F44ACA7F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8963F52-911A-4703-8592-44C7F80760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1462C37-8426-4944-9CE2-AB5F75BB8B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D845EC3-1F1C-4AE7-8423-D999A64D85E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09F0886-68A4-472D-A186-D0AB47E9C9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7CE9203-D2D8-4773-8E64-E17176618F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5E7D95A-1D25-442C-9216-336342721EB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0147FFD-C2AD-47D6-A909-E44CA745021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B13E84F-F44E-4BFC-BA52-D8376C4E67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C5843DA-BE8C-4720-A685-A8906CFC71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09B00DC-5AC1-42B5-9354-BF33B9C05BF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ED0F288-1876-4694-A93F-EEAB15141A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8B6C1A2-ED23-4F53-8984-E348226F86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618FB5B-EBF2-4F46-B0D4-163110C2FC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AF1C624-9B7E-4F1E-A6D2-DEBC544EDEC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0C7DD7F-4A7E-46D9-82F8-CC2B5268F2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772AD4D-CC6A-460C-BD84-E51DA08FB0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9C9404E-3655-4F12-8C66-72F96311E7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24D86D2-A0A2-4042-B866-C686F91EA2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2F2A9AC-26B3-41F0-97A8-6D454DDB96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13FB1CD-1B94-4771-893E-D40EA17441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7863F94-6DB9-4C50-9BE7-7300C1F36C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4AE56BE-9552-4610-9F33-09C21E4A03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546713C-8853-4F9B-BA8B-A97458B5B7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0D971CE-A3DC-4FB3-BA40-AEAA175F0E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AC8D4FC7-C72E-4CF2-AE87-478399693E5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F9FAC30-6E67-47B2-8A48-EE5BC885B0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L60" authorId="1" shapeId="0" xr:uid="{8F144807-7E58-4F95-9FE6-A110008BE4D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28hls taken  last week for Shandies
SV4 was a  remainer from DPV1 which was transferred.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2CE215B-701A-4CD6-B3CA-4C09C04828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EE30656-777F-4472-A791-7764C4DF8D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8CE78B4-5B22-4E3B-A7E0-57271E01F33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C0A2C39-CB54-497B-8885-F80B1A4B6B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F396B3D-0E2A-4205-AE34-2354E3FA43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1AA7BB6-A4FE-46AC-B99E-6566D7B8CD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6E5E688-4E09-4B0C-9C78-7DE1853280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0EBB60D-8547-490B-8E34-7976F2DCE7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9F2BC59-8BAC-4023-85FE-85CD196A5B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F5FE975-0912-4118-AC9E-DBB57321A83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679A716-0B7B-4848-8BBF-2FEF8522D8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2E2DFCF-C1FE-48F1-BBBC-C357333562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12AE9C4-354B-4E11-9A4F-89414FEF8D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ADB57E4-83AD-47F1-9789-31F7D767BA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DD67410-E56A-4F18-B851-91780AB7F74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98208C5-56F4-479D-9492-52BA1DC920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B60A46D-6DAC-4ACC-B99C-FF8DCFC0073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A7019E8-3557-464C-971E-C410F05948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01D82FF-C6DE-4AC5-A9EF-E2C6D2A858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5A0FE1D-EF43-4C20-8000-815B7C6223A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BD5DD8F-44C5-4B59-B4CA-82CDF1ED5EA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4AC8FB4-3227-4DB8-974E-32AAE5F20E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7" authorId="1" shapeId="0" xr:uid="{251211FF-7B74-4D2B-9FD6-856BEDB07E7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42977E9-20D8-4777-BD99-CC96DB32A01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BAAC084-35B9-4E91-A79F-03C34C51177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53E8458-3085-4C98-8555-189A2FF01C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664AFD8-9AF2-4876-BDBC-D63224E000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F0A7452-23AD-42E7-96C4-8F99176F44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CA03B61-C03D-41F4-AC15-FB2078716E8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1688A48-7188-4F4E-AD9F-08BC577136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1E0386A-7118-4CC1-B788-E4215B36A5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9E0C969-A9FE-4B5F-97AF-91F5B9A1D8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EFE087C-B0D3-47D5-8D18-4A62CB5A98B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A7FB78E-50FB-4132-8C81-EAA7E0E19C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27335D4-A3DB-4B5B-BAAF-82DAF5BE65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190961F-A87B-494A-A981-6479AB526C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E43ECA1-B3DD-4696-B093-2FE21E9BDEA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9D8C0CF-7089-4DF9-BAE9-0C34CAB008E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DB01F34-BC62-4601-A855-E443C1A3BD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F4F508B-7707-4CA5-B895-EE899A9493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4894923-B0A4-471C-ADFE-4B9909B34C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855B7EC-6C0A-4237-AF94-2F9C922207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54892C7-F3EF-4BA6-AE50-EB32340A17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8309F6C-DD0D-47D3-B8D7-F4A7CD48C52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EAF540E-AE49-4452-B008-B6C3C26B69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C0E05003-42A2-4FFD-98AE-2E006298B9D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1E5741E-5BB5-484D-8A8A-1CD3B00F15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1AA82B2-B958-4FC3-AFA4-BF341475AC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1A9471D-9E81-4AFF-8EDB-CFBB744C14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0718FFA-A375-448B-846A-31A806AFCB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2FD5582-913B-4F73-8446-DDF4E3E168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17DB460-4382-4811-8FF2-36E9F1C63F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E3D4936-F97D-472F-9724-3DAB83FAD4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3D9E253-1DC0-41CF-A062-E08F1414BD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07CE675-5C77-4901-9A3C-2AD5AE3E507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0D93439-1630-486A-86A9-879A732E1F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53" authorId="1" shapeId="0" xr:uid="{1BE104B7-93D9-41D3-905E-EAA428EE885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 + funeral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812D6E4-7EE0-4D22-B10C-7B9BDAD9F1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EE3B551-2CC7-4A9A-86F6-5E892CA4DB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EF9BAC9-3F07-47D0-AC00-064E424FC0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C2C6318-A380-48D1-A7C3-290BBF56CF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78B5E7C-A754-41AB-914E-4B469F0635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14809C3-FF3B-47A5-89F0-2B30C0ECB0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5A392AC-6544-4E6B-A019-AC78419659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9FC7C74-6386-4A47-B2CC-36698754B3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73A7128-675E-46FA-BBD1-290EFB7A21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A03BAF78-476B-42B5-BD50-55826346FD0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7C1EADA-568B-4229-999C-A9A4BCCAD4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58" authorId="1" shapeId="0" xr:uid="{2A8B0EBB-3D6B-4253-AC02-B52E9C0AAAB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9DEEE6E-90D0-43DD-A456-B9C4171B5D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6095CC9-F1E9-44E6-93F5-3CBC90D0FB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041660A-E5B1-40E6-B6A0-7E1D394E8F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5E6F095-B701-484E-9F0F-3ACAE3E2BB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F21A332-B9AA-4668-8053-55F6870DB6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ADF66CD-5AA3-4D0D-BB13-3A52377ED1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15B55A1-EEF7-461B-BB15-010E781923C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1F07A8E-30FD-4B82-8B9B-B80B7390D6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8FD61EF-11A8-484C-9A25-1CB1DAECACA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1236C63-E1BA-4C48-B47A-3306EF413D0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6D9FF6A-E9C3-4634-A44C-E120ED3F6C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9" authorId="1" shapeId="0" xr:uid="{D4A767AA-0717-4719-B98D-E744DB8E6EB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94AF2D9-1EDD-4F73-8A37-94DD21DEBD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616B5C4-8CC4-45AC-AC19-0A6ED27E56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06B2D21-646A-4444-989E-2BE67061661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8C59326-0386-476A-9085-4994F885BB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57C8A72-5978-4AF0-8FA1-2402C3D008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AA815E5-212C-432D-A571-5957B054EFF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449BAED-A6F2-4D55-BA21-36F366EF92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A46A302-AF3A-4065-A195-5749EAA06BF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FD10386-E268-49DC-9B42-F6EF2424EC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A5B8F5E6-6A9A-4D94-81AD-0B8F65CDF8F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A2E7A4D-BA4A-4A1D-83AB-0BFE6D4BE8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9" authorId="1" shapeId="0" xr:uid="{07DA879B-2191-4674-A87B-B0627C9DA57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10764AD-4ABD-4FF1-9A68-5E8CCB52B3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52359C2-B783-48D9-9C34-8929A4B6E01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A98A212-3104-4AC3-8ACA-EED4A6FBD8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098873F-D0E0-4C5D-875A-7313F886A0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5CD3450-84D5-499C-8CCC-D9B43FE92A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A174FE3-C20C-454F-AC7A-E98FAC28A5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BB8CDED-50EA-467D-B8BC-4C744A7FE36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E9DA8BA-BE62-4D87-90AE-95BDA2DFED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6BFE3D56-792A-490A-84A3-14356C20E0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BA6C577-1200-4EC2-8655-566FC52B3D3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968411C-B671-45AF-983A-A62EB5E1CF5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7" authorId="1" shapeId="0" xr:uid="{547B270C-1648-4A6C-A5BC-38FF9568B8B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9B3542B-A40D-45D3-AC04-9A75C37770F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07000F9-D560-471D-A5C8-7DD673D7EC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412F37F-6C95-4FE9-812D-20F26DC5B3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0C48062-D7B3-4AFE-B7B3-8BEFC89E6A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303E29D-1479-4303-B4AD-E659956592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682B8FD-C1DD-4029-AB4C-B74188FC7C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1B65BAE-B658-4455-987F-48C6A895E5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8953AF5-059E-49EE-9704-7E9584A97B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B0299CCF-9231-44F5-A91D-CCD745F4E70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84E5CEC-D4F9-46EB-A587-1995B906554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6C35A7AD-EF1D-482A-A6AC-05F79B41AB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1" authorId="1" shapeId="0" xr:uid="{864F4FC4-D6EB-4E90-BA81-030788A17CC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095519B-3CD3-4EE4-9774-B1FD175F73E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18AD686-14BF-4817-A5CA-9DEAB8F578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50D2562-3028-448F-8D8A-D239524C2B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9C77525-FEBF-4A8C-ACF1-7EF1F25CB5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2102633-4F6F-4B0D-9BEE-5EFCB52B6D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62235A0-8B11-4E58-9338-D28D07AE3A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387F6D3-5162-4964-882B-CAE9825F61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5D78EAA-FFC9-4A0B-B42E-BCB6B855505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280EA54-2419-44E5-BF5A-0E9611D29CF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1331A29-EAB5-48D5-800C-B875EA15068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1FE02E6-7EB5-49F9-BFE2-AB8DCFB1C8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53" authorId="1" shapeId="0" xr:uid="{572FC11E-48B4-4C2B-9B64-CAE9CBBE384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314D556-84F9-491F-AC83-999E5655C1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BBE4D98-1B1C-4B21-8027-A50FDDDD8D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7FCD697-1588-434C-90A0-8B21044107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406EA5A-4E0B-4C13-B07E-6C22E5C7BC6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4507CA5-D0D9-4814-A35A-757F276B2E5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3965C11-2411-4003-A341-2B10B3FBFC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9B0A22F-6932-4EDF-A073-AFE5EFB1273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498C1B9-ACBF-468C-956D-3EAF6946B1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9E4C1C2-B563-418E-BABA-C053E9D2EFF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8ED254E-AA6A-484E-B3C7-DD95365BBC9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87480A4-5015-4217-BEDB-3C7D5A3B1E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53" authorId="1" shapeId="0" xr:uid="{E4DBB09B-7932-44F1-8BCE-07A50F21C72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509695C-BD19-45DE-8024-FF64DA01E13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CC0A2C9-90A1-41CA-9A43-1172D123CF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6574C0C-8347-4286-A0FE-0C78948F9A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834E14E-AD54-4587-8F42-67E8523856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34B5FCD-27B4-49E3-89ED-D074F85342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86E1415-C927-4231-A525-49D4FFB915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950F46E-DE4C-44EA-B773-DE5BB5E58A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BA8FD64-42C0-4C7E-A02D-87F061C9D74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602DD11-6548-4EF6-B059-2FE8E8F349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1271F4E-4563-4A46-853D-9B6AD0CEF63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5B9683C-3FBF-42B5-BEE0-5E0EF502253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51" authorId="1" shapeId="0" xr:uid="{7A12A2ED-336C-43F1-A24F-34F8E549C1A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BFCF557-FDAA-46A4-A867-7671D3EF4B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0A11013-219D-4CBF-9A53-A2A7D25A4AE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F54766E-5AC1-4566-B561-068F59BA28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C548E3D-C3C2-4DF1-8C97-34646F031C2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E2A5711-46F7-403E-B143-07D3566663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93BD565-688A-4672-A001-1267E3C235D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C243A8D-D8EC-4B0E-B7F9-9D20415699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8E21A0A-7F67-4AC6-8C46-F002648FF1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B7803E0-DCA7-4E17-85D0-38DF17C2741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E35B4CA-BDB2-4068-A6F9-78E2A544564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486DC85-AD3A-4020-B2D4-E2E5693A1C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8" authorId="1" shapeId="0" xr:uid="{84CD9604-6413-4631-859F-E7411F8C561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DFAD1D1-0594-47E6-979E-E8AE0BF7EF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066BDE7-6DB8-4B0E-A7C8-2B53735069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6FD9BAA-2E96-4854-ABD2-852940928DE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84885B6-7D16-4B54-B64A-E6D8F5865C7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9F1839C-75E8-4B5D-8672-2C9362B0AF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AE5B479-6B9D-4A91-B9AA-722968AE548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5EC8CB6-6F74-49E7-BDF3-F0E1755533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6BB1C07-39C9-4423-B27F-0201CDAAD6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1C596F6-0BC4-4061-9FE1-575261A49A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FAC9F4C-1079-4C45-84D1-5F595A9E3C4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357CB3C-8F7E-4E6B-82F1-3B16551993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54" authorId="1" shapeId="0" xr:uid="{B5560FBA-B2FB-4FDC-8A59-C0721D837B8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availability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<sst xmlns="http://schemas.openxmlformats.org/spreadsheetml/2006/main" count="3207" uniqueCount="206">
  <si>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</si>
  <si>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</si>
  <si>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</si>
  <si>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</si>
  <si>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</si>
  <si>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</si>
  <si>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</si>
  <si>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</si>
  <si>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</si>
  <si>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</si>
  <si>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</si>
  <si>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</si>
  <si>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</si>
  <si>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</si>
  <si>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</si>
  <si>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</si>
  <si>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</si>
  <si>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</si>
  <si>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</si>
  <si>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</si>
  <si>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</si>
  <si>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</si>
  <si>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</si>
  <si>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</si>
  <si>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</si>
  <si>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</si>
  <si>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</si>
  <si>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</si>
  <si>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</si>
  <si>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</si>
  <si>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</si>
  <si>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</si>
  <si>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</si>
  <si>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</si>
  <si>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</si>
  <si>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</si>
  <si>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</si>
  <si>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</si>
  <si>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</si>
  <si>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</si>
  <si>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</si>
  <si>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</si>
  <si>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</si>
  <si>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</si>
  <si>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</si>
  <si>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</si>
  <si>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</si>
  <si>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</si>
  <si>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</si>
  <si>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</si>
  <si>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</si>
  <si>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</si>
  <si>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</si>
  <si>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</si>
  <si>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</si>
  <si>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</si>
  <si>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</si>
  <si>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</si>
  <si>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</si>
  <si>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</si>
  <si>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</si>
  <si>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</si>
  <si>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</si>
  <si>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</si>
  <si>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</si>
  <si>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</si>
  <si>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</si>
  <si>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</si>
  <si>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</si>
  <si>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</si>
  <si>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</si>
  <si>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</si>
  <si>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</si>
  <si>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</si>
  <si>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</si>
  <si>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</si>
  <si>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</si>
  <si>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</si>
  <si>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</si>
  <si>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</si>
  <si>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</si>
  <si>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</si>
  <si>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</si>
  <si>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</si>
  <si>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</si>
  <si>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</si>
  <si>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</si>
  <si>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</si>
  <si>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</si>
  <si>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</si>
  <si>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</si>
  <si>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</si>
  <si>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</si>
  <si>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</si>
  <si>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</si>
  <si>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</si>
  <si>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</si>
  <si>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</si>
  <si>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</si>
  <si>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</si>
  <si>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</si>
  <si>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</si>
  <si>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</si>
  <si>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</si>
  <si>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</si>
  <si>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</si>
  <si>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</si>
  <si>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</si>
  <si>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</si>
  <si>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</si>
  <si>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</si>
  <si>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</si>
  <si>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</si>
  <si>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</si>
  <si>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</si>
  <si>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</si>
  <si>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</si>
  <si>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</si>
  <si>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</si>
  <si>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</si>
  <si>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</si>
  <si>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</si>
  <si>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</si>
  <si>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</si>
  <si>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</si>
  <si>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</si>
  <si>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</si>
  <si>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</si>
  <si>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</si>
  <si>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</si>
  <si>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</si>
  <si>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</si>
  <si>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</si>
  <si>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</si>
  <si>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</si>
  <si>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</si>
  <si>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</si>
  <si>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</si>
  <si>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</si>
  <si>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</si>
  <si>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</si>
  <si>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</si>
  <si>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</si>
  <si>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</si>
  <si>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</si>
  <si>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</si>
  <si>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</si>
  <si>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</si>
  <si>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</si>
  <si>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</si>
  <si>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</si>
  <si>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</si>
  <si>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</si>
  <si>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</si>
  <si>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</si>
  <si>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</si>
  <si>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</si>
  <si>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</si>
  <si>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</si>
  <si>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</si>
  <si>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</si>
  <si>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</si>
  <si>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</si>
  <si>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IPA</t>
  </si>
  <si>
    <t>APA</t>
  </si>
  <si>
    <t>Extr. Rec (77.9%)</t>
  </si>
  <si>
    <t>LOT WORT COLOUR: 3.3</t>
  </si>
  <si>
    <t>D. Emery</t>
  </si>
  <si>
    <t xml:space="preserve">  </t>
  </si>
  <si>
    <t xml:space="preserve"> MALT LOT: Lot #4</t>
  </si>
  <si>
    <t>NO SBF</t>
  </si>
  <si>
    <t>J. Charles</t>
  </si>
  <si>
    <t>2 SBF</t>
  </si>
  <si>
    <t>3 SBF</t>
  </si>
  <si>
    <t>1 SBF</t>
  </si>
  <si>
    <t>T. Charles</t>
  </si>
  <si>
    <t>awaiting skip removal</t>
  </si>
  <si>
    <t>Brews Achieved (7th)</t>
  </si>
  <si>
    <t>G. Mason</t>
  </si>
  <si>
    <t>2SBF</t>
  </si>
  <si>
    <t xml:space="preserve">spent grain removal issues + boiler shut off </t>
  </si>
  <si>
    <t>Boiler shut off</t>
  </si>
  <si>
    <t>Issues with mash tun valve motor tripped</t>
  </si>
  <si>
    <t>15mins extra boil</t>
  </si>
  <si>
    <t xml:space="preserve">Extra boil for 15mins </t>
  </si>
  <si>
    <t>Brew copper up in pre-run tank</t>
  </si>
  <si>
    <t>Brew held up due to delay in previous brew</t>
  </si>
  <si>
    <t>Slow heat up in wort kettle +20mins extra boil</t>
  </si>
  <si>
    <t>R. Regis</t>
  </si>
  <si>
    <t>Extra boil for 15mins</t>
  </si>
  <si>
    <t>14th Nov 2025</t>
  </si>
  <si>
    <t>Brews Achieved (14th)</t>
  </si>
  <si>
    <t>K. Hosten</t>
  </si>
  <si>
    <t xml:space="preserve"> MALT LOT: Lot #8</t>
  </si>
  <si>
    <t xml:space="preserve">LOT WORT COLOUR: </t>
  </si>
  <si>
    <t>J. Nelson</t>
  </si>
  <si>
    <t xml:space="preserve">Held in wort kettle </t>
  </si>
  <si>
    <t>Brews Achieved (23rd)</t>
  </si>
  <si>
    <t>K. Neptune</t>
  </si>
  <si>
    <t>Brews Achieved</t>
  </si>
  <si>
    <t>held in mash tun awaiting skip removal @ 8:43am</t>
  </si>
  <si>
    <t>Brews Achieved (28th)</t>
  </si>
  <si>
    <t>Brews Achieved (29th)</t>
  </si>
  <si>
    <t>Brews Achieved (30th)</t>
  </si>
  <si>
    <t>Late spent grain removal</t>
  </si>
  <si>
    <t xml:space="preserve">Extra boil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</si>
</sst>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  <font>
      <b/>
      <sz val="11"/>
      <color theme="9" tint="-0.249977111117893"/>
      <name val="Arial"/>
      <family val="2"/>
    </font>
    <font>
      <b/>
      <sz val="11"/>
      <color theme="5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36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84" fillId="0" borderId="31" xfId="3" applyFont="1" applyBorder="1"/>
    <xf numFmtId="166" fontId="8" fillId="0" borderId="0" xfId="3" applyNumberFormat="1" applyFont="1" applyAlignment="1">
      <alignment horizontal="center" vertical="center"/>
    </xf>
    <xf numFmtId="166" fontId="9" fillId="26" borderId="63" xfId="3" applyNumberFormat="1" applyFont="1" applyFill="1" applyBorder="1" applyAlignment="1">
      <alignment horizontal="center"/>
    </xf>
    <xf numFmtId="0" fontId="9" fillId="0" borderId="0" xfId="3" applyNumberFormat="1" applyFont="1" applyAlignment="1">
      <alignment horizontal="center"/>
    </xf>
    <xf numFmtId="0" fontId="22" fillId="0" borderId="1" xfId="3" applyNumberFormat="1" applyFont="1" applyBorder="1" applyAlignment="1">
      <alignment vertical="top" wrapText="1"/>
    </xf>
    <xf numFmtId="165" fontId="8" fillId="0" borderId="0" xfId="3" applyFont="1" applyAlignment="1">
      <alignment horizontal="left" vertical="center"/>
    </xf>
    <xf numFmtId="166" fontId="9" fillId="23" borderId="1" xfId="3" applyNumberFormat="1" applyFont="1" applyFill="1" applyBorder="1" applyAlignment="1">
      <alignment horizontal="center" vertical="center"/>
    </xf>
    <xf numFmtId="165" fontId="8" fillId="23" borderId="2" xfId="3" applyFont="1" applyFill="1" applyBorder="1" applyAlignment="1">
      <alignment vertical="center"/>
    </xf>
    <xf numFmtId="165" fontId="9" fillId="0" borderId="81" xfId="3" applyFont="1" applyBorder="1" applyAlignment="1">
      <alignment vertical="center" wrapText="1"/>
    </xf>
    <xf numFmtId="165" fontId="9" fillId="0" borderId="40" xfId="3" applyFont="1" applyBorder="1" applyAlignment="1">
      <alignment horizontal="center" vertical="center" wrapText="1"/>
    </xf>
    <xf numFmtId="16" fontId="8" fillId="0" borderId="39" xfId="3" applyNumberFormat="1" applyFont="1" applyBorder="1" applyAlignment="1">
      <alignment horizontal="center" vertical="center"/>
    </xf>
    <xf numFmtId="4" fontId="8" fillId="0" borderId="39" xfId="3" applyNumberFormat="1" applyFont="1" applyBorder="1" applyAlignment="1">
      <alignment horizontal="center" vertical="center"/>
    </xf>
    <xf numFmtId="171" fontId="8" fillId="0" borderId="39" xfId="3" applyNumberFormat="1" applyFont="1" applyBorder="1" applyAlignment="1">
      <alignment horizontal="center" vertical="center"/>
    </xf>
    <xf numFmtId="2" fontId="8" fillId="0" borderId="39" xfId="3" applyNumberFormat="1" applyFont="1" applyBorder="1" applyAlignment="1">
      <alignment horizontal="center" vertical="center"/>
    </xf>
    <xf numFmtId="4" fontId="8" fillId="0" borderId="62" xfId="3" applyNumberFormat="1" applyFont="1" applyBorder="1" applyAlignment="1">
      <alignment horizontal="center" vertical="center"/>
    </xf>
    <xf numFmtId="2" fontId="31" fillId="0" borderId="39" xfId="4" applyNumberFormat="1" applyFont="1" applyFill="1" applyBorder="1" applyAlignment="1">
      <alignment horizontal="center" vertical="center"/>
    </xf>
    <xf numFmtId="170" fontId="8" fillId="0" borderId="79" xfId="4" applyNumberFormat="1" applyFont="1" applyFill="1" applyBorder="1" applyAlignment="1">
      <alignment horizontal="center" vertical="center"/>
    </xf>
    <xf numFmtId="16" fontId="9" fillId="0" borderId="76" xfId="3" applyNumberFormat="1" applyFont="1" applyBorder="1" applyAlignment="1">
      <alignment horizontal="center" vertical="center"/>
    </xf>
    <xf numFmtId="4" fontId="8" fillId="0" borderId="76" xfId="3" applyNumberFormat="1" applyFont="1" applyBorder="1" applyAlignment="1">
      <alignment horizontal="center" vertical="center"/>
    </xf>
    <xf numFmtId="171" fontId="8" fillId="0" borderId="76" xfId="3" applyNumberFormat="1" applyFont="1" applyBorder="1" applyAlignment="1">
      <alignment horizontal="center" vertical="center"/>
    </xf>
    <xf numFmtId="2" fontId="8" fillId="0" borderId="76" xfId="3" applyNumberFormat="1" applyFont="1" applyBorder="1" applyAlignment="1">
      <alignment horizontal="center" vertical="center"/>
    </xf>
    <xf numFmtId="4" fontId="8" fillId="0" borderId="80" xfId="3" applyNumberFormat="1" applyFont="1" applyBorder="1" applyAlignment="1">
      <alignment horizontal="center" vertical="center"/>
    </xf>
    <xf numFmtId="2" fontId="31" fillId="0" borderId="76" xfId="4" applyNumberFormat="1" applyFont="1" applyFill="1" applyBorder="1" applyAlignment="1">
      <alignment horizontal="center" vertical="center"/>
    </xf>
    <xf numFmtId="170" fontId="8" fillId="0" borderId="9" xfId="4" applyNumberFormat="1" applyFont="1" applyFill="1" applyBorder="1" applyAlignment="1">
      <alignment horizontal="center" vertical="center"/>
    </xf>
    <xf numFmtId="165" fontId="85" fillId="0" borderId="38" xfId="3" applyFont="1" applyBorder="1" applyAlignment="1">
      <alignment horizontal="center" vertical="center"/>
    </xf>
    <xf numFmtId="2" fontId="31" fillId="0" borderId="62" xfId="4" applyNumberFormat="1" applyFont="1" applyFill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2" fontId="79" fillId="0" borderId="39" xfId="3" applyNumberFormat="1" applyFont="1" applyBorder="1" applyAlignment="1">
      <alignment horizontal="center" vertical="center"/>
    </xf>
    <xf numFmtId="16" fontId="9" fillId="0" borderId="84" xfId="3" applyNumberFormat="1" applyFont="1" applyBorder="1" applyAlignment="1">
      <alignment horizontal="center" vertical="center"/>
    </xf>
    <xf numFmtId="4" fontId="8" fillId="0" borderId="84" xfId="3" applyNumberFormat="1" applyFont="1" applyBorder="1" applyAlignment="1">
      <alignment horizontal="center" vertical="center"/>
    </xf>
    <xf numFmtId="171" fontId="8" fillId="0" borderId="84" xfId="3" applyNumberFormat="1" applyFont="1" applyBorder="1" applyAlignment="1">
      <alignment horizontal="center" vertical="center"/>
    </xf>
    <xf numFmtId="2" fontId="8" fillId="0" borderId="84" xfId="3" applyNumberFormat="1" applyFont="1" applyBorder="1" applyAlignment="1">
      <alignment horizontal="center" vertical="center"/>
    </xf>
    <xf numFmtId="4" fontId="8" fillId="0" borderId="85" xfId="3" applyNumberFormat="1" applyFont="1" applyBorder="1" applyAlignment="1">
      <alignment horizontal="center" vertical="center"/>
    </xf>
    <xf numFmtId="2" fontId="31" fillId="0" borderId="84" xfId="4" applyNumberFormat="1" applyFont="1" applyFill="1" applyBorder="1" applyAlignment="1">
      <alignment horizontal="center" vertical="center"/>
    </xf>
    <xf numFmtId="2" fontId="31" fillId="0" borderId="85" xfId="4" applyNumberFormat="1" applyFont="1" applyFill="1" applyBorder="1" applyAlignment="1">
      <alignment horizontal="center" vertical="center"/>
    </xf>
    <xf numFmtId="2" fontId="9" fillId="4" borderId="84" xfId="3" applyNumberFormat="1" applyFont="1" applyFill="1" applyBorder="1" applyAlignment="1">
      <alignment horizontal="center" vertical="center"/>
    </xf>
    <xf numFmtId="170" fontId="8" fillId="0" borderId="86" xfId="4" applyNumberFormat="1" applyFont="1" applyFill="1" applyBorder="1" applyAlignment="1">
      <alignment horizontal="center" vertical="center"/>
    </xf>
    <xf numFmtId="2" fontId="31" fillId="0" borderId="80" xfId="4" applyNumberFormat="1" applyFont="1" applyFill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2" fontId="79" fillId="0" borderId="76" xfId="3" applyNumberFormat="1" applyFont="1" applyBorder="1" applyAlignment="1">
      <alignment horizontal="center" vertical="center"/>
    </xf>
    <xf numFmtId="165" fontId="86" fillId="0" borderId="88" xfId="3" applyFont="1" applyBorder="1" applyAlignment="1">
      <alignment horizontal="center" vertical="center"/>
    </xf>
    <xf numFmtId="165" fontId="9" fillId="0" borderId="87" xfId="3" applyFont="1" applyBorder="1" applyAlignment="1">
      <alignment horizontal="center" vertical="center" wrapText="1"/>
    </xf>
    <xf numFmtId="165" fontId="9" fillId="0" borderId="18" xfId="3" applyFont="1" applyBorder="1" applyAlignment="1">
      <alignment horizontal="center" vertical="center" wrapText="1"/>
    </xf>
    <xf numFmtId="165" fontId="82" fillId="0" borderId="88" xfId="3" applyFont="1" applyBorder="1" applyAlignment="1">
      <alignment horizontal="center" vertical="center"/>
    </xf>
    <xf numFmtId="165" fontId="20" fillId="0" borderId="13" xfId="3" applyFont="1" applyBorder="1" applyAlignment="1">
      <alignment horizontal="center" vertical="center"/>
    </xf>
    <xf numFmtId="2" fontId="79" fillId="0" borderId="84" xfId="3" applyNumberFormat="1" applyFont="1" applyBorder="1" applyAlignment="1">
      <alignment horizontal="center" vertical="center"/>
    </xf>
    <xf numFmtId="2" fontId="31" fillId="0" borderId="84" xfId="4" applyNumberFormat="1" applyFont="1" applyBorder="1" applyAlignment="1">
      <alignment horizontal="center" vertical="center"/>
    </xf>
    <xf numFmtId="165" fontId="27" fillId="0" borderId="13" xfId="3" applyFont="1" applyBorder="1" applyAlignment="1">
      <alignment horizontal="center" vertical="center"/>
    </xf>
    <xf numFmtId="170" fontId="9" fillId="0" borderId="86" xfId="4" applyNumberFormat="1" applyFont="1" applyFill="1" applyBorder="1" applyAlignment="1">
      <alignment horizontal="center" vertical="center"/>
    </xf>
    <xf numFmtId="2" fontId="9" fillId="23" borderId="1" xfId="3" applyNumberFormat="1" applyFont="1" applyFill="1" applyBorder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71" fontId="8" fillId="0" borderId="0" xfId="3" applyNumberFormat="1" applyFont="1" applyAlignment="1">
      <alignment horizontal="center" vertical="center"/>
    </xf>
    <xf numFmtId="2" fontId="8" fillId="0" borderId="0" xfId="3" applyNumberFormat="1" applyFont="1" applyAlignment="1">
      <alignment horizontal="center" vertical="center"/>
    </xf>
    <xf numFmtId="2" fontId="31" fillId="0" borderId="0" xfId="4" applyNumberFormat="1" applyFont="1" applyFill="1" applyBorder="1" applyAlignment="1">
      <alignment horizontal="center" vertical="center"/>
    </xf>
    <xf numFmtId="170" fontId="8" fillId="0" borderId="0" xfId="4" applyNumberFormat="1" applyFont="1" applyFill="1" applyBorder="1" applyAlignment="1">
      <alignment horizontal="center" vertical="center"/>
    </xf>
    <xf numFmtId="2" fontId="79" fillId="0" borderId="0" xfId="3" applyNumberFormat="1" applyFont="1" applyAlignment="1">
      <alignment horizontal="center" vertical="center"/>
    </xf>
    <xf numFmtId="165" fontId="27" fillId="0" borderId="0" xfId="3" applyFont="1" applyAlignment="1">
      <alignment horizontal="center" vertical="center"/>
    </xf>
    <xf numFmtId="165" fontId="13" fillId="0" borderId="13" xfId="3" applyFont="1" applyBorder="1" applyAlignment="1">
      <alignment horizontal="center" vertical="center"/>
    </xf>
    <xf numFmtId="2" fontId="31" fillId="0" borderId="84" xfId="3" applyNumberFormat="1" applyFont="1" applyBorder="1" applyAlignment="1">
      <alignment horizontal="center" vertical="center"/>
    </xf>
    <xf numFmtId="165" fontId="80" fillId="0" borderId="13" xfId="3" applyFont="1" applyBorder="1" applyAlignment="1">
      <alignment horizontal="center" vertical="center"/>
    </xf>
    <xf numFmtId="165" fontId="88" fillId="0" borderId="13" xfId="3" applyFont="1" applyBorder="1" applyAlignment="1">
      <alignment horizontal="center" vertical="center"/>
    </xf>
    <xf numFmtId="165" fontId="9" fillId="0" borderId="13" xfId="3" applyFont="1" applyBorder="1" applyAlignment="1">
      <alignment horizontal="left"/>
    </xf>
    <xf numFmtId="166" fontId="79" fillId="7" borderId="1" xfId="3" applyNumberFormat="1" applyFont="1" applyFill="1" applyBorder="1" applyAlignment="1">
      <alignment horizontal="center" vertical="center"/>
    </xf>
    <xf numFmtId="165" fontId="79" fillId="0" borderId="13" xfId="3" applyFont="1" applyBorder="1" applyAlignment="1">
      <alignment horizontal="center" vertical="center"/>
    </xf>
    <xf numFmtId="167" fontId="21" fillId="4" borderId="11" xfId="3" applyNumberFormat="1" applyFont="1" applyFill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1" fontId="8" fillId="4" borderId="1" xfId="3" applyNumberFormat="1" applyFont="1" applyFill="1" applyBorder="1" applyAlignment="1">
      <alignment horizontal="center" vertical="center"/>
    </xf>
    <xf numFmtId="165" fontId="76" fillId="0" borderId="13" xfId="3" applyFont="1" applyBorder="1"/>
    <xf numFmtId="165" fontId="31" fillId="0" borderId="13" xfId="3" applyFont="1" applyBorder="1" applyAlignment="1">
      <alignment horizontal="left"/>
    </xf>
    <xf numFmtId="165" fontId="9" fillId="0" borderId="0" xfId="3" applyFont="1" applyAlignment="1">
      <alignment horizontal="left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10" fillId="3" borderId="1" xfId="0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5" xfId="3" applyFont="1" applyBorder="1" applyAlignment="1">
      <alignment horizontal="center" vertical="center" wrapText="1"/>
    </xf>
    <xf numFmtId="165" fontId="9" fillId="0" borderId="50" xfId="3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12" xfId="3" applyFont="1" applyBorder="1" applyAlignment="1">
      <alignment horizontal="center" vertical="center" wrapText="1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166" fontId="8" fillId="0" borderId="82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5" fontId="9" fillId="0" borderId="23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5" fontId="9" fillId="0" borderId="27" xfId="3" applyFont="1" applyBorder="1" applyAlignment="1">
      <alignment horizontal="center" vertical="center" wrapText="1"/>
    </xf>
    <xf numFmtId="166" fontId="9" fillId="7" borderId="83" xfId="3" applyNumberFormat="1" applyFont="1" applyFill="1" applyBorder="1" applyAlignment="1">
      <alignment horizontal="center" vertical="center"/>
    </xf>
    <xf numFmtId="166" fontId="9" fillId="7" borderId="19" xfId="3" applyNumberFormat="1" applyFont="1" applyFill="1" applyBorder="1" applyAlignment="1">
      <alignment horizontal="center" vertical="center"/>
    </xf>
    <xf numFmtId="165" fontId="20" fillId="0" borderId="23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5" fontId="20" fillId="0" borderId="34" xfId="3" applyFont="1" applyBorder="1" applyAlignment="1">
      <alignment horizontal="center" vertical="center"/>
    </xf>
    <xf numFmtId="165" fontId="9" fillId="0" borderId="14" xfId="3" applyFont="1" applyBorder="1" applyAlignment="1">
      <alignment horizontal="center" vertical="center" wrapText="1"/>
    </xf>
    <xf numFmtId="165" fontId="9" fillId="0" borderId="11" xfId="3" applyFont="1" applyBorder="1" applyAlignment="1">
      <alignment horizontal="center" vertical="center" wrapText="1"/>
    </xf>
    <xf numFmtId="165" fontId="13" fillId="0" borderId="23" xfId="3" applyFont="1" applyBorder="1" applyAlignment="1">
      <alignment horizontal="center" vertical="center"/>
    </xf>
    <xf numFmtId="165" fontId="13" fillId="0" borderId="27" xfId="3" applyFont="1" applyBorder="1" applyAlignment="1">
      <alignment horizontal="center" vertical="center"/>
    </xf>
    <xf numFmtId="165" fontId="13" fillId="0" borderId="35" xfId="3" applyFont="1" applyBorder="1" applyAlignment="1">
      <alignment horizontal="center" vertical="center"/>
    </xf>
    <xf numFmtId="166" fontId="9" fillId="27" borderId="83" xfId="3" applyNumberFormat="1" applyFont="1" applyFill="1" applyBorder="1" applyAlignment="1">
      <alignment horizontal="center" vertical="center"/>
    </xf>
    <xf numFmtId="166" fontId="9" fillId="27" borderId="19" xfId="3" applyNumberFormat="1" applyFont="1" applyFill="1" applyBorder="1" applyAlignment="1">
      <alignment horizontal="center" vertical="center"/>
    </xf>
    <xf numFmtId="165" fontId="87" fillId="0" borderId="23" xfId="3" applyFont="1" applyBorder="1" applyAlignment="1">
      <alignment horizontal="center" vertical="center"/>
    </xf>
    <xf numFmtId="165" fontId="87" fillId="0" borderId="27" xfId="3" applyFont="1" applyBorder="1" applyAlignment="1">
      <alignment horizontal="center" vertical="center"/>
    </xf>
    <xf numFmtId="165" fontId="87" fillId="0" borderId="34" xfId="3" applyFont="1" applyBorder="1" applyAlignment="1">
      <alignment horizontal="center" vertical="center"/>
    </xf>
    <xf numFmtId="165" fontId="88" fillId="0" borderId="23" xfId="3" applyFont="1" applyBorder="1" applyAlignment="1">
      <alignment horizontal="center" vertical="center"/>
    </xf>
    <xf numFmtId="165" fontId="88" fillId="0" borderId="27" xfId="3" applyFont="1" applyBorder="1" applyAlignment="1">
      <alignment horizontal="center" vertical="center"/>
    </xf>
    <xf numFmtId="165" fontId="88" fillId="0" borderId="34" xfId="3" applyFont="1" applyBorder="1" applyAlignment="1">
      <alignment horizontal="center" vertical="center"/>
    </xf>
    <xf numFmtId="165" fontId="20" fillId="0" borderId="35" xfId="3" applyFont="1" applyBorder="1" applyAlignment="1">
      <alignment horizontal="center" vertical="center"/>
    </xf>
    <xf numFmtId="165" fontId="79" fillId="0" borderId="23" xfId="3" applyFont="1" applyBorder="1" applyAlignment="1">
      <alignment horizontal="center" vertical="center"/>
    </xf>
    <xf numFmtId="165" fontId="79" fillId="0" borderId="27" xfId="3" applyFont="1" applyBorder="1" applyAlignment="1">
      <alignment horizontal="center" vertical="center"/>
    </xf>
    <xf numFmtId="165" fontId="79" fillId="0" borderId="34" xfId="3" applyFont="1" applyBorder="1" applyAlignment="1">
      <alignment horizontal="center" vertical="center"/>
    </xf>
    <xf numFmtId="165" fontId="80" fillId="0" borderId="34" xfId="3" applyFont="1" applyBorder="1" applyAlignment="1">
      <alignment horizontal="center" vertical="center"/>
    </xf>
    <xf numFmtId="165" fontId="83" fillId="0" borderId="23" xfId="3" applyFont="1" applyBorder="1" applyAlignment="1">
      <alignment horizontal="center" vertical="center"/>
    </xf>
    <xf numFmtId="165" fontId="79" fillId="0" borderId="35" xfId="3" applyFont="1" applyBorder="1" applyAlignment="1">
      <alignment horizontal="center" vertical="center"/>
    </xf>
    <xf numFmtId="165" fontId="83" fillId="0" borderId="27" xfId="3" applyFont="1" applyBorder="1" applyAlignment="1">
      <alignment horizontal="center" vertical="center"/>
    </xf>
    <xf numFmtId="165" fontId="83" fillId="0" borderId="34" xfId="3" applyFont="1" applyBorder="1" applyAlignment="1">
      <alignment horizontal="center" vertical="center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" xfId="3" applyFont="1" applyBorder="1" applyAlignment="1">
      <alignment horizontal="center" vertical="center" wrapText="1"/>
    </xf>
    <xf numFmtId="165" fontId="40" fillId="0" borderId="50" xfId="3" applyFont="1" applyBorder="1" applyAlignment="1">
      <alignment horizontal="center" vertical="center" wrapText="1"/>
    </xf>
    <xf numFmtId="165" fontId="40" fillId="0" borderId="6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23" xfId="3" applyFont="1" applyBorder="1" applyAlignment="1">
      <alignment horizontal="center" vertical="center"/>
    </xf>
    <xf numFmtId="165" fontId="40" fillId="0" borderId="35" xfId="3" applyFont="1" applyBorder="1" applyAlignment="1">
      <alignment horizontal="center" vertic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38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4081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8200"/>
      <color rgb="FFFF66FF"/>
      <color rgb="FF0000FF"/>
      <color rgb="FFFF0066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37.xml"/><Relationship Id="rId68" Type="http://schemas.openxmlformats.org/officeDocument/2006/relationships/externalLink" Target="externalLinks/externalLink4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27.xml"/><Relationship Id="rId58" Type="http://schemas.openxmlformats.org/officeDocument/2006/relationships/externalLink" Target="externalLinks/externalLink32.xml"/><Relationship Id="rId74" Type="http://schemas.openxmlformats.org/officeDocument/2006/relationships/externalLink" Target="externalLinks/externalLink48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30.xml"/><Relationship Id="rId64" Type="http://schemas.openxmlformats.org/officeDocument/2006/relationships/externalLink" Target="externalLinks/externalLink38.xml"/><Relationship Id="rId69" Type="http://schemas.openxmlformats.org/officeDocument/2006/relationships/externalLink" Target="externalLinks/externalLink43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5.xml"/><Relationship Id="rId72" Type="http://schemas.openxmlformats.org/officeDocument/2006/relationships/externalLink" Target="externalLinks/externalLink46.xml"/><Relationship Id="rId80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59" Type="http://schemas.openxmlformats.org/officeDocument/2006/relationships/externalLink" Target="externalLinks/externalLink33.xml"/><Relationship Id="rId67" Type="http://schemas.openxmlformats.org/officeDocument/2006/relationships/externalLink" Target="externalLinks/externalLink4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54" Type="http://schemas.openxmlformats.org/officeDocument/2006/relationships/externalLink" Target="externalLinks/externalLink28.xml"/><Relationship Id="rId62" Type="http://schemas.openxmlformats.org/officeDocument/2006/relationships/externalLink" Target="externalLinks/externalLink36.xml"/><Relationship Id="rId70" Type="http://schemas.openxmlformats.org/officeDocument/2006/relationships/externalLink" Target="externalLinks/externalLink44.xml"/><Relationship Id="rId75" Type="http://schemas.openxmlformats.org/officeDocument/2006/relationships/externalLink" Target="externalLinks/externalLink4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externalLink" Target="externalLinks/externalLink23.xml"/><Relationship Id="rId57" Type="http://schemas.openxmlformats.org/officeDocument/2006/relationships/externalLink" Target="externalLinks/externalLink3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52" Type="http://schemas.openxmlformats.org/officeDocument/2006/relationships/externalLink" Target="externalLinks/externalLink26.xml"/><Relationship Id="rId60" Type="http://schemas.openxmlformats.org/officeDocument/2006/relationships/externalLink" Target="externalLinks/externalLink34.xml"/><Relationship Id="rId65" Type="http://schemas.openxmlformats.org/officeDocument/2006/relationships/externalLink" Target="externalLinks/externalLink39.xml"/><Relationship Id="rId73" Type="http://schemas.openxmlformats.org/officeDocument/2006/relationships/externalLink" Target="externalLinks/externalLink47.xml"/><Relationship Id="rId78" Type="http://schemas.openxmlformats.org/officeDocument/2006/relationships/styles" Target="styles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8.xml"/><Relationship Id="rId50" Type="http://schemas.openxmlformats.org/officeDocument/2006/relationships/externalLink" Target="externalLinks/externalLink24.xml"/><Relationship Id="rId55" Type="http://schemas.openxmlformats.org/officeDocument/2006/relationships/externalLink" Target="externalLinks/externalLink29.xml"/><Relationship Id="rId76" Type="http://schemas.openxmlformats.org/officeDocument/2006/relationships/externalLink" Target="externalLinks/externalLink50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3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66" Type="http://schemas.openxmlformats.org/officeDocument/2006/relationships/externalLink" Target="externalLinks/externalLink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MaltLog2025.xls" TargetMode="External"/><Relationship Id="rId1" Type="http://schemas.openxmlformats.org/officeDocument/2006/relationships/externalLinkPath" Target="/Operations/Brewing/Logbooks/Logbooks%202025/NewSMaltLog2025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VMaltLog2025.xls" TargetMode="External"/><Relationship Id="rId1" Type="http://schemas.openxmlformats.org/officeDocument/2006/relationships/externalLinkPath" Target="/Operations/Brewing/Logbooks/Logbooks%202025/NewVMaltLog2025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CaribLog2025.xlsx" TargetMode="External"/><Relationship Id="rId1" Type="http://schemas.openxmlformats.org/officeDocument/2006/relationships/externalLinkPath" Target="/Operations/Brewing/Logbooks/Logbooks%202025/NewCaribLog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tagLog2025.xls" TargetMode="External"/><Relationship Id="rId1" Type="http://schemas.openxmlformats.org/officeDocument/2006/relationships/externalLinkPath" Target="/Operations/Brewing/Logbooks/Logbooks%202025/NewStagLog2025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GuinnLog2025.xls" TargetMode="External"/><Relationship Id="rId1" Type="http://schemas.openxmlformats.org/officeDocument/2006/relationships/externalLinkPath" Target="/Operations/Brewing/Logbooks/Logbooks%202025/NewGuinnLog2025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MackLog2025.xls" TargetMode="External"/><Relationship Id="rId1" Type="http://schemas.openxmlformats.org/officeDocument/2006/relationships/externalLinkPath" Target="/Operations/Brewing/Logbooks/Logbooks%202025/NewMackLog2025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PilsLog2025.xlsx" TargetMode="External"/><Relationship Id="rId1" Type="http://schemas.openxmlformats.org/officeDocument/2006/relationships/externalLinkPath" Target="/Operations/Brewing/Logbooks/Logbooks%202025/NewHRPilsLog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Log2025-%20IPA.xls" TargetMode="External"/><Relationship Id="rId1" Type="http://schemas.openxmlformats.org/officeDocument/2006/relationships/externalLinkPath" Target="/Operations/Brewing/Logbooks/Logbooks%202025/NewHRLog2025-%20IPA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Log2025-%20APA.xls" TargetMode="External"/><Relationship Id="rId1" Type="http://schemas.openxmlformats.org/officeDocument/2006/relationships/externalLinkPath" Target="/Operations/Brewing/Logbooks/Logbooks%202025/NewHRLog2025-%20APA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anuary'25%20Daily%20Process%20Report%202025.xlsx" TargetMode="External"/><Relationship Id="rId1" Type="http://schemas.openxmlformats.org/officeDocument/2006/relationships/externalLinkPath" Target="January'25%20Daily%20Process%20Report%202025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February'25%20Daily%20Process%20Report%202025.xlsx" TargetMode="External"/><Relationship Id="rId1" Type="http://schemas.openxmlformats.org/officeDocument/2006/relationships/externalLinkPath" Target="February'25%20Daily%20Process%20Report%202025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March'25%20Daily%20Process%20Report%202025.xlsx" TargetMode="External"/><Relationship Id="rId1" Type="http://schemas.openxmlformats.org/officeDocument/2006/relationships/externalLinkPath" Target="March'25%20Daily%20Process%20Report%202025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April%20'25%20Daily%20Process%20Report%202025.xlsx" TargetMode="External"/><Relationship Id="rId1" Type="http://schemas.openxmlformats.org/officeDocument/2006/relationships/externalLinkPath" Target="April%20'25%20Daily%20Process%20Report%202025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May%20'25%20Daily%20Process%20Report%202025.xlsx" TargetMode="External"/><Relationship Id="rId1" Type="http://schemas.openxmlformats.org/officeDocument/2006/relationships/externalLinkPath" Target="May%20'25%20Daily%20Process%20Report%202025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une%20'25%20Daily%20Process%20Report%202025.xlsx" TargetMode="External"/><Relationship Id="rId1" Type="http://schemas.openxmlformats.org/officeDocument/2006/relationships/externalLinkPath" Target="June%20'25%20Daily%20Process%20Report%202025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uly%20'25%20Daily%20Process%20Report%202025.xlsx" TargetMode="External"/><Relationship Id="rId1" Type="http://schemas.openxmlformats.org/officeDocument/2006/relationships/externalLinkPath" Target="July%20'25%20Daily%20Process%20Report%202025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August%20'25%20Daily%20Process%20Report%202025.xlsx" TargetMode="External"/><Relationship Id="rId1" Type="http://schemas.openxmlformats.org/officeDocument/2006/relationships/externalLinkPath" Target="August%20'25%20Daily%20Process%20Report%202025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September%20'25%20Daily%20Process%20Report%202025.xlsx" TargetMode="External"/><Relationship Id="rId1" Type="http://schemas.openxmlformats.org/officeDocument/2006/relationships/externalLinkPath" Target="September%20'25%20Daily%20Process%20Report%202025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October%20'25%20Daily%20Process%20Report%202025.xlsx" TargetMode="External"/><Relationship Id="rId1" Type="http://schemas.openxmlformats.org/officeDocument/2006/relationships/externalLinkPath" Target="October%20'25%20Daily%20Process%20Report%202025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5.xls" TargetMode="External"/><Relationship Id="rId1" Type="http://schemas.openxmlformats.org/officeDocument/2006/relationships/externalLinkPath" Target="/Operations/Reshelle/Brewing/Daily_Brewhouse_Efficiency/Daily_Brewhouse_Efficiency_2025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5.xlsx" TargetMode="External"/><Relationship Id="rId1" Type="http://schemas.openxmlformats.org/officeDocument/2006/relationships/externalLinkPath" Target="/Operations/Reshelle/Brewing/Filtration_Throughput/Filtration_Throughput_2025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Losses%202025\November_2025.xls" TargetMode="External"/><Relationship Id="rId1" Type="http://schemas.openxmlformats.org/officeDocument/2006/relationships/externalLinkPath" Target="/Operations/Brewing/Reports%20Local/Losses%202025/november_202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Logbooks/NewMMaltLog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Summary November ' 25"/>
      <sheetName val="Summary October ' 25"/>
      <sheetName val="Packaging"/>
      <sheetName val="Summary August ' 25 "/>
      <sheetName val="Summary July ' 25"/>
      <sheetName val="Summary June ' 25"/>
      <sheetName val="Summary May ' 25"/>
      <sheetName val="Summary April ' 25"/>
      <sheetName val="Summary March ' 25"/>
      <sheetName val="Summary February ' 25 "/>
      <sheetName val="Summary January ' 25"/>
      <sheetName val="Summary December ' 24"/>
    </sheetNames>
    <sheetDataSet>
      <sheetData sheetId="0"/>
      <sheetData sheetId="1"/>
      <sheetData sheetId="2"/>
      <sheetData sheetId="3">
        <row r="6">
          <cell r="AY6">
            <v>92.614349283942801</v>
          </cell>
        </row>
        <row r="7">
          <cell r="AY7">
            <v>95.540360033399878</v>
          </cell>
        </row>
        <row r="8">
          <cell r="AY8">
            <v>94.754877612732329</v>
          </cell>
        </row>
        <row r="9">
          <cell r="AY9">
            <v>95.371776201789885</v>
          </cell>
        </row>
        <row r="10">
          <cell r="AY10">
            <v>90.190794188520044</v>
          </cell>
        </row>
        <row r="11">
          <cell r="AY11">
            <v>93.224568939148085</v>
          </cell>
        </row>
        <row r="12">
          <cell r="AY12">
            <v>93.116630380109711</v>
          </cell>
        </row>
        <row r="13">
          <cell r="AY13">
            <v>89.945088045838986</v>
          </cell>
        </row>
        <row r="15">
          <cell r="AY15">
            <v>93.593045496219816</v>
          </cell>
        </row>
        <row r="16">
          <cell r="AY16">
            <v>94.802596635458585</v>
          </cell>
        </row>
        <row r="17">
          <cell r="AY17">
            <v>96.778271105563348</v>
          </cell>
        </row>
        <row r="18">
          <cell r="AY18">
            <v>96.30416399645047</v>
          </cell>
        </row>
        <row r="19">
          <cell r="AY19">
            <v>96.620028354806905</v>
          </cell>
        </row>
        <row r="20">
          <cell r="AY20">
            <v>97.146950233584548</v>
          </cell>
        </row>
        <row r="22">
          <cell r="AY22">
            <v>94.953130139836233</v>
          </cell>
        </row>
        <row r="23">
          <cell r="AY23">
            <v>100.2179588674224</v>
          </cell>
        </row>
        <row r="24">
          <cell r="AY24">
            <v>92.417462104672595</v>
          </cell>
        </row>
        <row r="25">
          <cell r="AY25">
            <v>98.212353766599264</v>
          </cell>
        </row>
        <row r="26">
          <cell r="AY26">
            <v>100.17660084193123</v>
          </cell>
        </row>
        <row r="27">
          <cell r="AY27">
            <v>101.7139711841882</v>
          </cell>
        </row>
        <row r="28">
          <cell r="AY28">
            <v>97.028254502167584</v>
          </cell>
        </row>
        <row r="29">
          <cell r="AY29">
            <v>99.806942496410372</v>
          </cell>
        </row>
        <row r="31">
          <cell r="AY31">
            <v>97.699494944251768</v>
          </cell>
        </row>
        <row r="32">
          <cell r="AY32">
            <v>98.002211653180524</v>
          </cell>
        </row>
        <row r="33">
          <cell r="AY33">
            <v>98.900740579253281</v>
          </cell>
        </row>
        <row r="34">
          <cell r="AY34">
            <v>100.01046742421136</v>
          </cell>
        </row>
        <row r="36">
          <cell r="AY36">
            <v>98.749264772100105</v>
          </cell>
        </row>
        <row r="37">
          <cell r="AY37">
            <v>96.781968082736597</v>
          </cell>
        </row>
        <row r="38">
          <cell r="AY38">
            <v>97.813869443605739</v>
          </cell>
        </row>
        <row r="39">
          <cell r="AY39">
            <v>99.68712102254257</v>
          </cell>
        </row>
        <row r="40">
          <cell r="AY40">
            <v>98.326953759607903</v>
          </cell>
        </row>
        <row r="41">
          <cell r="AY41">
            <v>98.820483734504066</v>
          </cell>
        </row>
        <row r="42">
          <cell r="AY42">
            <v>95.562254007954607</v>
          </cell>
        </row>
        <row r="43">
          <cell r="AY43">
            <v>101.88657891836674</v>
          </cell>
        </row>
        <row r="45">
          <cell r="AY45">
            <v>97.680078712303157</v>
          </cell>
        </row>
        <row r="46">
          <cell r="AY46">
            <v>96.032533546760064</v>
          </cell>
        </row>
        <row r="47">
          <cell r="AY47">
            <v>96.368177969102391</v>
          </cell>
        </row>
        <row r="48">
          <cell r="AY48">
            <v>96.127420872417986</v>
          </cell>
        </row>
        <row r="49">
          <cell r="AY49">
            <v>94.281558174494734</v>
          </cell>
        </row>
        <row r="50">
          <cell r="AY50">
            <v>97.243639355509373</v>
          </cell>
        </row>
        <row r="56">
          <cell r="AY56">
            <v>98.181053939282549</v>
          </cell>
        </row>
        <row r="57">
          <cell r="AY57">
            <v>87.428386701544582</v>
          </cell>
        </row>
        <row r="58">
          <cell r="AY58">
            <v>110.11827495393527</v>
          </cell>
        </row>
        <row r="59">
          <cell r="AY59">
            <v>98.787376054162792</v>
          </cell>
        </row>
        <row r="60">
          <cell r="AY60">
            <v>99.593723178345229</v>
          </cell>
        </row>
        <row r="61">
          <cell r="AY61">
            <v>99.702836872398194</v>
          </cell>
        </row>
        <row r="62">
          <cell r="AY62">
            <v>99.503394936483232</v>
          </cell>
        </row>
        <row r="63">
          <cell r="AY63">
            <v>100.14787259716714</v>
          </cell>
        </row>
        <row r="64">
          <cell r="AY64">
            <v>98.857519359317735</v>
          </cell>
        </row>
        <row r="65">
          <cell r="AY65">
            <v>100.43456778341326</v>
          </cell>
        </row>
        <row r="66">
          <cell r="AY66">
            <v>94.119623769471843</v>
          </cell>
        </row>
        <row r="67">
          <cell r="AY67">
            <v>99.044919151670612</v>
          </cell>
        </row>
        <row r="68">
          <cell r="AY68">
            <v>98.26555370627031</v>
          </cell>
        </row>
        <row r="69">
          <cell r="AY69">
            <v>98.569967614948013</v>
          </cell>
        </row>
        <row r="70">
          <cell r="AY70">
            <v>98.132256373549936</v>
          </cell>
        </row>
        <row r="71">
          <cell r="AY71">
            <v>100.03514094829396</v>
          </cell>
        </row>
        <row r="72">
          <cell r="AY72">
            <v>99.39273336749045</v>
          </cell>
        </row>
        <row r="73">
          <cell r="AY73">
            <v>102.27737633882425</v>
          </cell>
        </row>
        <row r="75">
          <cell r="AY75">
            <v>92.872717053233544</v>
          </cell>
        </row>
        <row r="76">
          <cell r="AY76">
            <v>97.504936022825035</v>
          </cell>
        </row>
        <row r="77">
          <cell r="AY77">
            <v>97.882131133164776</v>
          </cell>
        </row>
        <row r="78">
          <cell r="AY78">
            <v>97.485149222479478</v>
          </cell>
        </row>
        <row r="79">
          <cell r="AY79">
            <v>99.793675801118255</v>
          </cell>
        </row>
        <row r="80">
          <cell r="AY80">
            <v>98.208221312724632</v>
          </cell>
        </row>
        <row r="81">
          <cell r="AY81">
            <v>100.22134526565291</v>
          </cell>
        </row>
        <row r="82">
          <cell r="AY82">
            <v>97.942529175156437</v>
          </cell>
        </row>
        <row r="83">
          <cell r="AY83">
            <v>94.151553219284494</v>
          </cell>
        </row>
        <row r="84">
          <cell r="AY84">
            <v>97.042221616983554</v>
          </cell>
        </row>
        <row r="85">
          <cell r="AY85">
            <v>96.460634470657212</v>
          </cell>
        </row>
        <row r="86">
          <cell r="AY86">
            <v>97.300929934901561</v>
          </cell>
        </row>
        <row r="87">
          <cell r="AY87">
            <v>98.456995928070882</v>
          </cell>
        </row>
        <row r="88">
          <cell r="AY88">
            <v>100.01882858314821</v>
          </cell>
        </row>
        <row r="89">
          <cell r="AY89">
            <v>98.0323031936218</v>
          </cell>
        </row>
        <row r="90">
          <cell r="AY90">
            <v>98.397461899198319</v>
          </cell>
        </row>
        <row r="91">
          <cell r="AY91">
            <v>98.998957891963272</v>
          </cell>
        </row>
        <row r="92">
          <cell r="AY92">
            <v>100.44017037572831</v>
          </cell>
        </row>
        <row r="94">
          <cell r="A94" t="str">
            <v>SM081</v>
          </cell>
          <cell r="T94">
            <v>60</v>
          </cell>
          <cell r="U94">
            <v>12.015065913371002</v>
          </cell>
          <cell r="X94">
            <v>0.55138888888888893</v>
          </cell>
          <cell r="Y94">
            <v>0.68888888888888888</v>
          </cell>
          <cell r="Z94">
            <v>77</v>
          </cell>
          <cell r="AD94">
            <v>0.29305555555555557</v>
          </cell>
          <cell r="AH94">
            <v>53.1</v>
          </cell>
          <cell r="AK94">
            <v>17.2</v>
          </cell>
          <cell r="AM94">
            <v>49.1</v>
          </cell>
          <cell r="AY94">
            <v>92.893275059999496</v>
          </cell>
          <cell r="AZ94">
            <v>93.108341471879768</v>
          </cell>
          <cell r="BC94" t="str">
            <v>R. Regis</v>
          </cell>
        </row>
        <row r="95">
          <cell r="A95" t="str">
            <v>SM082</v>
          </cell>
          <cell r="T95">
            <v>60</v>
          </cell>
          <cell r="U95">
            <v>4.960000000000008</v>
          </cell>
          <cell r="X95">
            <v>0.6645833333333333</v>
          </cell>
          <cell r="Y95">
            <v>0.80555555555555558</v>
          </cell>
          <cell r="Z95">
            <v>79</v>
          </cell>
          <cell r="AD95">
            <v>0.30555555555555558</v>
          </cell>
          <cell r="AH95">
            <v>50</v>
          </cell>
          <cell r="AK95">
            <v>17.2</v>
          </cell>
          <cell r="AM95">
            <v>51.4</v>
          </cell>
          <cell r="AY95">
            <v>97.244691203339599</v>
          </cell>
          <cell r="AZ95">
            <v>97.469832009259065</v>
          </cell>
          <cell r="BC95" t="str">
            <v>R. Regis</v>
          </cell>
        </row>
        <row r="96">
          <cell r="A96" t="str">
            <v>SM083</v>
          </cell>
          <cell r="T96">
            <v>62</v>
          </cell>
          <cell r="U96">
            <v>10.320150659133716</v>
          </cell>
          <cell r="X96">
            <v>0.76527777777777772</v>
          </cell>
          <cell r="Y96">
            <v>0.89930555555555558</v>
          </cell>
          <cell r="Z96">
            <v>69</v>
          </cell>
          <cell r="AD96">
            <v>0.28125</v>
          </cell>
          <cell r="AH96">
            <v>53.1</v>
          </cell>
          <cell r="AK96">
            <v>17.2</v>
          </cell>
          <cell r="AM96">
            <v>49.2</v>
          </cell>
          <cell r="AY96">
            <v>93.23195856554247</v>
          </cell>
          <cell r="AZ96">
            <v>93.44740932626425</v>
          </cell>
          <cell r="BC96" t="str">
            <v>R. Regis</v>
          </cell>
        </row>
        <row r="97">
          <cell r="A97" t="str">
            <v>SM084</v>
          </cell>
          <cell r="T97">
            <v>58</v>
          </cell>
          <cell r="U97">
            <v>9.7551789077212927</v>
          </cell>
          <cell r="X97">
            <v>0.87152777777777779</v>
          </cell>
          <cell r="Y97">
            <v>1.0090277777777779</v>
          </cell>
          <cell r="Z97">
            <v>80</v>
          </cell>
          <cell r="AD97">
            <v>0.29375000000000007</v>
          </cell>
          <cell r="AH97">
            <v>53.1</v>
          </cell>
          <cell r="AK97">
            <v>17.2</v>
          </cell>
          <cell r="AM97">
            <v>51.6</v>
          </cell>
          <cell r="AY97">
            <v>97.937147154043615</v>
          </cell>
          <cell r="AZ97">
            <v>98.163049893195293</v>
          </cell>
          <cell r="BC97" t="str">
            <v>R.Sookram</v>
          </cell>
        </row>
      </sheetData>
      <sheetData sheetId="4">
        <row r="93">
          <cell r="D93">
            <v>17.2</v>
          </cell>
        </row>
        <row r="94">
          <cell r="D94">
            <v>17.2</v>
          </cell>
        </row>
        <row r="95">
          <cell r="D95">
            <v>17.2</v>
          </cell>
        </row>
        <row r="96">
          <cell r="D96">
            <v>17.2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taMalt - Operator Performance"/>
      <sheetName val="BrewMaterials"/>
      <sheetName val="Brewhouse"/>
      <sheetName val="Process"/>
      <sheetName val="Packaging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</sheetNames>
    <sheetDataSet>
      <sheetData sheetId="0"/>
      <sheetData sheetId="1"/>
      <sheetData sheetId="2">
        <row r="5">
          <cell r="AV5">
            <v>96.276959090498963</v>
          </cell>
        </row>
        <row r="6">
          <cell r="AV6">
            <v>95.250552277167415</v>
          </cell>
        </row>
        <row r="7">
          <cell r="AV7">
            <v>98.215857114037703</v>
          </cell>
        </row>
        <row r="8">
          <cell r="AV8">
            <v>97.065841044111437</v>
          </cell>
        </row>
        <row r="9">
          <cell r="AV9">
            <v>96.846940704132052</v>
          </cell>
        </row>
        <row r="10">
          <cell r="AV10">
            <v>97.997200643479516</v>
          </cell>
        </row>
        <row r="11">
          <cell r="AV11">
            <v>99.103663669233342</v>
          </cell>
        </row>
        <row r="12">
          <cell r="AV12">
            <v>100.09297596306546</v>
          </cell>
        </row>
        <row r="13">
          <cell r="AV13">
            <v>98.53505407982837</v>
          </cell>
        </row>
        <row r="14">
          <cell r="AV14">
            <v>99.07369922209736</v>
          </cell>
        </row>
        <row r="16">
          <cell r="AV16">
            <v>96.495371141271974</v>
          </cell>
        </row>
        <row r="17">
          <cell r="AV17">
            <v>100.26537727345534</v>
          </cell>
        </row>
        <row r="18">
          <cell r="AV18">
            <v>99.23384047023049</v>
          </cell>
        </row>
        <row r="19">
          <cell r="AV19">
            <v>100.78007672501261</v>
          </cell>
        </row>
        <row r="21">
          <cell r="AV21">
            <v>101.27863888434283</v>
          </cell>
        </row>
        <row r="22">
          <cell r="AV22">
            <v>99.303486828954206</v>
          </cell>
        </row>
        <row r="23">
          <cell r="AV23">
            <v>103.66984113752797</v>
          </cell>
        </row>
        <row r="24">
          <cell r="AV24">
            <v>95.602927454157623</v>
          </cell>
        </row>
        <row r="26">
          <cell r="AV26">
            <v>97.882610792421659</v>
          </cell>
        </row>
        <row r="27">
          <cell r="AV27">
            <v>102.56353376807962</v>
          </cell>
        </row>
        <row r="28">
          <cell r="AV28">
            <v>101.00969960355251</v>
          </cell>
        </row>
        <row r="29">
          <cell r="AV29">
            <v>98.793275944001337</v>
          </cell>
        </row>
        <row r="30">
          <cell r="AV30">
            <v>99.174984669941196</v>
          </cell>
        </row>
        <row r="31">
          <cell r="AV31">
            <v>99.790314392337137</v>
          </cell>
        </row>
        <row r="32">
          <cell r="AV32">
            <v>98.079903538511672</v>
          </cell>
        </row>
        <row r="33">
          <cell r="AV33">
            <v>99.588717797605156</v>
          </cell>
        </row>
        <row r="35">
          <cell r="AV35">
            <v>98.928032542482782</v>
          </cell>
        </row>
        <row r="36">
          <cell r="AV36">
            <v>100.22513199069148</v>
          </cell>
        </row>
        <row r="37">
          <cell r="AV37">
            <v>99.888911394204086</v>
          </cell>
        </row>
        <row r="38">
          <cell r="AV38">
            <v>100.17103246144012</v>
          </cell>
        </row>
        <row r="39">
          <cell r="AV39">
            <v>99.285649098477293</v>
          </cell>
        </row>
        <row r="40">
          <cell r="AV40">
            <v>99.879884127611049</v>
          </cell>
        </row>
        <row r="41">
          <cell r="AV41">
            <v>96.432595150579488</v>
          </cell>
        </row>
        <row r="42">
          <cell r="AV42">
            <v>98.429313316577733</v>
          </cell>
        </row>
        <row r="43">
          <cell r="AV43">
            <v>98.064289700809979</v>
          </cell>
        </row>
        <row r="44">
          <cell r="AV44">
            <v>103.18047859361971</v>
          </cell>
        </row>
        <row r="45">
          <cell r="AV45">
            <v>104.32840145732365</v>
          </cell>
        </row>
        <row r="46">
          <cell r="AV46">
            <v>91.41688641079125</v>
          </cell>
        </row>
        <row r="48">
          <cell r="AV48">
            <v>90.887781982231019</v>
          </cell>
        </row>
        <row r="49">
          <cell r="AV49">
            <v>90.537381275166723</v>
          </cell>
        </row>
        <row r="50">
          <cell r="AV50">
            <v>92.190532473722058</v>
          </cell>
        </row>
        <row r="51">
          <cell r="AV51">
            <v>100.48690648550411</v>
          </cell>
        </row>
        <row r="52">
          <cell r="AV52">
            <v>101.16555777179596</v>
          </cell>
        </row>
        <row r="53">
          <cell r="AV53">
            <v>101.81357333538921</v>
          </cell>
        </row>
        <row r="55">
          <cell r="AV55">
            <v>96.86423362208302</v>
          </cell>
        </row>
        <row r="56">
          <cell r="AV56">
            <v>98.765400463350318</v>
          </cell>
        </row>
        <row r="57">
          <cell r="AV57">
            <v>99.054620267666863</v>
          </cell>
        </row>
        <row r="58">
          <cell r="AV58">
            <v>99.45810140928667</v>
          </cell>
        </row>
        <row r="59">
          <cell r="AV59">
            <v>99.445738552634495</v>
          </cell>
        </row>
        <row r="60">
          <cell r="AV60">
            <v>99.984726394996613</v>
          </cell>
        </row>
        <row r="61">
          <cell r="AV61">
            <v>99.787427077580119</v>
          </cell>
        </row>
        <row r="62">
          <cell r="AV62">
            <v>103.57083663502391</v>
          </cell>
        </row>
        <row r="64">
          <cell r="AV64">
            <v>98.008773140944655</v>
          </cell>
        </row>
        <row r="65">
          <cell r="AV65">
            <v>97.056247900814512</v>
          </cell>
        </row>
        <row r="66">
          <cell r="AV66">
            <v>99.038277060492405</v>
          </cell>
        </row>
        <row r="67">
          <cell r="AV67">
            <v>97.755191484048893</v>
          </cell>
        </row>
        <row r="68">
          <cell r="AV68">
            <v>94.10791616839218</v>
          </cell>
        </row>
        <row r="69">
          <cell r="AV69">
            <v>97.641436216620463</v>
          </cell>
        </row>
        <row r="70">
          <cell r="AV70">
            <v>101.50384828699441</v>
          </cell>
        </row>
        <row r="71">
          <cell r="AV71">
            <v>96.742930981448211</v>
          </cell>
        </row>
        <row r="72">
          <cell r="AV72">
            <v>97.755191484048893</v>
          </cell>
        </row>
        <row r="73">
          <cell r="AV73">
            <v>95.835062582045694</v>
          </cell>
        </row>
        <row r="74">
          <cell r="AV74">
            <v>97.848404232929013</v>
          </cell>
        </row>
        <row r="75">
          <cell r="AV75">
            <v>97.445735902752347</v>
          </cell>
        </row>
        <row r="76">
          <cell r="AV76">
            <v>97.848404232929013</v>
          </cell>
        </row>
        <row r="77">
          <cell r="AV77">
            <v>97.610908885136041</v>
          </cell>
        </row>
        <row r="79">
          <cell r="AV79">
            <v>93.416866927628533</v>
          </cell>
        </row>
        <row r="80">
          <cell r="AV80">
            <v>97.892758653806098</v>
          </cell>
        </row>
        <row r="81">
          <cell r="AV81">
            <v>95.630531037856798</v>
          </cell>
        </row>
        <row r="82">
          <cell r="AV82">
            <v>97.766654522928292</v>
          </cell>
        </row>
        <row r="83">
          <cell r="AV83">
            <v>98.529450361408266</v>
          </cell>
        </row>
        <row r="84">
          <cell r="AV84">
            <v>93.497493079391887</v>
          </cell>
        </row>
        <row r="85">
          <cell r="AV85">
            <v>97.870868652037373</v>
          </cell>
        </row>
        <row r="86">
          <cell r="AV86">
            <v>96.69450110380555</v>
          </cell>
        </row>
        <row r="88">
          <cell r="AV88">
            <v>97.703642027366726</v>
          </cell>
        </row>
        <row r="89">
          <cell r="AV89">
            <v>98.976107779261667</v>
          </cell>
        </row>
        <row r="90">
          <cell r="AV90">
            <v>99.450962406546921</v>
          </cell>
        </row>
        <row r="91">
          <cell r="AV91">
            <v>100.04029918753868</v>
          </cell>
        </row>
        <row r="92">
          <cell r="AV92">
            <v>98.708196280264445</v>
          </cell>
        </row>
        <row r="93">
          <cell r="AV93">
            <v>97.776299746351896</v>
          </cell>
        </row>
        <row r="94">
          <cell r="AV94">
            <v>92.807991832411261</v>
          </cell>
        </row>
        <row r="95">
          <cell r="AV95">
            <v>97.805496183349234</v>
          </cell>
        </row>
        <row r="97">
          <cell r="A97" t="str">
            <v>VM083</v>
          </cell>
          <cell r="R97">
            <v>60</v>
          </cell>
          <cell r="S97">
            <v>9.1200000000000045</v>
          </cell>
          <cell r="V97">
            <v>1.0402777777777779</v>
          </cell>
          <cell r="W97">
            <v>1.1868055555555554</v>
          </cell>
          <cell r="X97">
            <v>78</v>
          </cell>
          <cell r="AB97">
            <v>0.29097222222222208</v>
          </cell>
          <cell r="AE97">
            <v>50</v>
          </cell>
          <cell r="AH97">
            <v>14.1</v>
          </cell>
          <cell r="AJ97">
            <v>48</v>
          </cell>
          <cell r="AV97">
            <v>96.384142627803314</v>
          </cell>
          <cell r="AW97">
            <v>96.478842650696336</v>
          </cell>
          <cell r="AZ97" t="str">
            <v>K. Benjamin</v>
          </cell>
        </row>
        <row r="98">
          <cell r="A98" t="str">
            <v>VM084</v>
          </cell>
          <cell r="R98">
            <v>57</v>
          </cell>
          <cell r="S98">
            <v>4.9199999999999875</v>
          </cell>
          <cell r="V98">
            <v>1.1347222222222222</v>
          </cell>
          <cell r="W98">
            <v>1.2625</v>
          </cell>
          <cell r="X98">
            <v>70</v>
          </cell>
          <cell r="AB98">
            <v>0.26944444444444438</v>
          </cell>
          <cell r="AE98">
            <v>50</v>
          </cell>
          <cell r="AH98">
            <v>14.3</v>
          </cell>
          <cell r="AJ98">
            <v>48.5</v>
          </cell>
          <cell r="AV98">
            <v>98.724257868818427</v>
          </cell>
          <cell r="AW98">
            <v>98.821671093335979</v>
          </cell>
          <cell r="AZ98" t="str">
            <v>K. Benjamin</v>
          </cell>
        </row>
        <row r="99">
          <cell r="A99" t="str">
            <v>VM085</v>
          </cell>
          <cell r="R99">
            <v>57</v>
          </cell>
          <cell r="S99">
            <v>2.5200000000000102</v>
          </cell>
          <cell r="V99">
            <v>0.21736111111111112</v>
          </cell>
          <cell r="W99">
            <v>0.35972222222222222</v>
          </cell>
          <cell r="X99">
            <v>77</v>
          </cell>
          <cell r="AB99">
            <v>0.28333333333333333</v>
          </cell>
          <cell r="AE99">
            <v>50</v>
          </cell>
          <cell r="AH99">
            <v>14.3</v>
          </cell>
          <cell r="AJ99">
            <v>47.7</v>
          </cell>
          <cell r="AV99">
            <v>97.1978696383959</v>
          </cell>
          <cell r="AW99">
            <v>97.293369170050752</v>
          </cell>
          <cell r="AZ99" t="str">
            <v>K. Benjamin</v>
          </cell>
        </row>
        <row r="100">
          <cell r="A100" t="str">
            <v>VM086</v>
          </cell>
          <cell r="R100">
            <v>61</v>
          </cell>
          <cell r="S100">
            <v>15.68862275449103</v>
          </cell>
          <cell r="V100">
            <v>0.35555555555555557</v>
          </cell>
          <cell r="W100">
            <v>0.50347222222222221</v>
          </cell>
          <cell r="X100">
            <v>74</v>
          </cell>
          <cell r="AB100">
            <v>0.33680555555555558</v>
          </cell>
          <cell r="AE100">
            <v>50.1</v>
          </cell>
          <cell r="AH100">
            <v>14.6</v>
          </cell>
          <cell r="AJ100">
            <v>47.4</v>
          </cell>
          <cell r="AV100">
            <v>98.865271982009801</v>
          </cell>
          <cell r="AW100">
            <v>98.961994346081283</v>
          </cell>
          <cell r="AZ100" t="str">
            <v>R. Regis</v>
          </cell>
        </row>
        <row r="101">
          <cell r="A101" t="str">
            <v>VM087</v>
          </cell>
          <cell r="R101">
            <v>61</v>
          </cell>
          <cell r="S101">
            <v>6.307385229540925</v>
          </cell>
          <cell r="V101">
            <v>0.46319444444444446</v>
          </cell>
          <cell r="W101">
            <v>0.6</v>
          </cell>
          <cell r="X101">
            <v>84</v>
          </cell>
          <cell r="AB101">
            <v>0.35</v>
          </cell>
          <cell r="AE101">
            <v>50.1</v>
          </cell>
          <cell r="AH101">
            <v>14.5</v>
          </cell>
          <cell r="AJ101">
            <v>47.4</v>
          </cell>
          <cell r="AV101">
            <v>97.852052364795099</v>
          </cell>
          <cell r="AW101">
            <v>97.949014427015442</v>
          </cell>
          <cell r="AZ101" t="str">
            <v>R. Regis</v>
          </cell>
        </row>
        <row r="102">
          <cell r="A102" t="str">
            <v>VM088</v>
          </cell>
          <cell r="R102">
            <v>60</v>
          </cell>
          <cell r="S102">
            <v>5.9081836327345325</v>
          </cell>
          <cell r="V102">
            <v>0.55069444444444449</v>
          </cell>
          <cell r="W102">
            <v>0.69305555555555554</v>
          </cell>
          <cell r="X102">
            <v>92</v>
          </cell>
          <cell r="AB102">
            <v>0.29374999999999996</v>
          </cell>
          <cell r="AE102">
            <v>50.1</v>
          </cell>
          <cell r="AH102">
            <v>14.2</v>
          </cell>
          <cell r="AJ102">
            <v>50.8</v>
          </cell>
          <cell r="AV102">
            <v>101.48068903880889</v>
          </cell>
          <cell r="AW102">
            <v>101.58544488625023</v>
          </cell>
          <cell r="AZ102" t="str">
            <v>R. Regis</v>
          </cell>
        </row>
        <row r="103">
          <cell r="A103" t="str">
            <v>VM089</v>
          </cell>
          <cell r="R103">
            <v>58</v>
          </cell>
          <cell r="S103">
            <v>5.3093812375249572</v>
          </cell>
          <cell r="V103">
            <v>0.6430555555555556</v>
          </cell>
          <cell r="W103">
            <v>0.78125</v>
          </cell>
          <cell r="X103">
            <v>89</v>
          </cell>
          <cell r="AB103">
            <v>0.27083333333333337</v>
          </cell>
          <cell r="AE103">
            <v>50.1</v>
          </cell>
          <cell r="AH103">
            <v>14.1</v>
          </cell>
          <cell r="AJ103">
            <v>50.8</v>
          </cell>
          <cell r="AV103">
            <v>101.36729475283848</v>
          </cell>
          <cell r="AW103">
            <v>101.46942793995083</v>
          </cell>
          <cell r="AZ103" t="str">
            <v>R.Sookram</v>
          </cell>
        </row>
        <row r="104">
          <cell r="A104" t="str">
            <v>VM090</v>
          </cell>
          <cell r="R104">
            <v>58</v>
          </cell>
          <cell r="S104">
            <v>13.107344632768363</v>
          </cell>
          <cell r="V104">
            <v>0.75624999999999998</v>
          </cell>
          <cell r="W104">
            <v>0.89027777777777772</v>
          </cell>
          <cell r="X104">
            <v>84</v>
          </cell>
          <cell r="AB104">
            <v>0.26527777777777772</v>
          </cell>
          <cell r="AE104">
            <v>53.1</v>
          </cell>
          <cell r="AH104">
            <v>14.2</v>
          </cell>
          <cell r="AJ104">
            <v>47.4</v>
          </cell>
          <cell r="AV104">
            <v>95.481525856829805</v>
          </cell>
          <cell r="AW104">
            <v>95.576935536185431</v>
          </cell>
          <cell r="AZ104" t="str">
            <v>R.Sookram</v>
          </cell>
        </row>
      </sheetData>
      <sheetData sheetId="3">
        <row r="97">
          <cell r="D97">
            <v>14.1</v>
          </cell>
        </row>
        <row r="98">
          <cell r="D98">
            <v>14.3</v>
          </cell>
        </row>
        <row r="99">
          <cell r="D99">
            <v>14.3</v>
          </cell>
        </row>
        <row r="100">
          <cell r="D100">
            <v>14.6</v>
          </cell>
        </row>
        <row r="101">
          <cell r="D101">
            <v>14.5</v>
          </cell>
        </row>
        <row r="102">
          <cell r="D102">
            <v>14.2</v>
          </cell>
        </row>
        <row r="103">
          <cell r="D103">
            <v>14.1</v>
          </cell>
        </row>
        <row r="104">
          <cell r="D104">
            <v>14.2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ackaging"/>
      <sheetName val="Process"/>
      <sheetName val="Summary November '25"/>
      <sheetName val="Summary October '25"/>
      <sheetName val="Summary September '25"/>
      <sheetName val="Summary August '25 "/>
      <sheetName val="Summary July '25"/>
      <sheetName val="Summary June'25"/>
      <sheetName val="Summary May '25"/>
      <sheetName val="Summary April '25"/>
      <sheetName val="Summary March '25 "/>
      <sheetName val="Summary February '25 "/>
      <sheetName val="Summary January '25"/>
      <sheetName val="Summary December '24 "/>
    </sheetNames>
    <sheetDataSet>
      <sheetData sheetId="0"/>
      <sheetData sheetId="1"/>
      <sheetData sheetId="2"/>
      <sheetData sheetId="3"/>
      <sheetData sheetId="4"/>
      <sheetData sheetId="5">
        <row r="102">
          <cell r="AU102">
            <v>92.721004414750013</v>
          </cell>
        </row>
        <row r="103">
          <cell r="AU103">
            <v>95.183546542203274</v>
          </cell>
        </row>
        <row r="104">
          <cell r="AU104">
            <v>95.186026119258216</v>
          </cell>
        </row>
        <row r="105">
          <cell r="AU105">
            <v>95.834588221072792</v>
          </cell>
        </row>
        <row r="106">
          <cell r="AU106">
            <v>95.701714072534301</v>
          </cell>
        </row>
        <row r="107">
          <cell r="AU107">
            <v>92.798968247797376</v>
          </cell>
        </row>
        <row r="108">
          <cell r="AU108">
            <v>95.637869985017701</v>
          </cell>
        </row>
        <row r="109">
          <cell r="AU109">
            <v>96.273574518798767</v>
          </cell>
        </row>
        <row r="110">
          <cell r="AU110">
            <v>94.86612185107694</v>
          </cell>
        </row>
        <row r="111">
          <cell r="AU111">
            <v>90.396256118959755</v>
          </cell>
        </row>
        <row r="112">
          <cell r="AU112">
            <v>96.811385381152121</v>
          </cell>
        </row>
        <row r="113">
          <cell r="AU113">
            <v>93.316641237557349</v>
          </cell>
        </row>
        <row r="114">
          <cell r="AU114">
            <v>97.63400510059688</v>
          </cell>
        </row>
        <row r="115">
          <cell r="AU115">
            <v>99.134858630299789</v>
          </cell>
        </row>
        <row r="116">
          <cell r="AU116">
            <v>92.554167304143249</v>
          </cell>
        </row>
        <row r="117">
          <cell r="AU117">
            <v>94.723161458360067</v>
          </cell>
        </row>
        <row r="118">
          <cell r="AU118">
            <v>94.836688212040571</v>
          </cell>
        </row>
        <row r="119">
          <cell r="AU119">
            <v>88.825216186637164</v>
          </cell>
        </row>
        <row r="120">
          <cell r="AU120">
            <v>93.256832532072352</v>
          </cell>
        </row>
        <row r="121">
          <cell r="AU121">
            <v>96.271194795735298</v>
          </cell>
        </row>
        <row r="122">
          <cell r="AU122">
            <v>90.611883285060202</v>
          </cell>
        </row>
        <row r="123">
          <cell r="AU123">
            <v>96.544443432374834</v>
          </cell>
        </row>
        <row r="124">
          <cell r="AU124">
            <v>94.232258322472063</v>
          </cell>
        </row>
        <row r="125">
          <cell r="AU125">
            <v>95.957942302884106</v>
          </cell>
        </row>
        <row r="126">
          <cell r="AU126">
            <v>95.337604364892485</v>
          </cell>
        </row>
        <row r="127">
          <cell r="AU127">
            <v>89.580178011311446</v>
          </cell>
        </row>
        <row r="128">
          <cell r="AU128">
            <v>90.548707098481913</v>
          </cell>
        </row>
        <row r="129">
          <cell r="AU129">
            <v>94.451373889375304</v>
          </cell>
        </row>
        <row r="130">
          <cell r="AU130">
            <v>92.379727168907181</v>
          </cell>
        </row>
        <row r="131">
          <cell r="AU131">
            <v>99.165328369665957</v>
          </cell>
        </row>
        <row r="132">
          <cell r="AU132">
            <v>93.744354514117632</v>
          </cell>
        </row>
        <row r="133">
          <cell r="AU133">
            <v>93.755953364927763</v>
          </cell>
        </row>
        <row r="134">
          <cell r="AU134">
            <v>94.510748705987353</v>
          </cell>
        </row>
        <row r="135">
          <cell r="AU135">
            <v>94.653823201385563</v>
          </cell>
        </row>
        <row r="136">
          <cell r="AU136">
            <v>94.703434335224557</v>
          </cell>
        </row>
        <row r="137">
          <cell r="AU137">
            <v>94.045467052799196</v>
          </cell>
        </row>
        <row r="138">
          <cell r="AU138">
            <v>95.023430747802905</v>
          </cell>
        </row>
        <row r="139">
          <cell r="AU139">
            <v>95.149931915355324</v>
          </cell>
        </row>
        <row r="140">
          <cell r="AU140">
            <v>92.54089949084161</v>
          </cell>
        </row>
        <row r="141">
          <cell r="AU141">
            <v>94.468287382263057</v>
          </cell>
        </row>
        <row r="142">
          <cell r="AU142">
            <v>90.693632481516147</v>
          </cell>
        </row>
        <row r="143">
          <cell r="AU143">
            <v>93.387729203040266</v>
          </cell>
        </row>
        <row r="144">
          <cell r="AU144">
            <v>92.301580285213745</v>
          </cell>
        </row>
        <row r="145">
          <cell r="AU145">
            <v>95.47146892959492</v>
          </cell>
        </row>
        <row r="146">
          <cell r="AU146">
            <v>95.327861606040415</v>
          </cell>
        </row>
        <row r="147">
          <cell r="AU147">
            <v>96.037505306647844</v>
          </cell>
        </row>
        <row r="148">
          <cell r="AU148">
            <v>90.435403081015338</v>
          </cell>
        </row>
        <row r="149">
          <cell r="AU149">
            <v>91.935604428876957</v>
          </cell>
        </row>
        <row r="150">
          <cell r="AU150">
            <v>90.096176580018806</v>
          </cell>
        </row>
        <row r="151">
          <cell r="AU151">
            <v>91.160984251356965</v>
          </cell>
        </row>
        <row r="152">
          <cell r="AU152">
            <v>97.110207612864656</v>
          </cell>
        </row>
        <row r="153">
          <cell r="AU153">
            <v>93.955688908867202</v>
          </cell>
        </row>
        <row r="154">
          <cell r="AU154">
            <v>93.201117045963912</v>
          </cell>
        </row>
        <row r="155">
          <cell r="AU155">
            <v>98.594401379338521</v>
          </cell>
        </row>
        <row r="156">
          <cell r="AU156">
            <v>92.001421037013401</v>
          </cell>
        </row>
        <row r="157">
          <cell r="AU157">
            <v>98.547841921632482</v>
          </cell>
        </row>
        <row r="158">
          <cell r="AU158">
            <v>95.30958953671977</v>
          </cell>
        </row>
        <row r="159">
          <cell r="AU159">
            <v>94.916368405240789</v>
          </cell>
        </row>
        <row r="160">
          <cell r="AU160">
            <v>94.672690305430109</v>
          </cell>
        </row>
        <row r="161">
          <cell r="AU161">
            <v>95.964139881158587</v>
          </cell>
        </row>
        <row r="162">
          <cell r="AU162">
            <v>96.907424929882168</v>
          </cell>
        </row>
        <row r="163">
          <cell r="AU163">
            <v>94.283239341838936</v>
          </cell>
        </row>
        <row r="164">
          <cell r="AU164">
            <v>89.622426366714592</v>
          </cell>
        </row>
        <row r="165">
          <cell r="AU165">
            <v>95.468836285735648</v>
          </cell>
        </row>
        <row r="166">
          <cell r="AU166">
            <v>95.468836285735648</v>
          </cell>
        </row>
        <row r="167">
          <cell r="AU167">
            <v>95.411155352297129</v>
          </cell>
        </row>
        <row r="168">
          <cell r="AU168">
            <v>97.574485486208175</v>
          </cell>
        </row>
        <row r="169">
          <cell r="AU169">
            <v>101.10646423110623</v>
          </cell>
        </row>
        <row r="170">
          <cell r="AU170">
            <v>98.374430517533199</v>
          </cell>
        </row>
        <row r="171">
          <cell r="AU171">
            <v>101.61477490794771</v>
          </cell>
        </row>
        <row r="173">
          <cell r="AU173">
            <v>91.322447267719596</v>
          </cell>
        </row>
        <row r="174">
          <cell r="AU174">
            <v>94.643337024811686</v>
          </cell>
        </row>
        <row r="175">
          <cell r="AU175">
            <v>90.625657788599028</v>
          </cell>
        </row>
        <row r="176">
          <cell r="AU176">
            <v>96.877995805558157</v>
          </cell>
        </row>
        <row r="177">
          <cell r="AU177">
            <v>92.135214898662127</v>
          </cell>
        </row>
        <row r="178">
          <cell r="AU178">
            <v>93.533472030969435</v>
          </cell>
        </row>
        <row r="179">
          <cell r="AU179">
            <v>94.139723416562532</v>
          </cell>
        </row>
        <row r="180">
          <cell r="AU180">
            <v>95.023430747802905</v>
          </cell>
        </row>
        <row r="181">
          <cell r="AU181">
            <v>88.206051282479294</v>
          </cell>
        </row>
        <row r="182">
          <cell r="AU182">
            <v>98.770467000417625</v>
          </cell>
        </row>
        <row r="183">
          <cell r="AU183">
            <v>92.689746877485774</v>
          </cell>
        </row>
        <row r="184">
          <cell r="AU184">
            <v>94.673754897931531</v>
          </cell>
        </row>
        <row r="185">
          <cell r="AU185">
            <v>98.858629653014077</v>
          </cell>
        </row>
        <row r="186">
          <cell r="AU186">
            <v>93.560901765557716</v>
          </cell>
        </row>
        <row r="187">
          <cell r="AU187">
            <v>94.294712759797378</v>
          </cell>
        </row>
        <row r="188">
          <cell r="AU188">
            <v>94.907296083516144</v>
          </cell>
        </row>
        <row r="189">
          <cell r="AU189">
            <v>98.512665561743688</v>
          </cell>
        </row>
        <row r="190">
          <cell r="AU190">
            <v>94.487755379468013</v>
          </cell>
        </row>
        <row r="191">
          <cell r="AU191">
            <v>95.057455440135968</v>
          </cell>
        </row>
        <row r="192">
          <cell r="AU192">
            <v>96.4155793854151</v>
          </cell>
        </row>
        <row r="193">
          <cell r="AU193">
            <v>93.674736941647851</v>
          </cell>
        </row>
        <row r="194">
          <cell r="AU194">
            <v>93.610787987459005</v>
          </cell>
        </row>
        <row r="195">
          <cell r="AU195">
            <v>99.406324820701613</v>
          </cell>
        </row>
        <row r="196">
          <cell r="AU196">
            <v>94.417924348057809</v>
          </cell>
        </row>
        <row r="197">
          <cell r="AU197">
            <v>98.829665455011778</v>
          </cell>
        </row>
        <row r="198">
          <cell r="AU198">
            <v>95.665215493250571</v>
          </cell>
        </row>
        <row r="199">
          <cell r="AU199">
            <v>95.72152488146294</v>
          </cell>
        </row>
        <row r="200">
          <cell r="AU200">
            <v>97.277748156420813</v>
          </cell>
        </row>
        <row r="201">
          <cell r="AU201">
            <v>95.45407223763587</v>
          </cell>
        </row>
        <row r="202">
          <cell r="AU202">
            <v>99.8213249704677</v>
          </cell>
        </row>
        <row r="203">
          <cell r="AU203">
            <v>97.307715934041752</v>
          </cell>
        </row>
        <row r="204">
          <cell r="AU204">
            <v>93.460879869520596</v>
          </cell>
        </row>
        <row r="205">
          <cell r="AU205">
            <v>95.737208896757963</v>
          </cell>
        </row>
        <row r="206">
          <cell r="AU206">
            <v>95.337604364892485</v>
          </cell>
        </row>
        <row r="207">
          <cell r="AU207">
            <v>95.008376934499935</v>
          </cell>
        </row>
        <row r="208">
          <cell r="AU208">
            <v>97.702216395203862</v>
          </cell>
        </row>
        <row r="209">
          <cell r="AU209">
            <v>96.725169759375845</v>
          </cell>
        </row>
        <row r="210">
          <cell r="AU210">
            <v>99.447332347643368</v>
          </cell>
        </row>
        <row r="211">
          <cell r="AU211">
            <v>99.011995036913419</v>
          </cell>
        </row>
        <row r="212">
          <cell r="AU212">
            <v>93.718965445074957</v>
          </cell>
        </row>
        <row r="213">
          <cell r="AU213">
            <v>95.16847300232179</v>
          </cell>
        </row>
        <row r="214">
          <cell r="AU214">
            <v>94.541944861235876</v>
          </cell>
        </row>
        <row r="215">
          <cell r="AU215">
            <v>98.338605562583197</v>
          </cell>
        </row>
        <row r="216">
          <cell r="AU216">
            <v>98.527718265588177</v>
          </cell>
        </row>
        <row r="217">
          <cell r="AU217">
            <v>96.039629364456829</v>
          </cell>
        </row>
        <row r="218">
          <cell r="AU218">
            <v>98.156085088814663</v>
          </cell>
        </row>
        <row r="219">
          <cell r="AU219">
            <v>100.09976994205851</v>
          </cell>
        </row>
        <row r="220">
          <cell r="AU220">
            <v>96.463639062115632</v>
          </cell>
        </row>
        <row r="221">
          <cell r="AU221">
            <v>95.879175892818452</v>
          </cell>
        </row>
        <row r="222">
          <cell r="AU222">
            <v>99.27872580517348</v>
          </cell>
        </row>
        <row r="223">
          <cell r="AU223">
            <v>94.977580053808055</v>
          </cell>
        </row>
        <row r="224">
          <cell r="AU224">
            <v>95.149931915355324</v>
          </cell>
        </row>
        <row r="225">
          <cell r="AU225">
            <v>99.623016105347048</v>
          </cell>
        </row>
        <row r="226">
          <cell r="AU226">
            <v>101.83502113105483</v>
          </cell>
        </row>
        <row r="227">
          <cell r="AU227">
            <v>103.48472802945992</v>
          </cell>
        </row>
        <row r="228">
          <cell r="AU228">
            <v>98.072332728747526</v>
          </cell>
        </row>
        <row r="229">
          <cell r="AU229">
            <v>94.067699935148468</v>
          </cell>
        </row>
        <row r="230">
          <cell r="AU230">
            <v>96.685102054151599</v>
          </cell>
        </row>
        <row r="231">
          <cell r="AU231">
            <v>99.351193785447862</v>
          </cell>
        </row>
        <row r="232">
          <cell r="AU232">
            <v>99.514424291923262</v>
          </cell>
        </row>
        <row r="233">
          <cell r="AU233">
            <v>93.800836048721479</v>
          </cell>
        </row>
        <row r="234">
          <cell r="AU234">
            <v>92.003521130299475</v>
          </cell>
        </row>
        <row r="235">
          <cell r="AU235">
            <v>94.351751735386642</v>
          </cell>
        </row>
        <row r="236">
          <cell r="AU236">
            <v>91.887467769179437</v>
          </cell>
        </row>
        <row r="237">
          <cell r="AU237">
            <v>94.651122076969358</v>
          </cell>
        </row>
        <row r="238">
          <cell r="AU238">
            <v>94.196420875147751</v>
          </cell>
        </row>
        <row r="239">
          <cell r="AU239">
            <v>94.983564269611392</v>
          </cell>
        </row>
        <row r="240">
          <cell r="AU240">
            <v>95.614884373859567</v>
          </cell>
        </row>
        <row r="241">
          <cell r="AU241">
            <v>92.238813509883116</v>
          </cell>
        </row>
        <row r="242">
          <cell r="AU242">
            <v>98.233595160056836</v>
          </cell>
        </row>
        <row r="243">
          <cell r="AU243">
            <v>97.914776616343687</v>
          </cell>
        </row>
        <row r="244">
          <cell r="AU244">
            <v>102.78475439772893</v>
          </cell>
        </row>
        <row r="245">
          <cell r="AU245">
            <v>98.608987287762162</v>
          </cell>
        </row>
        <row r="246">
          <cell r="AU246">
            <v>99.968040047087285</v>
          </cell>
        </row>
        <row r="247">
          <cell r="AU247">
            <v>100.63117662235325</v>
          </cell>
        </row>
        <row r="248">
          <cell r="AU248">
            <v>102.40288760061762</v>
          </cell>
        </row>
        <row r="249">
          <cell r="AU249">
            <v>98.753578648455701</v>
          </cell>
        </row>
        <row r="250">
          <cell r="AU250">
            <v>98.30806761549934</v>
          </cell>
        </row>
        <row r="251">
          <cell r="AU251">
            <v>100.19018778186395</v>
          </cell>
        </row>
        <row r="252">
          <cell r="AU252">
            <v>98.900119917031091</v>
          </cell>
        </row>
        <row r="253">
          <cell r="AU253">
            <v>104.59013374354345</v>
          </cell>
        </row>
        <row r="255">
          <cell r="AU255">
            <v>102.72900962852634</v>
          </cell>
        </row>
        <row r="256">
          <cell r="AU256">
            <v>97.709347146924856</v>
          </cell>
        </row>
        <row r="257">
          <cell r="AU257">
            <v>97.039020012695659</v>
          </cell>
        </row>
        <row r="258">
          <cell r="AU258">
            <v>100.56008067857034</v>
          </cell>
        </row>
        <row r="259">
          <cell r="AU259">
            <v>100.13520638196576</v>
          </cell>
        </row>
        <row r="260">
          <cell r="AU260">
            <v>99.006072770899991</v>
          </cell>
        </row>
        <row r="261">
          <cell r="AU261">
            <v>99.476489650339886</v>
          </cell>
        </row>
        <row r="262">
          <cell r="AU262">
            <v>103.44040315564746</v>
          </cell>
        </row>
        <row r="263">
          <cell r="AU263">
            <v>103.55524050594897</v>
          </cell>
        </row>
        <row r="264">
          <cell r="AU264">
            <v>103.31964719473716</v>
          </cell>
        </row>
        <row r="265">
          <cell r="AU265">
            <v>95.931616007214288</v>
          </cell>
        </row>
        <row r="266">
          <cell r="AU266">
            <v>106.48989247788745</v>
          </cell>
        </row>
        <row r="267">
          <cell r="AU267">
            <v>102.73439130971231</v>
          </cell>
        </row>
        <row r="268">
          <cell r="AU268">
            <v>101.93738806144394</v>
          </cell>
        </row>
        <row r="269">
          <cell r="AU269">
            <v>94.916087726339811</v>
          </cell>
        </row>
        <row r="270">
          <cell r="AU270">
            <v>96.181647145113629</v>
          </cell>
        </row>
        <row r="271">
          <cell r="AU271">
            <v>97.888884805156863</v>
          </cell>
        </row>
        <row r="272">
          <cell r="AU272">
            <v>96.606945507027518</v>
          </cell>
        </row>
        <row r="273">
          <cell r="AU273">
            <v>100.84824136478873</v>
          </cell>
        </row>
        <row r="274">
          <cell r="AU274">
            <v>96.736277075978393</v>
          </cell>
        </row>
        <row r="275">
          <cell r="AU275">
            <v>99.866724046583627</v>
          </cell>
        </row>
        <row r="276">
          <cell r="AU276">
            <v>97.312963605074586</v>
          </cell>
        </row>
        <row r="277">
          <cell r="AU277">
            <v>97.751802809548707</v>
          </cell>
        </row>
        <row r="278">
          <cell r="AU278">
            <v>108.34535319131975</v>
          </cell>
        </row>
        <row r="279">
          <cell r="AU279">
            <v>97.455960743822175</v>
          </cell>
        </row>
        <row r="280">
          <cell r="AU280">
            <v>96.084434808486492</v>
          </cell>
        </row>
        <row r="281">
          <cell r="AU281">
            <v>98.233712305667396</v>
          </cell>
        </row>
        <row r="282">
          <cell r="AU282">
            <v>98.24308419119933</v>
          </cell>
        </row>
        <row r="283">
          <cell r="AU283">
            <v>98.332506588615331</v>
          </cell>
        </row>
        <row r="284">
          <cell r="AU284">
            <v>92.662463281061918</v>
          </cell>
        </row>
        <row r="285">
          <cell r="AU285">
            <v>97.346014307803912</v>
          </cell>
        </row>
        <row r="286">
          <cell r="AU286">
            <v>98.678864505842682</v>
          </cell>
        </row>
        <row r="287">
          <cell r="AU287">
            <v>91.779024513115218</v>
          </cell>
        </row>
        <row r="288">
          <cell r="AU288">
            <v>93.197398193182465</v>
          </cell>
        </row>
        <row r="289">
          <cell r="AU289">
            <v>89.6398714567338</v>
          </cell>
        </row>
        <row r="290">
          <cell r="AU290">
            <v>100.14422471363589</v>
          </cell>
        </row>
        <row r="291">
          <cell r="AU291">
            <v>96.721958172382543</v>
          </cell>
        </row>
        <row r="292">
          <cell r="AU292">
            <v>99.66467104367139</v>
          </cell>
        </row>
        <row r="293">
          <cell r="AU293">
            <v>101.46018254984246</v>
          </cell>
        </row>
        <row r="294">
          <cell r="AU294">
            <v>102.67780014140652</v>
          </cell>
        </row>
        <row r="295">
          <cell r="AU295">
            <v>101.8514455792621</v>
          </cell>
        </row>
        <row r="296">
          <cell r="AU296">
            <v>100.31098207591012</v>
          </cell>
        </row>
        <row r="297">
          <cell r="AU297">
            <v>102.74010817185233</v>
          </cell>
        </row>
        <row r="298">
          <cell r="AU298">
            <v>98.313519336144523</v>
          </cell>
        </row>
        <row r="299">
          <cell r="AU299">
            <v>96.991620603991933</v>
          </cell>
        </row>
        <row r="300">
          <cell r="AU300">
            <v>98.291339046896496</v>
          </cell>
        </row>
        <row r="301">
          <cell r="AU301">
            <v>98.955013733627396</v>
          </cell>
        </row>
        <row r="302">
          <cell r="AU302">
            <v>99.112393932911999</v>
          </cell>
        </row>
        <row r="303">
          <cell r="AU303">
            <v>98.049377375814046</v>
          </cell>
        </row>
        <row r="304">
          <cell r="AU304">
            <v>97.140907627227477</v>
          </cell>
        </row>
        <row r="305">
          <cell r="AU305">
            <v>97.108675302847075</v>
          </cell>
        </row>
        <row r="306">
          <cell r="AU306">
            <v>99.955896952490676</v>
          </cell>
        </row>
        <row r="307">
          <cell r="AU307">
            <v>96.285477000540993</v>
          </cell>
        </row>
        <row r="308">
          <cell r="AU308">
            <v>95.136209191041715</v>
          </cell>
        </row>
        <row r="309">
          <cell r="AU309">
            <v>104.12720344993677</v>
          </cell>
        </row>
        <row r="310">
          <cell r="AU310">
            <v>99.544031672518045</v>
          </cell>
        </row>
        <row r="311">
          <cell r="AU311">
            <v>97.107689466916568</v>
          </cell>
        </row>
        <row r="312">
          <cell r="AU312">
            <v>95.640781997288045</v>
          </cell>
        </row>
        <row r="313">
          <cell r="AU313">
            <v>98.925414914366613</v>
          </cell>
        </row>
        <row r="314">
          <cell r="AU314">
            <v>100.41166904509818</v>
          </cell>
        </row>
        <row r="315">
          <cell r="AU315">
            <v>100.10153958094506</v>
          </cell>
        </row>
        <row r="316">
          <cell r="AU316">
            <v>102.1345698780635</v>
          </cell>
        </row>
        <row r="317">
          <cell r="AU317">
            <v>102.61615796495992</v>
          </cell>
        </row>
        <row r="318">
          <cell r="AU318">
            <v>103.66246391386404</v>
          </cell>
        </row>
        <row r="319">
          <cell r="AU319">
            <v>106.95998042120141</v>
          </cell>
        </row>
        <row r="320">
          <cell r="AU320">
            <v>94.2893537985222</v>
          </cell>
        </row>
        <row r="321">
          <cell r="AU321">
            <v>98.710610505273081</v>
          </cell>
        </row>
        <row r="322">
          <cell r="AU322">
            <v>96.128929587864761</v>
          </cell>
        </row>
        <row r="323">
          <cell r="AU323">
            <v>97.94439772053714</v>
          </cell>
        </row>
        <row r="324">
          <cell r="AU324">
            <v>97.705041554039269</v>
          </cell>
        </row>
        <row r="325">
          <cell r="AU325">
            <v>97.542503945319154</v>
          </cell>
        </row>
        <row r="326">
          <cell r="AU326">
            <v>97.820735625935143</v>
          </cell>
        </row>
        <row r="327">
          <cell r="AU327">
            <v>98.296844040938197</v>
          </cell>
        </row>
        <row r="328">
          <cell r="AU328">
            <v>97.046163433641169</v>
          </cell>
        </row>
        <row r="329">
          <cell r="AU329">
            <v>98.107009642147446</v>
          </cell>
        </row>
        <row r="330">
          <cell r="AU330">
            <v>97.822477372642041</v>
          </cell>
        </row>
        <row r="331">
          <cell r="AU331">
            <v>96.841006194248607</v>
          </cell>
        </row>
        <row r="332">
          <cell r="AU332">
            <v>94.353846621380328</v>
          </cell>
        </row>
        <row r="333">
          <cell r="AU333">
            <v>99.52869748499829</v>
          </cell>
        </row>
        <row r="334">
          <cell r="AU334">
            <v>98.285972690602023</v>
          </cell>
        </row>
        <row r="335">
          <cell r="AU335">
            <v>101.59569981419895</v>
          </cell>
        </row>
        <row r="336">
          <cell r="AU336">
            <v>100.35668628710914</v>
          </cell>
        </row>
        <row r="337">
          <cell r="AU337">
            <v>100.31331285198578</v>
          </cell>
        </row>
        <row r="338">
          <cell r="AU338">
            <v>99.745226951365936</v>
          </cell>
        </row>
        <row r="339">
          <cell r="AU339">
            <v>98.609928325637725</v>
          </cell>
        </row>
        <row r="341">
          <cell r="AU341">
            <v>95.054951532926523</v>
          </cell>
        </row>
        <row r="342">
          <cell r="AU342">
            <v>98.197263980295986</v>
          </cell>
        </row>
        <row r="343">
          <cell r="AU343">
            <v>97.89069649116648</v>
          </cell>
        </row>
        <row r="344">
          <cell r="AU344">
            <v>97.267564374285826</v>
          </cell>
        </row>
        <row r="345">
          <cell r="AU345">
            <v>100.78902433175921</v>
          </cell>
        </row>
        <row r="346">
          <cell r="AU346">
            <v>97.092129616887718</v>
          </cell>
        </row>
        <row r="348">
          <cell r="AU348">
            <v>96.346070116552426</v>
          </cell>
        </row>
        <row r="349">
          <cell r="AU349">
            <v>95.167732750673323</v>
          </cell>
        </row>
        <row r="350">
          <cell r="AU350">
            <v>99.535417664292453</v>
          </cell>
        </row>
        <row r="351">
          <cell r="AU351">
            <v>98.272039728735081</v>
          </cell>
        </row>
        <row r="352">
          <cell r="AU352">
            <v>97.452426605983504</v>
          </cell>
        </row>
        <row r="353">
          <cell r="AU353">
            <v>99.224854122831672</v>
          </cell>
        </row>
        <row r="354">
          <cell r="AU354">
            <v>99.637549112347273</v>
          </cell>
        </row>
        <row r="355">
          <cell r="AU355">
            <v>98.440467924232209</v>
          </cell>
        </row>
        <row r="356">
          <cell r="AU356">
            <v>99.13510971387187</v>
          </cell>
        </row>
        <row r="357">
          <cell r="AU357">
            <v>95.843374606839177</v>
          </cell>
        </row>
        <row r="358">
          <cell r="AU358">
            <v>100.8345162679376</v>
          </cell>
        </row>
        <row r="359">
          <cell r="AU359">
            <v>99.271537216316347</v>
          </cell>
        </row>
        <row r="360">
          <cell r="AU360">
            <v>98.251005719348782</v>
          </cell>
        </row>
        <row r="361">
          <cell r="AU361">
            <v>98.519246414669013</v>
          </cell>
        </row>
        <row r="362">
          <cell r="AU362">
            <v>99.544031672518045</v>
          </cell>
        </row>
        <row r="363">
          <cell r="AU363">
            <v>96.768319863223013</v>
          </cell>
        </row>
        <row r="364">
          <cell r="AU364">
            <v>99.07258993276939</v>
          </cell>
        </row>
        <row r="365">
          <cell r="AU365">
            <v>99.857323318375492</v>
          </cell>
        </row>
        <row r="366">
          <cell r="AU366">
            <v>98.374607891386887</v>
          </cell>
        </row>
        <row r="367">
          <cell r="AU367">
            <v>99.488368097360109</v>
          </cell>
        </row>
        <row r="368">
          <cell r="AU368">
            <v>98.731758097232401</v>
          </cell>
        </row>
        <row r="369">
          <cell r="AU369">
            <v>100.21736158844494</v>
          </cell>
        </row>
        <row r="370">
          <cell r="AU370">
            <v>103.18823199126446</v>
          </cell>
        </row>
        <row r="371">
          <cell r="AU371">
            <v>100.97805319324719</v>
          </cell>
        </row>
        <row r="372">
          <cell r="AU372">
            <v>99.240317373165226</v>
          </cell>
        </row>
        <row r="373">
          <cell r="AU373">
            <v>100.01930356159028</v>
          </cell>
        </row>
        <row r="374">
          <cell r="AU374">
            <v>99.117134605566818</v>
          </cell>
        </row>
        <row r="375">
          <cell r="AU375">
            <v>98.53409263729877</v>
          </cell>
        </row>
        <row r="376">
          <cell r="AU376">
            <v>98.267373085193</v>
          </cell>
        </row>
        <row r="377">
          <cell r="AU377">
            <v>99.400995056811297</v>
          </cell>
        </row>
        <row r="378">
          <cell r="AU378">
            <v>98.240672157315458</v>
          </cell>
        </row>
        <row r="379">
          <cell r="AU379">
            <v>100.08308943032193</v>
          </cell>
        </row>
        <row r="380">
          <cell r="AU380">
            <v>99.429215913383217</v>
          </cell>
        </row>
        <row r="381">
          <cell r="AU381">
            <v>99.082241304611145</v>
          </cell>
        </row>
        <row r="382">
          <cell r="AU382">
            <v>98.955478462844866</v>
          </cell>
        </row>
        <row r="383">
          <cell r="AU383">
            <v>103.64536563023121</v>
          </cell>
        </row>
        <row r="384">
          <cell r="AU384">
            <v>99.556372614317851</v>
          </cell>
        </row>
        <row r="385">
          <cell r="AU385">
            <v>100.23457211367787</v>
          </cell>
        </row>
        <row r="386">
          <cell r="AU386">
            <v>99.664904263017561</v>
          </cell>
        </row>
        <row r="387">
          <cell r="AU387">
            <v>110.18976831746323</v>
          </cell>
        </row>
        <row r="388">
          <cell r="AU388">
            <v>103.07975259792097</v>
          </cell>
        </row>
        <row r="389">
          <cell r="AU389">
            <v>104.26734312107473</v>
          </cell>
        </row>
        <row r="390">
          <cell r="AU390">
            <v>98.579471202485308</v>
          </cell>
        </row>
        <row r="391">
          <cell r="AU391">
            <v>95.963693495592068</v>
          </cell>
        </row>
        <row r="392">
          <cell r="AU392">
            <v>99.238971902138758</v>
          </cell>
        </row>
        <row r="393">
          <cell r="AU393">
            <v>99.040551339905747</v>
          </cell>
        </row>
        <row r="394">
          <cell r="AU394">
            <v>98.963144227374542</v>
          </cell>
        </row>
        <row r="395">
          <cell r="AU395">
            <v>99.471522456377443</v>
          </cell>
        </row>
        <row r="396">
          <cell r="AU396">
            <v>110.11836123964689</v>
          </cell>
        </row>
        <row r="397">
          <cell r="AU397">
            <v>100.93888664190121</v>
          </cell>
        </row>
        <row r="398">
          <cell r="AU398">
            <v>102.6092819559459</v>
          </cell>
        </row>
        <row r="399">
          <cell r="AU399">
            <v>103.4487635068831</v>
          </cell>
        </row>
        <row r="400">
          <cell r="AU400">
            <v>103.49216064482762</v>
          </cell>
        </row>
        <row r="401">
          <cell r="AU401">
            <v>95.297118868006976</v>
          </cell>
        </row>
        <row r="402">
          <cell r="AU402">
            <v>97.971265135622474</v>
          </cell>
        </row>
        <row r="403">
          <cell r="AU403">
            <v>101.35082928790086</v>
          </cell>
        </row>
        <row r="404">
          <cell r="AU404">
            <v>98.32516426656413</v>
          </cell>
        </row>
        <row r="405">
          <cell r="AU405">
            <v>96.338703059118458</v>
          </cell>
        </row>
        <row r="406">
          <cell r="AU406">
            <v>103.61202517173329</v>
          </cell>
        </row>
        <row r="408">
          <cell r="AU408">
            <v>95.631382328480186</v>
          </cell>
        </row>
        <row r="409">
          <cell r="AU409">
            <v>99.607341973685323</v>
          </cell>
        </row>
        <row r="410">
          <cell r="AU410">
            <v>96.93353609459146</v>
          </cell>
        </row>
        <row r="411">
          <cell r="AU411">
            <v>93.91214847753632</v>
          </cell>
        </row>
        <row r="412">
          <cell r="AU412">
            <v>100.64036643332561</v>
          </cell>
        </row>
        <row r="413">
          <cell r="AU413">
            <v>100.74250758539831</v>
          </cell>
        </row>
        <row r="414">
          <cell r="AU414">
            <v>98.561750329588534</v>
          </cell>
        </row>
        <row r="415">
          <cell r="AU415">
            <v>97.017660095904347</v>
          </cell>
        </row>
        <row r="416">
          <cell r="AU416">
            <v>96.889012952960968</v>
          </cell>
        </row>
        <row r="417">
          <cell r="AU417">
            <v>99.141806688132675</v>
          </cell>
        </row>
        <row r="418">
          <cell r="AU418">
            <v>97.782920706629895</v>
          </cell>
        </row>
        <row r="419">
          <cell r="AU419">
            <v>99.202738493744974</v>
          </cell>
        </row>
        <row r="420">
          <cell r="AU420">
            <v>98.938732278713488</v>
          </cell>
        </row>
        <row r="421">
          <cell r="AU421">
            <v>95.251170553166219</v>
          </cell>
        </row>
        <row r="422">
          <cell r="AU422">
            <v>98.855650959942864</v>
          </cell>
        </row>
        <row r="423">
          <cell r="AU423">
            <v>99.296756798842424</v>
          </cell>
        </row>
        <row r="424">
          <cell r="AU424">
            <v>99.532128761708009</v>
          </cell>
        </row>
        <row r="425">
          <cell r="AU425">
            <v>98.677368246025509</v>
          </cell>
        </row>
        <row r="426">
          <cell r="AU426">
            <v>97.970840467406703</v>
          </cell>
        </row>
        <row r="427">
          <cell r="AU427">
            <v>89.72285586899315</v>
          </cell>
        </row>
        <row r="428">
          <cell r="AU428">
            <v>91.480560970611876</v>
          </cell>
        </row>
        <row r="429">
          <cell r="AU429">
            <v>102.81572231933967</v>
          </cell>
        </row>
        <row r="430">
          <cell r="AU430">
            <v>97.53246147842853</v>
          </cell>
        </row>
        <row r="431">
          <cell r="AU431">
            <v>101.4764845382836</v>
          </cell>
        </row>
        <row r="432">
          <cell r="AU432">
            <v>94.420432024783196</v>
          </cell>
        </row>
        <row r="433">
          <cell r="AU433">
            <v>98.691400341941531</v>
          </cell>
        </row>
        <row r="434">
          <cell r="AU434">
            <v>103.55060702259473</v>
          </cell>
        </row>
        <row r="435">
          <cell r="AU435">
            <v>102.15777570295772</v>
          </cell>
        </row>
        <row r="436">
          <cell r="AU436">
            <v>100.70383723233678</v>
          </cell>
        </row>
        <row r="437">
          <cell r="AU437">
            <v>97.232300097496136</v>
          </cell>
        </row>
        <row r="438">
          <cell r="AU438">
            <v>92.382202778407148</v>
          </cell>
        </row>
        <row r="439">
          <cell r="AU439">
            <v>97.59305095768498</v>
          </cell>
        </row>
        <row r="440">
          <cell r="AU440">
            <v>99.114352131140947</v>
          </cell>
        </row>
        <row r="441">
          <cell r="AU441">
            <v>101.74773831876141</v>
          </cell>
        </row>
        <row r="442">
          <cell r="AU442">
            <v>101.15075411390035</v>
          </cell>
        </row>
        <row r="443">
          <cell r="AU443">
            <v>100.7608150740576</v>
          </cell>
        </row>
        <row r="444">
          <cell r="AU444">
            <v>102.11087687430556</v>
          </cell>
        </row>
        <row r="445">
          <cell r="AU445">
            <v>97.714774385845217</v>
          </cell>
        </row>
        <row r="446">
          <cell r="AU446">
            <v>99.152464501194331</v>
          </cell>
        </row>
        <row r="447">
          <cell r="AU447">
            <v>100.20719306291083</v>
          </cell>
        </row>
        <row r="448">
          <cell r="AU448">
            <v>99.43566641619546</v>
          </cell>
        </row>
        <row r="449">
          <cell r="AU449">
            <v>99.805050917955171</v>
          </cell>
        </row>
        <row r="450">
          <cell r="AU450">
            <v>95.136570676243821</v>
          </cell>
        </row>
        <row r="451">
          <cell r="AU451">
            <v>97.36416377322503</v>
          </cell>
        </row>
        <row r="452">
          <cell r="AU452">
            <v>97.862623391351264</v>
          </cell>
        </row>
        <row r="453">
          <cell r="AU453">
            <v>97.800609434185759</v>
          </cell>
        </row>
        <row r="454">
          <cell r="AU454">
            <v>98.95270542785191</v>
          </cell>
        </row>
        <row r="455">
          <cell r="AU455">
            <v>100.51724226058469</v>
          </cell>
        </row>
        <row r="456">
          <cell r="AU456">
            <v>101.27782496495649</v>
          </cell>
        </row>
        <row r="457">
          <cell r="AU457">
            <v>102.5837050649381</v>
          </cell>
        </row>
        <row r="458">
          <cell r="AU458">
            <v>104.66984401683426</v>
          </cell>
        </row>
        <row r="459">
          <cell r="AU459">
            <v>98.304019498125228</v>
          </cell>
        </row>
        <row r="460">
          <cell r="AU460">
            <v>97.014683349877245</v>
          </cell>
        </row>
        <row r="461">
          <cell r="AU461">
            <v>97.447580490241648</v>
          </cell>
        </row>
        <row r="462">
          <cell r="AU462">
            <v>98.167333053044118</v>
          </cell>
        </row>
        <row r="463">
          <cell r="AU463">
            <v>98.296729895830666</v>
          </cell>
        </row>
        <row r="464">
          <cell r="AU464">
            <v>98.689372310249198</v>
          </cell>
        </row>
        <row r="465">
          <cell r="AU465">
            <v>102.41364770585815</v>
          </cell>
        </row>
        <row r="466">
          <cell r="AU466">
            <v>102.28996596570761</v>
          </cell>
        </row>
        <row r="467">
          <cell r="AU467">
            <v>98.146891722866016</v>
          </cell>
        </row>
        <row r="468">
          <cell r="AU468">
            <v>100.07512142272587</v>
          </cell>
        </row>
        <row r="469">
          <cell r="AU469">
            <v>99.410866604727133</v>
          </cell>
        </row>
        <row r="470">
          <cell r="AU470">
            <v>99.216324791410642</v>
          </cell>
        </row>
        <row r="471">
          <cell r="AU471">
            <v>99.85305901163683</v>
          </cell>
        </row>
        <row r="472">
          <cell r="AU472">
            <v>100.20325573917277</v>
          </cell>
        </row>
        <row r="473">
          <cell r="AU473">
            <v>96.242512503008982</v>
          </cell>
        </row>
        <row r="474">
          <cell r="AU474">
            <v>101.54386197711933</v>
          </cell>
        </row>
        <row r="475">
          <cell r="AU475">
            <v>101.92914166114666</v>
          </cell>
        </row>
        <row r="476">
          <cell r="AU476">
            <v>98.425622276353863</v>
          </cell>
        </row>
        <row r="477">
          <cell r="AU477">
            <v>96.914288345047083</v>
          </cell>
        </row>
        <row r="478">
          <cell r="AU478">
            <v>95.899416163198268</v>
          </cell>
        </row>
        <row r="479">
          <cell r="AU479">
            <v>93.818758218829061</v>
          </cell>
        </row>
        <row r="480">
          <cell r="AU480">
            <v>105.11814064156511</v>
          </cell>
        </row>
        <row r="481">
          <cell r="AU481">
            <v>99.052319134021872</v>
          </cell>
        </row>
        <row r="482">
          <cell r="AU482">
            <v>99.40938324534325</v>
          </cell>
        </row>
        <row r="483">
          <cell r="AU483">
            <v>98.439685453285023</v>
          </cell>
        </row>
        <row r="484">
          <cell r="AU484">
            <v>93.25149539820049</v>
          </cell>
        </row>
        <row r="485">
          <cell r="AU485">
            <v>99.168858867652744</v>
          </cell>
        </row>
        <row r="486">
          <cell r="AU486">
            <v>97.222637281827019</v>
          </cell>
        </row>
        <row r="487">
          <cell r="AU487">
            <v>97.331325024657417</v>
          </cell>
        </row>
        <row r="488">
          <cell r="AU488">
            <v>98.000559608173816</v>
          </cell>
        </row>
        <row r="489">
          <cell r="AU489">
            <v>97.533420912359546</v>
          </cell>
        </row>
        <row r="490">
          <cell r="AU490">
            <v>97.584116231539213</v>
          </cell>
        </row>
        <row r="491">
          <cell r="AU491">
            <v>94.959218637198205</v>
          </cell>
        </row>
        <row r="493">
          <cell r="AU493">
            <v>94.264410009304427</v>
          </cell>
        </row>
        <row r="494">
          <cell r="AU494">
            <v>98.3990612176312</v>
          </cell>
        </row>
        <row r="495">
          <cell r="AU495">
            <v>94.297173444430044</v>
          </cell>
        </row>
        <row r="496">
          <cell r="AU496">
            <v>119.86186934898069</v>
          </cell>
        </row>
        <row r="497">
          <cell r="AU497">
            <v>92.79563444744052</v>
          </cell>
        </row>
        <row r="498">
          <cell r="AU498">
            <v>98.531405738757485</v>
          </cell>
        </row>
        <row r="499">
          <cell r="AU499">
            <v>98.232112519036946</v>
          </cell>
        </row>
        <row r="500">
          <cell r="AU500">
            <v>97.476480884275105</v>
          </cell>
        </row>
        <row r="501">
          <cell r="AU501">
            <v>95.636317134607069</v>
          </cell>
        </row>
        <row r="502">
          <cell r="AU502">
            <v>96.480040939898842</v>
          </cell>
        </row>
        <row r="503">
          <cell r="AU503">
            <v>97.20406658494251</v>
          </cell>
        </row>
        <row r="504">
          <cell r="AU504">
            <v>98.20551375276743</v>
          </cell>
        </row>
        <row r="505">
          <cell r="AU505">
            <v>97.425305329060635</v>
          </cell>
        </row>
        <row r="506">
          <cell r="AU506">
            <v>98.005016161360899</v>
          </cell>
        </row>
        <row r="507">
          <cell r="AU507">
            <v>97.308789773401159</v>
          </cell>
        </row>
        <row r="508">
          <cell r="AU508">
            <v>97.963623821913586</v>
          </cell>
        </row>
        <row r="509">
          <cell r="AU509">
            <v>95.193774896809018</v>
          </cell>
        </row>
        <row r="510">
          <cell r="AU510">
            <v>101.54691869481707</v>
          </cell>
        </row>
        <row r="511">
          <cell r="AU511">
            <v>98.522946643117706</v>
          </cell>
        </row>
        <row r="512">
          <cell r="AU512">
            <v>98.826663752636136</v>
          </cell>
        </row>
        <row r="513">
          <cell r="AU513">
            <v>95.464164524325369</v>
          </cell>
        </row>
        <row r="514">
          <cell r="AU514">
            <v>97.517026447740761</v>
          </cell>
        </row>
        <row r="515">
          <cell r="AU515">
            <v>96.153051693044588</v>
          </cell>
        </row>
        <row r="516">
          <cell r="AU516">
            <v>98.680823909592263</v>
          </cell>
        </row>
        <row r="517">
          <cell r="AU517">
            <v>97.011248461874814</v>
          </cell>
        </row>
        <row r="518">
          <cell r="AU518">
            <v>98.283916514367903</v>
          </cell>
        </row>
        <row r="519">
          <cell r="AU519">
            <v>98.396014539498395</v>
          </cell>
        </row>
        <row r="520">
          <cell r="AU520">
            <v>97.854296701656025</v>
          </cell>
        </row>
        <row r="521">
          <cell r="AU521">
            <v>95.428407789866725</v>
          </cell>
        </row>
        <row r="522">
          <cell r="AU522">
            <v>97.99538000287356</v>
          </cell>
        </row>
        <row r="523">
          <cell r="AU523">
            <v>95.729634833153412</v>
          </cell>
        </row>
        <row r="524">
          <cell r="AU524">
            <v>96.651238339921917</v>
          </cell>
        </row>
        <row r="525">
          <cell r="AU525">
            <v>95.154518668294898</v>
          </cell>
        </row>
        <row r="526">
          <cell r="AU526">
            <v>98.892713086542798</v>
          </cell>
        </row>
        <row r="527">
          <cell r="AU527">
            <v>97.520711041698107</v>
          </cell>
        </row>
        <row r="528">
          <cell r="AU528">
            <v>97.450970277914166</v>
          </cell>
        </row>
        <row r="529">
          <cell r="AU529">
            <v>97.733634215304093</v>
          </cell>
        </row>
        <row r="530">
          <cell r="AU530">
            <v>99.525778970395052</v>
          </cell>
        </row>
        <row r="531">
          <cell r="AU531">
            <v>98.681008627727124</v>
          </cell>
        </row>
        <row r="532">
          <cell r="AU532">
            <v>102.14224681645948</v>
          </cell>
        </row>
        <row r="533">
          <cell r="AU533">
            <v>94.522395450056479</v>
          </cell>
        </row>
        <row r="534">
          <cell r="AU534">
            <v>98.098897075542141</v>
          </cell>
        </row>
        <row r="535">
          <cell r="AU535">
            <v>97.520430517125718</v>
          </cell>
        </row>
        <row r="536">
          <cell r="AU536">
            <v>98.116820172982628</v>
          </cell>
        </row>
        <row r="537">
          <cell r="AU537">
            <v>99.289078263260194</v>
          </cell>
        </row>
        <row r="538">
          <cell r="AU538">
            <v>97.939517976186764</v>
          </cell>
        </row>
        <row r="539">
          <cell r="AU539">
            <v>99.02629043970073</v>
          </cell>
        </row>
        <row r="540">
          <cell r="AU540">
            <v>92.480657542018434</v>
          </cell>
        </row>
        <row r="541">
          <cell r="AU541">
            <v>99.412357848822381</v>
          </cell>
        </row>
        <row r="542">
          <cell r="AU542">
            <v>96.49844356306086</v>
          </cell>
        </row>
        <row r="543">
          <cell r="AU543">
            <v>96.942525007854016</v>
          </cell>
        </row>
        <row r="544">
          <cell r="AU544">
            <v>97.91935961128155</v>
          </cell>
        </row>
        <row r="545">
          <cell r="AU545">
            <v>98.363446655942425</v>
          </cell>
        </row>
        <row r="546">
          <cell r="AU546">
            <v>101.03394439430311</v>
          </cell>
        </row>
        <row r="547">
          <cell r="AU547">
            <v>99.732285524420973</v>
          </cell>
        </row>
        <row r="548">
          <cell r="AU548">
            <v>97.47590491831717</v>
          </cell>
        </row>
        <row r="549">
          <cell r="AU549">
            <v>99.289078263260194</v>
          </cell>
        </row>
        <row r="550">
          <cell r="AU550">
            <v>103.6522838624015</v>
          </cell>
        </row>
        <row r="551">
          <cell r="AU551">
            <v>98.416232687970393</v>
          </cell>
        </row>
        <row r="552">
          <cell r="AU552">
            <v>97.710255322201732</v>
          </cell>
        </row>
        <row r="553">
          <cell r="AU553">
            <v>100.99146882475272</v>
          </cell>
        </row>
        <row r="554">
          <cell r="AU554">
            <v>96.949674647987464</v>
          </cell>
        </row>
        <row r="555">
          <cell r="AU555">
            <v>101.72160029026291</v>
          </cell>
        </row>
        <row r="556">
          <cell r="AU556">
            <v>97.553132584643137</v>
          </cell>
        </row>
        <row r="557">
          <cell r="AU557">
            <v>99.5590993434582</v>
          </cell>
        </row>
        <row r="558">
          <cell r="AU558">
            <v>98.012550227443327</v>
          </cell>
        </row>
        <row r="559">
          <cell r="AU559">
            <v>96.331969753365684</v>
          </cell>
        </row>
        <row r="560">
          <cell r="AU560">
            <v>97.974745026258816</v>
          </cell>
        </row>
        <row r="561">
          <cell r="AU561">
            <v>97.469441737692662</v>
          </cell>
        </row>
        <row r="562">
          <cell r="AU562">
            <v>98.110462198248086</v>
          </cell>
        </row>
        <row r="563">
          <cell r="AU563">
            <v>98.709564869595852</v>
          </cell>
        </row>
        <row r="564">
          <cell r="AU564">
            <v>99.532596918424787</v>
          </cell>
        </row>
        <row r="565">
          <cell r="AU565">
            <v>98.714479401126994</v>
          </cell>
        </row>
        <row r="566">
          <cell r="AU566">
            <v>100.74778296899167</v>
          </cell>
        </row>
        <row r="567">
          <cell r="AU567">
            <v>95.259026995380694</v>
          </cell>
        </row>
        <row r="568">
          <cell r="AU568">
            <v>99.207063166935825</v>
          </cell>
        </row>
        <row r="569">
          <cell r="AU569">
            <v>96.139471578525743</v>
          </cell>
        </row>
        <row r="570">
          <cell r="AU570">
            <v>98.449159710442089</v>
          </cell>
        </row>
        <row r="571">
          <cell r="AU571">
            <v>99.224349944382595</v>
          </cell>
        </row>
        <row r="572">
          <cell r="AU572">
            <v>98.642957268927205</v>
          </cell>
        </row>
        <row r="573">
          <cell r="AU573">
            <v>98.174932925496933</v>
          </cell>
        </row>
        <row r="574">
          <cell r="AU574">
            <v>100.46060714075915</v>
          </cell>
        </row>
        <row r="575">
          <cell r="AU575">
            <v>96.755045495948551</v>
          </cell>
        </row>
        <row r="576">
          <cell r="AU576">
            <v>99.853992090356243</v>
          </cell>
        </row>
        <row r="577">
          <cell r="AU577">
            <v>96.738729431574484</v>
          </cell>
        </row>
        <row r="578">
          <cell r="AU578">
            <v>97.695306890721909</v>
          </cell>
        </row>
        <row r="580">
          <cell r="AU580">
            <v>102.69776412900535</v>
          </cell>
        </row>
        <row r="581">
          <cell r="AU581">
            <v>97.88686631599785</v>
          </cell>
        </row>
        <row r="582">
          <cell r="AU582">
            <v>98.571257731235903</v>
          </cell>
        </row>
        <row r="583">
          <cell r="AU583">
            <v>98.571043835715642</v>
          </cell>
        </row>
        <row r="584">
          <cell r="AU584">
            <v>95.185471356899995</v>
          </cell>
        </row>
        <row r="585">
          <cell r="AU585">
            <v>99.17946707080003</v>
          </cell>
        </row>
        <row r="586">
          <cell r="AU586">
            <v>99.543727878925864</v>
          </cell>
        </row>
        <row r="587">
          <cell r="AU587">
            <v>97.889917934748922</v>
          </cell>
        </row>
        <row r="588">
          <cell r="AU588">
            <v>95.859275440725924</v>
          </cell>
        </row>
        <row r="589">
          <cell r="AU589">
            <v>96.645007206633522</v>
          </cell>
        </row>
        <row r="590">
          <cell r="AU590">
            <v>97.963146495004423</v>
          </cell>
        </row>
        <row r="591">
          <cell r="AU591">
            <v>99.511669092016191</v>
          </cell>
        </row>
        <row r="592">
          <cell r="AU592">
            <v>98.972456085637489</v>
          </cell>
        </row>
        <row r="593">
          <cell r="AU593">
            <v>98.415610512021729</v>
          </cell>
        </row>
        <row r="594">
          <cell r="AU594">
            <v>92.972627372087828</v>
          </cell>
        </row>
        <row r="595">
          <cell r="AU595">
            <v>98.283084887352516</v>
          </cell>
        </row>
        <row r="596">
          <cell r="AU596">
            <v>95.916153578466137</v>
          </cell>
        </row>
        <row r="597">
          <cell r="AU597">
            <v>99.582809845661828</v>
          </cell>
        </row>
        <row r="598">
          <cell r="AU598">
            <v>98.686815200406429</v>
          </cell>
        </row>
        <row r="599">
          <cell r="AU599">
            <v>98.396971333088018</v>
          </cell>
        </row>
        <row r="600">
          <cell r="AU600">
            <v>99.186447868618828</v>
          </cell>
        </row>
        <row r="601">
          <cell r="AU601">
            <v>98.626813340527619</v>
          </cell>
        </row>
        <row r="602">
          <cell r="AU602">
            <v>99.453237334018112</v>
          </cell>
        </row>
        <row r="603">
          <cell r="AU603">
            <v>97.788737373526942</v>
          </cell>
        </row>
        <row r="604">
          <cell r="AU604">
            <v>102.03955950290941</v>
          </cell>
        </row>
        <row r="605">
          <cell r="AU605">
            <v>102.10932922097018</v>
          </cell>
        </row>
        <row r="606">
          <cell r="AU606">
            <v>100.02277176135468</v>
          </cell>
        </row>
        <row r="607">
          <cell r="AU607">
            <v>99.31851681214593</v>
          </cell>
        </row>
        <row r="608">
          <cell r="AU608">
            <v>104.17809812254752</v>
          </cell>
        </row>
        <row r="609">
          <cell r="AU609">
            <v>99.244839917035478</v>
          </cell>
        </row>
        <row r="610">
          <cell r="AU610">
            <v>100.18083762081626</v>
          </cell>
        </row>
        <row r="611">
          <cell r="AU611">
            <v>98.931213213201133</v>
          </cell>
        </row>
        <row r="612">
          <cell r="AU612">
            <v>95.871754585259907</v>
          </cell>
        </row>
        <row r="613">
          <cell r="AU613">
            <v>96.469806047070719</v>
          </cell>
        </row>
        <row r="614">
          <cell r="AU614">
            <v>99.97962239398484</v>
          </cell>
        </row>
        <row r="615">
          <cell r="AU615">
            <v>100.43692372257216</v>
          </cell>
        </row>
        <row r="616">
          <cell r="AU616">
            <v>103.89768567471857</v>
          </cell>
        </row>
        <row r="617">
          <cell r="AU617">
            <v>99.462259754574006</v>
          </cell>
        </row>
        <row r="618">
          <cell r="AU618">
            <v>105.95914769207411</v>
          </cell>
        </row>
        <row r="619">
          <cell r="AU619">
            <v>99.880376931714494</v>
          </cell>
        </row>
        <row r="620">
          <cell r="AU620">
            <v>97.789021546474856</v>
          </cell>
        </row>
        <row r="621">
          <cell r="AU621">
            <v>99.121390865142828</v>
          </cell>
        </row>
        <row r="622">
          <cell r="AU622">
            <v>100.60238313741721</v>
          </cell>
        </row>
        <row r="623">
          <cell r="AU623">
            <v>99.619937989590866</v>
          </cell>
        </row>
        <row r="624">
          <cell r="AU624">
            <v>96.02723351981524</v>
          </cell>
        </row>
        <row r="625">
          <cell r="AU625">
            <v>100.34637549466056</v>
          </cell>
        </row>
        <row r="626">
          <cell r="AU626">
            <v>99.024059657078709</v>
          </cell>
        </row>
        <row r="627">
          <cell r="AU627">
            <v>100.72779578911953</v>
          </cell>
        </row>
        <row r="628">
          <cell r="AU628">
            <v>95.062413786977345</v>
          </cell>
        </row>
        <row r="629">
          <cell r="AU629">
            <v>100.19998827600605</v>
          </cell>
        </row>
        <row r="630">
          <cell r="AU630">
            <v>96.770453619089452</v>
          </cell>
        </row>
        <row r="631">
          <cell r="AU631">
            <v>98.89554470892142</v>
          </cell>
        </row>
        <row r="632">
          <cell r="AU632">
            <v>100.67434879413655</v>
          </cell>
        </row>
        <row r="633">
          <cell r="AU633">
            <v>100.86706866858944</v>
          </cell>
        </row>
        <row r="634">
          <cell r="AU634">
            <v>98.908486249601395</v>
          </cell>
        </row>
        <row r="635">
          <cell r="AU635">
            <v>97.04819842597729</v>
          </cell>
        </row>
        <row r="636">
          <cell r="AU636">
            <v>94.762519708980534</v>
          </cell>
        </row>
        <row r="637">
          <cell r="AU637">
            <v>97.914703316763664</v>
          </cell>
        </row>
        <row r="638">
          <cell r="AU638">
            <v>99.055189518738786</v>
          </cell>
        </row>
        <row r="639">
          <cell r="AU639">
            <v>99.280004783298395</v>
          </cell>
        </row>
        <row r="640">
          <cell r="AU640">
            <v>97.703493169177563</v>
          </cell>
        </row>
        <row r="641">
          <cell r="AU641">
            <v>98.395012844387324</v>
          </cell>
        </row>
        <row r="642">
          <cell r="AU642">
            <v>99.267754869638566</v>
          </cell>
        </row>
        <row r="643">
          <cell r="AU643">
            <v>98.363616167337554</v>
          </cell>
        </row>
        <row r="644">
          <cell r="AU644">
            <v>95.518861174528027</v>
          </cell>
        </row>
        <row r="645">
          <cell r="AU645">
            <v>97.110774474396919</v>
          </cell>
        </row>
        <row r="646">
          <cell r="AU646">
            <v>99.389923122874848</v>
          </cell>
        </row>
        <row r="647">
          <cell r="AU647">
            <v>97.540187032709667</v>
          </cell>
        </row>
        <row r="648">
          <cell r="AU648">
            <v>97.365271655099377</v>
          </cell>
        </row>
        <row r="649">
          <cell r="AU649">
            <v>97.631449601667157</v>
          </cell>
        </row>
        <row r="650">
          <cell r="AU650">
            <v>96.689090831338149</v>
          </cell>
        </row>
        <row r="651">
          <cell r="AU651">
            <v>97.882815113244646</v>
          </cell>
        </row>
        <row r="652">
          <cell r="AU652">
            <v>96.445959569089808</v>
          </cell>
        </row>
        <row r="655">
          <cell r="AU655">
            <v>96.304712396353338</v>
          </cell>
        </row>
        <row r="656">
          <cell r="AU656">
            <v>99.118181278953728</v>
          </cell>
        </row>
        <row r="657">
          <cell r="AU657">
            <v>97.615120353834655</v>
          </cell>
        </row>
        <row r="658">
          <cell r="AU658">
            <v>103.15419336170059</v>
          </cell>
        </row>
        <row r="659">
          <cell r="AU659">
            <v>98.649637600523405</v>
          </cell>
        </row>
        <row r="660">
          <cell r="AU660">
            <v>97.957124540291332</v>
          </cell>
        </row>
        <row r="661">
          <cell r="AU661">
            <v>96.012096709224608</v>
          </cell>
        </row>
        <row r="662">
          <cell r="AU662">
            <v>98.848570813828061</v>
          </cell>
        </row>
        <row r="663">
          <cell r="AU663">
            <v>95.560563500415711</v>
          </cell>
        </row>
        <row r="664">
          <cell r="AU664">
            <v>96.767185693620888</v>
          </cell>
        </row>
        <row r="665">
          <cell r="AU665">
            <v>98.867593495342305</v>
          </cell>
        </row>
        <row r="666">
          <cell r="AU666">
            <v>97.323462586589443</v>
          </cell>
        </row>
        <row r="667">
          <cell r="AU667">
            <v>99.15607004057388</v>
          </cell>
        </row>
        <row r="668">
          <cell r="AU668">
            <v>97.637464665363979</v>
          </cell>
        </row>
        <row r="669">
          <cell r="AU669">
            <v>97.705873048619281</v>
          </cell>
        </row>
        <row r="670">
          <cell r="AU670">
            <v>94.605058854812228</v>
          </cell>
        </row>
        <row r="671">
          <cell r="AU671">
            <v>95.083980735081909</v>
          </cell>
        </row>
        <row r="672">
          <cell r="AU672">
            <v>98.919122365093997</v>
          </cell>
        </row>
        <row r="673">
          <cell r="AU673">
            <v>97.638634437393492</v>
          </cell>
        </row>
        <row r="674">
          <cell r="AU674">
            <v>98.930528450895224</v>
          </cell>
        </row>
        <row r="675">
          <cell r="AU675">
            <v>94.474085231602828</v>
          </cell>
        </row>
        <row r="676">
          <cell r="AU676">
            <v>94.381470916534838</v>
          </cell>
        </row>
        <row r="677">
          <cell r="AU677">
            <v>96.558973422687743</v>
          </cell>
        </row>
        <row r="678">
          <cell r="AU678">
            <v>97.902606175842621</v>
          </cell>
        </row>
        <row r="679">
          <cell r="AU679">
            <v>95.140303221190877</v>
          </cell>
        </row>
        <row r="680">
          <cell r="AU680">
            <v>94.898144488922568</v>
          </cell>
        </row>
        <row r="681">
          <cell r="AU681">
            <v>99.426283632825474</v>
          </cell>
        </row>
        <row r="682">
          <cell r="AU682">
            <v>91.882136575823367</v>
          </cell>
        </row>
        <row r="683">
          <cell r="AU683">
            <v>112.50466711601209</v>
          </cell>
        </row>
        <row r="684">
          <cell r="AU684">
            <v>95.622664620561409</v>
          </cell>
        </row>
        <row r="685">
          <cell r="AU685">
            <v>92.823695592109161</v>
          </cell>
        </row>
        <row r="686">
          <cell r="AU686">
            <v>92.782356776262588</v>
          </cell>
        </row>
        <row r="687">
          <cell r="AU687">
            <v>93.553154889493129</v>
          </cell>
        </row>
        <row r="688">
          <cell r="AU688">
            <v>86.147235929491302</v>
          </cell>
        </row>
        <row r="689">
          <cell r="AU689">
            <v>100.87711898473853</v>
          </cell>
        </row>
        <row r="690">
          <cell r="AU690">
            <v>100.18232401839731</v>
          </cell>
        </row>
        <row r="691">
          <cell r="AU691">
            <v>99.246837552545273</v>
          </cell>
        </row>
        <row r="692">
          <cell r="AU692">
            <v>92.680701282459751</v>
          </cell>
        </row>
        <row r="693">
          <cell r="AU693">
            <v>93.065078130770544</v>
          </cell>
        </row>
        <row r="694">
          <cell r="AU694">
            <v>94.459926054325564</v>
          </cell>
        </row>
        <row r="695">
          <cell r="AU695">
            <v>92.774524142416354</v>
          </cell>
        </row>
        <row r="696">
          <cell r="AU696">
            <v>93.352893936370009</v>
          </cell>
        </row>
        <row r="697">
          <cell r="AU697">
            <v>98.340629704081778</v>
          </cell>
        </row>
        <row r="698">
          <cell r="AU698">
            <v>92.796721886775444</v>
          </cell>
        </row>
        <row r="699">
          <cell r="AU699">
            <v>94.00701375647705</v>
          </cell>
        </row>
        <row r="700">
          <cell r="AU700">
            <v>94.62095793854931</v>
          </cell>
        </row>
        <row r="701">
          <cell r="AU701">
            <v>93.044640016207893</v>
          </cell>
        </row>
        <row r="702">
          <cell r="AU702">
            <v>93.369220627052428</v>
          </cell>
        </row>
        <row r="703">
          <cell r="AU703">
            <v>99.089598150267804</v>
          </cell>
        </row>
        <row r="704">
          <cell r="AU704">
            <v>93.045734095158593</v>
          </cell>
        </row>
        <row r="705">
          <cell r="AU705">
            <v>96.969115359934918</v>
          </cell>
        </row>
        <row r="706">
          <cell r="AU706">
            <v>99.506348908438042</v>
          </cell>
        </row>
        <row r="707">
          <cell r="AU707">
            <v>99.772692532303708</v>
          </cell>
        </row>
        <row r="708">
          <cell r="AU708">
            <v>102.73068573958028</v>
          </cell>
        </row>
        <row r="709">
          <cell r="AU709">
            <v>102.76795002442545</v>
          </cell>
        </row>
        <row r="710">
          <cell r="AU710">
            <v>98.105830728967618</v>
          </cell>
        </row>
        <row r="711">
          <cell r="AU711">
            <v>96.329138070428243</v>
          </cell>
        </row>
        <row r="712">
          <cell r="AU712">
            <v>94.406883962835934</v>
          </cell>
        </row>
        <row r="713">
          <cell r="AU713">
            <v>91.254953718205954</v>
          </cell>
        </row>
        <row r="714">
          <cell r="AU714">
            <v>100.66658270876239</v>
          </cell>
        </row>
        <row r="715">
          <cell r="AU715">
            <v>95.672180304079035</v>
          </cell>
        </row>
        <row r="716">
          <cell r="AU716">
            <v>100.24168624444627</v>
          </cell>
        </row>
        <row r="717">
          <cell r="AU717">
            <v>95.855441016502525</v>
          </cell>
        </row>
        <row r="718">
          <cell r="AU718">
            <v>95.829213866646711</v>
          </cell>
        </row>
        <row r="719">
          <cell r="AU719">
            <v>96.5946434748966</v>
          </cell>
        </row>
        <row r="720">
          <cell r="AU720">
            <v>98.766868880380287</v>
          </cell>
        </row>
        <row r="721">
          <cell r="AU721">
            <v>92.984654156961994</v>
          </cell>
        </row>
        <row r="722">
          <cell r="AU722">
            <v>93.891733112726655</v>
          </cell>
        </row>
        <row r="723">
          <cell r="AU723">
            <v>95.328941787599831</v>
          </cell>
        </row>
        <row r="724">
          <cell r="AU724">
            <v>90.068244804867078</v>
          </cell>
        </row>
        <row r="725">
          <cell r="AU725">
            <v>94.067285834427324</v>
          </cell>
        </row>
        <row r="726">
          <cell r="AU726">
            <v>97.447717155036315</v>
          </cell>
        </row>
        <row r="727">
          <cell r="AU727">
            <v>96.91430580541217</v>
          </cell>
        </row>
        <row r="728">
          <cell r="AU728">
            <v>98.270733122829682</v>
          </cell>
        </row>
        <row r="729">
          <cell r="AU729">
            <v>100.68465189715201</v>
          </cell>
        </row>
        <row r="730">
          <cell r="AU730">
            <v>97.576513945686116</v>
          </cell>
        </row>
        <row r="731">
          <cell r="AU731">
            <v>100.1904434842934</v>
          </cell>
        </row>
        <row r="732">
          <cell r="AU732">
            <v>96.382789717284254</v>
          </cell>
        </row>
        <row r="733">
          <cell r="AU733">
            <v>92.804231078083191</v>
          </cell>
        </row>
        <row r="734">
          <cell r="AU734">
            <v>97.518932621613743</v>
          </cell>
        </row>
        <row r="735">
          <cell r="AU735">
            <v>95.319316778775942</v>
          </cell>
        </row>
        <row r="736">
          <cell r="AU736">
            <v>96.013932215448122</v>
          </cell>
        </row>
        <row r="737">
          <cell r="AU737">
            <v>96.039117326010768</v>
          </cell>
        </row>
        <row r="738">
          <cell r="AU738">
            <v>98.325106629636323</v>
          </cell>
        </row>
        <row r="740">
          <cell r="A740" t="str">
            <v>CA631</v>
          </cell>
        </row>
        <row r="741">
          <cell r="A741" t="str">
            <v>CA632</v>
          </cell>
        </row>
        <row r="742">
          <cell r="A742" t="str">
            <v>CA633</v>
          </cell>
        </row>
        <row r="743">
          <cell r="A743" t="str">
            <v>CA634</v>
          </cell>
        </row>
        <row r="744">
          <cell r="A744" t="str">
            <v>CA635</v>
          </cell>
        </row>
        <row r="745">
          <cell r="A745" t="str">
            <v>CA636</v>
          </cell>
        </row>
        <row r="746">
          <cell r="A746" t="str">
            <v>CA637</v>
          </cell>
        </row>
        <row r="747">
          <cell r="A747" t="str">
            <v>CA638</v>
          </cell>
        </row>
        <row r="748">
          <cell r="A748" t="str">
            <v>CA639</v>
          </cell>
        </row>
        <row r="749">
          <cell r="A749" t="str">
            <v>CA640</v>
          </cell>
        </row>
        <row r="750">
          <cell r="A750" t="str">
            <v>CA641</v>
          </cell>
        </row>
        <row r="751">
          <cell r="A751" t="str">
            <v>CA642</v>
          </cell>
        </row>
        <row r="752">
          <cell r="A752" t="str">
            <v>CA643</v>
          </cell>
        </row>
        <row r="753">
          <cell r="A753" t="str">
            <v>CA644</v>
          </cell>
        </row>
        <row r="754">
          <cell r="A754" t="str">
            <v>CA645</v>
          </cell>
        </row>
        <row r="755">
          <cell r="A755" t="str">
            <v>CA646</v>
          </cell>
        </row>
        <row r="756">
          <cell r="A756" t="str">
            <v>CA647</v>
          </cell>
        </row>
        <row r="757">
          <cell r="A757" t="str">
            <v>CA648</v>
          </cell>
        </row>
        <row r="758">
          <cell r="A758" t="str">
            <v>CA649</v>
          </cell>
        </row>
        <row r="759">
          <cell r="A759" t="str">
            <v>CA650</v>
          </cell>
        </row>
        <row r="760">
          <cell r="A760" t="str">
            <v>CA651</v>
          </cell>
        </row>
        <row r="761">
          <cell r="A761" t="str">
            <v>CA652</v>
          </cell>
        </row>
        <row r="762">
          <cell r="A762" t="str">
            <v>CA653</v>
          </cell>
        </row>
        <row r="763">
          <cell r="A763" t="str">
            <v>CA654</v>
          </cell>
        </row>
        <row r="764">
          <cell r="A764" t="str">
            <v>CA655</v>
          </cell>
        </row>
        <row r="765">
          <cell r="A765" t="str">
            <v>CA656</v>
          </cell>
        </row>
        <row r="766">
          <cell r="A766" t="str">
            <v>CA657</v>
          </cell>
        </row>
        <row r="767">
          <cell r="A767" t="str">
            <v>CA658</v>
          </cell>
        </row>
        <row r="768">
          <cell r="A768" t="str">
            <v>CA659</v>
          </cell>
        </row>
        <row r="769">
          <cell r="A769" t="str">
            <v>CA660</v>
          </cell>
        </row>
        <row r="770">
          <cell r="A770" t="str">
            <v>CA661</v>
          </cell>
        </row>
        <row r="771">
          <cell r="A771" t="str">
            <v>CA662</v>
          </cell>
        </row>
        <row r="772">
          <cell r="A772" t="str">
            <v>CA663</v>
          </cell>
        </row>
        <row r="773">
          <cell r="A773" t="str">
            <v>CA664</v>
          </cell>
        </row>
        <row r="774">
          <cell r="A774" t="str">
            <v>CA665</v>
          </cell>
        </row>
        <row r="775">
          <cell r="A775" t="str">
            <v>CA666</v>
          </cell>
        </row>
        <row r="776">
          <cell r="A776" t="str">
            <v>CA667</v>
          </cell>
        </row>
        <row r="777">
          <cell r="A777" t="str">
            <v>CA668</v>
          </cell>
        </row>
        <row r="778">
          <cell r="A778" t="str">
            <v>CA669</v>
          </cell>
        </row>
        <row r="779">
          <cell r="A779" t="str">
            <v>CA670</v>
          </cell>
        </row>
        <row r="780">
          <cell r="A780" t="str">
            <v>CA671</v>
          </cell>
        </row>
        <row r="781">
          <cell r="A781" t="str">
            <v>CA672</v>
          </cell>
        </row>
        <row r="782">
          <cell r="A782" t="str">
            <v>CA673</v>
          </cell>
        </row>
        <row r="783">
          <cell r="A783" t="str">
            <v>CA674</v>
          </cell>
        </row>
        <row r="784">
          <cell r="A784" t="str">
            <v>CA675</v>
          </cell>
        </row>
        <row r="785">
          <cell r="A785" t="str">
            <v>CA676</v>
          </cell>
        </row>
        <row r="786">
          <cell r="A786" t="str">
            <v>CA677</v>
          </cell>
        </row>
        <row r="787">
          <cell r="A787" t="str">
            <v>CA678</v>
          </cell>
        </row>
        <row r="788">
          <cell r="A788" t="str">
            <v>CA679</v>
          </cell>
        </row>
        <row r="789">
          <cell r="A789" t="str">
            <v>CA680</v>
          </cell>
        </row>
        <row r="790">
          <cell r="A790" t="str">
            <v>CA681</v>
          </cell>
        </row>
        <row r="791">
          <cell r="A791" t="str">
            <v>CA682</v>
          </cell>
        </row>
        <row r="792">
          <cell r="A792" t="str">
            <v>CA683</v>
          </cell>
        </row>
        <row r="793">
          <cell r="A793" t="str">
            <v>CA684</v>
          </cell>
        </row>
        <row r="794">
          <cell r="A794" t="str">
            <v>CA685</v>
          </cell>
        </row>
        <row r="795">
          <cell r="A795" t="str">
            <v>CA686</v>
          </cell>
        </row>
        <row r="796">
          <cell r="A796" t="str">
            <v>CA687</v>
          </cell>
        </row>
        <row r="797">
          <cell r="A797" t="str">
            <v>CA688</v>
          </cell>
        </row>
        <row r="798">
          <cell r="A798" t="str">
            <v>CA689</v>
          </cell>
        </row>
        <row r="799">
          <cell r="A799" t="str">
            <v>CA690</v>
          </cell>
        </row>
        <row r="800">
          <cell r="A800" t="str">
            <v>CA691</v>
          </cell>
        </row>
        <row r="801">
          <cell r="A801" t="str">
            <v>CA692</v>
          </cell>
        </row>
        <row r="802">
          <cell r="A802" t="str">
            <v>CA693</v>
          </cell>
        </row>
        <row r="803">
          <cell r="A803" t="str">
            <v>CA694</v>
          </cell>
        </row>
        <row r="804">
          <cell r="A804" t="str">
            <v>CA695</v>
          </cell>
        </row>
        <row r="805">
          <cell r="A805" t="str">
            <v>CA696</v>
          </cell>
        </row>
        <row r="806">
          <cell r="A806" t="str">
            <v>CA697</v>
          </cell>
        </row>
        <row r="807">
          <cell r="A807" t="str">
            <v>CA698</v>
          </cell>
        </row>
        <row r="808">
          <cell r="A808" t="str">
            <v>CA699</v>
          </cell>
        </row>
        <row r="809">
          <cell r="A809" t="str">
            <v>CA700</v>
          </cell>
        </row>
        <row r="810">
          <cell r="A810" t="str">
            <v>CA701</v>
          </cell>
        </row>
        <row r="811">
          <cell r="A811" t="str">
            <v>CA702</v>
          </cell>
        </row>
        <row r="812">
          <cell r="A812" t="str">
            <v>CA703</v>
          </cell>
        </row>
        <row r="813">
          <cell r="A813" t="str">
            <v>CA704</v>
          </cell>
        </row>
        <row r="814">
          <cell r="A814" t="str">
            <v>CA705</v>
          </cell>
        </row>
        <row r="815">
          <cell r="A815" t="str">
            <v>CA706</v>
          </cell>
        </row>
        <row r="816">
          <cell r="A816" t="str">
            <v>CA707</v>
          </cell>
        </row>
        <row r="817">
          <cell r="A817" t="str">
            <v>CA708</v>
          </cell>
        </row>
        <row r="818">
          <cell r="A818" t="str">
            <v>CA709</v>
          </cell>
        </row>
        <row r="819">
          <cell r="A819" t="str">
            <v>CA710</v>
          </cell>
        </row>
        <row r="820">
          <cell r="A820" t="str">
            <v>CA711</v>
          </cell>
        </row>
        <row r="821">
          <cell r="A821" t="str">
            <v>CA712</v>
          </cell>
        </row>
        <row r="823">
          <cell r="AU823">
            <v>96.671624697617574</v>
          </cell>
        </row>
        <row r="824">
          <cell r="AU824">
            <v>96.677697123919998</v>
          </cell>
        </row>
        <row r="825">
          <cell r="AU825">
            <v>96.5357402893531</v>
          </cell>
        </row>
        <row r="826">
          <cell r="AU826">
            <v>99.07328778102314</v>
          </cell>
        </row>
        <row r="827">
          <cell r="AU827">
            <v>96.893475412596203</v>
          </cell>
        </row>
        <row r="828">
          <cell r="AU828">
            <v>97.682699579919685</v>
          </cell>
        </row>
        <row r="829">
          <cell r="AU829">
            <v>99.511758194014504</v>
          </cell>
        </row>
        <row r="830">
          <cell r="AU830">
            <v>99.949380343372724</v>
          </cell>
        </row>
        <row r="831">
          <cell r="AU831">
            <v>92.135013262872803</v>
          </cell>
        </row>
        <row r="832">
          <cell r="AU832">
            <v>97.158608616162724</v>
          </cell>
        </row>
        <row r="833">
          <cell r="AU833">
            <v>97.44863673192387</v>
          </cell>
        </row>
        <row r="834">
          <cell r="AU834">
            <v>96.712924217968265</v>
          </cell>
        </row>
        <row r="835">
          <cell r="AU835">
            <v>96.309527894556425</v>
          </cell>
        </row>
        <row r="836">
          <cell r="AU836">
            <v>99.949173460235883</v>
          </cell>
        </row>
        <row r="837">
          <cell r="AU837">
            <v>96.620825316064355</v>
          </cell>
        </row>
        <row r="838">
          <cell r="AU838">
            <v>99.366945265321888</v>
          </cell>
        </row>
        <row r="839">
          <cell r="AU839">
            <v>94.602938664994568</v>
          </cell>
        </row>
        <row r="840">
          <cell r="AU840">
            <v>93.219645271882115</v>
          </cell>
        </row>
        <row r="841">
          <cell r="AU841">
            <v>98.500881130240671</v>
          </cell>
        </row>
        <row r="842">
          <cell r="AU842">
            <v>97.673604514555763</v>
          </cell>
        </row>
        <row r="843">
          <cell r="AU843">
            <v>97.655731777857852</v>
          </cell>
        </row>
        <row r="844">
          <cell r="AU844">
            <v>97.932869587209453</v>
          </cell>
        </row>
        <row r="845">
          <cell r="AU845">
            <v>96.483370029043257</v>
          </cell>
        </row>
        <row r="846">
          <cell r="AU846">
            <v>101.37779310892014</v>
          </cell>
        </row>
        <row r="847">
          <cell r="AU847">
            <v>97.8959595855125</v>
          </cell>
        </row>
        <row r="848">
          <cell r="AU848">
            <v>99.51824203915092</v>
          </cell>
        </row>
        <row r="849">
          <cell r="AU849">
            <v>93.421221419669621</v>
          </cell>
        </row>
        <row r="850">
          <cell r="AU850">
            <v>98.678094746943245</v>
          </cell>
        </row>
        <row r="851">
          <cell r="AU851">
            <v>95.654034854800202</v>
          </cell>
        </row>
        <row r="852">
          <cell r="AU852">
            <v>97.33806518912769</v>
          </cell>
        </row>
        <row r="853">
          <cell r="AU853">
            <v>99.103729456117165</v>
          </cell>
        </row>
        <row r="854">
          <cell r="AU854">
            <v>96.570112012093148</v>
          </cell>
        </row>
        <row r="855">
          <cell r="AU855">
            <v>104.15305681524512</v>
          </cell>
        </row>
        <row r="856">
          <cell r="AU856">
            <v>98.652479136114536</v>
          </cell>
        </row>
        <row r="857">
          <cell r="AU857">
            <v>94.339248847980755</v>
          </cell>
        </row>
        <row r="858">
          <cell r="AU858">
            <v>96.88374970846769</v>
          </cell>
        </row>
        <row r="859">
          <cell r="AU859">
            <v>98.384875076943416</v>
          </cell>
        </row>
        <row r="860">
          <cell r="AU860">
            <v>97.478647220115519</v>
          </cell>
        </row>
        <row r="861">
          <cell r="AU861">
            <v>96.201617465649306</v>
          </cell>
        </row>
        <row r="862">
          <cell r="AU862">
            <v>103.19331571043004</v>
          </cell>
        </row>
        <row r="867">
          <cell r="AU867">
            <v>94.972542354638222</v>
          </cell>
        </row>
        <row r="868">
          <cell r="AU868">
            <v>98.197776374125141</v>
          </cell>
        </row>
        <row r="869">
          <cell r="AU869">
            <v>96.766626486749658</v>
          </cell>
        </row>
        <row r="870">
          <cell r="AU870">
            <v>99.122397304682863</v>
          </cell>
        </row>
        <row r="871">
          <cell r="AU871">
            <v>95.200766830802223</v>
          </cell>
        </row>
        <row r="872">
          <cell r="AU872">
            <v>96.866699496120006</v>
          </cell>
        </row>
        <row r="873">
          <cell r="AU873">
            <v>97.410340268201949</v>
          </cell>
        </row>
        <row r="874">
          <cell r="AU874">
            <v>97.748733094007179</v>
          </cell>
        </row>
        <row r="875">
          <cell r="AU875">
            <v>99.679708414599418</v>
          </cell>
        </row>
        <row r="876">
          <cell r="AU876">
            <v>98.016320901061235</v>
          </cell>
        </row>
        <row r="877">
          <cell r="AU877">
            <v>98.59936743760062</v>
          </cell>
        </row>
        <row r="878">
          <cell r="AU878">
            <v>98.085402876156465</v>
          </cell>
        </row>
        <row r="879">
          <cell r="AU879">
            <v>100.78161966256438</v>
          </cell>
        </row>
        <row r="880">
          <cell r="AU880">
            <v>97.181669348325045</v>
          </cell>
        </row>
        <row r="881">
          <cell r="AU881">
            <v>98.778013037266177</v>
          </cell>
        </row>
        <row r="882">
          <cell r="AU882">
            <v>98.040841308194189</v>
          </cell>
        </row>
        <row r="883">
          <cell r="AU883">
            <v>99.175971925539798</v>
          </cell>
        </row>
        <row r="884">
          <cell r="AU884">
            <v>99.944777909458722</v>
          </cell>
        </row>
        <row r="885">
          <cell r="AU885">
            <v>97.285577559209841</v>
          </cell>
        </row>
        <row r="886">
          <cell r="AU886">
            <v>100.07060923191156</v>
          </cell>
        </row>
        <row r="887">
          <cell r="AU887">
            <v>98.912408487983441</v>
          </cell>
        </row>
        <row r="888">
          <cell r="AU888">
            <v>110.7377850756895</v>
          </cell>
        </row>
        <row r="889">
          <cell r="AU889">
            <v>93.502672815569611</v>
          </cell>
        </row>
        <row r="890">
          <cell r="AU890">
            <v>99.015183989304077</v>
          </cell>
        </row>
        <row r="891">
          <cell r="AU891">
            <v>94.7927832176821</v>
          </cell>
        </row>
        <row r="892">
          <cell r="AU892">
            <v>98.848720687558256</v>
          </cell>
        </row>
        <row r="893">
          <cell r="AU893">
            <v>97.086425829271136</v>
          </cell>
        </row>
        <row r="894">
          <cell r="AU894">
            <v>101.24363244099487</v>
          </cell>
        </row>
        <row r="895">
          <cell r="AU895">
            <v>100.99056653180621</v>
          </cell>
        </row>
        <row r="896">
          <cell r="AU896">
            <v>99.699809327816936</v>
          </cell>
        </row>
        <row r="897">
          <cell r="AU897">
            <v>98.17952548346075</v>
          </cell>
        </row>
        <row r="898">
          <cell r="AU898">
            <v>95.848580419797756</v>
          </cell>
        </row>
        <row r="899">
          <cell r="AU899">
            <v>93.809196949045031</v>
          </cell>
        </row>
        <row r="900">
          <cell r="AU900">
            <v>94.185531653113614</v>
          </cell>
        </row>
        <row r="901">
          <cell r="AU901">
            <v>98.983308023811972</v>
          </cell>
        </row>
        <row r="902">
          <cell r="AU902">
            <v>95.732374196548477</v>
          </cell>
        </row>
        <row r="903">
          <cell r="AU903">
            <v>100.08474597557371</v>
          </cell>
        </row>
        <row r="904">
          <cell r="AU904">
            <v>97.749969638140229</v>
          </cell>
        </row>
        <row r="905">
          <cell r="AU905">
            <v>92.499960331723543</v>
          </cell>
        </row>
        <row r="906">
          <cell r="AU906">
            <v>100.08474597557371</v>
          </cell>
        </row>
        <row r="907">
          <cell r="AU907">
            <v>95.135199111880581</v>
          </cell>
        </row>
        <row r="908">
          <cell r="AU908">
            <v>98.386322874904408</v>
          </cell>
        </row>
        <row r="909">
          <cell r="AU909">
            <v>96.028345906744406</v>
          </cell>
        </row>
        <row r="910">
          <cell r="AU910">
            <v>97.453088971527464</v>
          </cell>
        </row>
        <row r="911">
          <cell r="AU911">
            <v>97.718846074746594</v>
          </cell>
        </row>
        <row r="912">
          <cell r="AU912">
            <v>99.961515225311672</v>
          </cell>
        </row>
        <row r="914">
          <cell r="A914" t="str">
            <v>CA799</v>
          </cell>
          <cell r="P914">
            <v>58</v>
          </cell>
          <cell r="Q914">
            <v>5.4990583804143158</v>
          </cell>
          <cell r="T914">
            <v>0.90694444444444444</v>
          </cell>
          <cell r="U914">
            <v>1.0326388888888889</v>
          </cell>
          <cell r="V914">
            <v>58</v>
          </cell>
          <cell r="Z914">
            <v>0.25138888888888888</v>
          </cell>
          <cell r="AF914">
            <v>52.6</v>
          </cell>
          <cell r="AG914">
            <v>11.5</v>
          </cell>
          <cell r="AI914">
            <v>51.5</v>
          </cell>
          <cell r="AU914">
            <v>96.793515485631502</v>
          </cell>
          <cell r="AV914">
            <v>97.24748586519668</v>
          </cell>
          <cell r="AX914" t="str">
            <v>R.Sookram</v>
          </cell>
        </row>
        <row r="915">
          <cell r="A915" t="str">
            <v>CA800</v>
          </cell>
          <cell r="P915">
            <v>59</v>
          </cell>
          <cell r="Q915">
            <v>4.7547169811320682</v>
          </cell>
          <cell r="T915">
            <v>1.0118055555555556</v>
          </cell>
          <cell r="U915">
            <v>1.1159722222222221</v>
          </cell>
          <cell r="V915">
            <v>52</v>
          </cell>
          <cell r="Z915">
            <v>0.25138888888888877</v>
          </cell>
          <cell r="AF915">
            <v>51.2</v>
          </cell>
          <cell r="AG915">
            <v>11.9</v>
          </cell>
          <cell r="AI915">
            <v>50.1</v>
          </cell>
          <cell r="AU915">
            <v>98.573165732944389</v>
          </cell>
          <cell r="AV915">
            <v>99.035189622844044</v>
          </cell>
          <cell r="AX915" t="str">
            <v>K. Benjamin</v>
          </cell>
        </row>
        <row r="916">
          <cell r="A916" t="str">
            <v>CA801</v>
          </cell>
          <cell r="P916">
            <v>60</v>
          </cell>
          <cell r="Q916">
            <v>1.1698113207547121</v>
          </cell>
          <cell r="T916">
            <v>1.0909722222222222</v>
          </cell>
          <cell r="U916">
            <v>1.2118055555555556</v>
          </cell>
          <cell r="V916">
            <v>61</v>
          </cell>
          <cell r="Z916">
            <v>0.26388888888888895</v>
          </cell>
          <cell r="AF916">
            <v>53.5</v>
          </cell>
          <cell r="AG916">
            <v>11.6</v>
          </cell>
          <cell r="AI916">
            <v>52.4</v>
          </cell>
          <cell r="AU916">
            <v>99.38708060877866</v>
          </cell>
          <cell r="AV916">
            <v>99.853215044349824</v>
          </cell>
          <cell r="AX916" t="str">
            <v>K. Benjamin</v>
          </cell>
        </row>
        <row r="917">
          <cell r="A917" t="str">
            <v>CA802</v>
          </cell>
          <cell r="P917">
            <v>60</v>
          </cell>
          <cell r="Q917">
            <v>3.9999999999999951</v>
          </cell>
          <cell r="T917">
            <v>0.17291666666666666</v>
          </cell>
          <cell r="U917">
            <v>0.30555555555555558</v>
          </cell>
          <cell r="V917">
            <v>63</v>
          </cell>
          <cell r="Z917">
            <v>0.25694444444444448</v>
          </cell>
          <cell r="AF917">
            <v>51.6</v>
          </cell>
          <cell r="AG917">
            <v>11.5</v>
          </cell>
          <cell r="AI917">
            <v>51.06</v>
          </cell>
          <cell r="AU917">
            <v>97.27071486207636</v>
          </cell>
          <cell r="AV917">
            <v>97.726524037938034</v>
          </cell>
          <cell r="AX917" t="str">
            <v>K. Benjamin</v>
          </cell>
        </row>
        <row r="918">
          <cell r="A918" t="str">
            <v>CA803</v>
          </cell>
          <cell r="P918">
            <v>60</v>
          </cell>
          <cell r="Q918">
            <v>1.9245283018867849</v>
          </cell>
          <cell r="T918">
            <v>0.26180555555555557</v>
          </cell>
          <cell r="U918">
            <v>0.39166666666666666</v>
          </cell>
          <cell r="V918">
            <v>65</v>
          </cell>
          <cell r="Z918">
            <v>0.25972222222222219</v>
          </cell>
          <cell r="AF918">
            <v>52.7</v>
          </cell>
          <cell r="AG918">
            <v>11.9</v>
          </cell>
          <cell r="AI918">
            <v>52</v>
          </cell>
          <cell r="AU918">
            <v>98.939207159665088</v>
          </cell>
          <cell r="AV918">
            <v>99.402872245770709</v>
          </cell>
          <cell r="AX918" t="str">
            <v>K. Benjamin</v>
          </cell>
        </row>
        <row r="919">
          <cell r="A919" t="str">
            <v>CA804</v>
          </cell>
          <cell r="P919">
            <v>60</v>
          </cell>
          <cell r="Q919">
            <v>1.3584905660377338</v>
          </cell>
          <cell r="T919">
            <v>0.37291666666666667</v>
          </cell>
          <cell r="U919">
            <v>0.48472222222222222</v>
          </cell>
          <cell r="V919">
            <v>65</v>
          </cell>
          <cell r="Z919">
            <v>0.26944444444444443</v>
          </cell>
          <cell r="AF919">
            <v>53</v>
          </cell>
          <cell r="AG919">
            <v>11.6</v>
          </cell>
          <cell r="AI919">
            <v>51.5</v>
          </cell>
          <cell r="AU919">
            <v>98.641910696180688</v>
          </cell>
          <cell r="AV919">
            <v>99.104256801716701</v>
          </cell>
          <cell r="AX919" t="str">
            <v>R. Regis</v>
          </cell>
        </row>
        <row r="920">
          <cell r="A920" t="str">
            <v>CA805</v>
          </cell>
          <cell r="P920">
            <v>60</v>
          </cell>
          <cell r="Q920">
            <v>5.4990583804143158</v>
          </cell>
          <cell r="T920">
            <v>0.47222222222222221</v>
          </cell>
          <cell r="U920">
            <v>0.59027777777777779</v>
          </cell>
          <cell r="V920">
            <v>70</v>
          </cell>
          <cell r="Z920">
            <v>0.25694444444444448</v>
          </cell>
          <cell r="AF920">
            <v>50.9</v>
          </cell>
          <cell r="AG920">
            <v>11.6</v>
          </cell>
          <cell r="AI920">
            <v>51.1</v>
          </cell>
          <cell r="AU920">
            <v>98.117301365224009</v>
          </cell>
          <cell r="AV920">
            <v>98.577114702039438</v>
          </cell>
          <cell r="AX920" t="str">
            <v>R. Regis</v>
          </cell>
        </row>
        <row r="921">
          <cell r="A921" t="str">
            <v>CA806</v>
          </cell>
          <cell r="P921">
            <v>60</v>
          </cell>
          <cell r="Q921">
            <v>3.992467043314496</v>
          </cell>
          <cell r="T921">
            <v>0.56874999999999998</v>
          </cell>
          <cell r="U921">
            <v>0.68888888888888888</v>
          </cell>
          <cell r="V921">
            <v>73</v>
          </cell>
          <cell r="Z921">
            <v>0.26527777777777778</v>
          </cell>
          <cell r="AF921">
            <v>51.7</v>
          </cell>
          <cell r="AG921">
            <v>11.6</v>
          </cell>
          <cell r="AI921">
            <v>52.1</v>
          </cell>
          <cell r="AU921">
            <v>99.668456836647309</v>
          </cell>
          <cell r="AV921">
            <v>100.13565186074651</v>
          </cell>
          <cell r="AX921" t="str">
            <v>R. Regis</v>
          </cell>
        </row>
        <row r="922">
          <cell r="A922" t="str">
            <v>CA807</v>
          </cell>
          <cell r="P922">
            <v>61</v>
          </cell>
          <cell r="Q922">
            <v>8.5122410546139413</v>
          </cell>
          <cell r="T922">
            <v>0.72847222222222219</v>
          </cell>
          <cell r="U922">
            <v>0.84166666666666667</v>
          </cell>
          <cell r="V922">
            <v>68</v>
          </cell>
          <cell r="Z922">
            <v>0.23750000000000004</v>
          </cell>
          <cell r="AF922">
            <v>49.3</v>
          </cell>
          <cell r="AG922">
            <v>11.9</v>
          </cell>
          <cell r="AI922">
            <v>47.2</v>
          </cell>
          <cell r="AU922">
            <v>92.753165680823599</v>
          </cell>
          <cell r="AV922">
            <v>93.187945337807278</v>
          </cell>
          <cell r="AX922" t="str">
            <v>R.Sookram</v>
          </cell>
        </row>
        <row r="923">
          <cell r="A923" t="str">
            <v>CA808</v>
          </cell>
          <cell r="P923">
            <v>58</v>
          </cell>
          <cell r="Q923">
            <v>5.3107344632768365</v>
          </cell>
          <cell r="T923">
            <v>0.81458333333333333</v>
          </cell>
          <cell r="U923">
            <v>0.92222222222222228</v>
          </cell>
          <cell r="V923">
            <v>62</v>
          </cell>
          <cell r="Z923">
            <v>0.24513888888888891</v>
          </cell>
          <cell r="AF923">
            <v>51</v>
          </cell>
          <cell r="AG923">
            <v>11.8</v>
          </cell>
          <cell r="AI923">
            <v>49.2</v>
          </cell>
          <cell r="AU923">
            <v>95.829153858598943</v>
          </cell>
          <cell r="AV923">
            <v>96.278352183398454</v>
          </cell>
          <cell r="AX923" t="str">
            <v>R.Sookram</v>
          </cell>
        </row>
        <row r="924">
          <cell r="A924" t="str">
            <v>CA809</v>
          </cell>
          <cell r="P924">
            <v>60</v>
          </cell>
          <cell r="Q924">
            <v>4.9340866290018788</v>
          </cell>
          <cell r="T924">
            <v>0.90763888888888888</v>
          </cell>
          <cell r="U924">
            <v>1.0097222222222222</v>
          </cell>
          <cell r="V924">
            <v>56</v>
          </cell>
          <cell r="Z924">
            <v>0.24930555555555556</v>
          </cell>
          <cell r="AF924">
            <v>51.2</v>
          </cell>
          <cell r="AG924">
            <v>11.6</v>
          </cell>
          <cell r="AI924">
            <v>49.8</v>
          </cell>
          <cell r="AU924">
            <v>94.918436777058986</v>
          </cell>
          <cell r="AV924">
            <v>95.363472388705873</v>
          </cell>
          <cell r="AX924" t="str">
            <v>R.Sookram</v>
          </cell>
        </row>
        <row r="925">
          <cell r="A925" t="str">
            <v>CA810</v>
          </cell>
          <cell r="P925">
            <v>59</v>
          </cell>
          <cell r="Q925">
            <v>7.0188679245282994</v>
          </cell>
          <cell r="T925">
            <v>0.99722222222222223</v>
          </cell>
          <cell r="U925">
            <v>1.1083333333333334</v>
          </cell>
          <cell r="V925">
            <v>59</v>
          </cell>
          <cell r="Z925">
            <v>0.25416666666666676</v>
          </cell>
          <cell r="AF925">
            <v>50.6</v>
          </cell>
          <cell r="AG925">
            <v>12</v>
          </cell>
          <cell r="AI925">
            <v>51.3</v>
          </cell>
          <cell r="AU925">
            <v>101.20314265657365</v>
          </cell>
          <cell r="AV925">
            <v>101.67768239066284</v>
          </cell>
          <cell r="AX925" t="str">
            <v>K. Benjamin</v>
          </cell>
        </row>
        <row r="926">
          <cell r="A926" t="str">
            <v>CA811</v>
          </cell>
          <cell r="P926">
            <v>59</v>
          </cell>
          <cell r="Q926">
            <v>6.8301886792452775</v>
          </cell>
          <cell r="T926">
            <v>1.1270833333333334</v>
          </cell>
          <cell r="U926">
            <v>1.2409722222222221</v>
          </cell>
          <cell r="V926">
            <v>60</v>
          </cell>
          <cell r="Z926">
            <v>0.24444444444444435</v>
          </cell>
          <cell r="AF926">
            <v>50.1</v>
          </cell>
          <cell r="AG926">
            <v>11.7</v>
          </cell>
          <cell r="AI926">
            <v>49</v>
          </cell>
          <cell r="AU926">
            <v>94.010975926941782</v>
          </cell>
          <cell r="AV926">
            <v>94.451826545473779</v>
          </cell>
          <cell r="AX926" t="str">
            <v>K. Benjamin</v>
          </cell>
        </row>
        <row r="927">
          <cell r="A927" t="str">
            <v>CA812</v>
          </cell>
          <cell r="P927">
            <v>60</v>
          </cell>
          <cell r="Q927">
            <v>6.8301886792452775</v>
          </cell>
          <cell r="T927">
            <v>0.20833333333333334</v>
          </cell>
          <cell r="U927">
            <v>0.32083333333333336</v>
          </cell>
          <cell r="V927">
            <v>60</v>
          </cell>
          <cell r="Z927">
            <v>0.24097222222222225</v>
          </cell>
          <cell r="AF927">
            <v>50.1</v>
          </cell>
          <cell r="AG927">
            <v>11.7</v>
          </cell>
          <cell r="AI927">
            <v>50.1</v>
          </cell>
          <cell r="AU927">
            <v>96.71226930680568</v>
          </cell>
          <cell r="AV927">
            <v>97.165607227583735</v>
          </cell>
          <cell r="AX927" t="str">
            <v>K. Benjamin</v>
          </cell>
        </row>
        <row r="928">
          <cell r="A928" t="str">
            <v>CA813</v>
          </cell>
          <cell r="P928">
            <v>60</v>
          </cell>
          <cell r="Q928">
            <v>2.8679245283018791</v>
          </cell>
          <cell r="T928">
            <v>0.3034722222222222</v>
          </cell>
          <cell r="U928">
            <v>0.41319444444444442</v>
          </cell>
          <cell r="V928">
            <v>63</v>
          </cell>
          <cell r="Z928">
            <v>0.24999999999999997</v>
          </cell>
          <cell r="AF928">
            <v>52.2</v>
          </cell>
          <cell r="AG928">
            <v>11.6</v>
          </cell>
          <cell r="AI928">
            <v>50.8</v>
          </cell>
          <cell r="AU928">
            <v>96.824429483425632</v>
          </cell>
          <cell r="AV928">
            <v>97.278401553137712</v>
          </cell>
          <cell r="AX928" t="str">
            <v>R. Regis</v>
          </cell>
        </row>
        <row r="929">
          <cell r="A929" t="str">
            <v>CA814</v>
          </cell>
          <cell r="P929">
            <v>61</v>
          </cell>
          <cell r="Q929">
            <v>9.0772128060263668</v>
          </cell>
          <cell r="T929">
            <v>0.43055555555555558</v>
          </cell>
          <cell r="U929">
            <v>0.54583333333333328</v>
          </cell>
          <cell r="V929">
            <v>61</v>
          </cell>
          <cell r="Z929">
            <v>0.28888888888888886</v>
          </cell>
          <cell r="AF929">
            <v>49</v>
          </cell>
          <cell r="AG929">
            <v>11.5</v>
          </cell>
          <cell r="AI929">
            <v>49.8</v>
          </cell>
          <cell r="AU929">
            <v>94.636543838950345</v>
          </cell>
          <cell r="AV929">
            <v>95.080080746452296</v>
          </cell>
          <cell r="AX929" t="str">
            <v>R. Regis</v>
          </cell>
        </row>
        <row r="930">
          <cell r="A930" t="str">
            <v>CA815</v>
          </cell>
          <cell r="P930">
            <v>62</v>
          </cell>
          <cell r="Q930">
            <v>7.3822975517890796</v>
          </cell>
          <cell r="T930">
            <v>0.5395833333333333</v>
          </cell>
          <cell r="U930">
            <v>0.65555555555555556</v>
          </cell>
          <cell r="V930">
            <v>62</v>
          </cell>
          <cell r="Z930">
            <v>0.26666666666666666</v>
          </cell>
          <cell r="AF930">
            <v>49.9</v>
          </cell>
          <cell r="AG930">
            <v>11.6</v>
          </cell>
          <cell r="AI930">
            <v>50.7</v>
          </cell>
          <cell r="AU930">
            <v>97.109609170803139</v>
          </cell>
          <cell r="AV930">
            <v>97.564773200913351</v>
          </cell>
          <cell r="AX930" t="str">
            <v>R. Regis</v>
          </cell>
        </row>
        <row r="931">
          <cell r="A931" t="str">
            <v>CA816</v>
          </cell>
          <cell r="P931">
            <v>57</v>
          </cell>
          <cell r="Q931">
            <v>2.4858757062146899</v>
          </cell>
          <cell r="T931">
            <v>0.63958333333333328</v>
          </cell>
          <cell r="U931">
            <v>0.74444444444444446</v>
          </cell>
          <cell r="V931">
            <v>63</v>
          </cell>
          <cell r="Z931">
            <v>0.25138888888888888</v>
          </cell>
          <cell r="AF931">
            <v>52.5</v>
          </cell>
          <cell r="AG931">
            <v>11.7</v>
          </cell>
          <cell r="AI931">
            <v>50.9</v>
          </cell>
          <cell r="AU931">
            <v>97.537123049855666</v>
          </cell>
          <cell r="AV931">
            <v>97.994545060001442</v>
          </cell>
          <cell r="AX931" t="str">
            <v>R.Sookram</v>
          </cell>
        </row>
        <row r="932">
          <cell r="A932" t="str">
            <v>CA817</v>
          </cell>
          <cell r="P932">
            <v>57</v>
          </cell>
          <cell r="Q932">
            <v>2.1092278719397317</v>
          </cell>
          <cell r="T932">
            <v>0.73124999999999996</v>
          </cell>
          <cell r="U932">
            <v>0.84236111111111112</v>
          </cell>
          <cell r="V932">
            <v>71</v>
          </cell>
          <cell r="Z932">
            <v>0.2416666666666667</v>
          </cell>
          <cell r="AF932">
            <v>52.7</v>
          </cell>
          <cell r="AG932">
            <v>11.7</v>
          </cell>
          <cell r="AI932">
            <v>50.8</v>
          </cell>
          <cell r="AU932">
            <v>97.345498053686995</v>
          </cell>
          <cell r="AV932">
            <v>97.80202139583642</v>
          </cell>
          <cell r="AX932" t="str">
            <v>R.Sookram</v>
          </cell>
        </row>
        <row r="933">
          <cell r="A933" t="str">
            <v>CA818</v>
          </cell>
          <cell r="P933">
            <v>57</v>
          </cell>
          <cell r="Q933">
            <v>2.1092278719397317</v>
          </cell>
          <cell r="T933">
            <v>0.82013888888888886</v>
          </cell>
          <cell r="U933">
            <v>0.92638888888888893</v>
          </cell>
          <cell r="V933">
            <v>65</v>
          </cell>
          <cell r="Z933">
            <v>0.25277777777777777</v>
          </cell>
          <cell r="AF933">
            <v>52.7</v>
          </cell>
          <cell r="AG933">
            <v>11.6</v>
          </cell>
          <cell r="AI933">
            <v>51.8</v>
          </cell>
          <cell r="AU933">
            <v>98.36896042079556</v>
          </cell>
          <cell r="AV933">
            <v>98.830283517116868</v>
          </cell>
          <cell r="AX933" t="str">
            <v>R.Sookram</v>
          </cell>
        </row>
        <row r="934">
          <cell r="A934" t="str">
            <v>CA819</v>
          </cell>
          <cell r="P934">
            <v>60</v>
          </cell>
          <cell r="Q934">
            <v>10.415094339622634</v>
          </cell>
          <cell r="T934">
            <v>0.97499999999999998</v>
          </cell>
          <cell r="U934">
            <v>1.0874999999999999</v>
          </cell>
          <cell r="V934">
            <v>60</v>
          </cell>
          <cell r="Z934">
            <v>0.23680555555555549</v>
          </cell>
          <cell r="AF934">
            <v>49.7</v>
          </cell>
          <cell r="AG934">
            <v>11.6</v>
          </cell>
          <cell r="AI934">
            <v>48.9</v>
          </cell>
          <cell r="AU934">
            <v>93.893073126408083</v>
          </cell>
          <cell r="AV934">
            <v>94.333090194319524</v>
          </cell>
          <cell r="AX934" t="str">
            <v>K. Benjamin</v>
          </cell>
        </row>
        <row r="935">
          <cell r="A935" t="str">
            <v>CA820</v>
          </cell>
          <cell r="P935">
            <v>58</v>
          </cell>
          <cell r="Q935">
            <v>2.8679245283018791</v>
          </cell>
          <cell r="T935">
            <v>1.0694444444444444</v>
          </cell>
          <cell r="U935">
            <v>1.1770833333333333</v>
          </cell>
          <cell r="V935">
            <v>53</v>
          </cell>
          <cell r="Z935">
            <v>0.24305555555555547</v>
          </cell>
          <cell r="AF935">
            <v>52.2</v>
          </cell>
          <cell r="AG935">
            <v>11.7</v>
          </cell>
          <cell r="AI935">
            <v>50.5</v>
          </cell>
          <cell r="AU935">
            <v>97.845286668027526</v>
          </cell>
          <cell r="AV935">
            <v>98.303825245102928</v>
          </cell>
          <cell r="AX935" t="str">
            <v>K. Benjamin</v>
          </cell>
        </row>
        <row r="936">
          <cell r="A936" t="str">
            <v>CA821</v>
          </cell>
          <cell r="P936">
            <v>60</v>
          </cell>
          <cell r="Q936">
            <v>8.7169811320754675</v>
          </cell>
          <cell r="T936">
            <v>1.16875</v>
          </cell>
          <cell r="U936">
            <v>1.2819444444444446</v>
          </cell>
          <cell r="V936">
            <v>56</v>
          </cell>
          <cell r="Z936">
            <v>0.26111111111111129</v>
          </cell>
          <cell r="AF936">
            <v>49.1</v>
          </cell>
          <cell r="AG936">
            <v>11.8</v>
          </cell>
          <cell r="AI936">
            <v>49.8</v>
          </cell>
          <cell r="AU936">
            <v>96.997802076386705</v>
          </cell>
          <cell r="AV936">
            <v>97.452478429537436</v>
          </cell>
          <cell r="AX936" t="str">
            <v>K. Benjamin</v>
          </cell>
        </row>
        <row r="937">
          <cell r="A937" t="str">
            <v>CA822</v>
          </cell>
          <cell r="Q937">
            <v>2.6792452830188709</v>
          </cell>
          <cell r="T937">
            <v>0.26319444444444445</v>
          </cell>
          <cell r="U937">
            <v>0.38750000000000001</v>
          </cell>
          <cell r="V937">
            <v>62</v>
          </cell>
          <cell r="Z937">
            <v>0.2729166666666667</v>
          </cell>
          <cell r="AF937">
            <v>53.2</v>
          </cell>
          <cell r="AG937">
            <v>11.7</v>
          </cell>
          <cell r="AI937">
            <v>52.3</v>
          </cell>
          <cell r="AU937">
            <v>101.08338411465823</v>
          </cell>
          <cell r="AV937">
            <v>101.5571736900017</v>
          </cell>
          <cell r="AX937" t="str">
            <v>K. Benjamin</v>
          </cell>
        </row>
        <row r="938">
          <cell r="A938" t="str">
            <v>CA823</v>
          </cell>
          <cell r="P938">
            <v>61</v>
          </cell>
          <cell r="Q938">
            <v>11.148775894538609</v>
          </cell>
          <cell r="T938">
            <v>0.22083333333333333</v>
          </cell>
          <cell r="U938">
            <v>0.33680555555555558</v>
          </cell>
          <cell r="V938">
            <v>60</v>
          </cell>
          <cell r="Z938">
            <v>0.25347222222222227</v>
          </cell>
          <cell r="AF938">
            <v>49.9</v>
          </cell>
          <cell r="AG938">
            <v>11.6</v>
          </cell>
          <cell r="AI938">
            <v>49.79</v>
          </cell>
          <cell r="AU938">
            <v>95.366616185686155</v>
          </cell>
          <cell r="AV938">
            <v>95.813610604999525</v>
          </cell>
          <cell r="AX938" t="str">
            <v>R.Sookram</v>
          </cell>
        </row>
        <row r="939">
          <cell r="A939" t="str">
            <v>CA824</v>
          </cell>
          <cell r="P939">
            <v>59</v>
          </cell>
          <cell r="Q939">
            <v>9.2830188679245325</v>
          </cell>
          <cell r="T939">
            <v>0.32291666666666669</v>
          </cell>
          <cell r="U939">
            <v>0.44027777777777777</v>
          </cell>
          <cell r="V939">
            <v>58</v>
          </cell>
          <cell r="Z939">
            <v>0.25277777777777777</v>
          </cell>
          <cell r="AF939">
            <v>48.8</v>
          </cell>
          <cell r="AG939">
            <v>12</v>
          </cell>
          <cell r="AI939">
            <v>48.18</v>
          </cell>
          <cell r="AU939">
            <v>95.750920163480728</v>
          </cell>
          <cell r="AV939">
            <v>96.199679863455074</v>
          </cell>
          <cell r="AX939" t="str">
            <v>K. Benjamin</v>
          </cell>
        </row>
        <row r="940">
          <cell r="A940" t="str">
            <v>CA825</v>
          </cell>
          <cell r="P940">
            <v>60</v>
          </cell>
          <cell r="Q940">
            <v>3.2452830188679229</v>
          </cell>
          <cell r="T940">
            <v>0.4152777777777778</v>
          </cell>
          <cell r="U940">
            <v>0.53541666666666665</v>
          </cell>
          <cell r="V940">
            <v>60</v>
          </cell>
          <cell r="Z940">
            <v>0.26458333333333334</v>
          </cell>
          <cell r="AF940">
            <v>52</v>
          </cell>
          <cell r="AG940">
            <v>11.7</v>
          </cell>
          <cell r="AI940">
            <v>49.77</v>
          </cell>
          <cell r="AU940">
            <v>96.312048231817471</v>
          </cell>
          <cell r="AV940">
            <v>96.763437793344735</v>
          </cell>
          <cell r="AX940" t="str">
            <v>K. Benjamin</v>
          </cell>
        </row>
        <row r="941">
          <cell r="A941" t="str">
            <v>CA826</v>
          </cell>
          <cell r="P941">
            <v>61</v>
          </cell>
          <cell r="Q941">
            <v>3.0566037735849005</v>
          </cell>
          <cell r="T941">
            <v>0.57916666666666672</v>
          </cell>
          <cell r="U941">
            <v>0.69513888888888886</v>
          </cell>
          <cell r="V941">
            <v>61</v>
          </cell>
          <cell r="Z941">
            <v>0.33402777777777776</v>
          </cell>
          <cell r="AF941">
            <v>52.1</v>
          </cell>
          <cell r="AG941">
            <v>11.8</v>
          </cell>
          <cell r="AI941">
            <v>50.2</v>
          </cell>
          <cell r="AU941">
            <v>97.776900888245265</v>
          </cell>
          <cell r="AV941">
            <v>98.235229260296791</v>
          </cell>
          <cell r="AX941" t="str">
            <v>K. Benjamin</v>
          </cell>
        </row>
        <row r="942">
          <cell r="A942" t="str">
            <v>CA827</v>
          </cell>
          <cell r="P942">
            <v>60</v>
          </cell>
          <cell r="Q942">
            <v>2.8679245283018791</v>
          </cell>
          <cell r="T942">
            <v>0.67569444444444449</v>
          </cell>
          <cell r="U942">
            <v>0.78125</v>
          </cell>
          <cell r="V942">
            <v>61</v>
          </cell>
          <cell r="Z942">
            <v>0.31597222222222221</v>
          </cell>
          <cell r="AF942">
            <v>52.2</v>
          </cell>
          <cell r="AG942">
            <v>11.7</v>
          </cell>
          <cell r="AI942">
            <v>50.7</v>
          </cell>
          <cell r="AU942">
            <v>98.18414196319047</v>
          </cell>
          <cell r="AV942">
            <v>98.693147325281558</v>
          </cell>
          <cell r="AX942" t="str">
            <v>R. Regis</v>
          </cell>
        </row>
        <row r="943">
          <cell r="A943" t="str">
            <v>CA828</v>
          </cell>
          <cell r="P943">
            <v>61</v>
          </cell>
          <cell r="Q943">
            <v>1.3559322033898284</v>
          </cell>
          <cell r="T943">
            <v>0.76527777777777772</v>
          </cell>
          <cell r="U943">
            <v>0.875</v>
          </cell>
          <cell r="V943">
            <v>61</v>
          </cell>
          <cell r="Z943">
            <v>0.27430555555555558</v>
          </cell>
          <cell r="AF943">
            <v>53.1</v>
          </cell>
          <cell r="AG943">
            <v>11.6</v>
          </cell>
          <cell r="AI943">
            <v>51.6</v>
          </cell>
          <cell r="AU943">
            <v>98.180232024300835</v>
          </cell>
          <cell r="AV943">
            <v>98.689501535959039</v>
          </cell>
          <cell r="AX943" t="str">
            <v>R. Regis</v>
          </cell>
        </row>
        <row r="944">
          <cell r="A944" t="str">
            <v>CA829</v>
          </cell>
          <cell r="P944">
            <v>60</v>
          </cell>
          <cell r="Q944">
            <v>2.6741996233521688</v>
          </cell>
          <cell r="T944">
            <v>0.85902777777777772</v>
          </cell>
          <cell r="U944">
            <v>0.97499999999999998</v>
          </cell>
          <cell r="V944">
            <v>65</v>
          </cell>
          <cell r="Z944">
            <v>0.25624999999999998</v>
          </cell>
          <cell r="AF944">
            <v>52.4</v>
          </cell>
          <cell r="AG944">
            <v>11.8</v>
          </cell>
          <cell r="AI944">
            <v>51.4</v>
          </cell>
          <cell r="AU944">
            <v>100.06460287732762</v>
          </cell>
          <cell r="AV944">
            <v>100.58348175257478</v>
          </cell>
          <cell r="AX944" t="str">
            <v>R. Regis</v>
          </cell>
        </row>
        <row r="945">
          <cell r="A945" t="str">
            <v>CA830</v>
          </cell>
          <cell r="P945">
            <v>58</v>
          </cell>
          <cell r="T945">
            <v>0.96597222222222223</v>
          </cell>
          <cell r="U945">
            <v>1.0798611111111112</v>
          </cell>
          <cell r="V945">
            <v>58</v>
          </cell>
          <cell r="Z945">
            <v>0.24652777777777779</v>
          </cell>
          <cell r="AG945">
            <v>11.6</v>
          </cell>
          <cell r="AI945">
            <v>50.26</v>
          </cell>
          <cell r="AU945">
            <v>96.100866058699324</v>
          </cell>
          <cell r="AV945">
            <v>96.599191219215342</v>
          </cell>
          <cell r="AX945" t="str">
            <v>R.Sookram</v>
          </cell>
        </row>
        <row r="946">
          <cell r="A946" t="str">
            <v>CA831</v>
          </cell>
          <cell r="P946">
            <v>59</v>
          </cell>
          <cell r="Q946">
            <v>7.3822975517890796</v>
          </cell>
          <cell r="T946">
            <v>0.67777777777777781</v>
          </cell>
          <cell r="U946">
            <v>0.78749999999999998</v>
          </cell>
          <cell r="V946">
            <v>61</v>
          </cell>
          <cell r="Z946">
            <v>0.24583333333333335</v>
          </cell>
          <cell r="AF946">
            <v>50.3</v>
          </cell>
          <cell r="AG946">
            <v>11.65</v>
          </cell>
          <cell r="AI946">
            <v>49.9</v>
          </cell>
          <cell r="AU946">
            <v>95.690262975847233</v>
          </cell>
          <cell r="AV946">
            <v>96.186656012635552</v>
          </cell>
          <cell r="AX946" t="str">
            <v>R. Regis</v>
          </cell>
        </row>
        <row r="947">
          <cell r="A947" t="str">
            <v>CA832</v>
          </cell>
          <cell r="P947">
            <v>61</v>
          </cell>
          <cell r="Q947">
            <v>4.7457627118644128</v>
          </cell>
          <cell r="T947">
            <v>0.77569444444444446</v>
          </cell>
          <cell r="U947">
            <v>0.88680555555555551</v>
          </cell>
          <cell r="V947">
            <v>60</v>
          </cell>
          <cell r="Z947">
            <v>0.26180555555555551</v>
          </cell>
          <cell r="AF947">
            <v>51.3</v>
          </cell>
          <cell r="AG947">
            <v>11.6</v>
          </cell>
          <cell r="AI947">
            <v>49.13</v>
          </cell>
          <cell r="AU947">
            <v>93.824872867980801</v>
          </cell>
          <cell r="AV947">
            <v>94.311434833278781</v>
          </cell>
          <cell r="AX947" t="str">
            <v>R. Regis</v>
          </cell>
        </row>
        <row r="948">
          <cell r="A948" t="str">
            <v>CA833</v>
          </cell>
          <cell r="P948">
            <v>60</v>
          </cell>
          <cell r="Q948">
            <v>0.41509433962263936</v>
          </cell>
          <cell r="T948">
            <v>0.88263888888888886</v>
          </cell>
          <cell r="U948">
            <v>1.0229166666666667</v>
          </cell>
          <cell r="V948">
            <v>63</v>
          </cell>
          <cell r="Z948">
            <v>0.30069444444444449</v>
          </cell>
          <cell r="AF948">
            <v>53.9</v>
          </cell>
          <cell r="AG948">
            <v>11.8</v>
          </cell>
          <cell r="AI948">
            <v>51.2</v>
          </cell>
          <cell r="AU948">
            <v>100.91591388735279</v>
          </cell>
          <cell r="AV948">
            <v>101.43878384022733</v>
          </cell>
          <cell r="AX948" t="str">
            <v>R. Regis</v>
          </cell>
        </row>
        <row r="949">
          <cell r="A949" t="str">
            <v>CA834</v>
          </cell>
          <cell r="P949">
            <v>58</v>
          </cell>
          <cell r="Q949">
            <v>-0.52730696798493615</v>
          </cell>
          <cell r="T949">
            <v>1.1347222222222222</v>
          </cell>
          <cell r="U949">
            <v>1.2444444444444445</v>
          </cell>
          <cell r="V949">
            <v>69</v>
          </cell>
          <cell r="Z949">
            <v>0.40763888888888888</v>
          </cell>
          <cell r="AF949">
            <v>54.1</v>
          </cell>
          <cell r="AG949">
            <v>11.5</v>
          </cell>
          <cell r="AI949">
            <v>51.6</v>
          </cell>
          <cell r="AU949">
            <v>96.697662088466046</v>
          </cell>
          <cell r="AV949">
            <v>97.199438549632717</v>
          </cell>
          <cell r="AX949" t="str">
            <v>R.Sookram</v>
          </cell>
        </row>
        <row r="950">
          <cell r="A950" t="str">
            <v>CA835</v>
          </cell>
          <cell r="P950">
            <v>58</v>
          </cell>
          <cell r="Q950">
            <v>-0.33898305084745711</v>
          </cell>
          <cell r="T950">
            <v>0.2388888888888889</v>
          </cell>
          <cell r="U950">
            <v>0.37777777777777777</v>
          </cell>
          <cell r="V950">
            <v>57</v>
          </cell>
          <cell r="Z950">
            <v>0.33263888888888887</v>
          </cell>
          <cell r="AF950">
            <v>54.4</v>
          </cell>
          <cell r="AG950">
            <v>12</v>
          </cell>
          <cell r="AI950">
            <v>52.1</v>
          </cell>
          <cell r="AU950">
            <v>103.36269240524116</v>
          </cell>
          <cell r="AV950">
            <v>103.89863044134735</v>
          </cell>
          <cell r="AX950" t="str">
            <v>R.Sookram</v>
          </cell>
        </row>
        <row r="951">
          <cell r="A951" t="str">
            <v>CA836</v>
          </cell>
          <cell r="P951">
            <v>60</v>
          </cell>
          <cell r="Q951">
            <v>0.41509433962263936</v>
          </cell>
          <cell r="T951">
            <v>0.37847222222222221</v>
          </cell>
          <cell r="U951">
            <v>0.51458333333333328</v>
          </cell>
          <cell r="V951">
            <v>69</v>
          </cell>
          <cell r="Z951">
            <v>0.34791666666666665</v>
          </cell>
          <cell r="AF951">
            <v>54.8</v>
          </cell>
          <cell r="AG951">
            <v>11.8</v>
          </cell>
          <cell r="AI951">
            <v>52.8</v>
          </cell>
          <cell r="AU951">
            <v>102.16210380276367</v>
          </cell>
          <cell r="AV951">
            <v>102.69206950015273</v>
          </cell>
          <cell r="AX951" t="str">
            <v>K. Benjamin</v>
          </cell>
        </row>
        <row r="952">
          <cell r="A952" t="str">
            <v>CA837</v>
          </cell>
          <cell r="P952">
            <v>60</v>
          </cell>
          <cell r="Q952">
            <v>-2.6037735849056651</v>
          </cell>
          <cell r="T952">
            <v>0.47916666666666669</v>
          </cell>
          <cell r="U952">
            <v>0.59930555555555554</v>
          </cell>
          <cell r="V952">
            <v>67</v>
          </cell>
          <cell r="Z952">
            <v>0.32847222222222222</v>
          </cell>
          <cell r="AF952">
            <v>55</v>
          </cell>
          <cell r="AG952">
            <v>11.7</v>
          </cell>
          <cell r="AI952">
            <v>52.5</v>
          </cell>
          <cell r="AU952">
            <v>101.17060826484592</v>
          </cell>
          <cell r="AV952">
            <v>101.69526413149441</v>
          </cell>
          <cell r="AX952" t="str">
            <v>K. Benjamin</v>
          </cell>
        </row>
        <row r="953">
          <cell r="A953" t="str">
            <v>CA838</v>
          </cell>
          <cell r="P953">
            <v>59</v>
          </cell>
          <cell r="Q953">
            <v>-0.90566037735849803</v>
          </cell>
          <cell r="T953">
            <v>0.59930555555555554</v>
          </cell>
          <cell r="U953">
            <v>0.74027777777777781</v>
          </cell>
          <cell r="V953">
            <v>66</v>
          </cell>
          <cell r="Z953">
            <v>0.33402777777777781</v>
          </cell>
          <cell r="AF953">
            <v>54.2</v>
          </cell>
          <cell r="AG953">
            <v>11.8</v>
          </cell>
          <cell r="AI953">
            <v>52.4</v>
          </cell>
          <cell r="AU953">
            <v>102.51551827119978</v>
          </cell>
          <cell r="AV953">
            <v>103.04693547144474</v>
          </cell>
          <cell r="AX953" t="str">
            <v>K. Benjamin</v>
          </cell>
        </row>
        <row r="954">
          <cell r="A954" t="str">
            <v>CA839</v>
          </cell>
          <cell r="P954">
            <v>60</v>
          </cell>
          <cell r="Q954">
            <v>6.0754716981132049</v>
          </cell>
          <cell r="T954">
            <v>0.38611111111111113</v>
          </cell>
          <cell r="U954">
            <v>0.5</v>
          </cell>
          <cell r="V954">
            <v>61</v>
          </cell>
          <cell r="Z954">
            <v>0.23958333333333331</v>
          </cell>
          <cell r="AF954">
            <v>50.9</v>
          </cell>
          <cell r="AG954">
            <v>11.9</v>
          </cell>
          <cell r="AI954">
            <v>48.3</v>
          </cell>
          <cell r="AU954">
            <v>94.288174528256974</v>
          </cell>
          <cell r="AV954">
            <v>94.777294234189043</v>
          </cell>
          <cell r="AX954" t="str">
            <v>K. Benjamin</v>
          </cell>
        </row>
        <row r="955">
          <cell r="A955" t="str">
            <v>CA840</v>
          </cell>
          <cell r="P955">
            <v>61</v>
          </cell>
          <cell r="Q955">
            <v>4.9433962264150892</v>
          </cell>
          <cell r="T955">
            <v>0.48333333333333334</v>
          </cell>
          <cell r="U955">
            <v>0.58958333333333335</v>
          </cell>
          <cell r="V955">
            <v>57</v>
          </cell>
          <cell r="Z955">
            <v>0.24583333333333335</v>
          </cell>
          <cell r="AF955">
            <v>51.1</v>
          </cell>
          <cell r="AG955">
            <v>11.9</v>
          </cell>
          <cell r="AI955">
            <v>49.4</v>
          </cell>
          <cell r="AU955">
            <v>97.628442380814946</v>
          </cell>
          <cell r="AV955">
            <v>98.134485184732355</v>
          </cell>
          <cell r="AX955" t="str">
            <v>K. Benjamin</v>
          </cell>
        </row>
        <row r="956">
          <cell r="A956" t="str">
            <v>CA841</v>
          </cell>
          <cell r="P956">
            <v>60</v>
          </cell>
          <cell r="Q956">
            <v>3.622641509433965</v>
          </cell>
          <cell r="T956">
            <v>0.57222222222222219</v>
          </cell>
          <cell r="U956">
            <v>0.68541666666666667</v>
          </cell>
          <cell r="V956">
            <v>60</v>
          </cell>
          <cell r="Z956">
            <v>0.25138888888888888</v>
          </cell>
          <cell r="AF956">
            <v>51.8</v>
          </cell>
          <cell r="AG956">
            <v>11.8</v>
          </cell>
          <cell r="AI956">
            <v>59.3</v>
          </cell>
          <cell r="AU956">
            <v>115.16102235463596</v>
          </cell>
          <cell r="AV956">
            <v>115.75827798825848</v>
          </cell>
          <cell r="AX956" t="str">
            <v>K. Benjamin</v>
          </cell>
        </row>
        <row r="957">
          <cell r="A957" t="str">
            <v>CA842</v>
          </cell>
          <cell r="P957">
            <v>60</v>
          </cell>
          <cell r="Q957">
            <v>2.8625235404896481</v>
          </cell>
          <cell r="T957">
            <v>0.66874999999999996</v>
          </cell>
          <cell r="U957">
            <v>0.77569444444444446</v>
          </cell>
          <cell r="V957">
            <v>62</v>
          </cell>
          <cell r="Z957">
            <v>0.25138888888888888</v>
          </cell>
          <cell r="AF957">
            <v>52.7</v>
          </cell>
          <cell r="AG957">
            <v>11.8</v>
          </cell>
          <cell r="AI957">
            <v>50.9</v>
          </cell>
          <cell r="AU957">
            <v>99.213185196104973</v>
          </cell>
          <cell r="AV957">
            <v>99.727607937933101</v>
          </cell>
          <cell r="AX957" t="str">
            <v>R. Regis</v>
          </cell>
        </row>
        <row r="958">
          <cell r="A958" t="str">
            <v>CA843</v>
          </cell>
          <cell r="P958">
            <v>60</v>
          </cell>
          <cell r="Q958">
            <v>2.4858757062146899</v>
          </cell>
          <cell r="T958">
            <v>0.76944444444444449</v>
          </cell>
          <cell r="U958">
            <v>0.87361111111111112</v>
          </cell>
          <cell r="V958">
            <v>58</v>
          </cell>
          <cell r="Z958">
            <v>0.26597222222222228</v>
          </cell>
          <cell r="AF958">
            <v>52.5</v>
          </cell>
          <cell r="AG958">
            <v>11.6</v>
          </cell>
          <cell r="AI958">
            <v>50.86</v>
          </cell>
          <cell r="AU958">
            <v>97.728704242380999</v>
          </cell>
          <cell r="AV958">
            <v>98.235307684161029</v>
          </cell>
          <cell r="AX958" t="str">
            <v>R. Regis</v>
          </cell>
        </row>
        <row r="959">
          <cell r="A959" t="str">
            <v>CA844</v>
          </cell>
          <cell r="P959">
            <v>60</v>
          </cell>
          <cell r="Q959">
            <v>2.2975517890772106</v>
          </cell>
          <cell r="T959">
            <v>0.875</v>
          </cell>
          <cell r="U959">
            <v>0.98611111111111116</v>
          </cell>
          <cell r="V959">
            <v>66</v>
          </cell>
          <cell r="Z959">
            <v>0.25694444444444453</v>
          </cell>
          <cell r="AF959">
            <v>52.6</v>
          </cell>
          <cell r="AG959">
            <v>11.9</v>
          </cell>
          <cell r="AI959">
            <v>50.8</v>
          </cell>
          <cell r="AU959">
            <v>99.047489084918467</v>
          </cell>
          <cell r="AV959">
            <v>99.561338215712453</v>
          </cell>
          <cell r="AX959" t="str">
            <v>R. Regis</v>
          </cell>
        </row>
        <row r="960">
          <cell r="A960" t="str">
            <v>CA845</v>
          </cell>
          <cell r="Q960">
            <v>1.5442561205273075</v>
          </cell>
          <cell r="T960">
            <v>1.0166666666666666</v>
          </cell>
          <cell r="U960">
            <v>1.09375</v>
          </cell>
          <cell r="V960">
            <v>63</v>
          </cell>
          <cell r="Z960">
            <v>0.26041666666666663</v>
          </cell>
          <cell r="AF960">
            <v>53</v>
          </cell>
          <cell r="AG960">
            <v>11.7</v>
          </cell>
          <cell r="AI960">
            <v>51.3</v>
          </cell>
          <cell r="AU960">
            <v>98.254902451362568</v>
          </cell>
          <cell r="AV960">
            <v>98.764639716661577</v>
          </cell>
          <cell r="AX960" t="str">
            <v>R.Sookram</v>
          </cell>
        </row>
        <row r="961">
          <cell r="A961" t="str">
            <v>CA846</v>
          </cell>
          <cell r="P961">
            <v>57</v>
          </cell>
          <cell r="Q961">
            <v>3.80414312617703</v>
          </cell>
          <cell r="T961">
            <v>1.1243055555555554</v>
          </cell>
          <cell r="U961">
            <v>1.2430555555555556</v>
          </cell>
          <cell r="V961">
            <v>60</v>
          </cell>
          <cell r="Z961">
            <v>0.29513888888888895</v>
          </cell>
          <cell r="AF961">
            <v>51.8</v>
          </cell>
          <cell r="AG961">
            <v>11.6</v>
          </cell>
          <cell r="AI961">
            <v>50.42</v>
          </cell>
          <cell r="AU961">
            <v>96.406797984075197</v>
          </cell>
          <cell r="AV961">
            <v>96.906709535870235</v>
          </cell>
          <cell r="AX961" t="str">
            <v>R.Sookram</v>
          </cell>
        </row>
        <row r="962">
          <cell r="A962" t="str">
            <v>CA847</v>
          </cell>
          <cell r="P962">
            <v>61</v>
          </cell>
          <cell r="Q962">
            <v>8.3396226415094361</v>
          </cell>
          <cell r="T962">
            <v>0.64513888888888893</v>
          </cell>
          <cell r="U962">
            <v>0.76597222222222228</v>
          </cell>
          <cell r="V962">
            <v>60</v>
          </cell>
          <cell r="Z962">
            <v>0.24513888888888891</v>
          </cell>
          <cell r="AF962">
            <v>50.1</v>
          </cell>
          <cell r="AG962">
            <v>11.9</v>
          </cell>
          <cell r="AI962">
            <v>48</v>
          </cell>
          <cell r="AU962">
            <v>94.510911284707817</v>
          </cell>
          <cell r="AV962">
            <v>95.000913318686713</v>
          </cell>
          <cell r="AX962" t="str">
            <v>K. Benjamin</v>
          </cell>
        </row>
        <row r="963">
          <cell r="A963" t="str">
            <v>CA848</v>
          </cell>
          <cell r="P963">
            <v>58</v>
          </cell>
          <cell r="Q963">
            <v>3.2452830188679229</v>
          </cell>
          <cell r="T963">
            <v>0.73819444444444449</v>
          </cell>
          <cell r="U963">
            <v>0.84583333333333333</v>
          </cell>
          <cell r="V963">
            <v>58</v>
          </cell>
          <cell r="Z963">
            <v>0.2416666666666667</v>
          </cell>
          <cell r="AF963">
            <v>52</v>
          </cell>
          <cell r="AG963">
            <v>11.8</v>
          </cell>
          <cell r="AI963">
            <v>50.2</v>
          </cell>
          <cell r="AU963">
            <v>97.848760252347162</v>
          </cell>
          <cell r="AV963">
            <v>98.356108418158001</v>
          </cell>
          <cell r="AX963" t="str">
            <v>K. Benjamin</v>
          </cell>
        </row>
        <row r="964">
          <cell r="A964" t="str">
            <v>CA849</v>
          </cell>
          <cell r="P964">
            <v>60</v>
          </cell>
          <cell r="Q964">
            <v>7.2075471698113205</v>
          </cell>
          <cell r="T964">
            <v>0.8208333333333333</v>
          </cell>
          <cell r="U964">
            <v>0.93472222222222223</v>
          </cell>
          <cell r="V964">
            <v>57</v>
          </cell>
          <cell r="Z964">
            <v>0.24722222222222223</v>
          </cell>
          <cell r="AF964">
            <v>49.9</v>
          </cell>
          <cell r="AG964">
            <v>11.7</v>
          </cell>
          <cell r="AI964">
            <v>49.9</v>
          </cell>
          <cell r="AU964">
            <v>96.6348852852703</v>
          </cell>
          <cell r="AV964">
            <v>97.135859004567067</v>
          </cell>
          <cell r="AX964" t="str">
            <v>K. Benjamin</v>
          </cell>
        </row>
        <row r="965">
          <cell r="A965" t="str">
            <v>CA850</v>
          </cell>
          <cell r="P965">
            <v>61</v>
          </cell>
          <cell r="Q965">
            <v>3.4339622641509435</v>
          </cell>
          <cell r="T965">
            <v>0.90069444444444446</v>
          </cell>
          <cell r="U965">
            <v>1.0208333333333333</v>
          </cell>
          <cell r="V965">
            <v>70</v>
          </cell>
          <cell r="Z965">
            <v>0.24305555555555547</v>
          </cell>
          <cell r="AF965">
            <v>51.9</v>
          </cell>
          <cell r="AG965">
            <v>11.7</v>
          </cell>
          <cell r="AI965">
            <v>52.1</v>
          </cell>
          <cell r="AU965">
            <v>101.14495845980653</v>
          </cell>
          <cell r="AV965">
            <v>101.66922861236579</v>
          </cell>
          <cell r="AX965" t="str">
            <v>K. Benjamin</v>
          </cell>
        </row>
        <row r="966">
          <cell r="A966" t="str">
            <v>CA851</v>
          </cell>
          <cell r="P966">
            <v>61</v>
          </cell>
          <cell r="Q966">
            <v>2.2975517890772106</v>
          </cell>
          <cell r="T966">
            <v>0.99930555555555556</v>
          </cell>
          <cell r="U966">
            <v>1.1784722222222221</v>
          </cell>
          <cell r="V966">
            <v>61</v>
          </cell>
          <cell r="Z966">
            <v>0.3208333333333333</v>
          </cell>
          <cell r="AF966">
            <v>52.6</v>
          </cell>
          <cell r="AG966">
            <v>11.7</v>
          </cell>
          <cell r="AI966">
            <v>50.7</v>
          </cell>
          <cell r="AU966">
            <v>97.822017110404076</v>
          </cell>
          <cell r="AV966">
            <v>98.329267194381131</v>
          </cell>
          <cell r="AX966" t="str">
            <v>R. Regis</v>
          </cell>
        </row>
        <row r="967">
          <cell r="A967" t="str">
            <v>CA852</v>
          </cell>
          <cell r="P967">
            <v>60</v>
          </cell>
          <cell r="Q967">
            <v>1.3559322033898284</v>
          </cell>
          <cell r="T967">
            <v>1.1354166666666667</v>
          </cell>
          <cell r="U967">
            <v>1.2534722222222223</v>
          </cell>
          <cell r="V967">
            <v>68</v>
          </cell>
          <cell r="Z967">
            <v>0.31250000000000011</v>
          </cell>
          <cell r="AF967">
            <v>53.1</v>
          </cell>
          <cell r="AG967">
            <v>11.7</v>
          </cell>
          <cell r="AI967">
            <v>51.2</v>
          </cell>
          <cell r="AU967">
            <v>98.665431298287814</v>
          </cell>
          <cell r="AV967">
            <v>99.177095686333587</v>
          </cell>
          <cell r="AX967" t="str">
            <v>R. Regis</v>
          </cell>
        </row>
        <row r="968">
          <cell r="A968" t="str">
            <v>CA853</v>
          </cell>
          <cell r="P968">
            <v>63</v>
          </cell>
          <cell r="Q968">
            <v>0.79096045197740439</v>
          </cell>
          <cell r="T968">
            <v>0.28819444444444442</v>
          </cell>
          <cell r="U968">
            <v>0.39930555555555558</v>
          </cell>
          <cell r="V968">
            <v>64</v>
          </cell>
          <cell r="Z968">
            <v>0.26041666666666669</v>
          </cell>
          <cell r="AF968">
            <v>53.4</v>
          </cell>
          <cell r="AG968">
            <v>11.6</v>
          </cell>
          <cell r="AI968">
            <v>51.6</v>
          </cell>
          <cell r="AU968">
            <v>98.30049195640197</v>
          </cell>
          <cell r="AV968">
            <v>98.810344884683204</v>
          </cell>
          <cell r="AX968" t="str">
            <v>R. Regis</v>
          </cell>
        </row>
        <row r="969">
          <cell r="A969" t="str">
            <v>CA854</v>
          </cell>
          <cell r="P969">
            <v>57</v>
          </cell>
          <cell r="Q969">
            <v>1.3559322033898284</v>
          </cell>
          <cell r="T969">
            <v>0.42083333333333334</v>
          </cell>
          <cell r="U969">
            <v>0.55555555555555558</v>
          </cell>
          <cell r="V969">
            <v>64</v>
          </cell>
          <cell r="Z969">
            <v>0.30555555555555558</v>
          </cell>
          <cell r="AF969">
            <v>53.5</v>
          </cell>
          <cell r="AG969">
            <v>11.8</v>
          </cell>
          <cell r="AI969">
            <v>50.89</v>
          </cell>
          <cell r="AU969">
            <v>99.68450820326548</v>
          </cell>
          <cell r="AV969">
            <v>100.20120832474792</v>
          </cell>
          <cell r="AX969" t="str">
            <v>R.Sookram</v>
          </cell>
        </row>
        <row r="970">
          <cell r="A970" t="str">
            <v>CA855</v>
          </cell>
          <cell r="P970">
            <v>60</v>
          </cell>
          <cell r="Q970">
            <v>8.1355932203389845</v>
          </cell>
          <cell r="T970">
            <v>0.18472222222222223</v>
          </cell>
          <cell r="U970">
            <v>0.30069444444444443</v>
          </cell>
          <cell r="V970">
            <v>62</v>
          </cell>
          <cell r="Z970">
            <v>0.25902777777777775</v>
          </cell>
          <cell r="AF970">
            <v>50.7</v>
          </cell>
          <cell r="AG970">
            <v>11.5</v>
          </cell>
          <cell r="AI970">
            <v>50.6</v>
          </cell>
          <cell r="AU970">
            <v>95.637713151333926</v>
          </cell>
          <cell r="AV970">
            <v>96.133715720593074</v>
          </cell>
          <cell r="AX970" t="str">
            <v>R. Regis</v>
          </cell>
        </row>
        <row r="971">
          <cell r="A971" t="str">
            <v>CA856</v>
          </cell>
          <cell r="P971">
            <v>60</v>
          </cell>
          <cell r="Q971">
            <v>4.7457627118644128</v>
          </cell>
          <cell r="T971">
            <v>0.27986111111111112</v>
          </cell>
          <cell r="U971">
            <v>0.3888888888888889</v>
          </cell>
          <cell r="V971">
            <v>64</v>
          </cell>
          <cell r="Z971">
            <v>0.24652777777777779</v>
          </cell>
          <cell r="AF971">
            <v>51.7</v>
          </cell>
          <cell r="AG971">
            <v>11.7</v>
          </cell>
          <cell r="AI971">
            <v>49.4</v>
          </cell>
          <cell r="AU971">
            <v>95.548696759691538</v>
          </cell>
          <cell r="AV971">
            <v>96.044079304625868</v>
          </cell>
          <cell r="AX971" t="str">
            <v>R. Regis</v>
          </cell>
        </row>
        <row r="972">
          <cell r="A972" t="str">
            <v>CA857</v>
          </cell>
          <cell r="P972">
            <v>50</v>
          </cell>
          <cell r="Q972">
            <v>4.5574387947269335</v>
          </cell>
          <cell r="T972">
            <v>0.39166666666666666</v>
          </cell>
          <cell r="U972">
            <v>0.50208333333333333</v>
          </cell>
          <cell r="V972">
            <v>63</v>
          </cell>
          <cell r="Z972">
            <v>0.25902777777777775</v>
          </cell>
          <cell r="AF972">
            <v>52.3</v>
          </cell>
          <cell r="AG972">
            <v>11.6</v>
          </cell>
          <cell r="AI972">
            <v>51.7</v>
          </cell>
          <cell r="AU972">
            <v>98.611785322966114</v>
          </cell>
          <cell r="AV972">
            <v>99.123212220031562</v>
          </cell>
          <cell r="AX972" t="str">
            <v>R.Sookram</v>
          </cell>
        </row>
        <row r="973">
          <cell r="A973" t="str">
            <v>CA858</v>
          </cell>
          <cell r="Q973">
            <v>3.992467043314496</v>
          </cell>
          <cell r="T973">
            <v>0.49375000000000002</v>
          </cell>
          <cell r="U973">
            <v>0.59444444444444444</v>
          </cell>
          <cell r="V973">
            <v>62</v>
          </cell>
          <cell r="Z973">
            <v>0.25416666666666665</v>
          </cell>
          <cell r="AF973">
            <v>51.7</v>
          </cell>
          <cell r="AG973">
            <v>11.9</v>
          </cell>
          <cell r="AI973">
            <v>50.8</v>
          </cell>
          <cell r="AU973">
            <v>100.14747327446725</v>
          </cell>
          <cell r="AV973">
            <v>100.66665692141186</v>
          </cell>
          <cell r="AX973" t="str">
            <v>R.Sookram</v>
          </cell>
        </row>
        <row r="974">
          <cell r="A974" t="str">
            <v>CA859</v>
          </cell>
          <cell r="P974">
            <v>60</v>
          </cell>
          <cell r="Q974">
            <v>7.5706214689265598</v>
          </cell>
          <cell r="T974">
            <v>1.0402777777777779</v>
          </cell>
          <cell r="U974">
            <v>1.1611111111111112</v>
          </cell>
          <cell r="V974">
            <v>62</v>
          </cell>
          <cell r="Z974">
            <v>0.2548611111111112</v>
          </cell>
          <cell r="AF974">
            <v>50.6</v>
          </cell>
          <cell r="AG974">
            <v>12</v>
          </cell>
          <cell r="AI974">
            <v>50.7</v>
          </cell>
          <cell r="AU974">
            <v>100.58519203350723</v>
          </cell>
          <cell r="AV974">
            <v>101.10672866365277</v>
          </cell>
          <cell r="AX974" t="str">
            <v>R. Regis</v>
          </cell>
        </row>
        <row r="975">
          <cell r="A975" t="str">
            <v>CA860</v>
          </cell>
          <cell r="P975">
            <v>61</v>
          </cell>
          <cell r="Q975">
            <v>5.4990583804143158</v>
          </cell>
          <cell r="T975">
            <v>1.1430555555555555</v>
          </cell>
          <cell r="U975">
            <v>1.25</v>
          </cell>
          <cell r="V975">
            <v>62</v>
          </cell>
          <cell r="Z975">
            <v>0.24652777777777768</v>
          </cell>
          <cell r="AF975">
            <v>50.9</v>
          </cell>
          <cell r="AG975">
            <v>11.8</v>
          </cell>
          <cell r="AI975">
            <v>49.6</v>
          </cell>
          <cell r="AU975">
            <v>96.441828722524065</v>
          </cell>
          <cell r="AV975">
            <v>96.941961835266881</v>
          </cell>
          <cell r="AX975" t="str">
            <v>R. Regis</v>
          </cell>
        </row>
        <row r="976">
          <cell r="A976" t="str">
            <v>CA861</v>
          </cell>
          <cell r="P976">
            <v>60</v>
          </cell>
          <cell r="Q976">
            <v>5.8757062146892611</v>
          </cell>
          <cell r="T976">
            <v>0.23541666666666666</v>
          </cell>
          <cell r="U976">
            <v>0.34583333333333333</v>
          </cell>
          <cell r="V976">
            <v>60</v>
          </cell>
          <cell r="Z976">
            <v>0.24513888888888888</v>
          </cell>
          <cell r="AF976">
            <v>51.5</v>
          </cell>
          <cell r="AG976">
            <v>11.9</v>
          </cell>
          <cell r="AI976">
            <v>50.6</v>
          </cell>
          <cell r="AU976">
            <v>99.385280027354156</v>
          </cell>
          <cell r="AV976">
            <v>99.900636315530704</v>
          </cell>
          <cell r="AX976" t="str">
            <v>R. Regis</v>
          </cell>
        </row>
        <row r="977">
          <cell r="A977" t="str">
            <v>CA862</v>
          </cell>
          <cell r="P977">
            <v>57</v>
          </cell>
          <cell r="Q977">
            <v>4.5574387947269335</v>
          </cell>
          <cell r="T977">
            <v>0.3347222222222222</v>
          </cell>
          <cell r="U977">
            <v>0.44513888888888886</v>
          </cell>
          <cell r="V977">
            <v>61</v>
          </cell>
          <cell r="Z977">
            <v>0.2472222222222222</v>
          </cell>
          <cell r="AF977">
            <v>51.4</v>
          </cell>
          <cell r="AG977">
            <v>12</v>
          </cell>
          <cell r="AI977">
            <v>49.3</v>
          </cell>
          <cell r="AU977">
            <v>97.807691661773291</v>
          </cell>
          <cell r="AV977">
            <v>98.314826885958212</v>
          </cell>
          <cell r="AX977" t="str">
            <v>R.Sookram</v>
          </cell>
        </row>
        <row r="978">
          <cell r="A978" t="str">
            <v>CA863</v>
          </cell>
          <cell r="P978">
            <v>57</v>
          </cell>
          <cell r="Q978">
            <v>3.4274952919020718</v>
          </cell>
          <cell r="T978">
            <v>0.43194444444444446</v>
          </cell>
          <cell r="U978">
            <v>0.53749999999999998</v>
          </cell>
          <cell r="V978">
            <v>64</v>
          </cell>
          <cell r="Z978">
            <v>0.24236111111111108</v>
          </cell>
          <cell r="AF978">
            <v>52.8</v>
          </cell>
          <cell r="AG978">
            <v>11.6</v>
          </cell>
          <cell r="AI978">
            <v>51.3</v>
          </cell>
          <cell r="AU978">
            <v>98.331201734830657</v>
          </cell>
          <cell r="AV978">
            <v>98.84101047753245</v>
          </cell>
          <cell r="AX978" t="str">
            <v>R.Sookram</v>
          </cell>
        </row>
        <row r="979">
          <cell r="A979" t="str">
            <v>CA864</v>
          </cell>
          <cell r="P979">
            <v>57</v>
          </cell>
          <cell r="Q979">
            <v>3.4274952919020718</v>
          </cell>
          <cell r="T979">
            <v>0.53194444444444444</v>
          </cell>
          <cell r="U979">
            <v>0.63888888888888884</v>
          </cell>
          <cell r="V979">
            <v>64</v>
          </cell>
          <cell r="Z979">
            <v>0.26041666666666663</v>
          </cell>
          <cell r="AF979">
            <v>52.4</v>
          </cell>
          <cell r="AG979">
            <v>11.7</v>
          </cell>
          <cell r="AI979">
            <v>50.8</v>
          </cell>
          <cell r="AU979">
            <v>98.256554562597771</v>
          </cell>
          <cell r="AV979">
            <v>98.765976288967479</v>
          </cell>
          <cell r="AX979" t="str">
            <v>R.Sookram</v>
          </cell>
        </row>
        <row r="980">
          <cell r="A980" t="str">
            <v>CA865</v>
          </cell>
          <cell r="P980">
            <v>57</v>
          </cell>
          <cell r="Q980">
            <v>2.4858757062146899</v>
          </cell>
          <cell r="T980">
            <v>0.62361111111111112</v>
          </cell>
          <cell r="U980">
            <v>0.72916666666666663</v>
          </cell>
          <cell r="V980">
            <v>59</v>
          </cell>
          <cell r="Z980">
            <v>0.25694444444444442</v>
          </cell>
          <cell r="AF980">
            <v>52.5</v>
          </cell>
          <cell r="AG980">
            <v>11.8</v>
          </cell>
          <cell r="AI980">
            <v>50.4</v>
          </cell>
          <cell r="AU980">
            <v>98.481040600874451</v>
          </cell>
          <cell r="AV980">
            <v>98.991585142262295</v>
          </cell>
          <cell r="AX980" t="str">
            <v>R.Sookram</v>
          </cell>
        </row>
        <row r="981">
          <cell r="A981" t="str">
            <v>CA866</v>
          </cell>
          <cell r="P981">
            <v>58</v>
          </cell>
          <cell r="Q981">
            <v>4.7457627118644128</v>
          </cell>
          <cell r="T981">
            <v>0.71736111111111112</v>
          </cell>
          <cell r="U981">
            <v>0.82847222222222228</v>
          </cell>
          <cell r="V981">
            <v>64</v>
          </cell>
          <cell r="Z981">
            <v>0.2729166666666667</v>
          </cell>
          <cell r="AF981">
            <v>51.3</v>
          </cell>
          <cell r="AG981">
            <v>11.6</v>
          </cell>
          <cell r="AI981">
            <v>49.7</v>
          </cell>
          <cell r="AU981">
            <v>96.247571115790251</v>
          </cell>
          <cell r="AV981">
            <v>96.746536924388423</v>
          </cell>
          <cell r="AX981" t="str">
            <v>R.Sookram</v>
          </cell>
        </row>
        <row r="982">
          <cell r="A982" t="str">
            <v>CA867</v>
          </cell>
          <cell r="P982">
            <v>58</v>
          </cell>
          <cell r="Q982">
            <v>7.0056497175141219</v>
          </cell>
          <cell r="T982">
            <v>0.90486111111111112</v>
          </cell>
          <cell r="U982">
            <v>1.0229166666666667</v>
          </cell>
          <cell r="V982">
            <v>68</v>
          </cell>
          <cell r="Z982">
            <v>0.24861111111111112</v>
          </cell>
          <cell r="AF982">
            <v>50.1</v>
          </cell>
          <cell r="AG982">
            <v>11.6</v>
          </cell>
          <cell r="AI982">
            <v>51.1</v>
          </cell>
          <cell r="AU982">
            <v>97.947844223193897</v>
          </cell>
          <cell r="AV982">
            <v>98.455665407444599</v>
          </cell>
          <cell r="AX982" t="str">
            <v>R.Sookram</v>
          </cell>
        </row>
        <row r="983">
          <cell r="A983" t="str">
            <v>CA868</v>
          </cell>
          <cell r="P983">
            <v>60</v>
          </cell>
          <cell r="Q983">
            <v>6.8301886792452775</v>
          </cell>
          <cell r="T983">
            <v>1</v>
          </cell>
          <cell r="U983">
            <v>1.10625</v>
          </cell>
          <cell r="V983">
            <v>54</v>
          </cell>
          <cell r="Z983">
            <v>0.24861111111111112</v>
          </cell>
          <cell r="AF983">
            <v>50.1</v>
          </cell>
          <cell r="AG983">
            <v>11.9</v>
          </cell>
          <cell r="AI983">
            <v>49.5</v>
          </cell>
          <cell r="AU983">
            <v>97.584644233978906</v>
          </cell>
          <cell r="AV983">
            <v>98.090541685234015</v>
          </cell>
          <cell r="AX983" t="str">
            <v>R.Sookram</v>
          </cell>
        </row>
        <row r="984">
          <cell r="A984" t="str">
            <v>CA869</v>
          </cell>
          <cell r="P984">
            <v>60</v>
          </cell>
          <cell r="Q984">
            <v>3.9999999999999951</v>
          </cell>
          <cell r="T984">
            <v>1.0833333333333333</v>
          </cell>
          <cell r="U984">
            <v>1.2</v>
          </cell>
          <cell r="V984">
            <v>58</v>
          </cell>
          <cell r="Z984">
            <v>0.25555555555555554</v>
          </cell>
          <cell r="AF984">
            <v>51.6</v>
          </cell>
          <cell r="AG984">
            <v>11.8</v>
          </cell>
          <cell r="AI984">
            <v>51</v>
          </cell>
          <cell r="AU984">
            <v>99.776554042579932</v>
          </cell>
          <cell r="AV984">
            <v>100.2937730733527</v>
          </cell>
          <cell r="AX984" t="str">
            <v>K. Benjamin</v>
          </cell>
        </row>
        <row r="985">
          <cell r="A985" t="str">
            <v>CA870</v>
          </cell>
          <cell r="P985">
            <v>60</v>
          </cell>
          <cell r="Q985">
            <v>6.2641509433962268</v>
          </cell>
          <cell r="T985">
            <v>1.1708333333333334</v>
          </cell>
          <cell r="U985">
            <v>1.2944444444444445</v>
          </cell>
          <cell r="V985">
            <v>58</v>
          </cell>
          <cell r="Z985">
            <v>0.25972222222222219</v>
          </cell>
          <cell r="AF985">
            <v>50.4</v>
          </cell>
          <cell r="AG985">
            <v>11.9</v>
          </cell>
          <cell r="AI985">
            <v>50.1</v>
          </cell>
          <cell r="AU985">
            <v>98.718507491195496</v>
          </cell>
          <cell r="AV985">
            <v>99.035189622844044</v>
          </cell>
          <cell r="AX985" t="str">
            <v>K. Benjamin</v>
          </cell>
        </row>
        <row r="986">
          <cell r="A986" t="str">
            <v>CA871</v>
          </cell>
          <cell r="P986">
            <v>60</v>
          </cell>
          <cell r="Q986">
            <v>2.1132075471698064</v>
          </cell>
          <cell r="T986">
            <v>0.26041666666666669</v>
          </cell>
          <cell r="U986">
            <v>0.3840277777777778</v>
          </cell>
          <cell r="V986">
            <v>57</v>
          </cell>
          <cell r="Z986">
            <v>0.25208333333333333</v>
          </cell>
          <cell r="AF986">
            <v>52.6</v>
          </cell>
          <cell r="AG986">
            <v>11.8</v>
          </cell>
          <cell r="AI986">
            <v>52.2</v>
          </cell>
          <cell r="AU986">
            <v>102.27480968331855</v>
          </cell>
          <cell r="AV986">
            <v>102.40068325369047</v>
          </cell>
          <cell r="AX986" t="str">
            <v>K. Benjamin</v>
          </cell>
        </row>
        <row r="987">
          <cell r="A987" t="str">
            <v>CA872</v>
          </cell>
          <cell r="Q987">
            <v>1.9209039548022655</v>
          </cell>
          <cell r="U987">
            <v>0.48819444444444443</v>
          </cell>
          <cell r="V987">
            <v>66</v>
          </cell>
          <cell r="Z987">
            <v>0.26944444444444443</v>
          </cell>
          <cell r="AF987">
            <v>52.8</v>
          </cell>
          <cell r="AG987">
            <v>11.7</v>
          </cell>
          <cell r="AI987">
            <v>50.5</v>
          </cell>
          <cell r="AU987">
            <v>97.941348233182893</v>
          </cell>
          <cell r="AV987">
            <v>98.061898113672768</v>
          </cell>
          <cell r="AX987" t="str">
            <v>R. Regis</v>
          </cell>
        </row>
        <row r="988">
          <cell r="A988" t="str">
            <v>CA873</v>
          </cell>
          <cell r="P988">
            <v>61</v>
          </cell>
          <cell r="Q988">
            <v>0.97928436911488348</v>
          </cell>
          <cell r="T988">
            <v>0.48680555555555555</v>
          </cell>
          <cell r="U988">
            <v>0.60555555555555551</v>
          </cell>
          <cell r="V988">
            <v>68</v>
          </cell>
          <cell r="Z988">
            <v>0.29652777777777772</v>
          </cell>
          <cell r="AF988">
            <v>53.3</v>
          </cell>
          <cell r="AG988">
            <v>11.4</v>
          </cell>
          <cell r="AI988">
            <v>51.4</v>
          </cell>
          <cell r="AU988">
            <v>97.116516842245275</v>
          </cell>
          <cell r="AV988">
            <v>97.236041901787033</v>
          </cell>
          <cell r="AX988" t="str">
            <v>R. Regis</v>
          </cell>
        </row>
        <row r="989">
          <cell r="A989" t="str">
            <v>CA874</v>
          </cell>
          <cell r="P989">
            <v>60</v>
          </cell>
          <cell r="Q989">
            <v>1.3559322033898284</v>
          </cell>
          <cell r="T989">
            <v>0.59236111111111112</v>
          </cell>
          <cell r="U989">
            <v>0.7055555555555556</v>
          </cell>
          <cell r="V989">
            <v>63</v>
          </cell>
          <cell r="Z989">
            <v>0.2680555555555556</v>
          </cell>
          <cell r="AF989">
            <v>53.1</v>
          </cell>
          <cell r="AG989">
            <v>11.6</v>
          </cell>
          <cell r="AI989">
            <v>51.5</v>
          </cell>
          <cell r="AU989">
            <v>98.860766902080456</v>
          </cell>
          <cell r="AV989">
            <v>98.982458173290695</v>
          </cell>
          <cell r="AX989" t="str">
            <v>R. Regis</v>
          </cell>
        </row>
        <row r="990">
          <cell r="A990" t="str">
            <v>CA875</v>
          </cell>
          <cell r="P990">
            <v>62</v>
          </cell>
          <cell r="Q990">
            <v>7.9472693032015043</v>
          </cell>
          <cell r="T990">
            <v>0.85347222222222219</v>
          </cell>
          <cell r="U990">
            <v>0.95416666666666672</v>
          </cell>
          <cell r="V990">
            <v>55</v>
          </cell>
          <cell r="Z990">
            <v>0.2284722222222223</v>
          </cell>
          <cell r="AF990">
            <v>49.6</v>
          </cell>
          <cell r="AG990">
            <v>11.8</v>
          </cell>
          <cell r="AI990">
            <v>48.3</v>
          </cell>
          <cell r="AU990">
            <v>94.51713163805627</v>
          </cell>
          <cell r="AV990">
            <v>94.633466864482671</v>
          </cell>
          <cell r="AX990" t="str">
            <v>R.Sookram</v>
          </cell>
        </row>
        <row r="991">
          <cell r="A991" t="str">
            <v>CA876</v>
          </cell>
          <cell r="P991">
            <v>60</v>
          </cell>
          <cell r="Q991">
            <v>4.1886792452830166</v>
          </cell>
          <cell r="T991">
            <v>0.9375</v>
          </cell>
          <cell r="U991">
            <v>1.05</v>
          </cell>
          <cell r="V991">
            <v>60</v>
          </cell>
          <cell r="Z991">
            <v>0.24097222222222225</v>
          </cell>
          <cell r="AF991">
            <v>51.5</v>
          </cell>
          <cell r="AG991">
            <v>11.7</v>
          </cell>
          <cell r="AI991">
            <v>50.5</v>
          </cell>
          <cell r="AU991">
            <v>98.062023917737505</v>
          </cell>
          <cell r="AV991">
            <v>98.182712649465714</v>
          </cell>
          <cell r="AX991" t="str">
            <v>K. Benjamin</v>
          </cell>
        </row>
        <row r="992">
          <cell r="A992" t="str">
            <v>CA877</v>
          </cell>
          <cell r="P992">
            <v>60</v>
          </cell>
          <cell r="Q992">
            <v>4.1886792452830166</v>
          </cell>
          <cell r="T992">
            <v>1.0229166666666667</v>
          </cell>
          <cell r="U992">
            <v>1.1347222222222222</v>
          </cell>
          <cell r="V992">
            <v>54</v>
          </cell>
          <cell r="Z992">
            <v>0.24236111111111103</v>
          </cell>
          <cell r="AF992">
            <v>51.5</v>
          </cell>
          <cell r="AG992">
            <v>11.6</v>
          </cell>
          <cell r="AI992">
            <v>50.1</v>
          </cell>
          <cell r="AU992">
            <v>96.529219955667372</v>
          </cell>
          <cell r="AV992">
            <v>96.648012653075838</v>
          </cell>
          <cell r="AX992" t="str">
            <v>K. Benjamin</v>
          </cell>
        </row>
        <row r="993">
          <cell r="A993" t="str">
            <v>CA878</v>
          </cell>
          <cell r="P993">
            <v>60</v>
          </cell>
          <cell r="Q993">
            <v>0.98113207547169057</v>
          </cell>
          <cell r="T993">
            <v>1.1111111111111112</v>
          </cell>
          <cell r="U993">
            <v>1.2569444444444444</v>
          </cell>
          <cell r="V993">
            <v>61</v>
          </cell>
          <cell r="Z993">
            <v>0.28125</v>
          </cell>
          <cell r="AF993">
            <v>53.2</v>
          </cell>
          <cell r="AG993">
            <v>11.8</v>
          </cell>
          <cell r="AI993">
            <v>52.9</v>
          </cell>
          <cell r="AU993">
            <v>104.15966057723381</v>
          </cell>
          <cell r="AV993">
            <v>104.28781252043704</v>
          </cell>
          <cell r="AX993" t="str">
            <v>K. Benjamin</v>
          </cell>
        </row>
        <row r="994">
          <cell r="A994" t="str">
            <v>CA879</v>
          </cell>
          <cell r="P994">
            <v>59</v>
          </cell>
          <cell r="Q994">
            <v>1.5471698113207553</v>
          </cell>
          <cell r="T994">
            <v>0.25138888888888888</v>
          </cell>
          <cell r="U994">
            <v>0.36875000000000002</v>
          </cell>
          <cell r="V994">
            <v>63</v>
          </cell>
          <cell r="Z994">
            <v>0.30972222222222223</v>
          </cell>
          <cell r="AF994">
            <v>53.3</v>
          </cell>
          <cell r="AG994">
            <v>11.8</v>
          </cell>
          <cell r="AI994">
            <v>51.8</v>
          </cell>
          <cell r="AU994">
            <v>101.24161064598778</v>
          </cell>
          <cell r="AV994">
            <v>101.36623258333412</v>
          </cell>
          <cell r="AX994" t="str">
            <v>K. Benjamin</v>
          </cell>
        </row>
        <row r="995">
          <cell r="A995" t="str">
            <v>CA880</v>
          </cell>
          <cell r="T995">
            <v>0.43263888888888891</v>
          </cell>
          <cell r="U995">
            <v>0.55208333333333337</v>
          </cell>
          <cell r="V995">
            <v>61</v>
          </cell>
          <cell r="Z995">
            <v>0.26736111111111116</v>
          </cell>
          <cell r="AG995">
            <v>11.5</v>
          </cell>
          <cell r="AI995">
            <v>51.1</v>
          </cell>
          <cell r="AU995">
            <v>97.682879478085255</v>
          </cell>
          <cell r="AV995">
            <v>97.803082223631677</v>
          </cell>
          <cell r="AX995" t="str">
            <v>R. Regis</v>
          </cell>
        </row>
        <row r="996">
          <cell r="A996" t="str">
            <v>CA881</v>
          </cell>
          <cell r="P996">
            <v>59</v>
          </cell>
          <cell r="Q996">
            <v>4.7457627118644128</v>
          </cell>
          <cell r="T996">
            <v>0.53541666666666665</v>
          </cell>
          <cell r="U996">
            <v>0.65486111111111112</v>
          </cell>
          <cell r="V996">
            <v>63</v>
          </cell>
          <cell r="Z996">
            <v>0.2729166666666667</v>
          </cell>
          <cell r="AF996">
            <v>51.3</v>
          </cell>
          <cell r="AG996">
            <v>11.7</v>
          </cell>
          <cell r="AI996">
            <v>50.25</v>
          </cell>
          <cell r="AU996">
            <v>97.336706968222813</v>
          </cell>
          <cell r="AV996">
            <v>97.456522219283073</v>
          </cell>
          <cell r="AX996" t="str">
            <v>R. Regis</v>
          </cell>
        </row>
        <row r="997">
          <cell r="A997" t="str">
            <v>CA882</v>
          </cell>
          <cell r="P997">
            <v>62</v>
          </cell>
          <cell r="Q997">
            <v>0.97928436911488348</v>
          </cell>
          <cell r="T997">
            <v>0.64236111111111116</v>
          </cell>
          <cell r="U997">
            <v>0.75486111111111109</v>
          </cell>
          <cell r="V997">
            <v>66</v>
          </cell>
          <cell r="Z997">
            <v>0.26180555555555551</v>
          </cell>
          <cell r="AF997">
            <v>53.3</v>
          </cell>
          <cell r="AG997">
            <v>11.6</v>
          </cell>
          <cell r="AI997">
            <v>51.6</v>
          </cell>
          <cell r="AU997">
            <v>98.931133976134703</v>
          </cell>
          <cell r="AV997">
            <v>99.052921583496527</v>
          </cell>
          <cell r="AX997" t="str">
            <v>R. Regis</v>
          </cell>
        </row>
        <row r="998">
          <cell r="A998" t="str">
            <v>CA883</v>
          </cell>
          <cell r="P998">
            <v>57</v>
          </cell>
          <cell r="Q998">
            <v>8.7005649717514082</v>
          </cell>
          <cell r="T998">
            <v>0.8208333333333333</v>
          </cell>
          <cell r="U998">
            <v>0.93541666666666667</v>
          </cell>
          <cell r="V998">
            <v>60</v>
          </cell>
          <cell r="Z998">
            <v>0.25486111111111109</v>
          </cell>
          <cell r="AF998">
            <v>51.2</v>
          </cell>
          <cell r="AG998">
            <v>11.7</v>
          </cell>
          <cell r="AI998">
            <v>49.28</v>
          </cell>
          <cell r="AU998">
            <v>94.990759568616738</v>
          </cell>
          <cell r="AV998">
            <v>95.107724298542223</v>
          </cell>
          <cell r="AX998" t="str">
            <v>G.Mason</v>
          </cell>
        </row>
        <row r="999">
          <cell r="A999" t="str">
            <v>CA884</v>
          </cell>
          <cell r="P999">
            <v>58</v>
          </cell>
          <cell r="Q999">
            <v>4.7547169811320682</v>
          </cell>
          <cell r="T999">
            <v>0.92083333333333328</v>
          </cell>
          <cell r="U999">
            <v>1.0249999999999999</v>
          </cell>
          <cell r="V999">
            <v>64</v>
          </cell>
          <cell r="Z999">
            <v>0.24722222222222212</v>
          </cell>
          <cell r="AF999">
            <v>51.2</v>
          </cell>
          <cell r="AG999">
            <v>12</v>
          </cell>
          <cell r="AI999">
            <v>49.12</v>
          </cell>
          <cell r="AU999">
            <v>97.118362097080308</v>
          </cell>
          <cell r="AV999">
            <v>97.237956050053768</v>
          </cell>
          <cell r="AX999" t="str">
            <v>G.Mason</v>
          </cell>
        </row>
        <row r="1000">
          <cell r="A1000" t="str">
            <v>CA885</v>
          </cell>
          <cell r="P1000">
            <v>58</v>
          </cell>
          <cell r="Q1000">
            <v>9.0772128060263668</v>
          </cell>
          <cell r="T1000">
            <v>1.0104166666666667</v>
          </cell>
          <cell r="U1000">
            <v>1.1222222222222222</v>
          </cell>
          <cell r="V1000">
            <v>61</v>
          </cell>
          <cell r="Z1000">
            <v>0.24722222222222223</v>
          </cell>
          <cell r="AF1000">
            <v>49</v>
          </cell>
          <cell r="AG1000">
            <v>12</v>
          </cell>
          <cell r="AI1000">
            <v>48.76</v>
          </cell>
          <cell r="AU1000">
            <v>97.358032201078998</v>
          </cell>
          <cell r="AV1000">
            <v>97.47784486780165</v>
          </cell>
          <cell r="AX1000" t="str">
            <v>G.Mason</v>
          </cell>
        </row>
        <row r="1001">
          <cell r="A1001" t="str">
            <v>CA886</v>
          </cell>
          <cell r="P1001">
            <v>58</v>
          </cell>
          <cell r="Q1001">
            <v>3.0508474576271141</v>
          </cell>
          <cell r="T1001">
            <v>1.1055555555555556</v>
          </cell>
          <cell r="U1001">
            <v>1.2076388888888889</v>
          </cell>
          <cell r="V1001">
            <v>64</v>
          </cell>
          <cell r="Z1001">
            <v>0.24236111111111114</v>
          </cell>
          <cell r="AF1001">
            <v>52.2</v>
          </cell>
          <cell r="AG1001">
            <v>11.6</v>
          </cell>
          <cell r="AI1001">
            <v>50.77</v>
          </cell>
          <cell r="AU1001">
            <v>97.220453537579601</v>
          </cell>
          <cell r="AV1001">
            <v>97.340144766170255</v>
          </cell>
          <cell r="AX1001" t="str">
            <v>G.Mason</v>
          </cell>
        </row>
        <row r="1002">
          <cell r="A1002" t="str">
            <v>CA887</v>
          </cell>
          <cell r="P1002">
            <v>58</v>
          </cell>
          <cell r="Q1002">
            <v>3.4274952919020718</v>
          </cell>
          <cell r="T1002">
            <v>0.20416666666666666</v>
          </cell>
          <cell r="U1002">
            <v>0.32083333333333336</v>
          </cell>
          <cell r="V1002">
            <v>62</v>
          </cell>
          <cell r="Z1002">
            <v>0.26527777777777783</v>
          </cell>
          <cell r="AF1002">
            <v>52</v>
          </cell>
          <cell r="AG1002">
            <v>11.8</v>
          </cell>
          <cell r="AI1002">
            <v>48.93</v>
          </cell>
          <cell r="AU1002">
            <v>95.632278164250621</v>
          </cell>
          <cell r="AV1002">
            <v>95.749995372635894</v>
          </cell>
          <cell r="AX1002" t="str">
            <v>G.Mason</v>
          </cell>
        </row>
        <row r="1003">
          <cell r="A1003" t="str">
            <v>CA888</v>
          </cell>
          <cell r="P1003">
            <v>58</v>
          </cell>
          <cell r="Q1003">
            <v>2.4905660377358494</v>
          </cell>
          <cell r="T1003">
            <v>0.30416666666666664</v>
          </cell>
          <cell r="U1003">
            <v>0.40625</v>
          </cell>
          <cell r="V1003">
            <v>60</v>
          </cell>
          <cell r="Z1003">
            <v>0.26041666666666663</v>
          </cell>
          <cell r="AF1003">
            <v>52.4</v>
          </cell>
          <cell r="AG1003">
            <v>11.6</v>
          </cell>
          <cell r="AI1003">
            <v>50.46</v>
          </cell>
          <cell r="AU1003">
            <v>97.222843093073379</v>
          </cell>
          <cell r="AV1003">
            <v>97.342489390702738</v>
          </cell>
          <cell r="AX1003" t="str">
            <v>G.Mason</v>
          </cell>
        </row>
      </sheetData>
      <sheetData sheetId="6"/>
      <sheetData sheetId="7">
        <row r="839">
          <cell r="D839">
            <v>11.9</v>
          </cell>
        </row>
        <row r="840">
          <cell r="D840">
            <v>11.6</v>
          </cell>
        </row>
        <row r="841">
          <cell r="D841">
            <v>11.6</v>
          </cell>
        </row>
        <row r="842">
          <cell r="D842">
            <v>11.9</v>
          </cell>
        </row>
        <row r="843">
          <cell r="D843">
            <v>11.8</v>
          </cell>
        </row>
        <row r="844">
          <cell r="D844">
            <v>11.7</v>
          </cell>
        </row>
        <row r="845">
          <cell r="D845">
            <v>11.6</v>
          </cell>
        </row>
        <row r="846">
          <cell r="D846">
            <v>11.9</v>
          </cell>
        </row>
        <row r="863">
          <cell r="D863">
            <v>11.7</v>
          </cell>
        </row>
        <row r="864">
          <cell r="D864">
            <v>11.9</v>
          </cell>
        </row>
        <row r="865">
          <cell r="D865">
            <v>12</v>
          </cell>
        </row>
        <row r="866">
          <cell r="D866">
            <v>11.7</v>
          </cell>
        </row>
        <row r="867">
          <cell r="D867">
            <v>11.5</v>
          </cell>
        </row>
        <row r="868">
          <cell r="D868">
            <v>11.6</v>
          </cell>
        </row>
        <row r="869">
          <cell r="D869">
            <v>11.7</v>
          </cell>
        </row>
        <row r="870">
          <cell r="D870">
            <v>11.7</v>
          </cell>
        </row>
        <row r="871">
          <cell r="D871">
            <v>11.5</v>
          </cell>
        </row>
        <row r="872">
          <cell r="D872">
            <v>11.8</v>
          </cell>
        </row>
        <row r="873">
          <cell r="D873">
            <v>11.8</v>
          </cell>
        </row>
        <row r="874">
          <cell r="D874">
            <v>11.7</v>
          </cell>
        </row>
        <row r="875">
          <cell r="D875">
            <v>11.8</v>
          </cell>
        </row>
        <row r="876">
          <cell r="D876">
            <v>11.7</v>
          </cell>
        </row>
        <row r="877">
          <cell r="D877">
            <v>11.6</v>
          </cell>
        </row>
        <row r="878">
          <cell r="D878">
            <v>11.5</v>
          </cell>
        </row>
        <row r="879">
          <cell r="D879">
            <v>11.7</v>
          </cell>
        </row>
        <row r="880">
          <cell r="D880">
            <v>11.8</v>
          </cell>
        </row>
        <row r="881">
          <cell r="D881">
            <v>11.5</v>
          </cell>
        </row>
        <row r="882">
          <cell r="D882">
            <v>11.8</v>
          </cell>
        </row>
        <row r="883">
          <cell r="D883">
            <v>11.6</v>
          </cell>
        </row>
        <row r="884">
          <cell r="D884">
            <v>11.6</v>
          </cell>
        </row>
        <row r="885">
          <cell r="D885">
            <v>11.7</v>
          </cell>
        </row>
        <row r="886">
          <cell r="D886">
            <v>11.8</v>
          </cell>
        </row>
        <row r="887">
          <cell r="D887">
            <v>11.7</v>
          </cell>
        </row>
        <row r="888">
          <cell r="D888">
            <v>11.7</v>
          </cell>
        </row>
        <row r="889">
          <cell r="D889">
            <v>11.7</v>
          </cell>
        </row>
        <row r="890">
          <cell r="D890">
            <v>11.8</v>
          </cell>
        </row>
        <row r="891">
          <cell r="D891">
            <v>11.5</v>
          </cell>
        </row>
        <row r="892">
          <cell r="D892">
            <v>11.8</v>
          </cell>
        </row>
        <row r="893">
          <cell r="D893">
            <v>11.6</v>
          </cell>
        </row>
        <row r="894">
          <cell r="D894">
            <v>11.9</v>
          </cell>
        </row>
        <row r="895">
          <cell r="D895">
            <v>11.7</v>
          </cell>
        </row>
        <row r="896">
          <cell r="D896">
            <v>11.7</v>
          </cell>
        </row>
        <row r="897">
          <cell r="D897">
            <v>11.6</v>
          </cell>
        </row>
        <row r="898">
          <cell r="D898">
            <v>11.9</v>
          </cell>
        </row>
        <row r="899">
          <cell r="D899">
            <v>11.7</v>
          </cell>
        </row>
        <row r="900">
          <cell r="D900">
            <v>11.5</v>
          </cell>
        </row>
        <row r="901">
          <cell r="D901">
            <v>12</v>
          </cell>
        </row>
        <row r="902">
          <cell r="D902">
            <v>11.7</v>
          </cell>
        </row>
        <row r="903">
          <cell r="D903">
            <v>11.8</v>
          </cell>
        </row>
        <row r="904">
          <cell r="D904">
            <v>11.7</v>
          </cell>
        </row>
        <row r="905">
          <cell r="D905">
            <v>11.7</v>
          </cell>
        </row>
        <row r="906">
          <cell r="D906">
            <v>11.8</v>
          </cell>
        </row>
        <row r="907">
          <cell r="D907">
            <v>11.6</v>
          </cell>
        </row>
        <row r="908">
          <cell r="D908">
            <v>11.9</v>
          </cell>
        </row>
        <row r="909">
          <cell r="D909">
            <v>11.7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Summary November '25"/>
      <sheetName val="Summary October '25"/>
      <sheetName val="Packaging"/>
      <sheetName val="Summary September '25"/>
      <sheetName val="Summary August '25 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 "/>
    </sheetNames>
    <sheetDataSet>
      <sheetData sheetId="0"/>
      <sheetData sheetId="1"/>
      <sheetData sheetId="2"/>
      <sheetData sheetId="3"/>
      <sheetData sheetId="5"/>
      <sheetData sheetId="6">
        <row r="15">
          <cell r="AS15">
            <v>93.952909228354414</v>
          </cell>
        </row>
        <row r="16">
          <cell r="AS16">
            <v>96.305388330846725</v>
          </cell>
        </row>
        <row r="17">
          <cell r="AS17">
            <v>97.317556311342841</v>
          </cell>
        </row>
        <row r="18">
          <cell r="AS18">
            <v>96.740574752184699</v>
          </cell>
        </row>
        <row r="19">
          <cell r="AS19">
            <v>95.662513854103381</v>
          </cell>
        </row>
        <row r="20">
          <cell r="AS20">
            <v>96.762676801570322</v>
          </cell>
        </row>
        <row r="21">
          <cell r="AS21">
            <v>94.359297157598206</v>
          </cell>
        </row>
        <row r="22">
          <cell r="AS22">
            <v>95.89985711119165</v>
          </cell>
        </row>
        <row r="23">
          <cell r="AS23">
            <v>96.050597074606841</v>
          </cell>
        </row>
        <row r="24">
          <cell r="AS24">
            <v>96.050597074606841</v>
          </cell>
        </row>
        <row r="25">
          <cell r="AS25">
            <v>93.400253634983798</v>
          </cell>
        </row>
        <row r="26">
          <cell r="AS26">
            <v>96.426665032854629</v>
          </cell>
        </row>
        <row r="27">
          <cell r="AS27">
            <v>96.328598952006701</v>
          </cell>
        </row>
        <row r="28">
          <cell r="AS28">
            <v>97.60292995662067</v>
          </cell>
        </row>
        <row r="29">
          <cell r="AS29">
            <v>92.363806479823964</v>
          </cell>
        </row>
        <row r="30">
          <cell r="AS30">
            <v>97.071554839885479</v>
          </cell>
        </row>
        <row r="31">
          <cell r="AS31">
            <v>93.180885322057676</v>
          </cell>
        </row>
        <row r="32">
          <cell r="AS32">
            <v>93.104069106683397</v>
          </cell>
        </row>
        <row r="33">
          <cell r="AS33">
            <v>96.914841762663983</v>
          </cell>
        </row>
        <row r="34">
          <cell r="AS34">
            <v>100.133600634603</v>
          </cell>
        </row>
        <row r="35">
          <cell r="AS35">
            <v>97.985541190514951</v>
          </cell>
        </row>
        <row r="36">
          <cell r="AS36">
            <v>97.465856823914748</v>
          </cell>
        </row>
        <row r="37">
          <cell r="AS37">
            <v>93.269474250821958</v>
          </cell>
        </row>
        <row r="38">
          <cell r="AS38">
            <v>95.729858121698229</v>
          </cell>
        </row>
        <row r="39">
          <cell r="AS39">
            <v>96.776757210948887</v>
          </cell>
        </row>
        <row r="40">
          <cell r="AS40">
            <v>96.149254375240844</v>
          </cell>
        </row>
        <row r="41">
          <cell r="AS41">
            <v>95.703229726515019</v>
          </cell>
        </row>
        <row r="42">
          <cell r="AS42">
            <v>96.392332863581075</v>
          </cell>
        </row>
        <row r="43">
          <cell r="AS43">
            <v>96.042495052644043</v>
          </cell>
        </row>
        <row r="44">
          <cell r="AS44">
            <v>96.528726855243008</v>
          </cell>
        </row>
        <row r="45">
          <cell r="AS45">
            <v>99.057134588670351</v>
          </cell>
        </row>
        <row r="46">
          <cell r="AS46">
            <v>97.66120802841786</v>
          </cell>
        </row>
        <row r="47">
          <cell r="AS47">
            <v>99.956949475386367</v>
          </cell>
        </row>
        <row r="48">
          <cell r="AS48">
            <v>101.54928414912592</v>
          </cell>
        </row>
        <row r="49">
          <cell r="AS49">
            <v>97.80064193750701</v>
          </cell>
        </row>
        <row r="50">
          <cell r="AS50">
            <v>96.518971677208299</v>
          </cell>
        </row>
        <row r="51">
          <cell r="AS51">
            <v>95.561137165761352</v>
          </cell>
        </row>
        <row r="52">
          <cell r="AS52">
            <v>95.558880444994585</v>
          </cell>
        </row>
        <row r="53">
          <cell r="AS53">
            <v>95.952410461648014</v>
          </cell>
        </row>
        <row r="54">
          <cell r="AS54">
            <v>95.30638126018755</v>
          </cell>
        </row>
        <row r="55">
          <cell r="AS55">
            <v>94.732040280520366</v>
          </cell>
        </row>
        <row r="56">
          <cell r="AS56">
            <v>93.077322691564333</v>
          </cell>
        </row>
        <row r="57">
          <cell r="AS57">
            <v>94.371821342410584</v>
          </cell>
        </row>
        <row r="58">
          <cell r="AS58">
            <v>98.856173802431272</v>
          </cell>
        </row>
        <row r="59">
          <cell r="AS59">
            <v>95.30638126018755</v>
          </cell>
        </row>
        <row r="60">
          <cell r="AS60">
            <v>97.2646053460942</v>
          </cell>
        </row>
        <row r="61">
          <cell r="AS61">
            <v>93.552519520813476</v>
          </cell>
        </row>
        <row r="62">
          <cell r="AS62">
            <v>94.825567674202887</v>
          </cell>
        </row>
        <row r="63">
          <cell r="AS63">
            <v>92.656238601066747</v>
          </cell>
        </row>
        <row r="64">
          <cell r="AS64">
            <v>96.628236432962609</v>
          </cell>
        </row>
        <row r="66">
          <cell r="AS66">
            <v>92.002637422262225</v>
          </cell>
        </row>
        <row r="67">
          <cell r="AS67">
            <v>95.885984924603306</v>
          </cell>
        </row>
        <row r="68">
          <cell r="AS68">
            <v>95.012866791826809</v>
          </cell>
        </row>
        <row r="69">
          <cell r="AS69">
            <v>95.834500872564547</v>
          </cell>
        </row>
        <row r="70">
          <cell r="AS70">
            <v>95.943381714424419</v>
          </cell>
        </row>
        <row r="71">
          <cell r="AS71">
            <v>96.860953695286469</v>
          </cell>
        </row>
        <row r="72">
          <cell r="AS72">
            <v>96.412978745034764</v>
          </cell>
        </row>
        <row r="73">
          <cell r="AS73">
            <v>96.134503988755924</v>
          </cell>
        </row>
        <row r="74">
          <cell r="AS74">
            <v>92.715017057588085</v>
          </cell>
        </row>
        <row r="75">
          <cell r="AS75">
            <v>96.097642480416468</v>
          </cell>
        </row>
        <row r="76">
          <cell r="AS76">
            <v>96.605804702524836</v>
          </cell>
        </row>
        <row r="77">
          <cell r="AS77">
            <v>97.184282574995024</v>
          </cell>
        </row>
        <row r="78">
          <cell r="AS78">
            <v>97.663482183408107</v>
          </cell>
        </row>
        <row r="79">
          <cell r="AS79">
            <v>93.680020965087763</v>
          </cell>
        </row>
        <row r="80">
          <cell r="AS80">
            <v>97.133695082094221</v>
          </cell>
        </row>
        <row r="81">
          <cell r="AS81">
            <v>96.430423472800626</v>
          </cell>
        </row>
        <row r="82">
          <cell r="AS82">
            <v>90.175237312660769</v>
          </cell>
        </row>
        <row r="83">
          <cell r="AS83">
            <v>98.394986562676721</v>
          </cell>
        </row>
        <row r="84">
          <cell r="AS84">
            <v>97.621745017979862</v>
          </cell>
        </row>
        <row r="85">
          <cell r="AS85">
            <v>95.99281388436242</v>
          </cell>
        </row>
        <row r="86">
          <cell r="AS86">
            <v>95.681023720581877</v>
          </cell>
        </row>
        <row r="87">
          <cell r="AS87">
            <v>95.907156934495333</v>
          </cell>
        </row>
        <row r="88">
          <cell r="AS88">
            <v>95.275297184535674</v>
          </cell>
        </row>
        <row r="89">
          <cell r="AS89">
            <v>95.059784463588144</v>
          </cell>
        </row>
        <row r="90">
          <cell r="AS90">
            <v>96.727001848613199</v>
          </cell>
        </row>
        <row r="91">
          <cell r="AS91">
            <v>104.009149649091</v>
          </cell>
        </row>
        <row r="92">
          <cell r="AS92">
            <v>92.550439614588157</v>
          </cell>
        </row>
        <row r="93">
          <cell r="AS93">
            <v>96.999636851732902</v>
          </cell>
        </row>
        <row r="94">
          <cell r="AS94">
            <v>95.770454909660813</v>
          </cell>
        </row>
        <row r="95">
          <cell r="AS95">
            <v>94.428562140000224</v>
          </cell>
        </row>
        <row r="96">
          <cell r="AS96">
            <v>93.741070270083767</v>
          </cell>
        </row>
        <row r="97">
          <cell r="AS97">
            <v>94.687949767761395</v>
          </cell>
        </row>
        <row r="98">
          <cell r="AS98">
            <v>96.284997099590015</v>
          </cell>
        </row>
        <row r="99">
          <cell r="AS99">
            <v>97.212508885391316</v>
          </cell>
        </row>
        <row r="100">
          <cell r="AS100">
            <v>93.636382272815794</v>
          </cell>
        </row>
        <row r="101">
          <cell r="AS101">
            <v>94.671387189089145</v>
          </cell>
        </row>
        <row r="102">
          <cell r="AS102">
            <v>93.244451097177674</v>
          </cell>
        </row>
        <row r="103">
          <cell r="AS103">
            <v>94.598152318138133</v>
          </cell>
        </row>
        <row r="105">
          <cell r="AS105">
            <v>96.818003369761513</v>
          </cell>
        </row>
        <row r="106">
          <cell r="AS106">
            <v>96.728268188487093</v>
          </cell>
        </row>
        <row r="107">
          <cell r="AS107">
            <v>94.725921358787076</v>
          </cell>
        </row>
        <row r="108">
          <cell r="AS108">
            <v>96.728268188487093</v>
          </cell>
        </row>
        <row r="109">
          <cell r="AS109">
            <v>98.026213210604823</v>
          </cell>
        </row>
        <row r="110">
          <cell r="AS110">
            <v>98.897348757551114</v>
          </cell>
        </row>
        <row r="111">
          <cell r="AS111">
            <v>98.846181723282257</v>
          </cell>
        </row>
        <row r="112">
          <cell r="AS112">
            <v>99.65424616729544</v>
          </cell>
        </row>
        <row r="113">
          <cell r="AS113">
            <v>99.065888617269223</v>
          </cell>
        </row>
        <row r="114">
          <cell r="AS114">
            <v>99.602654863491452</v>
          </cell>
        </row>
        <row r="115">
          <cell r="AS115">
            <v>99.164950119073353</v>
          </cell>
        </row>
        <row r="116">
          <cell r="AS116">
            <v>97.38390073907243</v>
          </cell>
        </row>
        <row r="117">
          <cell r="AS117">
            <v>97.938471627804731</v>
          </cell>
        </row>
        <row r="118">
          <cell r="AS118">
            <v>102.00584482183068</v>
          </cell>
        </row>
        <row r="119">
          <cell r="AS119">
            <v>93.711849834287406</v>
          </cell>
        </row>
        <row r="120">
          <cell r="AS120">
            <v>104.41201107512165</v>
          </cell>
        </row>
        <row r="121">
          <cell r="AS121">
            <v>101.34183343248617</v>
          </cell>
        </row>
        <row r="122">
          <cell r="AS122">
            <v>103.02428455849693</v>
          </cell>
        </row>
        <row r="123">
          <cell r="AS123">
            <v>98.371980498141809</v>
          </cell>
        </row>
        <row r="124">
          <cell r="AS124">
            <v>97.480302480496775</v>
          </cell>
        </row>
        <row r="125">
          <cell r="AS125">
            <v>99.211017553113123</v>
          </cell>
        </row>
        <row r="126">
          <cell r="AS126">
            <v>98.111702404981273</v>
          </cell>
        </row>
        <row r="127">
          <cell r="AS127">
            <v>98.934461309721527</v>
          </cell>
        </row>
        <row r="128">
          <cell r="AS128">
            <v>98.841782508267997</v>
          </cell>
        </row>
        <row r="129">
          <cell r="AS129">
            <v>103.23164333167807</v>
          </cell>
        </row>
        <row r="130">
          <cell r="AS130">
            <v>98.533330895870236</v>
          </cell>
        </row>
        <row r="131">
          <cell r="AS131">
            <v>98.055764357108799</v>
          </cell>
        </row>
        <row r="132">
          <cell r="AS132">
            <v>98.965495815775583</v>
          </cell>
        </row>
        <row r="133">
          <cell r="AS133">
            <v>98.136818497898929</v>
          </cell>
        </row>
        <row r="134">
          <cell r="AS134">
            <v>99.594814290107152</v>
          </cell>
        </row>
        <row r="135">
          <cell r="AS135">
            <v>98.47330071154957</v>
          </cell>
        </row>
        <row r="136">
          <cell r="AS136">
            <v>103.36052848626758</v>
          </cell>
        </row>
        <row r="137">
          <cell r="AS137">
            <v>94.448940517191943</v>
          </cell>
        </row>
        <row r="138">
          <cell r="AS138">
            <v>96.922261553729911</v>
          </cell>
        </row>
        <row r="139">
          <cell r="AS139">
            <v>97.203701282276711</v>
          </cell>
        </row>
        <row r="140">
          <cell r="AS140">
            <v>97.400469908354196</v>
          </cell>
        </row>
        <row r="142">
          <cell r="AS142">
            <v>97.215215171736631</v>
          </cell>
        </row>
        <row r="143">
          <cell r="AS143">
            <v>100.22635814188384</v>
          </cell>
        </row>
        <row r="144">
          <cell r="AS144">
            <v>99.612902884689717</v>
          </cell>
        </row>
        <row r="145">
          <cell r="AS145">
            <v>98.872380781910195</v>
          </cell>
        </row>
        <row r="146">
          <cell r="AS146">
            <v>98.164307604461925</v>
          </cell>
        </row>
        <row r="147">
          <cell r="AS147">
            <v>96.764330157536619</v>
          </cell>
        </row>
        <row r="148">
          <cell r="AS148">
            <v>98.581081664819095</v>
          </cell>
        </row>
        <row r="149">
          <cell r="AS149">
            <v>98.654179974952328</v>
          </cell>
        </row>
        <row r="150">
          <cell r="AS150">
            <v>96.687242116034184</v>
          </cell>
        </row>
        <row r="151">
          <cell r="AS151">
            <v>99.203898650029743</v>
          </cell>
        </row>
        <row r="152">
          <cell r="AS152">
            <v>99.653052105402068</v>
          </cell>
        </row>
        <row r="153">
          <cell r="AS153">
            <v>100.04618853247267</v>
          </cell>
        </row>
        <row r="154">
          <cell r="AS154">
            <v>103.48583389849561</v>
          </cell>
        </row>
        <row r="155">
          <cell r="AS155">
            <v>98.880284002650114</v>
          </cell>
        </row>
        <row r="156">
          <cell r="AS156">
            <v>97.662755281529215</v>
          </cell>
        </row>
        <row r="157">
          <cell r="AS157">
            <v>101.20397725184486</v>
          </cell>
        </row>
        <row r="158">
          <cell r="AS158">
            <v>97.163133476785902</v>
          </cell>
        </row>
        <row r="159">
          <cell r="AS159">
            <v>99.680986353901574</v>
          </cell>
        </row>
        <row r="160">
          <cell r="AS160">
            <v>100.32468935826775</v>
          </cell>
        </row>
        <row r="161">
          <cell r="AS161">
            <v>99.06474164379361</v>
          </cell>
        </row>
        <row r="162">
          <cell r="AS162">
            <v>98.019922797995775</v>
          </cell>
        </row>
        <row r="163">
          <cell r="AS163">
            <v>99.773758394779009</v>
          </cell>
        </row>
        <row r="164">
          <cell r="AS164">
            <v>97.507731951946184</v>
          </cell>
        </row>
        <row r="165">
          <cell r="AS165">
            <v>98.581120174708957</v>
          </cell>
        </row>
        <row r="166">
          <cell r="AS166">
            <v>95.004403103029915</v>
          </cell>
        </row>
        <row r="167">
          <cell r="AS167">
            <v>99.803912080322945</v>
          </cell>
        </row>
        <row r="168">
          <cell r="AS168">
            <v>99.261754930640222</v>
          </cell>
        </row>
        <row r="169">
          <cell r="AS169">
            <v>97.650134196033449</v>
          </cell>
        </row>
        <row r="170">
          <cell r="AS170">
            <v>97.774353948870356</v>
          </cell>
        </row>
        <row r="171">
          <cell r="AS171">
            <v>100.34851077545073</v>
          </cell>
        </row>
        <row r="172">
          <cell r="AS172">
            <v>100.17584029377748</v>
          </cell>
        </row>
        <row r="173">
          <cell r="AS173">
            <v>99.593422617650873</v>
          </cell>
        </row>
        <row r="174">
          <cell r="AS174">
            <v>96.450818305435675</v>
          </cell>
        </row>
        <row r="175">
          <cell r="AS175">
            <v>104.47252079158716</v>
          </cell>
        </row>
        <row r="176">
          <cell r="AS176">
            <v>97.021410313288342</v>
          </cell>
        </row>
        <row r="177">
          <cell r="AS177">
            <v>111.42233703913573</v>
          </cell>
        </row>
        <row r="178">
          <cell r="AS178">
            <v>96.024912228115227</v>
          </cell>
        </row>
        <row r="179">
          <cell r="AS179">
            <v>100.88096411971219</v>
          </cell>
        </row>
        <row r="180">
          <cell r="AS180">
            <v>98.35750118912209</v>
          </cell>
        </row>
        <row r="181">
          <cell r="AS181">
            <v>99.955757308619226</v>
          </cell>
        </row>
        <row r="182">
          <cell r="AS182">
            <v>100.0542639520425</v>
          </cell>
        </row>
        <row r="183">
          <cell r="AS183">
            <v>97.894867203057146</v>
          </cell>
        </row>
        <row r="184">
          <cell r="AS184">
            <v>101.26478844270513</v>
          </cell>
        </row>
        <row r="185">
          <cell r="AS185">
            <v>100.87304844872946</v>
          </cell>
        </row>
        <row r="186">
          <cell r="AS186">
            <v>97.739128496924266</v>
          </cell>
        </row>
        <row r="187">
          <cell r="AS187">
            <v>98.608395095224694</v>
          </cell>
        </row>
        <row r="188">
          <cell r="AS188">
            <v>99.473816674074172</v>
          </cell>
        </row>
        <row r="189">
          <cell r="AS189">
            <v>96.771677377330477</v>
          </cell>
        </row>
        <row r="190">
          <cell r="AS190">
            <v>98.031246107368958</v>
          </cell>
        </row>
        <row r="191">
          <cell r="AS191">
            <v>98.226139240783183</v>
          </cell>
        </row>
        <row r="192">
          <cell r="AS192">
            <v>99.142807989788679</v>
          </cell>
        </row>
        <row r="193">
          <cell r="AS193">
            <v>102.23697824835402</v>
          </cell>
        </row>
        <row r="195">
          <cell r="AS195">
            <v>94.420068663376142</v>
          </cell>
        </row>
        <row r="196">
          <cell r="AS196">
            <v>101.4475035128455</v>
          </cell>
        </row>
        <row r="197">
          <cell r="AS197">
            <v>103.33938935492559</v>
          </cell>
        </row>
        <row r="198">
          <cell r="AS198">
            <v>98.251296837034474</v>
          </cell>
        </row>
        <row r="199">
          <cell r="AS199">
            <v>100.42613023056258</v>
          </cell>
        </row>
        <row r="200">
          <cell r="AS200">
            <v>100.62499385478152</v>
          </cell>
        </row>
        <row r="201">
          <cell r="AS201">
            <v>98.297689553042517</v>
          </cell>
        </row>
        <row r="202">
          <cell r="AS202">
            <v>100.3048487527348</v>
          </cell>
        </row>
        <row r="203">
          <cell r="AS203">
            <v>101.79315931615676</v>
          </cell>
        </row>
        <row r="204">
          <cell r="AS204">
            <v>104.73648096630129</v>
          </cell>
        </row>
        <row r="205">
          <cell r="AS205">
            <v>104.07643263107897</v>
          </cell>
        </row>
        <row r="206">
          <cell r="AS206">
            <v>104.01329640324821</v>
          </cell>
        </row>
        <row r="207">
          <cell r="AS207">
            <v>105.77821094217738</v>
          </cell>
        </row>
        <row r="208">
          <cell r="AS208">
            <v>102.42416344927454</v>
          </cell>
        </row>
        <row r="209">
          <cell r="AS209">
            <v>101.51921100112835</v>
          </cell>
        </row>
        <row r="210">
          <cell r="AS210">
            <v>102.44000842463204</v>
          </cell>
        </row>
        <row r="211">
          <cell r="AS211">
            <v>98.867922657162993</v>
          </cell>
        </row>
        <row r="212">
          <cell r="AS212">
            <v>97.867502708764803</v>
          </cell>
        </row>
        <row r="213">
          <cell r="AS213">
            <v>100.37302685675083</v>
          </cell>
        </row>
        <row r="214">
          <cell r="AS214">
            <v>98.153626645427877</v>
          </cell>
        </row>
        <row r="215">
          <cell r="AS215">
            <v>98.115990931121161</v>
          </cell>
        </row>
        <row r="216">
          <cell r="AS216">
            <v>98.809112005591132</v>
          </cell>
        </row>
        <row r="217">
          <cell r="AS217">
            <v>101.08067316566927</v>
          </cell>
        </row>
        <row r="218">
          <cell r="AS218">
            <v>100.42130937950147</v>
          </cell>
        </row>
        <row r="219">
          <cell r="AS219">
            <v>97.675605644629954</v>
          </cell>
        </row>
        <row r="220">
          <cell r="AS220">
            <v>95.681687628441722</v>
          </cell>
        </row>
        <row r="221">
          <cell r="AS221">
            <v>97.885552432619079</v>
          </cell>
        </row>
        <row r="222">
          <cell r="AS222">
            <v>95.870530359639602</v>
          </cell>
        </row>
        <row r="223">
          <cell r="AS223">
            <v>100.16797995065821</v>
          </cell>
        </row>
        <row r="224">
          <cell r="AS224">
            <v>99.91135688893435</v>
          </cell>
        </row>
        <row r="225">
          <cell r="AS225">
            <v>98.49752950633092</v>
          </cell>
        </row>
        <row r="226">
          <cell r="AS226">
            <v>100.08956846077814</v>
          </cell>
        </row>
        <row r="227">
          <cell r="AS227">
            <v>92.80227957183709</v>
          </cell>
        </row>
        <row r="228">
          <cell r="AS228">
            <v>101.36025128712886</v>
          </cell>
        </row>
        <row r="229">
          <cell r="AS229">
            <v>104.17219224910809</v>
          </cell>
        </row>
        <row r="230">
          <cell r="AS230">
            <v>98.018130850466463</v>
          </cell>
        </row>
        <row r="231">
          <cell r="AS231">
            <v>101.29164628597466</v>
          </cell>
        </row>
        <row r="232">
          <cell r="AS232">
            <v>98.717568355226533</v>
          </cell>
        </row>
        <row r="233">
          <cell r="AS233">
            <v>94.373621092817032</v>
          </cell>
        </row>
        <row r="234">
          <cell r="AS234">
            <v>94.757253698885393</v>
          </cell>
        </row>
        <row r="235">
          <cell r="AS235">
            <v>96.356247062990235</v>
          </cell>
        </row>
        <row r="236">
          <cell r="AS236">
            <v>97.895175175059975</v>
          </cell>
        </row>
        <row r="237">
          <cell r="AS237">
            <v>97.406620295015315</v>
          </cell>
        </row>
        <row r="238">
          <cell r="AS238">
            <v>96.710712657442159</v>
          </cell>
        </row>
        <row r="239">
          <cell r="AS239">
            <v>99.641893083846412</v>
          </cell>
        </row>
        <row r="240">
          <cell r="AS240">
            <v>100.47209138244359</v>
          </cell>
        </row>
        <row r="242">
          <cell r="AS242">
            <v>95.024171381581283</v>
          </cell>
        </row>
        <row r="243">
          <cell r="AS243">
            <v>95.603326677587518</v>
          </cell>
        </row>
        <row r="244">
          <cell r="AS244">
            <v>97.891004589246791</v>
          </cell>
        </row>
        <row r="245">
          <cell r="AS245">
            <v>96.127502387330068</v>
          </cell>
        </row>
        <row r="246">
          <cell r="AS246">
            <v>96.919863670702682</v>
          </cell>
        </row>
        <row r="247">
          <cell r="AS247">
            <v>98.103519034372525</v>
          </cell>
        </row>
        <row r="248">
          <cell r="AS248">
            <v>98.807821942068728</v>
          </cell>
        </row>
        <row r="249">
          <cell r="AS249">
            <v>97.839117805381775</v>
          </cell>
        </row>
        <row r="250">
          <cell r="AS250">
            <v>97.502548221829173</v>
          </cell>
        </row>
        <row r="251">
          <cell r="AS251">
            <v>97.980878408450792</v>
          </cell>
        </row>
        <row r="252">
          <cell r="AS252">
            <v>99.44483005891739</v>
          </cell>
        </row>
        <row r="253">
          <cell r="AS253">
            <v>98.558368850936759</v>
          </cell>
        </row>
        <row r="254">
          <cell r="AS254">
            <v>94.844423775739514</v>
          </cell>
        </row>
        <row r="255">
          <cell r="AS255">
            <v>98.490515164685618</v>
          </cell>
        </row>
        <row r="256">
          <cell r="AS256">
            <v>98.197131955684057</v>
          </cell>
        </row>
        <row r="257">
          <cell r="AS257">
            <v>97.136028708589762</v>
          </cell>
        </row>
        <row r="258">
          <cell r="AS258">
            <v>98.349989106466737</v>
          </cell>
        </row>
        <row r="259">
          <cell r="AS259">
            <v>98.882895456577998</v>
          </cell>
        </row>
        <row r="260">
          <cell r="AS260">
            <v>97.980878408450792</v>
          </cell>
        </row>
        <row r="261">
          <cell r="AS261">
            <v>98.816500310647015</v>
          </cell>
        </row>
        <row r="262">
          <cell r="AS262">
            <v>95.242586332157259</v>
          </cell>
        </row>
        <row r="263">
          <cell r="AS263">
            <v>97.297864805711271</v>
          </cell>
        </row>
        <row r="264">
          <cell r="AS264">
            <v>98.830948870010644</v>
          </cell>
        </row>
        <row r="265">
          <cell r="AS265">
            <v>96.960481671797865</v>
          </cell>
        </row>
        <row r="266">
          <cell r="AS266">
            <v>98.920822376514678</v>
          </cell>
        </row>
        <row r="267">
          <cell r="AS267">
            <v>95.218043199829722</v>
          </cell>
        </row>
        <row r="268">
          <cell r="AS268">
            <v>102.91252288333963</v>
          </cell>
        </row>
        <row r="269">
          <cell r="AS269">
            <v>99.840554631081304</v>
          </cell>
        </row>
        <row r="270">
          <cell r="AS270">
            <v>95.545616911541998</v>
          </cell>
        </row>
        <row r="271">
          <cell r="AS271">
            <v>99.49940457072266</v>
          </cell>
        </row>
        <row r="272">
          <cell r="AS272">
            <v>97.046216145736423</v>
          </cell>
        </row>
        <row r="273">
          <cell r="AS273">
            <v>102.38078795174074</v>
          </cell>
        </row>
        <row r="275">
          <cell r="AS275">
            <v>100.83968282378231</v>
          </cell>
        </row>
        <row r="276">
          <cell r="AS276">
            <v>98.000691311781651</v>
          </cell>
        </row>
        <row r="277">
          <cell r="AS277">
            <v>95.275370361295259</v>
          </cell>
        </row>
        <row r="278">
          <cell r="AS278">
            <v>99.435001915530592</v>
          </cell>
        </row>
        <row r="279">
          <cell r="AS279">
            <v>97.94507238785738</v>
          </cell>
        </row>
        <row r="280">
          <cell r="AS280">
            <v>99.110223835402621</v>
          </cell>
        </row>
        <row r="281">
          <cell r="AS281">
            <v>100.65592417780644</v>
          </cell>
        </row>
        <row r="282">
          <cell r="AS282">
            <v>100.79115794415183</v>
          </cell>
        </row>
        <row r="283">
          <cell r="AS283">
            <v>95.671525747412886</v>
          </cell>
        </row>
        <row r="284">
          <cell r="AS284">
            <v>100.15485918919744</v>
          </cell>
        </row>
        <row r="285">
          <cell r="AS285">
            <v>99.466530990769641</v>
          </cell>
        </row>
        <row r="286">
          <cell r="AS286">
            <v>99.322856790756248</v>
          </cell>
        </row>
        <row r="287">
          <cell r="AS287">
            <v>100.43952535225938</v>
          </cell>
        </row>
        <row r="288">
          <cell r="AS288">
            <v>100.37889099709263</v>
          </cell>
        </row>
        <row r="289">
          <cell r="AS289">
            <v>101.16617641667767</v>
          </cell>
        </row>
        <row r="290">
          <cell r="AS290">
            <v>101.03912436611778</v>
          </cell>
        </row>
        <row r="291">
          <cell r="AS291">
            <v>96.474643951399159</v>
          </cell>
        </row>
        <row r="292">
          <cell r="AS292">
            <v>98.534580149559787</v>
          </cell>
        </row>
        <row r="293">
          <cell r="AS293">
            <v>99.21410144378406</v>
          </cell>
        </row>
        <row r="294">
          <cell r="AS294">
            <v>98.988095579595708</v>
          </cell>
        </row>
        <row r="295">
          <cell r="AS295">
            <v>99.851352600758617</v>
          </cell>
        </row>
        <row r="296">
          <cell r="AS296">
            <v>100.36291507352458</v>
          </cell>
        </row>
        <row r="297">
          <cell r="AS297">
            <v>100.11017578568983</v>
          </cell>
        </row>
        <row r="298">
          <cell r="AS298">
            <v>99.78653482584231</v>
          </cell>
        </row>
        <row r="299">
          <cell r="AS299">
            <v>97.131691546615258</v>
          </cell>
        </row>
        <row r="300">
          <cell r="AS300">
            <v>100.50822817449973</v>
          </cell>
        </row>
        <row r="301">
          <cell r="AS301">
            <v>99.547251884193614</v>
          </cell>
        </row>
        <row r="302">
          <cell r="AS302">
            <v>100.38565192460212</v>
          </cell>
        </row>
        <row r="303">
          <cell r="AS303">
            <v>102.86759733937893</v>
          </cell>
        </row>
        <row r="304">
          <cell r="AS304">
            <v>93.690612514496564</v>
          </cell>
        </row>
        <row r="305">
          <cell r="AS305">
            <v>94.202503008813892</v>
          </cell>
        </row>
        <row r="306">
          <cell r="AS306">
            <v>99.822653073625858</v>
          </cell>
        </row>
        <row r="307">
          <cell r="AS307">
            <v>97.222694469498265</v>
          </cell>
        </row>
        <row r="308">
          <cell r="AS308">
            <v>100.1928378850634</v>
          </cell>
        </row>
        <row r="309">
          <cell r="AS309">
            <v>98.959067698121331</v>
          </cell>
        </row>
        <row r="310">
          <cell r="AS310">
            <v>101.75751144156999</v>
          </cell>
        </row>
        <row r="311">
          <cell r="AS311">
            <v>93.975252209934993</v>
          </cell>
        </row>
        <row r="312">
          <cell r="AS312">
            <v>101.56488400108132</v>
          </cell>
        </row>
        <row r="313">
          <cell r="AS313">
            <v>99.768359962874058</v>
          </cell>
        </row>
        <row r="314">
          <cell r="AS314">
            <v>100.20347494466111</v>
          </cell>
        </row>
        <row r="315">
          <cell r="AS315">
            <v>94.928429491720962</v>
          </cell>
        </row>
        <row r="316">
          <cell r="AS316">
            <v>99.544399636138706</v>
          </cell>
        </row>
        <row r="317">
          <cell r="AS317">
            <v>99.816505716242673</v>
          </cell>
        </row>
        <row r="318">
          <cell r="AS318">
            <v>99.237925273194392</v>
          </cell>
        </row>
        <row r="319">
          <cell r="AS319">
            <v>98.818203292397726</v>
          </cell>
        </row>
        <row r="320">
          <cell r="AS320">
            <v>100.05733894116882</v>
          </cell>
        </row>
        <row r="321">
          <cell r="AS321">
            <v>97.785382132528241</v>
          </cell>
        </row>
        <row r="322">
          <cell r="AS322">
            <v>100.40336592166086</v>
          </cell>
        </row>
        <row r="324">
          <cell r="AS324">
            <v>99.121855899264773</v>
          </cell>
        </row>
        <row r="325">
          <cell r="AS325">
            <v>95.100831252620765</v>
          </cell>
        </row>
        <row r="326">
          <cell r="AS326">
            <v>99.765519886214733</v>
          </cell>
        </row>
        <row r="327">
          <cell r="AS327">
            <v>98.303135744343052</v>
          </cell>
        </row>
        <row r="328">
          <cell r="AS328">
            <v>99.780556584963307</v>
          </cell>
        </row>
        <row r="329">
          <cell r="AS329">
            <v>102.38160745340335</v>
          </cell>
        </row>
        <row r="330">
          <cell r="AS330">
            <v>97.414066657172469</v>
          </cell>
        </row>
        <row r="331">
          <cell r="AS331">
            <v>95.738445955419465</v>
          </cell>
        </row>
        <row r="332">
          <cell r="AS332">
            <v>87.041642336261077</v>
          </cell>
        </row>
        <row r="333">
          <cell r="AS333">
            <v>101.9986872683758</v>
          </cell>
        </row>
        <row r="334">
          <cell r="AS334">
            <v>98.410561007255168</v>
          </cell>
        </row>
        <row r="335">
          <cell r="AS335">
            <v>104.78294066497524</v>
          </cell>
        </row>
        <row r="336">
          <cell r="AS336">
            <v>92.564718768769609</v>
          </cell>
        </row>
        <row r="337">
          <cell r="AS337">
            <v>98.984174791371231</v>
          </cell>
        </row>
        <row r="338">
          <cell r="AS338">
            <v>97.202771278717563</v>
          </cell>
        </row>
        <row r="339">
          <cell r="AS339">
            <v>98.457184785796485</v>
          </cell>
        </row>
        <row r="340">
          <cell r="AS340">
            <v>97.823655817296242</v>
          </cell>
        </row>
        <row r="341">
          <cell r="AS341">
            <v>97.733563925602468</v>
          </cell>
        </row>
        <row r="342">
          <cell r="AS342">
            <v>98.523330098738654</v>
          </cell>
        </row>
        <row r="343">
          <cell r="AS343">
            <v>99.02272240380006</v>
          </cell>
        </row>
        <row r="344">
          <cell r="AS344">
            <v>94.613353191374685</v>
          </cell>
        </row>
        <row r="345">
          <cell r="AS345">
            <v>99.938312405651004</v>
          </cell>
        </row>
        <row r="346">
          <cell r="AS346">
            <v>97.966859207422701</v>
          </cell>
        </row>
        <row r="347">
          <cell r="AS347">
            <v>95.088374890616095</v>
          </cell>
        </row>
        <row r="348">
          <cell r="AS348">
            <v>96.848486613901059</v>
          </cell>
        </row>
        <row r="349">
          <cell r="AS349">
            <v>100.11666028610431</v>
          </cell>
        </row>
        <row r="350">
          <cell r="AS350">
            <v>98.449086685086911</v>
          </cell>
        </row>
        <row r="351">
          <cell r="AS351">
            <v>99.364341668365995</v>
          </cell>
        </row>
        <row r="352">
          <cell r="AS352">
            <v>96.250646252877047</v>
          </cell>
        </row>
        <row r="353">
          <cell r="AS353">
            <v>98.626177673601688</v>
          </cell>
        </row>
        <row r="354">
          <cell r="AS354">
            <v>99.286195716080925</v>
          </cell>
        </row>
        <row r="355">
          <cell r="AS355">
            <v>96.567361522018899</v>
          </cell>
        </row>
        <row r="356">
          <cell r="AS356">
            <v>99.68944278657402</v>
          </cell>
        </row>
        <row r="357">
          <cell r="AS357">
            <v>99.564386645320724</v>
          </cell>
        </row>
        <row r="358">
          <cell r="AS358">
            <v>98.706657837081977</v>
          </cell>
        </row>
        <row r="359">
          <cell r="AS359">
            <v>98.93042550475694</v>
          </cell>
        </row>
        <row r="361">
          <cell r="AS361">
            <v>97.12415794993052</v>
          </cell>
        </row>
        <row r="362">
          <cell r="AS362">
            <v>96.949048686673478</v>
          </cell>
        </row>
        <row r="363">
          <cell r="AS363">
            <v>98.005638133271461</v>
          </cell>
        </row>
        <row r="364">
          <cell r="AS364">
            <v>98.378407502765299</v>
          </cell>
        </row>
        <row r="365">
          <cell r="AS365">
            <v>96.134556183612816</v>
          </cell>
        </row>
        <row r="366">
          <cell r="AS366">
            <v>96.156009433612752</v>
          </cell>
        </row>
        <row r="367">
          <cell r="AS367">
            <v>95.68216946245451</v>
          </cell>
        </row>
        <row r="368">
          <cell r="AS368">
            <v>98.783378522979277</v>
          </cell>
        </row>
        <row r="369">
          <cell r="AS369">
            <v>99.598796102027222</v>
          </cell>
        </row>
        <row r="370">
          <cell r="AS370">
            <v>96.927020956038035</v>
          </cell>
        </row>
        <row r="371">
          <cell r="AS371">
            <v>97.234327492356584</v>
          </cell>
        </row>
        <row r="372">
          <cell r="AS372">
            <v>98.088904356977224</v>
          </cell>
        </row>
        <row r="373">
          <cell r="AS373">
            <v>98.286664244793712</v>
          </cell>
        </row>
        <row r="374">
          <cell r="AS374">
            <v>99.598796102027222</v>
          </cell>
        </row>
        <row r="375">
          <cell r="AS375">
            <v>97.745221120811337</v>
          </cell>
        </row>
        <row r="376">
          <cell r="AS376">
            <v>97.933766526241584</v>
          </cell>
        </row>
        <row r="377">
          <cell r="AS377">
            <v>93.319913077052291</v>
          </cell>
        </row>
        <row r="378">
          <cell r="AS378">
            <v>99.239577105440517</v>
          </cell>
        </row>
        <row r="379">
          <cell r="AS379">
            <v>93.440417849192812</v>
          </cell>
        </row>
        <row r="380">
          <cell r="AS380">
            <v>97.798077676001839</v>
          </cell>
        </row>
        <row r="381">
          <cell r="AS381">
            <v>99.514159435199218</v>
          </cell>
        </row>
        <row r="382">
          <cell r="AS382">
            <v>98.57673064663615</v>
          </cell>
        </row>
        <row r="383">
          <cell r="AS383">
            <v>99.443122984760095</v>
          </cell>
        </row>
        <row r="384">
          <cell r="AS384">
            <v>98.486097080031854</v>
          </cell>
        </row>
        <row r="385">
          <cell r="AS385">
            <v>95.159494775120166</v>
          </cell>
        </row>
        <row r="386">
          <cell r="AS386">
            <v>97.742111543547239</v>
          </cell>
        </row>
        <row r="387">
          <cell r="AS387">
            <v>99.47959671281491</v>
          </cell>
        </row>
        <row r="388">
          <cell r="AS388">
            <v>95.038520748721737</v>
          </cell>
        </row>
        <row r="389">
          <cell r="AS389">
            <v>97.870704600426876</v>
          </cell>
        </row>
        <row r="390">
          <cell r="AS390">
            <v>98.26248465034702</v>
          </cell>
        </row>
        <row r="391">
          <cell r="AS391">
            <v>96.964435966121528</v>
          </cell>
        </row>
        <row r="392">
          <cell r="AS392">
            <v>97.546222581918258</v>
          </cell>
        </row>
        <row r="393">
          <cell r="AS393">
            <v>95.020750870329579</v>
          </cell>
        </row>
        <row r="394">
          <cell r="AS394">
            <v>102.00760320196547</v>
          </cell>
        </row>
        <row r="395">
          <cell r="AS395">
            <v>95.894539911363424</v>
          </cell>
        </row>
        <row r="396">
          <cell r="AS396">
            <v>95.472444359320335</v>
          </cell>
        </row>
        <row r="397">
          <cell r="AS397">
            <v>93.591928355282732</v>
          </cell>
        </row>
        <row r="399">
          <cell r="AS399">
            <v>92.950608655346528</v>
          </cell>
        </row>
        <row r="400">
          <cell r="AS400">
            <v>98.21567348646829</v>
          </cell>
        </row>
        <row r="401">
          <cell r="AS401">
            <v>96.958134965940886</v>
          </cell>
        </row>
        <row r="402">
          <cell r="AS402">
            <v>96.206841245124153</v>
          </cell>
        </row>
        <row r="403">
          <cell r="AS403">
            <v>98.472931740070507</v>
          </cell>
        </row>
        <row r="404">
          <cell r="AS404">
            <v>97.414066657172469</v>
          </cell>
        </row>
        <row r="405">
          <cell r="AS405">
            <v>98.057442078732436</v>
          </cell>
        </row>
        <row r="406">
          <cell r="AS406">
            <v>98.138683160787593</v>
          </cell>
        </row>
        <row r="407">
          <cell r="AS407">
            <v>99.74535121294204</v>
          </cell>
        </row>
        <row r="408">
          <cell r="AS408">
            <v>97.604360684392503</v>
          </cell>
        </row>
        <row r="409">
          <cell r="AS409">
            <v>96.734512119595152</v>
          </cell>
        </row>
        <row r="410">
          <cell r="AS410">
            <v>100.54045701826311</v>
          </cell>
        </row>
        <row r="411">
          <cell r="AS411">
            <v>102.38962605645567</v>
          </cell>
        </row>
        <row r="412">
          <cell r="AS412">
            <v>100.1268396170539</v>
          </cell>
        </row>
        <row r="413">
          <cell r="AS413">
            <v>95.728834855551185</v>
          </cell>
        </row>
        <row r="414">
          <cell r="AS414">
            <v>98.639696876676041</v>
          </cell>
        </row>
        <row r="415">
          <cell r="AS415">
            <v>97.402919466213262</v>
          </cell>
        </row>
        <row r="416">
          <cell r="AS416">
            <v>97.834833613698663</v>
          </cell>
        </row>
        <row r="417">
          <cell r="AS417">
            <v>100.56337298015596</v>
          </cell>
        </row>
        <row r="418">
          <cell r="AS418">
            <v>97.57174273622779</v>
          </cell>
        </row>
        <row r="419">
          <cell r="AS419">
            <v>98.561314163572874</v>
          </cell>
        </row>
        <row r="420">
          <cell r="AS420">
            <v>94.453686243503554</v>
          </cell>
        </row>
        <row r="421">
          <cell r="AS421">
            <v>97.933378236938694</v>
          </cell>
        </row>
        <row r="422">
          <cell r="AS422">
            <v>95.524482724698444</v>
          </cell>
        </row>
        <row r="423">
          <cell r="AS423">
            <v>98.616972818330652</v>
          </cell>
        </row>
        <row r="424">
          <cell r="AS424">
            <v>95.695423158912149</v>
          </cell>
        </row>
        <row r="425">
          <cell r="AS425">
            <v>97.021219458619385</v>
          </cell>
        </row>
        <row r="426">
          <cell r="AS426">
            <v>96.866892814423892</v>
          </cell>
        </row>
        <row r="427">
          <cell r="AS427">
            <v>97.235138963004928</v>
          </cell>
        </row>
        <row r="428">
          <cell r="AS428">
            <v>92.673233606779775</v>
          </cell>
        </row>
        <row r="429">
          <cell r="AS429">
            <v>98.299248654282238</v>
          </cell>
        </row>
        <row r="430">
          <cell r="AS430">
            <v>95.765747077302663</v>
          </cell>
        </row>
        <row r="431">
          <cell r="AS431">
            <v>96.30112740094556</v>
          </cell>
        </row>
        <row r="432">
          <cell r="AS432">
            <v>95.62674232392358</v>
          </cell>
        </row>
        <row r="433">
          <cell r="AS433">
            <v>98.944736715653534</v>
          </cell>
        </row>
        <row r="434">
          <cell r="AS434">
            <v>98.820998709085245</v>
          </cell>
        </row>
        <row r="435">
          <cell r="AS435">
            <v>99.164238456440273</v>
          </cell>
        </row>
        <row r="436">
          <cell r="AS436">
            <v>92.357399362533982</v>
          </cell>
        </row>
        <row r="437">
          <cell r="AS437">
            <v>98.174339715177652</v>
          </cell>
        </row>
        <row r="438">
          <cell r="AS438">
            <v>94.612676020841974</v>
          </cell>
        </row>
        <row r="439">
          <cell r="AS439">
            <v>96.88502566894006</v>
          </cell>
        </row>
        <row r="440">
          <cell r="AS440">
            <v>96.278354818861374</v>
          </cell>
        </row>
        <row r="441">
          <cell r="AS441">
            <v>96.371396355775389</v>
          </cell>
        </row>
        <row r="442">
          <cell r="AS442">
            <v>98.044791169581174</v>
          </cell>
        </row>
        <row r="443">
          <cell r="AS443">
            <v>98.293312348289959</v>
          </cell>
        </row>
        <row r="444">
          <cell r="AS444">
            <v>93.219338282985191</v>
          </cell>
        </row>
        <row r="445">
          <cell r="AS445">
            <v>98.413240959805805</v>
          </cell>
        </row>
        <row r="446">
          <cell r="AS446">
            <v>98.539260077479966</v>
          </cell>
        </row>
        <row r="447">
          <cell r="AS447">
            <v>96.962631916240284</v>
          </cell>
        </row>
        <row r="449">
          <cell r="A449" t="str">
            <v>ST425</v>
          </cell>
          <cell r="P449">
            <v>59</v>
          </cell>
          <cell r="Q449">
            <v>14.077212806026369</v>
          </cell>
          <cell r="T449">
            <v>0.43472222222222223</v>
          </cell>
          <cell r="U449">
            <v>0.56597222222222221</v>
          </cell>
          <cell r="V449">
            <v>68</v>
          </cell>
          <cell r="AD449">
            <v>55.1</v>
          </cell>
          <cell r="AE449">
            <v>12</v>
          </cell>
          <cell r="AG449">
            <v>54.3</v>
          </cell>
          <cell r="AS449">
            <v>109.14773514072522</v>
          </cell>
          <cell r="AT449">
            <v>109.57994483019775</v>
          </cell>
          <cell r="AV449" t="str">
            <v>R. Regis</v>
          </cell>
          <cell r="AW449">
            <v>0.28472222222222221</v>
          </cell>
        </row>
        <row r="450">
          <cell r="A450" t="str">
            <v>ST426</v>
          </cell>
          <cell r="P450">
            <v>60</v>
          </cell>
          <cell r="Q450">
            <v>11.66026871401152</v>
          </cell>
          <cell r="T450">
            <v>0.53680555555555554</v>
          </cell>
          <cell r="U450">
            <v>0.64652777777777781</v>
          </cell>
          <cell r="V450">
            <v>60</v>
          </cell>
          <cell r="AD450">
            <v>47.6</v>
          </cell>
          <cell r="AE450">
            <v>12</v>
          </cell>
          <cell r="AG450">
            <v>48.1</v>
          </cell>
          <cell r="AS450">
            <v>96.805862263667493</v>
          </cell>
          <cell r="AT450">
            <v>97.189075266868727</v>
          </cell>
          <cell r="AV450" t="str">
            <v>R. Regis</v>
          </cell>
          <cell r="AW450">
            <v>0.2506944444444445</v>
          </cell>
        </row>
        <row r="451">
          <cell r="A451" t="str">
            <v>ST427</v>
          </cell>
          <cell r="P451">
            <v>58</v>
          </cell>
          <cell r="Q451">
            <v>13.771593090211127</v>
          </cell>
          <cell r="T451">
            <v>0.64375000000000004</v>
          </cell>
          <cell r="U451">
            <v>0.75277777777777777</v>
          </cell>
          <cell r="V451">
            <v>55</v>
          </cell>
          <cell r="AD451">
            <v>48.3</v>
          </cell>
          <cell r="AE451">
            <v>12</v>
          </cell>
          <cell r="AG451">
            <v>48.4</v>
          </cell>
          <cell r="AS451">
            <v>97.531364875406652</v>
          </cell>
          <cell r="AT451">
            <v>97.917323981439409</v>
          </cell>
          <cell r="AV451" t="str">
            <v>R.Sookram</v>
          </cell>
          <cell r="AW451">
            <v>0.25277777777777777</v>
          </cell>
        </row>
        <row r="452">
          <cell r="A452" t="str">
            <v>ST428</v>
          </cell>
          <cell r="P452">
            <v>59</v>
          </cell>
          <cell r="Q452">
            <v>11.276391554702494</v>
          </cell>
          <cell r="T452">
            <v>0.73333333333333328</v>
          </cell>
          <cell r="U452">
            <v>0.84236111111111112</v>
          </cell>
          <cell r="V452">
            <v>55</v>
          </cell>
          <cell r="AD452">
            <v>49.4</v>
          </cell>
          <cell r="AE452">
            <v>11.8</v>
          </cell>
          <cell r="AG452">
            <v>48.83</v>
          </cell>
          <cell r="AS452">
            <v>96.91654844456977</v>
          </cell>
          <cell r="AT452">
            <v>97.299823492925583</v>
          </cell>
          <cell r="AV452" t="str">
            <v>R.Sookram</v>
          </cell>
          <cell r="AW452">
            <v>0.24305555555555558</v>
          </cell>
        </row>
        <row r="453">
          <cell r="A453" t="str">
            <v>ST429</v>
          </cell>
          <cell r="P453">
            <v>56</v>
          </cell>
          <cell r="Q453">
            <v>10.508637236084455</v>
          </cell>
          <cell r="T453">
            <v>0.81805555555555554</v>
          </cell>
          <cell r="U453">
            <v>0.84166666666666667</v>
          </cell>
          <cell r="V453">
            <v>57</v>
          </cell>
          <cell r="AD453">
            <v>48.9</v>
          </cell>
          <cell r="AE453">
            <v>11.8</v>
          </cell>
          <cell r="AG453">
            <v>49.6</v>
          </cell>
          <cell r="AS453">
            <v>98.321653626332392</v>
          </cell>
          <cell r="AT453">
            <v>98.710612939130797</v>
          </cell>
          <cell r="AV453" t="str">
            <v>R.Sookram</v>
          </cell>
          <cell r="AW453">
            <v>0.15416666666666667</v>
          </cell>
        </row>
        <row r="454">
          <cell r="A454" t="str">
            <v>ST430</v>
          </cell>
          <cell r="P454">
            <v>60</v>
          </cell>
          <cell r="Q454">
            <v>12.836538461538455</v>
          </cell>
          <cell r="T454">
            <v>0.9</v>
          </cell>
          <cell r="U454">
            <v>1.0118055555555556</v>
          </cell>
          <cell r="V454">
            <v>50</v>
          </cell>
          <cell r="AD454">
            <v>48.4</v>
          </cell>
          <cell r="AE454">
            <v>12</v>
          </cell>
          <cell r="AG454">
            <v>48.9</v>
          </cell>
          <cell r="AS454">
            <v>98.662209361823813</v>
          </cell>
          <cell r="AT454">
            <v>99.052515909132239</v>
          </cell>
          <cell r="AV454" t="str">
            <v>K. Benjamin</v>
          </cell>
          <cell r="AW454">
            <v>0.24097222222222225</v>
          </cell>
        </row>
        <row r="455">
          <cell r="A455" t="str">
            <v>ST431</v>
          </cell>
          <cell r="P455">
            <v>62</v>
          </cell>
          <cell r="Q455">
            <v>12.45192307692308</v>
          </cell>
          <cell r="T455">
            <v>0.98541666666666672</v>
          </cell>
          <cell r="U455">
            <v>1.1000000000000001</v>
          </cell>
          <cell r="V455">
            <v>59</v>
          </cell>
          <cell r="AD455">
            <v>47.5</v>
          </cell>
          <cell r="AE455">
            <v>11.8</v>
          </cell>
          <cell r="AG455">
            <v>48.2</v>
          </cell>
          <cell r="AS455">
            <v>95.546445661073022</v>
          </cell>
          <cell r="AT455">
            <v>95.924426283590819</v>
          </cell>
          <cell r="AV455" t="str">
            <v>K. Benjamin</v>
          </cell>
          <cell r="AW455">
            <v>0.24583333333333346</v>
          </cell>
        </row>
        <row r="456">
          <cell r="A456" t="str">
            <v>ST432</v>
          </cell>
          <cell r="P456">
            <v>59</v>
          </cell>
          <cell r="Q456">
            <v>10.528846153846157</v>
          </cell>
          <cell r="T456">
            <v>1.0659722222222223</v>
          </cell>
          <cell r="U456">
            <v>1.1812499999999999</v>
          </cell>
          <cell r="V456">
            <v>57</v>
          </cell>
          <cell r="AD456">
            <v>48.9</v>
          </cell>
          <cell r="AE456">
            <v>11.9</v>
          </cell>
          <cell r="AG456">
            <v>49.4</v>
          </cell>
          <cell r="AS456">
            <v>98.798110377024656</v>
          </cell>
          <cell r="AT456">
            <v>99.188954547161117</v>
          </cell>
          <cell r="AV456" t="str">
            <v>K. Benjamin</v>
          </cell>
          <cell r="AW456">
            <v>0.24374999999999991</v>
          </cell>
        </row>
        <row r="457">
          <cell r="A457" t="str">
            <v>ST433</v>
          </cell>
          <cell r="P457">
            <v>63</v>
          </cell>
          <cell r="Q457">
            <v>12.259615384615383</v>
          </cell>
          <cell r="T457">
            <v>1.2194444444444446</v>
          </cell>
          <cell r="U457">
            <v>1.336111111111111</v>
          </cell>
          <cell r="V457">
            <v>61</v>
          </cell>
          <cell r="AD457">
            <v>47.6</v>
          </cell>
          <cell r="AE457">
            <v>12</v>
          </cell>
          <cell r="AG457">
            <v>47.2</v>
          </cell>
          <cell r="AS457">
            <v>95.471136285214527</v>
          </cell>
          <cell r="AT457">
            <v>95.848571053845376</v>
          </cell>
          <cell r="AV457" t="str">
            <v>K. Benjamin</v>
          </cell>
          <cell r="AW457">
            <v>0.25277777777777777</v>
          </cell>
        </row>
        <row r="458">
          <cell r="A458" t="str">
            <v>ST434</v>
          </cell>
          <cell r="P458">
            <v>58</v>
          </cell>
          <cell r="Q458">
            <v>10.316698656429942</v>
          </cell>
          <cell r="T458">
            <v>0.30902777777777779</v>
          </cell>
          <cell r="U458">
            <v>0.42152777777777778</v>
          </cell>
          <cell r="V458">
            <v>60</v>
          </cell>
          <cell r="AD458">
            <v>48.6</v>
          </cell>
          <cell r="AE458">
            <v>11.7</v>
          </cell>
          <cell r="AG458">
            <v>49.3</v>
          </cell>
          <cell r="AS458">
            <v>96.855818208238404</v>
          </cell>
          <cell r="AT458">
            <v>97.238978693251994</v>
          </cell>
          <cell r="AV458" t="str">
            <v>R.Sookram</v>
          </cell>
          <cell r="AW458">
            <v>0.24791666666666667</v>
          </cell>
        </row>
        <row r="459">
          <cell r="A459" t="str">
            <v>ST435</v>
          </cell>
          <cell r="P459">
            <v>56</v>
          </cell>
          <cell r="Q459">
            <v>11.084452975047981</v>
          </cell>
          <cell r="T459">
            <v>0.41180555555555554</v>
          </cell>
          <cell r="U459">
            <v>0.51666666666666672</v>
          </cell>
          <cell r="V459">
            <v>56</v>
          </cell>
          <cell r="AD459">
            <v>47.1</v>
          </cell>
          <cell r="AE459">
            <v>11.9</v>
          </cell>
          <cell r="AG459">
            <v>47.6</v>
          </cell>
          <cell r="AS459">
            <v>94.960555395961549</v>
          </cell>
          <cell r="AT459">
            <v>95.33646361854241</v>
          </cell>
          <cell r="AV459" t="str">
            <v>R.Sookram</v>
          </cell>
          <cell r="AW459">
            <v>0.2597222222222223</v>
          </cell>
        </row>
        <row r="460">
          <cell r="A460" t="str">
            <v>ST436</v>
          </cell>
          <cell r="P460">
            <v>59</v>
          </cell>
          <cell r="Q460">
            <v>9.9328214971209157</v>
          </cell>
          <cell r="T460">
            <v>0.49583333333333335</v>
          </cell>
          <cell r="U460">
            <v>0.61875000000000002</v>
          </cell>
          <cell r="V460">
            <v>73</v>
          </cell>
          <cell r="AD460">
            <v>50.5</v>
          </cell>
          <cell r="AE460">
            <v>11.8</v>
          </cell>
          <cell r="AG460">
            <v>51.1</v>
          </cell>
          <cell r="AS460">
            <v>100.79066520141535</v>
          </cell>
          <cell r="AT460">
            <v>101.18991147940805</v>
          </cell>
          <cell r="AV460" t="str">
            <v>R.Sookram</v>
          </cell>
          <cell r="AW460">
            <v>0.25763888888888892</v>
          </cell>
        </row>
        <row r="461">
          <cell r="A461" t="str">
            <v>ST437</v>
          </cell>
          <cell r="P461">
            <v>60</v>
          </cell>
          <cell r="Q461">
            <v>13.990384615384613</v>
          </cell>
          <cell r="T461">
            <v>0.83958333333333335</v>
          </cell>
          <cell r="U461">
            <v>0.94930555555555551</v>
          </cell>
          <cell r="V461">
            <v>56</v>
          </cell>
          <cell r="AD461">
            <v>46.9</v>
          </cell>
          <cell r="AE461">
            <v>11.9</v>
          </cell>
          <cell r="AG461">
            <v>46.9</v>
          </cell>
          <cell r="AS461">
            <v>94.468212745964692</v>
          </cell>
          <cell r="AT461">
            <v>94.880809015195339</v>
          </cell>
          <cell r="AV461" t="str">
            <v>R. Regis</v>
          </cell>
          <cell r="AW461">
            <v>0.25138888888888888</v>
          </cell>
        </row>
        <row r="462">
          <cell r="A462" t="str">
            <v>ST438</v>
          </cell>
          <cell r="P462">
            <v>58</v>
          </cell>
          <cell r="Q462">
            <v>13.387715930902115</v>
          </cell>
          <cell r="T462">
            <v>0.93263888888888891</v>
          </cell>
          <cell r="U462">
            <v>1.0423611111111111</v>
          </cell>
          <cell r="V462">
            <v>58</v>
          </cell>
          <cell r="AD462">
            <v>48.5</v>
          </cell>
          <cell r="AE462">
            <v>11.9</v>
          </cell>
          <cell r="AG462">
            <v>48.8</v>
          </cell>
          <cell r="AS462">
            <v>97.192444367259839</v>
          </cell>
          <cell r="AT462">
            <v>97.618196972814005</v>
          </cell>
          <cell r="AV462" t="str">
            <v>R.Sookram</v>
          </cell>
          <cell r="AW462">
            <v>0.24722222222222223</v>
          </cell>
        </row>
        <row r="463">
          <cell r="A463" t="str">
            <v>ST439</v>
          </cell>
          <cell r="P463">
            <v>58</v>
          </cell>
          <cell r="Q463">
            <v>13.387715930902115</v>
          </cell>
          <cell r="T463">
            <v>1.0243055555555556</v>
          </cell>
          <cell r="U463">
            <v>1.1305555555555555</v>
          </cell>
          <cell r="V463">
            <v>57</v>
          </cell>
          <cell r="AD463">
            <v>47</v>
          </cell>
          <cell r="AE463">
            <v>12.2</v>
          </cell>
          <cell r="AG463">
            <v>48.01</v>
          </cell>
          <cell r="AS463">
            <v>98.893221049037479</v>
          </cell>
          <cell r="AT463">
            <v>99.32557374698969</v>
          </cell>
          <cell r="AV463" t="str">
            <v>R.Sookram</v>
          </cell>
          <cell r="AW463">
            <v>0.24513888888888891</v>
          </cell>
        </row>
        <row r="464">
          <cell r="A464" t="str">
            <v>ST440</v>
          </cell>
          <cell r="P464">
            <v>58</v>
          </cell>
          <cell r="Q464">
            <v>14.923224568138194</v>
          </cell>
          <cell r="T464">
            <v>1.1187499999999999</v>
          </cell>
          <cell r="U464">
            <v>1.2333333333333334</v>
          </cell>
          <cell r="V464">
            <v>62</v>
          </cell>
          <cell r="AD464">
            <v>48.4</v>
          </cell>
          <cell r="AE464">
            <v>12</v>
          </cell>
          <cell r="AG464">
            <v>48.4</v>
          </cell>
          <cell r="AS464">
            <v>97.612534195473771</v>
          </cell>
          <cell r="AT464">
            <v>98.039708997995916</v>
          </cell>
          <cell r="AV464" t="str">
            <v>R.Sookram</v>
          </cell>
          <cell r="AW464">
            <v>0.25416666666666676</v>
          </cell>
        </row>
        <row r="465">
          <cell r="A465" t="str">
            <v>ST441</v>
          </cell>
          <cell r="P465">
            <v>57</v>
          </cell>
          <cell r="Q465">
            <v>10.700575815738969</v>
          </cell>
          <cell r="T465">
            <v>0.20624999999999999</v>
          </cell>
          <cell r="U465">
            <v>0.31319444444444444</v>
          </cell>
          <cell r="V465">
            <v>60</v>
          </cell>
          <cell r="AD465">
            <v>48.4</v>
          </cell>
          <cell r="AE465">
            <v>12</v>
          </cell>
          <cell r="AG465">
            <v>48</v>
          </cell>
          <cell r="AS465">
            <v>97.292791915815897</v>
          </cell>
          <cell r="AT465">
            <v>97.71800704539568</v>
          </cell>
          <cell r="AV465" t="str">
            <v>R.Sookram</v>
          </cell>
          <cell r="AW465">
            <v>0.24374999999999999</v>
          </cell>
        </row>
        <row r="466">
          <cell r="A466" t="str">
            <v>ST442</v>
          </cell>
          <cell r="P466">
            <v>60</v>
          </cell>
          <cell r="Q466">
            <v>13.387715930902115</v>
          </cell>
          <cell r="T466">
            <v>0.2986111111111111</v>
          </cell>
          <cell r="U466">
            <v>0.40763888888888888</v>
          </cell>
          <cell r="V466">
            <v>57</v>
          </cell>
          <cell r="AD466">
            <v>47</v>
          </cell>
          <cell r="AE466">
            <v>12</v>
          </cell>
          <cell r="AG466">
            <v>47.4</v>
          </cell>
          <cell r="AS466">
            <v>96.807101008605684</v>
          </cell>
          <cell r="AT466">
            <v>97.229346439745058</v>
          </cell>
          <cell r="AV466" t="str">
            <v>R.Sookram</v>
          </cell>
          <cell r="AW466">
            <v>0.24791666666666667</v>
          </cell>
        </row>
        <row r="467">
          <cell r="A467" t="str">
            <v>ST443</v>
          </cell>
          <cell r="P467">
            <v>60</v>
          </cell>
          <cell r="Q467">
            <v>13.195777351247601</v>
          </cell>
          <cell r="T467">
            <v>0.38750000000000001</v>
          </cell>
          <cell r="U467">
            <v>0.49513888888888891</v>
          </cell>
          <cell r="V467">
            <v>57</v>
          </cell>
          <cell r="AD467">
            <v>46.4</v>
          </cell>
          <cell r="AE467">
            <v>12</v>
          </cell>
          <cell r="AG467">
            <v>46.8</v>
          </cell>
          <cell r="AS467">
            <v>94.860472117920509</v>
          </cell>
          <cell r="AT467">
            <v>95.275056869260794</v>
          </cell>
          <cell r="AV467" t="str">
            <v>R. Regis</v>
          </cell>
          <cell r="AW467">
            <v>0.24861111111111112</v>
          </cell>
        </row>
        <row r="468">
          <cell r="A468" t="str">
            <v>ST444</v>
          </cell>
          <cell r="P468">
            <v>60</v>
          </cell>
          <cell r="Q468">
            <v>14.347408829174665</v>
          </cell>
          <cell r="T468">
            <v>0.50555555555555554</v>
          </cell>
          <cell r="U468">
            <v>0.61805555555555558</v>
          </cell>
          <cell r="V468">
            <v>66</v>
          </cell>
          <cell r="AD468">
            <v>46.9</v>
          </cell>
          <cell r="AE468">
            <v>12.2</v>
          </cell>
          <cell r="AG468">
            <v>46.6</v>
          </cell>
          <cell r="AS468">
            <v>95.628503044964347</v>
          </cell>
          <cell r="AT468">
            <v>96.046995272836625</v>
          </cell>
          <cell r="AV468" t="str">
            <v>R. Regis</v>
          </cell>
          <cell r="AW468">
            <v>0.26041666666666669</v>
          </cell>
        </row>
        <row r="469">
          <cell r="A469" t="str">
            <v>ST445</v>
          </cell>
          <cell r="P469">
            <v>60</v>
          </cell>
          <cell r="Q469">
            <v>12.044145873320534</v>
          </cell>
          <cell r="T469">
            <v>0.59652777777777777</v>
          </cell>
          <cell r="U469">
            <v>0.72430555555555554</v>
          </cell>
          <cell r="V469">
            <v>58</v>
          </cell>
          <cell r="AD469">
            <v>49.3</v>
          </cell>
          <cell r="AE469">
            <v>11.8</v>
          </cell>
          <cell r="AG469">
            <v>48.8</v>
          </cell>
          <cell r="AS469">
            <v>97.05969995485745</v>
          </cell>
          <cell r="AT469">
            <v>97.48403665552074</v>
          </cell>
          <cell r="AV469" t="str">
            <v>R. Regis</v>
          </cell>
          <cell r="AW469">
            <v>0.26249999999999996</v>
          </cell>
        </row>
        <row r="470">
          <cell r="A470" t="str">
            <v>ST446</v>
          </cell>
          <cell r="P470">
            <v>60</v>
          </cell>
          <cell r="Q470">
            <v>12.428023032629561</v>
          </cell>
          <cell r="T470">
            <v>0.69722222222222219</v>
          </cell>
          <cell r="U470">
            <v>0.81458333333333333</v>
          </cell>
          <cell r="V470">
            <v>59</v>
          </cell>
          <cell r="AD470">
            <v>49.1</v>
          </cell>
          <cell r="AE470">
            <v>11.8</v>
          </cell>
          <cell r="AG470">
            <v>49.2</v>
          </cell>
          <cell r="AS470">
            <v>97.244564358036726</v>
          </cell>
          <cell r="AT470">
            <v>97.670406810094875</v>
          </cell>
          <cell r="AV470" t="str">
            <v>R. Regis</v>
          </cell>
          <cell r="AW470">
            <v>0.25208333333333333</v>
          </cell>
        </row>
        <row r="471">
          <cell r="A471" t="str">
            <v>ST447</v>
          </cell>
          <cell r="P471">
            <v>59</v>
          </cell>
          <cell r="Q471">
            <v>11.490384615384617</v>
          </cell>
          <cell r="T471">
            <v>0.71180555555555558</v>
          </cell>
          <cell r="U471">
            <v>0.83402777777777781</v>
          </cell>
          <cell r="V471">
            <v>67</v>
          </cell>
          <cell r="AD471">
            <v>54.4</v>
          </cell>
          <cell r="AE471">
            <v>12</v>
          </cell>
          <cell r="AG471">
            <v>52.3</v>
          </cell>
          <cell r="AS471">
            <v>91.014361605375811</v>
          </cell>
          <cell r="AT471">
            <v>91.426954054757189</v>
          </cell>
          <cell r="AV471" t="str">
            <v>K. Benjamin</v>
          </cell>
          <cell r="AW471">
            <v>0.24722222222222223</v>
          </cell>
        </row>
        <row r="472">
          <cell r="A472" t="str">
            <v>ST448</v>
          </cell>
          <cell r="P472">
            <v>61</v>
          </cell>
          <cell r="Q472">
            <v>12.06730769230769</v>
          </cell>
          <cell r="T472">
            <v>0.80277777777777781</v>
          </cell>
          <cell r="U472">
            <v>0.92569444444444449</v>
          </cell>
          <cell r="V472">
            <v>64</v>
          </cell>
          <cell r="AD472">
            <v>51.9</v>
          </cell>
          <cell r="AE472">
            <v>12</v>
          </cell>
          <cell r="AG472">
            <v>51.8</v>
          </cell>
          <cell r="AS472">
            <v>97.400676484741709</v>
          </cell>
          <cell r="AT472">
            <v>97.834471282913213</v>
          </cell>
          <cell r="AV472" t="str">
            <v>K. Benjamin</v>
          </cell>
          <cell r="AW472">
            <v>0.25555555555555565</v>
          </cell>
        </row>
        <row r="473">
          <cell r="A473" t="str">
            <v>ST449</v>
          </cell>
          <cell r="P473">
            <v>63</v>
          </cell>
          <cell r="Q473">
            <v>15.336538461538465</v>
          </cell>
          <cell r="T473">
            <v>0.8833333333333333</v>
          </cell>
          <cell r="U473">
            <v>0.99722222222222223</v>
          </cell>
          <cell r="V473">
            <v>46</v>
          </cell>
          <cell r="AD473">
            <v>48.1</v>
          </cell>
          <cell r="AE473">
            <v>12</v>
          </cell>
          <cell r="AG473">
            <v>48</v>
          </cell>
          <cell r="AS473">
            <v>96.92710466931149</v>
          </cell>
          <cell r="AT473">
            <v>97.351140823992907</v>
          </cell>
          <cell r="AV473" t="str">
            <v>K. Benjamin</v>
          </cell>
          <cell r="AW473">
            <v>0.24375000000000002</v>
          </cell>
        </row>
        <row r="474">
          <cell r="A474" t="str">
            <v>ST450</v>
          </cell>
          <cell r="P474">
            <v>64</v>
          </cell>
          <cell r="Q474">
            <v>12.644230769230761</v>
          </cell>
          <cell r="T474">
            <v>0.97847222222222219</v>
          </cell>
          <cell r="U474">
            <v>1.0902777777777777</v>
          </cell>
          <cell r="V474">
            <v>60</v>
          </cell>
          <cell r="AD474">
            <v>48.5</v>
          </cell>
          <cell r="AE474">
            <v>11.8</v>
          </cell>
          <cell r="AG474">
            <v>47</v>
          </cell>
          <cell r="AS474">
            <v>93.597189250489166</v>
          </cell>
          <cell r="AT474">
            <v>94.006252863237449</v>
          </cell>
          <cell r="AV474" t="str">
            <v>K. Benjamin</v>
          </cell>
          <cell r="AW474">
            <v>0.2534722222222221</v>
          </cell>
        </row>
        <row r="475">
          <cell r="A475" t="str">
            <v>ST451</v>
          </cell>
          <cell r="P475">
            <v>60</v>
          </cell>
          <cell r="Q475">
            <v>7.2596153846153824</v>
          </cell>
          <cell r="T475">
            <v>1.0763888888888888</v>
          </cell>
          <cell r="U475">
            <v>1.2013888888888888</v>
          </cell>
          <cell r="V475">
            <v>70</v>
          </cell>
          <cell r="AD475">
            <v>49</v>
          </cell>
          <cell r="AE475">
            <v>11.9</v>
          </cell>
          <cell r="AG475">
            <v>47.5</v>
          </cell>
          <cell r="AS475">
            <v>95.316244753839001</v>
          </cell>
          <cell r="AT475">
            <v>95.732959217589382</v>
          </cell>
          <cell r="AV475" t="str">
            <v>K. Benjamin</v>
          </cell>
          <cell r="AW475">
            <v>0.27430555555555547</v>
          </cell>
        </row>
        <row r="476">
          <cell r="A476" t="str">
            <v>ST452</v>
          </cell>
          <cell r="P476">
            <v>70</v>
          </cell>
          <cell r="Q476">
            <v>12.06730769230769</v>
          </cell>
          <cell r="T476">
            <v>1.1847222222222222</v>
          </cell>
          <cell r="U476">
            <v>1.33125</v>
          </cell>
          <cell r="V476">
            <v>60</v>
          </cell>
          <cell r="AD476">
            <v>49.2</v>
          </cell>
          <cell r="AE476">
            <v>12</v>
          </cell>
          <cell r="AG476">
            <v>48.2</v>
          </cell>
          <cell r="AS476">
            <v>97.821198712349656</v>
          </cell>
          <cell r="AT476">
            <v>98.248581478816817</v>
          </cell>
          <cell r="AV476" t="str">
            <v>K. Benjamin</v>
          </cell>
          <cell r="AW476">
            <v>0.30000000000000004</v>
          </cell>
        </row>
        <row r="477">
          <cell r="A477" t="str">
            <v>ST453</v>
          </cell>
          <cell r="P477">
            <v>62</v>
          </cell>
          <cell r="Q477">
            <v>17.644230769230766</v>
          </cell>
          <cell r="T477">
            <v>0.88194444444444442</v>
          </cell>
          <cell r="U477">
            <v>0.9916666666666667</v>
          </cell>
          <cell r="V477">
            <v>54</v>
          </cell>
          <cell r="AD477">
            <v>46.8</v>
          </cell>
          <cell r="AE477">
            <v>12</v>
          </cell>
          <cell r="AG477">
            <v>45.9</v>
          </cell>
          <cell r="AS477">
            <v>94.461776426174509</v>
          </cell>
          <cell r="AT477">
            <v>94.872953078812486</v>
          </cell>
          <cell r="AV477" t="str">
            <v>K. Benjamin</v>
          </cell>
          <cell r="AW477">
            <v>0.23819444444444449</v>
          </cell>
        </row>
        <row r="478">
          <cell r="A478" t="str">
            <v>ST454</v>
          </cell>
          <cell r="P478">
            <v>62</v>
          </cell>
          <cell r="Q478">
            <v>12.644230769230761</v>
          </cell>
          <cell r="T478">
            <v>0.96736111111111112</v>
          </cell>
          <cell r="U478">
            <v>1.075</v>
          </cell>
          <cell r="V478">
            <v>51</v>
          </cell>
          <cell r="AD478">
            <v>47.6</v>
          </cell>
          <cell r="AE478">
            <v>11.8</v>
          </cell>
          <cell r="AG478">
            <v>48</v>
          </cell>
          <cell r="AS478">
            <v>95.5886188090102</v>
          </cell>
          <cell r="AT478">
            <v>96.00638590288078</v>
          </cell>
          <cell r="AV478" t="str">
            <v>K. Benjamin</v>
          </cell>
          <cell r="AW478">
            <v>0.23819444444444438</v>
          </cell>
        </row>
        <row r="479">
          <cell r="A479" t="str">
            <v>ST455</v>
          </cell>
          <cell r="P479">
            <v>60</v>
          </cell>
          <cell r="Q479">
            <v>12.259615384615383</v>
          </cell>
          <cell r="T479">
            <v>1.0493055555555555</v>
          </cell>
          <cell r="U479">
            <v>1.1569444444444446</v>
          </cell>
          <cell r="V479">
            <v>51</v>
          </cell>
          <cell r="AD479">
            <v>48.7</v>
          </cell>
          <cell r="AE479">
            <v>11.8</v>
          </cell>
          <cell r="AG479">
            <v>48.5</v>
          </cell>
          <cell r="AS479">
            <v>96.342013714051987</v>
          </cell>
          <cell r="AT479">
            <v>96.763351657832089</v>
          </cell>
          <cell r="AV479" t="str">
            <v>K. Benjamin</v>
          </cell>
          <cell r="AW479">
            <v>0.23680555555555571</v>
          </cell>
        </row>
        <row r="480">
          <cell r="A480" t="str">
            <v>ST456</v>
          </cell>
          <cell r="P480">
            <v>60</v>
          </cell>
          <cell r="Q480">
            <v>12.644230769230761</v>
          </cell>
          <cell r="T480">
            <v>1.1354166666666667</v>
          </cell>
          <cell r="U480">
            <v>1.2493055555555554</v>
          </cell>
          <cell r="V480">
            <v>60</v>
          </cell>
          <cell r="AD480">
            <v>48.5</v>
          </cell>
          <cell r="AE480">
            <v>11.9</v>
          </cell>
          <cell r="AG480">
            <v>48.6</v>
          </cell>
          <cell r="AS480">
            <v>97.523568316559476</v>
          </cell>
          <cell r="AT480">
            <v>97.949933009996698</v>
          </cell>
          <cell r="AV480" t="str">
            <v>K. Benjamin</v>
          </cell>
          <cell r="AW480">
            <v>0.24930555555555545</v>
          </cell>
        </row>
        <row r="481">
          <cell r="A481" t="str">
            <v>ST457</v>
          </cell>
          <cell r="P481">
            <v>60</v>
          </cell>
          <cell r="Q481">
            <v>12.236084452975048</v>
          </cell>
          <cell r="T481">
            <v>0.43541666666666667</v>
          </cell>
          <cell r="U481">
            <v>0.55069444444444449</v>
          </cell>
          <cell r="V481">
            <v>53</v>
          </cell>
          <cell r="AD481">
            <v>48</v>
          </cell>
          <cell r="AE481">
            <v>12</v>
          </cell>
          <cell r="AG481">
            <v>49</v>
          </cell>
          <cell r="AS481">
            <v>99.070542398663576</v>
          </cell>
          <cell r="AT481">
            <v>99.503813170305577</v>
          </cell>
          <cell r="AV481" t="str">
            <v>R. Regis</v>
          </cell>
          <cell r="AW481">
            <v>0.25208333333333338</v>
          </cell>
        </row>
        <row r="482">
          <cell r="A482" t="str">
            <v>ST458</v>
          </cell>
          <cell r="P482">
            <v>60</v>
          </cell>
          <cell r="Q482">
            <v>10.892514395393468</v>
          </cell>
          <cell r="T482">
            <v>0.52986111111111112</v>
          </cell>
          <cell r="U482">
            <v>0.64166666666666672</v>
          </cell>
          <cell r="V482">
            <v>62</v>
          </cell>
          <cell r="AD482">
            <v>49.2</v>
          </cell>
          <cell r="AE482">
            <v>11.9</v>
          </cell>
          <cell r="AG482">
            <v>49.8</v>
          </cell>
          <cell r="AS482">
            <v>99.432002244689329</v>
          </cell>
          <cell r="AT482">
            <v>99.86728174470349</v>
          </cell>
          <cell r="AV482" t="str">
            <v>R. Regis</v>
          </cell>
          <cell r="AW482">
            <v>0.2458333333333334</v>
          </cell>
        </row>
        <row r="483">
          <cell r="A483" t="str">
            <v>ST459</v>
          </cell>
          <cell r="P483">
            <v>60</v>
          </cell>
          <cell r="Q483">
            <v>12.044145873320534</v>
          </cell>
          <cell r="T483">
            <v>0.62777777777777777</v>
          </cell>
          <cell r="U483">
            <v>0.74305555555555558</v>
          </cell>
          <cell r="V483">
            <v>62</v>
          </cell>
          <cell r="AD483">
            <v>49.3</v>
          </cell>
          <cell r="AE483">
            <v>11.8</v>
          </cell>
          <cell r="AG483">
            <v>47.6</v>
          </cell>
          <cell r="AS483">
            <v>94.082139500864798</v>
          </cell>
          <cell r="AT483">
            <v>94.494133417896663</v>
          </cell>
          <cell r="AV483" t="str">
            <v>R. Regis</v>
          </cell>
          <cell r="AW483">
            <v>0.25</v>
          </cell>
        </row>
        <row r="484">
          <cell r="A484" t="str">
            <v>ST460</v>
          </cell>
          <cell r="P484">
            <v>63</v>
          </cell>
          <cell r="Q484">
            <v>12.428023032629561</v>
          </cell>
          <cell r="T484">
            <v>0.72777777777777775</v>
          </cell>
          <cell r="U484">
            <v>0.84236111111111112</v>
          </cell>
          <cell r="V484">
            <v>62</v>
          </cell>
          <cell r="AD484">
            <v>48.3</v>
          </cell>
          <cell r="AE484">
            <v>11.9</v>
          </cell>
          <cell r="AG484">
            <v>47.4</v>
          </cell>
          <cell r="AS484">
            <v>94.169348252940196</v>
          </cell>
          <cell r="AT484">
            <v>94.582125326212392</v>
          </cell>
          <cell r="AV484" t="str">
            <v>R.Sookram</v>
          </cell>
          <cell r="AW484">
            <v>0.24861111111111112</v>
          </cell>
        </row>
      </sheetData>
      <sheetData sheetId="7">
        <row r="419">
          <cell r="D419">
            <v>11.9</v>
          </cell>
        </row>
        <row r="424">
          <cell r="D424">
            <v>11.8</v>
          </cell>
        </row>
        <row r="425">
          <cell r="D425">
            <v>11.9</v>
          </cell>
        </row>
        <row r="426">
          <cell r="D426">
            <v>11.9</v>
          </cell>
        </row>
        <row r="427">
          <cell r="D427">
            <v>11.8</v>
          </cell>
        </row>
        <row r="428">
          <cell r="D428">
            <v>11.8</v>
          </cell>
        </row>
        <row r="429">
          <cell r="D429">
            <v>12.2</v>
          </cell>
        </row>
        <row r="430">
          <cell r="D430">
            <v>12</v>
          </cell>
        </row>
        <row r="431">
          <cell r="D431">
            <v>11.7</v>
          </cell>
        </row>
        <row r="432">
          <cell r="D432">
            <v>11.8</v>
          </cell>
        </row>
        <row r="433">
          <cell r="D433">
            <v>11.8</v>
          </cell>
        </row>
        <row r="434">
          <cell r="D434">
            <v>12</v>
          </cell>
        </row>
        <row r="435">
          <cell r="D435">
            <v>11.7</v>
          </cell>
        </row>
        <row r="436">
          <cell r="D436">
            <v>12</v>
          </cell>
        </row>
        <row r="437">
          <cell r="D437">
            <v>11.7</v>
          </cell>
        </row>
        <row r="438">
          <cell r="D438">
            <v>11.7</v>
          </cell>
        </row>
        <row r="439">
          <cell r="D439">
            <v>12.1</v>
          </cell>
        </row>
        <row r="440">
          <cell r="D440">
            <v>11.9</v>
          </cell>
        </row>
        <row r="441">
          <cell r="D441">
            <v>11.8</v>
          </cell>
        </row>
        <row r="442">
          <cell r="D442">
            <v>12</v>
          </cell>
        </row>
        <row r="443">
          <cell r="D443">
            <v>11.8</v>
          </cell>
        </row>
        <row r="444">
          <cell r="D444">
            <v>11.9</v>
          </cell>
        </row>
        <row r="445">
          <cell r="D445">
            <v>12</v>
          </cell>
        </row>
        <row r="446">
          <cell r="D446">
            <v>11.8</v>
          </cell>
        </row>
        <row r="447">
          <cell r="D447">
            <v>11.8</v>
          </cell>
        </row>
        <row r="449">
          <cell r="D449">
            <v>12</v>
          </cell>
        </row>
        <row r="450">
          <cell r="D450">
            <v>12</v>
          </cell>
        </row>
        <row r="451">
          <cell r="D451">
            <v>12</v>
          </cell>
        </row>
        <row r="452">
          <cell r="D452">
            <v>11.8</v>
          </cell>
        </row>
        <row r="453">
          <cell r="D453">
            <v>11.8</v>
          </cell>
        </row>
        <row r="454">
          <cell r="D454">
            <v>12</v>
          </cell>
        </row>
        <row r="455">
          <cell r="D455">
            <v>11.8</v>
          </cell>
        </row>
        <row r="456">
          <cell r="D456">
            <v>11.9</v>
          </cell>
        </row>
        <row r="457">
          <cell r="D457">
            <v>12</v>
          </cell>
        </row>
        <row r="458">
          <cell r="D458">
            <v>11.7</v>
          </cell>
        </row>
        <row r="459">
          <cell r="D459">
            <v>11.9</v>
          </cell>
        </row>
        <row r="460">
          <cell r="D460">
            <v>11.8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Guinnbottling"/>
      <sheetName val="Summary April '25"/>
      <sheetName val="Summary March '25"/>
      <sheetName val="Summary February '25"/>
      <sheetName val="Summary January '25"/>
      <sheetName val="Summary Dec '24  "/>
    </sheetNames>
    <sheetDataSet>
      <sheetData sheetId="0"/>
      <sheetData sheetId="1">
        <row r="4">
          <cell r="AU4">
            <v>95.064652661521251</v>
          </cell>
        </row>
        <row r="5">
          <cell r="AU5">
            <v>96.761647531636157</v>
          </cell>
        </row>
        <row r="6">
          <cell r="AU6">
            <v>98.540988907028222</v>
          </cell>
        </row>
        <row r="7">
          <cell r="AU7">
            <v>97.987496127919911</v>
          </cell>
        </row>
        <row r="9">
          <cell r="AU9">
            <v>96.878658921984908</v>
          </cell>
        </row>
        <row r="10">
          <cell r="AU10">
            <v>95.771550127068778</v>
          </cell>
        </row>
        <row r="11">
          <cell r="AU11">
            <v>97.655042988145951</v>
          </cell>
        </row>
        <row r="12">
          <cell r="AU12">
            <v>97.588179145211456</v>
          </cell>
        </row>
        <row r="13">
          <cell r="AU13">
            <v>95.48497302787608</v>
          </cell>
        </row>
        <row r="14">
          <cell r="AU14">
            <v>96.085762312216758</v>
          </cell>
        </row>
        <row r="15">
          <cell r="AU15">
            <v>94.435555625701596</v>
          </cell>
        </row>
        <row r="16">
          <cell r="AU16">
            <v>95.624399511520494</v>
          </cell>
        </row>
        <row r="17">
          <cell r="AU17">
            <v>96.979216130328368</v>
          </cell>
        </row>
        <row r="18">
          <cell r="AU18">
            <v>94.248871364698488</v>
          </cell>
        </row>
        <row r="19">
          <cell r="AU19">
            <v>95.050384097787941</v>
          </cell>
        </row>
        <row r="20">
          <cell r="AU20">
            <v>95.050384097787941</v>
          </cell>
        </row>
        <row r="21">
          <cell r="AU21">
            <v>95.2118805924067</v>
          </cell>
        </row>
        <row r="22">
          <cell r="AU22">
            <v>97.521945612269661</v>
          </cell>
        </row>
        <row r="24">
          <cell r="AU24">
            <v>101.17562190812932</v>
          </cell>
        </row>
        <row r="25">
          <cell r="AU25">
            <v>104.35489283685058</v>
          </cell>
        </row>
        <row r="26">
          <cell r="AU26">
            <v>96.487973390295707</v>
          </cell>
        </row>
        <row r="27">
          <cell r="AU27">
            <v>96.125236648226917</v>
          </cell>
        </row>
        <row r="28">
          <cell r="AU28">
            <v>96.035425509762433</v>
          </cell>
        </row>
        <row r="29">
          <cell r="AU29">
            <v>97.504418634194764</v>
          </cell>
        </row>
        <row r="30">
          <cell r="AU30">
            <v>96.37756538871183</v>
          </cell>
        </row>
        <row r="31">
          <cell r="AU31">
            <v>97.487479769387974</v>
          </cell>
        </row>
        <row r="32">
          <cell r="AU32">
            <v>94.125484514622414</v>
          </cell>
        </row>
        <row r="33">
          <cell r="AU33">
            <v>97.508191618159188</v>
          </cell>
        </row>
        <row r="34">
          <cell r="AU34">
            <v>97.827131938655612</v>
          </cell>
        </row>
        <row r="35">
          <cell r="AU35">
            <v>96.619542475024176</v>
          </cell>
        </row>
        <row r="37">
          <cell r="AU37">
            <v>96.214667872117261</v>
          </cell>
        </row>
        <row r="38">
          <cell r="AU38">
            <v>96.902724932547827</v>
          </cell>
        </row>
        <row r="39">
          <cell r="AU39">
            <v>96.477419827020157</v>
          </cell>
        </row>
        <row r="40">
          <cell r="AU40">
            <v>97.958535684216713</v>
          </cell>
        </row>
        <row r="41">
          <cell r="AU41">
            <v>98.383583724984007</v>
          </cell>
        </row>
        <row r="42">
          <cell r="AU42">
            <v>96.793336074199303</v>
          </cell>
        </row>
        <row r="43">
          <cell r="AU43">
            <v>99.803737147936374</v>
          </cell>
        </row>
        <row r="44">
          <cell r="AU44">
            <v>102.72591618996796</v>
          </cell>
        </row>
        <row r="45">
          <cell r="AU45">
            <v>97.552718434345124</v>
          </cell>
        </row>
        <row r="47">
          <cell r="AU47">
            <v>92.888951923394671</v>
          </cell>
        </row>
        <row r="48">
          <cell r="AU48">
            <v>95.806125620162447</v>
          </cell>
        </row>
        <row r="49">
          <cell r="AU49">
            <v>94.355661968588151</v>
          </cell>
        </row>
        <row r="50">
          <cell r="AU50">
            <v>95.810201396742571</v>
          </cell>
        </row>
        <row r="51">
          <cell r="AU51">
            <v>99.427652456948039</v>
          </cell>
        </row>
        <row r="52">
          <cell r="AU52">
            <v>97.654775523306199</v>
          </cell>
        </row>
        <row r="53">
          <cell r="AU53">
            <v>100.94816106190711</v>
          </cell>
        </row>
        <row r="54">
          <cell r="AU54">
            <v>97.448016749021562</v>
          </cell>
        </row>
        <row r="55">
          <cell r="AU55">
            <v>93.513475858619572</v>
          </cell>
        </row>
        <row r="56">
          <cell r="AU56">
            <v>98.277172200509639</v>
          </cell>
        </row>
        <row r="57">
          <cell r="AU57">
            <v>95.760757936806428</v>
          </cell>
        </row>
        <row r="58">
          <cell r="AU58">
            <v>96.573578554362598</v>
          </cell>
        </row>
        <row r="59">
          <cell r="AU59">
            <v>99.533476293047087</v>
          </cell>
        </row>
        <row r="60">
          <cell r="AU60">
            <v>100.79975408192627</v>
          </cell>
        </row>
        <row r="61">
          <cell r="AU61">
            <v>99.223354141007036</v>
          </cell>
        </row>
        <row r="62">
          <cell r="AU62">
            <v>100.46143353752879</v>
          </cell>
        </row>
        <row r="64">
          <cell r="AU64">
            <v>95.602395026170299</v>
          </cell>
        </row>
        <row r="65">
          <cell r="AU65">
            <v>97.762581464269644</v>
          </cell>
        </row>
        <row r="66">
          <cell r="AU66">
            <v>97.743357577875017</v>
          </cell>
        </row>
        <row r="67">
          <cell r="AU67">
            <v>98.042300648720754</v>
          </cell>
        </row>
        <row r="68">
          <cell r="AU68">
            <v>98.519506903206036</v>
          </cell>
        </row>
        <row r="69">
          <cell r="AU69">
            <v>97.87847240921738</v>
          </cell>
        </row>
        <row r="70">
          <cell r="AU70">
            <v>95.781056875880395</v>
          </cell>
        </row>
        <row r="71">
          <cell r="AU71">
            <v>96.861776608600863</v>
          </cell>
        </row>
        <row r="72">
          <cell r="AU72">
            <v>93.381881284929378</v>
          </cell>
        </row>
        <row r="73">
          <cell r="AU73">
            <v>95.573978353377044</v>
          </cell>
        </row>
        <row r="74">
          <cell r="AU74">
            <v>96.329503873957094</v>
          </cell>
        </row>
        <row r="75">
          <cell r="AU75">
            <v>97.549176167683427</v>
          </cell>
        </row>
        <row r="76">
          <cell r="AU76">
            <v>97.240142923478217</v>
          </cell>
        </row>
        <row r="77">
          <cell r="AU77">
            <v>91.800652908866041</v>
          </cell>
        </row>
        <row r="78">
          <cell r="AU78">
            <v>96.204501549542428</v>
          </cell>
        </row>
        <row r="79">
          <cell r="AU79">
            <v>97.206266997269381</v>
          </cell>
        </row>
        <row r="81">
          <cell r="AU81">
            <v>96.452079426676278</v>
          </cell>
        </row>
        <row r="82">
          <cell r="AU82">
            <v>96.065985252726961</v>
          </cell>
        </row>
        <row r="83">
          <cell r="AU83">
            <v>95.441460527610872</v>
          </cell>
        </row>
        <row r="84">
          <cell r="AU84">
            <v>96.121978763783517</v>
          </cell>
        </row>
        <row r="85">
          <cell r="AU85">
            <v>95.007032865785504</v>
          </cell>
        </row>
        <row r="86">
          <cell r="AU86">
            <v>97.272320791361707</v>
          </cell>
        </row>
        <row r="87">
          <cell r="AU87">
            <v>97.807774624525237</v>
          </cell>
        </row>
        <row r="88">
          <cell r="AU88">
            <v>97.014543681424854</v>
          </cell>
        </row>
        <row r="89">
          <cell r="AU89">
            <v>96.667741026067404</v>
          </cell>
        </row>
        <row r="90">
          <cell r="AU90">
            <v>95.010280290434139</v>
          </cell>
        </row>
        <row r="91">
          <cell r="AU91">
            <v>97.886445156995904</v>
          </cell>
        </row>
        <row r="92">
          <cell r="AU92">
            <v>96.778397165023506</v>
          </cell>
        </row>
        <row r="94">
          <cell r="AU94">
            <v>94.352366624641022</v>
          </cell>
        </row>
        <row r="95">
          <cell r="AU95">
            <v>94.566859490484816</v>
          </cell>
        </row>
        <row r="96">
          <cell r="AU96">
            <v>94.3413084521017</v>
          </cell>
        </row>
        <row r="97">
          <cell r="AU97">
            <v>93.914364604824101</v>
          </cell>
        </row>
        <row r="99">
          <cell r="AU99">
            <v>93.495308959672286</v>
          </cell>
        </row>
        <row r="100">
          <cell r="AU100">
            <v>94.939013157842624</v>
          </cell>
        </row>
        <row r="101">
          <cell r="AU101">
            <v>94.844556920967619</v>
          </cell>
        </row>
        <row r="102">
          <cell r="AU102">
            <v>95.04867932044354</v>
          </cell>
        </row>
        <row r="103">
          <cell r="AU103">
            <v>95.51431937725215</v>
          </cell>
        </row>
        <row r="104">
          <cell r="AU104">
            <v>95.758971226876398</v>
          </cell>
        </row>
        <row r="105">
          <cell r="AU105">
            <v>93.701673172125652</v>
          </cell>
        </row>
        <row r="106">
          <cell r="AU106">
            <v>95.287475319992694</v>
          </cell>
        </row>
        <row r="116">
          <cell r="A116" t="str">
            <v>GU104</v>
          </cell>
          <cell r="O116">
            <v>56</v>
          </cell>
          <cell r="R116">
            <v>6.9162210338680978</v>
          </cell>
          <cell r="T116">
            <v>0.75694444444444442</v>
          </cell>
          <cell r="U116">
            <v>0.87222222222222223</v>
          </cell>
          <cell r="V116">
            <v>60</v>
          </cell>
          <cell r="Z116">
            <v>0.26111111111111107</v>
          </cell>
          <cell r="AF116">
            <v>53.3</v>
          </cell>
          <cell r="AG116">
            <v>17.100000000000001</v>
          </cell>
          <cell r="AI116">
            <v>50.1</v>
          </cell>
          <cell r="AU116">
            <v>93.22172476918908</v>
          </cell>
          <cell r="AV116">
            <v>93.3221522697729</v>
          </cell>
          <cell r="AW116" t="str">
            <v>R. Sookram</v>
          </cell>
        </row>
        <row r="117">
          <cell r="A117" t="str">
            <v>GU105</v>
          </cell>
          <cell r="O117">
            <v>56</v>
          </cell>
          <cell r="R117">
            <v>6.0249554367201466</v>
          </cell>
          <cell r="T117">
            <v>0.87083333333333335</v>
          </cell>
          <cell r="U117">
            <v>0.98611111111111116</v>
          </cell>
          <cell r="V117">
            <v>60</v>
          </cell>
          <cell r="Z117">
            <v>0.27083333333333337</v>
          </cell>
          <cell r="AF117">
            <v>53.8</v>
          </cell>
          <cell r="AG117">
            <v>17.2</v>
          </cell>
          <cell r="AI117">
            <v>50.6</v>
          </cell>
          <cell r="AU117">
            <v>95.321640749841322</v>
          </cell>
          <cell r="AV117">
            <v>95.424188790560464</v>
          </cell>
          <cell r="AW117" t="str">
            <v>R. Sookram</v>
          </cell>
        </row>
        <row r="118">
          <cell r="A118" t="str">
            <v>GU106</v>
          </cell>
          <cell r="O118">
            <v>60</v>
          </cell>
          <cell r="R118">
            <v>3.5357142857142803</v>
          </cell>
          <cell r="T118">
            <v>0.97847222222222219</v>
          </cell>
          <cell r="U118">
            <v>1.0958333333333334</v>
          </cell>
          <cell r="V118">
            <v>62</v>
          </cell>
          <cell r="Z118">
            <v>0.27986111111111123</v>
          </cell>
          <cell r="AF118">
            <v>55.1</v>
          </cell>
          <cell r="AG118">
            <v>17.2</v>
          </cell>
          <cell r="AI118">
            <v>51.9</v>
          </cell>
          <cell r="AU118">
            <v>97.926390043262359</v>
          </cell>
          <cell r="AV118">
            <v>98.031703619967615</v>
          </cell>
          <cell r="AW118" t="str">
            <v>K. Benjamin</v>
          </cell>
        </row>
        <row r="119">
          <cell r="A119" t="str">
            <v>GU107</v>
          </cell>
          <cell r="O119">
            <v>58</v>
          </cell>
          <cell r="R119">
            <v>5.7037037037037006</v>
          </cell>
          <cell r="T119">
            <v>1.0736111111111111</v>
          </cell>
          <cell r="U119">
            <v>1.1965277777777779</v>
          </cell>
          <cell r="V119">
            <v>53</v>
          </cell>
          <cell r="Z119">
            <v>0.2729166666666667</v>
          </cell>
          <cell r="AF119">
            <v>52</v>
          </cell>
          <cell r="AG119">
            <v>17.399999999999999</v>
          </cell>
          <cell r="AI119">
            <v>48.8</v>
          </cell>
          <cell r="AU119">
            <v>93.229439925706174</v>
          </cell>
          <cell r="AV119">
            <v>93.329702232613087</v>
          </cell>
          <cell r="AW119" t="str">
            <v>K. Benjamin</v>
          </cell>
        </row>
        <row r="120">
          <cell r="A120" t="str">
            <v>GU108</v>
          </cell>
          <cell r="O120">
            <v>60</v>
          </cell>
          <cell r="R120">
            <v>8.0136986301369859</v>
          </cell>
          <cell r="T120">
            <v>1.0347222222222223</v>
          </cell>
          <cell r="U120">
            <v>1.1527777777777777</v>
          </cell>
          <cell r="V120">
            <v>63</v>
          </cell>
          <cell r="Z120">
            <v>0.25694444444444431</v>
          </cell>
          <cell r="AF120">
            <v>54.8</v>
          </cell>
          <cell r="AG120">
            <v>17</v>
          </cell>
          <cell r="AI120">
            <v>50.1</v>
          </cell>
          <cell r="AU120">
            <v>93.272882916503036</v>
          </cell>
          <cell r="AV120">
            <v>93.373209426503053</v>
          </cell>
          <cell r="AW120" t="str">
            <v>K. Benjamin</v>
          </cell>
        </row>
        <row r="121">
          <cell r="A121" t="str">
            <v>GU109</v>
          </cell>
          <cell r="O121">
            <v>60</v>
          </cell>
          <cell r="R121">
            <v>8.4693877551020353</v>
          </cell>
          <cell r="T121">
            <v>1.1305555555555555</v>
          </cell>
          <cell r="U121">
            <v>1.257638888888889</v>
          </cell>
          <cell r="V121">
            <v>62</v>
          </cell>
          <cell r="Z121">
            <v>0.26458333333333339</v>
          </cell>
          <cell r="AF121">
            <v>54.9</v>
          </cell>
          <cell r="AG121">
            <v>17.100000000000001</v>
          </cell>
          <cell r="AI121">
            <v>51.3</v>
          </cell>
          <cell r="AU121">
            <v>95.909384046964689</v>
          </cell>
          <cell r="AV121">
            <v>96.012600199759262</v>
          </cell>
          <cell r="AW121" t="str">
            <v>K. Benjamin</v>
          </cell>
        </row>
        <row r="122">
          <cell r="A122" t="str">
            <v>GU110</v>
          </cell>
          <cell r="O122">
            <v>59</v>
          </cell>
          <cell r="R122">
            <v>8.3138564273789601</v>
          </cell>
          <cell r="T122">
            <v>0.24166666666666667</v>
          </cell>
          <cell r="U122">
            <v>0.36249999999999999</v>
          </cell>
          <cell r="V122">
            <v>60</v>
          </cell>
          <cell r="Z122">
            <v>0.2722222222222222</v>
          </cell>
          <cell r="AF122">
            <v>56</v>
          </cell>
          <cell r="AG122">
            <v>16.7</v>
          </cell>
          <cell r="AI122">
            <v>51</v>
          </cell>
          <cell r="AU122">
            <v>93.095691215198215</v>
          </cell>
          <cell r="AV122">
            <v>93.195844555598313</v>
          </cell>
          <cell r="AW122" t="str">
            <v>R. Regis</v>
          </cell>
        </row>
        <row r="123">
          <cell r="A123" t="str">
            <v>GU111</v>
          </cell>
          <cell r="O123">
            <v>88</v>
          </cell>
          <cell r="T123">
            <v>0.34097222222222223</v>
          </cell>
          <cell r="U123">
            <v>0.49305555555555558</v>
          </cell>
          <cell r="V123">
            <v>63</v>
          </cell>
          <cell r="Z123">
            <v>0.29861111111111116</v>
          </cell>
          <cell r="AF123">
            <v>52.2</v>
          </cell>
          <cell r="AG123">
            <v>17.399999999999999</v>
          </cell>
          <cell r="AI123">
            <v>49.3</v>
          </cell>
          <cell r="AU123">
            <v>93.960104817624511</v>
          </cell>
          <cell r="AV123">
            <v>94.061205659216711</v>
          </cell>
          <cell r="AW123" t="str">
            <v>R. Regis</v>
          </cell>
        </row>
      </sheetData>
      <sheetData sheetId="2">
        <row r="119">
          <cell r="D119">
            <v>17.2</v>
          </cell>
        </row>
        <row r="120">
          <cell r="D120">
            <v>17.399999999999999</v>
          </cell>
        </row>
        <row r="121">
          <cell r="D121">
            <v>17.2</v>
          </cell>
        </row>
        <row r="122">
          <cell r="D122">
            <v>17</v>
          </cell>
        </row>
        <row r="123">
          <cell r="D123">
            <v>17.3</v>
          </cell>
        </row>
        <row r="124">
          <cell r="D124">
            <v>17.399999999999999</v>
          </cell>
        </row>
        <row r="125">
          <cell r="D125">
            <v>17.3</v>
          </cell>
        </row>
        <row r="126">
          <cell r="D126">
            <v>16.8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August'25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  <sheetName val="Summary March '24"/>
      <sheetName val="Summary January'24"/>
      <sheetName val="Summary September'25"/>
      <sheetName val="Summary October'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AT4">
            <v>91.980534426214859</v>
          </cell>
        </row>
        <row r="5">
          <cell r="AT5">
            <v>95.066683069960561</v>
          </cell>
        </row>
        <row r="6">
          <cell r="AT6">
            <v>95.883338904704345</v>
          </cell>
        </row>
        <row r="7">
          <cell r="AT7">
            <v>94.113898794831059</v>
          </cell>
        </row>
        <row r="8">
          <cell r="AT8">
            <v>95.898569361205759</v>
          </cell>
        </row>
        <row r="9">
          <cell r="AT9">
            <v>93.701438852695176</v>
          </cell>
        </row>
        <row r="10">
          <cell r="AT10">
            <v>95.891379370044191</v>
          </cell>
        </row>
        <row r="11">
          <cell r="AT11">
            <v>95.965090010922808</v>
          </cell>
        </row>
        <row r="13">
          <cell r="AT13">
            <v>93.283411294323415</v>
          </cell>
        </row>
        <row r="14">
          <cell r="AT14">
            <v>96.569662058453758</v>
          </cell>
        </row>
        <row r="15">
          <cell r="AT15">
            <v>97.892925540493906</v>
          </cell>
        </row>
        <row r="16">
          <cell r="AT16">
            <v>89.877374824695281</v>
          </cell>
        </row>
        <row r="18">
          <cell r="AT18">
            <v>93.502897385814322</v>
          </cell>
        </row>
        <row r="19">
          <cell r="AT19">
            <v>95.829405051357114</v>
          </cell>
        </row>
        <row r="20">
          <cell r="AT20">
            <v>94.712550055902142</v>
          </cell>
        </row>
        <row r="21">
          <cell r="AT21">
            <v>96.201558080682787</v>
          </cell>
        </row>
        <row r="26">
          <cell r="AT26">
            <v>91.626266310300238</v>
          </cell>
        </row>
        <row r="28">
          <cell r="AT28">
            <v>94.489668133257737</v>
          </cell>
        </row>
        <row r="29">
          <cell r="AT29">
            <v>95.994784321626057</v>
          </cell>
        </row>
        <row r="30">
          <cell r="AT30">
            <v>95.337788432396806</v>
          </cell>
        </row>
        <row r="31">
          <cell r="AT31">
            <v>94.03638367048454</v>
          </cell>
        </row>
        <row r="32">
          <cell r="AT32">
            <v>93.850571528798568</v>
          </cell>
        </row>
        <row r="33">
          <cell r="AT33">
            <v>96.575988170029959</v>
          </cell>
        </row>
        <row r="34">
          <cell r="AT34">
            <v>96.307318678936582</v>
          </cell>
        </row>
        <row r="35">
          <cell r="AT35">
            <v>95.27712196247154</v>
          </cell>
        </row>
      </sheetData>
      <sheetData sheetId="8">
        <row r="4">
          <cell r="D4">
            <v>13.5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July 2025"/>
      <sheetName val="Summary June 2025 "/>
      <sheetName val="Summary February 2025"/>
      <sheetName val="Summary January 2025"/>
      <sheetName val="Summary March 2022"/>
    </sheetNames>
    <sheetDataSet>
      <sheetData sheetId="0"/>
      <sheetData sheetId="1"/>
      <sheetData sheetId="2"/>
      <sheetData sheetId="3"/>
      <sheetData sheetId="4"/>
      <sheetData sheetId="5">
        <row r="5">
          <cell r="A5" t="str">
            <v>HP001</v>
          </cell>
          <cell r="AU5">
            <v>92.965702451125438</v>
          </cell>
        </row>
        <row r="6">
          <cell r="AU6">
            <v>93.048999749652921</v>
          </cell>
        </row>
        <row r="7">
          <cell r="AU7">
            <v>84.477722903722579</v>
          </cell>
        </row>
        <row r="8">
          <cell r="AU8">
            <v>93.535128245977376</v>
          </cell>
        </row>
        <row r="10">
          <cell r="AU10">
            <v>94.811455712610496</v>
          </cell>
        </row>
        <row r="11">
          <cell r="AU11">
            <v>98.883453602895727</v>
          </cell>
        </row>
        <row r="12">
          <cell r="AU12">
            <v>98.52698786953647</v>
          </cell>
        </row>
        <row r="13">
          <cell r="AU13">
            <v>97.731882466029035</v>
          </cell>
        </row>
      </sheetData>
      <sheetData sheetId="6">
        <row r="5">
          <cell r="D5">
            <v>11.7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'25"/>
      <sheetName val="Summary June'25"/>
      <sheetName val="Summary October '24"/>
      <sheetName val="Summary April '24"/>
      <sheetName val="Summary March '24"/>
      <sheetName val="Summary August '23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November'24"/>
    </sheetNames>
    <sheetDataSet>
      <sheetData sheetId="0" refreshError="1"/>
      <sheetData sheetId="1" refreshError="1"/>
      <sheetData sheetId="2" refreshError="1"/>
      <sheetData sheetId="3">
        <row r="26">
          <cell r="A26" t="str">
            <v>HR001</v>
          </cell>
          <cell r="AW26">
            <v>96.678776803355618</v>
          </cell>
        </row>
        <row r="27">
          <cell r="AW27">
            <v>93.942585007034225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5"/>
      <sheetName val="Summary June '25 "/>
      <sheetName val="Summary October '24"/>
      <sheetName val="Summary January '24"/>
      <sheetName val="Summary November '24 "/>
    </sheetNames>
    <sheetDataSet>
      <sheetData sheetId="0" refreshError="1"/>
      <sheetData sheetId="1" refreshError="1"/>
      <sheetData sheetId="2" refreshError="1"/>
      <sheetData sheetId="3" refreshError="1">
        <row r="13">
          <cell r="A13" t="str">
            <v>HA001</v>
          </cell>
          <cell r="AU13">
            <v>96.227257171591688</v>
          </cell>
        </row>
        <row r="14">
          <cell r="AU14">
            <v>97.993893314944387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3rd"/>
      <sheetName val="Jan 6th"/>
      <sheetName val="Jan 7th"/>
      <sheetName val="Jan 8th"/>
      <sheetName val="Jan. 10th"/>
      <sheetName val="Jan. 14th "/>
      <sheetName val="Jan.15th "/>
      <sheetName val="Jan.16th"/>
      <sheetName val="Jan.17th -19th"/>
      <sheetName val="Jan.20th"/>
      <sheetName val="Jan.21ST "/>
      <sheetName val="Jan 22nd"/>
      <sheetName val="Jan 23rd "/>
      <sheetName val="Jan 24th, 27th, 28th"/>
      <sheetName val="Jan 29th "/>
      <sheetName val="Jan 30th"/>
      <sheetName val="Jan 31st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70">
          <cell r="M70">
            <v>6.5</v>
          </cell>
        </row>
      </sheetData>
      <sheetData sheetId="17" refreshError="1"/>
      <sheetData sheetId="18" refreshError="1">
        <row r="65">
          <cell r="L65">
            <v>95.175721461636485</v>
          </cell>
        </row>
      </sheetData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3rd"/>
      <sheetName val="Feb 4th"/>
      <sheetName val="Feb 5th"/>
      <sheetName val="Feb 6th"/>
      <sheetName val="Feb 10th"/>
      <sheetName val="Feb 11th"/>
      <sheetName val="Feb 12th"/>
      <sheetName val="Feb 13th"/>
      <sheetName val="Feb 14th"/>
      <sheetName val="Feb 17th"/>
      <sheetName val="Feb 18th"/>
      <sheetName val="Feb 19th "/>
      <sheetName val="Feb 20th"/>
      <sheetName val="Feb 21st"/>
      <sheetName val="Feb 23rd"/>
      <sheetName val="Feb 24th"/>
      <sheetName val="Feb 25th"/>
      <sheetName val="Feb 26th"/>
      <sheetName val="Feb 27th"/>
      <sheetName val="Feb 28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5">
          <cell r="L35">
            <v>96.267254965762547</v>
          </cell>
        </row>
        <row r="40">
          <cell r="L40">
            <v>7.0109890109890109</v>
          </cell>
        </row>
      </sheetData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. 3rd"/>
      <sheetName val="Mar. 4th"/>
      <sheetName val="Mar. 5th "/>
      <sheetName val="Mar. 6th"/>
      <sheetName val="Mar. 7th &amp; 8th"/>
      <sheetName val="Mar. 10th"/>
      <sheetName val="Mar. 11th"/>
      <sheetName val="Mar. 12th"/>
      <sheetName val="Mar. 13th"/>
      <sheetName val="Mar. 14th &amp; 16th"/>
      <sheetName val="Mar. 17th"/>
      <sheetName val="Mar. 18th"/>
      <sheetName val="Mar. 19th"/>
      <sheetName val="Mar. 20th"/>
      <sheetName val="Mar. 21th"/>
      <sheetName val="Mar. 24th"/>
      <sheetName val="Mar. 25th"/>
      <sheetName val="Mar. 26th "/>
      <sheetName val="Mar. 27th "/>
      <sheetName val="Mar. 28th "/>
      <sheetName val="Mar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5">
          <cell r="L35">
            <v>98.721769716093192</v>
          </cell>
        </row>
        <row r="40">
          <cell r="L40">
            <v>6.3043478260869561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. 1st"/>
      <sheetName val="Apr. 3rd"/>
      <sheetName val="Apr. 4th"/>
      <sheetName val="Apr. 7th "/>
      <sheetName val="Apr. 8th  "/>
      <sheetName val="Apr. 9th   "/>
      <sheetName val="Apr. 10th "/>
      <sheetName val="Apr. 11-12-13th"/>
      <sheetName val="Apr. 14th"/>
      <sheetName val="Apr. 15th"/>
      <sheetName val="Apr. 16th"/>
      <sheetName val="Apr. 17th-20th"/>
      <sheetName val="Apr. 22nd"/>
      <sheetName val="Apr. 23rd"/>
      <sheetName val="Apr. 24th"/>
      <sheetName val="Apr. 25th "/>
      <sheetName val="Apr. 28th"/>
      <sheetName val="Apr. 29th"/>
      <sheetName val="Apr. 30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45">
          <cell r="L45">
            <v>99.238824818204876</v>
          </cell>
        </row>
        <row r="50">
          <cell r="L50">
            <v>6.1304347826086953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y 2nd -4th"/>
      <sheetName val="May 5th"/>
      <sheetName val="May 6th"/>
      <sheetName val="May 7th"/>
      <sheetName val="May 8th"/>
      <sheetName val="May 9th-10th"/>
      <sheetName val="May 12th"/>
      <sheetName val="May 13th"/>
      <sheetName val="May 14th"/>
      <sheetName val="May 15th"/>
      <sheetName val="May 16th"/>
      <sheetName val="May 19th"/>
      <sheetName val="May 20th"/>
      <sheetName val="May 21st"/>
      <sheetName val="May 22nd"/>
      <sheetName val="May 23rd"/>
      <sheetName val="May 26th"/>
      <sheetName val="May 27th"/>
      <sheetName val="May 28th"/>
      <sheetName val="May 30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7">
          <cell r="L37">
            <v>98.775682475671985</v>
          </cell>
        </row>
        <row r="42">
          <cell r="L42">
            <v>7.2608695652173916</v>
          </cell>
        </row>
      </sheetData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ne 2nd"/>
      <sheetName val="June 3rd"/>
      <sheetName val="June 4th"/>
      <sheetName val="June 5th "/>
      <sheetName val="June 6th"/>
      <sheetName val="June 10th"/>
      <sheetName val="June 11th"/>
      <sheetName val="June 12th "/>
      <sheetName val="June 13th"/>
      <sheetName val="June 16th"/>
      <sheetName val="June 17th "/>
      <sheetName val="June 18th"/>
      <sheetName val="June 20th "/>
      <sheetName val="June 23rd"/>
      <sheetName val="June 24th"/>
      <sheetName val="June 25th "/>
      <sheetName val="June 26th "/>
      <sheetName val="June 27th-29th"/>
      <sheetName val="June 30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57">
          <cell r="L57">
            <v>97.772657059692847</v>
          </cell>
        </row>
        <row r="62">
          <cell r="L62">
            <v>6.9523809523809526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ly 1st"/>
      <sheetName val="July 2nd"/>
      <sheetName val="July 3rd"/>
      <sheetName val="July 4th"/>
      <sheetName val="July 7th "/>
      <sheetName val="July 8th "/>
      <sheetName val="July 9th  "/>
      <sheetName val="July 10th "/>
      <sheetName val="July 11th  "/>
      <sheetName val="July 14th"/>
      <sheetName val="July 15th"/>
      <sheetName val="July 16th "/>
      <sheetName val="July 17th "/>
      <sheetName val="July 18th"/>
      <sheetName val="July 21st"/>
      <sheetName val="July 22nd"/>
      <sheetName val="July 23rd"/>
      <sheetName val="July 24th"/>
      <sheetName val="July 25th"/>
      <sheetName val="July 28th"/>
      <sheetName val="July 29th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4">
          <cell r="L44">
            <v>97.964720615192235</v>
          </cell>
        </row>
        <row r="49">
          <cell r="L49">
            <v>8.1578947368421044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ug 4th "/>
      <sheetName val="Aug 5th "/>
      <sheetName val="Aug 6th "/>
      <sheetName val="Aug 7th "/>
      <sheetName val="Aug 8th "/>
      <sheetName val="Aug 13th"/>
      <sheetName val="Aug 14th"/>
      <sheetName val="Aug 15th-16th"/>
      <sheetName val="Aug 18th"/>
      <sheetName val="Aug 19th"/>
      <sheetName val="Aug 20th"/>
      <sheetName val="Aug 21st"/>
      <sheetName val="Aug 22nd-23rd"/>
      <sheetName val="Aug 25th"/>
      <sheetName val="Aug 26th"/>
      <sheetName val="Aug 27th"/>
      <sheetName val="Aug 28th"/>
      <sheetName val="Aug 29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9">
          <cell r="L29">
            <v>97.1</v>
          </cell>
        </row>
        <row r="34">
          <cell r="L34">
            <v>7.3157894736842106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Sept 1st"/>
      <sheetName val="Sept 2nd"/>
      <sheetName val="Sept 3rd"/>
      <sheetName val="Sept 4th"/>
      <sheetName val="Sept 5th "/>
      <sheetName val="Sept 8th"/>
      <sheetName val="Sept 9th"/>
      <sheetName val="Sept 10th"/>
      <sheetName val="Sept 11th"/>
      <sheetName val="Sept 12th "/>
      <sheetName val="Sept 15th "/>
      <sheetName val="Sept 16th"/>
      <sheetName val="Sept 17th"/>
      <sheetName val="Sept 18th "/>
      <sheetName val="Sept 19th"/>
      <sheetName val="Sept 22nd"/>
      <sheetName val="Sept 23rd"/>
      <sheetName val="Sept 24th"/>
      <sheetName val="Sept 25th"/>
      <sheetName val="Sept 26th"/>
      <sheetName val="Sept 29th "/>
      <sheetName val="Sept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35">
          <cell r="L35">
            <v>97.162871284563693</v>
          </cell>
        </row>
        <row r="40">
          <cell r="L40">
            <v>7.4285714285714288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Oct. 1st"/>
      <sheetName val="Oct. 2nd"/>
      <sheetName val="Oct. 3rd"/>
      <sheetName val="Oct. 6th"/>
      <sheetName val="Oct.7th"/>
      <sheetName val="Oct.8th"/>
      <sheetName val="Oct.9th"/>
      <sheetName val="Oct.10th"/>
      <sheetName val="Oct.13th"/>
      <sheetName val="Oct.14th"/>
      <sheetName val="Oct.15th"/>
      <sheetName val="Oct.16th"/>
      <sheetName val="Oct.17th"/>
      <sheetName val="Oct.21st"/>
      <sheetName val="Oct.22nd"/>
      <sheetName val="Oct.23rd"/>
      <sheetName val="Oct.24th"/>
      <sheetName val="Oct.27th"/>
      <sheetName val="Oct.28th"/>
      <sheetName val="Oct.29th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3">
          <cell r="L43">
            <v>7.5714285714285712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September_2025"/>
      <sheetName val="October_2025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G3">
            <v>261.5</v>
          </cell>
          <cell r="M3">
            <v>451.4</v>
          </cell>
          <cell r="O3">
            <v>408.2</v>
          </cell>
          <cell r="P3">
            <v>319</v>
          </cell>
          <cell r="Q3">
            <v>190.39999999999998</v>
          </cell>
          <cell r="X3">
            <v>673.6</v>
          </cell>
          <cell r="Y3">
            <v>494.26</v>
          </cell>
          <cell r="Z3">
            <v>417.2</v>
          </cell>
          <cell r="AM3">
            <v>5.2902842747784167</v>
          </cell>
          <cell r="AP3">
            <v>6.0031253872166133</v>
          </cell>
        </row>
        <row r="4">
          <cell r="AM4">
            <v>3.9444720315936288</v>
          </cell>
          <cell r="AP4">
            <v>6.2228279500853976</v>
          </cell>
        </row>
        <row r="5">
          <cell r="AM5">
            <v>10.76956909379566</v>
          </cell>
          <cell r="AP5">
            <v>12.536311479158377</v>
          </cell>
        </row>
        <row r="6">
          <cell r="AM6">
            <v>3.7421885632627285</v>
          </cell>
          <cell r="AP6">
            <v>4.4171317623593813</v>
          </cell>
        </row>
        <row r="7">
          <cell r="G7">
            <v>239.8</v>
          </cell>
          <cell r="M7">
            <v>396.5</v>
          </cell>
          <cell r="O7">
            <v>386.8</v>
          </cell>
          <cell r="P7">
            <v>303.60000000000002</v>
          </cell>
          <cell r="Q7">
            <v>173.3</v>
          </cell>
          <cell r="X7">
            <v>641</v>
          </cell>
          <cell r="Y7">
            <v>474.2</v>
          </cell>
          <cell r="Z7">
            <v>394.6</v>
          </cell>
          <cell r="AM7" t="e">
            <v>#DIV/0!</v>
          </cell>
          <cell r="AP7">
            <v>5.3377569154690221</v>
          </cell>
        </row>
        <row r="8">
          <cell r="AM8" t="e">
            <v>#DIV/0!</v>
          </cell>
          <cell r="AP8">
            <v>8.6614709463340702</v>
          </cell>
        </row>
        <row r="9">
          <cell r="AM9" t="e">
            <v>#REF!</v>
          </cell>
          <cell r="AP9" t="e">
            <v>#REF!</v>
          </cell>
        </row>
        <row r="10">
          <cell r="AM10" t="e">
            <v>#DIV/0!</v>
          </cell>
          <cell r="AP10">
            <v>9.7934336121043764</v>
          </cell>
        </row>
        <row r="11">
          <cell r="G11">
            <v>7.4734885378868032</v>
          </cell>
          <cell r="M11">
            <v>11.587589224547528</v>
          </cell>
          <cell r="O11">
            <v>5.1649852331620645</v>
          </cell>
          <cell r="P11">
            <v>3.585531867019172</v>
          </cell>
          <cell r="Q11">
            <v>8.4592805181040411</v>
          </cell>
          <cell r="X11">
            <v>3.8298027049299472</v>
          </cell>
          <cell r="Y11">
            <v>3.5081091587158357</v>
          </cell>
          <cell r="Z11">
            <v>4.4836819397486991</v>
          </cell>
          <cell r="AM11" t="e">
            <v>#DIV/0!</v>
          </cell>
          <cell r="AP11">
            <v>8.1715311054411259</v>
          </cell>
        </row>
        <row r="12">
          <cell r="AM12" t="e">
            <v>#REF!</v>
          </cell>
          <cell r="AP12" t="e">
            <v>#REF!</v>
          </cell>
        </row>
        <row r="13">
          <cell r="H13">
            <v>586.40000000000009</v>
          </cell>
          <cell r="T13">
            <v>196.2</v>
          </cell>
          <cell r="U13">
            <v>388</v>
          </cell>
          <cell r="AE13">
            <v>590.92999999999995</v>
          </cell>
        </row>
        <row r="17">
          <cell r="H17">
            <v>556.1</v>
          </cell>
          <cell r="T17">
            <v>185</v>
          </cell>
          <cell r="U17">
            <v>368.8</v>
          </cell>
          <cell r="AE17">
            <v>561</v>
          </cell>
        </row>
        <row r="21">
          <cell r="H21">
            <v>3.8690868488751016</v>
          </cell>
          <cell r="T21">
            <v>5.1774544995296656</v>
          </cell>
          <cell r="U21">
            <v>2.4249612261655002</v>
          </cell>
          <cell r="AE21">
            <v>4.6070113581387764</v>
          </cell>
        </row>
        <row r="23">
          <cell r="M23">
            <v>184.20000000000002</v>
          </cell>
          <cell r="W23">
            <v>221.2</v>
          </cell>
        </row>
        <row r="28">
          <cell r="M28">
            <v>177</v>
          </cell>
          <cell r="W28">
            <v>190</v>
          </cell>
        </row>
        <row r="32">
          <cell r="M32">
            <v>6.2847885309849998</v>
          </cell>
          <cell r="W32">
            <v>14.566136182756908</v>
          </cell>
        </row>
        <row r="55">
          <cell r="G55">
            <v>201.29999999999998</v>
          </cell>
        </row>
        <row r="59">
          <cell r="G59" t="e">
            <v>#REF!</v>
          </cell>
        </row>
        <row r="63">
          <cell r="G63" t="e">
            <v>#REF!</v>
          </cell>
        </row>
        <row r="65">
          <cell r="I65">
            <v>388</v>
          </cell>
        </row>
        <row r="70">
          <cell r="I70">
            <v>389.09999999999997</v>
          </cell>
        </row>
        <row r="74">
          <cell r="I74">
            <v>3.7421885632627285</v>
          </cell>
        </row>
      </sheetData>
      <sheetData sheetId="1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August_2018 (2)"/>
      <sheetName val="September_2025"/>
      <sheetName val="October_2025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3">
          <cell r="AN13">
            <v>0.44411549707602338</v>
          </cell>
          <cell r="AQ13">
            <v>0.73127050670791238</v>
          </cell>
        </row>
        <row r="14">
          <cell r="AN14">
            <v>0.61002192982456138</v>
          </cell>
          <cell r="AQ14">
            <v>0.68415239152009877</v>
          </cell>
        </row>
        <row r="15">
          <cell r="AN15">
            <v>0.26637426900584799</v>
          </cell>
          <cell r="AQ15">
            <v>0.51633622959452352</v>
          </cell>
        </row>
        <row r="16">
          <cell r="AN16">
            <v>0.68263157894736837</v>
          </cell>
          <cell r="AQ16">
            <v>0.83111215538847116</v>
          </cell>
        </row>
        <row r="17">
          <cell r="AN17" t="e">
            <v>#DIV/0!</v>
          </cell>
          <cell r="AQ17">
            <v>0.32596491228070179</v>
          </cell>
        </row>
        <row r="18">
          <cell r="G18">
            <v>0.28046783625730998</v>
          </cell>
          <cell r="M18">
            <v>0.69561403508771935</v>
          </cell>
          <cell r="O18">
            <v>0.3392982456140351</v>
          </cell>
          <cell r="P18">
            <v>0.35508771929824562</v>
          </cell>
          <cell r="Q18">
            <v>0.30403508771929827</v>
          </cell>
          <cell r="X18">
            <v>0.56228070175438594</v>
          </cell>
          <cell r="Y18">
            <v>0.55461988304093568</v>
          </cell>
          <cell r="Z18">
            <v>0.46152046783625733</v>
          </cell>
          <cell r="AN18" t="e">
            <v>#DIV/0!</v>
          </cell>
          <cell r="AQ18">
            <v>0.73160818713450293</v>
          </cell>
        </row>
        <row r="19">
          <cell r="AN19" t="e">
            <v>#REF!</v>
          </cell>
          <cell r="AQ19" t="e">
            <v>#REF!</v>
          </cell>
        </row>
        <row r="20">
          <cell r="AN20" t="e">
            <v>#DIV/0!</v>
          </cell>
          <cell r="AQ20">
            <v>0.32456140350877194</v>
          </cell>
        </row>
        <row r="21">
          <cell r="AN21">
            <v>0</v>
          </cell>
          <cell r="AQ21">
            <v>0.51368421052631585</v>
          </cell>
        </row>
        <row r="22">
          <cell r="AN22" t="e">
            <v>#REF!</v>
          </cell>
          <cell r="AQ22" t="e">
            <v>#REF!</v>
          </cell>
        </row>
        <row r="25">
          <cell r="H25">
            <v>0.48780701754385969</v>
          </cell>
          <cell r="T25">
            <v>0.64912280701754388</v>
          </cell>
          <cell r="U25">
            <v>0.64701754385964916</v>
          </cell>
          <cell r="AE25">
            <v>0.65614035087719302</v>
          </cell>
        </row>
        <row r="32">
          <cell r="M32">
            <v>0.31052631578947371</v>
          </cell>
          <cell r="W32">
            <v>0.22222222222222224</v>
          </cell>
        </row>
        <row r="53">
          <cell r="G53" t="e">
            <v>#REF!</v>
          </cell>
        </row>
        <row r="60">
          <cell r="I60">
            <v>0.68263157894736837</v>
          </cell>
        </row>
      </sheetData>
      <sheetData sheetId="1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5"/>
    </sheetNames>
    <sheetDataSet>
      <sheetData sheetId="0">
        <row r="10">
          <cell r="J10">
            <v>48.8</v>
          </cell>
          <cell r="L10">
            <v>190.48543689320385</v>
          </cell>
        </row>
        <row r="11">
          <cell r="L11">
            <v>0</v>
          </cell>
        </row>
        <row r="12">
          <cell r="L12">
            <v>0</v>
          </cell>
        </row>
        <row r="13">
          <cell r="L13">
            <v>0</v>
          </cell>
        </row>
        <row r="14">
          <cell r="L14">
            <v>100</v>
          </cell>
        </row>
        <row r="15">
          <cell r="L15">
            <v>0</v>
          </cell>
        </row>
        <row r="16">
          <cell r="L16">
            <v>100</v>
          </cell>
        </row>
        <row r="17">
          <cell r="L17">
            <v>0</v>
          </cell>
        </row>
        <row r="18">
          <cell r="L18">
            <v>100</v>
          </cell>
        </row>
        <row r="19">
          <cell r="L19">
            <v>0</v>
          </cell>
        </row>
        <row r="20">
          <cell r="L20">
            <v>87</v>
          </cell>
        </row>
        <row r="21">
          <cell r="L21">
            <v>0</v>
          </cell>
        </row>
      </sheetData>
      <sheetData sheetId="1">
        <row r="6">
          <cell r="J6">
            <v>50.9</v>
          </cell>
          <cell r="L6">
            <v>100</v>
          </cell>
          <cell r="S6">
            <v>3.4000000000000004</v>
          </cell>
        </row>
        <row r="7">
          <cell r="L7">
            <v>0</v>
          </cell>
        </row>
        <row r="8">
          <cell r="L8">
            <v>100</v>
          </cell>
        </row>
        <row r="9">
          <cell r="L9">
            <v>0</v>
          </cell>
        </row>
        <row r="10">
          <cell r="S10">
            <v>4.5999999999999996</v>
          </cell>
        </row>
      </sheetData>
      <sheetData sheetId="2">
        <row r="6">
          <cell r="J6">
            <v>48.7</v>
          </cell>
        </row>
        <row r="47">
          <cell r="L47">
            <v>100</v>
          </cell>
        </row>
        <row r="48">
          <cell r="L48">
            <v>0</v>
          </cell>
        </row>
        <row r="49">
          <cell r="L49">
            <v>102</v>
          </cell>
        </row>
        <row r="50">
          <cell r="L50">
            <v>0</v>
          </cell>
        </row>
        <row r="51">
          <cell r="L51">
            <v>102</v>
          </cell>
        </row>
        <row r="52">
          <cell r="L52">
            <v>0</v>
          </cell>
        </row>
        <row r="53">
          <cell r="L53">
            <v>102</v>
          </cell>
        </row>
        <row r="54">
          <cell r="L54">
            <v>0</v>
          </cell>
        </row>
      </sheetData>
      <sheetData sheetId="3">
        <row r="6">
          <cell r="I6">
            <v>48</v>
          </cell>
          <cell r="J6">
            <v>4.0999999999999996</v>
          </cell>
        </row>
        <row r="8">
          <cell r="J8">
            <v>4.0999999999999996</v>
          </cell>
        </row>
        <row r="10">
          <cell r="J10">
            <v>4.0999999999999996</v>
          </cell>
        </row>
        <row r="12">
          <cell r="J12">
            <v>4.0999999999999996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E5">
            <v>6.109586969670791</v>
          </cell>
        </row>
        <row r="6">
          <cell r="E6">
            <v>5.1449592115944593</v>
          </cell>
        </row>
        <row r="7">
          <cell r="E7">
            <v>11.223996129656527</v>
          </cell>
        </row>
        <row r="8">
          <cell r="E8">
            <v>3.7833827893175105</v>
          </cell>
        </row>
        <row r="9">
          <cell r="E9" t="e">
            <v>#DIV/0!</v>
          </cell>
        </row>
        <row r="10">
          <cell r="E10" t="e">
            <v>#DIV/0!</v>
          </cell>
        </row>
        <row r="11">
          <cell r="E11">
            <v>2.6328862394436081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5.9205828509914467</v>
          </cell>
        </row>
      </sheetData>
      <sheetData sheetId="11">
        <row r="5">
          <cell r="C5">
            <v>43409.580000000009</v>
          </cell>
          <cell r="E5">
            <v>6.0721158785687495</v>
          </cell>
        </row>
        <row r="6">
          <cell r="E6">
            <v>5.7025207923266077</v>
          </cell>
        </row>
        <row r="7">
          <cell r="E7">
            <v>11.016453256230184</v>
          </cell>
        </row>
        <row r="8">
          <cell r="E8">
            <v>4.6226456706805745</v>
          </cell>
        </row>
        <row r="9">
          <cell r="E9">
            <v>7.837301587301579</v>
          </cell>
        </row>
        <row r="10">
          <cell r="E10">
            <v>6.8851328044153277</v>
          </cell>
        </row>
        <row r="11">
          <cell r="E11">
            <v>2.9297033255778997</v>
          </cell>
        </row>
        <row r="12">
          <cell r="E12">
            <v>11.483253588516746</v>
          </cell>
        </row>
        <row r="13">
          <cell r="E13">
            <v>7.2653644592663174</v>
          </cell>
        </row>
        <row r="14">
          <cell r="E14">
            <v>6.1066625842172497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88" t="s">
        <v>0</v>
      </c>
      <c r="U1" s="488"/>
      <c r="V1" s="488" t="s">
        <v>1</v>
      </c>
      <c r="W1" s="488"/>
      <c r="X1" s="488" t="s">
        <v>2</v>
      </c>
      <c r="Y1" s="488"/>
      <c r="Z1" s="488" t="s">
        <v>124</v>
      </c>
      <c r="AA1" s="488"/>
    </row>
    <row r="2" spans="2:30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83">
        <v>45278</v>
      </c>
      <c r="D4" s="483"/>
      <c r="J4" s="484" t="s">
        <v>153</v>
      </c>
      <c r="K4" s="484"/>
      <c r="L4" s="11"/>
      <c r="M4" s="486" t="s">
        <v>8</v>
      </c>
      <c r="N4" s="487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85"/>
      <c r="K5" s="485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92" t="s">
        <v>151</v>
      </c>
      <c r="K6" s="493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494"/>
      <c r="K7" s="495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152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498"/>
      <c r="P8" s="508" t="s">
        <v>28</v>
      </c>
      <c r="Q8" s="510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499"/>
      <c r="P9" s="509"/>
      <c r="Q9" s="511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12" t="s">
        <v>34</v>
      </c>
      <c r="J48" s="512"/>
      <c r="K48" s="512"/>
      <c r="L48" s="512"/>
      <c r="M48" s="512"/>
      <c r="N48" s="512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490" t="s">
        <v>35</v>
      </c>
      <c r="E49" s="491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13" t="s">
        <v>9</v>
      </c>
      <c r="C50" s="362">
        <v>11.8</v>
      </c>
      <c r="D50" s="516">
        <v>11.73</v>
      </c>
      <c r="E50" s="517"/>
      <c r="F50" s="294"/>
      <c r="G50" s="294"/>
      <c r="H50" s="294"/>
      <c r="I50" s="29" t="s">
        <v>6</v>
      </c>
      <c r="J50" s="323"/>
      <c r="K50" s="284">
        <f>COUNTA([3]Brewhouse!$A$1596:$A$1619)</f>
        <v>24</v>
      </c>
      <c r="L50" s="302">
        <f>AVERAGE([3]Brewhouse!$AU$1529,[3]Brewhouse!$AU$1531:$AU$1594,[3]Brewhouse!$AU$1596:$AU$1619)</f>
        <v>98.205761326291494</v>
      </c>
      <c r="M50" s="302">
        <f>AVERAGE([3]Brewhouse!$AU$849:$AU$924,[3]Brewhouse!$AU$926:$AU$971,[3]Brewhouse!$AU$973:$AU$1066,[3]Brewhouse!$AU$1068:$AU$1111,[3]Brewhouse!$AU$1113:$AU$1132,[3]Brewhouse!$AU$1134:$AU$1167,[3]Brewhouse!$AU$1169:$AU$1230,[3]Brewhouse!$AU$1232:$AU$1299,[3]Brewhouse!$AU$1301:$AU$1363,[3]Brewhouse!$AU$1365:$AU$1444,[3]Brewhouse!$AU$1446:$AU$1527,[3]Brewhouse!$AU$1529,[3]Brewhouse!$AU$1531:$AU$1594,[3]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14"/>
      <c r="C51" s="349">
        <v>11.9</v>
      </c>
      <c r="D51" s="518"/>
      <c r="E51" s="519"/>
      <c r="F51" s="294"/>
      <c r="G51" s="294"/>
      <c r="H51" s="32"/>
      <c r="I51" s="33" t="s">
        <v>9</v>
      </c>
      <c r="J51" s="323"/>
      <c r="K51" s="284">
        <f>COUNTA([4]Brewhouse!$A$976:$A$1007)</f>
        <v>32</v>
      </c>
      <c r="L51" s="302">
        <f>AVERAGE([4]Brewhouse!$AS$976:$AS$979,[4]Brewhouse!$AS$981:$AS$1007)</f>
        <v>98.538566771868645</v>
      </c>
      <c r="M51" s="302">
        <f>AVERAGE([4]Brewhouse!$AS$577:$AS$618,[4]Brewhouse!$AS$620:$AS$651,[4]Brewhouse!$AS$653:$AS$696,[4]Brewhouse!$AS$698:$AS$708,[4]Brewhouse!$AS$710:$AS$733,[4]Brewhouse!$AS$735:$AS$777,[4]Brewhouse!$AS$779:$AS$822,[4]Brewhouse!$AS$824:$AS$863,[4]Brewhouse!$AS$865:$AS$974,[4]Brewhouse!$AS$976:$AS$979,[4]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14"/>
      <c r="C52" s="349"/>
      <c r="D52" s="516"/>
      <c r="E52" s="517"/>
      <c r="F52" s="294"/>
      <c r="G52" s="294"/>
      <c r="H52" s="32"/>
      <c r="I52" s="34" t="s">
        <v>12</v>
      </c>
      <c r="J52" s="280"/>
      <c r="K52" s="284">
        <f>COUNTA([5]Brewhouse!$A$282:$A$289)</f>
        <v>8</v>
      </c>
      <c r="L52" s="302">
        <f>AVERAGE([5]Brewhouse!$AU$269:$AU$279,[5]Brewhouse!$AU$282:$AU$289)</f>
        <v>96.1861768599382</v>
      </c>
      <c r="M52" s="302">
        <f>AVERAGE([5]Brewhouse!$AU$161:$AU$176,[5]Brewhouse!$AU$178:$AU$195,[5]Brewhouse!$AU$197:$AU$208,[5]Brewhouse!$AU$210:$AU$221,[5]Brewhouse!$AU$223:$AU$232,[5]Brewhouse!$AU$234:$AU$279,[5]Brewhouse!$AU$282:$AU$289)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14"/>
      <c r="C53" s="349"/>
      <c r="D53" s="518"/>
      <c r="E53" s="519"/>
      <c r="F53" s="294"/>
      <c r="G53" s="294"/>
      <c r="H53" s="32"/>
      <c r="I53" s="22" t="s">
        <v>33</v>
      </c>
      <c r="J53" s="280"/>
      <c r="K53" s="284">
        <f>COUNTA([6]Brewhouse!$A$158:$A$163)</f>
        <v>6</v>
      </c>
      <c r="L53" s="302">
        <f>AVERAGE([6]Brewhouse!$AU$158:$AU$163)</f>
        <v>94.603050114691541</v>
      </c>
      <c r="M53" s="302">
        <f>AVERAGE([6]Brewhouse!$AU$91:$AU$101,[6]Brewhouse!$AU$103:$AU$112,[6]Brewhouse!$AU$114:$AU$123,[6]Brewhouse!$AU$125:$AU$134,[6]Brewhouse!$AU$136:$AU$145,[6]Brewhouse!$AU$147:$AU$156,[6]Brewhouse!$AU$158:$AU$163)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14"/>
      <c r="C54" s="349"/>
      <c r="D54" s="516"/>
      <c r="E54" s="517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14"/>
      <c r="C55" s="349"/>
      <c r="D55" s="518"/>
      <c r="E55" s="519"/>
      <c r="F55" s="294"/>
      <c r="G55" s="294"/>
      <c r="H55" s="32"/>
      <c r="I55" s="36" t="s">
        <v>15</v>
      </c>
      <c r="J55" s="323"/>
      <c r="K55" s="284"/>
      <c r="L55" s="302"/>
      <c r="M55" s="302">
        <f>AVERAGE([7]Brewhouse!$AT$74:$AT$79)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14"/>
      <c r="C56" s="349"/>
      <c r="D56" s="516"/>
      <c r="E56" s="517"/>
      <c r="F56" s="294"/>
      <c r="G56" s="294"/>
      <c r="H56" s="32"/>
      <c r="I56" s="37" t="s">
        <v>16</v>
      </c>
      <c r="J56" s="323"/>
      <c r="K56" s="284">
        <f>COUNTA([8]Brewhouse!$A$249:$A$254)</f>
        <v>6</v>
      </c>
      <c r="L56" s="302">
        <f>AVERAGE([8]Brewhouse!$AY$249:$AY$254)</f>
        <v>99.681996476494263</v>
      </c>
      <c r="M56" s="302">
        <f>AVERAGE([8]Brewhouse!$AY$138:$AY$143,[8]Brewhouse!$AY$145:$AY$153,[8]Brewhouse!$AY$155,[8]Brewhouse!$AY$156:$AY$174,[8]Brewhouse!$AY$176:$AY$185,[8]Brewhouse!$AY$187:$AY$198,[8]Brewhouse!$AY$200:$AY$247,[8]Brewhouse!$AY$249:$AY$254)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14"/>
      <c r="C57" s="349"/>
      <c r="D57" s="518"/>
      <c r="E57" s="519"/>
      <c r="F57" s="294"/>
      <c r="G57" s="294"/>
      <c r="H57" s="32"/>
      <c r="I57" s="306" t="s">
        <v>137</v>
      </c>
      <c r="J57" s="326"/>
      <c r="K57" s="284"/>
      <c r="L57" s="305"/>
      <c r="M57" s="305">
        <f>AVERAGE([9]Brewhouse!$AW$13:$AW$14,[9]Brewhouse!$AW$16:$AW$17)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14"/>
      <c r="C58" s="349"/>
      <c r="D58" s="520"/>
      <c r="E58" s="521"/>
      <c r="F58" s="294"/>
      <c r="G58" s="294"/>
      <c r="H58" s="32"/>
      <c r="I58" s="38" t="s">
        <v>125</v>
      </c>
      <c r="J58" s="327"/>
      <c r="K58" s="284"/>
      <c r="L58" s="328"/>
      <c r="M58" s="328">
        <f>AVERAGE([9]Brewhouse!$AW$13:$AW$14)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14"/>
      <c r="C59" s="349"/>
      <c r="D59" s="522"/>
      <c r="E59" s="523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AVERAGE('[10]Closing- January 2023'!$L$42,'[11]Feb. 28th'!$L$42,'[12]March 31st'!$L$75,'[13]Apri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14"/>
      <c r="C60" s="349"/>
      <c r="D60" s="520"/>
      <c r="E60" s="521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15"/>
      <c r="C61" s="350"/>
      <c r="D61" s="524"/>
      <c r="E61" s="525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526"/>
      <c r="C62" s="362"/>
      <c r="D62" s="529"/>
      <c r="E62" s="530"/>
      <c r="F62" s="43"/>
      <c r="G62" s="41"/>
      <c r="H62" s="41"/>
      <c r="I62" s="42"/>
      <c r="J62" s="532" t="s">
        <v>129</v>
      </c>
      <c r="K62" s="532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27"/>
      <c r="C63" s="349"/>
      <c r="D63" s="531"/>
      <c r="E63" s="519"/>
      <c r="F63" s="43"/>
      <c r="G63" s="41"/>
      <c r="H63" s="41"/>
      <c r="I63" s="42"/>
      <c r="J63" s="292" t="s">
        <v>17</v>
      </c>
      <c r="K63" s="293" t="s">
        <v>147</v>
      </c>
      <c r="L63" s="533" t="s">
        <v>136</v>
      </c>
      <c r="M63" s="533"/>
      <c r="N63" s="534"/>
      <c r="O63" s="294"/>
      <c r="P63" s="12"/>
      <c r="S63" s="23"/>
    </row>
    <row r="64" spans="1:27" ht="15" customHeight="1" thickBot="1">
      <c r="B64" s="527"/>
      <c r="C64" s="349"/>
      <c r="D64" s="535"/>
      <c r="E64" s="517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27"/>
      <c r="C65" s="349"/>
      <c r="D65" s="531"/>
      <c r="E65" s="519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AVERAGE(6,6,'[12]March 31st'!$L$80,'[14]June 30th  '!$L$71,6,L65,'[15]July 31st'!$L$108,'[16]Aug 30th'!$L$124,7,[17]Oct.31st!$L$51)</f>
        <v>#REF!</v>
      </c>
      <c r="N65" s="308">
        <v>9</v>
      </c>
      <c r="O65" s="294"/>
      <c r="P65" s="12"/>
      <c r="S65" s="23"/>
    </row>
    <row r="66" spans="2:58" ht="15" customHeight="1">
      <c r="B66" s="527"/>
      <c r="C66" s="349"/>
      <c r="D66" s="535"/>
      <c r="E66" s="517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27"/>
      <c r="C67" s="349"/>
      <c r="D67" s="531"/>
      <c r="E67" s="519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527"/>
      <c r="C68" s="349"/>
      <c r="D68" s="535"/>
      <c r="E68" s="517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527"/>
      <c r="C69" s="349"/>
      <c r="D69" s="531"/>
      <c r="E69" s="519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527"/>
      <c r="C70" s="349"/>
      <c r="D70" s="536"/>
      <c r="E70" s="521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528"/>
      <c r="C71" s="350"/>
      <c r="D71" s="537"/>
      <c r="E71" s="538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539">
        <f>AVERAGE(D50:E71)</f>
        <v>11.73</v>
      </c>
      <c r="E72" s="540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41" t="s">
        <v>17</v>
      </c>
      <c r="C77" s="541" t="s">
        <v>44</v>
      </c>
      <c r="D77" s="543" t="s">
        <v>45</v>
      </c>
      <c r="E77" s="498" t="s">
        <v>46</v>
      </c>
      <c r="F77" s="558" t="s">
        <v>47</v>
      </c>
      <c r="G77" s="552" t="s">
        <v>48</v>
      </c>
      <c r="H77" s="541" t="s">
        <v>49</v>
      </c>
      <c r="I77" s="554" t="s">
        <v>50</v>
      </c>
      <c r="J77" s="546" t="s">
        <v>28</v>
      </c>
      <c r="K77" s="496" t="s">
        <v>51</v>
      </c>
      <c r="L77" s="508" t="s">
        <v>52</v>
      </c>
      <c r="M77" s="546" t="s">
        <v>53</v>
      </c>
      <c r="N77" s="77"/>
      <c r="O77" s="13"/>
      <c r="P77" s="50"/>
    </row>
    <row r="78" spans="2:58" ht="28.5" customHeight="1" thickTop="1" thickBot="1">
      <c r="B78" s="542"/>
      <c r="C78" s="542"/>
      <c r="D78" s="544"/>
      <c r="E78" s="545"/>
      <c r="F78" s="559"/>
      <c r="G78" s="553"/>
      <c r="H78" s="542"/>
      <c r="I78" s="555"/>
      <c r="J78" s="547"/>
      <c r="K78" s="556"/>
      <c r="L78" s="557"/>
      <c r="M78" s="547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[18]December_2023!$U$13</f>
        <v>150.4</v>
      </c>
      <c r="E79" s="378"/>
      <c r="F79" s="379"/>
      <c r="G79" s="303">
        <f>[18]December_2023!$U$17</f>
        <v>120.8</v>
      </c>
      <c r="H79" s="381"/>
      <c r="I79" s="382"/>
      <c r="J79" s="360" t="s">
        <v>150</v>
      </c>
      <c r="K79" s="380">
        <f>[19]December_2023!$U$25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[20]January_2019!D8</f>
        <v>#DIV/0!</v>
      </c>
      <c r="V80" s="57">
        <f>[20]January_2019!E8</f>
        <v>1.0319298245614037</v>
      </c>
      <c r="W80" s="57">
        <f>[20]January_2019!F8</f>
        <v>1.7789473684210526</v>
      </c>
      <c r="X80" s="57">
        <f>[20]January_2019!G8</f>
        <v>0.51929824561403504</v>
      </c>
      <c r="Y80" s="57" t="e">
        <f>[20]January_2019!H8</f>
        <v>#DIV/0!</v>
      </c>
      <c r="Z80" s="57" t="e">
        <f>[20]January_2019!I8</f>
        <v>#DIV/0!</v>
      </c>
      <c r="AA80" s="57">
        <f>[20]January_2019!J8</f>
        <v>1.365263157894737</v>
      </c>
      <c r="AB80" s="57" t="e">
        <f>[20]January_2019!K8</f>
        <v>#DIV/0!</v>
      </c>
      <c r="AC80" s="57">
        <f>[20]January_2019!L8</f>
        <v>1.0028070175438597</v>
      </c>
      <c r="AD80" s="57">
        <f>[20]January_2019!M8</f>
        <v>1.7828070175438597</v>
      </c>
      <c r="AE80" s="57" t="e">
        <f>[20]January_2019!N8</f>
        <v>#DIV/0!</v>
      </c>
      <c r="AF80" s="57" t="e">
        <f>[20]January_2019!O8</f>
        <v>#DIV/0!</v>
      </c>
      <c r="AG80" s="57">
        <f>[20]January_2019!P8</f>
        <v>0.19222222222222221</v>
      </c>
      <c r="AH80" s="57">
        <f>[20]January_2019!Q8</f>
        <v>0.52219298245614032</v>
      </c>
      <c r="AI80" s="57">
        <f>[20]January_2019!R8</f>
        <v>0.42912280701754385</v>
      </c>
      <c r="AJ80" s="57" t="e">
        <f>[20]January_2019!S8</f>
        <v>#DIV/0!</v>
      </c>
      <c r="AK80" s="57">
        <f>[20]January_2019!T8</f>
        <v>1.0340350877192983</v>
      </c>
      <c r="AL80" s="57">
        <f>[20]January_2019!U8</f>
        <v>0.98421052631578942</v>
      </c>
      <c r="AM80" s="57" t="e">
        <f>[20]January_2019!V8</f>
        <v>#DIV/0!</v>
      </c>
      <c r="AN80" s="57" t="e">
        <f>[20]January_2019!W8</f>
        <v>#DIV/0!</v>
      </c>
      <c r="AO80" s="57">
        <f>[20]January_2019!X8</f>
        <v>0.66052631578947374</v>
      </c>
      <c r="AP80" s="57">
        <f>[20]January_2019!Y8</f>
        <v>1.0375438596491227</v>
      </c>
      <c r="AQ80" s="57">
        <f>[20]January_2019!Z8</f>
        <v>0.90456140350877201</v>
      </c>
      <c r="AR80" s="57">
        <f>[20]January_2019!AA8</f>
        <v>1.0217543859649123</v>
      </c>
      <c r="AS80" s="57">
        <f>[20]January_2019!AB8</f>
        <v>0.65614035087719302</v>
      </c>
      <c r="AT80" s="57" t="e">
        <f>[20]January_2019!AC8</f>
        <v>#DIV/0!</v>
      </c>
      <c r="AU80" s="57" t="e">
        <f>[20]January_2019!AD8</f>
        <v>#DIV/0!</v>
      </c>
      <c r="AV80" s="57">
        <f>[20]January_2019!AE8</f>
        <v>1.7021052631578948</v>
      </c>
      <c r="AW80" s="57">
        <f>[20]January_2019!AF8</f>
        <v>0.60192982456140354</v>
      </c>
      <c r="AX80" s="57">
        <f>[20]January_2019!AG8</f>
        <v>1.4870175438596491</v>
      </c>
      <c r="AY80" s="277" t="e">
        <f>[20]January_2019!AH8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548" t="s">
        <v>55</v>
      </c>
      <c r="C87" s="549"/>
      <c r="D87" s="549"/>
      <c r="E87" s="549"/>
      <c r="F87" s="550"/>
      <c r="G87" s="548" t="s">
        <v>56</v>
      </c>
      <c r="H87" s="549"/>
      <c r="I87" s="549"/>
      <c r="J87" s="550"/>
      <c r="K87" s="548" t="s">
        <v>51</v>
      </c>
      <c r="L87" s="549"/>
      <c r="M87" s="549"/>
      <c r="N87" s="551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[18]December_2023!$U$21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[21]May_2022!$M$43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  <mergeCell ref="D72:E72"/>
    <mergeCell ref="B77:B78"/>
    <mergeCell ref="C77:C78"/>
    <mergeCell ref="D77:D78"/>
    <mergeCell ref="E77:E78"/>
    <mergeCell ref="B62:B71"/>
    <mergeCell ref="D62:E63"/>
    <mergeCell ref="J62:K62"/>
    <mergeCell ref="L63:N63"/>
    <mergeCell ref="D64:E65"/>
    <mergeCell ref="D66:E67"/>
    <mergeCell ref="D68:E69"/>
    <mergeCell ref="D70:E71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J4:K5"/>
    <mergeCell ref="M4:N4"/>
    <mergeCell ref="T1:U1"/>
    <mergeCell ref="V1:W1"/>
  </mergeCells>
  <conditionalFormatting sqref="B72:B73">
    <cfRule type="cellIs" dxfId="4080" priority="157" operator="notBetween">
      <formula>#REF!</formula>
      <formula>#REF!</formula>
    </cfRule>
  </conditionalFormatting>
  <conditionalFormatting sqref="C76">
    <cfRule type="cellIs" dxfId="4079" priority="190" stopIfTrue="1" operator="greaterThan">
      <formula>100</formula>
    </cfRule>
    <cfRule type="cellIs" dxfId="4078" priority="189" stopIfTrue="1" operator="lessThan">
      <formula>96</formula>
    </cfRule>
  </conditionalFormatting>
  <conditionalFormatting sqref="C90">
    <cfRule type="cellIs" dxfId="4077" priority="212" stopIfTrue="1" operator="greaterThan">
      <formula>$F89</formula>
    </cfRule>
    <cfRule type="cellIs" dxfId="4076" priority="106" stopIfTrue="1" operator="lessThanOrEqual">
      <formula>0</formula>
    </cfRule>
  </conditionalFormatting>
  <conditionalFormatting sqref="C91:C93">
    <cfRule type="cellIs" dxfId="4075" priority="105" stopIfTrue="1" operator="greaterThan">
      <formula>$F91</formula>
    </cfRule>
  </conditionalFormatting>
  <conditionalFormatting sqref="C91:C94">
    <cfRule type="cellIs" dxfId="4074" priority="129" stopIfTrue="1" operator="lessThanOrEqual">
      <formula>0</formula>
    </cfRule>
  </conditionalFormatting>
  <conditionalFormatting sqref="C94">
    <cfRule type="cellIs" dxfId="4073" priority="128" stopIfTrue="1" operator="greaterThan">
      <formula>$J94</formula>
    </cfRule>
  </conditionalFormatting>
  <conditionalFormatting sqref="C95:C97">
    <cfRule type="cellIs" dxfId="4072" priority="145" stopIfTrue="1" operator="greaterThan">
      <formula>$F95</formula>
    </cfRule>
    <cfRule type="cellIs" dxfId="4071" priority="146" stopIfTrue="1" operator="lessThanOrEqual">
      <formula>0</formula>
    </cfRule>
  </conditionalFormatting>
  <conditionalFormatting sqref="C100:C104">
    <cfRule type="cellIs" dxfId="4070" priority="181" stopIfTrue="1" operator="lessThanOrEqual">
      <formula>0</formula>
    </cfRule>
  </conditionalFormatting>
  <conditionalFormatting sqref="C101:C104">
    <cfRule type="cellIs" dxfId="4069" priority="180" stopIfTrue="1" operator="greaterThan">
      <formula>$F$100</formula>
    </cfRule>
  </conditionalFormatting>
  <conditionalFormatting sqref="C106">
    <cfRule type="cellIs" dxfId="4068" priority="183" stopIfTrue="1" operator="lessThanOrEqual">
      <formula>0</formula>
    </cfRule>
    <cfRule type="cellIs" dxfId="4067" priority="182" stopIfTrue="1" operator="greaterThan">
      <formula>$F$100</formula>
    </cfRule>
  </conditionalFormatting>
  <conditionalFormatting sqref="C100:D100 D102:D108">
    <cfRule type="cellIs" dxfId="4066" priority="175" stopIfTrue="1" operator="greaterThan">
      <formula>4.5</formula>
    </cfRule>
  </conditionalFormatting>
  <conditionalFormatting sqref="D72:D73">
    <cfRule type="cellIs" dxfId="4065" priority="158" operator="notBetween">
      <formula>#REF!</formula>
      <formula>#REF!</formula>
    </cfRule>
  </conditionalFormatting>
  <conditionalFormatting sqref="D89:D96">
    <cfRule type="cellIs" dxfId="4064" priority="144" stopIfTrue="1" operator="lessThanOrEqual">
      <formula>0</formula>
    </cfRule>
  </conditionalFormatting>
  <conditionalFormatting sqref="D97">
    <cfRule type="cellIs" dxfId="4063" priority="143" stopIfTrue="1" operator="lessThanOrEqual">
      <formula>0</formula>
    </cfRule>
  </conditionalFormatting>
  <conditionalFormatting sqref="D100 D102:D108">
    <cfRule type="cellIs" dxfId="4062" priority="176" stopIfTrue="1" operator="lessThanOrEqual">
      <formula>0</formula>
    </cfRule>
  </conditionalFormatting>
  <conditionalFormatting sqref="D101">
    <cfRule type="cellIs" dxfId="4061" priority="167" stopIfTrue="1" operator="greaterThan">
      <formula>$F$100</formula>
    </cfRule>
    <cfRule type="cellIs" dxfId="4060" priority="168" stopIfTrue="1" operator="lessThanOrEqual">
      <formula>0</formula>
    </cfRule>
  </conditionalFormatting>
  <conditionalFormatting sqref="D89:E97">
    <cfRule type="cellIs" dxfId="4059" priority="135" stopIfTrue="1" operator="greaterThan">
      <formula>$F89</formula>
    </cfRule>
  </conditionalFormatting>
  <conditionalFormatting sqref="E10:E14">
    <cfRule type="cellIs" dxfId="4058" priority="52" operator="lessThan">
      <formula>48</formula>
    </cfRule>
  </conditionalFormatting>
  <conditionalFormatting sqref="E33:E46">
    <cfRule type="cellIs" dxfId="4057" priority="25" operator="lessThan">
      <formula>48</formula>
    </cfRule>
  </conditionalFormatting>
  <conditionalFormatting sqref="E76">
    <cfRule type="cellIs" dxfId="4056" priority="169" stopIfTrue="1" operator="lessThan">
      <formula>96.8</formula>
    </cfRule>
    <cfRule type="cellIs" dxfId="4055" priority="170" stopIfTrue="1" operator="greaterThan">
      <formula>100</formula>
    </cfRule>
  </conditionalFormatting>
  <conditionalFormatting sqref="E89:E97">
    <cfRule type="cellIs" dxfId="4054" priority="136" stopIfTrue="1" operator="lessThanOrEqual">
      <formula>0</formula>
    </cfRule>
  </conditionalFormatting>
  <conditionalFormatting sqref="E100:E108">
    <cfRule type="cellIs" dxfId="4053" priority="161" stopIfTrue="1" operator="greaterThan">
      <formula>4.5</formula>
    </cfRule>
    <cfRule type="cellIs" dxfId="4052" priority="162" stopIfTrue="1" operator="lessThanOrEqual">
      <formula>0</formula>
    </cfRule>
  </conditionalFormatting>
  <conditionalFormatting sqref="E75:F76">
    <cfRule type="cellIs" dxfId="4051" priority="171" stopIfTrue="1" operator="lessThan">
      <formula>96.5</formula>
    </cfRule>
    <cfRule type="cellIs" dxfId="4050" priority="172" stopIfTrue="1" operator="greaterThan">
      <formula>100</formula>
    </cfRule>
  </conditionalFormatting>
  <conditionalFormatting sqref="F10:F12">
    <cfRule type="cellIs" dxfId="4049" priority="62" operator="greaterThan">
      <formula>#REF!</formula>
    </cfRule>
  </conditionalFormatting>
  <conditionalFormatting sqref="F10:F47">
    <cfRule type="cellIs" dxfId="4048" priority="15" operator="greaterThan">
      <formula>$AA10</formula>
    </cfRule>
  </conditionalFormatting>
  <conditionalFormatting sqref="F13">
    <cfRule type="cellIs" dxfId="4047" priority="53" operator="greaterThan">
      <formula>$AA47</formula>
    </cfRule>
  </conditionalFormatting>
  <conditionalFormatting sqref="F14">
    <cfRule type="cellIs" dxfId="4046" priority="196" operator="greaterThan">
      <formula>#REF!</formula>
    </cfRule>
  </conditionalFormatting>
  <conditionalFormatting sqref="F33:F46">
    <cfRule type="cellIs" dxfId="4045" priority="26" operator="greaterThan">
      <formula>$AA48</formula>
    </cfRule>
  </conditionalFormatting>
  <conditionalFormatting sqref="F76">
    <cfRule type="cellIs" dxfId="4044" priority="188" stopIfTrue="1" operator="greaterThan">
      <formula>100</formula>
    </cfRule>
    <cfRule type="cellIs" dxfId="4043" priority="187" stopIfTrue="1" operator="lessThan">
      <formula>96.8</formula>
    </cfRule>
  </conditionalFormatting>
  <conditionalFormatting sqref="F97">
    <cfRule type="cellIs" dxfId="4042" priority="137" stopIfTrue="1" operator="greaterThan">
      <formula>$F97</formula>
    </cfRule>
    <cfRule type="cellIs" dxfId="4041" priority="138" stopIfTrue="1" operator="lessThanOrEqual">
      <formula>0</formula>
    </cfRule>
  </conditionalFormatting>
  <conditionalFormatting sqref="G10:G14">
    <cfRule type="expression" dxfId="4040" priority="54">
      <formula>IF(+(IF(G10&lt;#REF!,0,IF(G10&gt;#REF!,0,1)))=0,1)</formula>
    </cfRule>
  </conditionalFormatting>
  <conditionalFormatting sqref="G33:G46">
    <cfRule type="expression" dxfId="4039" priority="27">
      <formula>IF(+(IF(G33&lt;#REF!,0,IF(G33&gt;#REF!,0,1)))=0,1)</formula>
    </cfRule>
  </conditionalFormatting>
  <conditionalFormatting sqref="G90">
    <cfRule type="cellIs" dxfId="4038" priority="71" stopIfTrue="1" operator="lessThanOrEqual">
      <formula>0</formula>
    </cfRule>
    <cfRule type="cellIs" dxfId="4037" priority="70" stopIfTrue="1" operator="greaterThan">
      <formula>$F89</formula>
    </cfRule>
  </conditionalFormatting>
  <conditionalFormatting sqref="G90:G91">
    <cfRule type="cellIs" dxfId="4036" priority="192" stopIfTrue="1" operator="lessThanOrEqual">
      <formula>0</formula>
    </cfRule>
    <cfRule type="cellIs" dxfId="4035" priority="191" stopIfTrue="1" operator="greaterThan">
      <formula>$F89</formula>
    </cfRule>
  </conditionalFormatting>
  <conditionalFormatting sqref="G92">
    <cfRule type="cellIs" dxfId="4034" priority="140" stopIfTrue="1" operator="lessThanOrEqual">
      <formula>0</formula>
    </cfRule>
    <cfRule type="cellIs" dxfId="4033" priority="139" stopIfTrue="1" operator="greaterThan">
      <formula>$F92</formula>
    </cfRule>
  </conditionalFormatting>
  <conditionalFormatting sqref="G93:G96">
    <cfRule type="cellIs" dxfId="4032" priority="149" stopIfTrue="1" operator="lessThanOrEqual">
      <formula>0</formula>
    </cfRule>
    <cfRule type="cellIs" dxfId="4031" priority="148" stopIfTrue="1" operator="greaterThan">
      <formula>$J93</formula>
    </cfRule>
  </conditionalFormatting>
  <conditionalFormatting sqref="G97">
    <cfRule type="cellIs" dxfId="4030" priority="147" operator="greaterThan">
      <formula>4.5</formula>
    </cfRule>
  </conditionalFormatting>
  <conditionalFormatting sqref="G102:G107 C105 C107">
    <cfRule type="cellIs" dxfId="4029" priority="184" stopIfTrue="1" operator="greaterThan">
      <formula>4.5</formula>
    </cfRule>
    <cfRule type="cellIs" dxfId="4028" priority="185" stopIfTrue="1" operator="lessThanOrEqual">
      <formula>0</formula>
    </cfRule>
  </conditionalFormatting>
  <conditionalFormatting sqref="G62:H62 G63:G73 H63:H74">
    <cfRule type="cellIs" dxfId="4027" priority="163" stopIfTrue="1" operator="greaterThan">
      <formula>0</formula>
    </cfRule>
  </conditionalFormatting>
  <conditionalFormatting sqref="G101:H101">
    <cfRule type="cellIs" dxfId="4026" priority="166" stopIfTrue="1" operator="lessThanOrEqual">
      <formula>0</formula>
    </cfRule>
    <cfRule type="cellIs" dxfId="4025" priority="165" stopIfTrue="1" operator="greaterThan">
      <formula>$F$100</formula>
    </cfRule>
  </conditionalFormatting>
  <conditionalFormatting sqref="H10">
    <cfRule type="expression" dxfId="4024" priority="63">
      <formula>IF(+(IF(H10&lt;T27,0,IF(H10&gt;U27,0,1)))=0,1)</formula>
    </cfRule>
  </conditionalFormatting>
  <conditionalFormatting sqref="H10:H12">
    <cfRule type="expression" dxfId="4023" priority="64">
      <formula>IF(+(IF(H10&lt;#REF!,0,IF(H10&gt;#REF!,0,1)))=0,1)</formula>
    </cfRule>
  </conditionalFormatting>
  <conditionalFormatting sqref="H11:H12">
    <cfRule type="expression" dxfId="4022" priority="207">
      <formula>IF(+(IF(H11&lt;T47,0,IF(H11&gt;U47,0,1)))=0,1)</formula>
    </cfRule>
  </conditionalFormatting>
  <conditionalFormatting sqref="H13">
    <cfRule type="expression" dxfId="4021" priority="55">
      <formula>IF(+(IF(H13&lt;T56,0,IF(H13&gt;U56,0,1)))=0,1)</formula>
    </cfRule>
    <cfRule type="expression" dxfId="4020" priority="56">
      <formula>IF(+(IF(H13&lt;T47,0,IF(H13&gt;U47,0,1)))=0,1)</formula>
    </cfRule>
  </conditionalFormatting>
  <conditionalFormatting sqref="H14">
    <cfRule type="expression" dxfId="4019" priority="197">
      <formula>IF(+(IF(H14&lt;T50,0,IF(H14&gt;U50,0,1)))=0,1)</formula>
    </cfRule>
    <cfRule type="expression" dxfId="4018" priority="198">
      <formula>IF(+(IF(H14&lt;#REF!,0,IF(H14&gt;#REF!,0,1)))=0,1)</formula>
    </cfRule>
  </conditionalFormatting>
  <conditionalFormatting sqref="H15:H32">
    <cfRule type="expression" dxfId="4017" priority="209">
      <formula>IF(+(IF(H15&lt;T66,0,IF(H15&gt;U66,0,1)))=0,1)</formula>
    </cfRule>
  </conditionalFormatting>
  <conditionalFormatting sqref="H33:H46">
    <cfRule type="expression" dxfId="4016" priority="29">
      <formula>IF(+(IF(H33&lt;T48,0,IF(H33&gt;U48,0,1)))=0,1)</formula>
    </cfRule>
    <cfRule type="expression" dxfId="4015" priority="28">
      <formula>IF(+(IF(H33&lt;T57,0,IF(H33&gt;U57,0,1)))=0,1)</formula>
    </cfRule>
  </conditionalFormatting>
  <conditionalFormatting sqref="H47">
    <cfRule type="expression" dxfId="4014" priority="193">
      <formula>IF(+(IF(H47&lt;#REF!,0,IF(H47&gt;#REF!,0,1)))=0,1)</formula>
    </cfRule>
  </conditionalFormatting>
  <conditionalFormatting sqref="H51:H61">
    <cfRule type="cellIs" dxfId="4013" priority="159" stopIfTrue="1" operator="greaterThan">
      <formula>0</formula>
    </cfRule>
  </conditionalFormatting>
  <conditionalFormatting sqref="H79">
    <cfRule type="cellIs" dxfId="4012" priority="12" stopIfTrue="1" operator="lessThanOrEqual">
      <formula>0</formula>
    </cfRule>
    <cfRule type="cellIs" dxfId="4011" priority="14" stopIfTrue="1" operator="lessThanOrEqual">
      <formula>0</formula>
    </cfRule>
    <cfRule type="cellIs" dxfId="4010" priority="13" stopIfTrue="1" operator="greaterThan">
      <formula>$F$54</formula>
    </cfRule>
    <cfRule type="cellIs" dxfId="4009" priority="11" stopIfTrue="1" operator="greaterThan">
      <formula>$F$56</formula>
    </cfRule>
    <cfRule type="cellIs" dxfId="4008" priority="2" stopIfTrue="1" operator="lessThanOrEqual">
      <formula>0</formula>
    </cfRule>
    <cfRule type="cellIs" dxfId="4007" priority="3" stopIfTrue="1" operator="greaterThan">
      <formula>$F$53</formula>
    </cfRule>
  </conditionalFormatting>
  <conditionalFormatting sqref="H80">
    <cfRule type="cellIs" dxfId="4006" priority="92" stopIfTrue="1" operator="lessThanOrEqual">
      <formula>0</formula>
    </cfRule>
    <cfRule type="cellIs" dxfId="4005" priority="93" stopIfTrue="1" operator="greaterThan">
      <formula>$F$88</formula>
    </cfRule>
    <cfRule type="cellIs" dxfId="4004" priority="104" stopIfTrue="1" operator="lessThanOrEqual">
      <formula>0</formula>
    </cfRule>
    <cfRule type="cellIs" dxfId="4003" priority="101" stopIfTrue="1" operator="greaterThan">
      <formula>$F$91</formula>
    </cfRule>
    <cfRule type="cellIs" dxfId="4002" priority="102" stopIfTrue="1" operator="lessThanOrEqual">
      <formula>0</formula>
    </cfRule>
    <cfRule type="cellIs" dxfId="4001" priority="103" stopIfTrue="1" operator="greaterThan">
      <formula>$F$89</formula>
    </cfRule>
  </conditionalFormatting>
  <conditionalFormatting sqref="H81">
    <cfRule type="cellIs" dxfId="4000" priority="45" stopIfTrue="1" operator="lessThanOrEqual">
      <formula>0</formula>
    </cfRule>
    <cfRule type="cellIs" dxfId="3999" priority="36" stopIfTrue="1" operator="greaterThan">
      <formula>$F$72</formula>
    </cfRule>
    <cfRule type="cellIs" dxfId="3998" priority="35" stopIfTrue="1" operator="lessThanOrEqual">
      <formula>0</formula>
    </cfRule>
    <cfRule type="cellIs" dxfId="3997" priority="44" stopIfTrue="1" operator="greaterThan">
      <formula>$F$75</formula>
    </cfRule>
    <cfRule type="cellIs" dxfId="3996" priority="47" stopIfTrue="1" operator="lessThanOrEqual">
      <formula>0</formula>
    </cfRule>
    <cfRule type="cellIs" dxfId="3995" priority="46" stopIfTrue="1" operator="greaterThan">
      <formula>$F$73</formula>
    </cfRule>
  </conditionalFormatting>
  <conditionalFormatting sqref="H82">
    <cfRule type="cellIs" dxfId="3994" priority="84" stopIfTrue="1" operator="greaterThan">
      <formula>#REF!</formula>
    </cfRule>
    <cfRule type="cellIs" dxfId="3993" priority="75" stopIfTrue="1" operator="lessThanOrEqual">
      <formula>0</formula>
    </cfRule>
    <cfRule type="cellIs" dxfId="3992" priority="76" stopIfTrue="1" operator="greaterThan">
      <formula>#REF!</formula>
    </cfRule>
  </conditionalFormatting>
  <conditionalFormatting sqref="H82:H84">
    <cfRule type="cellIs" dxfId="3991" priority="85" stopIfTrue="1" operator="lessThanOrEqual">
      <formula>0</formula>
    </cfRule>
  </conditionalFormatting>
  <conditionalFormatting sqref="H83:H84">
    <cfRule type="cellIs" dxfId="3990" priority="125" stopIfTrue="1" operator="lessThanOrEqual">
      <formula>0</formula>
    </cfRule>
    <cfRule type="cellIs" dxfId="3989" priority="124" stopIfTrue="1" operator="greaterThan">
      <formula>$F$90</formula>
    </cfRule>
    <cfRule type="cellIs" dxfId="3988" priority="122" stopIfTrue="1" operator="greaterThan">
      <formula>$F$92</formula>
    </cfRule>
    <cfRule type="cellIs" dxfId="3987" priority="114" stopIfTrue="1" operator="greaterThan">
      <formula>$F$89</formula>
    </cfRule>
    <cfRule type="cellIs" dxfId="3986" priority="123" stopIfTrue="1" operator="lessThanOrEqual">
      <formula>0</formula>
    </cfRule>
  </conditionalFormatting>
  <conditionalFormatting sqref="H85">
    <cfRule type="cellIs" dxfId="3985" priority="155" stopIfTrue="1" operator="greaterThan">
      <formula>$F$82</formula>
    </cfRule>
    <cfRule type="cellIs" dxfId="3984" priority="156" stopIfTrue="1" operator="lessThanOrEqual">
      <formula>0</formula>
    </cfRule>
    <cfRule type="cellIs" dxfId="3983" priority="153" stopIfTrue="1" operator="greaterThan">
      <formula>$F$86</formula>
    </cfRule>
    <cfRule type="cellIs" dxfId="3982" priority="154" stopIfTrue="1" operator="lessThanOrEqual">
      <formula>0</formula>
    </cfRule>
  </conditionalFormatting>
  <conditionalFormatting sqref="H89:H96">
    <cfRule type="cellIs" dxfId="3981" priority="127" stopIfTrue="1" operator="lessThanOrEqual">
      <formula>0</formula>
    </cfRule>
    <cfRule type="cellIs" dxfId="3980" priority="126" stopIfTrue="1" operator="greaterThan">
      <formula>$J89</formula>
    </cfRule>
  </conditionalFormatting>
  <conditionalFormatting sqref="H97">
    <cfRule type="cellIs" dxfId="3979" priority="132" operator="greaterThan">
      <formula>5.3</formula>
    </cfRule>
  </conditionalFormatting>
  <conditionalFormatting sqref="H100 H102:H108">
    <cfRule type="cellIs" dxfId="3978" priority="177" stopIfTrue="1" operator="greaterThan">
      <formula>4.5</formula>
    </cfRule>
    <cfRule type="cellIs" dxfId="3977" priority="178" stopIfTrue="1" operator="lessThanOrEqual">
      <formula>0</formula>
    </cfRule>
  </conditionalFormatting>
  <conditionalFormatting sqref="H79:I79">
    <cfRule type="cellIs" dxfId="3976" priority="4" stopIfTrue="1" operator="lessThanOrEqual">
      <formula>0</formula>
    </cfRule>
    <cfRule type="cellIs" dxfId="3975" priority="1" stopIfTrue="1" operator="greaterThan">
      <formula>$F$55</formula>
    </cfRule>
  </conditionalFormatting>
  <conditionalFormatting sqref="H80:I80">
    <cfRule type="cellIs" dxfId="3974" priority="94" stopIfTrue="1" operator="lessThanOrEqual">
      <formula>0</formula>
    </cfRule>
    <cfRule type="cellIs" dxfId="3973" priority="91" stopIfTrue="1" operator="greaterThan">
      <formula>$F$90</formula>
    </cfRule>
  </conditionalFormatting>
  <conditionalFormatting sqref="H81:I81">
    <cfRule type="cellIs" dxfId="3972" priority="37" stopIfTrue="1" operator="lessThanOrEqual">
      <formula>0</formula>
    </cfRule>
    <cfRule type="cellIs" dxfId="3971" priority="34" stopIfTrue="1" operator="greaterThan">
      <formula>$F$74</formula>
    </cfRule>
  </conditionalFormatting>
  <conditionalFormatting sqref="H82:I82">
    <cfRule type="cellIs" dxfId="3970" priority="83" stopIfTrue="1" operator="lessThanOrEqual">
      <formula>0</formula>
    </cfRule>
    <cfRule type="cellIs" dxfId="3969" priority="82" stopIfTrue="1" operator="greaterThan">
      <formula>#REF!</formula>
    </cfRule>
    <cfRule type="cellIs" dxfId="3968" priority="74" stopIfTrue="1" operator="greaterThan">
      <formula>#REF!</formula>
    </cfRule>
    <cfRule type="cellIs" dxfId="3967" priority="77" stopIfTrue="1" operator="lessThanOrEqual">
      <formula>0</formula>
    </cfRule>
  </conditionalFormatting>
  <conditionalFormatting sqref="H83:I83">
    <cfRule type="cellIs" dxfId="3966" priority="115" stopIfTrue="1" operator="lessThanOrEqual">
      <formula>0</formula>
    </cfRule>
  </conditionalFormatting>
  <conditionalFormatting sqref="H83:I84">
    <cfRule type="cellIs" dxfId="3965" priority="72" stopIfTrue="1" operator="greaterThan">
      <formula>$F$91</formula>
    </cfRule>
  </conditionalFormatting>
  <conditionalFormatting sqref="H84:I84">
    <cfRule type="cellIs" dxfId="3964" priority="73" stopIfTrue="1" operator="lessThanOrEqual">
      <formula>0</formula>
    </cfRule>
  </conditionalFormatting>
  <conditionalFormatting sqref="I10:I14">
    <cfRule type="cellIs" dxfId="3963" priority="49" operator="lessThan">
      <formula>97.8</formula>
    </cfRule>
  </conditionalFormatting>
  <conditionalFormatting sqref="I10:I47">
    <cfRule type="cellIs" dxfId="3962" priority="21" operator="lessThan">
      <formula>98</formula>
    </cfRule>
  </conditionalFormatting>
  <conditionalFormatting sqref="I33:I46">
    <cfRule type="cellIs" dxfId="3961" priority="22" operator="lessThan">
      <formula>97.8</formula>
    </cfRule>
  </conditionalFormatting>
  <conditionalFormatting sqref="I79">
    <cfRule type="cellIs" dxfId="3960" priority="5" stopIfTrue="1" operator="greaterThan">
      <formula>$F$53</formula>
    </cfRule>
    <cfRule type="cellIs" dxfId="3959" priority="6" stopIfTrue="1" operator="lessThanOrEqual">
      <formula>0</formula>
    </cfRule>
    <cfRule type="cellIs" dxfId="3958" priority="7" stopIfTrue="1" operator="greaterThan">
      <formula>$F$55</formula>
    </cfRule>
    <cfRule type="cellIs" dxfId="3957" priority="8" stopIfTrue="1" operator="lessThanOrEqual">
      <formula>0</formula>
    </cfRule>
    <cfRule type="cellIs" dxfId="3956" priority="9" stopIfTrue="1" operator="greaterThan">
      <formula>$F$53</formula>
    </cfRule>
    <cfRule type="cellIs" dxfId="3955" priority="10" stopIfTrue="1" operator="lessThanOrEqual">
      <formula>0</formula>
    </cfRule>
  </conditionalFormatting>
  <conditionalFormatting sqref="I80">
    <cfRule type="cellIs" dxfId="3954" priority="99" stopIfTrue="1" operator="greaterThan">
      <formula>$F$88</formula>
    </cfRule>
    <cfRule type="cellIs" dxfId="3953" priority="97" stopIfTrue="1" operator="greaterThan">
      <formula>$F$90</formula>
    </cfRule>
    <cfRule type="cellIs" dxfId="3952" priority="96" stopIfTrue="1" operator="lessThanOrEqual">
      <formula>0</formula>
    </cfRule>
    <cfRule type="cellIs" dxfId="3951" priority="95" stopIfTrue="1" operator="greaterThan">
      <formula>$F$88</formula>
    </cfRule>
    <cfRule type="cellIs" dxfId="3950" priority="100" stopIfTrue="1" operator="lessThanOrEqual">
      <formula>0</formula>
    </cfRule>
    <cfRule type="cellIs" dxfId="3949" priority="98" stopIfTrue="1" operator="lessThanOrEqual">
      <formula>0</formula>
    </cfRule>
  </conditionalFormatting>
  <conditionalFormatting sqref="I81">
    <cfRule type="cellIs" dxfId="3948" priority="43" stopIfTrue="1" operator="lessThanOrEqual">
      <formula>0</formula>
    </cfRule>
    <cfRule type="cellIs" dxfId="3947" priority="42" stopIfTrue="1" operator="greaterThan">
      <formula>$F$72</formula>
    </cfRule>
    <cfRule type="cellIs" dxfId="3946" priority="41" stopIfTrue="1" operator="lessThanOrEqual">
      <formula>0</formula>
    </cfRule>
    <cfRule type="cellIs" dxfId="3945" priority="40" stopIfTrue="1" operator="greaterThan">
      <formula>$F$74</formula>
    </cfRule>
    <cfRule type="cellIs" dxfId="3944" priority="39" stopIfTrue="1" operator="lessThanOrEqual">
      <formula>0</formula>
    </cfRule>
    <cfRule type="cellIs" dxfId="3943" priority="38" stopIfTrue="1" operator="greaterThan">
      <formula>$F$72</formula>
    </cfRule>
  </conditionalFormatting>
  <conditionalFormatting sqref="I82">
    <cfRule type="cellIs" dxfId="3942" priority="80" stopIfTrue="1" operator="greaterThan">
      <formula>#REF!</formula>
    </cfRule>
    <cfRule type="cellIs" dxfId="3941" priority="79" stopIfTrue="1" operator="lessThanOrEqual">
      <formula>0</formula>
    </cfRule>
    <cfRule type="cellIs" dxfId="3940" priority="78" stopIfTrue="1" operator="greaterThan">
      <formula>#REF!</formula>
    </cfRule>
    <cfRule type="cellIs" dxfId="3939" priority="81" stopIfTrue="1" operator="lessThanOrEqual">
      <formula>0</formula>
    </cfRule>
  </conditionalFormatting>
  <conditionalFormatting sqref="I83:I84">
    <cfRule type="cellIs" dxfId="3938" priority="118" stopIfTrue="1" operator="greaterThan">
      <formula>$F$91</formula>
    </cfRule>
    <cfRule type="cellIs" dxfId="3937" priority="116" stopIfTrue="1" operator="greaterThan">
      <formula>$F$89</formula>
    </cfRule>
    <cfRule type="cellIs" dxfId="3936" priority="117" stopIfTrue="1" operator="lessThanOrEqual">
      <formula>0</formula>
    </cfRule>
    <cfRule type="cellIs" dxfId="3935" priority="119" stopIfTrue="1" operator="lessThanOrEqual">
      <formula>0</formula>
    </cfRule>
    <cfRule type="cellIs" dxfId="3934" priority="120" stopIfTrue="1" operator="greaterThan">
      <formula>$F$89</formula>
    </cfRule>
    <cfRule type="cellIs" dxfId="3933" priority="121" stopIfTrue="1" operator="lessThanOrEqual">
      <formula>0</formula>
    </cfRule>
  </conditionalFormatting>
  <conditionalFormatting sqref="I89:I97">
    <cfRule type="cellIs" dxfId="3932" priority="133" stopIfTrue="1" operator="greaterThan">
      <formula>$J89</formula>
    </cfRule>
    <cfRule type="cellIs" dxfId="3931" priority="134" stopIfTrue="1" operator="lessThanOrEqual">
      <formula>0</formula>
    </cfRule>
  </conditionalFormatting>
  <conditionalFormatting sqref="I100:I108">
    <cfRule type="cellIs" dxfId="3930" priority="173" stopIfTrue="1" operator="greaterThan">
      <formula>4.5</formula>
    </cfRule>
    <cfRule type="cellIs" dxfId="3929" priority="174" stopIfTrue="1" operator="lessThanOrEqual">
      <formula>0</formula>
    </cfRule>
  </conditionalFormatting>
  <conditionalFormatting sqref="J10:J14">
    <cfRule type="cellIs" dxfId="3928" priority="51" operator="notBetween">
      <formula>98</formula>
      <formula>99.9</formula>
    </cfRule>
  </conditionalFormatting>
  <conditionalFormatting sqref="J10:J47">
    <cfRule type="cellIs" dxfId="3927" priority="20" operator="lessThan">
      <formula>97.4</formula>
    </cfRule>
  </conditionalFormatting>
  <conditionalFormatting sqref="J33:J46">
    <cfRule type="cellIs" dxfId="3926" priority="24" operator="notBetween">
      <formula>98</formula>
      <formula>99.9</formula>
    </cfRule>
  </conditionalFormatting>
  <conditionalFormatting sqref="J50:J52">
    <cfRule type="cellIs" dxfId="3925" priority="108" stopIfTrue="1" operator="greaterThan">
      <formula>100</formula>
    </cfRule>
    <cfRule type="cellIs" dxfId="3924" priority="109" operator="lessThan">
      <formula>98</formula>
    </cfRule>
    <cfRule type="cellIs" dxfId="3923" priority="107" stopIfTrue="1" operator="lessThan">
      <formula>96.8</formula>
    </cfRule>
  </conditionalFormatting>
  <conditionalFormatting sqref="J50:J54">
    <cfRule type="cellIs" dxfId="3922" priority="48" operator="lessThan">
      <formula>97.4</formula>
    </cfRule>
  </conditionalFormatting>
  <conditionalFormatting sqref="J55 L59:M59 L61:M61">
    <cfRule type="cellIs" dxfId="3921" priority="110" operator="lessThan">
      <formula>98</formula>
    </cfRule>
  </conditionalFormatting>
  <conditionalFormatting sqref="J56:J57">
    <cfRule type="cellIs" dxfId="3920" priority="111" stopIfTrue="1" operator="lessThan">
      <formula>96.8</formula>
    </cfRule>
    <cfRule type="cellIs" dxfId="3919" priority="112" stopIfTrue="1" operator="greaterThan">
      <formula>100</formula>
    </cfRule>
  </conditionalFormatting>
  <conditionalFormatting sqref="J56:J58">
    <cfRule type="cellIs" dxfId="3918" priority="113" operator="lessThan">
      <formula>98</formula>
    </cfRule>
  </conditionalFormatting>
  <conditionalFormatting sqref="K10:K14">
    <cfRule type="cellIs" dxfId="3917" priority="50" operator="greaterThan">
      <formula>6.4</formula>
    </cfRule>
  </conditionalFormatting>
  <conditionalFormatting sqref="K10:K47">
    <cfRule type="cellIs" dxfId="3916" priority="17" operator="lessThan">
      <formula>4</formula>
    </cfRule>
    <cfRule type="cellIs" dxfId="3915" priority="16" operator="greaterThan">
      <formula>6</formula>
    </cfRule>
  </conditionalFormatting>
  <conditionalFormatting sqref="K33:K46">
    <cfRule type="cellIs" dxfId="3914" priority="23" operator="greaterThan">
      <formula>6.4</formula>
    </cfRule>
  </conditionalFormatting>
  <conditionalFormatting sqref="K64:K73">
    <cfRule type="cellIs" dxfId="3913" priority="141" operator="notEqual">
      <formula>#REF!</formula>
    </cfRule>
  </conditionalFormatting>
  <conditionalFormatting sqref="K79:K84 J85:K85 L89:N89 K90:N97">
    <cfRule type="cellIs" dxfId="3912" priority="152" stopIfTrue="1" operator="lessThan">
      <formula>100%</formula>
    </cfRule>
  </conditionalFormatting>
  <conditionalFormatting sqref="K100:K105">
    <cfRule type="cellIs" dxfId="3911" priority="179" stopIfTrue="1" operator="lessThan">
      <formula>100%</formula>
    </cfRule>
  </conditionalFormatting>
  <conditionalFormatting sqref="K107:K108">
    <cfRule type="cellIs" dxfId="3910" priority="186" stopIfTrue="1" operator="lessThan">
      <formula>100%</formula>
    </cfRule>
  </conditionalFormatting>
  <conditionalFormatting sqref="L10:L47">
    <cfRule type="cellIs" dxfId="3909" priority="19" operator="greaterThan">
      <formula>65</formula>
    </cfRule>
    <cfRule type="cellIs" dxfId="3908" priority="18" operator="between">
      <formula>61</formula>
      <formula>65</formula>
    </cfRule>
  </conditionalFormatting>
  <conditionalFormatting sqref="L52:L58">
    <cfRule type="cellIs" dxfId="3907" priority="88" operator="lessThan">
      <formula>98</formula>
    </cfRule>
  </conditionalFormatting>
  <conditionalFormatting sqref="L65:N65">
    <cfRule type="cellIs" dxfId="3906" priority="87" operator="notEqual">
      <formula>#REF!</formula>
    </cfRule>
  </conditionalFormatting>
  <conditionalFormatting sqref="L100:N108">
    <cfRule type="cellIs" dxfId="3905" priority="164" stopIfTrue="1" operator="lessThan">
      <formula>100%</formula>
    </cfRule>
  </conditionalFormatting>
  <conditionalFormatting sqref="M10:M11">
    <cfRule type="expression" dxfId="3904" priority="65">
      <formula>IF(+(IF(M10&lt;V23,0,IF(M10&gt;W23,0,1)))=0,1)</formula>
    </cfRule>
  </conditionalFormatting>
  <conditionalFormatting sqref="M13">
    <cfRule type="expression" dxfId="3903" priority="58">
      <formula>IF(+(IF(M13&lt;V47,0,IF(M13&gt;W47,0,1)))=0,1)</formula>
    </cfRule>
    <cfRule type="expression" dxfId="3902" priority="57">
      <formula>IF(+(IF(M13&lt;V52,0,IF(M13&gt;W52,0,1)))=0,1)</formula>
    </cfRule>
  </conditionalFormatting>
  <conditionalFormatting sqref="M14">
    <cfRule type="expression" dxfId="3901" priority="199">
      <formula>IF(+(IF(M14&lt;V27,0,IF(M14&gt;W27,0,1)))=0,1)</formula>
    </cfRule>
  </conditionalFormatting>
  <conditionalFormatting sqref="M15:M32">
    <cfRule type="expression" dxfId="3900" priority="210">
      <formula>IF(+(IF(M15&lt;V62,0,IF(M15&gt;W62,0,1)))=0,1)</formula>
    </cfRule>
  </conditionalFormatting>
  <conditionalFormatting sqref="M33:M46">
    <cfRule type="expression" dxfId="3899" priority="31">
      <formula>IF(+(IF(M33&lt;V48,0,IF(M33&gt;W48,0,1)))=0,1)</formula>
    </cfRule>
    <cfRule type="expression" dxfId="3898" priority="30">
      <formula>IF(+(IF(M33&lt;V53,0,IF(M33&gt;W53,0,1)))=0,1)</formula>
    </cfRule>
  </conditionalFormatting>
  <conditionalFormatting sqref="M50:M58">
    <cfRule type="cellIs" dxfId="3897" priority="86" operator="lessThan">
      <formula>98</formula>
    </cfRule>
  </conditionalFormatting>
  <conditionalFormatting sqref="M10:N12">
    <cfRule type="expression" dxfId="3896" priority="66">
      <formula>IF(+(IF(M10&lt;#REF!,0,IF(M10&gt;#REF!,0,1)))=0,1)</formula>
    </cfRule>
  </conditionalFormatting>
  <conditionalFormatting sqref="M14:N14">
    <cfRule type="expression" dxfId="3895" priority="200">
      <formula>IF(+(IF(M14&lt;#REF!,0,IF(M14&gt;#REF!,0,1)))=0,1)</formula>
    </cfRule>
  </conditionalFormatting>
  <conditionalFormatting sqref="M47:N47">
    <cfRule type="expression" dxfId="3894" priority="194">
      <formula>IF(+(IF(M47&lt;#REF!,0,IF(M47&gt;#REF!,0,1)))=0,1)</formula>
    </cfRule>
  </conditionalFormatting>
  <conditionalFormatting sqref="N10:N11">
    <cfRule type="expression" dxfId="3893" priority="67">
      <formula>IF(+(IF(N10&lt;X23,0,IF(N10&gt;Y23,0,1)))=0,1)</formula>
    </cfRule>
  </conditionalFormatting>
  <conditionalFormatting sqref="N13">
    <cfRule type="expression" dxfId="3892" priority="60">
      <formula>IF(+(IF(N13&lt;X47,0,IF(N13&gt;Y47,0,1)))=0,1)</formula>
    </cfRule>
    <cfRule type="expression" dxfId="3891" priority="59">
      <formula>IF(+(IF(N13&lt;X52,0,IF(N13&gt;Y52,0,1)))=0,1)</formula>
    </cfRule>
  </conditionalFormatting>
  <conditionalFormatting sqref="N14">
    <cfRule type="expression" dxfId="3890" priority="203">
      <formula>IF(+(IF(N14&lt;X27,0,IF(N14&gt;Y27,0,1)))=0,1)</formula>
    </cfRule>
  </conditionalFormatting>
  <conditionalFormatting sqref="N15:N32">
    <cfRule type="expression" dxfId="3889" priority="211">
      <formula>IF(+(IF(N15&lt;X62,0,IF(N15&gt;Y62,0,1)))=0,1)</formula>
    </cfRule>
  </conditionalFormatting>
  <conditionalFormatting sqref="N33:N46">
    <cfRule type="expression" dxfId="3888" priority="33">
      <formula>IF(+(IF(N33&lt;X48,0,IF(N33&gt;Y48,0,1)))=0,1)</formula>
    </cfRule>
    <cfRule type="expression" dxfId="3887" priority="32">
      <formula>IF(+(IF(N33&lt;X53,0,IF(N33&gt;Y53,0,1)))=0,1)</formula>
    </cfRule>
  </conditionalFormatting>
  <conditionalFormatting sqref="P6">
    <cfRule type="cellIs" dxfId="3886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C320-571C-403C-BB16-454901CBFD53}">
  <sheetPr>
    <pageSetUpPr fitToPage="1"/>
  </sheetPr>
  <dimension ref="A1:BE77"/>
  <sheetViews>
    <sheetView tabSelected="1" topLeftCell="A8" zoomScale="80" zoomScaleNormal="80" workbookViewId="0">
      <selection activeCell="B13" sqref="B13:O1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45965</v>
      </c>
      <c r="J4" s="398" t="s">
        <v>166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37" t="s">
        <v>16</v>
      </c>
      <c r="C10" s="366" t="str">
        <f>[22]Brewhouse!$A94</f>
        <v>SM081</v>
      </c>
      <c r="D10" s="279">
        <f>[22]Brewhouse!$AH94</f>
        <v>53.1</v>
      </c>
      <c r="E10" s="279">
        <f>[22]Brewhouse!$AM94</f>
        <v>49.1</v>
      </c>
      <c r="F10" s="278">
        <f>[22]Brewhouse!$Z94</f>
        <v>77</v>
      </c>
      <c r="G10" s="279">
        <f>[22]Brewhouse!$AK94</f>
        <v>17.2</v>
      </c>
      <c r="H10" s="396">
        <v>17.2</v>
      </c>
      <c r="I10" s="368">
        <f>[22]Brewhouse!$AY94</f>
        <v>92.893275059999496</v>
      </c>
      <c r="J10" s="368">
        <f>[22]Brewhouse!$AZ94</f>
        <v>93.108341471879768</v>
      </c>
      <c r="K10" s="281">
        <f>[22]Brewhouse!$U94</f>
        <v>12.015065913371002</v>
      </c>
      <c r="L10" s="276">
        <f>[22]Brewhouse!$T94</f>
        <v>60</v>
      </c>
      <c r="M10" s="374">
        <f>[22]Brewhouse!$Y94-[22]Brewhouse!$X94</f>
        <v>0.13749999999999996</v>
      </c>
      <c r="N10" s="370">
        <f>[22]Brewhouse!$AD94</f>
        <v>0.29305555555555557</v>
      </c>
      <c r="O10" s="371" t="str">
        <f>[22]Brewhouse!$BC94</f>
        <v>R. Regis</v>
      </c>
      <c r="P10" s="418"/>
      <c r="R10" s="277" t="str">
        <f t="shared" ref="R10:R13" si="0">B10</f>
        <v>STARMALT</v>
      </c>
      <c r="S10" s="296">
        <f t="shared" ref="S10:S13" si="1">VLOOKUP($B10,$R$3:$X$9,2,FALSE)</f>
        <v>17</v>
      </c>
      <c r="T10" s="296">
        <f t="shared" ref="T10:T13" si="2">VLOOKUP($B10,$R$3:$X$9,3,FALSE)</f>
        <v>17.399999999999999</v>
      </c>
      <c r="U10" s="297">
        <f t="shared" ref="U10:U13" si="3">VLOOKUP($B10,$R$3:$X$9,4,FALSE)</f>
        <v>0</v>
      </c>
      <c r="V10" s="297">
        <f t="shared" ref="V10:V13" si="4">VLOOKUP($B10,$R$3:$X$9,5,FALSE)</f>
        <v>0.13605324074074074</v>
      </c>
      <c r="W10" s="297">
        <f t="shared" ref="W10:W13" si="5">VLOOKUP($B10,$R$3:$X$9,6,FALSE)</f>
        <v>0.27430555555555552</v>
      </c>
      <c r="X10" s="297">
        <f t="shared" ref="X10:X13" si="6">VLOOKUP($B10,$R$3:$X$9,7,FALSE)</f>
        <v>0.30902777777777779</v>
      </c>
      <c r="Y10" s="297">
        <f t="shared" ref="Y10:Y13" si="7">VLOOKUP($B10,$R$3:$Z$9,8,FALSE)</f>
        <v>0</v>
      </c>
      <c r="Z10" s="296">
        <f t="shared" ref="Z10:Z13" si="8">VLOOKUP($B10,$R$3:$Z$9,9,FALSE)</f>
        <v>85</v>
      </c>
    </row>
    <row r="11" spans="2:29" ht="15" customHeight="1">
      <c r="B11" s="37" t="s">
        <v>16</v>
      </c>
      <c r="C11" s="366" t="str">
        <f>[22]Brewhouse!$A95</f>
        <v>SM082</v>
      </c>
      <c r="D11" s="279">
        <f>[22]Brewhouse!$AH95</f>
        <v>50</v>
      </c>
      <c r="E11" s="279">
        <f>[22]Brewhouse!$AM95</f>
        <v>51.4</v>
      </c>
      <c r="F11" s="278">
        <f>[22]Brewhouse!$Z95</f>
        <v>79</v>
      </c>
      <c r="G11" s="279">
        <f>[22]Brewhouse!$AK95</f>
        <v>17.2</v>
      </c>
      <c r="H11" s="396">
        <v>17.399999999999999</v>
      </c>
      <c r="I11" s="368">
        <f>[22]Brewhouse!$AY95</f>
        <v>97.244691203339599</v>
      </c>
      <c r="J11" s="368">
        <f>[22]Brewhouse!$AZ95</f>
        <v>97.469832009259065</v>
      </c>
      <c r="K11" s="281">
        <f>[22]Brewhouse!$U95</f>
        <v>4.960000000000008</v>
      </c>
      <c r="L11" s="276">
        <f>[22]Brewhouse!$T95</f>
        <v>60</v>
      </c>
      <c r="M11" s="374">
        <f>[22]Brewhouse!$Y95-[22]Brewhouse!$X95</f>
        <v>0.14097222222222228</v>
      </c>
      <c r="N11" s="370">
        <f>[22]Brewhouse!$AD95</f>
        <v>0.30555555555555558</v>
      </c>
      <c r="O11" s="371" t="str">
        <f>[22]Brewhouse!$BC95</f>
        <v>R. Regis</v>
      </c>
      <c r="P11" s="418"/>
      <c r="R11" s="277" t="str">
        <f t="shared" si="0"/>
        <v>STARMALT</v>
      </c>
      <c r="S11" s="296">
        <f t="shared" si="1"/>
        <v>17</v>
      </c>
      <c r="T11" s="296">
        <f t="shared" si="2"/>
        <v>17.399999999999999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296">
        <f t="shared" si="8"/>
        <v>85</v>
      </c>
    </row>
    <row r="12" spans="2:29" ht="15" customHeight="1">
      <c r="B12" s="37" t="s">
        <v>16</v>
      </c>
      <c r="C12" s="366" t="str">
        <f>[22]Brewhouse!$A96</f>
        <v>SM083</v>
      </c>
      <c r="D12" s="279">
        <f>[22]Brewhouse!$AH96</f>
        <v>53.1</v>
      </c>
      <c r="E12" s="279">
        <f>[22]Brewhouse!$AM96</f>
        <v>49.2</v>
      </c>
      <c r="F12" s="278">
        <f>[22]Brewhouse!$Z96</f>
        <v>69</v>
      </c>
      <c r="G12" s="279">
        <f>[22]Brewhouse!$AK96</f>
        <v>17.2</v>
      </c>
      <c r="H12" s="396">
        <v>17.2</v>
      </c>
      <c r="I12" s="368">
        <f>[22]Brewhouse!$AY96</f>
        <v>93.23195856554247</v>
      </c>
      <c r="J12" s="368">
        <f>[22]Brewhouse!$AZ96</f>
        <v>93.44740932626425</v>
      </c>
      <c r="K12" s="281">
        <f>[22]Brewhouse!$U96</f>
        <v>10.320150659133716</v>
      </c>
      <c r="L12" s="276">
        <f>[22]Brewhouse!$T96</f>
        <v>62</v>
      </c>
      <c r="M12" s="374">
        <f>[22]Brewhouse!$Y96-[22]Brewhouse!$X96</f>
        <v>0.13402777777777786</v>
      </c>
      <c r="N12" s="370">
        <f>[22]Brewhouse!$AD96</f>
        <v>0.28125</v>
      </c>
      <c r="O12" s="371" t="str">
        <f>[22]Brewhouse!$BC96</f>
        <v>R. Regis</v>
      </c>
      <c r="P12" s="418"/>
      <c r="R12" s="277" t="str">
        <f t="shared" si="0"/>
        <v>STARMALT</v>
      </c>
      <c r="S12" s="296">
        <f t="shared" si="1"/>
        <v>17</v>
      </c>
      <c r="T12" s="296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296">
        <f t="shared" si="8"/>
        <v>85</v>
      </c>
    </row>
    <row r="13" spans="2:29" ht="15" customHeight="1">
      <c r="B13" s="37" t="s">
        <v>16</v>
      </c>
      <c r="C13" s="366" t="str">
        <f>[22]Brewhouse!$A97</f>
        <v>SM084</v>
      </c>
      <c r="D13" s="279">
        <f>[22]Brewhouse!$AH97</f>
        <v>53.1</v>
      </c>
      <c r="E13" s="279">
        <f>[22]Brewhouse!$AM97</f>
        <v>51.6</v>
      </c>
      <c r="F13" s="278">
        <f>[22]Brewhouse!$Z97</f>
        <v>80</v>
      </c>
      <c r="G13" s="279">
        <f>[22]Brewhouse!$AK97</f>
        <v>17.2</v>
      </c>
      <c r="H13" s="396"/>
      <c r="I13" s="368">
        <f>[22]Brewhouse!$AY97</f>
        <v>97.937147154043615</v>
      </c>
      <c r="J13" s="368">
        <f>[22]Brewhouse!$AZ97</f>
        <v>98.163049893195293</v>
      </c>
      <c r="K13" s="281">
        <f>[22]Brewhouse!$U97</f>
        <v>9.7551789077212927</v>
      </c>
      <c r="L13" s="276">
        <f>[22]Brewhouse!$T97</f>
        <v>58</v>
      </c>
      <c r="M13" s="374">
        <f>[22]Brewhouse!$Y97-[22]Brewhouse!$X97</f>
        <v>0.13750000000000007</v>
      </c>
      <c r="N13" s="370">
        <f>[22]Brewhouse!$AD97</f>
        <v>0.29375000000000007</v>
      </c>
      <c r="O13" s="371" t="str">
        <f>[22]Brewhouse!$BC97</f>
        <v>R.Sookram</v>
      </c>
      <c r="P13" s="418"/>
      <c r="R13" s="277" t="str">
        <f t="shared" si="0"/>
        <v>STARMALT</v>
      </c>
      <c r="S13" s="296">
        <f t="shared" si="1"/>
        <v>17</v>
      </c>
      <c r="T13" s="296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296">
        <f t="shared" si="8"/>
        <v>85</v>
      </c>
    </row>
    <row r="14" spans="2:29" ht="1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1"/>
      <c r="P14" s="418"/>
      <c r="R14" s="277">
        <f t="shared" ref="R14" si="9">B14</f>
        <v>0</v>
      </c>
      <c r="S14" s="296" t="e">
        <f t="shared" ref="S14:S28" si="10">VLOOKUP($B14,$R$3:$X$9,2,FALSE)</f>
        <v>#N/A</v>
      </c>
      <c r="T14" s="296" t="e">
        <f t="shared" ref="T14:T28" si="11">VLOOKUP($B14,$R$3:$X$9,3,FALSE)</f>
        <v>#N/A</v>
      </c>
      <c r="U14" s="297" t="e">
        <f t="shared" ref="U14:U28" si="12">VLOOKUP($B14,$R$3:$X$9,4,FALSE)</f>
        <v>#N/A</v>
      </c>
      <c r="V14" s="297" t="e">
        <f t="shared" ref="V14:V28" si="13">VLOOKUP($B14,$R$3:$X$9,5,FALSE)</f>
        <v>#N/A</v>
      </c>
      <c r="W14" s="297" t="e">
        <f t="shared" ref="W14:W28" si="14">VLOOKUP($B14,$R$3:$X$9,6,FALSE)</f>
        <v>#N/A</v>
      </c>
      <c r="X14" s="297" t="e">
        <f t="shared" ref="X14:X28" si="15">VLOOKUP($B14,$R$3:$X$9,7,FALSE)</f>
        <v>#N/A</v>
      </c>
      <c r="Y14" s="297" t="e">
        <f t="shared" ref="Y14:Y28" si="16">VLOOKUP($B14,$R$3:$Z$9,8,FALSE)</f>
        <v>#N/A</v>
      </c>
      <c r="Z14" s="296" t="e">
        <f t="shared" ref="Z14:Z28" si="17">VLOOKUP($B14,$R$3:$Z$9,9,FALSE)</f>
        <v>#N/A</v>
      </c>
    </row>
    <row r="15" spans="2:29" ht="15" customHeight="1">
      <c r="B15" s="22" t="s">
        <v>33</v>
      </c>
      <c r="C15" s="366" t="str">
        <f>[23]Brewhouse!A97</f>
        <v>VM083</v>
      </c>
      <c r="D15" s="279">
        <f>[23]Brewhouse!AE97</f>
        <v>50</v>
      </c>
      <c r="E15" s="279">
        <f>[23]Brewhouse!AJ97</f>
        <v>48</v>
      </c>
      <c r="F15" s="278">
        <f>[23]Brewhouse!X97</f>
        <v>78</v>
      </c>
      <c r="G15" s="279">
        <f>[23]Brewhouse!AH97</f>
        <v>14.1</v>
      </c>
      <c r="H15" s="396">
        <v>14.1</v>
      </c>
      <c r="I15" s="368">
        <f>[23]Brewhouse!AV97</f>
        <v>96.384142627803314</v>
      </c>
      <c r="J15" s="368">
        <f>[23]Brewhouse!AW97</f>
        <v>96.478842650696336</v>
      </c>
      <c r="K15" s="281">
        <f>[23]Brewhouse!S97</f>
        <v>9.1200000000000045</v>
      </c>
      <c r="L15" s="276">
        <f>[23]Brewhouse!R97</f>
        <v>60</v>
      </c>
      <c r="M15" s="374">
        <f>[23]Brewhouse!$W97-[23]Brewhouse!$V97</f>
        <v>0.14652777777777759</v>
      </c>
      <c r="N15" s="370">
        <f>[23]Brewhouse!AB97</f>
        <v>0.29097222222222208</v>
      </c>
      <c r="O15" s="371" t="str">
        <f>[23]Brewhouse!$AZ97</f>
        <v>K. Benjamin</v>
      </c>
      <c r="P15" s="418"/>
      <c r="R15" s="277" t="str">
        <f t="shared" ref="R15:R28" si="18">B15</f>
        <v>VITAMALT</v>
      </c>
      <c r="S15" s="296">
        <f t="shared" si="10"/>
        <v>14.2</v>
      </c>
      <c r="T15" s="296">
        <f t="shared" si="11"/>
        <v>14.6</v>
      </c>
      <c r="U15" s="297">
        <f t="shared" si="12"/>
        <v>0</v>
      </c>
      <c r="V15" s="297">
        <f t="shared" si="13"/>
        <v>0.13905092592592591</v>
      </c>
      <c r="W15" s="297">
        <f t="shared" si="14"/>
        <v>0.26041666666666669</v>
      </c>
      <c r="X15" s="297">
        <f t="shared" si="15"/>
        <v>0.2951388888888889</v>
      </c>
      <c r="Y15" s="297">
        <f t="shared" si="16"/>
        <v>0</v>
      </c>
      <c r="Z15" s="296">
        <f t="shared" si="17"/>
        <v>75</v>
      </c>
    </row>
    <row r="16" spans="2:29" ht="15" customHeight="1">
      <c r="B16" s="22" t="s">
        <v>33</v>
      </c>
      <c r="C16" s="366" t="str">
        <f>[23]Brewhouse!A98</f>
        <v>VM084</v>
      </c>
      <c r="D16" s="279">
        <f>[23]Brewhouse!AE98</f>
        <v>50</v>
      </c>
      <c r="E16" s="279">
        <f>[23]Brewhouse!AJ98</f>
        <v>48.5</v>
      </c>
      <c r="F16" s="278">
        <f>[23]Brewhouse!X98</f>
        <v>70</v>
      </c>
      <c r="G16" s="279">
        <f>[23]Brewhouse!AH98</f>
        <v>14.3</v>
      </c>
      <c r="H16" s="396">
        <v>14.3</v>
      </c>
      <c r="I16" s="368">
        <f>[23]Brewhouse!AV98</f>
        <v>98.724257868818427</v>
      </c>
      <c r="J16" s="368">
        <f>[23]Brewhouse!AW98</f>
        <v>98.821671093335979</v>
      </c>
      <c r="K16" s="281">
        <f>[23]Brewhouse!S98</f>
        <v>4.9199999999999875</v>
      </c>
      <c r="L16" s="276">
        <f>[23]Brewhouse!R98</f>
        <v>57</v>
      </c>
      <c r="M16" s="374">
        <f>[23]Brewhouse!$W98-[23]Brewhouse!$V98</f>
        <v>0.12777777777777777</v>
      </c>
      <c r="N16" s="370">
        <f>[23]Brewhouse!AB98</f>
        <v>0.26944444444444438</v>
      </c>
      <c r="O16" s="371" t="str">
        <f>[23]Brewhouse!$AZ98</f>
        <v>K. Benjamin</v>
      </c>
      <c r="P16" s="418"/>
      <c r="R16" s="277" t="str">
        <f t="shared" si="18"/>
        <v>VITAMALT</v>
      </c>
      <c r="S16" s="296">
        <f t="shared" si="10"/>
        <v>14.2</v>
      </c>
      <c r="T16" s="296">
        <f t="shared" si="11"/>
        <v>14.6</v>
      </c>
      <c r="U16" s="297">
        <f t="shared" si="12"/>
        <v>0</v>
      </c>
      <c r="V16" s="297">
        <f t="shared" si="13"/>
        <v>0.13905092592592591</v>
      </c>
      <c r="W16" s="297">
        <f t="shared" si="14"/>
        <v>0.26041666666666669</v>
      </c>
      <c r="X16" s="297">
        <f t="shared" si="15"/>
        <v>0.2951388888888889</v>
      </c>
      <c r="Y16" s="297">
        <f t="shared" si="16"/>
        <v>0</v>
      </c>
      <c r="Z16" s="296">
        <f t="shared" si="17"/>
        <v>75</v>
      </c>
    </row>
    <row r="17" spans="1:26" ht="15" customHeight="1">
      <c r="B17" s="34"/>
      <c r="C17" s="366"/>
      <c r="D17" s="279"/>
      <c r="E17" s="279"/>
      <c r="F17" s="278"/>
      <c r="G17" s="279"/>
      <c r="H17" s="396"/>
      <c r="I17" s="420"/>
      <c r="J17" s="420"/>
      <c r="K17" s="463"/>
      <c r="L17" s="276"/>
      <c r="M17" s="374"/>
      <c r="N17" s="370"/>
      <c r="O17" s="421"/>
      <c r="P17" s="418"/>
      <c r="R17" s="277">
        <f t="shared" si="18"/>
        <v>0</v>
      </c>
      <c r="S17" s="296" t="e">
        <f t="shared" si="10"/>
        <v>#N/A</v>
      </c>
      <c r="T17" s="296" t="e">
        <f t="shared" si="11"/>
        <v>#N/A</v>
      </c>
      <c r="U17" s="297" t="e">
        <f t="shared" si="12"/>
        <v>#N/A</v>
      </c>
      <c r="V17" s="297" t="e">
        <f t="shared" si="13"/>
        <v>#N/A</v>
      </c>
      <c r="W17" s="297" t="e">
        <f t="shared" si="14"/>
        <v>#N/A</v>
      </c>
      <c r="X17" s="297" t="e">
        <f t="shared" si="15"/>
        <v>#N/A</v>
      </c>
      <c r="Y17" s="297" t="e">
        <f t="shared" si="16"/>
        <v>#N/A</v>
      </c>
      <c r="Z17" s="296" t="e">
        <f t="shared" si="17"/>
        <v>#N/A</v>
      </c>
    </row>
    <row r="18" spans="1:26" ht="15" customHeight="1">
      <c r="B18" s="34"/>
      <c r="C18" s="366"/>
      <c r="D18" s="279"/>
      <c r="E18" s="279"/>
      <c r="F18" s="278"/>
      <c r="G18" s="279"/>
      <c r="H18" s="396"/>
      <c r="I18" s="420"/>
      <c r="J18" s="420"/>
      <c r="K18" s="463"/>
      <c r="L18" s="276"/>
      <c r="M18" s="374"/>
      <c r="N18" s="370"/>
      <c r="O18" s="421"/>
      <c r="P18" s="418"/>
      <c r="R18" s="277">
        <f t="shared" si="18"/>
        <v>0</v>
      </c>
      <c r="S18" s="296" t="e">
        <f t="shared" si="10"/>
        <v>#N/A</v>
      </c>
      <c r="T18" s="296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296" t="e">
        <f t="shared" si="17"/>
        <v>#N/A</v>
      </c>
    </row>
    <row r="19" spans="1:26" ht="1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1"/>
      <c r="P19" s="418"/>
      <c r="R19" s="277">
        <f t="shared" si="18"/>
        <v>0</v>
      </c>
      <c r="S19" s="296" t="e">
        <f t="shared" si="10"/>
        <v>#N/A</v>
      </c>
      <c r="T19" s="296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296" t="e">
        <f t="shared" si="17"/>
        <v>#N/A</v>
      </c>
    </row>
    <row r="20" spans="1:26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1"/>
      <c r="P20" s="418"/>
      <c r="R20" s="277">
        <f t="shared" si="18"/>
        <v>0</v>
      </c>
      <c r="S20" s="296" t="e">
        <f t="shared" si="10"/>
        <v>#N/A</v>
      </c>
      <c r="T20" s="296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296" t="e">
        <f t="shared" si="17"/>
        <v>#N/A</v>
      </c>
    </row>
    <row r="21" spans="1:26" ht="1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18"/>
        <v>0</v>
      </c>
      <c r="S21" s="296" t="e">
        <f t="shared" si="10"/>
        <v>#N/A</v>
      </c>
      <c r="T21" s="296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296" t="e">
        <f t="shared" si="17"/>
        <v>#N/A</v>
      </c>
    </row>
    <row r="22" spans="1:26" ht="15" hidden="1" customHeight="1">
      <c r="B22" s="33"/>
      <c r="C22" s="366"/>
      <c r="D22" s="279"/>
      <c r="E22" s="279"/>
      <c r="F22" s="278"/>
      <c r="G22" s="279"/>
      <c r="H22" s="396"/>
      <c r="I22" s="420"/>
      <c r="J22" s="420"/>
      <c r="K22" s="281"/>
      <c r="L22" s="276"/>
      <c r="M22" s="374"/>
      <c r="N22" s="370"/>
      <c r="O22" s="421"/>
      <c r="P22" s="418"/>
      <c r="R22" s="277">
        <f t="shared" si="18"/>
        <v>0</v>
      </c>
      <c r="S22" s="296" t="e">
        <f t="shared" si="10"/>
        <v>#N/A</v>
      </c>
      <c r="T22" s="296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296" t="e">
        <f t="shared" si="17"/>
        <v>#N/A</v>
      </c>
    </row>
    <row r="23" spans="1:26" ht="15" hidden="1" customHeight="1">
      <c r="B23" s="33"/>
      <c r="C23" s="366"/>
      <c r="D23" s="279"/>
      <c r="E23" s="279"/>
      <c r="F23" s="278"/>
      <c r="G23" s="279"/>
      <c r="H23" s="396"/>
      <c r="I23" s="420"/>
      <c r="J23" s="420"/>
      <c r="K23" s="281"/>
      <c r="L23" s="276"/>
      <c r="M23" s="374"/>
      <c r="N23" s="370"/>
      <c r="O23" s="421"/>
      <c r="P23" s="418"/>
      <c r="R23" s="277">
        <f t="shared" si="18"/>
        <v>0</v>
      </c>
      <c r="S23" s="296" t="e">
        <f t="shared" si="10"/>
        <v>#N/A</v>
      </c>
      <c r="T23" s="296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296" t="e">
        <f t="shared" si="17"/>
        <v>#N/A</v>
      </c>
    </row>
    <row r="24" spans="1:26" ht="15" hidden="1" customHeight="1">
      <c r="B24" s="33"/>
      <c r="C24" s="366"/>
      <c r="D24" s="279"/>
      <c r="E24" s="279"/>
      <c r="F24" s="278"/>
      <c r="G24" s="279"/>
      <c r="H24" s="396"/>
      <c r="I24" s="420"/>
      <c r="J24" s="420"/>
      <c r="K24" s="281"/>
      <c r="L24" s="276"/>
      <c r="M24" s="374"/>
      <c r="N24" s="370"/>
      <c r="O24" s="421"/>
      <c r="P24" s="418"/>
      <c r="R24" s="277">
        <f t="shared" si="18"/>
        <v>0</v>
      </c>
      <c r="S24" s="296" t="e">
        <f t="shared" si="10"/>
        <v>#N/A</v>
      </c>
      <c r="T24" s="296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296" t="e">
        <f t="shared" si="17"/>
        <v>#N/A</v>
      </c>
    </row>
    <row r="25" spans="1:26" ht="1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18"/>
        <v>0</v>
      </c>
      <c r="S25" s="296" t="e">
        <f t="shared" si="10"/>
        <v>#N/A</v>
      </c>
      <c r="T25" s="296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296" t="e">
        <f t="shared" si="17"/>
        <v>#N/A</v>
      </c>
    </row>
    <row r="26" spans="1:26" ht="15.75" customHeight="1" thickBot="1">
      <c r="B26" s="358"/>
      <c r="C26" s="358"/>
      <c r="D26" s="358"/>
      <c r="E26" s="358"/>
      <c r="F26" s="294"/>
      <c r="G26" s="294"/>
      <c r="H26" s="348"/>
      <c r="I26" s="512"/>
      <c r="J26" s="512"/>
      <c r="K26" s="512"/>
      <c r="L26" s="512"/>
      <c r="M26" s="512"/>
      <c r="N26" s="512"/>
      <c r="O26" s="1"/>
      <c r="P26" s="12"/>
      <c r="R26" s="277">
        <f t="shared" si="18"/>
        <v>0</v>
      </c>
      <c r="S26" s="296" t="e">
        <f t="shared" si="10"/>
        <v>#N/A</v>
      </c>
      <c r="T26" s="296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296" t="e">
        <f t="shared" si="17"/>
        <v>#N/A</v>
      </c>
    </row>
    <row r="27" spans="1:26" ht="15.75" customHeight="1" thickBot="1">
      <c r="B27" s="388" t="s">
        <v>162</v>
      </c>
      <c r="C27" s="388"/>
      <c r="D27" s="490" t="s">
        <v>35</v>
      </c>
      <c r="E27" s="491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18"/>
        <v xml:space="preserve">BRAND </v>
      </c>
      <c r="S27" s="296" t="e">
        <f t="shared" si="10"/>
        <v>#N/A</v>
      </c>
      <c r="T27" s="296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296" t="e">
        <f t="shared" si="17"/>
        <v>#N/A</v>
      </c>
    </row>
    <row r="28" spans="1:26" ht="15" customHeight="1">
      <c r="A28" s="28"/>
      <c r="B28" s="563" t="str">
        <f>I28</f>
        <v>CARIB</v>
      </c>
      <c r="C28" s="362" cm="1">
        <f t="array" ref="C28:C35">[24]Process!$D$839:$D$846</f>
        <v>11.9</v>
      </c>
      <c r="D28" s="516">
        <v>11.87</v>
      </c>
      <c r="E28" s="517"/>
      <c r="F28" s="294"/>
      <c r="G28" s="294"/>
      <c r="H28" s="348"/>
      <c r="I28" s="29" t="s">
        <v>6</v>
      </c>
      <c r="J28" s="280"/>
      <c r="K28" s="284"/>
      <c r="L28" s="305"/>
      <c r="M28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$908)</f>
        <v>97.713914495501427</v>
      </c>
      <c r="N28" s="30">
        <v>98</v>
      </c>
      <c r="O28" s="11"/>
      <c r="P28" s="31"/>
      <c r="R28" s="277" t="str">
        <f t="shared" si="18"/>
        <v>CARIB</v>
      </c>
      <c r="S28" s="296">
        <f t="shared" si="10"/>
        <v>11.6</v>
      </c>
      <c r="T28" s="296">
        <f t="shared" si="11"/>
        <v>12</v>
      </c>
      <c r="U28" s="297">
        <f t="shared" si="12"/>
        <v>0</v>
      </c>
      <c r="V28" s="297">
        <f t="shared" si="13"/>
        <v>0.118055555555556</v>
      </c>
      <c r="W28" s="297">
        <f t="shared" si="14"/>
        <v>0.22569444444444445</v>
      </c>
      <c r="X28" s="297">
        <f t="shared" si="15"/>
        <v>0.2638888888888889</v>
      </c>
      <c r="Y28" s="297">
        <f t="shared" si="16"/>
        <v>0</v>
      </c>
      <c r="Z28" s="296">
        <f t="shared" si="17"/>
        <v>60</v>
      </c>
    </row>
    <row r="29" spans="1:26" ht="15" customHeight="1">
      <c r="A29" s="28"/>
      <c r="B29" s="564"/>
      <c r="C29" s="362">
        <v>11.6</v>
      </c>
      <c r="D29" s="518"/>
      <c r="E29" s="519"/>
      <c r="F29" s="294"/>
      <c r="G29" s="294"/>
      <c r="H29" s="348"/>
      <c r="I29" s="33" t="s">
        <v>9</v>
      </c>
      <c r="J29" s="280"/>
      <c r="K29" s="284"/>
      <c r="L29" s="302"/>
      <c r="M29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$443)</f>
        <v>97.924881193248822</v>
      </c>
      <c r="N29" s="30">
        <v>98</v>
      </c>
      <c r="O29" s="11"/>
      <c r="P29" s="31"/>
      <c r="R29" s="277">
        <f t="shared" ref="R29:R39" si="19">B29</f>
        <v>0</v>
      </c>
      <c r="S29" s="296" t="e">
        <f t="shared" ref="S29:S39" si="20">VLOOKUP($B29,$R$3:$X$9,2,FALSE)</f>
        <v>#N/A</v>
      </c>
      <c r="T29" s="296" t="e">
        <f t="shared" ref="T29:T39" si="21">VLOOKUP($B29,$R$3:$X$9,3,FALSE)</f>
        <v>#N/A</v>
      </c>
      <c r="U29" s="297" t="e">
        <f t="shared" ref="U29:U39" si="22">VLOOKUP($B29,$R$3:$X$9,4,FALSE)</f>
        <v>#N/A</v>
      </c>
      <c r="V29" s="297" t="e">
        <f t="shared" ref="V29:V39" si="23">VLOOKUP($B29,$R$3:$X$9,5,FALSE)</f>
        <v>#N/A</v>
      </c>
      <c r="W29" s="297" t="e">
        <f t="shared" ref="W29:W39" si="24">VLOOKUP($B29,$R$3:$X$9,6,FALSE)</f>
        <v>#N/A</v>
      </c>
      <c r="X29" s="297" t="e">
        <f t="shared" ref="X29:X39" si="25">VLOOKUP($B29,$R$3:$X$9,7,FALSE)</f>
        <v>#N/A</v>
      </c>
      <c r="Y29" s="297" t="e">
        <f t="shared" ref="Y29:Y39" si="26">VLOOKUP($B29,$R$3:$Z$9,8,FALSE)</f>
        <v>#N/A</v>
      </c>
      <c r="Z29" s="296" t="e">
        <f t="shared" ref="Z29:Z39" si="27">VLOOKUP($B29,$R$3:$Z$9,9,FALSE)</f>
        <v>#N/A</v>
      </c>
    </row>
    <row r="30" spans="1:26" ht="14.65" customHeight="1">
      <c r="A30" s="28"/>
      <c r="B30" s="564"/>
      <c r="C30" s="362">
        <v>11.6</v>
      </c>
      <c r="D30" s="566">
        <v>11.75</v>
      </c>
      <c r="E30" s="567"/>
      <c r="F30" s="294"/>
      <c r="G30" s="294"/>
      <c r="H30" s="348"/>
      <c r="I30" s="34" t="s">
        <v>12</v>
      </c>
      <c r="J30" s="280"/>
      <c r="K30" s="284"/>
      <c r="L30" s="302"/>
      <c r="M30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30" s="30">
        <v>98</v>
      </c>
      <c r="O30" s="11"/>
      <c r="P30" s="31"/>
      <c r="R30" s="277">
        <f t="shared" si="19"/>
        <v>0</v>
      </c>
      <c r="S30" s="296" t="e">
        <f t="shared" si="20"/>
        <v>#N/A</v>
      </c>
      <c r="T30" s="296" t="e">
        <f t="shared" si="21"/>
        <v>#N/A</v>
      </c>
      <c r="U30" s="297" t="e">
        <f t="shared" si="22"/>
        <v>#N/A</v>
      </c>
      <c r="V30" s="297" t="e">
        <f t="shared" si="23"/>
        <v>#N/A</v>
      </c>
      <c r="W30" s="297" t="e">
        <f t="shared" si="24"/>
        <v>#N/A</v>
      </c>
      <c r="X30" s="297" t="e">
        <f t="shared" si="25"/>
        <v>#N/A</v>
      </c>
      <c r="Y30" s="297" t="e">
        <f t="shared" si="26"/>
        <v>#N/A</v>
      </c>
      <c r="Z30" s="296" t="e">
        <f t="shared" si="27"/>
        <v>#N/A</v>
      </c>
    </row>
    <row r="31" spans="1:26" ht="14.65" customHeight="1">
      <c r="A31" s="28"/>
      <c r="B31" s="564"/>
      <c r="C31" s="362">
        <v>11.9</v>
      </c>
      <c r="D31" s="531"/>
      <c r="E31" s="519"/>
      <c r="F31" s="294"/>
      <c r="G31" s="294"/>
      <c r="H31" s="348"/>
      <c r="I31" s="22" t="s">
        <v>33</v>
      </c>
      <c r="J31" s="280">
        <f>AVERAGE(I15:I16)</f>
        <v>97.554200248310877</v>
      </c>
      <c r="K31" s="284">
        <f>COUNTA([23]Brewhouse!$A$97:$A$98)</f>
        <v>2</v>
      </c>
      <c r="L31" s="302">
        <f>AVERAGE([23]Brewhouse!$AV$97:$AV$98)</f>
        <v>97.554200248310877</v>
      </c>
      <c r="M31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$98)</f>
        <v>98.23916210783652</v>
      </c>
      <c r="N31" s="30">
        <v>98</v>
      </c>
      <c r="O31" s="11"/>
      <c r="P31" s="31"/>
      <c r="R31" s="277">
        <f t="shared" si="19"/>
        <v>0</v>
      </c>
      <c r="S31" s="296" t="e">
        <f t="shared" si="20"/>
        <v>#N/A</v>
      </c>
      <c r="T31" s="296" t="e">
        <f t="shared" si="21"/>
        <v>#N/A</v>
      </c>
      <c r="U31" s="297" t="e">
        <f t="shared" si="22"/>
        <v>#N/A</v>
      </c>
      <c r="V31" s="297" t="e">
        <f t="shared" si="23"/>
        <v>#N/A</v>
      </c>
      <c r="W31" s="297" t="e">
        <f t="shared" si="24"/>
        <v>#N/A</v>
      </c>
      <c r="X31" s="297" t="e">
        <f t="shared" si="25"/>
        <v>#N/A</v>
      </c>
      <c r="Y31" s="297" t="e">
        <f t="shared" si="26"/>
        <v>#N/A</v>
      </c>
      <c r="Z31" s="296" t="e">
        <f t="shared" si="27"/>
        <v>#N/A</v>
      </c>
    </row>
    <row r="32" spans="1:26" ht="14.65" customHeight="1">
      <c r="A32" s="28"/>
      <c r="B32" s="564"/>
      <c r="C32" s="362">
        <v>11.8</v>
      </c>
      <c r="D32" s="566">
        <v>11.88</v>
      </c>
      <c r="E32" s="567"/>
      <c r="F32" s="417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19"/>
        <v>0</v>
      </c>
      <c r="S32" s="296" t="e">
        <f t="shared" si="20"/>
        <v>#N/A</v>
      </c>
      <c r="T32" s="296" t="e">
        <f t="shared" si="21"/>
        <v>#N/A</v>
      </c>
      <c r="U32" s="297" t="e">
        <f t="shared" si="22"/>
        <v>#N/A</v>
      </c>
      <c r="V32" s="297" t="e">
        <f t="shared" si="23"/>
        <v>#N/A</v>
      </c>
      <c r="W32" s="297" t="e">
        <f t="shared" si="24"/>
        <v>#N/A</v>
      </c>
      <c r="X32" s="297" t="e">
        <f t="shared" si="25"/>
        <v>#N/A</v>
      </c>
      <c r="Y32" s="297" t="e">
        <f t="shared" si="26"/>
        <v>#N/A</v>
      </c>
      <c r="Z32" s="296" t="e">
        <f t="shared" si="27"/>
        <v>#N/A</v>
      </c>
    </row>
    <row r="33" spans="1:56" ht="14.65" customHeight="1">
      <c r="A33" s="28"/>
      <c r="B33" s="564"/>
      <c r="C33" s="362">
        <v>11.7</v>
      </c>
      <c r="D33" s="531"/>
      <c r="E33" s="519"/>
      <c r="F33" s="417"/>
      <c r="G33" s="294"/>
      <c r="H33" s="348"/>
      <c r="I33" s="36" t="s">
        <v>15</v>
      </c>
      <c r="J33" s="323"/>
      <c r="K33" s="284"/>
      <c r="L33" s="302"/>
      <c r="M33" s="302">
        <f>AVERAGE([27]Brewhouse!$AT$4:$AT$11,[27]Brewhouse!$AT$13:$AT$16,[27]Brewhouse!$AT$18:$AT$21,[27]Brewhouse!$AT$26,[27]Brewhouse!$AT$28:$AT$35)</f>
        <v>94.794664331624134</v>
      </c>
      <c r="N33" s="30">
        <v>98</v>
      </c>
      <c r="O33" s="11"/>
      <c r="P33" s="31"/>
      <c r="R33" s="277">
        <f t="shared" si="19"/>
        <v>0</v>
      </c>
      <c r="S33" s="296" t="e">
        <f t="shared" si="20"/>
        <v>#N/A</v>
      </c>
      <c r="T33" s="296" t="e">
        <f t="shared" si="21"/>
        <v>#N/A</v>
      </c>
      <c r="U33" s="297" t="e">
        <f t="shared" si="22"/>
        <v>#N/A</v>
      </c>
      <c r="V33" s="297" t="e">
        <f t="shared" si="23"/>
        <v>#N/A</v>
      </c>
      <c r="W33" s="297" t="e">
        <f t="shared" si="24"/>
        <v>#N/A</v>
      </c>
      <c r="X33" s="297" t="e">
        <f t="shared" si="25"/>
        <v>#N/A</v>
      </c>
      <c r="Y33" s="297" t="e">
        <f t="shared" si="26"/>
        <v>#N/A</v>
      </c>
      <c r="Z33" s="296" t="e">
        <f t="shared" si="27"/>
        <v>#N/A</v>
      </c>
      <c r="AA33" s="296"/>
    </row>
    <row r="34" spans="1:56" ht="14.65" customHeight="1">
      <c r="A34" s="28"/>
      <c r="B34" s="564"/>
      <c r="C34" s="362">
        <v>11.6</v>
      </c>
      <c r="D34" s="566">
        <v>12</v>
      </c>
      <c r="E34" s="567"/>
      <c r="F34" s="417"/>
      <c r="G34" s="294"/>
      <c r="H34" s="348"/>
      <c r="I34" s="37" t="s">
        <v>16</v>
      </c>
      <c r="J34" s="323">
        <f>AVERAGE(I10:I13)</f>
        <v>95.326767995731288</v>
      </c>
      <c r="K34" s="284">
        <f>COUNTA([22]Brewhouse!$A$94:$A$97)</f>
        <v>4</v>
      </c>
      <c r="L34" s="302">
        <f>AVERAGE([22]Brewhouse!$AY$94:$AY$97)</f>
        <v>95.326767995731288</v>
      </c>
      <c r="M34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4" s="30">
        <v>98</v>
      </c>
      <c r="O34" s="11"/>
      <c r="P34" s="31" t="s">
        <v>41</v>
      </c>
      <c r="R34" s="277">
        <f t="shared" si="19"/>
        <v>0</v>
      </c>
      <c r="S34" s="296" t="e">
        <f t="shared" si="20"/>
        <v>#N/A</v>
      </c>
      <c r="T34" s="296" t="e">
        <f t="shared" si="21"/>
        <v>#N/A</v>
      </c>
      <c r="U34" s="297" t="e">
        <f t="shared" si="22"/>
        <v>#N/A</v>
      </c>
      <c r="V34" s="297" t="e">
        <f t="shared" si="23"/>
        <v>#N/A</v>
      </c>
      <c r="W34" s="297" t="e">
        <f t="shared" si="24"/>
        <v>#N/A</v>
      </c>
      <c r="X34" s="297" t="e">
        <f t="shared" si="25"/>
        <v>#N/A</v>
      </c>
      <c r="Y34" s="297" t="e">
        <f t="shared" si="26"/>
        <v>#N/A</v>
      </c>
      <c r="Z34" s="296" t="e">
        <f t="shared" si="27"/>
        <v>#N/A</v>
      </c>
      <c r="AA34" s="296"/>
    </row>
    <row r="35" spans="1:56" ht="14.65" customHeight="1">
      <c r="A35" s="28"/>
      <c r="B35" s="564"/>
      <c r="C35" s="362">
        <v>11.9</v>
      </c>
      <c r="D35" s="531"/>
      <c r="E35" s="519"/>
      <c r="F35" s="294"/>
      <c r="G35" s="294"/>
      <c r="H35" s="348"/>
      <c r="I35" s="411" t="s">
        <v>158</v>
      </c>
      <c r="J35" s="326"/>
      <c r="K35" s="284"/>
      <c r="L35" s="305"/>
      <c r="M35" s="305">
        <f>AVERAGE([28]Brewhouse!$AU$5:$AU$8,[28]Brewhouse!$AU$10:$AU$13,[22]Brewhouse!$AY$75:$AY$77)</f>
        <v>94.749192473706671</v>
      </c>
      <c r="N35" s="30">
        <v>98</v>
      </c>
      <c r="O35" s="11"/>
      <c r="P35" s="31"/>
      <c r="R35" s="277">
        <f t="shared" si="19"/>
        <v>0</v>
      </c>
      <c r="S35" s="296" t="e">
        <f t="shared" si="20"/>
        <v>#N/A</v>
      </c>
      <c r="T35" s="296" t="e">
        <f t="shared" si="21"/>
        <v>#N/A</v>
      </c>
      <c r="U35" s="297" t="e">
        <f t="shared" si="22"/>
        <v>#N/A</v>
      </c>
      <c r="V35" s="297" t="e">
        <f t="shared" si="23"/>
        <v>#N/A</v>
      </c>
      <c r="W35" s="297" t="e">
        <f t="shared" si="24"/>
        <v>#N/A</v>
      </c>
      <c r="X35" s="297" t="e">
        <f t="shared" si="25"/>
        <v>#N/A</v>
      </c>
      <c r="Y35" s="297" t="e">
        <f t="shared" si="26"/>
        <v>#N/A</v>
      </c>
      <c r="Z35" s="296" t="e">
        <f t="shared" si="27"/>
        <v>#N/A</v>
      </c>
      <c r="AA35" s="296"/>
    </row>
    <row r="36" spans="1:56" ht="14.65" customHeight="1">
      <c r="A36" s="28"/>
      <c r="B36" s="564"/>
      <c r="C36" s="349" cm="1">
        <f t="array" ref="C36:C37">[24]Process!$D$863:$D$864</f>
        <v>11.7</v>
      </c>
      <c r="D36" s="566">
        <v>11.97</v>
      </c>
      <c r="E36" s="567"/>
      <c r="F36" s="294"/>
      <c r="G36" s="294"/>
      <c r="H36" s="348"/>
      <c r="I36" s="410" t="s">
        <v>157</v>
      </c>
      <c r="J36" s="326"/>
      <c r="K36" s="284"/>
      <c r="L36" s="305"/>
      <c r="M36" s="305">
        <f>AVERAGE([29]Brewhouse!$AW$26:$AW$27)</f>
        <v>95.310680905194914</v>
      </c>
      <c r="N36" s="30">
        <v>98</v>
      </c>
      <c r="O36" s="11"/>
      <c r="P36" s="31"/>
      <c r="R36" s="277">
        <f t="shared" si="19"/>
        <v>0</v>
      </c>
      <c r="S36" s="296" t="e">
        <f t="shared" si="20"/>
        <v>#N/A</v>
      </c>
      <c r="T36" s="296" t="e">
        <f t="shared" si="21"/>
        <v>#N/A</v>
      </c>
      <c r="U36" s="297" t="e">
        <f t="shared" si="22"/>
        <v>#N/A</v>
      </c>
      <c r="V36" s="297" t="e">
        <f t="shared" si="23"/>
        <v>#N/A</v>
      </c>
      <c r="W36" s="297" t="e">
        <f t="shared" si="24"/>
        <v>#N/A</v>
      </c>
      <c r="X36" s="297" t="e">
        <f t="shared" si="25"/>
        <v>#N/A</v>
      </c>
      <c r="Y36" s="297" t="e">
        <f t="shared" si="26"/>
        <v>#N/A</v>
      </c>
      <c r="Z36" s="296" t="e">
        <f t="shared" si="27"/>
        <v>#N/A</v>
      </c>
      <c r="AA36" s="296"/>
    </row>
    <row r="37" spans="1:56" ht="15" customHeight="1" thickBot="1">
      <c r="A37" s="28"/>
      <c r="B37" s="564"/>
      <c r="C37" s="349">
        <v>11.9</v>
      </c>
      <c r="D37" s="531"/>
      <c r="E37" s="519"/>
      <c r="F37" s="294"/>
      <c r="G37" s="294"/>
      <c r="H37" s="348"/>
      <c r="I37" s="406" t="s">
        <v>156</v>
      </c>
      <c r="J37" s="327"/>
      <c r="K37" s="407"/>
      <c r="L37" s="408"/>
      <c r="M37" s="408">
        <f>AVERAGE([30]Brewhouse!$AU$13:$AU$14)</f>
        <v>97.110575243268045</v>
      </c>
      <c r="N37" s="409">
        <v>98</v>
      </c>
      <c r="O37" s="11"/>
      <c r="P37" s="31"/>
      <c r="R37" s="277">
        <f t="shared" si="19"/>
        <v>0</v>
      </c>
      <c r="S37" s="296" t="e">
        <f t="shared" si="20"/>
        <v>#N/A</v>
      </c>
      <c r="T37" s="296" t="e">
        <f t="shared" si="21"/>
        <v>#N/A</v>
      </c>
      <c r="U37" s="297" t="e">
        <f t="shared" si="22"/>
        <v>#N/A</v>
      </c>
      <c r="V37" s="297" t="e">
        <f t="shared" si="23"/>
        <v>#N/A</v>
      </c>
      <c r="W37" s="297" t="e">
        <f t="shared" si="24"/>
        <v>#N/A</v>
      </c>
      <c r="X37" s="297" t="e">
        <f t="shared" si="25"/>
        <v>#N/A</v>
      </c>
      <c r="Y37" s="297" t="e">
        <f t="shared" si="26"/>
        <v>#N/A</v>
      </c>
      <c r="Z37" s="296" t="e">
        <f t="shared" si="27"/>
        <v>#N/A</v>
      </c>
      <c r="AA37" s="296"/>
    </row>
    <row r="38" spans="1:56" ht="15" customHeight="1" thickBot="1">
      <c r="A38" s="28"/>
      <c r="B38" s="564"/>
      <c r="C38" s="349"/>
      <c r="D38" s="516"/>
      <c r="E38" s="517"/>
      <c r="F38" s="294"/>
      <c r="G38" s="294"/>
      <c r="H38" s="348"/>
      <c r="I38" s="1"/>
      <c r="J38" s="39"/>
      <c r="K38" s="404">
        <f>SUM(K28:K37)</f>
        <v>6</v>
      </c>
      <c r="L38" s="405">
        <f>((L28*K28)+(L29*K29)+(L30*K30)+(L31*K31)+(L32*K32)+(K35*L35)+(L33*K33)+(L34*K34)+(L37*K37))/(K38)</f>
        <v>96.069245413257818</v>
      </c>
      <c r="M38" s="405">
        <f>AVERAGE('[31]Jan 31st'!$L$65,'[32]Feb 28th'!$L$35,'[33]Mar. 31st'!$L$35,'[34]Apr. 30th'!$L$45,'[35]May 30th'!$L$37,'[36]June 30th'!$L$57,'[37]July 29th '!$L$44,'[38]Aug 29th'!$L$29,'[39]Sept 30th'!$L$35,L38)</f>
        <v>97.424874781007574</v>
      </c>
      <c r="N38" s="40">
        <v>98</v>
      </c>
      <c r="O38" s="11"/>
      <c r="P38" s="31"/>
      <c r="R38" s="277">
        <f t="shared" si="19"/>
        <v>0</v>
      </c>
      <c r="S38" s="296" t="e">
        <f t="shared" si="20"/>
        <v>#N/A</v>
      </c>
      <c r="T38" s="296" t="e">
        <f t="shared" si="21"/>
        <v>#N/A</v>
      </c>
      <c r="U38" s="297" t="e">
        <f t="shared" si="22"/>
        <v>#N/A</v>
      </c>
      <c r="V38" s="297" t="e">
        <f t="shared" si="23"/>
        <v>#N/A</v>
      </c>
      <c r="W38" s="297" t="e">
        <f t="shared" si="24"/>
        <v>#N/A</v>
      </c>
      <c r="X38" s="297" t="e">
        <f t="shared" si="25"/>
        <v>#N/A</v>
      </c>
      <c r="Y38" s="297" t="e">
        <f t="shared" si="26"/>
        <v>#N/A</v>
      </c>
      <c r="Z38" s="296" t="e">
        <f t="shared" si="27"/>
        <v>#N/A</v>
      </c>
      <c r="AA38" s="296"/>
    </row>
    <row r="39" spans="1:56" ht="15.75" thickBot="1">
      <c r="B39" s="570"/>
      <c r="C39" s="350"/>
      <c r="D39" s="518"/>
      <c r="E39" s="519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19"/>
        <v>0</v>
      </c>
      <c r="S39" s="296" t="e">
        <f t="shared" si="20"/>
        <v>#N/A</v>
      </c>
      <c r="T39" s="296" t="e">
        <f t="shared" si="21"/>
        <v>#N/A</v>
      </c>
      <c r="U39" s="297" t="e">
        <f t="shared" si="22"/>
        <v>#N/A</v>
      </c>
      <c r="V39" s="297" t="e">
        <f t="shared" si="23"/>
        <v>#N/A</v>
      </c>
      <c r="W39" s="297" t="e">
        <f t="shared" si="24"/>
        <v>#N/A</v>
      </c>
      <c r="X39" s="297" t="e">
        <f t="shared" si="25"/>
        <v>#N/A</v>
      </c>
      <c r="Y39" s="297" t="e">
        <f t="shared" si="26"/>
        <v>#N/A</v>
      </c>
      <c r="Z39" s="296" t="e">
        <f t="shared" si="27"/>
        <v>#N/A</v>
      </c>
      <c r="AA39" s="296"/>
    </row>
    <row r="40" spans="1:56" ht="15.75" thickBot="1">
      <c r="B40" s="563"/>
      <c r="C40" s="362"/>
      <c r="D40" s="529"/>
      <c r="E40" s="530"/>
      <c r="F40" s="294"/>
      <c r="G40" s="42"/>
      <c r="H40" s="41"/>
      <c r="I40" s="42"/>
      <c r="J40" s="565" t="s">
        <v>129</v>
      </c>
      <c r="K40" s="565"/>
      <c r="L40" s="294"/>
      <c r="M40" s="294"/>
      <c r="N40" s="294"/>
      <c r="O40" s="294"/>
      <c r="P40" s="12"/>
    </row>
    <row r="41" spans="1:56" ht="15.75" thickBot="1">
      <c r="B41" s="564"/>
      <c r="C41" s="362"/>
      <c r="D41" s="531"/>
      <c r="E41" s="519"/>
      <c r="F41" s="294"/>
      <c r="G41" s="42"/>
      <c r="H41" s="41"/>
      <c r="I41" s="42"/>
      <c r="J41" s="292" t="s">
        <v>17</v>
      </c>
      <c r="K41" s="293" t="s">
        <v>147</v>
      </c>
      <c r="L41" s="533" t="s">
        <v>136</v>
      </c>
      <c r="M41" s="533"/>
      <c r="N41" s="534"/>
      <c r="O41" s="294"/>
      <c r="P41" s="12"/>
    </row>
    <row r="42" spans="1:56" ht="15" customHeight="1" thickBot="1">
      <c r="B42" s="564"/>
      <c r="C42" s="349"/>
      <c r="D42" s="566"/>
      <c r="E42" s="567"/>
      <c r="F42" s="294"/>
      <c r="G42" s="42"/>
      <c r="H42" s="41"/>
      <c r="I42" s="42"/>
      <c r="J42" s="287" t="s">
        <v>6</v>
      </c>
      <c r="K42" s="324"/>
      <c r="L42" s="343" t="s">
        <v>37</v>
      </c>
      <c r="M42" s="307" t="s">
        <v>38</v>
      </c>
      <c r="N42" s="307" t="s">
        <v>84</v>
      </c>
      <c r="O42" s="294"/>
      <c r="P42" s="12"/>
    </row>
    <row r="43" spans="1:56" ht="15.75" customHeight="1" thickBot="1">
      <c r="B43" s="564"/>
      <c r="C43" s="349"/>
      <c r="D43" s="531"/>
      <c r="E43" s="519"/>
      <c r="F43" s="294"/>
      <c r="G43" s="42"/>
      <c r="H43" s="41"/>
      <c r="I43" s="42"/>
      <c r="J43" s="345" t="s">
        <v>9</v>
      </c>
      <c r="K43" s="324"/>
      <c r="L43" s="344">
        <f>AVERAGE(Nov.3rd!K52)</f>
        <v>6</v>
      </c>
      <c r="M43" s="325">
        <f>AVERAGE('[31]Jan 29th '!$M$70,'[32]Feb 28th'!$L$40,'[33]Mar. 31st'!$L$40,'[34]Apr. 30th'!$L$50,'[35]May 30th'!$L$42,'[36]June 30th'!$L$62,'[37]July 29th '!$L$49,'[38]Aug 29th'!$L$34,'[39]Sept 30th'!$L$40,[40]Oct.31st!$L$43,L43)</f>
        <v>6.9666096679826657</v>
      </c>
      <c r="N43" s="416">
        <v>9.1999999999999993</v>
      </c>
      <c r="O43" s="294"/>
      <c r="P43" s="12"/>
    </row>
    <row r="44" spans="1:56" ht="15" customHeight="1">
      <c r="B44" s="564"/>
      <c r="C44" s="349"/>
      <c r="D44" s="566"/>
      <c r="E44" s="567"/>
      <c r="F44" s="294"/>
      <c r="G44" s="42"/>
      <c r="H44" s="41"/>
      <c r="I44" s="42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564"/>
      <c r="C45" s="349"/>
      <c r="D45" s="531"/>
      <c r="E45" s="519"/>
      <c r="F45" s="294"/>
      <c r="G45" s="42"/>
      <c r="H45" s="41"/>
      <c r="I45" s="42"/>
      <c r="J45" s="289" t="s">
        <v>33</v>
      </c>
      <c r="K45" s="324">
        <v>2</v>
      </c>
      <c r="L45" s="294"/>
      <c r="M45" s="294"/>
      <c r="N45" s="294"/>
      <c r="O45" s="294"/>
      <c r="P45" s="12"/>
    </row>
    <row r="46" spans="1:56" ht="15">
      <c r="B46" s="564"/>
      <c r="C46" s="349"/>
      <c r="D46" s="566"/>
      <c r="E46" s="567"/>
      <c r="F46" s="294"/>
      <c r="G46" s="42"/>
      <c r="H46" s="41"/>
      <c r="I46" s="42"/>
      <c r="J46" s="290" t="s">
        <v>16</v>
      </c>
      <c r="K46" s="324">
        <v>4</v>
      </c>
      <c r="L46" s="294"/>
      <c r="M46" s="294"/>
      <c r="N46" s="294"/>
      <c r="O46" s="294"/>
      <c r="P46" s="12"/>
      <c r="BC46" s="44"/>
      <c r="BD46" s="44"/>
    </row>
    <row r="47" spans="1:56" ht="15">
      <c r="B47" s="564"/>
      <c r="C47" s="349"/>
      <c r="D47" s="531"/>
      <c r="E47" s="519"/>
      <c r="F47" s="294"/>
      <c r="G47" s="42"/>
      <c r="H47" s="41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64"/>
      <c r="C48" s="349"/>
      <c r="D48" s="566"/>
      <c r="E48" s="567"/>
      <c r="F48" s="294"/>
      <c r="G48" s="42"/>
      <c r="H48" s="41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thickBot="1">
      <c r="B49" s="564"/>
      <c r="C49" s="350"/>
      <c r="D49" s="568"/>
      <c r="E49" s="569"/>
      <c r="F49" s="294" t="s">
        <v>168</v>
      </c>
      <c r="G49" s="42"/>
      <c r="H49" s="41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2:57" ht="17.649999999999999" customHeight="1" thickBot="1">
      <c r="B50" s="312" t="s">
        <v>139</v>
      </c>
      <c r="C50" s="313"/>
      <c r="D50" s="561">
        <f>AVERAGE(D28:E49)</f>
        <v>11.894</v>
      </c>
      <c r="E50" s="562"/>
      <c r="F50" s="294"/>
      <c r="H50" s="41"/>
      <c r="I50" s="42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>
      <c r="B51" s="363"/>
      <c r="C51" s="364">
        <f>[25]Process!D419</f>
        <v>11.9</v>
      </c>
      <c r="D51" s="365"/>
      <c r="E51" s="365"/>
      <c r="F51" s="294"/>
      <c r="G51" s="42"/>
      <c r="H51" s="41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6" customHeight="1">
      <c r="B52" s="45"/>
      <c r="C52" s="11"/>
      <c r="D52" s="11"/>
      <c r="E52" s="46"/>
      <c r="F52" s="294"/>
      <c r="G52" s="42"/>
      <c r="H52" s="41"/>
      <c r="I52" s="42"/>
      <c r="J52" s="346" t="s">
        <v>130</v>
      </c>
      <c r="K52" s="324">
        <f>SUM(K42:K51)</f>
        <v>6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294"/>
      <c r="N53" s="315"/>
      <c r="P53" s="334"/>
    </row>
    <row r="54" spans="2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2:57" ht="15" customHeight="1" thickBot="1">
      <c r="B55" s="541" t="s">
        <v>17</v>
      </c>
      <c r="C55" s="541" t="s">
        <v>44</v>
      </c>
      <c r="D55" s="543" t="s">
        <v>45</v>
      </c>
      <c r="E55" s="498" t="s">
        <v>46</v>
      </c>
      <c r="F55" s="558" t="s">
        <v>47</v>
      </c>
      <c r="G55" s="552" t="s">
        <v>48</v>
      </c>
      <c r="H55" s="541" t="s">
        <v>49</v>
      </c>
      <c r="I55" s="541" t="s">
        <v>50</v>
      </c>
      <c r="J55" s="546" t="s">
        <v>28</v>
      </c>
      <c r="K55" s="496" t="s">
        <v>51</v>
      </c>
      <c r="L55" s="508" t="s">
        <v>52</v>
      </c>
      <c r="M55" s="546" t="s">
        <v>53</v>
      </c>
      <c r="N55" s="13"/>
      <c r="O55" s="13"/>
      <c r="P55" s="50"/>
    </row>
    <row r="56" spans="2:57" ht="28.5" customHeight="1" thickTop="1" thickBot="1">
      <c r="B56" s="542"/>
      <c r="C56" s="542"/>
      <c r="D56" s="544"/>
      <c r="E56" s="545"/>
      <c r="F56" s="559"/>
      <c r="G56" s="553"/>
      <c r="H56" s="560"/>
      <c r="I56" s="560"/>
      <c r="J56" s="547"/>
      <c r="K56" s="556"/>
      <c r="L56" s="557"/>
      <c r="M56" s="547"/>
      <c r="N56" s="13"/>
      <c r="O56" s="13"/>
      <c r="P56" s="50"/>
      <c r="Q56" s="355"/>
      <c r="AB56" s="51">
        <v>43474</v>
      </c>
      <c r="AC56" s="51">
        <v>43475</v>
      </c>
      <c r="AD56" s="51">
        <v>43476</v>
      </c>
      <c r="AE56" s="51">
        <v>43477</v>
      </c>
      <c r="AF56" s="51">
        <v>43478</v>
      </c>
      <c r="AG56" s="51">
        <v>43479</v>
      </c>
      <c r="AH56" s="51">
        <v>43480</v>
      </c>
      <c r="AI56" s="51">
        <v>43481</v>
      </c>
      <c r="AJ56" s="51">
        <v>43482</v>
      </c>
      <c r="AK56" s="51">
        <v>43483</v>
      </c>
      <c r="AL56" s="51">
        <v>43484</v>
      </c>
      <c r="AM56" s="51">
        <v>43485</v>
      </c>
      <c r="AN56" s="51">
        <v>43486</v>
      </c>
      <c r="AO56" s="51">
        <v>43487</v>
      </c>
      <c r="AP56" s="51">
        <v>43488</v>
      </c>
      <c r="AQ56" s="51">
        <v>43489</v>
      </c>
      <c r="AR56" s="51">
        <v>43490</v>
      </c>
      <c r="AS56" s="51">
        <v>43491</v>
      </c>
      <c r="AT56" s="51">
        <v>43492</v>
      </c>
      <c r="AU56" s="51">
        <v>43493</v>
      </c>
      <c r="AV56" s="51">
        <v>43494</v>
      </c>
      <c r="AW56" s="51">
        <v>43495</v>
      </c>
      <c r="AX56" s="51">
        <v>43496</v>
      </c>
    </row>
    <row r="57" spans="2:57" s="54" customFormat="1" ht="43.15" customHeight="1" thickBot="1">
      <c r="B57" s="458" t="str">
        <f>J42</f>
        <v>CARIB</v>
      </c>
      <c r="C57" s="442">
        <v>45964</v>
      </c>
      <c r="D57" s="443"/>
      <c r="E57" s="444"/>
      <c r="F57" s="445"/>
      <c r="G57" s="445"/>
      <c r="H57" s="460"/>
      <c r="I57" s="460"/>
      <c r="J57" s="449"/>
      <c r="K57" s="450"/>
      <c r="L57" s="459" t="e">
        <f>(((D57+E57)-G57)/(D57+E57))*100</f>
        <v>#DIV/0!</v>
      </c>
      <c r="M57" s="456" t="s">
        <v>167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[20]January_2019!L7</f>
        <v>285.8</v>
      </c>
      <c r="AC57" s="57">
        <f>[20]January_2019!M7</f>
        <v>508.1</v>
      </c>
      <c r="AD57" s="57">
        <f>[20]January_2019!N7</f>
        <v>0</v>
      </c>
      <c r="AE57" s="57">
        <f>[20]January_2019!O7</f>
        <v>0</v>
      </c>
      <c r="AF57" s="57">
        <f>[20]January_2019!P7</f>
        <v>109.56666666666666</v>
      </c>
      <c r="AG57" s="57">
        <f>[20]January_2019!Q7</f>
        <v>297.64999999999998</v>
      </c>
      <c r="AH57" s="57">
        <f>[20]January_2019!R7</f>
        <v>122.3</v>
      </c>
      <c r="AI57" s="57">
        <f>[20]January_2019!S7</f>
        <v>0</v>
      </c>
      <c r="AJ57" s="57">
        <f>[20]January_2019!T7</f>
        <v>294.7</v>
      </c>
      <c r="AK57" s="57">
        <f>[20]January_2019!U7</f>
        <v>280.5</v>
      </c>
      <c r="AL57" s="57">
        <f>[20]January_2019!V7</f>
        <v>0</v>
      </c>
      <c r="AM57" s="57">
        <f>[20]January_2019!W7</f>
        <v>0</v>
      </c>
      <c r="AN57" s="57">
        <f>[20]January_2019!X7</f>
        <v>188.25</v>
      </c>
      <c r="AO57" s="57">
        <f>[20]January_2019!Y7</f>
        <v>295.7</v>
      </c>
      <c r="AP57" s="57">
        <f>[20]January_2019!Z7</f>
        <v>257.8</v>
      </c>
      <c r="AQ57" s="57">
        <f>[20]January_2019!AA7</f>
        <v>291.2</v>
      </c>
      <c r="AR57" s="57">
        <f>[20]January_2019!AB7</f>
        <v>187</v>
      </c>
      <c r="AS57" s="57">
        <f>[20]January_2019!AC7</f>
        <v>0</v>
      </c>
      <c r="AT57" s="57">
        <f>[20]January_2019!AD7</f>
        <v>0</v>
      </c>
      <c r="AU57" s="57">
        <f>[20]January_2019!AE7</f>
        <v>485.1</v>
      </c>
      <c r="AV57" s="57">
        <f>[20]January_2019!AF7</f>
        <v>171.55</v>
      </c>
      <c r="AW57" s="57">
        <f>[20]January_2019!AG7</f>
        <v>423.8</v>
      </c>
      <c r="AX57" s="277">
        <f>[20]January_2019!AH7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20.45" hidden="1" customHeight="1" thickBot="1">
      <c r="B58" s="457"/>
      <c r="C58" s="431"/>
      <c r="D58" s="432"/>
      <c r="E58" s="433"/>
      <c r="F58" s="434"/>
      <c r="G58" s="435"/>
      <c r="H58" s="429"/>
      <c r="I58" s="429"/>
      <c r="J58" s="452"/>
      <c r="K58" s="437"/>
      <c r="L58" s="453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450000000000003" hidden="1" customHeight="1" thickBot="1">
      <c r="B59" s="387"/>
      <c r="C59" s="442"/>
      <c r="D59" s="443"/>
      <c r="E59" s="444"/>
      <c r="F59" s="445"/>
      <c r="G59" s="446"/>
      <c r="H59" s="460"/>
      <c r="I59" s="460"/>
      <c r="J59" s="449"/>
      <c r="K59" s="462"/>
      <c r="L59" s="459"/>
      <c r="M59" s="456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.75" hidden="1" thickBot="1">
      <c r="B60" s="454"/>
      <c r="C60" s="431"/>
      <c r="D60" s="432"/>
      <c r="E60" s="433"/>
      <c r="F60" s="434"/>
      <c r="G60" s="435"/>
      <c r="H60" s="436"/>
      <c r="I60" s="451"/>
      <c r="J60" s="452"/>
      <c r="K60" s="437"/>
      <c r="L60" s="453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hidden="1" customHeight="1" thickBot="1">
      <c r="B61" s="461"/>
      <c r="C61" s="442"/>
      <c r="D61" s="443"/>
      <c r="E61" s="444"/>
      <c r="F61" s="445"/>
      <c r="G61" s="446"/>
      <c r="H61" s="447"/>
      <c r="I61" s="448"/>
      <c r="J61" s="449"/>
      <c r="K61" s="450"/>
      <c r="L61" s="459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customHeight="1" thickBot="1">
      <c r="B62" s="438"/>
      <c r="C62" s="424"/>
      <c r="D62" s="425"/>
      <c r="E62" s="426"/>
      <c r="F62" s="427"/>
      <c r="G62" s="428"/>
      <c r="H62" s="429"/>
      <c r="I62" s="439"/>
      <c r="J62" s="440"/>
      <c r="K62" s="430"/>
      <c r="L62" s="441"/>
      <c r="M62" s="423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15" hidden="1" customHeight="1" thickBot="1">
      <c r="B63" s="461"/>
      <c r="C63" s="442"/>
      <c r="D63" s="443"/>
      <c r="E63" s="444"/>
      <c r="F63" s="445"/>
      <c r="G63" s="446"/>
      <c r="H63" s="447"/>
      <c r="I63" s="448"/>
      <c r="J63" s="449"/>
      <c r="K63" s="450"/>
      <c r="L63" s="459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15" customHeight="1">
      <c r="B64" s="470"/>
      <c r="C64" s="431"/>
      <c r="D64" s="464"/>
      <c r="E64" s="465"/>
      <c r="F64" s="466"/>
      <c r="G64" s="464"/>
      <c r="H64" s="467"/>
      <c r="I64" s="467"/>
      <c r="J64" s="467"/>
      <c r="K64" s="468"/>
      <c r="L64" s="469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48" t="s">
        <v>55</v>
      </c>
      <c r="C66" s="549"/>
      <c r="D66" s="549"/>
      <c r="E66" s="549"/>
      <c r="F66" s="550"/>
      <c r="G66" s="548" t="s">
        <v>56</v>
      </c>
      <c r="H66" s="549"/>
      <c r="I66" s="549"/>
      <c r="J66" s="550"/>
      <c r="K66" s="548" t="s">
        <v>51</v>
      </c>
      <c r="L66" s="549"/>
      <c r="M66" s="549"/>
      <c r="N66" s="551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 t="e">
        <f>AVERAGE(L57,L59)</f>
        <v>#DIV/0!</v>
      </c>
      <c r="D68" s="76">
        <v>5.5592148893170164</v>
      </c>
      <c r="E68" s="76">
        <v>6.2382937141927783</v>
      </c>
      <c r="F68" s="66">
        <v>4.8</v>
      </c>
      <c r="G68" s="65"/>
      <c r="H68" s="76">
        <v>4.3869619783364371</v>
      </c>
      <c r="I68" s="76">
        <v>6.0182963708128732</v>
      </c>
      <c r="J68" s="66">
        <v>4.8</v>
      </c>
      <c r="K68" s="67" t="e">
        <f>AVERAGE(K57,K59)</f>
        <v>#DIV/0!</v>
      </c>
      <c r="L68" s="194">
        <v>0.74188621106688246</v>
      </c>
      <c r="M68" s="194">
        <v>0.76957073251495711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4.6321640098754937</v>
      </c>
      <c r="E69" s="76">
        <v>5.7588892834082586</v>
      </c>
      <c r="F69" s="66">
        <v>4.8</v>
      </c>
      <c r="G69" s="65"/>
      <c r="H69" s="76">
        <v>4.0639296511587704</v>
      </c>
      <c r="I69" s="76">
        <v>5.492770546029484</v>
      </c>
      <c r="J69" s="66">
        <v>4.8</v>
      </c>
      <c r="K69" s="67"/>
      <c r="L69" s="194">
        <v>0.74930453004267783</v>
      </c>
      <c r="M69" s="194">
        <v>0.72027652373862694</v>
      </c>
      <c r="N69" s="68">
        <v>1</v>
      </c>
      <c r="P69" s="69"/>
    </row>
    <row r="70" spans="2:16" ht="15">
      <c r="B70" s="34" t="s">
        <v>40</v>
      </c>
      <c r="C70" s="65"/>
      <c r="D70" s="76">
        <v>10.139579656666138</v>
      </c>
      <c r="E70" s="76">
        <v>11.57083716651332</v>
      </c>
      <c r="F70" s="66">
        <v>5.5</v>
      </c>
      <c r="G70" s="65"/>
      <c r="H70" s="76">
        <v>12.493185035674854</v>
      </c>
      <c r="I70" s="76">
        <v>12.71224444035783</v>
      </c>
      <c r="J70" s="66">
        <v>5.5</v>
      </c>
      <c r="K70" s="67"/>
      <c r="L70" s="194">
        <v>0.51072164948453602</v>
      </c>
      <c r="M70" s="194">
        <v>0.53293555745651555</v>
      </c>
      <c r="N70" s="68">
        <v>1</v>
      </c>
      <c r="P70" s="69"/>
    </row>
    <row r="71" spans="2:16" ht="15">
      <c r="B71" s="22" t="s">
        <v>33</v>
      </c>
      <c r="C71" s="65"/>
      <c r="D71" s="76">
        <v>5.1294697903822328</v>
      </c>
      <c r="E71" s="76">
        <v>5.1206010280743115</v>
      </c>
      <c r="F71" s="66">
        <v>3.3</v>
      </c>
      <c r="G71" s="65"/>
      <c r="H71" s="76">
        <v>4.536248812516166</v>
      </c>
      <c r="I71" s="76">
        <v>4.4829345306946999</v>
      </c>
      <c r="J71" s="66">
        <v>3.3</v>
      </c>
      <c r="K71" s="67"/>
      <c r="L71" s="194">
        <v>1.3498245614035089</v>
      </c>
      <c r="M71" s="194">
        <v>0.8425337381916328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>
        <v>7.837301587301579</v>
      </c>
      <c r="F72" s="66">
        <v>3.3</v>
      </c>
      <c r="G72" s="282"/>
      <c r="H72" s="76"/>
      <c r="I72" s="76">
        <v>5.3377569154690221</v>
      </c>
      <c r="J72" s="66">
        <v>3</v>
      </c>
      <c r="K72" s="67"/>
      <c r="L72" s="194"/>
      <c r="M72" s="194">
        <v>0.32596491228070179</v>
      </c>
      <c r="N72" s="68">
        <v>1</v>
      </c>
      <c r="P72" s="69"/>
    </row>
    <row r="73" spans="2:16" ht="15">
      <c r="B73" s="36" t="s">
        <v>15</v>
      </c>
      <c r="C73" s="65"/>
      <c r="D73" s="76"/>
      <c r="E73" s="76">
        <v>7.3129862357869699</v>
      </c>
      <c r="F73" s="70">
        <f>[21]May_2022!$M$43</f>
        <v>3.4878406700073312</v>
      </c>
      <c r="G73" s="282"/>
      <c r="H73" s="76"/>
      <c r="I73" s="76">
        <v>8.6614709463340702</v>
      </c>
      <c r="J73" s="66">
        <v>5.5</v>
      </c>
      <c r="K73" s="67"/>
      <c r="L73" s="194"/>
      <c r="M73" s="194">
        <v>0.73160818713450293</v>
      </c>
      <c r="N73" s="68">
        <v>1</v>
      </c>
      <c r="P73" s="69"/>
    </row>
    <row r="74" spans="2:16" ht="15">
      <c r="B74" s="37" t="s">
        <v>16</v>
      </c>
      <c r="C74" s="65"/>
      <c r="D74" s="76">
        <v>2.0782986950217497</v>
      </c>
      <c r="E74" s="76">
        <v>2.8629317642487306</v>
      </c>
      <c r="F74" s="66">
        <v>3.3</v>
      </c>
      <c r="G74" s="282"/>
      <c r="H74" s="76">
        <v>3.4559849687930924</v>
      </c>
      <c r="I74" s="76">
        <v>4.3478819741669881</v>
      </c>
      <c r="J74" s="66">
        <v>3.3</v>
      </c>
      <c r="K74" s="67"/>
      <c r="L74" s="194">
        <v>0.88859649122807016</v>
      </c>
      <c r="M74" s="194">
        <v>0.85935680751173715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>
        <v>11.483253588516746</v>
      </c>
      <c r="F75" s="66">
        <v>7.5</v>
      </c>
      <c r="G75" s="282"/>
      <c r="H75" s="76"/>
      <c r="I75" s="76">
        <v>9.7934336121043764</v>
      </c>
      <c r="J75" s="66">
        <v>7.5</v>
      </c>
      <c r="K75" s="67"/>
      <c r="M75" s="194">
        <v>0.32456140350877194</v>
      </c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>
        <v>7.2653644592663174</v>
      </c>
      <c r="F76" s="66">
        <v>4.8</v>
      </c>
      <c r="G76" s="282"/>
      <c r="H76" s="76"/>
      <c r="I76" s="76">
        <v>8.1715311054411259</v>
      </c>
      <c r="J76" s="66">
        <v>4.8</v>
      </c>
      <c r="K76" s="67"/>
      <c r="L76" s="194"/>
      <c r="M76" s="194">
        <v>0.51368421052631585</v>
      </c>
      <c r="N76" s="71">
        <v>1</v>
      </c>
      <c r="O76" s="74"/>
      <c r="P76" s="75"/>
    </row>
    <row r="77" spans="2:16" ht="15">
      <c r="D77" s="76">
        <v>5.4003257737125896</v>
      </c>
      <c r="E77" s="76">
        <v>6.2628041829398349</v>
      </c>
      <c r="F77" s="341">
        <v>5.5</v>
      </c>
      <c r="H77" s="76">
        <v>5.1120457113739182</v>
      </c>
      <c r="I77" s="76">
        <v>6.4058064682064497</v>
      </c>
      <c r="J77" s="341">
        <v>5.5</v>
      </c>
      <c r="L77" s="194">
        <v>0.76227923211169279</v>
      </c>
      <c r="M77" s="194">
        <v>0.73564864270799002</v>
      </c>
      <c r="N77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B40:B49"/>
    <mergeCell ref="D40:E41"/>
    <mergeCell ref="J40:K40"/>
    <mergeCell ref="L41:N41"/>
    <mergeCell ref="D42:E43"/>
    <mergeCell ref="D44:E45"/>
    <mergeCell ref="D46:E47"/>
    <mergeCell ref="D48:E49"/>
    <mergeCell ref="D50:E50"/>
    <mergeCell ref="B55:B56"/>
    <mergeCell ref="C55:C56"/>
    <mergeCell ref="D55:D56"/>
    <mergeCell ref="E55:E56"/>
    <mergeCell ref="M55:M56"/>
    <mergeCell ref="B66:F66"/>
    <mergeCell ref="G66:J66"/>
    <mergeCell ref="K66:N66"/>
    <mergeCell ref="G55:G56"/>
    <mergeCell ref="H55:H56"/>
    <mergeCell ref="I55:I56"/>
    <mergeCell ref="J55:J56"/>
    <mergeCell ref="K55:K56"/>
    <mergeCell ref="L55:L56"/>
    <mergeCell ref="F55:F56"/>
  </mergeCells>
  <conditionalFormatting sqref="B50:B51">
    <cfRule type="cellIs" dxfId="3885" priority="39" operator="notBetween">
      <formula>#REF!</formula>
      <formula>#REF!</formula>
    </cfRule>
  </conditionalFormatting>
  <conditionalFormatting sqref="C54">
    <cfRule type="cellIs" dxfId="3884" priority="213" stopIfTrue="1" operator="greaterThan">
      <formula>100</formula>
    </cfRule>
    <cfRule type="cellIs" dxfId="3883" priority="212" stopIfTrue="1" operator="lessThan">
      <formula>96</formula>
    </cfRule>
  </conditionalFormatting>
  <conditionalFormatting sqref="C68:C72">
    <cfRule type="cellIs" dxfId="3882" priority="166" stopIfTrue="1" operator="lessThanOrEqual">
      <formula>0</formula>
    </cfRule>
  </conditionalFormatting>
  <conditionalFormatting sqref="C68:C76">
    <cfRule type="cellIs" dxfId="3881" priority="165" stopIfTrue="1" operator="greaterThan">
      <formula>$F68</formula>
    </cfRule>
  </conditionalFormatting>
  <conditionalFormatting sqref="C69">
    <cfRule type="cellIs" dxfId="3880" priority="216" stopIfTrue="1" operator="greaterThan">
      <formula>$F68</formula>
    </cfRule>
  </conditionalFormatting>
  <conditionalFormatting sqref="C73">
    <cfRule type="cellIs" dxfId="3879" priority="106" stopIfTrue="1" operator="greaterThan">
      <formula>$F72</formula>
    </cfRule>
    <cfRule type="cellIs" dxfId="3878" priority="105" stopIfTrue="1" operator="lessThanOrEqual">
      <formula>0</formula>
    </cfRule>
  </conditionalFormatting>
  <conditionalFormatting sqref="C79:C83">
    <cfRule type="cellIs" dxfId="3877" priority="204" stopIfTrue="1" operator="lessThanOrEqual">
      <formula>0</formula>
    </cfRule>
  </conditionalFormatting>
  <conditionalFormatting sqref="C80:C83">
    <cfRule type="cellIs" dxfId="3876" priority="203" stopIfTrue="1" operator="greaterThan">
      <formula>$F$79</formula>
    </cfRule>
  </conditionalFormatting>
  <conditionalFormatting sqref="C85">
    <cfRule type="cellIs" dxfId="3875" priority="206" stopIfTrue="1" operator="lessThanOrEqual">
      <formula>0</formula>
    </cfRule>
    <cfRule type="cellIs" dxfId="3874" priority="205" stopIfTrue="1" operator="greaterThan">
      <formula>$F$79</formula>
    </cfRule>
  </conditionalFormatting>
  <conditionalFormatting sqref="C79:D79 D81:D87">
    <cfRule type="cellIs" dxfId="3873" priority="198" stopIfTrue="1" operator="greaterThan">
      <formula>4.5</formula>
    </cfRule>
  </conditionalFormatting>
  <conditionalFormatting sqref="D50:D51">
    <cfRule type="cellIs" dxfId="3872" priority="40" operator="notBetween">
      <formula>#REF!</formula>
      <formula>#REF!</formula>
    </cfRule>
  </conditionalFormatting>
  <conditionalFormatting sqref="D68:D75">
    <cfRule type="cellIs" dxfId="3871" priority="178" stopIfTrue="1" operator="lessThanOrEqual">
      <formula>0</formula>
    </cfRule>
  </conditionalFormatting>
  <conditionalFormatting sqref="D76">
    <cfRule type="cellIs" dxfId="3870" priority="177" stopIfTrue="1" operator="lessThanOrEqual">
      <formula>0</formula>
    </cfRule>
  </conditionalFormatting>
  <conditionalFormatting sqref="D79 D81:D87">
    <cfRule type="cellIs" dxfId="3869" priority="199" stopIfTrue="1" operator="lessThanOrEqual">
      <formula>0</formula>
    </cfRule>
  </conditionalFormatting>
  <conditionalFormatting sqref="D80">
    <cfRule type="cellIs" dxfId="3868" priority="191" stopIfTrue="1" operator="lessThanOrEqual">
      <formula>0</formula>
    </cfRule>
    <cfRule type="cellIs" dxfId="3867" priority="190" stopIfTrue="1" operator="greaterThan">
      <formula>$F$79</formula>
    </cfRule>
  </conditionalFormatting>
  <conditionalFormatting sqref="D68:E77">
    <cfRule type="cellIs" dxfId="3866" priority="163" stopIfTrue="1" operator="greaterThan">
      <formula>$F68</formula>
    </cfRule>
  </conditionalFormatting>
  <conditionalFormatting sqref="D77:E77">
    <cfRule type="cellIs" dxfId="3865" priority="164" stopIfTrue="1" operator="lessThanOrEqual">
      <formula>0</formula>
    </cfRule>
  </conditionalFormatting>
  <conditionalFormatting sqref="E10:E25">
    <cfRule type="cellIs" dxfId="3864" priority="68" operator="lessThan">
      <formula>48</formula>
    </cfRule>
  </conditionalFormatting>
  <conditionalFormatting sqref="E53 E54:F54">
    <cfRule type="cellIs" dxfId="3863" priority="195" stopIfTrue="1" operator="greaterThan">
      <formula>100</formula>
    </cfRule>
  </conditionalFormatting>
  <conditionalFormatting sqref="E54">
    <cfRule type="cellIs" dxfId="3862" priority="192" stopIfTrue="1" operator="lessThan">
      <formula>96.8</formula>
    </cfRule>
    <cfRule type="cellIs" dxfId="3861" priority="193" stopIfTrue="1" operator="greaterThan">
      <formula>100</formula>
    </cfRule>
  </conditionalFormatting>
  <conditionalFormatting sqref="E68:E76">
    <cfRule type="cellIs" dxfId="3860" priority="174" stopIfTrue="1" operator="lessThanOrEqual">
      <formula>0</formula>
    </cfRule>
  </conditionalFormatting>
  <conditionalFormatting sqref="E79:E87">
    <cfRule type="cellIs" dxfId="3859" priority="185" stopIfTrue="1" operator="lessThanOrEqual">
      <formula>0</formula>
    </cfRule>
    <cfRule type="cellIs" dxfId="3858" priority="184" stopIfTrue="1" operator="greaterThan">
      <formula>4.5</formula>
    </cfRule>
  </conditionalFormatting>
  <conditionalFormatting sqref="E54:F54 E53">
    <cfRule type="cellIs" dxfId="3857" priority="194" stopIfTrue="1" operator="lessThan">
      <formula>96.5</formula>
    </cfRule>
  </conditionalFormatting>
  <conditionalFormatting sqref="F14:F25">
    <cfRule type="cellIs" dxfId="3856" priority="69" operator="greaterThan">
      <formula>60</formula>
    </cfRule>
  </conditionalFormatting>
  <conditionalFormatting sqref="F54">
    <cfRule type="cellIs" dxfId="3855" priority="211" stopIfTrue="1" operator="greaterThan">
      <formula>100</formula>
    </cfRule>
    <cfRule type="cellIs" dxfId="3854" priority="210" stopIfTrue="1" operator="lessThan">
      <formula>96.8</formula>
    </cfRule>
  </conditionalFormatting>
  <conditionalFormatting sqref="F77">
    <cfRule type="cellIs" dxfId="3853" priority="176" stopIfTrue="1" operator="lessThanOrEqual">
      <formula>0</formula>
    </cfRule>
    <cfRule type="cellIs" dxfId="3852" priority="175" stopIfTrue="1" operator="greaterThan">
      <formula>$F77</formula>
    </cfRule>
  </conditionalFormatting>
  <conditionalFormatting sqref="G10:G14 G17:G21">
    <cfRule type="expression" dxfId="3851" priority="87">
      <formula>IF(+(IF(G10&lt;S10,0,IF(G10&gt;T10,0,1)))=0,1)</formula>
    </cfRule>
  </conditionalFormatting>
  <conditionalFormatting sqref="G68:G69 C74:C76">
    <cfRule type="cellIs" dxfId="3850" priority="180" stopIfTrue="1" operator="lessThanOrEqual">
      <formula>0</formula>
    </cfRule>
  </conditionalFormatting>
  <conditionalFormatting sqref="G68:G69">
    <cfRule type="cellIs" dxfId="3849" priority="167" stopIfTrue="1" operator="greaterThan">
      <formula>$F68</formula>
    </cfRule>
    <cfRule type="cellIs" dxfId="3848" priority="179" stopIfTrue="1" operator="greaterThan">
      <formula>$F68</formula>
    </cfRule>
    <cfRule type="cellIs" dxfId="3847" priority="168" stopIfTrue="1" operator="lessThanOrEqual">
      <formula>0</formula>
    </cfRule>
  </conditionalFormatting>
  <conditionalFormatting sqref="G70">
    <cfRule type="cellIs" dxfId="3846" priority="215" stopIfTrue="1" operator="lessThanOrEqual">
      <formula>0</formula>
    </cfRule>
    <cfRule type="cellIs" dxfId="3845" priority="214" stopIfTrue="1" operator="greaterThan">
      <formula>$F69</formula>
    </cfRule>
  </conditionalFormatting>
  <conditionalFormatting sqref="G71">
    <cfRule type="cellIs" dxfId="3844" priority="35" stopIfTrue="1" operator="greaterThan">
      <formula>$F71</formula>
    </cfRule>
    <cfRule type="cellIs" dxfId="3843" priority="36" stopIfTrue="1" operator="lessThanOrEqual">
      <formula>0</formula>
    </cfRule>
    <cfRule type="cellIs" dxfId="3842" priority="37" stopIfTrue="1" operator="greaterThan">
      <formula>$F71</formula>
    </cfRule>
    <cfRule type="cellIs" dxfId="3841" priority="38" stopIfTrue="1" operator="lessThanOrEqual">
      <formula>0</formula>
    </cfRule>
  </conditionalFormatting>
  <conditionalFormatting sqref="G72:G76">
    <cfRule type="cellIs" dxfId="3840" priority="182" stopIfTrue="1" operator="lessThanOrEqual">
      <formula>0</formula>
    </cfRule>
    <cfRule type="cellIs" dxfId="3839" priority="181" stopIfTrue="1" operator="greaterThan">
      <formula>$J72</formula>
    </cfRule>
  </conditionalFormatting>
  <conditionalFormatting sqref="G81:G86 C84 C86">
    <cfRule type="cellIs" dxfId="3838" priority="208" stopIfTrue="1" operator="lessThanOrEqual">
      <formula>0</formula>
    </cfRule>
    <cfRule type="cellIs" dxfId="3837" priority="207" stopIfTrue="1" operator="greaterThan">
      <formula>4.5</formula>
    </cfRule>
  </conditionalFormatting>
  <conditionalFormatting sqref="G80:H80">
    <cfRule type="cellIs" dxfId="3836" priority="188" stopIfTrue="1" operator="greaterThan">
      <formula>$F$79</formula>
    </cfRule>
    <cfRule type="cellIs" dxfId="3835" priority="189" stopIfTrue="1" operator="lessThanOrEqual">
      <formula>0</formula>
    </cfRule>
  </conditionalFormatting>
  <conditionalFormatting sqref="H39:H53">
    <cfRule type="cellIs" dxfId="3834" priority="186" stopIfTrue="1" operator="greaterThan">
      <formula>0</formula>
    </cfRule>
  </conditionalFormatting>
  <conditionalFormatting sqref="H57">
    <cfRule type="cellIs" dxfId="3833" priority="81" stopIfTrue="1" operator="lessThanOrEqual">
      <formula>0</formula>
    </cfRule>
    <cfRule type="cellIs" dxfId="3832" priority="71" stopIfTrue="1" operator="lessThanOrEqual">
      <formula>0</formula>
    </cfRule>
    <cfRule type="cellIs" dxfId="3831" priority="80" stopIfTrue="1" operator="greaterThan">
      <formula>$F$73</formula>
    </cfRule>
    <cfRule type="cellIs" dxfId="3830" priority="82" stopIfTrue="1" operator="greaterThan">
      <formula>$F$71</formula>
    </cfRule>
    <cfRule type="cellIs" dxfId="3829" priority="83" stopIfTrue="1" operator="lessThanOrEqual">
      <formula>0</formula>
    </cfRule>
    <cfRule type="cellIs" dxfId="3828" priority="72" stopIfTrue="1" operator="greaterThan">
      <formula>$F$70</formula>
    </cfRule>
  </conditionalFormatting>
  <conditionalFormatting sqref="H58">
    <cfRule type="cellIs" dxfId="3827" priority="122" stopIfTrue="1" operator="lessThanOrEqual">
      <formula>0</formula>
    </cfRule>
    <cfRule type="cellIs" dxfId="3826" priority="123" stopIfTrue="1" operator="greaterThan">
      <formula>#REF!</formula>
    </cfRule>
    <cfRule type="cellIs" dxfId="3825" priority="131" stopIfTrue="1" operator="greaterThan">
      <formula>$F$26</formula>
    </cfRule>
    <cfRule type="cellIs" dxfId="3824" priority="134" stopIfTrue="1" operator="lessThanOrEqual">
      <formula>0</formula>
    </cfRule>
    <cfRule type="cellIs" dxfId="3823" priority="133" stopIfTrue="1" operator="greaterThan">
      <formula>#REF!</formula>
    </cfRule>
    <cfRule type="cellIs" dxfId="3822" priority="132" stopIfTrue="1" operator="lessThanOrEqual">
      <formula>0</formula>
    </cfRule>
  </conditionalFormatting>
  <conditionalFormatting sqref="H59">
    <cfRule type="cellIs" dxfId="3821" priority="101" stopIfTrue="1" operator="greaterThan">
      <formula>$F$70</formula>
    </cfRule>
    <cfRule type="cellIs" dxfId="3820" priority="90" stopIfTrue="1" operator="lessThanOrEqual">
      <formula>0</formula>
    </cfRule>
    <cfRule type="cellIs" dxfId="3819" priority="91" stopIfTrue="1" operator="greaterThan">
      <formula>$F$69</formula>
    </cfRule>
    <cfRule type="cellIs" dxfId="3818" priority="100" stopIfTrue="1" operator="lessThanOrEqual">
      <formula>0</formula>
    </cfRule>
    <cfRule type="cellIs" dxfId="3817" priority="102" stopIfTrue="1" operator="lessThanOrEqual">
      <formula>0</formula>
    </cfRule>
    <cfRule type="cellIs" dxfId="3816" priority="99" stopIfTrue="1" operator="greaterThan">
      <formula>$F$72</formula>
    </cfRule>
  </conditionalFormatting>
  <conditionalFormatting sqref="H60:H61">
    <cfRule type="cellIs" dxfId="3815" priority="109" stopIfTrue="1" operator="greaterThan">
      <formula>#REF!</formula>
    </cfRule>
    <cfRule type="cellIs" dxfId="3814" priority="108" stopIfTrue="1" operator="lessThanOrEqual">
      <formula>0</formula>
    </cfRule>
    <cfRule type="cellIs" dxfId="3813" priority="117" stopIfTrue="1" operator="greaterThan">
      <formula>$F$25</formula>
    </cfRule>
    <cfRule type="cellIs" dxfId="3812" priority="118" stopIfTrue="1" operator="lessThanOrEqual">
      <formula>0</formula>
    </cfRule>
    <cfRule type="cellIs" dxfId="3811" priority="119" stopIfTrue="1" operator="greaterThan">
      <formula>#REF!</formula>
    </cfRule>
    <cfRule type="cellIs" dxfId="3810" priority="120" stopIfTrue="1" operator="lessThanOrEqual">
      <formula>0</formula>
    </cfRule>
  </conditionalFormatting>
  <conditionalFormatting sqref="H62">
    <cfRule type="cellIs" dxfId="3809" priority="149" stopIfTrue="1" operator="lessThanOrEqual">
      <formula>0</formula>
    </cfRule>
    <cfRule type="cellIs" dxfId="3808" priority="146" stopIfTrue="1" operator="greaterThan">
      <formula>$F$41</formula>
    </cfRule>
    <cfRule type="cellIs" dxfId="3807" priority="138" stopIfTrue="1" operator="greaterThan">
      <formula>$F$38</formula>
    </cfRule>
    <cfRule type="cellIs" dxfId="3806" priority="137" stopIfTrue="1" operator="lessThanOrEqual">
      <formula>0</formula>
    </cfRule>
    <cfRule type="cellIs" dxfId="3805" priority="148" stopIfTrue="1" operator="greaterThan">
      <formula>$F$39</formula>
    </cfRule>
    <cfRule type="cellIs" dxfId="3804" priority="147" stopIfTrue="1" operator="lessThanOrEqual">
      <formula>0</formula>
    </cfRule>
  </conditionalFormatting>
  <conditionalFormatting sqref="H63:H64">
    <cfRule type="cellIs" dxfId="3803" priority="51" stopIfTrue="1" operator="greaterThan">
      <formula>#REF!</formula>
    </cfRule>
    <cfRule type="cellIs" dxfId="3802" priority="62" stopIfTrue="1" operator="lessThanOrEqual">
      <formula>0</formula>
    </cfRule>
    <cfRule type="cellIs" dxfId="3801" priority="61" stopIfTrue="1" operator="greaterThan">
      <formula>#REF!</formula>
    </cfRule>
    <cfRule type="cellIs" dxfId="3800" priority="60" stopIfTrue="1" operator="lessThanOrEqual">
      <formula>0</formula>
    </cfRule>
    <cfRule type="cellIs" dxfId="3799" priority="59" stopIfTrue="1" operator="greaterThan">
      <formula>$F$25</formula>
    </cfRule>
    <cfRule type="cellIs" dxfId="3798" priority="50" stopIfTrue="1" operator="lessThanOrEqual">
      <formula>0</formula>
    </cfRule>
  </conditionalFormatting>
  <conditionalFormatting sqref="H68:H75">
    <cfRule type="cellIs" dxfId="3797" priority="170" stopIfTrue="1" operator="lessThanOrEqual">
      <formula>0</formula>
    </cfRule>
    <cfRule type="cellIs" dxfId="3796" priority="169" stopIfTrue="1" operator="greaterThan">
      <formula>$J68</formula>
    </cfRule>
  </conditionalFormatting>
  <conditionalFormatting sqref="H76">
    <cfRule type="cellIs" dxfId="3795" priority="171" operator="greaterThan">
      <formula>5.3</formula>
    </cfRule>
  </conditionalFormatting>
  <conditionalFormatting sqref="H79 H81:H87">
    <cfRule type="cellIs" dxfId="3794" priority="200" stopIfTrue="1" operator="greaterThan">
      <formula>4.5</formula>
    </cfRule>
    <cfRule type="cellIs" dxfId="3793" priority="201" stopIfTrue="1" operator="lessThanOrEqual">
      <formula>0</formula>
    </cfRule>
  </conditionalFormatting>
  <conditionalFormatting sqref="H57:I57">
    <cfRule type="cellIs" dxfId="3792" priority="70" stopIfTrue="1" operator="greaterThan">
      <formula>$F$72</formula>
    </cfRule>
    <cfRule type="cellIs" dxfId="3791" priority="73" stopIfTrue="1" operator="lessThanOrEqual">
      <formula>0</formula>
    </cfRule>
  </conditionalFormatting>
  <conditionalFormatting sqref="H58:I58">
    <cfRule type="cellIs" dxfId="3790" priority="124" stopIfTrue="1" operator="lessThanOrEqual">
      <formula>0</formula>
    </cfRule>
    <cfRule type="cellIs" dxfId="3789" priority="121" stopIfTrue="1" operator="greaterThan">
      <formula>$F$25</formula>
    </cfRule>
  </conditionalFormatting>
  <conditionalFormatting sqref="H59:I59">
    <cfRule type="cellIs" dxfId="3788" priority="89" stopIfTrue="1" operator="greaterThan">
      <formula>$F$71</formula>
    </cfRule>
    <cfRule type="cellIs" dxfId="3787" priority="92" stopIfTrue="1" operator="lessThanOrEqual">
      <formula>0</formula>
    </cfRule>
  </conditionalFormatting>
  <conditionalFormatting sqref="H60:I61">
    <cfRule type="cellIs" dxfId="3786" priority="110" stopIfTrue="1" operator="lessThanOrEqual">
      <formula>0</formula>
    </cfRule>
    <cfRule type="cellIs" dxfId="3785" priority="107" stopIfTrue="1" operator="greaterThan">
      <formula>#REF!</formula>
    </cfRule>
  </conditionalFormatting>
  <conditionalFormatting sqref="H62:I62">
    <cfRule type="cellIs" dxfId="3784" priority="139" stopIfTrue="1" operator="lessThanOrEqual">
      <formula>0</formula>
    </cfRule>
    <cfRule type="cellIs" dxfId="3783" priority="136" stopIfTrue="1" operator="greaterThan">
      <formula>$F$40</formula>
    </cfRule>
  </conditionalFormatting>
  <conditionalFormatting sqref="H63:I64">
    <cfRule type="cellIs" dxfId="3782" priority="52" stopIfTrue="1" operator="lessThanOrEqual">
      <formula>0</formula>
    </cfRule>
    <cfRule type="cellIs" dxfId="3781" priority="49" stopIfTrue="1" operator="greaterThan">
      <formula>#REF!</formula>
    </cfRule>
  </conditionalFormatting>
  <conditionalFormatting sqref="H77:I77">
    <cfRule type="cellIs" dxfId="3780" priority="162" stopIfTrue="1" operator="lessThanOrEqual">
      <formula>0</formula>
    </cfRule>
    <cfRule type="cellIs" dxfId="3779" priority="161" stopIfTrue="1" operator="greaterThan">
      <formula>$J77</formula>
    </cfRule>
  </conditionalFormatting>
  <conditionalFormatting sqref="I57">
    <cfRule type="cellIs" dxfId="3778" priority="77" stopIfTrue="1" operator="lessThanOrEqual">
      <formula>0</formula>
    </cfRule>
    <cfRule type="cellIs" dxfId="3777" priority="79" stopIfTrue="1" operator="lessThanOrEqual">
      <formula>0</formula>
    </cfRule>
    <cfRule type="cellIs" dxfId="3776" priority="76" stopIfTrue="1" operator="greaterThan">
      <formula>$F$72</formula>
    </cfRule>
    <cfRule type="cellIs" dxfId="3775" priority="78" stopIfTrue="1" operator="greaterThan">
      <formula>$F$70</formula>
    </cfRule>
    <cfRule type="cellIs" dxfId="3774" priority="74" stopIfTrue="1" operator="greaterThan">
      <formula>$F$70</formula>
    </cfRule>
    <cfRule type="cellIs" dxfId="3773" priority="75" stopIfTrue="1" operator="lessThanOrEqual">
      <formula>0</formula>
    </cfRule>
  </conditionalFormatting>
  <conditionalFormatting sqref="I58">
    <cfRule type="cellIs" dxfId="3772" priority="125" stopIfTrue="1" operator="greaterThan">
      <formula>#REF!</formula>
    </cfRule>
    <cfRule type="cellIs" dxfId="3771" priority="130" stopIfTrue="1" operator="lessThanOrEqual">
      <formula>0</formula>
    </cfRule>
    <cfRule type="cellIs" dxfId="3770" priority="129" stopIfTrue="1" operator="greaterThan">
      <formula>#REF!</formula>
    </cfRule>
    <cfRule type="cellIs" dxfId="3769" priority="128" stopIfTrue="1" operator="lessThanOrEqual">
      <formula>0</formula>
    </cfRule>
    <cfRule type="cellIs" dxfId="3768" priority="127" stopIfTrue="1" operator="greaterThan">
      <formula>$F$25</formula>
    </cfRule>
    <cfRule type="cellIs" dxfId="3767" priority="126" stopIfTrue="1" operator="lessThanOrEqual">
      <formula>0</formula>
    </cfRule>
  </conditionalFormatting>
  <conditionalFormatting sqref="I59">
    <cfRule type="cellIs" dxfId="3766" priority="95" stopIfTrue="1" operator="greaterThan">
      <formula>$F$71</formula>
    </cfRule>
    <cfRule type="cellIs" dxfId="3765" priority="94" stopIfTrue="1" operator="lessThanOrEqual">
      <formula>0</formula>
    </cfRule>
    <cfRule type="cellIs" dxfId="3764" priority="93" stopIfTrue="1" operator="greaterThan">
      <formula>$F$69</formula>
    </cfRule>
    <cfRule type="cellIs" dxfId="3763" priority="98" stopIfTrue="1" operator="lessThanOrEqual">
      <formula>0</formula>
    </cfRule>
    <cfRule type="cellIs" dxfId="3762" priority="97" stopIfTrue="1" operator="greaterThan">
      <formula>$F$69</formula>
    </cfRule>
    <cfRule type="cellIs" dxfId="3761" priority="96" stopIfTrue="1" operator="lessThanOrEqual">
      <formula>0</formula>
    </cfRule>
  </conditionalFormatting>
  <conditionalFormatting sqref="I60:I61">
    <cfRule type="cellIs" dxfId="3760" priority="111" stopIfTrue="1" operator="greaterThan">
      <formula>#REF!</formula>
    </cfRule>
    <cfRule type="cellIs" dxfId="3759" priority="116" stopIfTrue="1" operator="lessThanOrEqual">
      <formula>0</formula>
    </cfRule>
    <cfRule type="cellIs" dxfId="3758" priority="115" stopIfTrue="1" operator="greaterThan">
      <formula>#REF!</formula>
    </cfRule>
    <cfRule type="cellIs" dxfId="3757" priority="114" stopIfTrue="1" operator="lessThanOrEqual">
      <formula>0</formula>
    </cfRule>
    <cfRule type="cellIs" dxfId="3756" priority="113" stopIfTrue="1" operator="greaterThan">
      <formula>#REF!</formula>
    </cfRule>
    <cfRule type="cellIs" dxfId="3755" priority="112" stopIfTrue="1" operator="lessThanOrEqual">
      <formula>0</formula>
    </cfRule>
  </conditionalFormatting>
  <conditionalFormatting sqref="I62">
    <cfRule type="cellIs" dxfId="3754" priority="145" stopIfTrue="1" operator="lessThanOrEqual">
      <formula>0</formula>
    </cfRule>
    <cfRule type="cellIs" dxfId="3753" priority="140" stopIfTrue="1" operator="greaterThan">
      <formula>$F$38</formula>
    </cfRule>
    <cfRule type="cellIs" dxfId="3752" priority="141" stopIfTrue="1" operator="lessThanOrEqual">
      <formula>0</formula>
    </cfRule>
    <cfRule type="cellIs" dxfId="3751" priority="142" stopIfTrue="1" operator="greaterThan">
      <formula>$F$40</formula>
    </cfRule>
    <cfRule type="cellIs" dxfId="3750" priority="143" stopIfTrue="1" operator="lessThanOrEqual">
      <formula>0</formula>
    </cfRule>
    <cfRule type="cellIs" dxfId="3749" priority="144" stopIfTrue="1" operator="greaterThan">
      <formula>$F$38</formula>
    </cfRule>
  </conditionalFormatting>
  <conditionalFormatting sqref="I63:I64">
    <cfRule type="cellIs" dxfId="3748" priority="53" stopIfTrue="1" operator="greaterThan">
      <formula>#REF!</formula>
    </cfRule>
    <cfRule type="cellIs" dxfId="3747" priority="54" stopIfTrue="1" operator="lessThanOrEqual">
      <formula>0</formula>
    </cfRule>
    <cfRule type="cellIs" dxfId="3746" priority="55" stopIfTrue="1" operator="greaterThan">
      <formula>#REF!</formula>
    </cfRule>
    <cfRule type="cellIs" dxfId="3745" priority="57" stopIfTrue="1" operator="greaterThan">
      <formula>#REF!</formula>
    </cfRule>
    <cfRule type="cellIs" dxfId="3744" priority="58" stopIfTrue="1" operator="lessThanOrEqual">
      <formula>0</formula>
    </cfRule>
    <cfRule type="cellIs" dxfId="3743" priority="56" stopIfTrue="1" operator="lessThanOrEqual">
      <formula>0</formula>
    </cfRule>
  </conditionalFormatting>
  <conditionalFormatting sqref="I68:I76">
    <cfRule type="cellIs" dxfId="3742" priority="172" stopIfTrue="1" operator="greaterThan">
      <formula>$J68</formula>
    </cfRule>
    <cfRule type="cellIs" dxfId="3741" priority="173" stopIfTrue="1" operator="lessThanOrEqual">
      <formula>0</formula>
    </cfRule>
  </conditionalFormatting>
  <conditionalFormatting sqref="I79:I87">
    <cfRule type="cellIs" dxfId="3740" priority="196" stopIfTrue="1" operator="greaterThan">
      <formula>4.5</formula>
    </cfRule>
    <cfRule type="cellIs" dxfId="3739" priority="197" stopIfTrue="1" operator="lessThanOrEqual">
      <formula>0</formula>
    </cfRule>
  </conditionalFormatting>
  <conditionalFormatting sqref="I10:J25">
    <cfRule type="cellIs" dxfId="3738" priority="64" operator="lessThan">
      <formula>97.9</formula>
    </cfRule>
  </conditionalFormatting>
  <conditionalFormatting sqref="J28:J30">
    <cfRule type="cellIs" dxfId="3737" priority="151" stopIfTrue="1" operator="lessThan">
      <formula>96.8</formula>
    </cfRule>
    <cfRule type="cellIs" dxfId="3736" priority="152" stopIfTrue="1" operator="greaterThan">
      <formula>100</formula>
    </cfRule>
    <cfRule type="cellIs" dxfId="3735" priority="153" operator="lessThan">
      <formula>98</formula>
    </cfRule>
  </conditionalFormatting>
  <conditionalFormatting sqref="J28:J32">
    <cfRule type="cellIs" dxfId="3734" priority="150" operator="lessThan">
      <formula>97.4</formula>
    </cfRule>
  </conditionalFormatting>
  <conditionalFormatting sqref="J33:J34">
    <cfRule type="cellIs" dxfId="3733" priority="154" operator="lessThan">
      <formula>98</formula>
    </cfRule>
  </conditionalFormatting>
  <conditionalFormatting sqref="J35:J36">
    <cfRule type="cellIs" dxfId="3732" priority="156" stopIfTrue="1" operator="greaterThan">
      <formula>100</formula>
    </cfRule>
    <cfRule type="cellIs" dxfId="3731" priority="155" stopIfTrue="1" operator="lessThan">
      <formula>96.8</formula>
    </cfRule>
  </conditionalFormatting>
  <conditionalFormatting sqref="J35:J37">
    <cfRule type="cellIs" dxfId="3730" priority="157" operator="lessThan">
      <formula>98</formula>
    </cfRule>
  </conditionalFormatting>
  <conditionalFormatting sqref="J64">
    <cfRule type="cellIs" dxfId="3729" priority="42" stopIfTrue="1" operator="lessThanOrEqual">
      <formula>0</formula>
    </cfRule>
    <cfRule type="cellIs" dxfId="3728" priority="41" stopIfTrue="1" operator="greaterThan">
      <formula>#REF!</formula>
    </cfRule>
    <cfRule type="cellIs" dxfId="3727" priority="46" stopIfTrue="1" operator="lessThanOrEqual">
      <formula>0</formula>
    </cfRule>
    <cfRule type="cellIs" dxfId="3726" priority="48" stopIfTrue="1" operator="lessThanOrEqual">
      <formula>0</formula>
    </cfRule>
    <cfRule type="cellIs" dxfId="3725" priority="47" stopIfTrue="1" operator="greaterThan">
      <formula>#REF!</formula>
    </cfRule>
    <cfRule type="cellIs" dxfId="3724" priority="45" stopIfTrue="1" operator="greaterThan">
      <formula>#REF!</formula>
    </cfRule>
    <cfRule type="cellIs" dxfId="3723" priority="44" stopIfTrue="1" operator="lessThanOrEqual">
      <formula>0</formula>
    </cfRule>
    <cfRule type="cellIs" dxfId="3722" priority="43" stopIfTrue="1" operator="greaterThan">
      <formula>#REF!</formula>
    </cfRule>
  </conditionalFormatting>
  <conditionalFormatting sqref="J77">
    <cfRule type="cellIs" dxfId="3721" priority="159" stopIfTrue="1" operator="lessThanOrEqual">
      <formula>0</formula>
    </cfRule>
    <cfRule type="cellIs" dxfId="3720" priority="158" stopIfTrue="1" operator="greaterThan">
      <formula>$F77</formula>
    </cfRule>
  </conditionalFormatting>
  <conditionalFormatting sqref="K10:K25">
    <cfRule type="cellIs" dxfId="3719" priority="65" operator="greaterThan">
      <formula>6</formula>
    </cfRule>
    <cfRule type="cellIs" dxfId="3718" priority="67" operator="greaterThan">
      <formula>6.4</formula>
    </cfRule>
    <cfRule type="cellIs" dxfId="3717" priority="66" operator="lessThan">
      <formula>4</formula>
    </cfRule>
  </conditionalFormatting>
  <conditionalFormatting sqref="K57:K64 K68:N74 K75 M75:N75 K76:N76">
    <cfRule type="cellIs" dxfId="3716" priority="135" stopIfTrue="1" operator="lessThan">
      <formula>100%</formula>
    </cfRule>
  </conditionalFormatting>
  <conditionalFormatting sqref="K79:K84">
    <cfRule type="cellIs" dxfId="3715" priority="202" stopIfTrue="1" operator="lessThan">
      <formula>100%</formula>
    </cfRule>
  </conditionalFormatting>
  <conditionalFormatting sqref="K86:K87">
    <cfRule type="cellIs" dxfId="3714" priority="209" stopIfTrue="1" operator="lessThan">
      <formula>100%</formula>
    </cfRule>
  </conditionalFormatting>
  <conditionalFormatting sqref="L10:L21">
    <cfRule type="cellIs" dxfId="3713" priority="21" operator="between">
      <formula>61</formula>
      <formula>65</formula>
    </cfRule>
    <cfRule type="cellIs" dxfId="3712" priority="22" operator="greaterThan">
      <formula>65</formula>
    </cfRule>
  </conditionalFormatting>
  <conditionalFormatting sqref="L22:M24 L25">
    <cfRule type="cellIs" dxfId="3711" priority="84" operator="between">
      <formula>61</formula>
      <formula>65</formula>
    </cfRule>
    <cfRule type="cellIs" dxfId="3710" priority="85" operator="greaterThan">
      <formula>65</formula>
    </cfRule>
  </conditionalFormatting>
  <conditionalFormatting sqref="L28:M39">
    <cfRule type="cellIs" dxfId="3709" priority="103" operator="lessThan">
      <formula>97.95</formula>
    </cfRule>
  </conditionalFormatting>
  <conditionalFormatting sqref="L43:N43">
    <cfRule type="cellIs" dxfId="3708" priority="104" operator="notEqual">
      <formula>#REF!</formula>
    </cfRule>
  </conditionalFormatting>
  <conditionalFormatting sqref="L77:N77">
    <cfRule type="cellIs" dxfId="3707" priority="160" stopIfTrue="1" operator="lessThan">
      <formula>100%</formula>
    </cfRule>
  </conditionalFormatting>
  <conditionalFormatting sqref="L79:N87">
    <cfRule type="cellIs" dxfId="3706" priority="187" stopIfTrue="1" operator="lessThan">
      <formula>100%</formula>
    </cfRule>
  </conditionalFormatting>
  <conditionalFormatting sqref="M10:M21">
    <cfRule type="expression" dxfId="3705" priority="86">
      <formula>IF(+(IF(M10&lt;U10,0,IF(M10&gt;V10,0,1)))=0,1)</formula>
    </cfRule>
  </conditionalFormatting>
  <conditionalFormatting sqref="M22:M24 H10:H14 G15:H16 H17:H21 G22:H25">
    <cfRule type="expression" dxfId="3704" priority="88">
      <formula>IF(+(IF(G10&lt;#REF!,0,IF(G10&gt;#REF!,0,1)))=0,1)</formula>
    </cfRule>
  </conditionalFormatting>
  <conditionalFormatting sqref="M25:N25">
    <cfRule type="expression" dxfId="3703" priority="217">
      <formula>IF(+(IF(M25&lt;#REF!,0,IF(M25&gt;#REF!,0,1)))=0,1)</formula>
    </cfRule>
  </conditionalFormatting>
  <conditionalFormatting sqref="N10:N24">
    <cfRule type="expression" dxfId="3702" priority="63">
      <formula>IF(+(IF(N10&lt;W10,0,IF(N10&gt;X10,0,1)))=0,1)</formula>
    </cfRule>
  </conditionalFormatting>
  <conditionalFormatting sqref="P6">
    <cfRule type="cellIs" dxfId="3701" priority="183" operator="greaterThanOrEqual">
      <formula>19</formula>
    </cfRule>
  </conditionalFormatting>
  <dataValidations count="1">
    <dataValidation type="list" allowBlank="1" showInputMessage="1" showErrorMessage="1" sqref="R8" xr:uid="{A5F883CF-DB6F-4C2A-8693-902A6B8A8A8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9872-1875-4B8A-A3F0-63CA076390BD}">
  <sheetPr>
    <pageSetUpPr fitToPage="1"/>
  </sheetPr>
  <dimension ref="A1:BE77"/>
  <sheetViews>
    <sheetView topLeftCell="A51" zoomScale="90" zoomScaleNormal="90" workbookViewId="0">
      <selection activeCell="D10" sqref="D10:D21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45966</v>
      </c>
      <c r="J4" s="398" t="s">
        <v>166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2" t="s">
        <v>33</v>
      </c>
      <c r="C10" s="366" t="str">
        <f>[23]Brewhouse!A99</f>
        <v>VM085</v>
      </c>
      <c r="D10" s="279">
        <f>[23]Brewhouse!AE99</f>
        <v>50</v>
      </c>
      <c r="E10" s="279">
        <f>[23]Brewhouse!AJ99</f>
        <v>47.7</v>
      </c>
      <c r="F10" s="278">
        <f>[23]Brewhouse!X99</f>
        <v>77</v>
      </c>
      <c r="G10" s="279">
        <f>[23]Brewhouse!AH99</f>
        <v>14.3</v>
      </c>
      <c r="H10" s="396">
        <v>14.3</v>
      </c>
      <c r="I10" s="368">
        <f>[23]Brewhouse!AV99</f>
        <v>97.1978696383959</v>
      </c>
      <c r="J10" s="368">
        <f>[23]Brewhouse!AW99</f>
        <v>97.293369170050752</v>
      </c>
      <c r="K10" s="281">
        <f>[23]Brewhouse!S99</f>
        <v>2.5200000000000102</v>
      </c>
      <c r="L10" s="276">
        <f>[23]Brewhouse!R99</f>
        <v>57</v>
      </c>
      <c r="M10" s="374">
        <f>[23]Brewhouse!$W99-[23]Brewhouse!$V99</f>
        <v>0.1423611111111111</v>
      </c>
      <c r="N10" s="370">
        <f>[23]Brewhouse!AB99</f>
        <v>0.28333333333333333</v>
      </c>
      <c r="O10" s="371" t="str">
        <f>[23]Brewhouse!$AZ99</f>
        <v>K. Benjamin</v>
      </c>
      <c r="P10" s="418"/>
      <c r="R10" s="277" t="str">
        <f t="shared" ref="R10:R39" si="0">B10</f>
        <v>VITAMALT</v>
      </c>
      <c r="S10" s="296">
        <f t="shared" ref="S10:S39" si="1">VLOOKUP($B10,$R$3:$X$9,2,FALSE)</f>
        <v>14.2</v>
      </c>
      <c r="T10" s="296">
        <f t="shared" ref="T10:T39" si="2">VLOOKUP($B10,$R$3:$X$9,3,FALSE)</f>
        <v>14.6</v>
      </c>
      <c r="U10" s="297">
        <f t="shared" ref="U10:U39" si="3">VLOOKUP($B10,$R$3:$X$9,4,FALSE)</f>
        <v>0</v>
      </c>
      <c r="V10" s="297">
        <f t="shared" ref="V10:V39" si="4">VLOOKUP($B10,$R$3:$X$9,5,FALSE)</f>
        <v>0.13905092592592591</v>
      </c>
      <c r="W10" s="297">
        <f t="shared" ref="W10:W39" si="5">VLOOKUP($B10,$R$3:$X$9,6,FALSE)</f>
        <v>0.26041666666666669</v>
      </c>
      <c r="X10" s="297">
        <f t="shared" ref="X10:X39" si="6">VLOOKUP($B10,$R$3:$X$9,7,FALSE)</f>
        <v>0.2951388888888889</v>
      </c>
      <c r="Y10" s="297">
        <f t="shared" ref="Y10:Y39" si="7">VLOOKUP($B10,$R$3:$Z$9,8,FALSE)</f>
        <v>0</v>
      </c>
      <c r="Z10" s="296">
        <f t="shared" ref="Z10:Z39" si="8">VLOOKUP($B10,$R$3:$Z$9,9,FALSE)</f>
        <v>75</v>
      </c>
    </row>
    <row r="11" spans="2:29" ht="15" customHeight="1">
      <c r="B11" s="22" t="s">
        <v>33</v>
      </c>
      <c r="C11" s="366" t="str">
        <f>[23]Brewhouse!A100</f>
        <v>VM086</v>
      </c>
      <c r="D11" s="279">
        <f>[23]Brewhouse!AE100</f>
        <v>50.1</v>
      </c>
      <c r="E11" s="279">
        <f>[23]Brewhouse!AJ100</f>
        <v>47.4</v>
      </c>
      <c r="F11" s="278">
        <f>[23]Brewhouse!X100</f>
        <v>74</v>
      </c>
      <c r="G11" s="279">
        <f>[23]Brewhouse!AH100</f>
        <v>14.6</v>
      </c>
      <c r="H11" s="396">
        <v>14.5</v>
      </c>
      <c r="I11" s="368">
        <f>[23]Brewhouse!AV100</f>
        <v>98.865271982009801</v>
      </c>
      <c r="J11" s="368">
        <f>[23]Brewhouse!AW100</f>
        <v>98.961994346081283</v>
      </c>
      <c r="K11" s="281">
        <f>[23]Brewhouse!S100</f>
        <v>15.68862275449103</v>
      </c>
      <c r="L11" s="276">
        <f>[23]Brewhouse!R100</f>
        <v>61</v>
      </c>
      <c r="M11" s="374">
        <f>[23]Brewhouse!$W100-[23]Brewhouse!$V100</f>
        <v>0.14791666666666664</v>
      </c>
      <c r="N11" s="370">
        <f>[23]Brewhouse!AB100</f>
        <v>0.33680555555555558</v>
      </c>
      <c r="O11" s="371" t="str">
        <f>[23]Brewhouse!$AZ100</f>
        <v>R. Regis</v>
      </c>
      <c r="P11" s="418"/>
      <c r="R11" s="277" t="str">
        <f t="shared" si="0"/>
        <v>VITAMALT</v>
      </c>
      <c r="S11" s="296">
        <f t="shared" si="1"/>
        <v>14.2</v>
      </c>
      <c r="T11" s="296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296">
        <f t="shared" si="8"/>
        <v>75</v>
      </c>
    </row>
    <row r="12" spans="2:29" ht="15" customHeight="1">
      <c r="B12" s="22" t="s">
        <v>33</v>
      </c>
      <c r="C12" s="366" t="str">
        <f>[23]Brewhouse!A101</f>
        <v>VM087</v>
      </c>
      <c r="D12" s="279">
        <f>[23]Brewhouse!AE101</f>
        <v>50.1</v>
      </c>
      <c r="E12" s="279">
        <f>[23]Brewhouse!AJ101</f>
        <v>47.4</v>
      </c>
      <c r="F12" s="278">
        <f>[23]Brewhouse!X101</f>
        <v>84</v>
      </c>
      <c r="G12" s="279">
        <f>[23]Brewhouse!AH101</f>
        <v>14.5</v>
      </c>
      <c r="H12" s="396">
        <v>14</v>
      </c>
      <c r="I12" s="368">
        <f>[23]Brewhouse!AV101</f>
        <v>97.852052364795099</v>
      </c>
      <c r="J12" s="368">
        <f>[23]Brewhouse!AW101</f>
        <v>97.949014427015442</v>
      </c>
      <c r="K12" s="281">
        <f>[23]Brewhouse!S101</f>
        <v>6.307385229540925</v>
      </c>
      <c r="L12" s="276">
        <f>[23]Brewhouse!R101</f>
        <v>61</v>
      </c>
      <c r="M12" s="374">
        <f>[23]Brewhouse!$W101-[23]Brewhouse!$V101</f>
        <v>0.13680555555555551</v>
      </c>
      <c r="N12" s="370">
        <f>[23]Brewhouse!AB101</f>
        <v>0.35</v>
      </c>
      <c r="O12" s="371" t="str">
        <f>[23]Brewhouse!$AZ101</f>
        <v>R. Regis</v>
      </c>
      <c r="P12" s="418"/>
      <c r="R12" s="277" t="str">
        <f t="shared" si="0"/>
        <v>VITAMALT</v>
      </c>
      <c r="S12" s="296">
        <f t="shared" si="1"/>
        <v>14.2</v>
      </c>
      <c r="T12" s="296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296">
        <f t="shared" si="8"/>
        <v>75</v>
      </c>
    </row>
    <row r="13" spans="2:29" ht="15" customHeight="1">
      <c r="B13" s="22" t="s">
        <v>33</v>
      </c>
      <c r="C13" s="366" t="str">
        <f>[23]Brewhouse!A102</f>
        <v>VM088</v>
      </c>
      <c r="D13" s="279">
        <f>[23]Brewhouse!AE102</f>
        <v>50.1</v>
      </c>
      <c r="E13" s="279">
        <f>[23]Brewhouse!AJ102</f>
        <v>50.8</v>
      </c>
      <c r="F13" s="278">
        <f>[23]Brewhouse!X102</f>
        <v>92</v>
      </c>
      <c r="G13" s="279">
        <f>[23]Brewhouse!AH102</f>
        <v>14.2</v>
      </c>
      <c r="H13" s="396">
        <v>14.3</v>
      </c>
      <c r="I13" s="368">
        <f>[23]Brewhouse!AV102</f>
        <v>101.48068903880889</v>
      </c>
      <c r="J13" s="368">
        <f>[23]Brewhouse!AW102</f>
        <v>101.58544488625023</v>
      </c>
      <c r="K13" s="281">
        <f>[23]Brewhouse!S102</f>
        <v>5.9081836327345325</v>
      </c>
      <c r="L13" s="276">
        <f>[23]Brewhouse!R102</f>
        <v>60</v>
      </c>
      <c r="M13" s="374">
        <f>[23]Brewhouse!$W102-[23]Brewhouse!$V102</f>
        <v>0.14236111111111105</v>
      </c>
      <c r="N13" s="370">
        <f>[23]Brewhouse!AB102</f>
        <v>0.29374999999999996</v>
      </c>
      <c r="O13" s="371" t="str">
        <f>[23]Brewhouse!$AZ102</f>
        <v>R. Regis</v>
      </c>
      <c r="P13" s="418"/>
      <c r="R13" s="277" t="str">
        <f t="shared" si="0"/>
        <v>VITAMALT</v>
      </c>
      <c r="S13" s="296">
        <f t="shared" si="1"/>
        <v>14.2</v>
      </c>
      <c r="T13" s="296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296">
        <f t="shared" si="8"/>
        <v>75</v>
      </c>
    </row>
    <row r="14" spans="2:29" ht="15" customHeight="1">
      <c r="B14" s="22" t="s">
        <v>33</v>
      </c>
      <c r="C14" s="366" t="str">
        <f>[23]Brewhouse!A103</f>
        <v>VM089</v>
      </c>
      <c r="D14" s="279">
        <f>[23]Brewhouse!AE103</f>
        <v>50.1</v>
      </c>
      <c r="E14" s="279">
        <f>[23]Brewhouse!AJ103</f>
        <v>50.8</v>
      </c>
      <c r="F14" s="278">
        <f>[23]Brewhouse!X103</f>
        <v>89</v>
      </c>
      <c r="G14" s="279">
        <f>[23]Brewhouse!AH103</f>
        <v>14.1</v>
      </c>
      <c r="H14" s="396">
        <v>14.2</v>
      </c>
      <c r="I14" s="368">
        <f>[23]Brewhouse!AV103</f>
        <v>101.36729475283848</v>
      </c>
      <c r="J14" s="368">
        <f>[23]Brewhouse!AW103</f>
        <v>101.46942793995083</v>
      </c>
      <c r="K14" s="281">
        <f>[23]Brewhouse!S103</f>
        <v>5.3093812375249572</v>
      </c>
      <c r="L14" s="276">
        <f>[23]Brewhouse!R103</f>
        <v>58</v>
      </c>
      <c r="M14" s="374">
        <f>[23]Brewhouse!$W103-[23]Brewhouse!$V103</f>
        <v>0.1381944444444444</v>
      </c>
      <c r="N14" s="370">
        <f>[23]Brewhouse!AB103</f>
        <v>0.27083333333333337</v>
      </c>
      <c r="O14" s="371" t="str">
        <f>[23]Brewhouse!$AZ103</f>
        <v>R.Sookram</v>
      </c>
      <c r="P14" s="418"/>
      <c r="R14" s="277" t="str">
        <f t="shared" si="0"/>
        <v>VITAMALT</v>
      </c>
      <c r="S14" s="296">
        <f t="shared" si="1"/>
        <v>14.2</v>
      </c>
      <c r="T14" s="296">
        <f t="shared" si="2"/>
        <v>14.6</v>
      </c>
      <c r="U14" s="297">
        <f t="shared" si="3"/>
        <v>0</v>
      </c>
      <c r="V14" s="297">
        <f t="shared" si="4"/>
        <v>0.13905092592592591</v>
      </c>
      <c r="W14" s="297">
        <f t="shared" si="5"/>
        <v>0.26041666666666669</v>
      </c>
      <c r="X14" s="297">
        <f t="shared" si="6"/>
        <v>0.2951388888888889</v>
      </c>
      <c r="Y14" s="297">
        <f t="shared" si="7"/>
        <v>0</v>
      </c>
      <c r="Z14" s="296">
        <f t="shared" si="8"/>
        <v>75</v>
      </c>
    </row>
    <row r="15" spans="2:29" ht="15" customHeight="1">
      <c r="B15" s="22" t="s">
        <v>33</v>
      </c>
      <c r="C15" s="366" t="str">
        <f>[23]Brewhouse!A104</f>
        <v>VM090</v>
      </c>
      <c r="D15" s="279">
        <f>[23]Brewhouse!AE104</f>
        <v>53.1</v>
      </c>
      <c r="E15" s="279">
        <f>[23]Brewhouse!AJ104</f>
        <v>47.4</v>
      </c>
      <c r="F15" s="278">
        <f>[23]Brewhouse!X104</f>
        <v>84</v>
      </c>
      <c r="G15" s="279">
        <f>[23]Brewhouse!AH104</f>
        <v>14.2</v>
      </c>
      <c r="H15" s="396">
        <v>14.3</v>
      </c>
      <c r="I15" s="368">
        <f>[23]Brewhouse!AV104</f>
        <v>95.481525856829805</v>
      </c>
      <c r="J15" s="368">
        <f>[23]Brewhouse!AW104</f>
        <v>95.576935536185431</v>
      </c>
      <c r="K15" s="281">
        <f>[23]Brewhouse!S104</f>
        <v>13.107344632768363</v>
      </c>
      <c r="L15" s="276">
        <f>[23]Brewhouse!R104</f>
        <v>58</v>
      </c>
      <c r="M15" s="374">
        <f>[23]Brewhouse!$W104-[23]Brewhouse!$V104</f>
        <v>0.13402777777777775</v>
      </c>
      <c r="N15" s="370">
        <f>[23]Brewhouse!AB104</f>
        <v>0.26527777777777772</v>
      </c>
      <c r="O15" s="371" t="str">
        <f>[23]Brewhouse!$AZ104</f>
        <v>R.Sookram</v>
      </c>
      <c r="P15" s="418"/>
      <c r="R15" s="277" t="str">
        <f t="shared" si="0"/>
        <v>VITAMALT</v>
      </c>
      <c r="S15" s="296">
        <f t="shared" si="1"/>
        <v>14.2</v>
      </c>
      <c r="T15" s="296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296">
        <f t="shared" si="8"/>
        <v>75</v>
      </c>
    </row>
    <row r="16" spans="2:29" ht="15" customHeight="1">
      <c r="B16" s="22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6" ht="15" customHeight="1">
      <c r="B17" s="34"/>
      <c r="C17" s="366"/>
      <c r="D17" s="279"/>
      <c r="E17" s="279"/>
      <c r="F17" s="278"/>
      <c r="G17" s="279"/>
      <c r="H17" s="396"/>
      <c r="I17" s="420"/>
      <c r="J17" s="420"/>
      <c r="K17" s="463"/>
      <c r="L17" s="276"/>
      <c r="M17" s="374"/>
      <c r="N17" s="370"/>
      <c r="O17" s="42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6" ht="15" customHeight="1">
      <c r="B18" s="29" t="s">
        <v>6</v>
      </c>
      <c r="C18" s="366" t="str">
        <f>[24]Brewhouse!$A914</f>
        <v>CA799</v>
      </c>
      <c r="D18" s="279">
        <f>[24]Brewhouse!$AF914</f>
        <v>52.6</v>
      </c>
      <c r="E18" s="279">
        <f>[24]Brewhouse!$AI914</f>
        <v>51.5</v>
      </c>
      <c r="F18" s="278">
        <f>[24]Brewhouse!$V914</f>
        <v>58</v>
      </c>
      <c r="G18" s="279">
        <f>[24]Brewhouse!AG914</f>
        <v>11.5</v>
      </c>
      <c r="H18" s="396">
        <v>11.5</v>
      </c>
      <c r="I18" s="368">
        <f>[24]Brewhouse!$AU914</f>
        <v>96.793515485631502</v>
      </c>
      <c r="J18" s="368">
        <f>[24]Brewhouse!$AV914</f>
        <v>97.24748586519668</v>
      </c>
      <c r="K18" s="281">
        <f>[24]Brewhouse!$Q914</f>
        <v>5.4990583804143158</v>
      </c>
      <c r="L18" s="276">
        <f>[24]Brewhouse!$P914</f>
        <v>58</v>
      </c>
      <c r="M18" s="397">
        <f>[24]Brewhouse!$U914-[24]Brewhouse!$T914</f>
        <v>0.12569444444444444</v>
      </c>
      <c r="N18" s="370">
        <f>[24]Brewhouse!$Z914</f>
        <v>0.25138888888888888</v>
      </c>
      <c r="O18" s="421" t="str">
        <f>[24]Brewhouse!$AX914</f>
        <v>R.Sookram</v>
      </c>
      <c r="P18" s="418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" customHeight="1">
      <c r="B19" s="29" t="s">
        <v>6</v>
      </c>
      <c r="C19" s="366" t="str">
        <f>[24]Brewhouse!$A915</f>
        <v>CA800</v>
      </c>
      <c r="D19" s="279">
        <f>[24]Brewhouse!$AF915</f>
        <v>51.2</v>
      </c>
      <c r="E19" s="279">
        <f>[24]Brewhouse!$AI915</f>
        <v>50.1</v>
      </c>
      <c r="F19" s="278">
        <f>[24]Brewhouse!$V915</f>
        <v>52</v>
      </c>
      <c r="G19" s="279">
        <f>[24]Brewhouse!AG915</f>
        <v>11.9</v>
      </c>
      <c r="H19" s="396">
        <v>11.9</v>
      </c>
      <c r="I19" s="368">
        <f>[24]Brewhouse!$AU915</f>
        <v>98.573165732944389</v>
      </c>
      <c r="J19" s="368">
        <f>[24]Brewhouse!$AV915</f>
        <v>99.035189622844044</v>
      </c>
      <c r="K19" s="281">
        <f>[24]Brewhouse!$Q915</f>
        <v>4.7547169811320682</v>
      </c>
      <c r="L19" s="276">
        <f>[24]Brewhouse!$P915</f>
        <v>59</v>
      </c>
      <c r="M19" s="397">
        <f>[24]Brewhouse!$U915-[24]Brewhouse!$T915</f>
        <v>0.10416666666666652</v>
      </c>
      <c r="N19" s="370">
        <f>[24]Brewhouse!$Z915</f>
        <v>0.25138888888888877</v>
      </c>
      <c r="O19" s="421" t="str">
        <f>[24]Brewhouse!$AX915</f>
        <v>K. Benjamin</v>
      </c>
      <c r="P19" s="418"/>
      <c r="R19" s="277" t="str">
        <f t="shared" si="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6" ht="15" customHeight="1">
      <c r="B20" s="29" t="s">
        <v>6</v>
      </c>
      <c r="C20" s="366" t="str">
        <f>[24]Brewhouse!$A916</f>
        <v>CA801</v>
      </c>
      <c r="D20" s="279">
        <f>[24]Brewhouse!$AF916</f>
        <v>53.5</v>
      </c>
      <c r="E20" s="279">
        <f>[24]Brewhouse!$AI916</f>
        <v>52.4</v>
      </c>
      <c r="F20" s="278">
        <f>[24]Brewhouse!$V916</f>
        <v>61</v>
      </c>
      <c r="G20" s="279">
        <f>[24]Brewhouse!AG916</f>
        <v>11.6</v>
      </c>
      <c r="H20" s="396">
        <v>11.7</v>
      </c>
      <c r="I20" s="368">
        <f>[24]Brewhouse!$AU916</f>
        <v>99.38708060877866</v>
      </c>
      <c r="J20" s="368">
        <f>[24]Brewhouse!$AV916</f>
        <v>99.853215044349824</v>
      </c>
      <c r="K20" s="281">
        <f>[24]Brewhouse!$Q916</f>
        <v>1.1698113207547121</v>
      </c>
      <c r="L20" s="276">
        <f>[24]Brewhouse!$P916</f>
        <v>60</v>
      </c>
      <c r="M20" s="397">
        <f>[24]Brewhouse!$U916-[24]Brewhouse!$T916</f>
        <v>0.12083333333333335</v>
      </c>
      <c r="N20" s="370">
        <f>[24]Brewhouse!$Z916</f>
        <v>0.26388888888888895</v>
      </c>
      <c r="O20" s="421" t="str">
        <f>[24]Brewhouse!$AX916</f>
        <v>K. Benjamin</v>
      </c>
      <c r="P20" s="418"/>
      <c r="R20" s="277" t="str">
        <f t="shared" si="0"/>
        <v>CARIB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1:26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" customHeight="1">
      <c r="B22" s="33"/>
      <c r="C22" s="366"/>
      <c r="D22" s="279"/>
      <c r="E22" s="279"/>
      <c r="F22" s="278"/>
      <c r="G22" s="279"/>
      <c r="H22" s="396"/>
      <c r="I22" s="420"/>
      <c r="J22" s="420"/>
      <c r="K22" s="281"/>
      <c r="L22" s="276"/>
      <c r="M22" s="374"/>
      <c r="N22" s="370"/>
      <c r="O22" s="42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" customHeight="1">
      <c r="B23" s="33"/>
      <c r="C23" s="366"/>
      <c r="D23" s="279"/>
      <c r="E23" s="279"/>
      <c r="F23" s="278"/>
      <c r="G23" s="279"/>
      <c r="H23" s="396"/>
      <c r="I23" s="420"/>
      <c r="J23" s="420"/>
      <c r="K23" s="281"/>
      <c r="L23" s="276"/>
      <c r="M23" s="374"/>
      <c r="N23" s="370"/>
      <c r="O23" s="42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" customHeight="1">
      <c r="B24" s="33"/>
      <c r="C24" s="366"/>
      <c r="D24" s="279"/>
      <c r="E24" s="279"/>
      <c r="F24" s="278"/>
      <c r="G24" s="279"/>
      <c r="H24" s="396"/>
      <c r="I24" s="420"/>
      <c r="J24" s="420"/>
      <c r="K24" s="281"/>
      <c r="L24" s="276"/>
      <c r="M24" s="374"/>
      <c r="N24" s="370"/>
      <c r="O24" s="42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customHeight="1" thickBot="1">
      <c r="B26" s="358"/>
      <c r="C26" s="358"/>
      <c r="D26" s="358"/>
      <c r="E26" s="358"/>
      <c r="F26" s="294"/>
      <c r="G26" s="294"/>
      <c r="H26" s="348"/>
      <c r="I26" s="512"/>
      <c r="J26" s="512"/>
      <c r="K26" s="512"/>
      <c r="L26" s="512"/>
      <c r="M26" s="512"/>
      <c r="N26" s="512"/>
      <c r="O26" s="1"/>
      <c r="P26" s="12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customHeight="1" thickBot="1">
      <c r="B27" s="388" t="s">
        <v>162</v>
      </c>
      <c r="C27" s="388"/>
      <c r="D27" s="490" t="s">
        <v>35</v>
      </c>
      <c r="E27" s="491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0"/>
        <v xml:space="preserve">BRAND 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" customHeight="1">
      <c r="A28" s="28"/>
      <c r="B28" s="563" t="str">
        <f>I28</f>
        <v>CARIB</v>
      </c>
      <c r="C28" s="362">
        <f>[24]Process!$D$865</f>
        <v>12</v>
      </c>
      <c r="D28" s="516">
        <v>11.77</v>
      </c>
      <c r="E28" s="517"/>
      <c r="F28" s="294"/>
      <c r="G28" s="294"/>
      <c r="H28" s="348"/>
      <c r="I28" s="29" t="s">
        <v>6</v>
      </c>
      <c r="J28" s="280">
        <f>AVERAGE(I18:I20)</f>
        <v>98.251253942451513</v>
      </c>
      <c r="K28" s="284">
        <f>COUNTA([24]Brewhouse!$A$914:$A$916)</f>
        <v>3</v>
      </c>
      <c r="L28" s="305">
        <f>AVERAGE([24]Brewhouse!$AU$914:$AU$916)</f>
        <v>98.251253942451513</v>
      </c>
      <c r="M28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$916)</f>
        <v>97.716574906787386</v>
      </c>
      <c r="N28" s="30">
        <v>98</v>
      </c>
      <c r="O28" s="11"/>
      <c r="P28" s="31"/>
      <c r="R28" s="277" t="str">
        <f t="shared" si="0"/>
        <v>CARIB</v>
      </c>
      <c r="S28" s="296">
        <f t="shared" si="1"/>
        <v>11.6</v>
      </c>
      <c r="T28" s="296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296">
        <f t="shared" si="8"/>
        <v>60</v>
      </c>
    </row>
    <row r="29" spans="1:26" ht="15" customHeight="1">
      <c r="A29" s="28"/>
      <c r="B29" s="564"/>
      <c r="C29" s="362">
        <f>[24]Process!D867</f>
        <v>11.5</v>
      </c>
      <c r="D29" s="518"/>
      <c r="E29" s="519"/>
      <c r="F29" s="294"/>
      <c r="G29" s="294"/>
      <c r="H29" s="348"/>
      <c r="I29" s="33" t="s">
        <v>9</v>
      </c>
      <c r="J29" s="280"/>
      <c r="K29" s="284"/>
      <c r="L29" s="302"/>
      <c r="M29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$443)</f>
        <v>97.924881193248822</v>
      </c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4.65" customHeight="1">
      <c r="A30" s="28"/>
      <c r="B30" s="564"/>
      <c r="C30" s="362">
        <f>[24]Process!D868</f>
        <v>11.6</v>
      </c>
      <c r="D30" s="566">
        <v>11.82</v>
      </c>
      <c r="E30" s="567"/>
      <c r="F30" s="294"/>
      <c r="G30" s="294"/>
      <c r="H30" s="348"/>
      <c r="I30" s="34" t="s">
        <v>12</v>
      </c>
      <c r="J30" s="280"/>
      <c r="K30" s="284"/>
      <c r="L30" s="302"/>
      <c r="M30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64"/>
      <c r="C31" s="362">
        <f>[24]Process!D869</f>
        <v>11.7</v>
      </c>
      <c r="D31" s="531"/>
      <c r="E31" s="519"/>
      <c r="F31" s="294"/>
      <c r="G31" s="294"/>
      <c r="H31" s="348"/>
      <c r="I31" s="22" t="s">
        <v>33</v>
      </c>
      <c r="J31" s="280">
        <f>AVERAGE(I10:I15)</f>
        <v>98.707450605612976</v>
      </c>
      <c r="K31" s="284">
        <f>COUNTA([23]Brewhouse!$A$97:$A$104)</f>
        <v>8</v>
      </c>
      <c r="L31" s="302">
        <f>AVERAGE([23]Brewhouse!$AV$97:$AV$104)</f>
        <v>98.419138016287462</v>
      </c>
      <c r="M31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64"/>
      <c r="C32" s="362">
        <f>[24]Process!D870</f>
        <v>11.7</v>
      </c>
      <c r="D32" s="566">
        <v>11.81</v>
      </c>
      <c r="E32" s="567"/>
      <c r="F32" s="417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56" ht="14.65" customHeight="1">
      <c r="A33" s="28"/>
      <c r="B33" s="564"/>
      <c r="C33" s="362"/>
      <c r="D33" s="531"/>
      <c r="E33" s="519"/>
      <c r="F33" s="417"/>
      <c r="G33" s="294"/>
      <c r="H33" s="348"/>
      <c r="I33" s="36" t="s">
        <v>15</v>
      </c>
      <c r="J33" s="323"/>
      <c r="K33" s="284"/>
      <c r="L33" s="302"/>
      <c r="M33" s="302">
        <f>AVERAGE([27]Brewhouse!$AT$4:$AT$11,[27]Brewhouse!$AT$13:$AT$16,[27]Brewhouse!$AT$18:$AT$21,[27]Brewhouse!$AT$26,[27]Brewhouse!$AT$28:$AT$35)</f>
        <v>94.794664331624134</v>
      </c>
      <c r="N33" s="3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4.65" customHeight="1">
      <c r="A34" s="28"/>
      <c r="B34" s="564"/>
      <c r="C34" s="362"/>
      <c r="D34" s="566"/>
      <c r="E34" s="567"/>
      <c r="F34" s="417"/>
      <c r="G34" s="294"/>
      <c r="H34" s="348"/>
      <c r="I34" s="37" t="s">
        <v>16</v>
      </c>
      <c r="J34" s="323"/>
      <c r="K34" s="284">
        <f>COUNTA([22]Brewhouse!$A$94:$A$97)</f>
        <v>4</v>
      </c>
      <c r="L34" s="302">
        <f>AVERAGE([22]Brewhouse!$AY$94:$AY$97)</f>
        <v>95.326767995731288</v>
      </c>
      <c r="M34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4" s="30">
        <v>98</v>
      </c>
      <c r="O34" s="11"/>
      <c r="P34" s="31" t="s">
        <v>41</v>
      </c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4.65" customHeight="1">
      <c r="A35" s="28"/>
      <c r="B35" s="564"/>
      <c r="C35" s="362"/>
      <c r="D35" s="531"/>
      <c r="E35" s="519"/>
      <c r="F35" s="294"/>
      <c r="G35" s="294"/>
      <c r="H35" s="348"/>
      <c r="I35" s="411" t="s">
        <v>158</v>
      </c>
      <c r="J35" s="326"/>
      <c r="K35" s="284"/>
      <c r="L35" s="305"/>
      <c r="M35" s="305">
        <f>AVERAGE([28]Brewhouse!$AU$5:$AU$8,[28]Brewhouse!$AU$10:$AU$13,[22]Brewhouse!$AY$75:$AY$77)</f>
        <v>94.749192473706671</v>
      </c>
      <c r="N35" s="30">
        <v>98</v>
      </c>
      <c r="O35" s="11"/>
      <c r="P35" s="31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4.65" customHeight="1">
      <c r="A36" s="28"/>
      <c r="B36" s="564"/>
      <c r="C36" s="349"/>
      <c r="D36" s="566"/>
      <c r="E36" s="567"/>
      <c r="F36" s="294"/>
      <c r="G36" s="294"/>
      <c r="H36" s="348"/>
      <c r="I36" s="410" t="s">
        <v>157</v>
      </c>
      <c r="J36" s="326"/>
      <c r="K36" s="284"/>
      <c r="L36" s="305"/>
      <c r="M36" s="305">
        <f>AVERAGE([29]Brewhouse!$AW$26:$AW$27)</f>
        <v>95.310680905194914</v>
      </c>
      <c r="N36" s="30">
        <v>98</v>
      </c>
      <c r="O36" s="11"/>
      <c r="P36" s="31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5" customHeight="1" thickBot="1">
      <c r="A37" s="28"/>
      <c r="B37" s="564"/>
      <c r="C37" s="349"/>
      <c r="D37" s="531"/>
      <c r="E37" s="519"/>
      <c r="F37" s="294"/>
      <c r="G37" s="294"/>
      <c r="H37" s="348"/>
      <c r="I37" s="406" t="s">
        <v>156</v>
      </c>
      <c r="J37" s="327"/>
      <c r="K37" s="407"/>
      <c r="L37" s="408"/>
      <c r="M37" s="408">
        <f>AVERAGE([30]Brewhouse!$AU$13:$AU$14)</f>
        <v>97.110575243268045</v>
      </c>
      <c r="N37" s="409">
        <v>98</v>
      </c>
      <c r="O37" s="11"/>
      <c r="P37" s="31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AA37" s="296"/>
    </row>
    <row r="38" spans="1:56" ht="15" customHeight="1" thickBot="1">
      <c r="A38" s="28"/>
      <c r="B38" s="564"/>
      <c r="C38" s="349"/>
      <c r="D38" s="516"/>
      <c r="E38" s="517"/>
      <c r="F38" s="294"/>
      <c r="G38" s="294"/>
      <c r="H38" s="348"/>
      <c r="I38" s="1"/>
      <c r="J38" s="39"/>
      <c r="K38" s="404">
        <f>SUM(K28:K37)</f>
        <v>15</v>
      </c>
      <c r="L38" s="405">
        <f>((L28*K28)+(L29*K29)+(L30*K30)+(L31*K31)+(L32*K32)+(K35*L35)+(L33*K33)+(L34*K34)+(L37*K37))/(K38)</f>
        <v>97.560929196038629</v>
      </c>
      <c r="M38" s="405">
        <f>AVERAGE('[31]Jan 31st'!$L$65,'[32]Feb 28th'!$L$35,'[33]Mar. 31st'!$L$35,'[34]Apr. 30th'!$L$45,'[35]May 30th'!$L$37,'[36]June 30th'!$L$57,'[37]July 29th '!$L$44,'[38]Aug 29th'!$L$29,'[39]Sept 30th'!$L$35,L38)</f>
        <v>97.574043159285651</v>
      </c>
      <c r="N38" s="40">
        <v>98</v>
      </c>
      <c r="O38" s="11"/>
      <c r="P38" s="31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  <c r="AA38" s="296"/>
    </row>
    <row r="39" spans="1:56" ht="15.75" thickBot="1">
      <c r="B39" s="570"/>
      <c r="C39" s="350"/>
      <c r="D39" s="518"/>
      <c r="E39" s="519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  <c r="AA39" s="296"/>
    </row>
    <row r="40" spans="1:56" ht="15.75" thickBot="1">
      <c r="B40" s="573" t="str">
        <f>I34</f>
        <v>STARMALT</v>
      </c>
      <c r="C40" s="362">
        <f>[22]Process!D93</f>
        <v>17.2</v>
      </c>
      <c r="D40" s="529">
        <v>17.18</v>
      </c>
      <c r="E40" s="530"/>
      <c r="F40" s="294"/>
      <c r="G40" s="42"/>
      <c r="H40" s="41"/>
      <c r="I40" s="42"/>
      <c r="J40" s="565" t="s">
        <v>129</v>
      </c>
      <c r="K40" s="565"/>
      <c r="L40" s="294"/>
      <c r="M40" s="294"/>
      <c r="N40" s="294"/>
      <c r="O40" s="294"/>
      <c r="P40" s="12"/>
    </row>
    <row r="41" spans="1:56" ht="15.75" thickBot="1">
      <c r="B41" s="574"/>
      <c r="C41" s="362">
        <f>[22]Process!D94</f>
        <v>17.2</v>
      </c>
      <c r="D41" s="531"/>
      <c r="E41" s="519"/>
      <c r="F41" s="294"/>
      <c r="G41" s="42"/>
      <c r="H41" s="41"/>
      <c r="I41" s="42"/>
      <c r="J41" s="292" t="s">
        <v>17</v>
      </c>
      <c r="K41" s="293" t="s">
        <v>147</v>
      </c>
      <c r="L41" s="533" t="s">
        <v>136</v>
      </c>
      <c r="M41" s="533"/>
      <c r="N41" s="534"/>
      <c r="O41" s="294"/>
      <c r="P41" s="12"/>
    </row>
    <row r="42" spans="1:56" ht="15" customHeight="1" thickBot="1">
      <c r="B42" s="574"/>
      <c r="C42" s="349">
        <f>[22]Process!D95</f>
        <v>17.2</v>
      </c>
      <c r="D42" s="566">
        <v>17.2</v>
      </c>
      <c r="E42" s="567"/>
      <c r="F42" s="294"/>
      <c r="G42" s="42"/>
      <c r="H42" s="41"/>
      <c r="I42" s="42"/>
      <c r="J42" s="287" t="s">
        <v>6</v>
      </c>
      <c r="K42" s="324">
        <v>3</v>
      </c>
      <c r="L42" s="343" t="s">
        <v>37</v>
      </c>
      <c r="M42" s="307" t="s">
        <v>38</v>
      </c>
      <c r="N42" s="307" t="s">
        <v>84</v>
      </c>
      <c r="O42" s="294"/>
      <c r="P42" s="12"/>
    </row>
    <row r="43" spans="1:56" ht="15.75" customHeight="1" thickBot="1">
      <c r="B43" s="574"/>
      <c r="C43" s="349">
        <f>[22]Process!D96</f>
        <v>17.2</v>
      </c>
      <c r="D43" s="531"/>
      <c r="E43" s="519"/>
      <c r="F43" s="294"/>
      <c r="G43" s="42"/>
      <c r="H43" s="41"/>
      <c r="I43" s="42"/>
      <c r="J43" s="345" t="s">
        <v>9</v>
      </c>
      <c r="K43" s="324"/>
      <c r="L43" s="344">
        <f>AVERAGE('Nov 4th'!K52,Nov.3rd!K52)</f>
        <v>7.5</v>
      </c>
      <c r="M43" s="325">
        <f>AVERAGE('[31]Jan 29th '!$M$70,'[32]Feb 28th'!$L$40,'[33]Mar. 31st'!$L$40,'[34]Apr. 30th'!$L$50,'[35]May 30th'!$L$42,'[36]June 30th'!$L$62,'[37]July 29th '!$L$49,'[38]Aug 29th'!$L$34,'[39]Sept 30th'!$L$40,[40]Oct.31st!$L$43,L43)</f>
        <v>7.1029733043463015</v>
      </c>
      <c r="N43" s="416">
        <v>9.1999999999999993</v>
      </c>
      <c r="O43" s="294"/>
      <c r="P43" s="12"/>
    </row>
    <row r="44" spans="1:56" ht="15" customHeight="1">
      <c r="B44" s="574"/>
      <c r="C44" s="349"/>
      <c r="D44" s="566"/>
      <c r="E44" s="567"/>
      <c r="F44" s="294"/>
      <c r="G44" s="42"/>
      <c r="H44" s="41"/>
      <c r="I44" s="42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574"/>
      <c r="C45" s="349"/>
      <c r="D45" s="531"/>
      <c r="E45" s="519"/>
      <c r="F45" s="294"/>
      <c r="G45" s="42"/>
      <c r="H45" s="41"/>
      <c r="I45" s="42"/>
      <c r="J45" s="289" t="s">
        <v>33</v>
      </c>
      <c r="K45" s="324">
        <v>6</v>
      </c>
      <c r="L45" s="294"/>
      <c r="M45" s="294"/>
      <c r="N45" s="294"/>
      <c r="O45" s="294"/>
      <c r="P45" s="12"/>
    </row>
    <row r="46" spans="1:56" ht="15">
      <c r="B46" s="574"/>
      <c r="C46" s="349"/>
      <c r="D46" s="566"/>
      <c r="E46" s="567"/>
      <c r="F46" s="294"/>
      <c r="G46" s="42"/>
      <c r="H46" s="41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74"/>
      <c r="C47" s="349"/>
      <c r="D47" s="531"/>
      <c r="E47" s="519"/>
      <c r="F47" s="294"/>
      <c r="G47" s="42"/>
      <c r="H47" s="41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74"/>
      <c r="C48" s="349"/>
      <c r="D48" s="566"/>
      <c r="E48" s="567"/>
      <c r="F48" s="294"/>
      <c r="G48" s="42"/>
      <c r="H48" s="41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thickBot="1">
      <c r="B49" s="575"/>
      <c r="C49" s="350"/>
      <c r="D49" s="568"/>
      <c r="E49" s="569"/>
      <c r="F49" s="294" t="s">
        <v>168</v>
      </c>
      <c r="G49" s="42"/>
      <c r="H49" s="41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2:57" ht="17.649999999999999" customHeight="1" thickBot="1">
      <c r="B50" s="312" t="s">
        <v>139</v>
      </c>
      <c r="C50" s="313"/>
      <c r="D50" s="561">
        <f>AVERAGE(D28:E49)</f>
        <v>13.956</v>
      </c>
      <c r="E50" s="562"/>
      <c r="F50" s="294"/>
      <c r="H50" s="41"/>
      <c r="I50" s="42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>
      <c r="B51" s="363"/>
      <c r="C51" s="364">
        <f>[25]Process!D419</f>
        <v>11.9</v>
      </c>
      <c r="D51" s="365"/>
      <c r="E51" s="365"/>
      <c r="F51" s="294"/>
      <c r="G51" s="42"/>
      <c r="H51" s="41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6" customHeight="1">
      <c r="B52" s="45"/>
      <c r="C52" s="11"/>
      <c r="D52" s="11"/>
      <c r="E52" s="46"/>
      <c r="F52" s="294"/>
      <c r="G52" s="42"/>
      <c r="H52" s="41"/>
      <c r="I52" s="42"/>
      <c r="J52" s="346" t="s">
        <v>130</v>
      </c>
      <c r="K52" s="324">
        <f>SUM(K42:K51)</f>
        <v>9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294"/>
      <c r="N53" s="315"/>
      <c r="P53" s="334"/>
    </row>
    <row r="54" spans="2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2:57" ht="15" customHeight="1" thickBot="1">
      <c r="B55" s="541" t="s">
        <v>17</v>
      </c>
      <c r="C55" s="541" t="s">
        <v>44</v>
      </c>
      <c r="D55" s="543" t="s">
        <v>45</v>
      </c>
      <c r="E55" s="498" t="s">
        <v>46</v>
      </c>
      <c r="F55" s="558" t="s">
        <v>47</v>
      </c>
      <c r="G55" s="552" t="s">
        <v>48</v>
      </c>
      <c r="H55" s="541" t="s">
        <v>49</v>
      </c>
      <c r="I55" s="541" t="s">
        <v>50</v>
      </c>
      <c r="J55" s="546" t="s">
        <v>28</v>
      </c>
      <c r="K55" s="496" t="s">
        <v>51</v>
      </c>
      <c r="L55" s="508" t="s">
        <v>52</v>
      </c>
      <c r="M55" s="546" t="s">
        <v>53</v>
      </c>
      <c r="N55" s="13"/>
      <c r="O55" s="13"/>
      <c r="P55" s="50"/>
    </row>
    <row r="56" spans="2:57" ht="28.5" customHeight="1" thickTop="1" thickBot="1">
      <c r="B56" s="542"/>
      <c r="C56" s="542"/>
      <c r="D56" s="544"/>
      <c r="E56" s="545"/>
      <c r="F56" s="559"/>
      <c r="G56" s="553"/>
      <c r="H56" s="560"/>
      <c r="I56" s="560"/>
      <c r="J56" s="547"/>
      <c r="K56" s="556"/>
      <c r="L56" s="557"/>
      <c r="M56" s="547"/>
      <c r="N56" s="13"/>
      <c r="O56" s="13"/>
      <c r="P56" s="50"/>
      <c r="Q56" s="355"/>
      <c r="AB56" s="51">
        <v>43474</v>
      </c>
      <c r="AC56" s="51">
        <v>43475</v>
      </c>
      <c r="AD56" s="51">
        <v>43476</v>
      </c>
      <c r="AE56" s="51">
        <v>43477</v>
      </c>
      <c r="AF56" s="51">
        <v>43478</v>
      </c>
      <c r="AG56" s="51">
        <v>43479</v>
      </c>
      <c r="AH56" s="51">
        <v>43480</v>
      </c>
      <c r="AI56" s="51">
        <v>43481</v>
      </c>
      <c r="AJ56" s="51">
        <v>43482</v>
      </c>
      <c r="AK56" s="51">
        <v>43483</v>
      </c>
      <c r="AL56" s="51">
        <v>43484</v>
      </c>
      <c r="AM56" s="51">
        <v>43485</v>
      </c>
      <c r="AN56" s="51">
        <v>43486</v>
      </c>
      <c r="AO56" s="51">
        <v>43487</v>
      </c>
      <c r="AP56" s="51">
        <v>43488</v>
      </c>
      <c r="AQ56" s="51">
        <v>43489</v>
      </c>
      <c r="AR56" s="51">
        <v>43490</v>
      </c>
      <c r="AS56" s="51">
        <v>43491</v>
      </c>
      <c r="AT56" s="51">
        <v>43492</v>
      </c>
      <c r="AU56" s="51">
        <v>43493</v>
      </c>
      <c r="AV56" s="51">
        <v>43494</v>
      </c>
      <c r="AW56" s="51">
        <v>43495</v>
      </c>
      <c r="AX56" s="51">
        <v>43496</v>
      </c>
    </row>
    <row r="57" spans="2:57" s="54" customFormat="1" ht="43.15" customHeight="1" thickBot="1">
      <c r="B57" s="458" t="str">
        <f>J42</f>
        <v>CARIB</v>
      </c>
      <c r="C57" s="442">
        <v>45965</v>
      </c>
      <c r="D57" s="443">
        <f>[41]November_2025!$G$3</f>
        <v>261.5</v>
      </c>
      <c r="E57" s="444"/>
      <c r="F57" s="445"/>
      <c r="G57" s="445">
        <f>[41]November_2025!$G$7</f>
        <v>239.8</v>
      </c>
      <c r="H57" s="460"/>
      <c r="I57" s="460"/>
      <c r="J57" s="449" t="s">
        <v>172</v>
      </c>
      <c r="K57" s="450">
        <f>[42]November_2025!$G$18</f>
        <v>0.28046783625730998</v>
      </c>
      <c r="L57" s="459">
        <f>(((D57+E57)-G57)/(D57+E57))*100</f>
        <v>8.2982791586998044</v>
      </c>
      <c r="M57" s="456" t="s">
        <v>171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[20]January_2019!L7</f>
        <v>285.8</v>
      </c>
      <c r="AC57" s="57">
        <f>[20]January_2019!M7</f>
        <v>508.1</v>
      </c>
      <c r="AD57" s="57">
        <f>[20]January_2019!N7</f>
        <v>0</v>
      </c>
      <c r="AE57" s="57">
        <f>[20]January_2019!O7</f>
        <v>0</v>
      </c>
      <c r="AF57" s="57">
        <f>[20]January_2019!P7</f>
        <v>109.56666666666666</v>
      </c>
      <c r="AG57" s="57">
        <f>[20]January_2019!Q7</f>
        <v>297.64999999999998</v>
      </c>
      <c r="AH57" s="57">
        <f>[20]January_2019!R7</f>
        <v>122.3</v>
      </c>
      <c r="AI57" s="57">
        <f>[20]January_2019!S7</f>
        <v>0</v>
      </c>
      <c r="AJ57" s="57">
        <f>[20]January_2019!T7</f>
        <v>294.7</v>
      </c>
      <c r="AK57" s="57">
        <f>[20]January_2019!U7</f>
        <v>280.5</v>
      </c>
      <c r="AL57" s="57">
        <f>[20]January_2019!V7</f>
        <v>0</v>
      </c>
      <c r="AM57" s="57">
        <f>[20]January_2019!W7</f>
        <v>0</v>
      </c>
      <c r="AN57" s="57">
        <f>[20]January_2019!X7</f>
        <v>188.25</v>
      </c>
      <c r="AO57" s="57">
        <f>[20]January_2019!Y7</f>
        <v>295.7</v>
      </c>
      <c r="AP57" s="57">
        <f>[20]January_2019!Z7</f>
        <v>257.8</v>
      </c>
      <c r="AQ57" s="57">
        <f>[20]January_2019!AA7</f>
        <v>291.2</v>
      </c>
      <c r="AR57" s="57">
        <f>[20]January_2019!AB7</f>
        <v>187</v>
      </c>
      <c r="AS57" s="57">
        <f>[20]January_2019!AC7</f>
        <v>0</v>
      </c>
      <c r="AT57" s="57">
        <f>[20]January_2019!AD7</f>
        <v>0</v>
      </c>
      <c r="AU57" s="57">
        <f>[20]January_2019!AE7</f>
        <v>485.1</v>
      </c>
      <c r="AV57" s="57">
        <f>[20]January_2019!AF7</f>
        <v>171.55</v>
      </c>
      <c r="AW57" s="57">
        <f>[20]January_2019!AG7</f>
        <v>423.8</v>
      </c>
      <c r="AX57" s="277">
        <f>[20]January_2019!AH7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20.45" customHeight="1" thickBot="1">
      <c r="B58" s="457"/>
      <c r="C58" s="431"/>
      <c r="D58" s="432"/>
      <c r="E58" s="433"/>
      <c r="F58" s="434"/>
      <c r="G58" s="435"/>
      <c r="H58" s="429"/>
      <c r="I58" s="429"/>
      <c r="J58" s="452"/>
      <c r="K58" s="437"/>
      <c r="L58" s="453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450000000000003" customHeight="1" thickBot="1">
      <c r="B59" s="471" t="str">
        <f>B74</f>
        <v>STARMALT</v>
      </c>
      <c r="C59" s="442">
        <v>45965</v>
      </c>
      <c r="D59" s="443">
        <f>[41]November_2025!$G$55</f>
        <v>201.29999999999998</v>
      </c>
      <c r="E59" s="444"/>
      <c r="F59" s="445"/>
      <c r="G59" s="446" t="e">
        <f>[41]November_2025!$G$59</f>
        <v>#REF!</v>
      </c>
      <c r="H59" s="460"/>
      <c r="I59" s="460"/>
      <c r="J59" s="449" t="s">
        <v>170</v>
      </c>
      <c r="K59" s="462" t="e">
        <f>[42]November_2025!$G$53</f>
        <v>#REF!</v>
      </c>
      <c r="L59" s="472" t="e">
        <f>(((D59+E59)-G59)/(D59+E59))*100</f>
        <v>#REF!</v>
      </c>
      <c r="M59" s="456" t="s">
        <v>167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>
      <c r="B60" s="454"/>
      <c r="C60" s="431"/>
      <c r="D60" s="432"/>
      <c r="E60" s="433"/>
      <c r="F60" s="434"/>
      <c r="G60" s="435"/>
      <c r="H60" s="436"/>
      <c r="I60" s="451"/>
      <c r="J60" s="452"/>
      <c r="K60" s="437"/>
      <c r="L60" s="453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hidden="1" customHeight="1" thickBot="1">
      <c r="B61" s="461"/>
      <c r="C61" s="442"/>
      <c r="D61" s="443"/>
      <c r="E61" s="444"/>
      <c r="F61" s="445"/>
      <c r="G61" s="446"/>
      <c r="H61" s="447"/>
      <c r="I61" s="448"/>
      <c r="J61" s="449"/>
      <c r="K61" s="450"/>
      <c r="L61" s="459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8"/>
      <c r="C62" s="424"/>
      <c r="D62" s="425"/>
      <c r="E62" s="426"/>
      <c r="F62" s="427"/>
      <c r="G62" s="428"/>
      <c r="H62" s="429"/>
      <c r="I62" s="439"/>
      <c r="J62" s="440"/>
      <c r="K62" s="430"/>
      <c r="L62" s="441"/>
      <c r="M62" s="423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15" hidden="1" customHeight="1" thickBot="1">
      <c r="B63" s="461"/>
      <c r="C63" s="442"/>
      <c r="D63" s="443"/>
      <c r="E63" s="444"/>
      <c r="F63" s="445"/>
      <c r="G63" s="446"/>
      <c r="H63" s="447"/>
      <c r="I63" s="448"/>
      <c r="J63" s="449"/>
      <c r="K63" s="450"/>
      <c r="L63" s="459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15" customHeight="1">
      <c r="B64" s="470"/>
      <c r="C64" s="431"/>
      <c r="D64" s="464"/>
      <c r="E64" s="465"/>
      <c r="F64" s="466"/>
      <c r="G64" s="464"/>
      <c r="H64" s="467"/>
      <c r="I64" s="467"/>
      <c r="J64" s="467"/>
      <c r="K64" s="468"/>
      <c r="L64" s="469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48" t="s">
        <v>55</v>
      </c>
      <c r="C66" s="549"/>
      <c r="D66" s="549"/>
      <c r="E66" s="549"/>
      <c r="F66" s="550"/>
      <c r="G66" s="548" t="s">
        <v>56</v>
      </c>
      <c r="H66" s="549"/>
      <c r="I66" s="549"/>
      <c r="J66" s="550"/>
      <c r="K66" s="548" t="s">
        <v>51</v>
      </c>
      <c r="L66" s="549"/>
      <c r="M66" s="549"/>
      <c r="N66" s="551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>
        <f>L57</f>
        <v>8.2982791586998044</v>
      </c>
      <c r="D68" s="76">
        <v>5.6319231282530273</v>
      </c>
      <c r="E68" s="76">
        <v>6.0605326541347297</v>
      </c>
      <c r="F68" s="66">
        <v>4.8</v>
      </c>
      <c r="G68" s="65">
        <f>[41]November_2025!$G$11</f>
        <v>7.4734885378868032</v>
      </c>
      <c r="H68" s="76">
        <v>7.4734885378868032</v>
      </c>
      <c r="I68" s="76">
        <v>6.0781746761521545</v>
      </c>
      <c r="J68" s="66">
        <v>4.8</v>
      </c>
      <c r="K68" s="67">
        <f>K57</f>
        <v>0.28046783625730998</v>
      </c>
      <c r="L68" s="194">
        <v>0.28046783625730998</v>
      </c>
      <c r="M68" s="194">
        <v>0.70199764246992191</v>
      </c>
      <c r="N68" s="68">
        <v>1</v>
      </c>
      <c r="O68" s="56"/>
      <c r="P68" s="69"/>
    </row>
    <row r="69" spans="2:16" ht="15">
      <c r="B69" s="33" t="s">
        <v>9</v>
      </c>
      <c r="C69" s="65"/>
      <c r="D69" s="76"/>
      <c r="E69" s="76">
        <v>5.7508356556237938</v>
      </c>
      <c r="F69" s="66">
        <v>4.8</v>
      </c>
      <c r="G69" s="65"/>
      <c r="H69" s="76"/>
      <c r="I69" s="76">
        <v>5.472350679500849</v>
      </c>
      <c r="J69" s="66">
        <v>4.8</v>
      </c>
      <c r="K69" s="67"/>
      <c r="L69" s="194"/>
      <c r="M69" s="194">
        <v>0.64571930376950681</v>
      </c>
      <c r="N69" s="68">
        <v>1</v>
      </c>
      <c r="P69" s="69"/>
    </row>
    <row r="70" spans="2:16" ht="15">
      <c r="B70" s="34" t="s">
        <v>40</v>
      </c>
      <c r="C70" s="65"/>
      <c r="D70" s="76"/>
      <c r="E70" s="76">
        <v>11.019084676672206</v>
      </c>
      <c r="F70" s="66">
        <v>5.5</v>
      </c>
      <c r="G70" s="65"/>
      <c r="H70" s="76"/>
      <c r="I70" s="76">
        <v>12.668713273493125</v>
      </c>
      <c r="J70" s="66">
        <v>5.5</v>
      </c>
      <c r="K70" s="67"/>
      <c r="L70" s="194"/>
      <c r="M70" s="194">
        <v>0.49234992101105851</v>
      </c>
      <c r="N70" s="68">
        <v>1</v>
      </c>
      <c r="P70" s="69"/>
    </row>
    <row r="71" spans="2:16" ht="15">
      <c r="B71" s="22" t="s">
        <v>33</v>
      </c>
      <c r="C71" s="65"/>
      <c r="D71" s="76"/>
      <c r="E71" s="76">
        <v>4.70482832098405</v>
      </c>
      <c r="F71" s="66">
        <v>3.3</v>
      </c>
      <c r="G71" s="65"/>
      <c r="H71" s="76"/>
      <c r="I71" s="76">
        <v>4.4829345306946999</v>
      </c>
      <c r="J71" s="66">
        <v>3.3</v>
      </c>
      <c r="K71" s="67"/>
      <c r="L71" s="194"/>
      <c r="M71" s="194">
        <v>0.78235275689223049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>
        <v>7.837301587301579</v>
      </c>
      <c r="F72" s="66">
        <v>3.3</v>
      </c>
      <c r="G72" s="282"/>
      <c r="H72" s="76"/>
      <c r="I72" s="76">
        <v>5.3377569154690221</v>
      </c>
      <c r="J72" s="66">
        <v>3</v>
      </c>
      <c r="K72" s="67"/>
      <c r="L72" s="194"/>
      <c r="M72" s="194">
        <v>0.32596491228070179</v>
      </c>
      <c r="N72" s="68">
        <v>1</v>
      </c>
      <c r="P72" s="69"/>
    </row>
    <row r="73" spans="2:16" ht="15">
      <c r="B73" s="36" t="s">
        <v>15</v>
      </c>
      <c r="C73" s="65"/>
      <c r="D73" s="76"/>
      <c r="E73" s="76">
        <v>6.8851328044153277</v>
      </c>
      <c r="F73" s="70">
        <f>[21]May_2022!$M$43</f>
        <v>3.4878406700073312</v>
      </c>
      <c r="G73" s="282"/>
      <c r="H73" s="76"/>
      <c r="I73" s="76">
        <v>8.6614709463340702</v>
      </c>
      <c r="J73" s="66">
        <v>5.5</v>
      </c>
      <c r="K73" s="67"/>
      <c r="L73" s="194"/>
      <c r="M73" s="194">
        <v>0.73160818713450293</v>
      </c>
      <c r="N73" s="68">
        <v>1</v>
      </c>
      <c r="P73" s="69"/>
    </row>
    <row r="74" spans="2:16" ht="15">
      <c r="B74" s="37" t="s">
        <v>16</v>
      </c>
      <c r="C74" s="65" t="e">
        <f>L59</f>
        <v>#REF!</v>
      </c>
      <c r="D74" s="76">
        <v>2.6328862394436081</v>
      </c>
      <c r="E74" s="76">
        <v>2.9297033255778997</v>
      </c>
      <c r="F74" s="66">
        <v>3.3</v>
      </c>
      <c r="G74" s="282" t="e">
        <f>[41]November_2025!$G$63</f>
        <v>#REF!</v>
      </c>
      <c r="H74" s="76">
        <v>2.6328862394435983</v>
      </c>
      <c r="I74" s="76">
        <v>4.2684292436723528</v>
      </c>
      <c r="J74" s="66">
        <v>3.3</v>
      </c>
      <c r="K74" s="67" t="e">
        <f>K59</f>
        <v>#REF!</v>
      </c>
      <c r="L74" s="194">
        <v>0.68771929824561406</v>
      </c>
      <c r="M74" s="194">
        <v>0.84660147761842675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>
        <v>11.483253588516746</v>
      </c>
      <c r="F75" s="66">
        <v>7.5</v>
      </c>
      <c r="G75" s="282"/>
      <c r="H75" s="76"/>
      <c r="I75" s="76">
        <v>9.7934336121043764</v>
      </c>
      <c r="J75" s="66">
        <v>7.5</v>
      </c>
      <c r="K75" s="67"/>
      <c r="M75" s="194">
        <v>0.32456140350877194</v>
      </c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>
        <v>7.2653644592663174</v>
      </c>
      <c r="F76" s="66">
        <v>4.8</v>
      </c>
      <c r="G76" s="282"/>
      <c r="H76" s="76"/>
      <c r="I76" s="76">
        <v>8.1715311054411259</v>
      </c>
      <c r="J76" s="66">
        <v>4.8</v>
      </c>
      <c r="K76" s="67"/>
      <c r="L76" s="194"/>
      <c r="M76" s="194">
        <v>0.51368421052631585</v>
      </c>
      <c r="N76" s="71">
        <v>1</v>
      </c>
      <c r="O76" s="74"/>
      <c r="P76" s="75"/>
    </row>
    <row r="77" spans="2:16" ht="15">
      <c r="D77" s="76">
        <v>4.9968440984641163</v>
      </c>
      <c r="E77" s="76">
        <v>6.1099419827854486</v>
      </c>
      <c r="F77" s="341">
        <v>5.5</v>
      </c>
      <c r="H77" s="76">
        <v>4.8771397204335729</v>
      </c>
      <c r="I77" s="76">
        <v>6.407601018299756</v>
      </c>
      <c r="J77" s="341">
        <v>5.5</v>
      </c>
      <c r="L77" s="194">
        <v>0.48409356725146202</v>
      </c>
      <c r="M77" s="194">
        <v>0.67598710673038642</v>
      </c>
      <c r="N77" s="386">
        <v>1</v>
      </c>
    </row>
  </sheetData>
  <mergeCells count="51">
    <mergeCell ref="M55:M56"/>
    <mergeCell ref="B66:F66"/>
    <mergeCell ref="G66:J66"/>
    <mergeCell ref="K66:N66"/>
    <mergeCell ref="G55:G56"/>
    <mergeCell ref="H55:H56"/>
    <mergeCell ref="I55:I56"/>
    <mergeCell ref="J55:J56"/>
    <mergeCell ref="K55:K56"/>
    <mergeCell ref="L55:L56"/>
    <mergeCell ref="F55:F56"/>
    <mergeCell ref="D50:E50"/>
    <mergeCell ref="B55:B56"/>
    <mergeCell ref="C55:C56"/>
    <mergeCell ref="D55:D56"/>
    <mergeCell ref="E55:E56"/>
    <mergeCell ref="B40:B49"/>
    <mergeCell ref="D40:E41"/>
    <mergeCell ref="J40:K40"/>
    <mergeCell ref="L41:N41"/>
    <mergeCell ref="D42:E43"/>
    <mergeCell ref="D44:E45"/>
    <mergeCell ref="D46:E47"/>
    <mergeCell ref="D48:E4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0:B51">
    <cfRule type="cellIs" dxfId="3700" priority="20" operator="notBetween">
      <formula>#REF!</formula>
      <formula>#REF!</formula>
    </cfRule>
  </conditionalFormatting>
  <conditionalFormatting sqref="C54">
    <cfRule type="cellIs" dxfId="3699" priority="194" stopIfTrue="1" operator="greaterThan">
      <formula>100</formula>
    </cfRule>
    <cfRule type="cellIs" dxfId="3698" priority="193" stopIfTrue="1" operator="lessThan">
      <formula>96</formula>
    </cfRule>
  </conditionalFormatting>
  <conditionalFormatting sqref="C68:C72">
    <cfRule type="cellIs" dxfId="3697" priority="147" stopIfTrue="1" operator="lessThanOrEqual">
      <formula>0</formula>
    </cfRule>
  </conditionalFormatting>
  <conditionalFormatting sqref="C68:C76">
    <cfRule type="cellIs" dxfId="3696" priority="146" stopIfTrue="1" operator="greaterThan">
      <formula>$F68</formula>
    </cfRule>
  </conditionalFormatting>
  <conditionalFormatting sqref="C69">
    <cfRule type="cellIs" dxfId="3695" priority="197" stopIfTrue="1" operator="greaterThan">
      <formula>$F68</formula>
    </cfRule>
  </conditionalFormatting>
  <conditionalFormatting sqref="C73">
    <cfRule type="cellIs" dxfId="3694" priority="87" stopIfTrue="1" operator="greaterThan">
      <formula>$F72</formula>
    </cfRule>
    <cfRule type="cellIs" dxfId="3693" priority="86" stopIfTrue="1" operator="lessThanOrEqual">
      <formula>0</formula>
    </cfRule>
  </conditionalFormatting>
  <conditionalFormatting sqref="C79:C83">
    <cfRule type="cellIs" dxfId="3692" priority="185" stopIfTrue="1" operator="lessThanOrEqual">
      <formula>0</formula>
    </cfRule>
  </conditionalFormatting>
  <conditionalFormatting sqref="C80:C83">
    <cfRule type="cellIs" dxfId="3691" priority="184" stopIfTrue="1" operator="greaterThan">
      <formula>$F$79</formula>
    </cfRule>
  </conditionalFormatting>
  <conditionalFormatting sqref="C85">
    <cfRule type="cellIs" dxfId="3690" priority="186" stopIfTrue="1" operator="greaterThan">
      <formula>$F$79</formula>
    </cfRule>
    <cfRule type="cellIs" dxfId="3689" priority="187" stopIfTrue="1" operator="lessThanOrEqual">
      <formula>0</formula>
    </cfRule>
  </conditionalFormatting>
  <conditionalFormatting sqref="C79:D79 D81:D87">
    <cfRule type="cellIs" dxfId="3688" priority="179" stopIfTrue="1" operator="greaterThan">
      <formula>4.5</formula>
    </cfRule>
  </conditionalFormatting>
  <conditionalFormatting sqref="D50:D51">
    <cfRule type="cellIs" dxfId="3687" priority="21" operator="notBetween">
      <formula>#REF!</formula>
      <formula>#REF!</formula>
    </cfRule>
  </conditionalFormatting>
  <conditionalFormatting sqref="D68:D75">
    <cfRule type="cellIs" dxfId="3686" priority="159" stopIfTrue="1" operator="lessThanOrEqual">
      <formula>0</formula>
    </cfRule>
  </conditionalFormatting>
  <conditionalFormatting sqref="D76">
    <cfRule type="cellIs" dxfId="3685" priority="158" stopIfTrue="1" operator="lessThanOrEqual">
      <formula>0</formula>
    </cfRule>
  </conditionalFormatting>
  <conditionalFormatting sqref="D79 D81:D87">
    <cfRule type="cellIs" dxfId="3684" priority="180" stopIfTrue="1" operator="lessThanOrEqual">
      <formula>0</formula>
    </cfRule>
  </conditionalFormatting>
  <conditionalFormatting sqref="D80">
    <cfRule type="cellIs" dxfId="3683" priority="171" stopIfTrue="1" operator="greaterThan">
      <formula>$F$79</formula>
    </cfRule>
    <cfRule type="cellIs" dxfId="3682" priority="172" stopIfTrue="1" operator="lessThanOrEqual">
      <formula>0</formula>
    </cfRule>
  </conditionalFormatting>
  <conditionalFormatting sqref="D68:E77">
    <cfRule type="cellIs" dxfId="3681" priority="144" stopIfTrue="1" operator="greaterThan">
      <formula>$F68</formula>
    </cfRule>
  </conditionalFormatting>
  <conditionalFormatting sqref="D77:E77">
    <cfRule type="cellIs" dxfId="3680" priority="145" stopIfTrue="1" operator="lessThanOrEqual">
      <formula>0</formula>
    </cfRule>
  </conditionalFormatting>
  <conditionalFormatting sqref="E10:E25">
    <cfRule type="cellIs" dxfId="3679" priority="6" operator="lessThan">
      <formula>48</formula>
    </cfRule>
  </conditionalFormatting>
  <conditionalFormatting sqref="E53 E54:F54">
    <cfRule type="cellIs" dxfId="3678" priority="176" stopIfTrue="1" operator="greaterThan">
      <formula>100</formula>
    </cfRule>
  </conditionalFormatting>
  <conditionalFormatting sqref="E54">
    <cfRule type="cellIs" dxfId="3677" priority="174" stopIfTrue="1" operator="greaterThan">
      <formula>100</formula>
    </cfRule>
    <cfRule type="cellIs" dxfId="3676" priority="173" stopIfTrue="1" operator="lessThan">
      <formula>96.8</formula>
    </cfRule>
  </conditionalFormatting>
  <conditionalFormatting sqref="E68:E76">
    <cfRule type="cellIs" dxfId="3675" priority="155" stopIfTrue="1" operator="lessThanOrEqual">
      <formula>0</formula>
    </cfRule>
  </conditionalFormatting>
  <conditionalFormatting sqref="E79:E87">
    <cfRule type="cellIs" dxfId="3674" priority="165" stopIfTrue="1" operator="greaterThan">
      <formula>4.5</formula>
    </cfRule>
    <cfRule type="cellIs" dxfId="3673" priority="166" stopIfTrue="1" operator="lessThanOrEqual">
      <formula>0</formula>
    </cfRule>
  </conditionalFormatting>
  <conditionalFormatting sqref="E54:F54 E53">
    <cfRule type="cellIs" dxfId="3672" priority="175" stopIfTrue="1" operator="lessThan">
      <formula>96.5</formula>
    </cfRule>
  </conditionalFormatting>
  <conditionalFormatting sqref="F10:F25">
    <cfRule type="cellIs" dxfId="3671" priority="7" operator="greaterThan">
      <formula>60</formula>
    </cfRule>
  </conditionalFormatting>
  <conditionalFormatting sqref="F54">
    <cfRule type="cellIs" dxfId="3670" priority="191" stopIfTrue="1" operator="lessThan">
      <formula>96.8</formula>
    </cfRule>
    <cfRule type="cellIs" dxfId="3669" priority="192" stopIfTrue="1" operator="greaterThan">
      <formula>100</formula>
    </cfRule>
  </conditionalFormatting>
  <conditionalFormatting sqref="F77">
    <cfRule type="cellIs" dxfId="3668" priority="156" stopIfTrue="1" operator="greaterThan">
      <formula>$F77</formula>
    </cfRule>
    <cfRule type="cellIs" dxfId="3667" priority="157" stopIfTrue="1" operator="lessThanOrEqual">
      <formula>0</formula>
    </cfRule>
  </conditionalFormatting>
  <conditionalFormatting sqref="G17:G21">
    <cfRule type="expression" dxfId="3666" priority="11">
      <formula>IF(+(IF(G17&lt;S17,0,IF(G17&gt;T17,0,1)))=0,1)</formula>
    </cfRule>
  </conditionalFormatting>
  <conditionalFormatting sqref="G68:G69 C74:C76">
    <cfRule type="cellIs" dxfId="3665" priority="161" stopIfTrue="1" operator="lessThanOrEqual">
      <formula>0</formula>
    </cfRule>
  </conditionalFormatting>
  <conditionalFormatting sqref="G68:G69">
    <cfRule type="cellIs" dxfId="3664" priority="148" stopIfTrue="1" operator="greaterThan">
      <formula>$F68</formula>
    </cfRule>
    <cfRule type="cellIs" dxfId="3663" priority="149" stopIfTrue="1" operator="lessThanOrEqual">
      <formula>0</formula>
    </cfRule>
    <cfRule type="cellIs" dxfId="3662" priority="160" stopIfTrue="1" operator="greaterThan">
      <formula>$F68</formula>
    </cfRule>
  </conditionalFormatting>
  <conditionalFormatting sqref="G70">
    <cfRule type="cellIs" dxfId="3661" priority="196" stopIfTrue="1" operator="lessThanOrEqual">
      <formula>0</formula>
    </cfRule>
    <cfRule type="cellIs" dxfId="3660" priority="195" stopIfTrue="1" operator="greaterThan">
      <formula>$F69</formula>
    </cfRule>
  </conditionalFormatting>
  <conditionalFormatting sqref="G71">
    <cfRule type="cellIs" dxfId="3659" priority="19" stopIfTrue="1" operator="lessThanOrEqual">
      <formula>0</formula>
    </cfRule>
    <cfRule type="cellIs" dxfId="3658" priority="18" stopIfTrue="1" operator="greaterThan">
      <formula>$F71</formula>
    </cfRule>
    <cfRule type="cellIs" dxfId="3657" priority="17" stopIfTrue="1" operator="lessThanOrEqual">
      <formula>0</formula>
    </cfRule>
    <cfRule type="cellIs" dxfId="3656" priority="16" stopIfTrue="1" operator="greaterThan">
      <formula>$F71</formula>
    </cfRule>
  </conditionalFormatting>
  <conditionalFormatting sqref="G72:G76">
    <cfRule type="cellIs" dxfId="3655" priority="162" stopIfTrue="1" operator="greaterThan">
      <formula>$J72</formula>
    </cfRule>
    <cfRule type="cellIs" dxfId="3654" priority="163" stopIfTrue="1" operator="lessThanOrEqual">
      <formula>0</formula>
    </cfRule>
  </conditionalFormatting>
  <conditionalFormatting sqref="G81:G86 C84 C86">
    <cfRule type="cellIs" dxfId="3653" priority="188" stopIfTrue="1" operator="greaterThan">
      <formula>4.5</formula>
    </cfRule>
    <cfRule type="cellIs" dxfId="3652" priority="189" stopIfTrue="1" operator="lessThanOrEqual">
      <formula>0</formula>
    </cfRule>
  </conditionalFormatting>
  <conditionalFormatting sqref="G80:H80">
    <cfRule type="cellIs" dxfId="3651" priority="170" stopIfTrue="1" operator="lessThanOrEqual">
      <formula>0</formula>
    </cfRule>
    <cfRule type="cellIs" dxfId="3650" priority="169" stopIfTrue="1" operator="greaterThan">
      <formula>$F$79</formula>
    </cfRule>
  </conditionalFormatting>
  <conditionalFormatting sqref="H17:H21">
    <cfRule type="expression" dxfId="3649" priority="12">
      <formula>IF(+(IF(H17&lt;#REF!,0,IF(H17&gt;#REF!,0,1)))=0,1)</formula>
    </cfRule>
  </conditionalFormatting>
  <conditionalFormatting sqref="H39:H53">
    <cfRule type="cellIs" dxfId="3648" priority="167" stopIfTrue="1" operator="greaterThan">
      <formula>0</formula>
    </cfRule>
  </conditionalFormatting>
  <conditionalFormatting sqref="H57">
    <cfRule type="cellIs" dxfId="3647" priority="63" stopIfTrue="1" operator="greaterThan">
      <formula>$F$71</formula>
    </cfRule>
    <cfRule type="cellIs" dxfId="3646" priority="64" stopIfTrue="1" operator="lessThanOrEqual">
      <formula>0</formula>
    </cfRule>
    <cfRule type="cellIs" dxfId="3645" priority="53" stopIfTrue="1" operator="greaterThan">
      <formula>$F$70</formula>
    </cfRule>
    <cfRule type="cellIs" dxfId="3644" priority="52" stopIfTrue="1" operator="lessThanOrEqual">
      <formula>0</formula>
    </cfRule>
    <cfRule type="cellIs" dxfId="3643" priority="61" stopIfTrue="1" operator="greaterThan">
      <formula>$F$73</formula>
    </cfRule>
    <cfRule type="cellIs" dxfId="3642" priority="62" stopIfTrue="1" operator="lessThanOrEqual">
      <formula>0</formula>
    </cfRule>
  </conditionalFormatting>
  <conditionalFormatting sqref="H58">
    <cfRule type="cellIs" dxfId="3641" priority="104" stopIfTrue="1" operator="greaterThan">
      <formula>#REF!</formula>
    </cfRule>
    <cfRule type="cellIs" dxfId="3640" priority="112" stopIfTrue="1" operator="greaterThan">
      <formula>$F$26</formula>
    </cfRule>
    <cfRule type="cellIs" dxfId="3639" priority="103" stopIfTrue="1" operator="lessThanOrEqual">
      <formula>0</formula>
    </cfRule>
    <cfRule type="cellIs" dxfId="3638" priority="115" stopIfTrue="1" operator="lessThanOrEqual">
      <formula>0</formula>
    </cfRule>
    <cfRule type="cellIs" dxfId="3637" priority="114" stopIfTrue="1" operator="greaterThan">
      <formula>#REF!</formula>
    </cfRule>
    <cfRule type="cellIs" dxfId="3636" priority="113" stopIfTrue="1" operator="lessThanOrEqual">
      <formula>0</formula>
    </cfRule>
  </conditionalFormatting>
  <conditionalFormatting sqref="H59">
    <cfRule type="cellIs" dxfId="3635" priority="71" stopIfTrue="1" operator="lessThanOrEqual">
      <formula>0</formula>
    </cfRule>
    <cfRule type="cellIs" dxfId="3634" priority="72" stopIfTrue="1" operator="greaterThan">
      <formula>$F$69</formula>
    </cfRule>
    <cfRule type="cellIs" dxfId="3633" priority="80" stopIfTrue="1" operator="greaterThan">
      <formula>$F$72</formula>
    </cfRule>
    <cfRule type="cellIs" dxfId="3632" priority="82" stopIfTrue="1" operator="greaterThan">
      <formula>$F$70</formula>
    </cfRule>
    <cfRule type="cellIs" dxfId="3631" priority="83" stopIfTrue="1" operator="lessThanOrEqual">
      <formula>0</formula>
    </cfRule>
    <cfRule type="cellIs" dxfId="3630" priority="81" stopIfTrue="1" operator="lessThanOrEqual">
      <formula>0</formula>
    </cfRule>
  </conditionalFormatting>
  <conditionalFormatting sqref="H60:H61">
    <cfRule type="cellIs" dxfId="3629" priority="89" stopIfTrue="1" operator="lessThanOrEqual">
      <formula>0</formula>
    </cfRule>
    <cfRule type="cellIs" dxfId="3628" priority="90" stopIfTrue="1" operator="greaterThan">
      <formula>#REF!</formula>
    </cfRule>
    <cfRule type="cellIs" dxfId="3627" priority="98" stopIfTrue="1" operator="greaterThan">
      <formula>$F$25</formula>
    </cfRule>
    <cfRule type="cellIs" dxfId="3626" priority="99" stopIfTrue="1" operator="lessThanOrEqual">
      <formula>0</formula>
    </cfRule>
    <cfRule type="cellIs" dxfId="3625" priority="100" stopIfTrue="1" operator="greaterThan">
      <formula>#REF!</formula>
    </cfRule>
    <cfRule type="cellIs" dxfId="3624" priority="101" stopIfTrue="1" operator="lessThanOrEqual">
      <formula>0</formula>
    </cfRule>
  </conditionalFormatting>
  <conditionalFormatting sqref="H62">
    <cfRule type="cellIs" dxfId="3623" priority="129" stopIfTrue="1" operator="greaterThan">
      <formula>$F$39</formula>
    </cfRule>
    <cfRule type="cellIs" dxfId="3622" priority="130" stopIfTrue="1" operator="lessThanOrEqual">
      <formula>0</formula>
    </cfRule>
    <cfRule type="cellIs" dxfId="3621" priority="127" stopIfTrue="1" operator="greaterThan">
      <formula>$F$41</formula>
    </cfRule>
    <cfRule type="cellIs" dxfId="3620" priority="119" stopIfTrue="1" operator="greaterThan">
      <formula>$F$38</formula>
    </cfRule>
    <cfRule type="cellIs" dxfId="3619" priority="118" stopIfTrue="1" operator="lessThanOrEqual">
      <formula>0</formula>
    </cfRule>
    <cfRule type="cellIs" dxfId="3618" priority="128" stopIfTrue="1" operator="lessThanOrEqual">
      <formula>0</formula>
    </cfRule>
  </conditionalFormatting>
  <conditionalFormatting sqref="H63:H64">
    <cfRule type="cellIs" dxfId="3617" priority="42" stopIfTrue="1" operator="greaterThan">
      <formula>#REF!</formula>
    </cfRule>
    <cfRule type="cellIs" dxfId="3616" priority="41" stopIfTrue="1" operator="lessThanOrEqual">
      <formula>0</formula>
    </cfRule>
    <cfRule type="cellIs" dxfId="3615" priority="40" stopIfTrue="1" operator="greaterThan">
      <formula>$F$25</formula>
    </cfRule>
    <cfRule type="cellIs" dxfId="3614" priority="32" stopIfTrue="1" operator="greaterThan">
      <formula>#REF!</formula>
    </cfRule>
    <cfRule type="cellIs" dxfId="3613" priority="31" stopIfTrue="1" operator="lessThanOrEqual">
      <formula>0</formula>
    </cfRule>
    <cfRule type="cellIs" dxfId="3612" priority="43" stopIfTrue="1" operator="lessThanOrEqual">
      <formula>0</formula>
    </cfRule>
  </conditionalFormatting>
  <conditionalFormatting sqref="H68:H75">
    <cfRule type="cellIs" dxfId="3611" priority="151" stopIfTrue="1" operator="lessThanOrEqual">
      <formula>0</formula>
    </cfRule>
    <cfRule type="cellIs" dxfId="3610" priority="150" stopIfTrue="1" operator="greaterThan">
      <formula>$J68</formula>
    </cfRule>
  </conditionalFormatting>
  <conditionalFormatting sqref="H76">
    <cfRule type="cellIs" dxfId="3609" priority="152" operator="greaterThan">
      <formula>5.3</formula>
    </cfRule>
  </conditionalFormatting>
  <conditionalFormatting sqref="H79 H81:H87">
    <cfRule type="cellIs" dxfId="3608" priority="181" stopIfTrue="1" operator="greaterThan">
      <formula>4.5</formula>
    </cfRule>
    <cfRule type="cellIs" dxfId="3607" priority="182" stopIfTrue="1" operator="lessThanOrEqual">
      <formula>0</formula>
    </cfRule>
  </conditionalFormatting>
  <conditionalFormatting sqref="H57:I57">
    <cfRule type="cellIs" dxfId="3606" priority="51" stopIfTrue="1" operator="greaterThan">
      <formula>$F$72</formula>
    </cfRule>
    <cfRule type="cellIs" dxfId="3605" priority="54" stopIfTrue="1" operator="lessThanOrEqual">
      <formula>0</formula>
    </cfRule>
  </conditionalFormatting>
  <conditionalFormatting sqref="H58:I58">
    <cfRule type="cellIs" dxfId="3604" priority="102" stopIfTrue="1" operator="greaterThan">
      <formula>$F$25</formula>
    </cfRule>
    <cfRule type="cellIs" dxfId="3603" priority="105" stopIfTrue="1" operator="lessThanOrEqual">
      <formula>0</formula>
    </cfRule>
  </conditionalFormatting>
  <conditionalFormatting sqref="H59:I59">
    <cfRule type="cellIs" dxfId="3602" priority="73" stopIfTrue="1" operator="lessThanOrEqual">
      <formula>0</formula>
    </cfRule>
    <cfRule type="cellIs" dxfId="3601" priority="70" stopIfTrue="1" operator="greaterThan">
      <formula>$F$71</formula>
    </cfRule>
  </conditionalFormatting>
  <conditionalFormatting sqref="H60:I61">
    <cfRule type="cellIs" dxfId="3600" priority="91" stopIfTrue="1" operator="lessThanOrEqual">
      <formula>0</formula>
    </cfRule>
    <cfRule type="cellIs" dxfId="3599" priority="88" stopIfTrue="1" operator="greaterThan">
      <formula>#REF!</formula>
    </cfRule>
  </conditionalFormatting>
  <conditionalFormatting sqref="H62:I62">
    <cfRule type="cellIs" dxfId="3598" priority="117" stopIfTrue="1" operator="greaterThan">
      <formula>$F$40</formula>
    </cfRule>
    <cfRule type="cellIs" dxfId="3597" priority="120" stopIfTrue="1" operator="lessThanOrEqual">
      <formula>0</formula>
    </cfRule>
  </conditionalFormatting>
  <conditionalFormatting sqref="H63:I64">
    <cfRule type="cellIs" dxfId="3596" priority="30" stopIfTrue="1" operator="greaterThan">
      <formula>#REF!</formula>
    </cfRule>
    <cfRule type="cellIs" dxfId="3595" priority="33" stopIfTrue="1" operator="lessThanOrEqual">
      <formula>0</formula>
    </cfRule>
  </conditionalFormatting>
  <conditionalFormatting sqref="H77:I77">
    <cfRule type="cellIs" dxfId="3594" priority="143" stopIfTrue="1" operator="lessThanOrEqual">
      <formula>0</formula>
    </cfRule>
    <cfRule type="cellIs" dxfId="3593" priority="142" stopIfTrue="1" operator="greaterThan">
      <formula>$J77</formula>
    </cfRule>
  </conditionalFormatting>
  <conditionalFormatting sqref="I57">
    <cfRule type="cellIs" dxfId="3592" priority="57" stopIfTrue="1" operator="greaterThan">
      <formula>$F$72</formula>
    </cfRule>
    <cfRule type="cellIs" dxfId="3591" priority="59" stopIfTrue="1" operator="greaterThan">
      <formula>$F$70</formula>
    </cfRule>
    <cfRule type="cellIs" dxfId="3590" priority="56" stopIfTrue="1" operator="lessThanOrEqual">
      <formula>0</formula>
    </cfRule>
    <cfRule type="cellIs" dxfId="3589" priority="55" stopIfTrue="1" operator="greaterThan">
      <formula>$F$70</formula>
    </cfRule>
    <cfRule type="cellIs" dxfId="3588" priority="60" stopIfTrue="1" operator="lessThanOrEqual">
      <formula>0</formula>
    </cfRule>
    <cfRule type="cellIs" dxfId="3587" priority="58" stopIfTrue="1" operator="lessThanOrEqual">
      <formula>0</formula>
    </cfRule>
  </conditionalFormatting>
  <conditionalFormatting sqref="I58">
    <cfRule type="cellIs" dxfId="3586" priority="111" stopIfTrue="1" operator="lessThanOrEqual">
      <formula>0</formula>
    </cfRule>
    <cfRule type="cellIs" dxfId="3585" priority="107" stopIfTrue="1" operator="lessThanOrEqual">
      <formula>0</formula>
    </cfRule>
    <cfRule type="cellIs" dxfId="3584" priority="108" stopIfTrue="1" operator="greaterThan">
      <formula>$F$25</formula>
    </cfRule>
    <cfRule type="cellIs" dxfId="3583" priority="109" stopIfTrue="1" operator="lessThanOrEqual">
      <formula>0</formula>
    </cfRule>
    <cfRule type="cellIs" dxfId="3582" priority="110" stopIfTrue="1" operator="greaterThan">
      <formula>#REF!</formula>
    </cfRule>
    <cfRule type="cellIs" dxfId="3581" priority="106" stopIfTrue="1" operator="greaterThan">
      <formula>#REF!</formula>
    </cfRule>
  </conditionalFormatting>
  <conditionalFormatting sqref="I59">
    <cfRule type="cellIs" dxfId="3580" priority="74" stopIfTrue="1" operator="greaterThan">
      <formula>$F$69</formula>
    </cfRule>
    <cfRule type="cellIs" dxfId="3579" priority="78" stopIfTrue="1" operator="greaterThan">
      <formula>$F$69</formula>
    </cfRule>
    <cfRule type="cellIs" dxfId="3578" priority="75" stopIfTrue="1" operator="lessThanOrEqual">
      <formula>0</formula>
    </cfRule>
    <cfRule type="cellIs" dxfId="3577" priority="76" stopIfTrue="1" operator="greaterThan">
      <formula>$F$71</formula>
    </cfRule>
    <cfRule type="cellIs" dxfId="3576" priority="77" stopIfTrue="1" operator="lessThanOrEqual">
      <formula>0</formula>
    </cfRule>
    <cfRule type="cellIs" dxfId="3575" priority="79" stopIfTrue="1" operator="lessThanOrEqual">
      <formula>0</formula>
    </cfRule>
  </conditionalFormatting>
  <conditionalFormatting sqref="I60:I61">
    <cfRule type="cellIs" dxfId="3574" priority="94" stopIfTrue="1" operator="greaterThan">
      <formula>#REF!</formula>
    </cfRule>
    <cfRule type="cellIs" dxfId="3573" priority="97" stopIfTrue="1" operator="lessThanOrEqual">
      <formula>0</formula>
    </cfRule>
    <cfRule type="cellIs" dxfId="3572" priority="96" stopIfTrue="1" operator="greaterThan">
      <formula>#REF!</formula>
    </cfRule>
    <cfRule type="cellIs" dxfId="3571" priority="93" stopIfTrue="1" operator="lessThanOrEqual">
      <formula>0</formula>
    </cfRule>
    <cfRule type="cellIs" dxfId="3570" priority="95" stopIfTrue="1" operator="lessThanOrEqual">
      <formula>0</formula>
    </cfRule>
    <cfRule type="cellIs" dxfId="3569" priority="92" stopIfTrue="1" operator="greaterThan">
      <formula>#REF!</formula>
    </cfRule>
  </conditionalFormatting>
  <conditionalFormatting sqref="I62">
    <cfRule type="cellIs" dxfId="3568" priority="121" stopIfTrue="1" operator="greaterThan">
      <formula>$F$38</formula>
    </cfRule>
    <cfRule type="cellIs" dxfId="3567" priority="122" stopIfTrue="1" operator="lessThanOrEqual">
      <formula>0</formula>
    </cfRule>
    <cfRule type="cellIs" dxfId="3566" priority="123" stopIfTrue="1" operator="greaterThan">
      <formula>$F$40</formula>
    </cfRule>
    <cfRule type="cellIs" dxfId="3565" priority="126" stopIfTrue="1" operator="lessThanOrEqual">
      <formula>0</formula>
    </cfRule>
    <cfRule type="cellIs" dxfId="3564" priority="125" stopIfTrue="1" operator="greaterThan">
      <formula>$F$38</formula>
    </cfRule>
    <cfRule type="cellIs" dxfId="3563" priority="124" stopIfTrue="1" operator="lessThanOrEqual">
      <formula>0</formula>
    </cfRule>
  </conditionalFormatting>
  <conditionalFormatting sqref="I63:I64">
    <cfRule type="cellIs" dxfId="3562" priority="37" stopIfTrue="1" operator="lessThanOrEqual">
      <formula>0</formula>
    </cfRule>
    <cfRule type="cellIs" dxfId="3561" priority="35" stopIfTrue="1" operator="lessThanOrEqual">
      <formula>0</formula>
    </cfRule>
    <cfRule type="cellIs" dxfId="3560" priority="34" stopIfTrue="1" operator="greaterThan">
      <formula>#REF!</formula>
    </cfRule>
    <cfRule type="cellIs" dxfId="3559" priority="36" stopIfTrue="1" operator="greaterThan">
      <formula>#REF!</formula>
    </cfRule>
    <cfRule type="cellIs" dxfId="3558" priority="39" stopIfTrue="1" operator="lessThanOrEqual">
      <formula>0</formula>
    </cfRule>
    <cfRule type="cellIs" dxfId="3557" priority="38" stopIfTrue="1" operator="greaterThan">
      <formula>#REF!</formula>
    </cfRule>
  </conditionalFormatting>
  <conditionalFormatting sqref="I68:I76">
    <cfRule type="cellIs" dxfId="3556" priority="153" stopIfTrue="1" operator="greaterThan">
      <formula>$J68</formula>
    </cfRule>
    <cfRule type="cellIs" dxfId="3555" priority="154" stopIfTrue="1" operator="lessThanOrEqual">
      <formula>0</formula>
    </cfRule>
  </conditionalFormatting>
  <conditionalFormatting sqref="I79:I87">
    <cfRule type="cellIs" dxfId="3554" priority="178" stopIfTrue="1" operator="lessThanOrEqual">
      <formula>0</formula>
    </cfRule>
    <cfRule type="cellIs" dxfId="3553" priority="177" stopIfTrue="1" operator="greaterThan">
      <formula>4.5</formula>
    </cfRule>
  </conditionalFormatting>
  <conditionalFormatting sqref="I10:J25">
    <cfRule type="cellIs" dxfId="3552" priority="2" operator="lessThan">
      <formula>97.9</formula>
    </cfRule>
  </conditionalFormatting>
  <conditionalFormatting sqref="J28:J30">
    <cfRule type="cellIs" dxfId="3551" priority="132" stopIfTrue="1" operator="lessThan">
      <formula>96.8</formula>
    </cfRule>
    <cfRule type="cellIs" dxfId="3550" priority="133" stopIfTrue="1" operator="greaterThan">
      <formula>100</formula>
    </cfRule>
    <cfRule type="cellIs" dxfId="3549" priority="134" operator="lessThan">
      <formula>98</formula>
    </cfRule>
  </conditionalFormatting>
  <conditionalFormatting sqref="J28:J32">
    <cfRule type="cellIs" dxfId="3548" priority="131" operator="lessThan">
      <formula>97.4</formula>
    </cfRule>
  </conditionalFormatting>
  <conditionalFormatting sqref="J33:J34">
    <cfRule type="cellIs" dxfId="3547" priority="135" operator="lessThan">
      <formula>98</formula>
    </cfRule>
  </conditionalFormatting>
  <conditionalFormatting sqref="J35:J36">
    <cfRule type="cellIs" dxfId="3546" priority="137" stopIfTrue="1" operator="greaterThan">
      <formula>100</formula>
    </cfRule>
    <cfRule type="cellIs" dxfId="3545" priority="136" stopIfTrue="1" operator="lessThan">
      <formula>96.8</formula>
    </cfRule>
  </conditionalFormatting>
  <conditionalFormatting sqref="J35:J37">
    <cfRule type="cellIs" dxfId="3544" priority="138" operator="lessThan">
      <formula>98</formula>
    </cfRule>
  </conditionalFormatting>
  <conditionalFormatting sqref="J64">
    <cfRule type="cellIs" dxfId="3543" priority="27" stopIfTrue="1" operator="lessThanOrEqual">
      <formula>0</formula>
    </cfRule>
    <cfRule type="cellIs" dxfId="3542" priority="25" stopIfTrue="1" operator="lessThanOrEqual">
      <formula>0</formula>
    </cfRule>
    <cfRule type="cellIs" dxfId="3541" priority="29" stopIfTrue="1" operator="lessThanOrEqual">
      <formula>0</formula>
    </cfRule>
    <cfRule type="cellIs" dxfId="3540" priority="28" stopIfTrue="1" operator="greaterThan">
      <formula>#REF!</formula>
    </cfRule>
    <cfRule type="cellIs" dxfId="3539" priority="26" stopIfTrue="1" operator="greaterThan">
      <formula>#REF!</formula>
    </cfRule>
    <cfRule type="cellIs" dxfId="3538" priority="24" stopIfTrue="1" operator="greaterThan">
      <formula>#REF!</formula>
    </cfRule>
    <cfRule type="cellIs" dxfId="3537" priority="23" stopIfTrue="1" operator="lessThanOrEqual">
      <formula>0</formula>
    </cfRule>
    <cfRule type="cellIs" dxfId="3536" priority="22" stopIfTrue="1" operator="greaterThan">
      <formula>#REF!</formula>
    </cfRule>
  </conditionalFormatting>
  <conditionalFormatting sqref="J77">
    <cfRule type="cellIs" dxfId="3535" priority="140" stopIfTrue="1" operator="lessThanOrEqual">
      <formula>0</formula>
    </cfRule>
    <cfRule type="cellIs" dxfId="3534" priority="139" stopIfTrue="1" operator="greaterThan">
      <formula>$F77</formula>
    </cfRule>
  </conditionalFormatting>
  <conditionalFormatting sqref="K10:K25">
    <cfRule type="cellIs" dxfId="3533" priority="5" operator="greaterThan">
      <formula>6.4</formula>
    </cfRule>
    <cfRule type="cellIs" dxfId="3532" priority="4" operator="lessThan">
      <formula>4</formula>
    </cfRule>
    <cfRule type="cellIs" dxfId="3531" priority="3" operator="greaterThan">
      <formula>6</formula>
    </cfRule>
  </conditionalFormatting>
  <conditionalFormatting sqref="K57:K64 K68:N74 K75 M75:N75 K76:N76">
    <cfRule type="cellIs" dxfId="3530" priority="116" stopIfTrue="1" operator="lessThan">
      <formula>100%</formula>
    </cfRule>
  </conditionalFormatting>
  <conditionalFormatting sqref="K79:K84">
    <cfRule type="cellIs" dxfId="3529" priority="183" stopIfTrue="1" operator="lessThan">
      <formula>100%</formula>
    </cfRule>
  </conditionalFormatting>
  <conditionalFormatting sqref="K86:K87">
    <cfRule type="cellIs" dxfId="3528" priority="190" stopIfTrue="1" operator="lessThan">
      <formula>100%</formula>
    </cfRule>
  </conditionalFormatting>
  <conditionalFormatting sqref="L10:L21">
    <cfRule type="cellIs" dxfId="3527" priority="9" operator="greaterThan">
      <formula>65</formula>
    </cfRule>
    <cfRule type="cellIs" dxfId="3526" priority="8" operator="between">
      <formula>61</formula>
      <formula>65</formula>
    </cfRule>
  </conditionalFormatting>
  <conditionalFormatting sqref="L22:M24 L25">
    <cfRule type="cellIs" dxfId="3525" priority="66" operator="greaterThan">
      <formula>65</formula>
    </cfRule>
    <cfRule type="cellIs" dxfId="3524" priority="65" operator="between">
      <formula>61</formula>
      <formula>65</formula>
    </cfRule>
  </conditionalFormatting>
  <conditionalFormatting sqref="L28:M39">
    <cfRule type="cellIs" dxfId="3523" priority="84" operator="lessThan">
      <formula>97.95</formula>
    </cfRule>
  </conditionalFormatting>
  <conditionalFormatting sqref="L43:N43">
    <cfRule type="cellIs" dxfId="3522" priority="85" operator="notEqual">
      <formula>#REF!</formula>
    </cfRule>
  </conditionalFormatting>
  <conditionalFormatting sqref="L77:N77">
    <cfRule type="cellIs" dxfId="3521" priority="141" stopIfTrue="1" operator="lessThan">
      <formula>100%</formula>
    </cfRule>
  </conditionalFormatting>
  <conditionalFormatting sqref="L79:N87">
    <cfRule type="cellIs" dxfId="3520" priority="168" stopIfTrue="1" operator="lessThan">
      <formula>100%</formula>
    </cfRule>
  </conditionalFormatting>
  <conditionalFormatting sqref="M10:M21">
    <cfRule type="expression" dxfId="3519" priority="10">
      <formula>IF(+(IF(M10&lt;U10,0,IF(M10&gt;V10,0,1)))=0,1)</formula>
    </cfRule>
  </conditionalFormatting>
  <conditionalFormatting sqref="M22:M24 G10:H16 G22:H25">
    <cfRule type="expression" dxfId="3518" priority="69">
      <formula>IF(+(IF(G10&lt;#REF!,0,IF(G10&gt;#REF!,0,1)))=0,1)</formula>
    </cfRule>
  </conditionalFormatting>
  <conditionalFormatting sqref="M25:N25">
    <cfRule type="expression" dxfId="3517" priority="198">
      <formula>IF(+(IF(M25&lt;#REF!,0,IF(M25&gt;#REF!,0,1)))=0,1)</formula>
    </cfRule>
  </conditionalFormatting>
  <conditionalFormatting sqref="N10:N24">
    <cfRule type="expression" dxfId="3516" priority="1">
      <formula>IF(+(IF(N10&lt;W10,0,IF(N10&gt;X10,0,1)))=0,1)</formula>
    </cfRule>
  </conditionalFormatting>
  <conditionalFormatting sqref="P6">
    <cfRule type="cellIs" dxfId="3515" priority="164" operator="greaterThanOrEqual">
      <formula>19</formula>
    </cfRule>
  </conditionalFormatting>
  <dataValidations count="1">
    <dataValidation type="list" allowBlank="1" showInputMessage="1" showErrorMessage="1" sqref="R8" xr:uid="{F1E9CC38-F22E-49D4-92FB-C1B748EEFDB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1C41-5C4A-4AFB-AA82-270563422582}">
  <sheetPr>
    <pageSetUpPr fitToPage="1"/>
  </sheetPr>
  <dimension ref="A1:BE76"/>
  <sheetViews>
    <sheetView topLeftCell="A7" zoomScale="80" zoomScaleNormal="80" workbookViewId="0">
      <selection activeCell="H19" sqref="H19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45967</v>
      </c>
      <c r="J4" s="398" t="s">
        <v>166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9" t="s">
        <v>6</v>
      </c>
      <c r="C10" s="366" t="str">
        <f>[24]Brewhouse!$A917</f>
        <v>CA802</v>
      </c>
      <c r="D10" s="279">
        <f>[24]Brewhouse!$AF917</f>
        <v>51.6</v>
      </c>
      <c r="E10" s="279">
        <f>[24]Brewhouse!$AI917</f>
        <v>51.06</v>
      </c>
      <c r="F10" s="278">
        <f>[24]Brewhouse!$V917</f>
        <v>63</v>
      </c>
      <c r="G10" s="279">
        <f>[24]Brewhouse!AG917</f>
        <v>11.5</v>
      </c>
      <c r="H10" s="396">
        <v>11.4</v>
      </c>
      <c r="I10" s="368">
        <f>[24]Brewhouse!$AU917</f>
        <v>97.27071486207636</v>
      </c>
      <c r="J10" s="368">
        <f>[24]Brewhouse!$AV917</f>
        <v>97.726524037938034</v>
      </c>
      <c r="K10" s="281">
        <f>[24]Brewhouse!$Q917</f>
        <v>3.9999999999999951</v>
      </c>
      <c r="L10" s="276">
        <f>[24]Brewhouse!$P917</f>
        <v>60</v>
      </c>
      <c r="M10" s="397">
        <f>[24]Brewhouse!$U917-[24]Brewhouse!$T917</f>
        <v>0.13263888888888892</v>
      </c>
      <c r="N10" s="370">
        <f>[24]Brewhouse!$Z917</f>
        <v>0.25694444444444448</v>
      </c>
      <c r="O10" s="421" t="str">
        <f>[24]Brewhouse!$AX917</f>
        <v>K. Benjamin</v>
      </c>
      <c r="P10" s="418"/>
      <c r="R10" s="277" t="str">
        <f t="shared" ref="R10:R20" si="0">B10</f>
        <v>CARIB</v>
      </c>
      <c r="S10" s="296">
        <f t="shared" ref="S10:S38" si="1">VLOOKUP($B10,$R$3:$X$9,2,FALSE)</f>
        <v>11.6</v>
      </c>
      <c r="T10" s="296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296">
        <f t="shared" ref="Z10:Z38" si="8">VLOOKUP($B10,$R$3:$Z$9,9,FALSE)</f>
        <v>60</v>
      </c>
    </row>
    <row r="11" spans="2:29" ht="15" customHeight="1">
      <c r="B11" s="29" t="s">
        <v>6</v>
      </c>
      <c r="C11" s="366" t="str">
        <f>[24]Brewhouse!$A918</f>
        <v>CA803</v>
      </c>
      <c r="D11" s="279">
        <f>[24]Brewhouse!$AF918</f>
        <v>52.7</v>
      </c>
      <c r="E11" s="279">
        <f>[24]Brewhouse!$AI918</f>
        <v>52</v>
      </c>
      <c r="F11" s="278">
        <f>[24]Brewhouse!$V918</f>
        <v>65</v>
      </c>
      <c r="G11" s="279">
        <f>[24]Brewhouse!AG918</f>
        <v>11.9</v>
      </c>
      <c r="H11" s="396">
        <v>11.8</v>
      </c>
      <c r="I11" s="368">
        <f>[24]Brewhouse!$AU918</f>
        <v>98.939207159665088</v>
      </c>
      <c r="J11" s="368">
        <f>[24]Brewhouse!$AV918</f>
        <v>99.402872245770709</v>
      </c>
      <c r="K11" s="281">
        <f>[24]Brewhouse!$Q918</f>
        <v>1.9245283018867849</v>
      </c>
      <c r="L11" s="276">
        <f>[24]Brewhouse!$P918</f>
        <v>60</v>
      </c>
      <c r="M11" s="397">
        <f>[24]Brewhouse!$U918-[24]Brewhouse!$T918</f>
        <v>0.12986111111111109</v>
      </c>
      <c r="N11" s="370">
        <f>[24]Brewhouse!$Z918</f>
        <v>0.25972222222222219</v>
      </c>
      <c r="O11" s="421" t="str">
        <f>[24]Brewhouse!$AX918</f>
        <v>K. Benjamin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29" t="s">
        <v>6</v>
      </c>
      <c r="C12" s="366" t="str">
        <f>[24]Brewhouse!$A919</f>
        <v>CA804</v>
      </c>
      <c r="D12" s="279">
        <f>[24]Brewhouse!$AF919</f>
        <v>53</v>
      </c>
      <c r="E12" s="279">
        <f>[24]Brewhouse!$AI919</f>
        <v>51.5</v>
      </c>
      <c r="F12" s="278">
        <f>[24]Brewhouse!$V919</f>
        <v>65</v>
      </c>
      <c r="G12" s="279">
        <f>[24]Brewhouse!AG919</f>
        <v>11.6</v>
      </c>
      <c r="H12" s="396">
        <v>11.6</v>
      </c>
      <c r="I12" s="368">
        <f>[24]Brewhouse!$AU919</f>
        <v>98.641910696180688</v>
      </c>
      <c r="J12" s="368">
        <f>[24]Brewhouse!$AV919</f>
        <v>99.104256801716701</v>
      </c>
      <c r="K12" s="281">
        <f>[24]Brewhouse!$Q919</f>
        <v>1.3584905660377338</v>
      </c>
      <c r="L12" s="276">
        <f>[24]Brewhouse!$P919</f>
        <v>60</v>
      </c>
      <c r="M12" s="397">
        <f>[24]Brewhouse!$U919-[24]Brewhouse!$T919</f>
        <v>0.11180555555555555</v>
      </c>
      <c r="N12" s="370">
        <f>[24]Brewhouse!$Z919</f>
        <v>0.26944444444444443</v>
      </c>
      <c r="O12" s="421" t="str">
        <f>[24]Brewhouse!$AX919</f>
        <v>R. Regis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29" t="s">
        <v>6</v>
      </c>
      <c r="C13" s="366" t="str">
        <f>[24]Brewhouse!$A920</f>
        <v>CA805</v>
      </c>
      <c r="D13" s="279">
        <f>[24]Brewhouse!$AF920</f>
        <v>50.9</v>
      </c>
      <c r="E13" s="279">
        <f>[24]Brewhouse!$AI920</f>
        <v>51.1</v>
      </c>
      <c r="F13" s="278">
        <f>[24]Brewhouse!$V920</f>
        <v>70</v>
      </c>
      <c r="G13" s="279">
        <f>[24]Brewhouse!AG920</f>
        <v>11.6</v>
      </c>
      <c r="H13" s="396">
        <v>11.6</v>
      </c>
      <c r="I13" s="368">
        <f>[24]Brewhouse!$AU920</f>
        <v>98.117301365224009</v>
      </c>
      <c r="J13" s="368">
        <f>[24]Brewhouse!$AV920</f>
        <v>98.577114702039438</v>
      </c>
      <c r="K13" s="281">
        <f>[24]Brewhouse!$Q920</f>
        <v>5.4990583804143158</v>
      </c>
      <c r="L13" s="276">
        <f>[24]Brewhouse!$P920</f>
        <v>60</v>
      </c>
      <c r="M13" s="397">
        <f>[24]Brewhouse!$U920-[24]Brewhouse!$T920</f>
        <v>0.11805555555555558</v>
      </c>
      <c r="N13" s="370">
        <f>[24]Brewhouse!$Z920</f>
        <v>0.25694444444444448</v>
      </c>
      <c r="O13" s="421" t="str">
        <f>[24]Brewhouse!$AX920</f>
        <v>R. Regis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29" t="s">
        <v>6</v>
      </c>
      <c r="C14" s="366" t="str">
        <f>[24]Brewhouse!$A921</f>
        <v>CA806</v>
      </c>
      <c r="D14" s="279">
        <f>[24]Brewhouse!$AF921</f>
        <v>51.7</v>
      </c>
      <c r="E14" s="279">
        <f>[24]Brewhouse!$AI921</f>
        <v>52.1</v>
      </c>
      <c r="F14" s="278">
        <f>[24]Brewhouse!$V921</f>
        <v>73</v>
      </c>
      <c r="G14" s="279">
        <f>[24]Brewhouse!AG921</f>
        <v>11.6</v>
      </c>
      <c r="H14" s="396">
        <v>11.7</v>
      </c>
      <c r="I14" s="368">
        <f>[24]Brewhouse!$AU921</f>
        <v>99.668456836647309</v>
      </c>
      <c r="J14" s="368">
        <f>[24]Brewhouse!$AV921</f>
        <v>100.13565186074651</v>
      </c>
      <c r="K14" s="281">
        <f>[24]Brewhouse!$Q921</f>
        <v>3.992467043314496</v>
      </c>
      <c r="L14" s="276">
        <f>[24]Brewhouse!$P921</f>
        <v>60</v>
      </c>
      <c r="M14" s="397">
        <f>[24]Brewhouse!$U921-[24]Brewhouse!$T921</f>
        <v>0.12013888888888891</v>
      </c>
      <c r="N14" s="370">
        <f>[24]Brewhouse!$Z921</f>
        <v>0.26527777777777778</v>
      </c>
      <c r="O14" s="421" t="str">
        <f>[24]Brewhouse!$AX921</f>
        <v>R. Regis</v>
      </c>
      <c r="P14" s="418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" customHeight="1">
      <c r="B15" s="29" t="s">
        <v>6</v>
      </c>
      <c r="C15" s="366" t="str">
        <f>[24]Brewhouse!$A922</f>
        <v>CA807</v>
      </c>
      <c r="D15" s="279">
        <f>[24]Brewhouse!$AF922</f>
        <v>49.3</v>
      </c>
      <c r="E15" s="279">
        <f>[24]Brewhouse!$AI922</f>
        <v>47.2</v>
      </c>
      <c r="F15" s="278">
        <f>[24]Brewhouse!$V922</f>
        <v>68</v>
      </c>
      <c r="G15" s="279">
        <f>[24]Brewhouse!AG922</f>
        <v>11.9</v>
      </c>
      <c r="H15" s="396">
        <v>12</v>
      </c>
      <c r="I15" s="368">
        <f>[24]Brewhouse!$AU922</f>
        <v>92.753165680823599</v>
      </c>
      <c r="J15" s="368">
        <f>[24]Brewhouse!$AV922</f>
        <v>93.187945337807278</v>
      </c>
      <c r="K15" s="281">
        <f>[24]Brewhouse!$Q922</f>
        <v>8.5122410546139413</v>
      </c>
      <c r="L15" s="276">
        <f>[24]Brewhouse!$P922</f>
        <v>61</v>
      </c>
      <c r="M15" s="397">
        <f>[24]Brewhouse!$U922-[24]Brewhouse!$T922</f>
        <v>0.11319444444444449</v>
      </c>
      <c r="N15" s="370">
        <f>[24]Brewhouse!$Z922</f>
        <v>0.23750000000000004</v>
      </c>
      <c r="O15" s="421" t="str">
        <f>[24]Brewhouse!$AX922</f>
        <v>R.Sookram</v>
      </c>
      <c r="P15" s="418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" customHeight="1">
      <c r="B16" s="29" t="s">
        <v>6</v>
      </c>
      <c r="C16" s="366" t="str">
        <f>[24]Brewhouse!$A923</f>
        <v>CA808</v>
      </c>
      <c r="D16" s="279">
        <f>[24]Brewhouse!$AF923</f>
        <v>51</v>
      </c>
      <c r="E16" s="279">
        <f>[24]Brewhouse!$AI923</f>
        <v>49.2</v>
      </c>
      <c r="F16" s="278">
        <f>[24]Brewhouse!$V923</f>
        <v>62</v>
      </c>
      <c r="G16" s="279">
        <f>[24]Brewhouse!AG923</f>
        <v>11.8</v>
      </c>
      <c r="H16" s="396">
        <v>17</v>
      </c>
      <c r="I16" s="368">
        <f>[24]Brewhouse!$AU923</f>
        <v>95.829153858598943</v>
      </c>
      <c r="J16" s="368">
        <f>[24]Brewhouse!$AV923</f>
        <v>96.278352183398454</v>
      </c>
      <c r="K16" s="281">
        <f>[24]Brewhouse!$Q923</f>
        <v>5.3107344632768365</v>
      </c>
      <c r="L16" s="276">
        <f>[24]Brewhouse!$P923</f>
        <v>58</v>
      </c>
      <c r="M16" s="397">
        <f>[24]Brewhouse!$U923-[24]Brewhouse!$T923</f>
        <v>0.10763888888888895</v>
      </c>
      <c r="N16" s="370">
        <f>[24]Brewhouse!$Z923</f>
        <v>0.24513888888888891</v>
      </c>
      <c r="O16" s="421" t="str">
        <f>[24]Brewhouse!$AX923</f>
        <v>R.Sookram</v>
      </c>
      <c r="P16" s="418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7" ht="15" customHeight="1">
      <c r="B17" s="29" t="s">
        <v>6</v>
      </c>
      <c r="C17" s="366" t="str">
        <f>[24]Brewhouse!$A924</f>
        <v>CA809</v>
      </c>
      <c r="D17" s="279">
        <f>[24]Brewhouse!$AF924</f>
        <v>51.2</v>
      </c>
      <c r="E17" s="279">
        <f>[24]Brewhouse!$AI924</f>
        <v>49.8</v>
      </c>
      <c r="F17" s="278">
        <f>[24]Brewhouse!$V924</f>
        <v>56</v>
      </c>
      <c r="G17" s="279">
        <f>[24]Brewhouse!AG924</f>
        <v>11.6</v>
      </c>
      <c r="H17" s="396">
        <v>11.8</v>
      </c>
      <c r="I17" s="368">
        <f>[24]Brewhouse!$AU924</f>
        <v>94.918436777058986</v>
      </c>
      <c r="J17" s="368">
        <f>[24]Brewhouse!$AV924</f>
        <v>95.363472388705873</v>
      </c>
      <c r="K17" s="281">
        <f>[24]Brewhouse!$Q924</f>
        <v>4.9340866290018788</v>
      </c>
      <c r="L17" s="276">
        <f>[24]Brewhouse!$P924</f>
        <v>60</v>
      </c>
      <c r="M17" s="397">
        <f>[24]Brewhouse!$U924-[24]Brewhouse!$T924</f>
        <v>0.1020833333333333</v>
      </c>
      <c r="N17" s="370">
        <f>[24]Brewhouse!$Z924</f>
        <v>0.24930555555555556</v>
      </c>
      <c r="O17" s="421" t="str">
        <f>[24]Brewhouse!$AX924</f>
        <v>R.Sookram</v>
      </c>
      <c r="P17" s="418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7" ht="15" customHeight="1">
      <c r="B18" s="29" t="s">
        <v>6</v>
      </c>
      <c r="C18" s="366" t="str">
        <f>[24]Brewhouse!$A925</f>
        <v>CA810</v>
      </c>
      <c r="D18" s="279">
        <f>[24]Brewhouse!$AF925</f>
        <v>50.6</v>
      </c>
      <c r="E18" s="279">
        <f>[24]Brewhouse!$AI925</f>
        <v>51.3</v>
      </c>
      <c r="F18" s="278">
        <f>[24]Brewhouse!$V925</f>
        <v>59</v>
      </c>
      <c r="G18" s="279">
        <f>[24]Brewhouse!AG925</f>
        <v>12</v>
      </c>
      <c r="H18" s="396">
        <v>12</v>
      </c>
      <c r="I18" s="368">
        <f>[24]Brewhouse!$AU925</f>
        <v>101.20314265657365</v>
      </c>
      <c r="J18" s="368">
        <f>[24]Brewhouse!$AV925</f>
        <v>101.67768239066284</v>
      </c>
      <c r="K18" s="281">
        <f>[24]Brewhouse!$Q925</f>
        <v>7.0188679245282994</v>
      </c>
      <c r="L18" s="276">
        <f>[24]Brewhouse!$P925</f>
        <v>59</v>
      </c>
      <c r="M18" s="397">
        <f>[24]Brewhouse!$U925-[24]Brewhouse!$T925</f>
        <v>0.11111111111111116</v>
      </c>
      <c r="N18" s="370">
        <f>[24]Brewhouse!$Z925</f>
        <v>0.25416666666666676</v>
      </c>
      <c r="O18" s="421" t="str">
        <f>[24]Brewhouse!$AX925</f>
        <v>K. Benjamin</v>
      </c>
      <c r="P18" s="418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7" ht="15" customHeight="1">
      <c r="B19" s="29" t="s">
        <v>6</v>
      </c>
      <c r="C19" s="366" t="str">
        <f>[24]Brewhouse!$A926</f>
        <v>CA811</v>
      </c>
      <c r="D19" s="279">
        <f>[24]Brewhouse!$AF926</f>
        <v>50.1</v>
      </c>
      <c r="E19" s="279">
        <f>[24]Brewhouse!$AI926</f>
        <v>49</v>
      </c>
      <c r="F19" s="278">
        <f>[24]Brewhouse!$V926</f>
        <v>60</v>
      </c>
      <c r="G19" s="279">
        <f>[24]Brewhouse!AG926</f>
        <v>11.7</v>
      </c>
      <c r="H19" s="396">
        <v>11.7</v>
      </c>
      <c r="I19" s="368">
        <f>[24]Brewhouse!$AU926</f>
        <v>94.010975926941782</v>
      </c>
      <c r="J19" s="368">
        <f>[24]Brewhouse!$AV926</f>
        <v>94.451826545473779</v>
      </c>
      <c r="K19" s="281">
        <f>[24]Brewhouse!$Q926</f>
        <v>6.8301886792452775</v>
      </c>
      <c r="L19" s="276">
        <f>[24]Brewhouse!$P926</f>
        <v>59</v>
      </c>
      <c r="M19" s="397">
        <f>[24]Brewhouse!$U926-[24]Brewhouse!$T926</f>
        <v>0.11388888888888871</v>
      </c>
      <c r="N19" s="370">
        <f>[24]Brewhouse!$Z926</f>
        <v>0.24444444444444435</v>
      </c>
      <c r="O19" s="421" t="str">
        <f>[24]Brewhouse!$AX926</f>
        <v>K. Benjamin</v>
      </c>
      <c r="P19" s="418"/>
      <c r="R19" s="277" t="str">
        <f t="shared" si="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7" ht="1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ref="R21:R38" si="9">B21</f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" customHeight="1">
      <c r="B22" s="33"/>
      <c r="C22" s="366"/>
      <c r="D22" s="279"/>
      <c r="E22" s="279"/>
      <c r="F22" s="278"/>
      <c r="G22" s="279"/>
      <c r="H22" s="396"/>
      <c r="I22" s="420"/>
      <c r="J22" s="420"/>
      <c r="K22" s="281"/>
      <c r="L22" s="276"/>
      <c r="M22" s="374"/>
      <c r="N22" s="370"/>
      <c r="O22" s="421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" customHeight="1">
      <c r="B23" s="33"/>
      <c r="C23" s="366"/>
      <c r="D23" s="279"/>
      <c r="E23" s="279"/>
      <c r="F23" s="278"/>
      <c r="G23" s="279"/>
      <c r="H23" s="396"/>
      <c r="I23" s="420"/>
      <c r="J23" s="420"/>
      <c r="K23" s="281"/>
      <c r="L23" s="276"/>
      <c r="M23" s="374"/>
      <c r="N23" s="370"/>
      <c r="O23" s="421"/>
      <c r="P23" s="418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12"/>
      <c r="J25" s="512"/>
      <c r="K25" s="512"/>
      <c r="L25" s="512"/>
      <c r="M25" s="512"/>
      <c r="N25" s="512"/>
      <c r="O25" s="1"/>
      <c r="P25" s="12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.75" customHeight="1" thickBot="1">
      <c r="B26" s="388" t="s">
        <v>162</v>
      </c>
      <c r="C26" s="388"/>
      <c r="D26" s="490" t="s">
        <v>35</v>
      </c>
      <c r="E26" s="491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5" customHeight="1">
      <c r="A27" s="28"/>
      <c r="B27" s="578" t="str">
        <f>I28</f>
        <v>STAG</v>
      </c>
      <c r="C27" s="362">
        <f>[25]Process!D424</f>
        <v>11.8</v>
      </c>
      <c r="D27" s="516">
        <v>12.06</v>
      </c>
      <c r="E27" s="517"/>
      <c r="F27" s="294"/>
      <c r="G27" s="294"/>
      <c r="H27" s="348"/>
      <c r="I27" s="29" t="s">
        <v>6</v>
      </c>
      <c r="J27" s="280">
        <f>AVERAGE(I10:I20)</f>
        <v>97.135246581979047</v>
      </c>
      <c r="K27" s="284">
        <f>COUNTA([24]Brewhouse!$A$914:$A$926)</f>
        <v>13</v>
      </c>
      <c r="L27" s="305">
        <f>AVERAGE([24]Brewhouse!$AU$914:$AU$926)</f>
        <v>97.392786742088063</v>
      </c>
      <c r="M27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$926)</f>
        <v>97.70862239892412</v>
      </c>
      <c r="N27" s="30">
        <v>98</v>
      </c>
      <c r="O27" s="11"/>
      <c r="P27" s="31"/>
      <c r="R27" s="277" t="str">
        <f t="shared" si="9"/>
        <v>STAG</v>
      </c>
      <c r="S27" s="296">
        <f t="shared" si="1"/>
        <v>11.6</v>
      </c>
      <c r="T27" s="296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296">
        <f t="shared" si="8"/>
        <v>60</v>
      </c>
    </row>
    <row r="28" spans="1:27" ht="15" customHeight="1">
      <c r="A28" s="28"/>
      <c r="B28" s="579"/>
      <c r="C28" s="362">
        <f>[25]Process!D425</f>
        <v>11.9</v>
      </c>
      <c r="D28" s="518"/>
      <c r="E28" s="519"/>
      <c r="F28" s="294"/>
      <c r="G28" s="294"/>
      <c r="H28" s="348"/>
      <c r="I28" s="33" t="s">
        <v>9</v>
      </c>
      <c r="J28" s="280"/>
      <c r="K28" s="284"/>
      <c r="L28" s="302"/>
      <c r="M28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$443)</f>
        <v>97.924881193248822</v>
      </c>
      <c r="N28" s="30">
        <v>98</v>
      </c>
      <c r="O28" s="11"/>
      <c r="P28" s="31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79"/>
      <c r="C29" s="362">
        <f>[25]Process!D426</f>
        <v>11.9</v>
      </c>
      <c r="D29" s="566">
        <v>11.92</v>
      </c>
      <c r="E29" s="567"/>
      <c r="F29" s="294"/>
      <c r="G29" s="294"/>
      <c r="H29" s="348"/>
      <c r="I29" s="34" t="s">
        <v>12</v>
      </c>
      <c r="J29" s="280"/>
      <c r="K29" s="284"/>
      <c r="L29" s="302"/>
      <c r="M29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29" s="30">
        <v>98</v>
      </c>
      <c r="O29" s="11"/>
      <c r="P29" s="31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79"/>
      <c r="C30" s="362">
        <f>[25]Process!D427</f>
        <v>11.8</v>
      </c>
      <c r="D30" s="531"/>
      <c r="E30" s="519"/>
      <c r="F30" s="294"/>
      <c r="G30" s="294"/>
      <c r="H30" s="348"/>
      <c r="I30" s="22" t="s">
        <v>33</v>
      </c>
      <c r="J30" s="280"/>
      <c r="K30" s="284">
        <f>COUNTA([23]Brewhouse!$A$97:$A$104)</f>
        <v>8</v>
      </c>
      <c r="L30" s="302">
        <f>AVERAGE([23]Brewhouse!$AV$97:$AV$104)</f>
        <v>98.419138016287462</v>
      </c>
      <c r="M30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30" s="30">
        <v>98</v>
      </c>
      <c r="O30" s="11"/>
      <c r="P30" s="31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7" ht="14.65" customHeight="1">
      <c r="A31" s="28"/>
      <c r="B31" s="579"/>
      <c r="C31" s="362">
        <f>[25]Process!D428</f>
        <v>11.8</v>
      </c>
      <c r="D31" s="566">
        <v>12.01</v>
      </c>
      <c r="E31" s="567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9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7" ht="14.65" customHeight="1">
      <c r="A32" s="28"/>
      <c r="B32" s="579"/>
      <c r="C32" s="362">
        <f>[25]Process!D429</f>
        <v>12.2</v>
      </c>
      <c r="D32" s="531"/>
      <c r="E32" s="519"/>
      <c r="F32" s="417"/>
      <c r="G32" s="294"/>
      <c r="H32" s="348"/>
      <c r="I32" s="36" t="s">
        <v>15</v>
      </c>
      <c r="J32" s="323"/>
      <c r="K32" s="284"/>
      <c r="L32" s="302"/>
      <c r="M32" s="302">
        <f>AVERAGE([27]Brewhouse!$AT$4:$AT$11,[27]Brewhouse!$AT$13:$AT$16,[27]Brewhouse!$AT$18:$AT$21,[27]Brewhouse!$AT$26,[27]Brewhouse!$AT$28:$AT$35)</f>
        <v>94.794664331624134</v>
      </c>
      <c r="N32" s="30">
        <v>98</v>
      </c>
      <c r="O32" s="11"/>
      <c r="P32" s="31"/>
      <c r="R32" s="277">
        <f t="shared" si="9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4.65" customHeight="1">
      <c r="A33" s="28"/>
      <c r="B33" s="579"/>
      <c r="C33" s="362">
        <f>[25]Process!D430</f>
        <v>12</v>
      </c>
      <c r="D33" s="566">
        <v>12</v>
      </c>
      <c r="E33" s="567"/>
      <c r="F33" s="417"/>
      <c r="G33" s="294"/>
      <c r="H33" s="348"/>
      <c r="I33" s="37" t="s">
        <v>16</v>
      </c>
      <c r="J33" s="323"/>
      <c r="K33" s="284">
        <f>COUNTA([22]Brewhouse!$A$94:$A$97)</f>
        <v>4</v>
      </c>
      <c r="L33" s="302">
        <f>AVERAGE([22]Brewhouse!$AY$94:$AY$97)</f>
        <v>95.326767995731288</v>
      </c>
      <c r="M33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3" s="30">
        <v>98</v>
      </c>
      <c r="O33" s="11"/>
      <c r="P33" s="31" t="s">
        <v>41</v>
      </c>
      <c r="R33" s="277">
        <f t="shared" si="9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4.65" customHeight="1">
      <c r="A34" s="28"/>
      <c r="B34" s="579"/>
      <c r="C34" s="362">
        <f>[25]Process!D431</f>
        <v>11.7</v>
      </c>
      <c r="D34" s="531"/>
      <c r="E34" s="519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AVERAGE([28]Brewhouse!$AU$5:$AU$8,[28]Brewhouse!$AU$10:$AU$13,[22]Brewhouse!$AY$75:$AY$77)</f>
        <v>94.749192473706671</v>
      </c>
      <c r="N34" s="30">
        <v>98</v>
      </c>
      <c r="O34" s="11"/>
      <c r="P34" s="31"/>
      <c r="R34" s="277">
        <f t="shared" si="9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4.65" customHeight="1">
      <c r="A35" s="28"/>
      <c r="B35" s="579"/>
      <c r="C35" s="349">
        <f>[25]Process!D432</f>
        <v>11.8</v>
      </c>
      <c r="D35" s="566">
        <v>12.06</v>
      </c>
      <c r="E35" s="567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>
        <f t="shared" si="9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5" customHeight="1" thickBot="1">
      <c r="A36" s="28"/>
      <c r="B36" s="579"/>
      <c r="C36" s="349">
        <f>[25]Process!D433</f>
        <v>11.8</v>
      </c>
      <c r="D36" s="531"/>
      <c r="E36" s="519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>
        <f t="shared" si="9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5" customHeight="1" thickBot="1">
      <c r="A37" s="28"/>
      <c r="B37" s="579"/>
      <c r="C37" s="349">
        <f>[25]Process!D434</f>
        <v>12</v>
      </c>
      <c r="D37" s="516">
        <v>12.06</v>
      </c>
      <c r="E37" s="517"/>
      <c r="F37" s="294"/>
      <c r="G37" s="294"/>
      <c r="H37" s="348"/>
      <c r="I37" s="1"/>
      <c r="J37" s="39"/>
      <c r="K37" s="404">
        <f>SUM(K27:K36)</f>
        <v>25</v>
      </c>
      <c r="L37" s="405">
        <f>((L27*K27)+(L28*K28)+(L29*K29)+(L30*K30)+(L31*K31)+(K34*L34)+(L32*K32)+(L33*K33)+(L36*K36))/(K37)</f>
        <v>97.390656150414785</v>
      </c>
      <c r="M37" s="405">
        <f>AVERAGE('[31]Jan 31st'!$L$65,'[32]Feb 28th'!$L$35,'[33]Mar. 31st'!$L$35,'[34]Apr. 30th'!$L$45,'[35]May 30th'!$L$37,'[36]June 30th'!$L$57,'[37]July 29th '!$L$44,'[38]Aug 29th'!$L$29,'[39]Sept 30th'!$L$35,L37)</f>
        <v>97.557015854723275</v>
      </c>
      <c r="N37" s="40">
        <v>98</v>
      </c>
      <c r="O37" s="11"/>
      <c r="P37" s="31"/>
      <c r="R37" s="277">
        <f t="shared" si="9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AA37" s="296"/>
    </row>
    <row r="38" spans="1:56" ht="15.75" thickBot="1">
      <c r="B38" s="580"/>
      <c r="C38" s="350">
        <f>[25]Process!D435</f>
        <v>11.7</v>
      </c>
      <c r="D38" s="518"/>
      <c r="E38" s="519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9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  <c r="AA38" s="296"/>
    </row>
    <row r="39" spans="1:56" ht="15.75" thickBot="1">
      <c r="B39" s="513"/>
      <c r="C39" s="362"/>
      <c r="D39" s="529"/>
      <c r="E39" s="530"/>
      <c r="F39" s="294"/>
      <c r="G39" s="42"/>
      <c r="H39" s="41"/>
      <c r="I39" s="42"/>
      <c r="J39" s="565" t="s">
        <v>129</v>
      </c>
      <c r="K39" s="565"/>
      <c r="L39" s="294"/>
      <c r="M39" s="294"/>
      <c r="N39" s="294"/>
      <c r="O39" s="294"/>
      <c r="P39" s="12"/>
    </row>
    <row r="40" spans="1:56" ht="15.75" thickBot="1">
      <c r="B40" s="514"/>
      <c r="C40" s="362"/>
      <c r="D40" s="531"/>
      <c r="E40" s="519"/>
      <c r="F40" s="294"/>
      <c r="G40" s="42"/>
      <c r="H40" s="41"/>
      <c r="I40" s="42"/>
      <c r="J40" s="292" t="s">
        <v>17</v>
      </c>
      <c r="K40" s="293" t="s">
        <v>147</v>
      </c>
      <c r="L40" s="533" t="s">
        <v>136</v>
      </c>
      <c r="M40" s="533"/>
      <c r="N40" s="534"/>
      <c r="O40" s="294"/>
      <c r="P40" s="12"/>
    </row>
    <row r="41" spans="1:56" ht="15" customHeight="1" thickBot="1">
      <c r="B41" s="514"/>
      <c r="C41" s="349"/>
      <c r="D41" s="566"/>
      <c r="E41" s="567"/>
      <c r="F41" s="294"/>
      <c r="G41" s="42"/>
      <c r="H41" s="41"/>
      <c r="I41" s="42"/>
      <c r="J41" s="287" t="s">
        <v>6</v>
      </c>
      <c r="K41" s="324">
        <v>10</v>
      </c>
      <c r="L41" s="343" t="s">
        <v>37</v>
      </c>
      <c r="M41" s="307" t="s">
        <v>38</v>
      </c>
      <c r="N41" s="307" t="s">
        <v>84</v>
      </c>
      <c r="O41" s="294"/>
      <c r="P41" s="12"/>
    </row>
    <row r="42" spans="1:56" ht="15.75" customHeight="1" thickBot="1">
      <c r="B42" s="514"/>
      <c r="C42" s="349"/>
      <c r="D42" s="531"/>
      <c r="E42" s="519"/>
      <c r="F42" s="294"/>
      <c r="G42" s="42"/>
      <c r="H42" s="41"/>
      <c r="I42" s="42"/>
      <c r="J42" s="345" t="s">
        <v>9</v>
      </c>
      <c r="K42" s="324"/>
      <c r="L42" s="344">
        <f>AVERAGE('Nov 5th'!K51,'Nov 4th'!K52,Nov.3rd!K52)</f>
        <v>8.3333333333333339</v>
      </c>
      <c r="M42" s="325">
        <f>AVERAGE('[31]Jan 29th '!$M$70,'[32]Feb 28th'!$L$40,'[33]Mar. 31st'!$L$40,'[34]Apr. 30th'!$L$50,'[35]May 30th'!$L$42,'[36]June 30th'!$L$62,'[37]July 29th '!$L$49,'[38]Aug 29th'!$L$34,'[39]Sept 30th'!$L$40,[40]Oct.31st!$L$43,L42)</f>
        <v>7.1787308801038767</v>
      </c>
      <c r="N42" s="416">
        <v>9.1999999999999993</v>
      </c>
      <c r="O42" s="294"/>
      <c r="P42" s="12"/>
    </row>
    <row r="43" spans="1:56" ht="15" customHeight="1">
      <c r="B43" s="514"/>
      <c r="C43" s="349"/>
      <c r="D43" s="566"/>
      <c r="E43" s="567"/>
      <c r="F43" s="294"/>
      <c r="G43" s="42"/>
      <c r="H43" s="41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14"/>
      <c r="C44" s="349"/>
      <c r="D44" s="531"/>
      <c r="E44" s="519"/>
      <c r="F44" s="294"/>
      <c r="G44" s="42"/>
      <c r="H44" s="41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14"/>
      <c r="C45" s="349"/>
      <c r="D45" s="566"/>
      <c r="E45" s="567"/>
      <c r="F45" s="294"/>
      <c r="G45" s="42"/>
      <c r="H45" s="41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14"/>
      <c r="C46" s="349"/>
      <c r="D46" s="531"/>
      <c r="E46" s="519"/>
      <c r="F46" s="294"/>
      <c r="G46" s="42"/>
      <c r="H46" s="41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14"/>
      <c r="C47" s="349"/>
      <c r="D47" s="566"/>
      <c r="E47" s="567"/>
      <c r="F47" s="294"/>
      <c r="G47" s="42"/>
      <c r="H47" s="41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15"/>
      <c r="C48" s="350"/>
      <c r="D48" s="568"/>
      <c r="E48" s="569"/>
      <c r="F48" s="294" t="s">
        <v>168</v>
      </c>
      <c r="G48" s="42"/>
      <c r="H48" s="41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76"/>
      <c r="E49" s="577"/>
      <c r="F49" s="294"/>
      <c r="H49" s="41"/>
      <c r="I49" s="42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1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1"/>
      <c r="I51" s="42"/>
      <c r="J51" s="346" t="s">
        <v>130</v>
      </c>
      <c r="K51" s="324">
        <f>SUM(K41:K50)</f>
        <v>10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41" t="s">
        <v>17</v>
      </c>
      <c r="C54" s="541" t="s">
        <v>44</v>
      </c>
      <c r="D54" s="543" t="s">
        <v>45</v>
      </c>
      <c r="E54" s="498" t="s">
        <v>46</v>
      </c>
      <c r="F54" s="558" t="s">
        <v>47</v>
      </c>
      <c r="G54" s="552" t="s">
        <v>48</v>
      </c>
      <c r="H54" s="541" t="s">
        <v>49</v>
      </c>
      <c r="I54" s="541" t="s">
        <v>50</v>
      </c>
      <c r="J54" s="546" t="s">
        <v>28</v>
      </c>
      <c r="K54" s="496" t="s">
        <v>51</v>
      </c>
      <c r="L54" s="508" t="s">
        <v>52</v>
      </c>
      <c r="M54" s="546" t="s">
        <v>53</v>
      </c>
      <c r="N54" s="13"/>
      <c r="O54" s="13"/>
      <c r="P54" s="50"/>
    </row>
    <row r="55" spans="2:57" ht="28.5" customHeight="1" thickTop="1" thickBot="1">
      <c r="B55" s="542"/>
      <c r="C55" s="542"/>
      <c r="D55" s="544"/>
      <c r="E55" s="545"/>
      <c r="F55" s="559"/>
      <c r="G55" s="553"/>
      <c r="H55" s="560"/>
      <c r="I55" s="560"/>
      <c r="J55" s="547"/>
      <c r="K55" s="556"/>
      <c r="L55" s="557"/>
      <c r="M55" s="547"/>
      <c r="N55" s="13"/>
      <c r="O55" s="13"/>
      <c r="P55" s="50"/>
      <c r="Q55" s="355"/>
      <c r="AB55" s="51">
        <v>43474</v>
      </c>
      <c r="AC55" s="51">
        <v>43475</v>
      </c>
      <c r="AD55" s="51">
        <v>43476</v>
      </c>
      <c r="AE55" s="51">
        <v>43477</v>
      </c>
      <c r="AF55" s="51">
        <v>43478</v>
      </c>
      <c r="AG55" s="51">
        <v>43479</v>
      </c>
      <c r="AH55" s="51">
        <v>43480</v>
      </c>
      <c r="AI55" s="51">
        <v>43481</v>
      </c>
      <c r="AJ55" s="51">
        <v>43482</v>
      </c>
      <c r="AK55" s="51">
        <v>43483</v>
      </c>
      <c r="AL55" s="51">
        <v>43484</v>
      </c>
      <c r="AM55" s="51">
        <v>43485</v>
      </c>
      <c r="AN55" s="51">
        <v>43486</v>
      </c>
      <c r="AO55" s="51">
        <v>43487</v>
      </c>
      <c r="AP55" s="51">
        <v>43488</v>
      </c>
      <c r="AQ55" s="51">
        <v>43489</v>
      </c>
      <c r="AR55" s="51">
        <v>43490</v>
      </c>
      <c r="AS55" s="51">
        <v>43491</v>
      </c>
      <c r="AT55" s="51">
        <v>43492</v>
      </c>
      <c r="AU55" s="51">
        <v>43493</v>
      </c>
      <c r="AV55" s="51">
        <v>43494</v>
      </c>
      <c r="AW55" s="51">
        <v>43495</v>
      </c>
      <c r="AX55" s="51">
        <v>43496</v>
      </c>
    </row>
    <row r="56" spans="2:57" s="54" customFormat="1" ht="43.15" customHeight="1" thickBot="1">
      <c r="B56" s="473" t="str">
        <f>J42</f>
        <v>STAG</v>
      </c>
      <c r="C56" s="442">
        <v>45966</v>
      </c>
      <c r="D56" s="443">
        <f>[41]November_2025!$H$13</f>
        <v>586.40000000000009</v>
      </c>
      <c r="E56" s="444"/>
      <c r="F56" s="445">
        <f>SUM([43]STAG!$L$10:$L$21)</f>
        <v>577.48543689320388</v>
      </c>
      <c r="G56" s="445">
        <f>[41]November_2025!$H$17</f>
        <v>556.1</v>
      </c>
      <c r="H56" s="460"/>
      <c r="I56" s="460"/>
      <c r="J56" s="449" t="s">
        <v>173</v>
      </c>
      <c r="K56" s="450">
        <f>[42]November_2025!$H$25</f>
        <v>0.48780701754385969</v>
      </c>
      <c r="L56" s="459">
        <f>(((D56+E56)-G56)/(D56+E56))*100</f>
        <v>5.1671214188267509</v>
      </c>
      <c r="M56" s="456" t="s">
        <v>167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20.45" hidden="1" customHeight="1" thickBot="1">
      <c r="B57" s="473"/>
      <c r="C57" s="431"/>
      <c r="D57" s="432"/>
      <c r="E57" s="433"/>
      <c r="F57" s="434"/>
      <c r="G57" s="435"/>
      <c r="H57" s="429"/>
      <c r="I57" s="429"/>
      <c r="J57" s="452"/>
      <c r="K57" s="437"/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450000000000003" hidden="1" customHeight="1" thickBot="1">
      <c r="B58" s="473"/>
      <c r="C58" s="442">
        <v>45966</v>
      </c>
      <c r="D58" s="443"/>
      <c r="E58" s="444"/>
      <c r="F58" s="445"/>
      <c r="G58" s="446"/>
      <c r="H58" s="460"/>
      <c r="I58" s="460"/>
      <c r="J58" s="449"/>
      <c r="K58" s="462"/>
      <c r="L58" s="472" t="e">
        <f>(((D58+E58)-G58)/(D58+E58))*100</f>
        <v>#DIV/0!</v>
      </c>
      <c r="M58" s="456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4"/>
      <c r="C59" s="431"/>
      <c r="D59" s="432"/>
      <c r="E59" s="433"/>
      <c r="F59" s="434"/>
      <c r="G59" s="435"/>
      <c r="H59" s="436"/>
      <c r="I59" s="451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61"/>
      <c r="C60" s="442"/>
      <c r="D60" s="443"/>
      <c r="E60" s="444"/>
      <c r="F60" s="445"/>
      <c r="G60" s="446"/>
      <c r="H60" s="447"/>
      <c r="I60" s="448"/>
      <c r="J60" s="449"/>
      <c r="K60" s="450"/>
      <c r="L60" s="459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38"/>
      <c r="C61" s="424"/>
      <c r="D61" s="425"/>
      <c r="E61" s="426"/>
      <c r="F61" s="427"/>
      <c r="G61" s="428"/>
      <c r="H61" s="429"/>
      <c r="I61" s="439"/>
      <c r="J61" s="440"/>
      <c r="K61" s="430"/>
      <c r="L61" s="441"/>
      <c r="M61" s="423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61"/>
      <c r="C62" s="442"/>
      <c r="D62" s="443"/>
      <c r="E62" s="444"/>
      <c r="F62" s="445"/>
      <c r="G62" s="446"/>
      <c r="H62" s="447"/>
      <c r="I62" s="448"/>
      <c r="J62" s="449"/>
      <c r="K62" s="450"/>
      <c r="L62" s="459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70"/>
      <c r="C63" s="431"/>
      <c r="D63" s="464"/>
      <c r="E63" s="465"/>
      <c r="F63" s="466"/>
      <c r="G63" s="464"/>
      <c r="H63" s="467"/>
      <c r="I63" s="467"/>
      <c r="J63" s="467"/>
      <c r="K63" s="468"/>
      <c r="L63" s="469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48" t="s">
        <v>55</v>
      </c>
      <c r="C65" s="549"/>
      <c r="D65" s="549"/>
      <c r="E65" s="549"/>
      <c r="F65" s="550"/>
      <c r="G65" s="548" t="s">
        <v>56</v>
      </c>
      <c r="H65" s="549"/>
      <c r="I65" s="549"/>
      <c r="J65" s="550"/>
      <c r="K65" s="548" t="s">
        <v>51</v>
      </c>
      <c r="L65" s="549"/>
      <c r="M65" s="549"/>
      <c r="N65" s="551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/>
      <c r="D67" s="76">
        <v>5.6319231282530273</v>
      </c>
      <c r="E67" s="76">
        <v>6.0605326541347297</v>
      </c>
      <c r="F67" s="66">
        <v>4.8</v>
      </c>
      <c r="G67" s="65"/>
      <c r="H67" s="76">
        <v>7.4734885378868032</v>
      </c>
      <c r="I67" s="76">
        <v>6.0781746761521545</v>
      </c>
      <c r="J67" s="66">
        <v>4.8</v>
      </c>
      <c r="K67" s="67"/>
      <c r="L67" s="194">
        <v>0.28046783625730998</v>
      </c>
      <c r="M67" s="194">
        <v>0.70199764246992191</v>
      </c>
      <c r="N67" s="68">
        <v>1</v>
      </c>
      <c r="O67" s="56"/>
      <c r="P67" s="69"/>
    </row>
    <row r="68" spans="2:16" ht="15">
      <c r="B68" s="33" t="s">
        <v>9</v>
      </c>
      <c r="C68" s="65">
        <f>L56</f>
        <v>5.1671214188267509</v>
      </c>
      <c r="D68" s="76">
        <v>5.1671214188267509</v>
      </c>
      <c r="E68" s="76">
        <v>5.7344696924419472</v>
      </c>
      <c r="F68" s="66">
        <v>4.8</v>
      </c>
      <c r="G68" s="65">
        <f>[41]November_2025!$H$21</f>
        <v>3.8690868488751016</v>
      </c>
      <c r="H68" s="76">
        <v>3.8690868488751016</v>
      </c>
      <c r="I68" s="76">
        <v>6.3491977772279</v>
      </c>
      <c r="J68" s="66">
        <v>4.8</v>
      </c>
      <c r="K68" s="67">
        <f>K56</f>
        <v>0.48780701754385969</v>
      </c>
      <c r="L68" s="194">
        <v>0.48780701754385969</v>
      </c>
      <c r="M68" s="194">
        <v>0.65340260538294603</v>
      </c>
      <c r="N68" s="68">
        <v>1</v>
      </c>
      <c r="P68" s="69"/>
    </row>
    <row r="69" spans="2:16" ht="15">
      <c r="B69" s="34" t="s">
        <v>40</v>
      </c>
      <c r="C69" s="65"/>
      <c r="D69" s="76"/>
      <c r="E69" s="76">
        <v>11.019084676672206</v>
      </c>
      <c r="F69" s="66">
        <v>5.5</v>
      </c>
      <c r="G69" s="65"/>
      <c r="H69" s="76"/>
      <c r="I69" s="76">
        <v>12.668713273493125</v>
      </c>
      <c r="J69" s="66">
        <v>5.5</v>
      </c>
      <c r="K69" s="67"/>
      <c r="L69" s="194"/>
      <c r="M69" s="194">
        <v>0.49234992101105851</v>
      </c>
      <c r="N69" s="68">
        <v>1</v>
      </c>
      <c r="P69" s="69"/>
    </row>
    <row r="70" spans="2:16" ht="15">
      <c r="B70" s="22" t="s">
        <v>33</v>
      </c>
      <c r="C70" s="65"/>
      <c r="D70" s="76"/>
      <c r="E70" s="76">
        <v>4.70482832098405</v>
      </c>
      <c r="F70" s="66">
        <v>3.3</v>
      </c>
      <c r="G70" s="65"/>
      <c r="H70" s="76"/>
      <c r="I70" s="76">
        <v>4.4829345306946999</v>
      </c>
      <c r="J70" s="66">
        <v>3.3</v>
      </c>
      <c r="K70" s="67"/>
      <c r="L70" s="194"/>
      <c r="M70" s="194">
        <v>0.78235275689223049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>
        <v>7.837301587301579</v>
      </c>
      <c r="F71" s="66">
        <v>3.3</v>
      </c>
      <c r="G71" s="282"/>
      <c r="H71" s="76"/>
      <c r="I71" s="76">
        <v>5.3377569154690221</v>
      </c>
      <c r="J71" s="66">
        <v>3</v>
      </c>
      <c r="K71" s="67"/>
      <c r="L71" s="194"/>
      <c r="M71" s="194">
        <v>0.32596491228070179</v>
      </c>
      <c r="N71" s="68">
        <v>1</v>
      </c>
      <c r="P71" s="69"/>
    </row>
    <row r="72" spans="2:16" ht="15">
      <c r="B72" s="36" t="s">
        <v>15</v>
      </c>
      <c r="C72" s="65"/>
      <c r="D72" s="76"/>
      <c r="E72" s="76">
        <v>6.8851328044153277</v>
      </c>
      <c r="F72" s="70">
        <f>[21]May_2022!$M$43</f>
        <v>3.4878406700073312</v>
      </c>
      <c r="G72" s="282"/>
      <c r="H72" s="76"/>
      <c r="I72" s="76">
        <v>8.6614709463340702</v>
      </c>
      <c r="J72" s="66">
        <v>5.5</v>
      </c>
      <c r="K72" s="67"/>
      <c r="L72" s="194"/>
      <c r="M72" s="194">
        <v>0.73160818713450293</v>
      </c>
      <c r="N72" s="68">
        <v>1</v>
      </c>
      <c r="P72" s="69"/>
    </row>
    <row r="73" spans="2:16" ht="15">
      <c r="B73" s="37" t="s">
        <v>16</v>
      </c>
      <c r="C73" s="65"/>
      <c r="D73" s="76">
        <v>2.6328862394436081</v>
      </c>
      <c r="E73" s="76">
        <v>2.9297033255778997</v>
      </c>
      <c r="F73" s="66">
        <v>3.3</v>
      </c>
      <c r="G73" s="282"/>
      <c r="H73" s="76">
        <v>2.6328862394435983</v>
      </c>
      <c r="I73" s="76">
        <v>4.2684292436723528</v>
      </c>
      <c r="J73" s="66">
        <v>3.3</v>
      </c>
      <c r="K73" s="67"/>
      <c r="L73" s="194">
        <v>0.68771929824561406</v>
      </c>
      <c r="M73" s="194">
        <v>0.84660147761842675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>
        <v>11.483253588516746</v>
      </c>
      <c r="F74" s="66">
        <v>7.5</v>
      </c>
      <c r="G74" s="282"/>
      <c r="H74" s="76"/>
      <c r="I74" s="76">
        <v>9.7934336121043764</v>
      </c>
      <c r="J74" s="66">
        <v>7.5</v>
      </c>
      <c r="K74" s="67"/>
      <c r="M74" s="194">
        <v>0.32456140350877194</v>
      </c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>
        <v>7.2653644592663174</v>
      </c>
      <c r="F75" s="66">
        <v>4.8</v>
      </c>
      <c r="G75" s="282"/>
      <c r="H75" s="76"/>
      <c r="I75" s="76">
        <v>8.1715311054411259</v>
      </c>
      <c r="J75" s="66">
        <v>4.8</v>
      </c>
      <c r="K75" s="67"/>
      <c r="L75" s="194"/>
      <c r="M75" s="194">
        <v>0.51368421052631585</v>
      </c>
      <c r="N75" s="71">
        <v>1</v>
      </c>
      <c r="O75" s="74"/>
      <c r="P75" s="75"/>
    </row>
    <row r="76" spans="2:16" ht="15">
      <c r="D76" s="76">
        <v>5.0618087182823652</v>
      </c>
      <c r="E76" s="76">
        <v>6.1027889066830783</v>
      </c>
      <c r="F76" s="341">
        <v>5.5</v>
      </c>
      <c r="H76" s="76">
        <v>4.359427850833014</v>
      </c>
      <c r="I76" s="76">
        <v>6.6199915299263168</v>
      </c>
      <c r="J76" s="341">
        <v>5.5</v>
      </c>
      <c r="L76" s="194">
        <v>0.48533138401559461</v>
      </c>
      <c r="M76" s="194">
        <v>0.67806334627638398</v>
      </c>
      <c r="N7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5:F65"/>
    <mergeCell ref="G65:J65"/>
    <mergeCell ref="K65:N65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3514" priority="17" operator="notBetween">
      <formula>#REF!</formula>
      <formula>#REF!</formula>
    </cfRule>
  </conditionalFormatting>
  <conditionalFormatting sqref="C53">
    <cfRule type="cellIs" dxfId="3513" priority="182" stopIfTrue="1" operator="greaterThan">
      <formula>100</formula>
    </cfRule>
    <cfRule type="cellIs" dxfId="3512" priority="181" stopIfTrue="1" operator="lessThan">
      <formula>96</formula>
    </cfRule>
  </conditionalFormatting>
  <conditionalFormatting sqref="C67:C71">
    <cfRule type="cellIs" dxfId="3511" priority="135" stopIfTrue="1" operator="lessThanOrEqual">
      <formula>0</formula>
    </cfRule>
  </conditionalFormatting>
  <conditionalFormatting sqref="C67:C75">
    <cfRule type="cellIs" dxfId="3510" priority="134" stopIfTrue="1" operator="greaterThan">
      <formula>$F67</formula>
    </cfRule>
  </conditionalFormatting>
  <conditionalFormatting sqref="C68">
    <cfRule type="cellIs" dxfId="3509" priority="185" stopIfTrue="1" operator="greaterThan">
      <formula>$F67</formula>
    </cfRule>
  </conditionalFormatting>
  <conditionalFormatting sqref="C72">
    <cfRule type="cellIs" dxfId="3508" priority="75" stopIfTrue="1" operator="greaterThan">
      <formula>$F71</formula>
    </cfRule>
    <cfRule type="cellIs" dxfId="3507" priority="74" stopIfTrue="1" operator="lessThanOrEqual">
      <formula>0</formula>
    </cfRule>
  </conditionalFormatting>
  <conditionalFormatting sqref="C78:C82">
    <cfRule type="cellIs" dxfId="3506" priority="173" stopIfTrue="1" operator="lessThanOrEqual">
      <formula>0</formula>
    </cfRule>
  </conditionalFormatting>
  <conditionalFormatting sqref="C79:C82">
    <cfRule type="cellIs" dxfId="3505" priority="172" stopIfTrue="1" operator="greaterThan">
      <formula>$F$78</formula>
    </cfRule>
  </conditionalFormatting>
  <conditionalFormatting sqref="C84">
    <cfRule type="cellIs" dxfId="3504" priority="174" stopIfTrue="1" operator="greaterThan">
      <formula>$F$78</formula>
    </cfRule>
    <cfRule type="cellIs" dxfId="3503" priority="175" stopIfTrue="1" operator="lessThanOrEqual">
      <formula>0</formula>
    </cfRule>
  </conditionalFormatting>
  <conditionalFormatting sqref="C78:D78 D80:D86">
    <cfRule type="cellIs" dxfId="3502" priority="167" stopIfTrue="1" operator="greaterThan">
      <formula>4.5</formula>
    </cfRule>
  </conditionalFormatting>
  <conditionalFormatting sqref="D49:D50">
    <cfRule type="cellIs" dxfId="3501" priority="18" operator="notBetween">
      <formula>#REF!</formula>
      <formula>#REF!</formula>
    </cfRule>
  </conditionalFormatting>
  <conditionalFormatting sqref="D67:D74">
    <cfRule type="cellIs" dxfId="3500" priority="147" stopIfTrue="1" operator="lessThanOrEqual">
      <formula>0</formula>
    </cfRule>
  </conditionalFormatting>
  <conditionalFormatting sqref="D75">
    <cfRule type="cellIs" dxfId="3499" priority="146" stopIfTrue="1" operator="lessThanOrEqual">
      <formula>0</formula>
    </cfRule>
  </conditionalFormatting>
  <conditionalFormatting sqref="D78 D80:D86">
    <cfRule type="cellIs" dxfId="3498" priority="168" stopIfTrue="1" operator="lessThanOrEqual">
      <formula>0</formula>
    </cfRule>
  </conditionalFormatting>
  <conditionalFormatting sqref="D79">
    <cfRule type="cellIs" dxfId="3497" priority="159" stopIfTrue="1" operator="greaterThan">
      <formula>$F$78</formula>
    </cfRule>
    <cfRule type="cellIs" dxfId="3496" priority="160" stopIfTrue="1" operator="lessThanOrEqual">
      <formula>0</formula>
    </cfRule>
  </conditionalFormatting>
  <conditionalFormatting sqref="D67:E76">
    <cfRule type="cellIs" dxfId="3495" priority="132" stopIfTrue="1" operator="greaterThan">
      <formula>$F67</formula>
    </cfRule>
  </conditionalFormatting>
  <conditionalFormatting sqref="D76:E76">
    <cfRule type="cellIs" dxfId="3494" priority="133" stopIfTrue="1" operator="lessThanOrEqual">
      <formula>0</formula>
    </cfRule>
  </conditionalFormatting>
  <conditionalFormatting sqref="E10:E24">
    <cfRule type="cellIs" dxfId="3493" priority="6" operator="lessThan">
      <formula>48</formula>
    </cfRule>
  </conditionalFormatting>
  <conditionalFormatting sqref="E52 E53:F53">
    <cfRule type="cellIs" dxfId="3492" priority="164" stopIfTrue="1" operator="greaterThan">
      <formula>100</formula>
    </cfRule>
  </conditionalFormatting>
  <conditionalFormatting sqref="E53">
    <cfRule type="cellIs" dxfId="3491" priority="162" stopIfTrue="1" operator="greaterThan">
      <formula>100</formula>
    </cfRule>
    <cfRule type="cellIs" dxfId="3490" priority="161" stopIfTrue="1" operator="lessThan">
      <formula>96.8</formula>
    </cfRule>
  </conditionalFormatting>
  <conditionalFormatting sqref="E67:E75">
    <cfRule type="cellIs" dxfId="3489" priority="143" stopIfTrue="1" operator="lessThanOrEqual">
      <formula>0</formula>
    </cfRule>
  </conditionalFormatting>
  <conditionalFormatting sqref="E78:E86">
    <cfRule type="cellIs" dxfId="3488" priority="153" stopIfTrue="1" operator="greaterThan">
      <formula>4.5</formula>
    </cfRule>
    <cfRule type="cellIs" dxfId="3487" priority="154" stopIfTrue="1" operator="lessThanOrEqual">
      <formula>0</formula>
    </cfRule>
  </conditionalFormatting>
  <conditionalFormatting sqref="E53:F53 E52">
    <cfRule type="cellIs" dxfId="3486" priority="163" stopIfTrue="1" operator="lessThan">
      <formula>96.5</formula>
    </cfRule>
  </conditionalFormatting>
  <conditionalFormatting sqref="F10:F24">
    <cfRule type="cellIs" dxfId="3485" priority="7" operator="greaterThan">
      <formula>60</formula>
    </cfRule>
  </conditionalFormatting>
  <conditionalFormatting sqref="F53">
    <cfRule type="cellIs" dxfId="3484" priority="179" stopIfTrue="1" operator="lessThan">
      <formula>96.8</formula>
    </cfRule>
    <cfRule type="cellIs" dxfId="3483" priority="180" stopIfTrue="1" operator="greaterThan">
      <formula>100</formula>
    </cfRule>
  </conditionalFormatting>
  <conditionalFormatting sqref="F76">
    <cfRule type="cellIs" dxfId="3482" priority="144" stopIfTrue="1" operator="greaterThan">
      <formula>$F76</formula>
    </cfRule>
    <cfRule type="cellIs" dxfId="3481" priority="145" stopIfTrue="1" operator="lessThanOrEqual">
      <formula>0</formula>
    </cfRule>
  </conditionalFormatting>
  <conditionalFormatting sqref="G10:G21">
    <cfRule type="expression" dxfId="3480" priority="11">
      <formula>IF(+(IF(G10&lt;S10,0,IF(G10&gt;T10,0,1)))=0,1)</formula>
    </cfRule>
  </conditionalFormatting>
  <conditionalFormatting sqref="G67:G68 C73:C75">
    <cfRule type="cellIs" dxfId="3479" priority="149" stopIfTrue="1" operator="lessThanOrEqual">
      <formula>0</formula>
    </cfRule>
  </conditionalFormatting>
  <conditionalFormatting sqref="G67:G68">
    <cfRule type="cellIs" dxfId="3478" priority="136" stopIfTrue="1" operator="greaterThan">
      <formula>$F67</formula>
    </cfRule>
    <cfRule type="cellIs" dxfId="3477" priority="137" stopIfTrue="1" operator="lessThanOrEqual">
      <formula>0</formula>
    </cfRule>
    <cfRule type="cellIs" dxfId="3476" priority="148" stopIfTrue="1" operator="greaterThan">
      <formula>$F67</formula>
    </cfRule>
  </conditionalFormatting>
  <conditionalFormatting sqref="G69">
    <cfRule type="cellIs" dxfId="3475" priority="184" stopIfTrue="1" operator="lessThanOrEqual">
      <formula>0</formula>
    </cfRule>
    <cfRule type="cellIs" dxfId="3474" priority="183" stopIfTrue="1" operator="greaterThan">
      <formula>$F68</formula>
    </cfRule>
  </conditionalFormatting>
  <conditionalFormatting sqref="G70">
    <cfRule type="cellIs" dxfId="3473" priority="16" stopIfTrue="1" operator="lessThanOrEqual">
      <formula>0</formula>
    </cfRule>
    <cfRule type="cellIs" dxfId="3472" priority="15" stopIfTrue="1" operator="greaterThan">
      <formula>$F70</formula>
    </cfRule>
    <cfRule type="cellIs" dxfId="3471" priority="14" stopIfTrue="1" operator="lessThanOrEqual">
      <formula>0</formula>
    </cfRule>
    <cfRule type="cellIs" dxfId="3470" priority="13" stopIfTrue="1" operator="greaterThan">
      <formula>$F70</formula>
    </cfRule>
  </conditionalFormatting>
  <conditionalFormatting sqref="G71:G75">
    <cfRule type="cellIs" dxfId="3469" priority="150" stopIfTrue="1" operator="greaterThan">
      <formula>$J71</formula>
    </cfRule>
    <cfRule type="cellIs" dxfId="3468" priority="151" stopIfTrue="1" operator="lessThanOrEqual">
      <formula>0</formula>
    </cfRule>
  </conditionalFormatting>
  <conditionalFormatting sqref="G80:G85 C83 C85">
    <cfRule type="cellIs" dxfId="3467" priority="176" stopIfTrue="1" operator="greaterThan">
      <formula>4.5</formula>
    </cfRule>
    <cfRule type="cellIs" dxfId="3466" priority="177" stopIfTrue="1" operator="lessThanOrEqual">
      <formula>0</formula>
    </cfRule>
  </conditionalFormatting>
  <conditionalFormatting sqref="G79:H79">
    <cfRule type="cellIs" dxfId="3465" priority="158" stopIfTrue="1" operator="lessThanOrEqual">
      <formula>0</formula>
    </cfRule>
    <cfRule type="cellIs" dxfId="3464" priority="157" stopIfTrue="1" operator="greaterThan">
      <formula>$F$78</formula>
    </cfRule>
  </conditionalFormatting>
  <conditionalFormatting sqref="H10:H21">
    <cfRule type="expression" dxfId="3463" priority="12">
      <formula>IF(+(IF(H10&lt;#REF!,0,IF(H10&gt;#REF!,0,1)))=0,1)</formula>
    </cfRule>
  </conditionalFormatting>
  <conditionalFormatting sqref="H38:H52">
    <cfRule type="cellIs" dxfId="3462" priority="155" stopIfTrue="1" operator="greaterThan">
      <formula>0</formula>
    </cfRule>
  </conditionalFormatting>
  <conditionalFormatting sqref="H56">
    <cfRule type="cellIs" dxfId="3461" priority="53" stopIfTrue="1" operator="greaterThan">
      <formula>$F$70</formula>
    </cfRule>
    <cfRule type="cellIs" dxfId="3460" priority="54" stopIfTrue="1" operator="lessThanOrEqual">
      <formula>0</formula>
    </cfRule>
    <cfRule type="cellIs" dxfId="3459" priority="43" stopIfTrue="1" operator="greaterThan">
      <formula>$F$69</formula>
    </cfRule>
    <cfRule type="cellIs" dxfId="3458" priority="42" stopIfTrue="1" operator="lessThanOrEqual">
      <formula>0</formula>
    </cfRule>
    <cfRule type="cellIs" dxfId="3457" priority="51" stopIfTrue="1" operator="greaterThan">
      <formula>$F$72</formula>
    </cfRule>
    <cfRule type="cellIs" dxfId="3456" priority="52" stopIfTrue="1" operator="lessThanOrEqual">
      <formula>0</formula>
    </cfRule>
  </conditionalFormatting>
  <conditionalFormatting sqref="H57">
    <cfRule type="cellIs" dxfId="3455" priority="92" stopIfTrue="1" operator="greaterThan">
      <formula>#REF!</formula>
    </cfRule>
    <cfRule type="cellIs" dxfId="3454" priority="100" stopIfTrue="1" operator="greaterThan">
      <formula>$F$25</formula>
    </cfRule>
    <cfRule type="cellIs" dxfId="3453" priority="91" stopIfTrue="1" operator="lessThanOrEqual">
      <formula>0</formula>
    </cfRule>
    <cfRule type="cellIs" dxfId="3452" priority="103" stopIfTrue="1" operator="lessThanOrEqual">
      <formula>0</formula>
    </cfRule>
    <cfRule type="cellIs" dxfId="3451" priority="102" stopIfTrue="1" operator="greaterThan">
      <formula>#REF!</formula>
    </cfRule>
    <cfRule type="cellIs" dxfId="3450" priority="101" stopIfTrue="1" operator="lessThanOrEqual">
      <formula>0</formula>
    </cfRule>
  </conditionalFormatting>
  <conditionalFormatting sqref="H58">
    <cfRule type="cellIs" dxfId="3449" priority="59" stopIfTrue="1" operator="lessThanOrEqual">
      <formula>0</formula>
    </cfRule>
    <cfRule type="cellIs" dxfId="3448" priority="60" stopIfTrue="1" operator="greaterThan">
      <formula>$F$68</formula>
    </cfRule>
    <cfRule type="cellIs" dxfId="3447" priority="68" stopIfTrue="1" operator="greaterThan">
      <formula>$F$71</formula>
    </cfRule>
    <cfRule type="cellIs" dxfId="3446" priority="70" stopIfTrue="1" operator="greaterThan">
      <formula>$F$69</formula>
    </cfRule>
    <cfRule type="cellIs" dxfId="3445" priority="71" stopIfTrue="1" operator="lessThanOrEqual">
      <formula>0</formula>
    </cfRule>
    <cfRule type="cellIs" dxfId="3444" priority="69" stopIfTrue="1" operator="lessThanOrEqual">
      <formula>0</formula>
    </cfRule>
  </conditionalFormatting>
  <conditionalFormatting sqref="H59:H60">
    <cfRule type="cellIs" dxfId="3443" priority="77" stopIfTrue="1" operator="lessThanOrEqual">
      <formula>0</formula>
    </cfRule>
    <cfRule type="cellIs" dxfId="3442" priority="78" stopIfTrue="1" operator="greaterThan">
      <formula>#REF!</formula>
    </cfRule>
    <cfRule type="cellIs" dxfId="3441" priority="86" stopIfTrue="1" operator="greaterThan">
      <formula>$F$24</formula>
    </cfRule>
    <cfRule type="cellIs" dxfId="3440" priority="87" stopIfTrue="1" operator="lessThanOrEqual">
      <formula>0</formula>
    </cfRule>
    <cfRule type="cellIs" dxfId="3439" priority="88" stopIfTrue="1" operator="greaterThan">
      <formula>#REF!</formula>
    </cfRule>
    <cfRule type="cellIs" dxfId="3438" priority="89" stopIfTrue="1" operator="lessThanOrEqual">
      <formula>0</formula>
    </cfRule>
  </conditionalFormatting>
  <conditionalFormatting sqref="H61">
    <cfRule type="cellIs" dxfId="3437" priority="117" stopIfTrue="1" operator="greaterThan">
      <formula>$F$38</formula>
    </cfRule>
    <cfRule type="cellIs" dxfId="3436" priority="118" stopIfTrue="1" operator="lessThanOrEqual">
      <formula>0</formula>
    </cfRule>
    <cfRule type="cellIs" dxfId="3435" priority="115" stopIfTrue="1" operator="greaterThan">
      <formula>$F$40</formula>
    </cfRule>
    <cfRule type="cellIs" dxfId="3434" priority="107" stopIfTrue="1" operator="greaterThan">
      <formula>$F$37</formula>
    </cfRule>
    <cfRule type="cellIs" dxfId="3433" priority="106" stopIfTrue="1" operator="lessThanOrEqual">
      <formula>0</formula>
    </cfRule>
    <cfRule type="cellIs" dxfId="3432" priority="116" stopIfTrue="1" operator="lessThanOrEqual">
      <formula>0</formula>
    </cfRule>
  </conditionalFormatting>
  <conditionalFormatting sqref="H62:H63">
    <cfRule type="cellIs" dxfId="3431" priority="39" stopIfTrue="1" operator="greaterThan">
      <formula>#REF!</formula>
    </cfRule>
    <cfRule type="cellIs" dxfId="3430" priority="38" stopIfTrue="1" operator="lessThanOrEqual">
      <formula>0</formula>
    </cfRule>
    <cfRule type="cellIs" dxfId="3429" priority="37" stopIfTrue="1" operator="greaterThan">
      <formula>$F$24</formula>
    </cfRule>
    <cfRule type="cellIs" dxfId="3428" priority="29" stopIfTrue="1" operator="greaterThan">
      <formula>#REF!</formula>
    </cfRule>
    <cfRule type="cellIs" dxfId="3427" priority="28" stopIfTrue="1" operator="lessThanOrEqual">
      <formula>0</formula>
    </cfRule>
    <cfRule type="cellIs" dxfId="3426" priority="40" stopIfTrue="1" operator="lessThanOrEqual">
      <formula>0</formula>
    </cfRule>
  </conditionalFormatting>
  <conditionalFormatting sqref="H67:H74">
    <cfRule type="cellIs" dxfId="3425" priority="139" stopIfTrue="1" operator="lessThanOrEqual">
      <formula>0</formula>
    </cfRule>
    <cfRule type="cellIs" dxfId="3424" priority="138" stopIfTrue="1" operator="greaterThan">
      <formula>$J67</formula>
    </cfRule>
  </conditionalFormatting>
  <conditionalFormatting sqref="H75">
    <cfRule type="cellIs" dxfId="3423" priority="140" operator="greaterThan">
      <formula>5.3</formula>
    </cfRule>
  </conditionalFormatting>
  <conditionalFormatting sqref="H78 H80:H86">
    <cfRule type="cellIs" dxfId="3422" priority="169" stopIfTrue="1" operator="greaterThan">
      <formula>4.5</formula>
    </cfRule>
    <cfRule type="cellIs" dxfId="3421" priority="170" stopIfTrue="1" operator="lessThanOrEqual">
      <formula>0</formula>
    </cfRule>
  </conditionalFormatting>
  <conditionalFormatting sqref="H56:I56">
    <cfRule type="cellIs" dxfId="3420" priority="41" stopIfTrue="1" operator="greaterThan">
      <formula>$F$71</formula>
    </cfRule>
    <cfRule type="cellIs" dxfId="3419" priority="44" stopIfTrue="1" operator="lessThanOrEqual">
      <formula>0</formula>
    </cfRule>
  </conditionalFormatting>
  <conditionalFormatting sqref="H57:I57">
    <cfRule type="cellIs" dxfId="3418" priority="90" stopIfTrue="1" operator="greaterThan">
      <formula>$F$24</formula>
    </cfRule>
    <cfRule type="cellIs" dxfId="3417" priority="93" stopIfTrue="1" operator="lessThanOrEqual">
      <formula>0</formula>
    </cfRule>
  </conditionalFormatting>
  <conditionalFormatting sqref="H58:I58">
    <cfRule type="cellIs" dxfId="3416" priority="61" stopIfTrue="1" operator="lessThanOrEqual">
      <formula>0</formula>
    </cfRule>
    <cfRule type="cellIs" dxfId="3415" priority="58" stopIfTrue="1" operator="greaterThan">
      <formula>$F$70</formula>
    </cfRule>
  </conditionalFormatting>
  <conditionalFormatting sqref="H59:I60">
    <cfRule type="cellIs" dxfId="3414" priority="79" stopIfTrue="1" operator="lessThanOrEqual">
      <formula>0</formula>
    </cfRule>
    <cfRule type="cellIs" dxfId="3413" priority="76" stopIfTrue="1" operator="greaterThan">
      <formula>#REF!</formula>
    </cfRule>
  </conditionalFormatting>
  <conditionalFormatting sqref="H61:I61">
    <cfRule type="cellIs" dxfId="3412" priority="105" stopIfTrue="1" operator="greaterThan">
      <formula>$F$39</formula>
    </cfRule>
    <cfRule type="cellIs" dxfId="3411" priority="108" stopIfTrue="1" operator="lessThanOrEqual">
      <formula>0</formula>
    </cfRule>
  </conditionalFormatting>
  <conditionalFormatting sqref="H62:I63">
    <cfRule type="cellIs" dxfId="3410" priority="27" stopIfTrue="1" operator="greaterThan">
      <formula>#REF!</formula>
    </cfRule>
    <cfRule type="cellIs" dxfId="3409" priority="30" stopIfTrue="1" operator="lessThanOrEqual">
      <formula>0</formula>
    </cfRule>
  </conditionalFormatting>
  <conditionalFormatting sqref="H76:I76">
    <cfRule type="cellIs" dxfId="3408" priority="131" stopIfTrue="1" operator="lessThanOrEqual">
      <formula>0</formula>
    </cfRule>
    <cfRule type="cellIs" dxfId="3407" priority="130" stopIfTrue="1" operator="greaterThan">
      <formula>$J76</formula>
    </cfRule>
  </conditionalFormatting>
  <conditionalFormatting sqref="I56">
    <cfRule type="cellIs" dxfId="3406" priority="47" stopIfTrue="1" operator="greaterThan">
      <formula>$F$71</formula>
    </cfRule>
    <cfRule type="cellIs" dxfId="3405" priority="49" stopIfTrue="1" operator="greaterThan">
      <formula>$F$69</formula>
    </cfRule>
    <cfRule type="cellIs" dxfId="3404" priority="46" stopIfTrue="1" operator="lessThanOrEqual">
      <formula>0</formula>
    </cfRule>
    <cfRule type="cellIs" dxfId="3403" priority="45" stopIfTrue="1" operator="greaterThan">
      <formula>$F$69</formula>
    </cfRule>
    <cfRule type="cellIs" dxfId="3402" priority="50" stopIfTrue="1" operator="lessThanOrEqual">
      <formula>0</formula>
    </cfRule>
    <cfRule type="cellIs" dxfId="3401" priority="48" stopIfTrue="1" operator="lessThanOrEqual">
      <formula>0</formula>
    </cfRule>
  </conditionalFormatting>
  <conditionalFormatting sqref="I57">
    <cfRule type="cellIs" dxfId="3400" priority="99" stopIfTrue="1" operator="lessThanOrEqual">
      <formula>0</formula>
    </cfRule>
    <cfRule type="cellIs" dxfId="3399" priority="95" stopIfTrue="1" operator="lessThanOrEqual">
      <formula>0</formula>
    </cfRule>
    <cfRule type="cellIs" dxfId="3398" priority="96" stopIfTrue="1" operator="greaterThan">
      <formula>$F$24</formula>
    </cfRule>
    <cfRule type="cellIs" dxfId="3397" priority="97" stopIfTrue="1" operator="lessThanOrEqual">
      <formula>0</formula>
    </cfRule>
    <cfRule type="cellIs" dxfId="3396" priority="98" stopIfTrue="1" operator="greaterThan">
      <formula>#REF!</formula>
    </cfRule>
    <cfRule type="cellIs" dxfId="3395" priority="94" stopIfTrue="1" operator="greaterThan">
      <formula>#REF!</formula>
    </cfRule>
  </conditionalFormatting>
  <conditionalFormatting sqref="I58">
    <cfRule type="cellIs" dxfId="3394" priority="62" stopIfTrue="1" operator="greaterThan">
      <formula>$F$68</formula>
    </cfRule>
    <cfRule type="cellIs" dxfId="3393" priority="66" stopIfTrue="1" operator="greaterThan">
      <formula>$F$68</formula>
    </cfRule>
    <cfRule type="cellIs" dxfId="3392" priority="63" stopIfTrue="1" operator="lessThanOrEqual">
      <formula>0</formula>
    </cfRule>
    <cfRule type="cellIs" dxfId="3391" priority="64" stopIfTrue="1" operator="greaterThan">
      <formula>$F$70</formula>
    </cfRule>
    <cfRule type="cellIs" dxfId="3390" priority="65" stopIfTrue="1" operator="lessThanOrEqual">
      <formula>0</formula>
    </cfRule>
    <cfRule type="cellIs" dxfId="3389" priority="67" stopIfTrue="1" operator="lessThanOrEqual">
      <formula>0</formula>
    </cfRule>
  </conditionalFormatting>
  <conditionalFormatting sqref="I59:I60">
    <cfRule type="cellIs" dxfId="3388" priority="82" stopIfTrue="1" operator="greaterThan">
      <formula>#REF!</formula>
    </cfRule>
    <cfRule type="cellIs" dxfId="3387" priority="85" stopIfTrue="1" operator="lessThanOrEqual">
      <formula>0</formula>
    </cfRule>
    <cfRule type="cellIs" dxfId="3386" priority="84" stopIfTrue="1" operator="greaterThan">
      <formula>#REF!</formula>
    </cfRule>
    <cfRule type="cellIs" dxfId="3385" priority="81" stopIfTrue="1" operator="lessThanOrEqual">
      <formula>0</formula>
    </cfRule>
    <cfRule type="cellIs" dxfId="3384" priority="83" stopIfTrue="1" operator="lessThanOrEqual">
      <formula>0</formula>
    </cfRule>
    <cfRule type="cellIs" dxfId="3383" priority="80" stopIfTrue="1" operator="greaterThan">
      <formula>#REF!</formula>
    </cfRule>
  </conditionalFormatting>
  <conditionalFormatting sqref="I61">
    <cfRule type="cellIs" dxfId="3382" priority="109" stopIfTrue="1" operator="greaterThan">
      <formula>$F$37</formula>
    </cfRule>
    <cfRule type="cellIs" dxfId="3381" priority="110" stopIfTrue="1" operator="lessThanOrEqual">
      <formula>0</formula>
    </cfRule>
    <cfRule type="cellIs" dxfId="3380" priority="111" stopIfTrue="1" operator="greaterThan">
      <formula>$F$39</formula>
    </cfRule>
    <cfRule type="cellIs" dxfId="3379" priority="114" stopIfTrue="1" operator="lessThanOrEqual">
      <formula>0</formula>
    </cfRule>
    <cfRule type="cellIs" dxfId="3378" priority="113" stopIfTrue="1" operator="greaterThan">
      <formula>$F$37</formula>
    </cfRule>
    <cfRule type="cellIs" dxfId="3377" priority="112" stopIfTrue="1" operator="lessThanOrEqual">
      <formula>0</formula>
    </cfRule>
  </conditionalFormatting>
  <conditionalFormatting sqref="I62:I63">
    <cfRule type="cellIs" dxfId="3376" priority="34" stopIfTrue="1" operator="lessThanOrEqual">
      <formula>0</formula>
    </cfRule>
    <cfRule type="cellIs" dxfId="3375" priority="32" stopIfTrue="1" operator="lessThanOrEqual">
      <formula>0</formula>
    </cfRule>
    <cfRule type="cellIs" dxfId="3374" priority="31" stopIfTrue="1" operator="greaterThan">
      <formula>#REF!</formula>
    </cfRule>
    <cfRule type="cellIs" dxfId="3373" priority="33" stopIfTrue="1" operator="greaterThan">
      <formula>#REF!</formula>
    </cfRule>
    <cfRule type="cellIs" dxfId="3372" priority="36" stopIfTrue="1" operator="lessThanOrEqual">
      <formula>0</formula>
    </cfRule>
    <cfRule type="cellIs" dxfId="3371" priority="35" stopIfTrue="1" operator="greaterThan">
      <formula>#REF!</formula>
    </cfRule>
  </conditionalFormatting>
  <conditionalFormatting sqref="I67:I75">
    <cfRule type="cellIs" dxfId="3370" priority="141" stopIfTrue="1" operator="greaterThan">
      <formula>$J67</formula>
    </cfRule>
    <cfRule type="cellIs" dxfId="3369" priority="142" stopIfTrue="1" operator="lessThanOrEqual">
      <formula>0</formula>
    </cfRule>
  </conditionalFormatting>
  <conditionalFormatting sqref="I78:I86">
    <cfRule type="cellIs" dxfId="3368" priority="166" stopIfTrue="1" operator="lessThanOrEqual">
      <formula>0</formula>
    </cfRule>
    <cfRule type="cellIs" dxfId="3367" priority="165" stopIfTrue="1" operator="greaterThan">
      <formula>4.5</formula>
    </cfRule>
  </conditionalFormatting>
  <conditionalFormatting sqref="I10:J24">
    <cfRule type="cellIs" dxfId="3366" priority="2" operator="lessThan">
      <formula>97.9</formula>
    </cfRule>
  </conditionalFormatting>
  <conditionalFormatting sqref="J27:J29">
    <cfRule type="cellIs" dxfId="3365" priority="120" stopIfTrue="1" operator="lessThan">
      <formula>96.8</formula>
    </cfRule>
    <cfRule type="cellIs" dxfId="3364" priority="121" stopIfTrue="1" operator="greaterThan">
      <formula>100</formula>
    </cfRule>
    <cfRule type="cellIs" dxfId="3363" priority="122" operator="lessThan">
      <formula>98</formula>
    </cfRule>
  </conditionalFormatting>
  <conditionalFormatting sqref="J27:J31">
    <cfRule type="cellIs" dxfId="3362" priority="119" operator="lessThan">
      <formula>97.4</formula>
    </cfRule>
  </conditionalFormatting>
  <conditionalFormatting sqref="J32:J33">
    <cfRule type="cellIs" dxfId="3361" priority="123" operator="lessThan">
      <formula>98</formula>
    </cfRule>
  </conditionalFormatting>
  <conditionalFormatting sqref="J34:J35">
    <cfRule type="cellIs" dxfId="3360" priority="125" stopIfTrue="1" operator="greaterThan">
      <formula>100</formula>
    </cfRule>
    <cfRule type="cellIs" dxfId="3359" priority="124" stopIfTrue="1" operator="lessThan">
      <formula>96.8</formula>
    </cfRule>
  </conditionalFormatting>
  <conditionalFormatting sqref="J34:J36">
    <cfRule type="cellIs" dxfId="3358" priority="126" operator="lessThan">
      <formula>98</formula>
    </cfRule>
  </conditionalFormatting>
  <conditionalFormatting sqref="J63">
    <cfRule type="cellIs" dxfId="3357" priority="24" stopIfTrue="1" operator="lessThanOrEqual">
      <formula>0</formula>
    </cfRule>
    <cfRule type="cellIs" dxfId="3356" priority="22" stopIfTrue="1" operator="lessThanOrEqual">
      <formula>0</formula>
    </cfRule>
    <cfRule type="cellIs" dxfId="3355" priority="26" stopIfTrue="1" operator="lessThanOrEqual">
      <formula>0</formula>
    </cfRule>
    <cfRule type="cellIs" dxfId="3354" priority="25" stopIfTrue="1" operator="greaterThan">
      <formula>#REF!</formula>
    </cfRule>
    <cfRule type="cellIs" dxfId="3353" priority="23" stopIfTrue="1" operator="greaterThan">
      <formula>#REF!</formula>
    </cfRule>
    <cfRule type="cellIs" dxfId="3352" priority="21" stopIfTrue="1" operator="greaterThan">
      <formula>#REF!</formula>
    </cfRule>
    <cfRule type="cellIs" dxfId="3351" priority="20" stopIfTrue="1" operator="lessThanOrEqual">
      <formula>0</formula>
    </cfRule>
    <cfRule type="cellIs" dxfId="3350" priority="19" stopIfTrue="1" operator="greaterThan">
      <formula>#REF!</formula>
    </cfRule>
  </conditionalFormatting>
  <conditionalFormatting sqref="J76">
    <cfRule type="cellIs" dxfId="3349" priority="128" stopIfTrue="1" operator="lessThanOrEqual">
      <formula>0</formula>
    </cfRule>
    <cfRule type="cellIs" dxfId="3348" priority="127" stopIfTrue="1" operator="greaterThan">
      <formula>$F76</formula>
    </cfRule>
  </conditionalFormatting>
  <conditionalFormatting sqref="K10:K24">
    <cfRule type="cellIs" dxfId="3347" priority="5" operator="greaterThan">
      <formula>6.4</formula>
    </cfRule>
    <cfRule type="cellIs" dxfId="3346" priority="4" operator="lessThan">
      <formula>4</formula>
    </cfRule>
    <cfRule type="cellIs" dxfId="3345" priority="3" operator="greaterThan">
      <formula>6</formula>
    </cfRule>
  </conditionalFormatting>
  <conditionalFormatting sqref="K56:K63 K67:N73 K74 M74:N74 K75:N75">
    <cfRule type="cellIs" dxfId="3344" priority="104" stopIfTrue="1" operator="lessThan">
      <formula>100%</formula>
    </cfRule>
  </conditionalFormatting>
  <conditionalFormatting sqref="K78:K83">
    <cfRule type="cellIs" dxfId="3343" priority="171" stopIfTrue="1" operator="lessThan">
      <formula>100%</formula>
    </cfRule>
  </conditionalFormatting>
  <conditionalFormatting sqref="K85:K86">
    <cfRule type="cellIs" dxfId="3342" priority="178" stopIfTrue="1" operator="lessThan">
      <formula>100%</formula>
    </cfRule>
  </conditionalFormatting>
  <conditionalFormatting sqref="L10:L21">
    <cfRule type="cellIs" dxfId="3341" priority="9" operator="greaterThan">
      <formula>65</formula>
    </cfRule>
    <cfRule type="cellIs" dxfId="3340" priority="8" operator="between">
      <formula>61</formula>
      <formula>65</formula>
    </cfRule>
  </conditionalFormatting>
  <conditionalFormatting sqref="L22:M23 L24">
    <cfRule type="cellIs" dxfId="3339" priority="56" operator="greaterThan">
      <formula>65</formula>
    </cfRule>
    <cfRule type="cellIs" dxfId="3338" priority="55" operator="between">
      <formula>61</formula>
      <formula>65</formula>
    </cfRule>
  </conditionalFormatting>
  <conditionalFormatting sqref="L27:M38">
    <cfRule type="cellIs" dxfId="3337" priority="72" operator="lessThan">
      <formula>97.95</formula>
    </cfRule>
  </conditionalFormatting>
  <conditionalFormatting sqref="L42:N42">
    <cfRule type="cellIs" dxfId="3336" priority="73" operator="notEqual">
      <formula>#REF!</formula>
    </cfRule>
  </conditionalFormatting>
  <conditionalFormatting sqref="L76:N76">
    <cfRule type="cellIs" dxfId="3335" priority="129" stopIfTrue="1" operator="lessThan">
      <formula>100%</formula>
    </cfRule>
  </conditionalFormatting>
  <conditionalFormatting sqref="L78:N86">
    <cfRule type="cellIs" dxfId="3334" priority="156" stopIfTrue="1" operator="lessThan">
      <formula>100%</formula>
    </cfRule>
  </conditionalFormatting>
  <conditionalFormatting sqref="M10:M21">
    <cfRule type="expression" dxfId="3333" priority="10">
      <formula>IF(+(IF(M10&lt;U10,0,IF(M10&gt;V10,0,1)))=0,1)</formula>
    </cfRule>
  </conditionalFormatting>
  <conditionalFormatting sqref="M22:M23 G22:H24">
    <cfRule type="expression" dxfId="3332" priority="57">
      <formula>IF(+(IF(G22&lt;#REF!,0,IF(G22&gt;#REF!,0,1)))=0,1)</formula>
    </cfRule>
  </conditionalFormatting>
  <conditionalFormatting sqref="M24:N24">
    <cfRule type="expression" dxfId="3331" priority="186">
      <formula>IF(+(IF(M24&lt;#REF!,0,IF(M24&gt;#REF!,0,1)))=0,1)</formula>
    </cfRule>
  </conditionalFormatting>
  <conditionalFormatting sqref="N10:N23">
    <cfRule type="expression" dxfId="3330" priority="1">
      <formula>IF(+(IF(N10&lt;W10,0,IF(N10&gt;X10,0,1)))=0,1)</formula>
    </cfRule>
  </conditionalFormatting>
  <conditionalFormatting sqref="P6">
    <cfRule type="cellIs" dxfId="3329" priority="152" operator="greaterThanOrEqual">
      <formula>19</formula>
    </cfRule>
  </conditionalFormatting>
  <dataValidations count="1">
    <dataValidation type="list" allowBlank="1" showInputMessage="1" showErrorMessage="1" sqref="R8" xr:uid="{349C7944-30D4-44B8-8B0F-7038B1C959DC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3226-3A44-4837-B1BB-43476010F520}">
  <sheetPr>
    <pageSetUpPr fitToPage="1"/>
  </sheetPr>
  <dimension ref="A1:BE77"/>
  <sheetViews>
    <sheetView topLeftCell="A12" zoomScale="80" zoomScaleNormal="80" workbookViewId="0">
      <selection activeCell="D77" sqref="D7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45968</v>
      </c>
      <c r="J4" s="398" t="s">
        <v>166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9" t="s">
        <v>6</v>
      </c>
      <c r="C10" s="366" t="str">
        <f>[24]Brewhouse!$A927</f>
        <v>CA812</v>
      </c>
      <c r="D10" s="279">
        <f>[24]Brewhouse!$AF927</f>
        <v>50.1</v>
      </c>
      <c r="E10" s="279">
        <f>[24]Brewhouse!$AI927</f>
        <v>50.1</v>
      </c>
      <c r="F10" s="278">
        <f>[24]Brewhouse!$V927</f>
        <v>60</v>
      </c>
      <c r="G10" s="279">
        <f>[24]Brewhouse!AG927</f>
        <v>11.7</v>
      </c>
      <c r="H10" s="396">
        <v>11.7</v>
      </c>
      <c r="I10" s="368">
        <f>[24]Brewhouse!$AU927</f>
        <v>96.71226930680568</v>
      </c>
      <c r="J10" s="368">
        <f>[24]Brewhouse!$AV927</f>
        <v>97.165607227583735</v>
      </c>
      <c r="K10" s="281">
        <f>[24]Brewhouse!$Q927</f>
        <v>6.8301886792452775</v>
      </c>
      <c r="L10" s="276">
        <f>[24]Brewhouse!$P927</f>
        <v>60</v>
      </c>
      <c r="M10" s="397">
        <f>[24]Brewhouse!$U927-[24]Brewhouse!$T927</f>
        <v>0.11250000000000002</v>
      </c>
      <c r="N10" s="370">
        <f>[24]Brewhouse!$Z927</f>
        <v>0.24097222222222225</v>
      </c>
      <c r="O10" s="421" t="str">
        <f>[24]Brewhouse!$AX927</f>
        <v>K. Benjamin</v>
      </c>
      <c r="P10" s="418"/>
      <c r="R10" s="277" t="str">
        <f t="shared" ref="R10:R39" si="0">B10</f>
        <v>CARIB</v>
      </c>
      <c r="S10" s="296">
        <f t="shared" ref="S10:S39" si="1">VLOOKUP($B10,$R$3:$X$9,2,FALSE)</f>
        <v>11.6</v>
      </c>
      <c r="T10" s="296">
        <f t="shared" ref="T10:T39" si="2">VLOOKUP($B10,$R$3:$X$9,3,FALSE)</f>
        <v>12</v>
      </c>
      <c r="U10" s="297">
        <f t="shared" ref="U10:U39" si="3">VLOOKUP($B10,$R$3:$X$9,4,FALSE)</f>
        <v>0</v>
      </c>
      <c r="V10" s="297">
        <f t="shared" ref="V10:V39" si="4">VLOOKUP($B10,$R$3:$X$9,5,FALSE)</f>
        <v>0.118055555555556</v>
      </c>
      <c r="W10" s="297">
        <f t="shared" ref="W10:W39" si="5">VLOOKUP($B10,$R$3:$X$9,6,FALSE)</f>
        <v>0.22569444444444445</v>
      </c>
      <c r="X10" s="297">
        <f t="shared" ref="X10:X39" si="6">VLOOKUP($B10,$R$3:$X$9,7,FALSE)</f>
        <v>0.2638888888888889</v>
      </c>
      <c r="Y10" s="297">
        <f t="shared" ref="Y10:Y39" si="7">VLOOKUP($B10,$R$3:$Z$9,8,FALSE)</f>
        <v>0</v>
      </c>
      <c r="Z10" s="296">
        <f t="shared" ref="Z10:Z39" si="8">VLOOKUP($B10,$R$3:$Z$9,9,FALSE)</f>
        <v>60</v>
      </c>
    </row>
    <row r="11" spans="2:29" ht="15" customHeight="1">
      <c r="B11" s="29" t="s">
        <v>6</v>
      </c>
      <c r="C11" s="366" t="str">
        <f>[24]Brewhouse!$A928</f>
        <v>CA813</v>
      </c>
      <c r="D11" s="279">
        <f>[24]Brewhouse!$AF928</f>
        <v>52.2</v>
      </c>
      <c r="E11" s="279">
        <f>[24]Brewhouse!$AI928</f>
        <v>50.8</v>
      </c>
      <c r="F11" s="278">
        <f>[24]Brewhouse!$V928</f>
        <v>63</v>
      </c>
      <c r="G11" s="279">
        <f>[24]Brewhouse!AG928</f>
        <v>11.6</v>
      </c>
      <c r="H11" s="396">
        <v>11.7</v>
      </c>
      <c r="I11" s="368">
        <f>[24]Brewhouse!$AU928</f>
        <v>96.824429483425632</v>
      </c>
      <c r="J11" s="368">
        <f>[24]Brewhouse!$AV928</f>
        <v>97.278401553137712</v>
      </c>
      <c r="K11" s="281">
        <f>[24]Brewhouse!$Q928</f>
        <v>2.8679245283018791</v>
      </c>
      <c r="L11" s="276">
        <f>[24]Brewhouse!$P928</f>
        <v>60</v>
      </c>
      <c r="M11" s="397">
        <f>[24]Brewhouse!$U928-[24]Brewhouse!$T928</f>
        <v>0.10972222222222222</v>
      </c>
      <c r="N11" s="370">
        <f>[24]Brewhouse!$Z928</f>
        <v>0.24999999999999997</v>
      </c>
      <c r="O11" s="421" t="str">
        <f>[24]Brewhouse!$AX928</f>
        <v>R. Regis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29" t="s">
        <v>6</v>
      </c>
      <c r="C12" s="366" t="str">
        <f>[24]Brewhouse!$A929</f>
        <v>CA814</v>
      </c>
      <c r="D12" s="279">
        <f>[24]Brewhouse!$AF929</f>
        <v>49</v>
      </c>
      <c r="E12" s="279">
        <f>[24]Brewhouse!$AI929</f>
        <v>49.8</v>
      </c>
      <c r="F12" s="278">
        <f>[24]Brewhouse!$V929</f>
        <v>61</v>
      </c>
      <c r="G12" s="279">
        <f>[24]Brewhouse!AG929</f>
        <v>11.5</v>
      </c>
      <c r="H12" s="396">
        <v>11.7</v>
      </c>
      <c r="I12" s="368">
        <f>[24]Brewhouse!$AU929</f>
        <v>94.636543838950345</v>
      </c>
      <c r="J12" s="368">
        <f>[24]Brewhouse!$AV929</f>
        <v>95.080080746452296</v>
      </c>
      <c r="K12" s="281">
        <f>[24]Brewhouse!$Q929</f>
        <v>9.0772128060263668</v>
      </c>
      <c r="L12" s="276">
        <f>[24]Brewhouse!$P929</f>
        <v>61</v>
      </c>
      <c r="M12" s="397">
        <f>[24]Brewhouse!$U929-[24]Brewhouse!$T929</f>
        <v>0.1152777777777777</v>
      </c>
      <c r="N12" s="370">
        <f>[24]Brewhouse!$Z929</f>
        <v>0.28888888888888886</v>
      </c>
      <c r="O12" s="421" t="str">
        <f>[24]Brewhouse!$AX929</f>
        <v>R. Regis</v>
      </c>
      <c r="P12" s="418" t="s">
        <v>176</v>
      </c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29" t="s">
        <v>6</v>
      </c>
      <c r="C13" s="366" t="str">
        <f>[24]Brewhouse!$A930</f>
        <v>CA815</v>
      </c>
      <c r="D13" s="279">
        <f>[24]Brewhouse!$AF930</f>
        <v>49.9</v>
      </c>
      <c r="E13" s="279">
        <f>[24]Brewhouse!$AI930</f>
        <v>50.7</v>
      </c>
      <c r="F13" s="278">
        <f>[24]Brewhouse!$V930</f>
        <v>62</v>
      </c>
      <c r="G13" s="279">
        <f>[24]Brewhouse!AG930</f>
        <v>11.6</v>
      </c>
      <c r="H13" s="476">
        <v>11.5</v>
      </c>
      <c r="I13" s="368">
        <f>[24]Brewhouse!$AU930</f>
        <v>97.109609170803139</v>
      </c>
      <c r="J13" s="368">
        <f>[24]Brewhouse!$AV930</f>
        <v>97.564773200913351</v>
      </c>
      <c r="K13" s="281">
        <f>[24]Brewhouse!$Q930</f>
        <v>7.3822975517890796</v>
      </c>
      <c r="L13" s="276">
        <f>[24]Brewhouse!$P930</f>
        <v>62</v>
      </c>
      <c r="M13" s="397">
        <f>[24]Brewhouse!$U930-[24]Brewhouse!$T930</f>
        <v>0.11597222222222225</v>
      </c>
      <c r="N13" s="370">
        <f>[24]Brewhouse!$Z930</f>
        <v>0.26666666666666666</v>
      </c>
      <c r="O13" s="421" t="str">
        <f>[24]Brewhouse!$AX930</f>
        <v>R. Regis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29" t="s">
        <v>6</v>
      </c>
      <c r="C14" s="366" t="str">
        <f>[24]Brewhouse!$A931</f>
        <v>CA816</v>
      </c>
      <c r="D14" s="279">
        <f>[24]Brewhouse!$AF931</f>
        <v>52.5</v>
      </c>
      <c r="E14" s="279">
        <f>[24]Brewhouse!$AI931</f>
        <v>50.9</v>
      </c>
      <c r="F14" s="278">
        <f>[24]Brewhouse!$V931</f>
        <v>63</v>
      </c>
      <c r="G14" s="279">
        <f>[24]Brewhouse!AG931</f>
        <v>11.7</v>
      </c>
      <c r="H14" s="396">
        <v>11.8</v>
      </c>
      <c r="I14" s="368">
        <f>[24]Brewhouse!$AU931</f>
        <v>97.537123049855666</v>
      </c>
      <c r="J14" s="368">
        <f>[24]Brewhouse!$AV931</f>
        <v>97.994545060001442</v>
      </c>
      <c r="K14" s="281">
        <f>[24]Brewhouse!$Q931</f>
        <v>2.4858757062146899</v>
      </c>
      <c r="L14" s="276">
        <f>[24]Brewhouse!$P931</f>
        <v>57</v>
      </c>
      <c r="M14" s="397">
        <f>[24]Brewhouse!$U931-[24]Brewhouse!$T931</f>
        <v>0.10486111111111118</v>
      </c>
      <c r="N14" s="370">
        <f>[24]Brewhouse!$Z931</f>
        <v>0.25138888888888888</v>
      </c>
      <c r="O14" s="421" t="str">
        <f>[24]Brewhouse!$AX931</f>
        <v>R.Sookram</v>
      </c>
      <c r="P14" s="418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" customHeight="1">
      <c r="B15" s="29" t="s">
        <v>6</v>
      </c>
      <c r="C15" s="366" t="str">
        <f>[24]Brewhouse!$A932</f>
        <v>CA817</v>
      </c>
      <c r="D15" s="279">
        <f>[24]Brewhouse!$AF932</f>
        <v>52.7</v>
      </c>
      <c r="E15" s="279">
        <f>[24]Brewhouse!$AI932</f>
        <v>50.8</v>
      </c>
      <c r="F15" s="278">
        <f>[24]Brewhouse!$V932</f>
        <v>71</v>
      </c>
      <c r="G15" s="279">
        <f>[24]Brewhouse!AG932</f>
        <v>11.7</v>
      </c>
      <c r="H15" s="396">
        <v>11.7</v>
      </c>
      <c r="I15" s="368">
        <f>[24]Brewhouse!$AU932</f>
        <v>97.345498053686995</v>
      </c>
      <c r="J15" s="368">
        <f>[24]Brewhouse!$AV932</f>
        <v>97.80202139583642</v>
      </c>
      <c r="K15" s="281">
        <f>[24]Brewhouse!$Q932</f>
        <v>2.1092278719397317</v>
      </c>
      <c r="L15" s="276">
        <f>[24]Brewhouse!$P932</f>
        <v>57</v>
      </c>
      <c r="M15" s="397">
        <f>[24]Brewhouse!$U932-[24]Brewhouse!$T932</f>
        <v>0.11111111111111116</v>
      </c>
      <c r="N15" s="370">
        <f>[24]Brewhouse!$Z932</f>
        <v>0.2416666666666667</v>
      </c>
      <c r="O15" s="421" t="str">
        <f>[24]Brewhouse!$AX932</f>
        <v>R.Sookram</v>
      </c>
      <c r="P15" s="418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" customHeight="1">
      <c r="B16" s="29" t="s">
        <v>6</v>
      </c>
      <c r="C16" s="366" t="str">
        <f>[24]Brewhouse!$A933</f>
        <v>CA818</v>
      </c>
      <c r="D16" s="279">
        <f>[24]Brewhouse!$AF933</f>
        <v>52.7</v>
      </c>
      <c r="E16" s="279">
        <f>[24]Brewhouse!$AI933</f>
        <v>51.8</v>
      </c>
      <c r="F16" s="278">
        <f>[24]Brewhouse!$V933</f>
        <v>65</v>
      </c>
      <c r="G16" s="279">
        <f>[24]Brewhouse!AG933</f>
        <v>11.6</v>
      </c>
      <c r="H16" s="396">
        <v>11.6</v>
      </c>
      <c r="I16" s="368">
        <f>[24]Brewhouse!$AU933</f>
        <v>98.36896042079556</v>
      </c>
      <c r="J16" s="368">
        <f>[24]Brewhouse!$AV933</f>
        <v>98.830283517116868</v>
      </c>
      <c r="K16" s="281">
        <f>[24]Brewhouse!$Q933</f>
        <v>2.1092278719397317</v>
      </c>
      <c r="L16" s="276">
        <f>[24]Brewhouse!$P933</f>
        <v>57</v>
      </c>
      <c r="M16" s="397">
        <f>[24]Brewhouse!$U933-[24]Brewhouse!$T933</f>
        <v>0.10625000000000007</v>
      </c>
      <c r="N16" s="370">
        <f>[24]Brewhouse!$Z933</f>
        <v>0.25277777777777777</v>
      </c>
      <c r="O16" s="421" t="str">
        <f>[24]Brewhouse!$AX933</f>
        <v>R.Sookram</v>
      </c>
      <c r="P16" s="418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" customHeight="1">
      <c r="B17" s="29" t="s">
        <v>6</v>
      </c>
      <c r="C17" s="366" t="str">
        <f>[24]Brewhouse!$A934</f>
        <v>CA819</v>
      </c>
      <c r="D17" s="279">
        <f>[24]Brewhouse!$AF934</f>
        <v>49.7</v>
      </c>
      <c r="E17" s="279">
        <f>[24]Brewhouse!$AI934</f>
        <v>48.9</v>
      </c>
      <c r="F17" s="278">
        <f>[24]Brewhouse!$V934</f>
        <v>60</v>
      </c>
      <c r="G17" s="279">
        <f>[24]Brewhouse!AG934</f>
        <v>11.6</v>
      </c>
      <c r="H17" s="396">
        <v>11.5</v>
      </c>
      <c r="I17" s="368">
        <f>[24]Brewhouse!$AU934</f>
        <v>93.893073126408083</v>
      </c>
      <c r="J17" s="368">
        <f>[24]Brewhouse!$AV934</f>
        <v>94.333090194319524</v>
      </c>
      <c r="K17" s="281">
        <f>[24]Brewhouse!$Q934</f>
        <v>10.415094339622634</v>
      </c>
      <c r="L17" s="276">
        <f>[24]Brewhouse!$P934</f>
        <v>60</v>
      </c>
      <c r="M17" s="397">
        <f>[24]Brewhouse!$U934-[24]Brewhouse!$T934</f>
        <v>0.11249999999999993</v>
      </c>
      <c r="N17" s="370">
        <f>[24]Brewhouse!$Z934</f>
        <v>0.23680555555555549</v>
      </c>
      <c r="O17" s="421" t="str">
        <f>[24]Brewhouse!$AX934</f>
        <v>K. Benjamin</v>
      </c>
      <c r="P17" s="418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" customHeight="1">
      <c r="B18" s="29" t="s">
        <v>6</v>
      </c>
      <c r="C18" s="366" t="str">
        <f>[24]Brewhouse!$A935</f>
        <v>CA820</v>
      </c>
      <c r="D18" s="279">
        <f>[24]Brewhouse!$AF935</f>
        <v>52.2</v>
      </c>
      <c r="E18" s="279">
        <f>[24]Brewhouse!$AI935</f>
        <v>50.5</v>
      </c>
      <c r="F18" s="278">
        <f>[24]Brewhouse!$V935</f>
        <v>53</v>
      </c>
      <c r="G18" s="279">
        <f>[24]Brewhouse!AG935</f>
        <v>11.7</v>
      </c>
      <c r="H18" s="396">
        <v>11.6</v>
      </c>
      <c r="I18" s="368">
        <f>[24]Brewhouse!$AU935</f>
        <v>97.845286668027526</v>
      </c>
      <c r="J18" s="368">
        <f>[24]Brewhouse!$AV935</f>
        <v>98.303825245102928</v>
      </c>
      <c r="K18" s="281">
        <f>[24]Brewhouse!$Q935</f>
        <v>2.8679245283018791</v>
      </c>
      <c r="L18" s="276">
        <f>[24]Brewhouse!$P935</f>
        <v>58</v>
      </c>
      <c r="M18" s="397">
        <f>[24]Brewhouse!$U935-[24]Brewhouse!$T935</f>
        <v>0.10763888888888884</v>
      </c>
      <c r="N18" s="370">
        <f>[24]Brewhouse!$Z935</f>
        <v>0.24305555555555547</v>
      </c>
      <c r="O18" s="421" t="str">
        <f>[24]Brewhouse!$AX935</f>
        <v>K. Benjamin</v>
      </c>
      <c r="P18" s="418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" customHeight="1">
      <c r="B19" s="475">
        <v>45968</v>
      </c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1"/>
      <c r="P19" s="418"/>
      <c r="R19" s="277"/>
      <c r="S19" s="296"/>
      <c r="T19" s="296"/>
      <c r="U19" s="297"/>
      <c r="V19" s="297"/>
      <c r="W19" s="297"/>
      <c r="X19" s="297"/>
      <c r="Y19" s="297"/>
      <c r="Z19" s="296"/>
    </row>
    <row r="20" spans="1:26" ht="15" customHeight="1">
      <c r="B20" s="29" t="s">
        <v>6</v>
      </c>
      <c r="C20" s="366" t="str">
        <f>[24]Brewhouse!$A936</f>
        <v>CA821</v>
      </c>
      <c r="D20" s="279">
        <f>[24]Brewhouse!$AF936</f>
        <v>49.1</v>
      </c>
      <c r="E20" s="279">
        <f>[24]Brewhouse!$AI936</f>
        <v>49.8</v>
      </c>
      <c r="F20" s="278">
        <f>[24]Brewhouse!$V936</f>
        <v>56</v>
      </c>
      <c r="G20" s="279">
        <f>[24]Brewhouse!AG936</f>
        <v>11.8</v>
      </c>
      <c r="H20" s="396">
        <v>11.7</v>
      </c>
      <c r="I20" s="368">
        <f>[24]Brewhouse!$AU936</f>
        <v>96.997802076386705</v>
      </c>
      <c r="J20" s="368">
        <f>[24]Brewhouse!$AV936</f>
        <v>97.452478429537436</v>
      </c>
      <c r="K20" s="281">
        <f>[24]Brewhouse!$Q936</f>
        <v>8.7169811320754675</v>
      </c>
      <c r="L20" s="276">
        <f>[24]Brewhouse!$P936</f>
        <v>60</v>
      </c>
      <c r="M20" s="397">
        <f>[24]Brewhouse!$U936-[24]Brewhouse!$T936</f>
        <v>0.1131944444444446</v>
      </c>
      <c r="N20" s="370">
        <f>[24]Brewhouse!$Z936</f>
        <v>0.26111111111111129</v>
      </c>
      <c r="O20" s="421" t="str">
        <f>[24]Brewhouse!$AX936</f>
        <v>K. Benjamin</v>
      </c>
      <c r="P20" s="418"/>
      <c r="R20" s="277" t="str">
        <f t="shared" si="0"/>
        <v>CARIB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1:26" ht="1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" hidden="1" customHeight="1">
      <c r="B23" s="33"/>
      <c r="C23" s="366"/>
      <c r="D23" s="279"/>
      <c r="E23" s="279"/>
      <c r="F23" s="278"/>
      <c r="G23" s="279"/>
      <c r="H23" s="396"/>
      <c r="I23" s="420"/>
      <c r="J23" s="420"/>
      <c r="K23" s="281"/>
      <c r="L23" s="276"/>
      <c r="M23" s="374"/>
      <c r="N23" s="370"/>
      <c r="O23" s="42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" hidden="1" customHeight="1">
      <c r="B24" s="33"/>
      <c r="C24" s="366"/>
      <c r="D24" s="279"/>
      <c r="E24" s="279"/>
      <c r="F24" s="278"/>
      <c r="G24" s="279"/>
      <c r="H24" s="396"/>
      <c r="I24" s="420"/>
      <c r="J24" s="420"/>
      <c r="K24" s="281"/>
      <c r="L24" s="276"/>
      <c r="M24" s="374"/>
      <c r="N24" s="370"/>
      <c r="O24" s="42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customHeight="1" thickBot="1">
      <c r="B26" s="358"/>
      <c r="C26" s="358"/>
      <c r="D26" s="358"/>
      <c r="E26" s="358"/>
      <c r="F26" s="294"/>
      <c r="G26" s="294"/>
      <c r="H26" s="348"/>
      <c r="I26" s="512"/>
      <c r="J26" s="512"/>
      <c r="K26" s="512"/>
      <c r="L26" s="512"/>
      <c r="M26" s="512"/>
      <c r="N26" s="512"/>
      <c r="O26" s="1"/>
      <c r="P26" s="12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customHeight="1" thickBot="1">
      <c r="B27" s="388" t="s">
        <v>162</v>
      </c>
      <c r="C27" s="388"/>
      <c r="D27" s="490" t="s">
        <v>35</v>
      </c>
      <c r="E27" s="491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0"/>
        <v xml:space="preserve">BRAND 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" customHeight="1">
      <c r="A28" s="28"/>
      <c r="B28" s="581" t="str">
        <f>I31</f>
        <v>VITAMALT</v>
      </c>
      <c r="C28" s="362" cm="1">
        <f t="array" ref="C28:C35">[23]Process!$D$97:$D$104</f>
        <v>14.1</v>
      </c>
      <c r="D28" s="516">
        <v>16.28</v>
      </c>
      <c r="E28" s="517"/>
      <c r="F28" s="294"/>
      <c r="G28" s="294"/>
      <c r="H28" s="348"/>
      <c r="I28" s="29" t="s">
        <v>6</v>
      </c>
      <c r="J28" s="280">
        <f>AVERAGE(I10:I18)</f>
        <v>96.696977013195408</v>
      </c>
      <c r="K28" s="284">
        <f>COUNTA([24]Brewhouse!$A$914:$A$935)</f>
        <v>22</v>
      </c>
      <c r="L28" s="305">
        <f>AVERAGE([24]Brewhouse!$AU$914:$AU$935)</f>
        <v>97.108137307541043</v>
      </c>
      <c r="M28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$935)</f>
        <v>97.696318603692305</v>
      </c>
      <c r="N28" s="30">
        <v>98</v>
      </c>
      <c r="O28" s="11"/>
      <c r="P28" s="31"/>
      <c r="R28" s="277" t="str">
        <f t="shared" si="0"/>
        <v>VITAMALT</v>
      </c>
      <c r="S28" s="296">
        <f t="shared" si="1"/>
        <v>14.2</v>
      </c>
      <c r="T28" s="296">
        <f t="shared" si="2"/>
        <v>14.6</v>
      </c>
      <c r="U28" s="297">
        <f t="shared" si="3"/>
        <v>0</v>
      </c>
      <c r="V28" s="297">
        <f t="shared" si="4"/>
        <v>0.13905092592592591</v>
      </c>
      <c r="W28" s="297">
        <f t="shared" si="5"/>
        <v>0.26041666666666669</v>
      </c>
      <c r="X28" s="297">
        <f t="shared" si="6"/>
        <v>0.2951388888888889</v>
      </c>
      <c r="Y28" s="297">
        <f t="shared" si="7"/>
        <v>0</v>
      </c>
      <c r="Z28" s="296">
        <f t="shared" si="8"/>
        <v>75</v>
      </c>
    </row>
    <row r="29" spans="1:26" ht="15" customHeight="1">
      <c r="A29" s="28"/>
      <c r="B29" s="582"/>
      <c r="C29" s="362">
        <v>14.3</v>
      </c>
      <c r="D29" s="518"/>
      <c r="E29" s="519"/>
      <c r="F29" s="294"/>
      <c r="G29" s="294"/>
      <c r="H29" s="348"/>
      <c r="I29" s="33" t="s">
        <v>9</v>
      </c>
      <c r="J29" s="280"/>
      <c r="K29" s="284"/>
      <c r="L29" s="302"/>
      <c r="M29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$443)</f>
        <v>97.924881193248822</v>
      </c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4.65" customHeight="1">
      <c r="A30" s="28"/>
      <c r="B30" s="582"/>
      <c r="C30" s="362">
        <v>14.3</v>
      </c>
      <c r="D30" s="566">
        <v>16.13</v>
      </c>
      <c r="E30" s="567"/>
      <c r="F30" s="294"/>
      <c r="G30" s="294"/>
      <c r="H30" s="348"/>
      <c r="I30" s="34" t="s">
        <v>12</v>
      </c>
      <c r="J30" s="280"/>
      <c r="K30" s="284"/>
      <c r="L30" s="302"/>
      <c r="M30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82"/>
      <c r="C31" s="362">
        <v>14.6</v>
      </c>
      <c r="D31" s="531"/>
      <c r="E31" s="519"/>
      <c r="F31" s="294"/>
      <c r="G31" s="294"/>
      <c r="H31" s="348"/>
      <c r="I31" s="22" t="s">
        <v>33</v>
      </c>
      <c r="J31" s="280"/>
      <c r="K31" s="284">
        <f>COUNTA([23]Brewhouse!$A$97:$A$104)</f>
        <v>8</v>
      </c>
      <c r="L31" s="302">
        <f>AVERAGE([23]Brewhouse!$AV$97:$AV$104)</f>
        <v>98.419138016287462</v>
      </c>
      <c r="M31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82"/>
      <c r="C32" s="362">
        <v>14.5</v>
      </c>
      <c r="D32" s="566">
        <v>16.3</v>
      </c>
      <c r="E32" s="567"/>
      <c r="F32" s="417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56" ht="14.65" customHeight="1">
      <c r="A33" s="28"/>
      <c r="B33" s="582"/>
      <c r="C33" s="362">
        <v>14.2</v>
      </c>
      <c r="D33" s="531"/>
      <c r="E33" s="519"/>
      <c r="F33" s="417"/>
      <c r="G33" s="294"/>
      <c r="H33" s="348"/>
      <c r="I33" s="36" t="s">
        <v>15</v>
      </c>
      <c r="J33" s="323"/>
      <c r="K33" s="284"/>
      <c r="L33" s="302"/>
      <c r="M33" s="302">
        <f>AVERAGE([27]Brewhouse!$AT$4:$AT$11,[27]Brewhouse!$AT$13:$AT$16,[27]Brewhouse!$AT$18:$AT$21,[27]Brewhouse!$AT$26,[27]Brewhouse!$AT$28:$AT$35)</f>
        <v>94.794664331624134</v>
      </c>
      <c r="N33" s="3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4.65" customHeight="1">
      <c r="A34" s="28"/>
      <c r="B34" s="582"/>
      <c r="C34" s="362">
        <v>14.1</v>
      </c>
      <c r="D34" s="566">
        <v>16.7</v>
      </c>
      <c r="E34" s="567"/>
      <c r="F34" s="417"/>
      <c r="G34" s="294"/>
      <c r="H34" s="348"/>
      <c r="I34" s="37" t="s">
        <v>16</v>
      </c>
      <c r="J34" s="323"/>
      <c r="K34" s="284">
        <f>COUNTA([22]Brewhouse!$A$94:$A$97)</f>
        <v>4</v>
      </c>
      <c r="L34" s="302">
        <f>AVERAGE([22]Brewhouse!$AY$94:$AY$97)</f>
        <v>95.326767995731288</v>
      </c>
      <c r="M34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4" s="30">
        <v>98</v>
      </c>
      <c r="O34" s="11"/>
      <c r="P34" s="31" t="s">
        <v>41</v>
      </c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4.65" customHeight="1">
      <c r="A35" s="28"/>
      <c r="B35" s="582"/>
      <c r="C35" s="362">
        <v>14.2</v>
      </c>
      <c r="D35" s="531"/>
      <c r="E35" s="519"/>
      <c r="F35" s="294"/>
      <c r="G35" s="294"/>
      <c r="H35" s="348"/>
      <c r="I35" s="411" t="s">
        <v>158</v>
      </c>
      <c r="J35" s="326"/>
      <c r="K35" s="284"/>
      <c r="L35" s="305"/>
      <c r="M35" s="305">
        <f>AVERAGE([28]Brewhouse!$AU$5:$AU$8,[28]Brewhouse!$AU$10:$AU$13,[22]Brewhouse!$AY$75:$AY$77)</f>
        <v>94.749192473706671</v>
      </c>
      <c r="N35" s="30">
        <v>98</v>
      </c>
      <c r="O35" s="11"/>
      <c r="P35" s="31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4.65" customHeight="1">
      <c r="A36" s="28"/>
      <c r="B36" s="582"/>
      <c r="C36" s="349"/>
      <c r="D36" s="566"/>
      <c r="E36" s="567"/>
      <c r="F36" s="294"/>
      <c r="G36" s="294"/>
      <c r="H36" s="348"/>
      <c r="I36" s="410" t="s">
        <v>157</v>
      </c>
      <c r="J36" s="326"/>
      <c r="K36" s="284"/>
      <c r="L36" s="305"/>
      <c r="M36" s="305">
        <f>AVERAGE([29]Brewhouse!$AW$26:$AW$27)</f>
        <v>95.310680905194914</v>
      </c>
      <c r="N36" s="30">
        <v>98</v>
      </c>
      <c r="O36" s="11"/>
      <c r="P36" s="31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5" customHeight="1" thickBot="1">
      <c r="A37" s="28"/>
      <c r="B37" s="582"/>
      <c r="C37" s="349"/>
      <c r="D37" s="531"/>
      <c r="E37" s="519"/>
      <c r="F37" s="294"/>
      <c r="G37" s="294"/>
      <c r="H37" s="348"/>
      <c r="I37" s="406" t="s">
        <v>156</v>
      </c>
      <c r="J37" s="327"/>
      <c r="K37" s="407"/>
      <c r="L37" s="408"/>
      <c r="M37" s="408">
        <f>AVERAGE([30]Brewhouse!$AU$13:$AU$14)</f>
        <v>97.110575243268045</v>
      </c>
      <c r="N37" s="409">
        <v>98</v>
      </c>
      <c r="O37" s="11"/>
      <c r="P37" s="31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AA37" s="296"/>
    </row>
    <row r="38" spans="1:56" ht="15" customHeight="1" thickBot="1">
      <c r="A38" s="28"/>
      <c r="B38" s="582"/>
      <c r="C38" s="349"/>
      <c r="D38" s="516"/>
      <c r="E38" s="517"/>
      <c r="F38" s="294"/>
      <c r="G38" s="294"/>
      <c r="H38" s="348"/>
      <c r="I38" s="1"/>
      <c r="J38" s="39"/>
      <c r="K38" s="404">
        <f>SUM(K28:K37)</f>
        <v>34</v>
      </c>
      <c r="L38" s="405">
        <f>((L28*K28)+(L29*K29)+(L30*K30)+(L31*K31)+(L32*K32)+(K35*L35)+(L33*K33)+(L34*K34)+(L37*K37))/(K38)</f>
        <v>97.20703520232729</v>
      </c>
      <c r="M38" s="405">
        <f>AVERAGE('[31]Jan 31st'!$L$65,'[32]Feb 28th'!$L$35,'[33]Mar. 31st'!$L$35,'[34]Apr. 30th'!$L$45,'[35]May 30th'!$L$37,'[36]June 30th'!$L$57,'[37]July 29th '!$L$44,'[38]Aug 29th'!$L$29,'[39]Sept 30th'!$L$35,L38)</f>
        <v>97.538653759914524</v>
      </c>
      <c r="N38" s="40">
        <v>98</v>
      </c>
      <c r="O38" s="11"/>
      <c r="P38" s="31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  <c r="AA38" s="296"/>
    </row>
    <row r="39" spans="1:56" ht="15.75" thickBot="1">
      <c r="B39" s="583"/>
      <c r="C39" s="350"/>
      <c r="D39" s="518"/>
      <c r="E39" s="519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  <c r="AA39" s="296"/>
    </row>
    <row r="40" spans="1:56" ht="15.75" thickBot="1">
      <c r="B40" s="513"/>
      <c r="C40" s="362"/>
      <c r="D40" s="529"/>
      <c r="E40" s="530"/>
      <c r="F40" s="294"/>
      <c r="G40" s="42"/>
      <c r="H40" s="41"/>
      <c r="I40" s="42"/>
      <c r="J40" s="565" t="s">
        <v>129</v>
      </c>
      <c r="K40" s="565"/>
      <c r="L40" s="294"/>
      <c r="M40" s="294"/>
      <c r="N40" s="294"/>
      <c r="O40" s="294"/>
      <c r="P40" s="12"/>
    </row>
    <row r="41" spans="1:56" ht="15.75" thickBot="1">
      <c r="B41" s="514"/>
      <c r="C41" s="362"/>
      <c r="D41" s="531"/>
      <c r="E41" s="519"/>
      <c r="F41" s="294"/>
      <c r="G41" s="42"/>
      <c r="H41" s="41"/>
      <c r="I41" s="42"/>
      <c r="J41" s="292" t="s">
        <v>17</v>
      </c>
      <c r="K41" s="293" t="s">
        <v>147</v>
      </c>
      <c r="L41" s="533" t="s">
        <v>136</v>
      </c>
      <c r="M41" s="533"/>
      <c r="N41" s="534"/>
      <c r="O41" s="294"/>
      <c r="P41" s="12"/>
    </row>
    <row r="42" spans="1:56" ht="15" customHeight="1" thickBot="1">
      <c r="B42" s="514"/>
      <c r="C42" s="349"/>
      <c r="D42" s="566"/>
      <c r="E42" s="567"/>
      <c r="F42" s="294"/>
      <c r="G42" s="42"/>
      <c r="H42" s="41"/>
      <c r="I42" s="42"/>
      <c r="J42" s="287" t="s">
        <v>6</v>
      </c>
      <c r="K42" s="324">
        <f>COUNTA(C10:C18)</f>
        <v>9</v>
      </c>
      <c r="L42" s="343" t="s">
        <v>37</v>
      </c>
      <c r="M42" s="307" t="s">
        <v>38</v>
      </c>
      <c r="N42" s="307" t="s">
        <v>84</v>
      </c>
      <c r="O42" s="294"/>
      <c r="P42" s="12"/>
    </row>
    <row r="43" spans="1:56" ht="15.75" customHeight="1" thickBot="1">
      <c r="B43" s="514"/>
      <c r="C43" s="349"/>
      <c r="D43" s="531"/>
      <c r="E43" s="519"/>
      <c r="F43" s="294"/>
      <c r="G43" s="42"/>
      <c r="H43" s="41"/>
      <c r="I43" s="42"/>
      <c r="J43" s="345" t="s">
        <v>9</v>
      </c>
      <c r="K43" s="324"/>
      <c r="L43" s="344">
        <f>AVERAGE('Nov 6th '!K52,'Nov 4th'!K52,'Nov 5th'!K51,Nov.3rd!K52)</f>
        <v>8.5</v>
      </c>
      <c r="M43" s="325">
        <f>AVERAGE('[31]Jan 29th '!$M$70,'[32]Feb 28th'!$L$40,'[33]Mar. 31st'!$L$40,'[34]Apr. 30th'!$L$50,'[35]May 30th'!$L$42,'[36]June 30th'!$L$62,'[37]July 29th '!$L$49,'[38]Aug 29th'!$L$34,'[39]Sept 30th'!$L$40,[40]Oct.31st!$L$43,L43)</f>
        <v>7.1938823952553923</v>
      </c>
      <c r="N43" s="416">
        <v>9.1999999999999993</v>
      </c>
      <c r="O43" s="294"/>
      <c r="P43" s="12"/>
    </row>
    <row r="44" spans="1:56" ht="15" customHeight="1">
      <c r="B44" s="514"/>
      <c r="C44" s="349"/>
      <c r="D44" s="566"/>
      <c r="E44" s="567"/>
      <c r="F44" s="294"/>
      <c r="G44" s="42"/>
      <c r="H44" s="41"/>
      <c r="I44" s="42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514"/>
      <c r="C45" s="349"/>
      <c r="D45" s="531"/>
      <c r="E45" s="519"/>
      <c r="F45" s="294"/>
      <c r="G45" s="42"/>
      <c r="H45" s="41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14"/>
      <c r="C46" s="349"/>
      <c r="D46" s="566"/>
      <c r="E46" s="567"/>
      <c r="F46" s="294"/>
      <c r="G46" s="42"/>
      <c r="H46" s="41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14"/>
      <c r="C47" s="349"/>
      <c r="D47" s="531"/>
      <c r="E47" s="519"/>
      <c r="F47" s="294"/>
      <c r="G47" s="42"/>
      <c r="H47" s="41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14"/>
      <c r="C48" s="349"/>
      <c r="D48" s="566"/>
      <c r="E48" s="567"/>
      <c r="F48" s="294"/>
      <c r="G48" s="42"/>
      <c r="H48" s="41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thickBot="1">
      <c r="B49" s="515"/>
      <c r="C49" s="350"/>
      <c r="D49" s="568"/>
      <c r="E49" s="569"/>
      <c r="F49" s="294" t="s">
        <v>168</v>
      </c>
      <c r="G49" s="42"/>
      <c r="H49" s="41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2:57" ht="17.649999999999999" customHeight="1" thickBot="1">
      <c r="B50" s="312" t="s">
        <v>139</v>
      </c>
      <c r="C50" s="313"/>
      <c r="D50" s="576"/>
      <c r="E50" s="577"/>
      <c r="F50" s="294"/>
      <c r="H50" s="41"/>
      <c r="I50" s="42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>
      <c r="B51" s="363"/>
      <c r="C51" s="364"/>
      <c r="D51" s="365"/>
      <c r="E51" s="365"/>
      <c r="F51" s="294"/>
      <c r="G51" s="42"/>
      <c r="H51" s="41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6" customHeight="1">
      <c r="B52" s="45"/>
      <c r="C52" s="11"/>
      <c r="D52" s="11"/>
      <c r="E52" s="46"/>
      <c r="F52" s="294"/>
      <c r="G52" s="42"/>
      <c r="H52" s="41"/>
      <c r="I52" s="42"/>
      <c r="J52" s="346" t="s">
        <v>130</v>
      </c>
      <c r="K52" s="324">
        <f>SUM(K42:K51)</f>
        <v>9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294"/>
      <c r="N53" s="315"/>
      <c r="P53" s="334"/>
    </row>
    <row r="54" spans="2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2:57" ht="15" customHeight="1" thickBot="1">
      <c r="B55" s="541" t="s">
        <v>17</v>
      </c>
      <c r="C55" s="541" t="s">
        <v>44</v>
      </c>
      <c r="D55" s="543" t="s">
        <v>45</v>
      </c>
      <c r="E55" s="498" t="s">
        <v>46</v>
      </c>
      <c r="F55" s="558" t="s">
        <v>47</v>
      </c>
      <c r="G55" s="552" t="s">
        <v>48</v>
      </c>
      <c r="H55" s="541" t="s">
        <v>49</v>
      </c>
      <c r="I55" s="541" t="s">
        <v>50</v>
      </c>
      <c r="J55" s="546" t="s">
        <v>28</v>
      </c>
      <c r="K55" s="496" t="s">
        <v>51</v>
      </c>
      <c r="L55" s="508" t="s">
        <v>52</v>
      </c>
      <c r="M55" s="546" t="s">
        <v>53</v>
      </c>
      <c r="N55" s="13"/>
      <c r="O55" s="13"/>
      <c r="P55" s="50"/>
    </row>
    <row r="56" spans="2:57" ht="28.5" customHeight="1" thickTop="1" thickBot="1">
      <c r="B56" s="542"/>
      <c r="C56" s="542"/>
      <c r="D56" s="544"/>
      <c r="E56" s="545"/>
      <c r="F56" s="559"/>
      <c r="G56" s="553"/>
      <c r="H56" s="560"/>
      <c r="I56" s="560"/>
      <c r="J56" s="547"/>
      <c r="K56" s="556"/>
      <c r="L56" s="557"/>
      <c r="M56" s="547"/>
      <c r="N56" s="13"/>
      <c r="O56" s="13"/>
      <c r="P56" s="50"/>
      <c r="Q56" s="355"/>
      <c r="AB56" s="51">
        <v>43474</v>
      </c>
      <c r="AC56" s="51">
        <v>43475</v>
      </c>
      <c r="AD56" s="51">
        <v>43476</v>
      </c>
      <c r="AE56" s="51">
        <v>43477</v>
      </c>
      <c r="AF56" s="51">
        <v>43478</v>
      </c>
      <c r="AG56" s="51">
        <v>43479</v>
      </c>
      <c r="AH56" s="51">
        <v>43480</v>
      </c>
      <c r="AI56" s="51">
        <v>43481</v>
      </c>
      <c r="AJ56" s="51">
        <v>43482</v>
      </c>
      <c r="AK56" s="51">
        <v>43483</v>
      </c>
      <c r="AL56" s="51">
        <v>43484</v>
      </c>
      <c r="AM56" s="51">
        <v>43485</v>
      </c>
      <c r="AN56" s="51">
        <v>43486</v>
      </c>
      <c r="AO56" s="51">
        <v>43487</v>
      </c>
      <c r="AP56" s="51">
        <v>43488</v>
      </c>
      <c r="AQ56" s="51">
        <v>43489</v>
      </c>
      <c r="AR56" s="51">
        <v>43490</v>
      </c>
      <c r="AS56" s="51">
        <v>43491</v>
      </c>
      <c r="AT56" s="51">
        <v>43492</v>
      </c>
      <c r="AU56" s="51">
        <v>43493</v>
      </c>
      <c r="AV56" s="51">
        <v>43494</v>
      </c>
      <c r="AW56" s="51">
        <v>43495</v>
      </c>
      <c r="AX56" s="51">
        <v>43496</v>
      </c>
    </row>
    <row r="57" spans="2:57" s="54" customFormat="1" ht="43.15" customHeight="1" thickBot="1">
      <c r="B57" s="474" t="str">
        <f>J45</f>
        <v>VITAMALT</v>
      </c>
      <c r="C57" s="442">
        <v>45967</v>
      </c>
      <c r="D57" s="443">
        <f>[41]November_2025!$I$65</f>
        <v>388</v>
      </c>
      <c r="E57" s="444">
        <f>SUM([43]VITAMALT!$J$6:$J$13)</f>
        <v>16.399999999999999</v>
      </c>
      <c r="F57" s="445"/>
      <c r="G57" s="445">
        <f>[41]November_2025!$I$70</f>
        <v>389.09999999999997</v>
      </c>
      <c r="H57" s="460"/>
      <c r="I57" s="460"/>
      <c r="J57" s="449" t="s">
        <v>174</v>
      </c>
      <c r="K57" s="450">
        <f>[42]November_2025!$I$60</f>
        <v>0.68263157894736837</v>
      </c>
      <c r="L57" s="459">
        <f>(((D57+E57)-G57)/(D57+E57))*100</f>
        <v>3.7833827893175105</v>
      </c>
      <c r="M57" s="456" t="s">
        <v>175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[20]January_2019!L7</f>
        <v>285.8</v>
      </c>
      <c r="AC57" s="57">
        <f>[20]January_2019!M7</f>
        <v>508.1</v>
      </c>
      <c r="AD57" s="57">
        <f>[20]January_2019!N7</f>
        <v>0</v>
      </c>
      <c r="AE57" s="57">
        <f>[20]January_2019!O7</f>
        <v>0</v>
      </c>
      <c r="AF57" s="57">
        <f>[20]January_2019!P7</f>
        <v>109.56666666666666</v>
      </c>
      <c r="AG57" s="57">
        <f>[20]January_2019!Q7</f>
        <v>297.64999999999998</v>
      </c>
      <c r="AH57" s="57">
        <f>[20]January_2019!R7</f>
        <v>122.3</v>
      </c>
      <c r="AI57" s="57">
        <f>[20]January_2019!S7</f>
        <v>0</v>
      </c>
      <c r="AJ57" s="57">
        <f>[20]January_2019!T7</f>
        <v>294.7</v>
      </c>
      <c r="AK57" s="57">
        <f>[20]January_2019!U7</f>
        <v>280.5</v>
      </c>
      <c r="AL57" s="57">
        <f>[20]January_2019!V7</f>
        <v>0</v>
      </c>
      <c r="AM57" s="57">
        <f>[20]January_2019!W7</f>
        <v>0</v>
      </c>
      <c r="AN57" s="57">
        <f>[20]January_2019!X7</f>
        <v>188.25</v>
      </c>
      <c r="AO57" s="57">
        <f>[20]January_2019!Y7</f>
        <v>295.7</v>
      </c>
      <c r="AP57" s="57">
        <f>[20]January_2019!Z7</f>
        <v>257.8</v>
      </c>
      <c r="AQ57" s="57">
        <f>[20]January_2019!AA7</f>
        <v>291.2</v>
      </c>
      <c r="AR57" s="57">
        <f>[20]January_2019!AB7</f>
        <v>187</v>
      </c>
      <c r="AS57" s="57">
        <f>[20]January_2019!AC7</f>
        <v>0</v>
      </c>
      <c r="AT57" s="57">
        <f>[20]January_2019!AD7</f>
        <v>0</v>
      </c>
      <c r="AU57" s="57">
        <f>[20]January_2019!AE7</f>
        <v>485.1</v>
      </c>
      <c r="AV57" s="57">
        <f>[20]January_2019!AF7</f>
        <v>171.55</v>
      </c>
      <c r="AW57" s="57">
        <f>[20]January_2019!AG7</f>
        <v>423.8</v>
      </c>
      <c r="AX57" s="277">
        <f>[20]January_2019!AH7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20.45" hidden="1" customHeight="1" thickBot="1">
      <c r="B58" s="473"/>
      <c r="C58" s="431"/>
      <c r="D58" s="432"/>
      <c r="E58" s="433"/>
      <c r="F58" s="434"/>
      <c r="G58" s="435"/>
      <c r="H58" s="429"/>
      <c r="I58" s="429"/>
      <c r="J58" s="452"/>
      <c r="K58" s="437"/>
      <c r="L58" s="453"/>
      <c r="M58" s="422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450000000000003" hidden="1" customHeight="1" thickBot="1">
      <c r="B59" s="473"/>
      <c r="C59" s="442">
        <v>45966</v>
      </c>
      <c r="D59" s="443"/>
      <c r="E59" s="444"/>
      <c r="F59" s="445"/>
      <c r="G59" s="446"/>
      <c r="H59" s="460"/>
      <c r="I59" s="460"/>
      <c r="J59" s="449"/>
      <c r="K59" s="462"/>
      <c r="L59" s="472" t="e">
        <f>(((D59+E59)-G59)/(D59+E59))*100</f>
        <v>#DIV/0!</v>
      </c>
      <c r="M59" s="456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 hidden="1">
      <c r="B60" s="454"/>
      <c r="C60" s="431"/>
      <c r="D60" s="432"/>
      <c r="E60" s="433"/>
      <c r="F60" s="434"/>
      <c r="G60" s="435"/>
      <c r="H60" s="436"/>
      <c r="I60" s="451"/>
      <c r="J60" s="452"/>
      <c r="K60" s="437"/>
      <c r="L60" s="453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hidden="1" customHeight="1" thickBot="1">
      <c r="B61" s="461"/>
      <c r="C61" s="442"/>
      <c r="D61" s="443"/>
      <c r="E61" s="444"/>
      <c r="F61" s="445"/>
      <c r="G61" s="446"/>
      <c r="H61" s="447"/>
      <c r="I61" s="448"/>
      <c r="J61" s="449"/>
      <c r="K61" s="450"/>
      <c r="L61" s="459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8"/>
      <c r="C62" s="424"/>
      <c r="D62" s="425"/>
      <c r="E62" s="426"/>
      <c r="F62" s="427"/>
      <c r="G62" s="428"/>
      <c r="H62" s="429"/>
      <c r="I62" s="439"/>
      <c r="J62" s="440"/>
      <c r="K62" s="430"/>
      <c r="L62" s="441"/>
      <c r="M62" s="423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s="54" customFormat="1" ht="37.15" hidden="1" customHeight="1" thickBot="1">
      <c r="B63" s="461"/>
      <c r="C63" s="442"/>
      <c r="D63" s="443"/>
      <c r="E63" s="444"/>
      <c r="F63" s="445"/>
      <c r="G63" s="446"/>
      <c r="H63" s="447"/>
      <c r="I63" s="448"/>
      <c r="J63" s="449"/>
      <c r="K63" s="450"/>
      <c r="L63" s="459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15" customHeight="1">
      <c r="B64" s="470"/>
      <c r="C64" s="431"/>
      <c r="D64" s="464"/>
      <c r="E64" s="465"/>
      <c r="F64" s="466"/>
      <c r="G64" s="464"/>
      <c r="H64" s="467"/>
      <c r="I64" s="467"/>
      <c r="J64" s="467"/>
      <c r="K64" s="468"/>
      <c r="L64" s="469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48" t="s">
        <v>55</v>
      </c>
      <c r="C66" s="549"/>
      <c r="D66" s="549"/>
      <c r="E66" s="549"/>
      <c r="F66" s="550"/>
      <c r="G66" s="548" t="s">
        <v>56</v>
      </c>
      <c r="H66" s="549"/>
      <c r="I66" s="549"/>
      <c r="J66" s="550"/>
      <c r="K66" s="548" t="s">
        <v>51</v>
      </c>
      <c r="L66" s="549"/>
      <c r="M66" s="549"/>
      <c r="N66" s="551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/>
      <c r="D68" s="76">
        <v>5.6319231282530273</v>
      </c>
      <c r="E68" s="76">
        <v>6.0605326541347297</v>
      </c>
      <c r="F68" s="66">
        <v>4.8</v>
      </c>
      <c r="G68" s="65"/>
      <c r="H68" s="76">
        <v>7.4734885378868032</v>
      </c>
      <c r="I68" s="76">
        <v>6.0781746761521545</v>
      </c>
      <c r="J68" s="66">
        <v>4.8</v>
      </c>
      <c r="K68" s="67"/>
      <c r="L68" s="194">
        <v>0.28046783625730998</v>
      </c>
      <c r="M68" s="194">
        <v>0.70199764246992191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5.1671214188267509</v>
      </c>
      <c r="E69" s="76">
        <v>5.7344696924419472</v>
      </c>
      <c r="F69" s="66">
        <v>4.8</v>
      </c>
      <c r="G69" s="65"/>
      <c r="H69" s="76">
        <v>3.8690868488751016</v>
      </c>
      <c r="I69" s="76">
        <v>6.3491977772279</v>
      </c>
      <c r="J69" s="66">
        <v>4.8</v>
      </c>
      <c r="K69" s="67"/>
      <c r="L69" s="194">
        <v>0.48780701754385969</v>
      </c>
      <c r="M69" s="194">
        <v>0.65340260538294603</v>
      </c>
      <c r="N69" s="68">
        <v>1</v>
      </c>
      <c r="P69" s="69"/>
    </row>
    <row r="70" spans="2:16" ht="15">
      <c r="B70" s="34" t="s">
        <v>40</v>
      </c>
      <c r="C70" s="65"/>
      <c r="D70" s="76"/>
      <c r="E70" s="76">
        <v>11.019084676672206</v>
      </c>
      <c r="F70" s="66">
        <v>5.5</v>
      </c>
      <c r="G70" s="65"/>
      <c r="H70" s="76"/>
      <c r="I70" s="76">
        <v>12.668713273493125</v>
      </c>
      <c r="J70" s="66">
        <v>5.5</v>
      </c>
      <c r="K70" s="67"/>
      <c r="L70" s="194"/>
      <c r="M70" s="194">
        <v>0.49234992101105851</v>
      </c>
      <c r="N70" s="68">
        <v>1</v>
      </c>
      <c r="P70" s="69"/>
    </row>
    <row r="71" spans="2:16" ht="15">
      <c r="B71" s="22" t="s">
        <v>33</v>
      </c>
      <c r="C71" s="65">
        <f>L57</f>
        <v>3.7833827893175105</v>
      </c>
      <c r="D71" s="76">
        <v>3.7833827893175105</v>
      </c>
      <c r="E71" s="76">
        <v>4.6226456706805745</v>
      </c>
      <c r="F71" s="66">
        <v>3.3</v>
      </c>
      <c r="G71" s="65">
        <f>[41]November_2025!$I$74</f>
        <v>3.7421885632627285</v>
      </c>
      <c r="H71" s="76">
        <v>3.7421885632627285</v>
      </c>
      <c r="I71" s="76">
        <v>4.4171317623593813</v>
      </c>
      <c r="J71" s="66">
        <v>3.3</v>
      </c>
      <c r="K71" s="67">
        <f>K57</f>
        <v>0.68263157894736837</v>
      </c>
      <c r="L71" s="194">
        <v>0.68263157894736837</v>
      </c>
      <c r="M71" s="194">
        <v>0.83111215538847116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>
        <v>7.837301587301579</v>
      </c>
      <c r="F72" s="66">
        <v>3.3</v>
      </c>
      <c r="G72" s="282"/>
      <c r="H72" s="76"/>
      <c r="I72" s="76">
        <v>5.3377569154690221</v>
      </c>
      <c r="J72" s="66">
        <v>3</v>
      </c>
      <c r="K72" s="67"/>
      <c r="L72" s="194"/>
      <c r="M72" s="194">
        <v>0.32596491228070179</v>
      </c>
      <c r="N72" s="68">
        <v>1</v>
      </c>
      <c r="P72" s="69"/>
    </row>
    <row r="73" spans="2:16" ht="15">
      <c r="B73" s="36" t="s">
        <v>15</v>
      </c>
      <c r="C73" s="65"/>
      <c r="D73" s="76"/>
      <c r="E73" s="76">
        <v>6.8851328044153277</v>
      </c>
      <c r="F73" s="70">
        <f>[21]May_2022!$M$43</f>
        <v>3.4878406700073312</v>
      </c>
      <c r="G73" s="282"/>
      <c r="H73" s="76"/>
      <c r="I73" s="76">
        <v>8.6614709463340702</v>
      </c>
      <c r="J73" s="66">
        <v>5.5</v>
      </c>
      <c r="K73" s="67"/>
      <c r="L73" s="194"/>
      <c r="M73" s="194">
        <v>0.73160818713450293</v>
      </c>
      <c r="N73" s="68">
        <v>1</v>
      </c>
      <c r="P73" s="69"/>
    </row>
    <row r="74" spans="2:16" ht="15">
      <c r="B74" s="37" t="s">
        <v>16</v>
      </c>
      <c r="C74" s="65"/>
      <c r="D74" s="76">
        <v>2.6328862394436081</v>
      </c>
      <c r="E74" s="76">
        <v>2.9297033255778997</v>
      </c>
      <c r="F74" s="66">
        <v>3.3</v>
      </c>
      <c r="G74" s="282"/>
      <c r="H74" s="76">
        <v>2.6328862394435983</v>
      </c>
      <c r="I74" s="76">
        <v>4.2684292436723528</v>
      </c>
      <c r="J74" s="66">
        <v>3.3</v>
      </c>
      <c r="K74" s="67"/>
      <c r="L74" s="194">
        <v>0.68771929824561406</v>
      </c>
      <c r="M74" s="194">
        <v>0.84660147761842675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>
        <v>11.483253588516746</v>
      </c>
      <c r="F75" s="66">
        <v>7.5</v>
      </c>
      <c r="G75" s="282"/>
      <c r="H75" s="76"/>
      <c r="I75" s="76">
        <v>9.7934336121043764</v>
      </c>
      <c r="J75" s="66">
        <v>7.5</v>
      </c>
      <c r="K75" s="67"/>
      <c r="M75" s="194">
        <v>0.32456140350877194</v>
      </c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>
        <v>7.2653644592663174</v>
      </c>
      <c r="F76" s="66">
        <v>4.8</v>
      </c>
      <c r="G76" s="282"/>
      <c r="H76" s="76"/>
      <c r="I76" s="76">
        <v>8.1715311054411259</v>
      </c>
      <c r="J76" s="66">
        <v>4.8</v>
      </c>
      <c r="K76" s="67"/>
      <c r="L76" s="194"/>
      <c r="M76" s="194">
        <v>0.51368421052631585</v>
      </c>
      <c r="N76" s="71">
        <v>1</v>
      </c>
      <c r="O76" s="74"/>
      <c r="P76" s="75"/>
    </row>
    <row r="77" spans="2:16" ht="15">
      <c r="D77" s="76">
        <v>4.7955083960028801</v>
      </c>
      <c r="E77" s="76">
        <v>6.0907165680639421</v>
      </c>
      <c r="F77" s="341">
        <v>5.5</v>
      </c>
      <c r="H77" s="76">
        <v>4.15439460544341</v>
      </c>
      <c r="I77" s="76">
        <v>6.6005611711665431</v>
      </c>
      <c r="J77" s="341">
        <v>5.5</v>
      </c>
      <c r="L77" s="194">
        <v>0.53465643274853802</v>
      </c>
      <c r="M77" s="194">
        <v>0.68096881222620476</v>
      </c>
      <c r="N77" s="386">
        <v>1</v>
      </c>
    </row>
  </sheetData>
  <mergeCells count="51">
    <mergeCell ref="M55:M56"/>
    <mergeCell ref="B66:F66"/>
    <mergeCell ref="G66:J66"/>
    <mergeCell ref="K66:N66"/>
    <mergeCell ref="G55:G56"/>
    <mergeCell ref="H55:H56"/>
    <mergeCell ref="I55:I56"/>
    <mergeCell ref="J55:J56"/>
    <mergeCell ref="K55:K56"/>
    <mergeCell ref="L55:L56"/>
    <mergeCell ref="F55:F56"/>
    <mergeCell ref="D50:E50"/>
    <mergeCell ref="B55:B56"/>
    <mergeCell ref="C55:C56"/>
    <mergeCell ref="D55:D56"/>
    <mergeCell ref="E55:E56"/>
    <mergeCell ref="B40:B49"/>
    <mergeCell ref="D40:E41"/>
    <mergeCell ref="J40:K40"/>
    <mergeCell ref="L41:N41"/>
    <mergeCell ref="D42:E43"/>
    <mergeCell ref="D44:E45"/>
    <mergeCell ref="D46:E47"/>
    <mergeCell ref="D48:E4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0:B51">
    <cfRule type="cellIs" dxfId="3328" priority="17" operator="notBetween">
      <formula>#REF!</formula>
      <formula>#REF!</formula>
    </cfRule>
  </conditionalFormatting>
  <conditionalFormatting sqref="C54">
    <cfRule type="cellIs" dxfId="3327" priority="182" stopIfTrue="1" operator="greaterThan">
      <formula>100</formula>
    </cfRule>
    <cfRule type="cellIs" dxfId="3326" priority="181" stopIfTrue="1" operator="lessThan">
      <formula>96</formula>
    </cfRule>
  </conditionalFormatting>
  <conditionalFormatting sqref="C68:C72">
    <cfRule type="cellIs" dxfId="3325" priority="135" stopIfTrue="1" operator="lessThanOrEqual">
      <formula>0</formula>
    </cfRule>
  </conditionalFormatting>
  <conditionalFormatting sqref="C68:C76">
    <cfRule type="cellIs" dxfId="3324" priority="134" stopIfTrue="1" operator="greaterThan">
      <formula>$F68</formula>
    </cfRule>
  </conditionalFormatting>
  <conditionalFormatting sqref="C69">
    <cfRule type="cellIs" dxfId="3323" priority="185" stopIfTrue="1" operator="greaterThan">
      <formula>$F68</formula>
    </cfRule>
  </conditionalFormatting>
  <conditionalFormatting sqref="C73">
    <cfRule type="cellIs" dxfId="3322" priority="75" stopIfTrue="1" operator="greaterThan">
      <formula>$F72</formula>
    </cfRule>
    <cfRule type="cellIs" dxfId="3321" priority="74" stopIfTrue="1" operator="lessThanOrEqual">
      <formula>0</formula>
    </cfRule>
  </conditionalFormatting>
  <conditionalFormatting sqref="C79:C83">
    <cfRule type="cellIs" dxfId="3320" priority="173" stopIfTrue="1" operator="lessThanOrEqual">
      <formula>0</formula>
    </cfRule>
  </conditionalFormatting>
  <conditionalFormatting sqref="C80:C83">
    <cfRule type="cellIs" dxfId="3319" priority="172" stopIfTrue="1" operator="greaterThan">
      <formula>$F$79</formula>
    </cfRule>
  </conditionalFormatting>
  <conditionalFormatting sqref="C85">
    <cfRule type="cellIs" dxfId="3318" priority="174" stopIfTrue="1" operator="greaterThan">
      <formula>$F$79</formula>
    </cfRule>
    <cfRule type="cellIs" dxfId="3317" priority="175" stopIfTrue="1" operator="lessThanOrEqual">
      <formula>0</formula>
    </cfRule>
  </conditionalFormatting>
  <conditionalFormatting sqref="C79:D79 D81:D87">
    <cfRule type="cellIs" dxfId="3316" priority="167" stopIfTrue="1" operator="greaterThan">
      <formula>4.5</formula>
    </cfRule>
  </conditionalFormatting>
  <conditionalFormatting sqref="D50:D51">
    <cfRule type="cellIs" dxfId="3315" priority="18" operator="notBetween">
      <formula>#REF!</formula>
      <formula>#REF!</formula>
    </cfRule>
  </conditionalFormatting>
  <conditionalFormatting sqref="D68:D75">
    <cfRule type="cellIs" dxfId="3314" priority="147" stopIfTrue="1" operator="lessThanOrEqual">
      <formula>0</formula>
    </cfRule>
  </conditionalFormatting>
  <conditionalFormatting sqref="D76">
    <cfRule type="cellIs" dxfId="3313" priority="146" stopIfTrue="1" operator="lessThanOrEqual">
      <formula>0</formula>
    </cfRule>
  </conditionalFormatting>
  <conditionalFormatting sqref="D79 D81:D87">
    <cfRule type="cellIs" dxfId="3312" priority="168" stopIfTrue="1" operator="lessThanOrEqual">
      <formula>0</formula>
    </cfRule>
  </conditionalFormatting>
  <conditionalFormatting sqref="D80">
    <cfRule type="cellIs" dxfId="3311" priority="159" stopIfTrue="1" operator="greaterThan">
      <formula>$F$79</formula>
    </cfRule>
    <cfRule type="cellIs" dxfId="3310" priority="160" stopIfTrue="1" operator="lessThanOrEqual">
      <formula>0</formula>
    </cfRule>
  </conditionalFormatting>
  <conditionalFormatting sqref="D68:E77">
    <cfRule type="cellIs" dxfId="3309" priority="132" stopIfTrue="1" operator="greaterThan">
      <formula>$F68</formula>
    </cfRule>
  </conditionalFormatting>
  <conditionalFormatting sqref="D77:E77">
    <cfRule type="cellIs" dxfId="3308" priority="133" stopIfTrue="1" operator="lessThanOrEqual">
      <formula>0</formula>
    </cfRule>
  </conditionalFormatting>
  <conditionalFormatting sqref="E10:E25">
    <cfRule type="cellIs" dxfId="3307" priority="6" operator="lessThan">
      <formula>48</formula>
    </cfRule>
  </conditionalFormatting>
  <conditionalFormatting sqref="E53 E54:F54">
    <cfRule type="cellIs" dxfId="3306" priority="164" stopIfTrue="1" operator="greaterThan">
      <formula>100</formula>
    </cfRule>
  </conditionalFormatting>
  <conditionalFormatting sqref="E54">
    <cfRule type="cellIs" dxfId="3305" priority="162" stopIfTrue="1" operator="greaterThan">
      <formula>100</formula>
    </cfRule>
    <cfRule type="cellIs" dxfId="3304" priority="161" stopIfTrue="1" operator="lessThan">
      <formula>96.8</formula>
    </cfRule>
  </conditionalFormatting>
  <conditionalFormatting sqref="E68:E76">
    <cfRule type="cellIs" dxfId="3303" priority="143" stopIfTrue="1" operator="lessThanOrEqual">
      <formula>0</formula>
    </cfRule>
  </conditionalFormatting>
  <conditionalFormatting sqref="E79:E87">
    <cfRule type="cellIs" dxfId="3302" priority="153" stopIfTrue="1" operator="greaterThan">
      <formula>4.5</formula>
    </cfRule>
    <cfRule type="cellIs" dxfId="3301" priority="154" stopIfTrue="1" operator="lessThanOrEqual">
      <formula>0</formula>
    </cfRule>
  </conditionalFormatting>
  <conditionalFormatting sqref="E54:F54 E53">
    <cfRule type="cellIs" dxfId="3300" priority="163" stopIfTrue="1" operator="lessThan">
      <formula>96.5</formula>
    </cfRule>
  </conditionalFormatting>
  <conditionalFormatting sqref="F10:F25">
    <cfRule type="cellIs" dxfId="3299" priority="7" operator="greaterThan">
      <formula>60</formula>
    </cfRule>
  </conditionalFormatting>
  <conditionalFormatting sqref="F54">
    <cfRule type="cellIs" dxfId="3298" priority="179" stopIfTrue="1" operator="lessThan">
      <formula>96.8</formula>
    </cfRule>
    <cfRule type="cellIs" dxfId="3297" priority="180" stopIfTrue="1" operator="greaterThan">
      <formula>100</formula>
    </cfRule>
  </conditionalFormatting>
  <conditionalFormatting sqref="F77">
    <cfRule type="cellIs" dxfId="3296" priority="144" stopIfTrue="1" operator="greaterThan">
      <formula>$F77</formula>
    </cfRule>
    <cfRule type="cellIs" dxfId="3295" priority="145" stopIfTrue="1" operator="lessThanOrEqual">
      <formula>0</formula>
    </cfRule>
  </conditionalFormatting>
  <conditionalFormatting sqref="G10:G22">
    <cfRule type="expression" dxfId="3294" priority="11">
      <formula>IF(+(IF(G10&lt;S10,0,IF(G10&gt;T10,0,1)))=0,1)</formula>
    </cfRule>
  </conditionalFormatting>
  <conditionalFormatting sqref="G68:G69 C74:C76">
    <cfRule type="cellIs" dxfId="3293" priority="149" stopIfTrue="1" operator="lessThanOrEqual">
      <formula>0</formula>
    </cfRule>
  </conditionalFormatting>
  <conditionalFormatting sqref="G68:G69">
    <cfRule type="cellIs" dxfId="3292" priority="136" stopIfTrue="1" operator="greaterThan">
      <formula>$F68</formula>
    </cfRule>
    <cfRule type="cellIs" dxfId="3291" priority="137" stopIfTrue="1" operator="lessThanOrEqual">
      <formula>0</formula>
    </cfRule>
    <cfRule type="cellIs" dxfId="3290" priority="148" stopIfTrue="1" operator="greaterThan">
      <formula>$F68</formula>
    </cfRule>
  </conditionalFormatting>
  <conditionalFormatting sqref="G70">
    <cfRule type="cellIs" dxfId="3289" priority="184" stopIfTrue="1" operator="lessThanOrEqual">
      <formula>0</formula>
    </cfRule>
    <cfRule type="cellIs" dxfId="3288" priority="183" stopIfTrue="1" operator="greaterThan">
      <formula>$F69</formula>
    </cfRule>
  </conditionalFormatting>
  <conditionalFormatting sqref="G71">
    <cfRule type="cellIs" dxfId="3287" priority="16" stopIfTrue="1" operator="lessThanOrEqual">
      <formula>0</formula>
    </cfRule>
    <cfRule type="cellIs" dxfId="3286" priority="15" stopIfTrue="1" operator="greaterThan">
      <formula>$F71</formula>
    </cfRule>
    <cfRule type="cellIs" dxfId="3285" priority="14" stopIfTrue="1" operator="lessThanOrEqual">
      <formula>0</formula>
    </cfRule>
    <cfRule type="cellIs" dxfId="3284" priority="13" stopIfTrue="1" operator="greaterThan">
      <formula>$F71</formula>
    </cfRule>
  </conditionalFormatting>
  <conditionalFormatting sqref="G72:G76">
    <cfRule type="cellIs" dxfId="3283" priority="150" stopIfTrue="1" operator="greaterThan">
      <formula>$J72</formula>
    </cfRule>
    <cfRule type="cellIs" dxfId="3282" priority="151" stopIfTrue="1" operator="lessThanOrEqual">
      <formula>0</formula>
    </cfRule>
  </conditionalFormatting>
  <conditionalFormatting sqref="G81:G86 C84 C86">
    <cfRule type="cellIs" dxfId="3281" priority="176" stopIfTrue="1" operator="greaterThan">
      <formula>4.5</formula>
    </cfRule>
    <cfRule type="cellIs" dxfId="3280" priority="177" stopIfTrue="1" operator="lessThanOrEqual">
      <formula>0</formula>
    </cfRule>
  </conditionalFormatting>
  <conditionalFormatting sqref="G80:H80">
    <cfRule type="cellIs" dxfId="3279" priority="158" stopIfTrue="1" operator="lessThanOrEqual">
      <formula>0</formula>
    </cfRule>
    <cfRule type="cellIs" dxfId="3278" priority="157" stopIfTrue="1" operator="greaterThan">
      <formula>$F$79</formula>
    </cfRule>
  </conditionalFormatting>
  <conditionalFormatting sqref="H10:H22">
    <cfRule type="expression" dxfId="3277" priority="12">
      <formula>IF(+(IF(H10&lt;#REF!,0,IF(H10&gt;#REF!,0,1)))=0,1)</formula>
    </cfRule>
  </conditionalFormatting>
  <conditionalFormatting sqref="H39:H53">
    <cfRule type="cellIs" dxfId="3276" priority="155" stopIfTrue="1" operator="greaterThan">
      <formula>0</formula>
    </cfRule>
  </conditionalFormatting>
  <conditionalFormatting sqref="H57">
    <cfRule type="cellIs" dxfId="3275" priority="53" stopIfTrue="1" operator="greaterThan">
      <formula>$F$71</formula>
    </cfRule>
    <cfRule type="cellIs" dxfId="3274" priority="54" stopIfTrue="1" operator="lessThanOrEqual">
      <formula>0</formula>
    </cfRule>
    <cfRule type="cellIs" dxfId="3273" priority="43" stopIfTrue="1" operator="greaterThan">
      <formula>$F$70</formula>
    </cfRule>
    <cfRule type="cellIs" dxfId="3272" priority="42" stopIfTrue="1" operator="lessThanOrEqual">
      <formula>0</formula>
    </cfRule>
    <cfRule type="cellIs" dxfId="3271" priority="51" stopIfTrue="1" operator="greaterThan">
      <formula>$F$73</formula>
    </cfRule>
    <cfRule type="cellIs" dxfId="3270" priority="52" stopIfTrue="1" operator="lessThanOrEqual">
      <formula>0</formula>
    </cfRule>
  </conditionalFormatting>
  <conditionalFormatting sqref="H58">
    <cfRule type="cellIs" dxfId="3269" priority="92" stopIfTrue="1" operator="greaterThan">
      <formula>#REF!</formula>
    </cfRule>
    <cfRule type="cellIs" dxfId="3268" priority="100" stopIfTrue="1" operator="greaterThan">
      <formula>$F$26</formula>
    </cfRule>
    <cfRule type="cellIs" dxfId="3267" priority="91" stopIfTrue="1" operator="lessThanOrEqual">
      <formula>0</formula>
    </cfRule>
    <cfRule type="cellIs" dxfId="3266" priority="103" stopIfTrue="1" operator="lessThanOrEqual">
      <formula>0</formula>
    </cfRule>
    <cfRule type="cellIs" dxfId="3265" priority="102" stopIfTrue="1" operator="greaterThan">
      <formula>#REF!</formula>
    </cfRule>
    <cfRule type="cellIs" dxfId="3264" priority="101" stopIfTrue="1" operator="lessThanOrEqual">
      <formula>0</formula>
    </cfRule>
  </conditionalFormatting>
  <conditionalFormatting sqref="H59">
    <cfRule type="cellIs" dxfId="3263" priority="59" stopIfTrue="1" operator="lessThanOrEqual">
      <formula>0</formula>
    </cfRule>
    <cfRule type="cellIs" dxfId="3262" priority="60" stopIfTrue="1" operator="greaterThan">
      <formula>$F$69</formula>
    </cfRule>
    <cfRule type="cellIs" dxfId="3261" priority="68" stopIfTrue="1" operator="greaterThan">
      <formula>$F$72</formula>
    </cfRule>
    <cfRule type="cellIs" dxfId="3260" priority="70" stopIfTrue="1" operator="greaterThan">
      <formula>$F$70</formula>
    </cfRule>
    <cfRule type="cellIs" dxfId="3259" priority="71" stopIfTrue="1" operator="lessThanOrEqual">
      <formula>0</formula>
    </cfRule>
    <cfRule type="cellIs" dxfId="3258" priority="69" stopIfTrue="1" operator="lessThanOrEqual">
      <formula>0</formula>
    </cfRule>
  </conditionalFormatting>
  <conditionalFormatting sqref="H60:H61">
    <cfRule type="cellIs" dxfId="3257" priority="77" stopIfTrue="1" operator="lessThanOrEqual">
      <formula>0</formula>
    </cfRule>
    <cfRule type="cellIs" dxfId="3256" priority="78" stopIfTrue="1" operator="greaterThan">
      <formula>#REF!</formula>
    </cfRule>
    <cfRule type="cellIs" dxfId="3255" priority="86" stopIfTrue="1" operator="greaterThan">
      <formula>$F$25</formula>
    </cfRule>
    <cfRule type="cellIs" dxfId="3254" priority="87" stopIfTrue="1" operator="lessThanOrEqual">
      <formula>0</formula>
    </cfRule>
    <cfRule type="cellIs" dxfId="3253" priority="88" stopIfTrue="1" operator="greaterThan">
      <formula>#REF!</formula>
    </cfRule>
    <cfRule type="cellIs" dxfId="3252" priority="89" stopIfTrue="1" operator="lessThanOrEqual">
      <formula>0</formula>
    </cfRule>
  </conditionalFormatting>
  <conditionalFormatting sqref="H62">
    <cfRule type="cellIs" dxfId="3251" priority="117" stopIfTrue="1" operator="greaterThan">
      <formula>$F$39</formula>
    </cfRule>
    <cfRule type="cellIs" dxfId="3250" priority="118" stopIfTrue="1" operator="lessThanOrEqual">
      <formula>0</formula>
    </cfRule>
    <cfRule type="cellIs" dxfId="3249" priority="115" stopIfTrue="1" operator="greaterThan">
      <formula>$F$41</formula>
    </cfRule>
    <cfRule type="cellIs" dxfId="3248" priority="107" stopIfTrue="1" operator="greaterThan">
      <formula>$F$38</formula>
    </cfRule>
    <cfRule type="cellIs" dxfId="3247" priority="106" stopIfTrue="1" operator="lessThanOrEqual">
      <formula>0</formula>
    </cfRule>
    <cfRule type="cellIs" dxfId="3246" priority="116" stopIfTrue="1" operator="lessThanOrEqual">
      <formula>0</formula>
    </cfRule>
  </conditionalFormatting>
  <conditionalFormatting sqref="H63:H64">
    <cfRule type="cellIs" dxfId="3245" priority="39" stopIfTrue="1" operator="greaterThan">
      <formula>#REF!</formula>
    </cfRule>
    <cfRule type="cellIs" dxfId="3244" priority="38" stopIfTrue="1" operator="lessThanOrEqual">
      <formula>0</formula>
    </cfRule>
    <cfRule type="cellIs" dxfId="3243" priority="37" stopIfTrue="1" operator="greaterThan">
      <formula>$F$25</formula>
    </cfRule>
    <cfRule type="cellIs" dxfId="3242" priority="29" stopIfTrue="1" operator="greaterThan">
      <formula>#REF!</formula>
    </cfRule>
    <cfRule type="cellIs" dxfId="3241" priority="28" stopIfTrue="1" operator="lessThanOrEqual">
      <formula>0</formula>
    </cfRule>
    <cfRule type="cellIs" dxfId="3240" priority="40" stopIfTrue="1" operator="lessThanOrEqual">
      <formula>0</formula>
    </cfRule>
  </conditionalFormatting>
  <conditionalFormatting sqref="H68:H75">
    <cfRule type="cellIs" dxfId="3239" priority="139" stopIfTrue="1" operator="lessThanOrEqual">
      <formula>0</formula>
    </cfRule>
    <cfRule type="cellIs" dxfId="3238" priority="138" stopIfTrue="1" operator="greaterThan">
      <formula>$J68</formula>
    </cfRule>
  </conditionalFormatting>
  <conditionalFormatting sqref="H76">
    <cfRule type="cellIs" dxfId="3237" priority="140" operator="greaterThan">
      <formula>5.3</formula>
    </cfRule>
  </conditionalFormatting>
  <conditionalFormatting sqref="H79 H81:H87">
    <cfRule type="cellIs" dxfId="3236" priority="169" stopIfTrue="1" operator="greaterThan">
      <formula>4.5</formula>
    </cfRule>
    <cfRule type="cellIs" dxfId="3235" priority="170" stopIfTrue="1" operator="lessThanOrEqual">
      <formula>0</formula>
    </cfRule>
  </conditionalFormatting>
  <conditionalFormatting sqref="H57:I57">
    <cfRule type="cellIs" dxfId="3234" priority="41" stopIfTrue="1" operator="greaterThan">
      <formula>$F$72</formula>
    </cfRule>
    <cfRule type="cellIs" dxfId="3233" priority="44" stopIfTrue="1" operator="lessThanOrEqual">
      <formula>0</formula>
    </cfRule>
  </conditionalFormatting>
  <conditionalFormatting sqref="H58:I58">
    <cfRule type="cellIs" dxfId="3232" priority="90" stopIfTrue="1" operator="greaterThan">
      <formula>$F$25</formula>
    </cfRule>
    <cfRule type="cellIs" dxfId="3231" priority="93" stopIfTrue="1" operator="lessThanOrEqual">
      <formula>0</formula>
    </cfRule>
  </conditionalFormatting>
  <conditionalFormatting sqref="H59:I59">
    <cfRule type="cellIs" dxfId="3230" priority="61" stopIfTrue="1" operator="lessThanOrEqual">
      <formula>0</formula>
    </cfRule>
    <cfRule type="cellIs" dxfId="3229" priority="58" stopIfTrue="1" operator="greaterThan">
      <formula>$F$71</formula>
    </cfRule>
  </conditionalFormatting>
  <conditionalFormatting sqref="H60:I61">
    <cfRule type="cellIs" dxfId="3228" priority="79" stopIfTrue="1" operator="lessThanOrEqual">
      <formula>0</formula>
    </cfRule>
    <cfRule type="cellIs" dxfId="3227" priority="76" stopIfTrue="1" operator="greaterThan">
      <formula>#REF!</formula>
    </cfRule>
  </conditionalFormatting>
  <conditionalFormatting sqref="H62:I62">
    <cfRule type="cellIs" dxfId="3226" priority="105" stopIfTrue="1" operator="greaterThan">
      <formula>$F$40</formula>
    </cfRule>
    <cfRule type="cellIs" dxfId="3225" priority="108" stopIfTrue="1" operator="lessThanOrEqual">
      <formula>0</formula>
    </cfRule>
  </conditionalFormatting>
  <conditionalFormatting sqref="H63:I64">
    <cfRule type="cellIs" dxfId="3224" priority="27" stopIfTrue="1" operator="greaterThan">
      <formula>#REF!</formula>
    </cfRule>
    <cfRule type="cellIs" dxfId="3223" priority="30" stopIfTrue="1" operator="lessThanOrEqual">
      <formula>0</formula>
    </cfRule>
  </conditionalFormatting>
  <conditionalFormatting sqref="H77:I77">
    <cfRule type="cellIs" dxfId="3222" priority="131" stopIfTrue="1" operator="lessThanOrEqual">
      <formula>0</formula>
    </cfRule>
    <cfRule type="cellIs" dxfId="3221" priority="130" stopIfTrue="1" operator="greaterThan">
      <formula>$J77</formula>
    </cfRule>
  </conditionalFormatting>
  <conditionalFormatting sqref="I57">
    <cfRule type="cellIs" dxfId="3220" priority="47" stopIfTrue="1" operator="greaterThan">
      <formula>$F$72</formula>
    </cfRule>
    <cfRule type="cellIs" dxfId="3219" priority="49" stopIfTrue="1" operator="greaterThan">
      <formula>$F$70</formula>
    </cfRule>
    <cfRule type="cellIs" dxfId="3218" priority="46" stopIfTrue="1" operator="lessThanOrEqual">
      <formula>0</formula>
    </cfRule>
    <cfRule type="cellIs" dxfId="3217" priority="45" stopIfTrue="1" operator="greaterThan">
      <formula>$F$70</formula>
    </cfRule>
    <cfRule type="cellIs" dxfId="3216" priority="50" stopIfTrue="1" operator="lessThanOrEqual">
      <formula>0</formula>
    </cfRule>
    <cfRule type="cellIs" dxfId="3215" priority="48" stopIfTrue="1" operator="lessThanOrEqual">
      <formula>0</formula>
    </cfRule>
  </conditionalFormatting>
  <conditionalFormatting sqref="I58">
    <cfRule type="cellIs" dxfId="3214" priority="99" stopIfTrue="1" operator="lessThanOrEqual">
      <formula>0</formula>
    </cfRule>
    <cfRule type="cellIs" dxfId="3213" priority="95" stopIfTrue="1" operator="lessThanOrEqual">
      <formula>0</formula>
    </cfRule>
    <cfRule type="cellIs" dxfId="3212" priority="96" stopIfTrue="1" operator="greaterThan">
      <formula>$F$25</formula>
    </cfRule>
    <cfRule type="cellIs" dxfId="3211" priority="97" stopIfTrue="1" operator="lessThanOrEqual">
      <formula>0</formula>
    </cfRule>
    <cfRule type="cellIs" dxfId="3210" priority="98" stopIfTrue="1" operator="greaterThan">
      <formula>#REF!</formula>
    </cfRule>
    <cfRule type="cellIs" dxfId="3209" priority="94" stopIfTrue="1" operator="greaterThan">
      <formula>#REF!</formula>
    </cfRule>
  </conditionalFormatting>
  <conditionalFormatting sqref="I59">
    <cfRule type="cellIs" dxfId="3208" priority="62" stopIfTrue="1" operator="greaterThan">
      <formula>$F$69</formula>
    </cfRule>
    <cfRule type="cellIs" dxfId="3207" priority="66" stopIfTrue="1" operator="greaterThan">
      <formula>$F$69</formula>
    </cfRule>
    <cfRule type="cellIs" dxfId="3206" priority="63" stopIfTrue="1" operator="lessThanOrEqual">
      <formula>0</formula>
    </cfRule>
    <cfRule type="cellIs" dxfId="3205" priority="64" stopIfTrue="1" operator="greaterThan">
      <formula>$F$71</formula>
    </cfRule>
    <cfRule type="cellIs" dxfId="3204" priority="65" stopIfTrue="1" operator="lessThanOrEqual">
      <formula>0</formula>
    </cfRule>
    <cfRule type="cellIs" dxfId="3203" priority="67" stopIfTrue="1" operator="lessThanOrEqual">
      <formula>0</formula>
    </cfRule>
  </conditionalFormatting>
  <conditionalFormatting sqref="I60:I61">
    <cfRule type="cellIs" dxfId="3202" priority="82" stopIfTrue="1" operator="greaterThan">
      <formula>#REF!</formula>
    </cfRule>
    <cfRule type="cellIs" dxfId="3201" priority="85" stopIfTrue="1" operator="lessThanOrEqual">
      <formula>0</formula>
    </cfRule>
    <cfRule type="cellIs" dxfId="3200" priority="84" stopIfTrue="1" operator="greaterThan">
      <formula>#REF!</formula>
    </cfRule>
    <cfRule type="cellIs" dxfId="3199" priority="81" stopIfTrue="1" operator="lessThanOrEqual">
      <formula>0</formula>
    </cfRule>
    <cfRule type="cellIs" dxfId="3198" priority="83" stopIfTrue="1" operator="lessThanOrEqual">
      <formula>0</formula>
    </cfRule>
    <cfRule type="cellIs" dxfId="3197" priority="80" stopIfTrue="1" operator="greaterThan">
      <formula>#REF!</formula>
    </cfRule>
  </conditionalFormatting>
  <conditionalFormatting sqref="I62">
    <cfRule type="cellIs" dxfId="3196" priority="109" stopIfTrue="1" operator="greaterThan">
      <formula>$F$38</formula>
    </cfRule>
    <cfRule type="cellIs" dxfId="3195" priority="110" stopIfTrue="1" operator="lessThanOrEqual">
      <formula>0</formula>
    </cfRule>
    <cfRule type="cellIs" dxfId="3194" priority="111" stopIfTrue="1" operator="greaterThan">
      <formula>$F$40</formula>
    </cfRule>
    <cfRule type="cellIs" dxfId="3193" priority="114" stopIfTrue="1" operator="lessThanOrEqual">
      <formula>0</formula>
    </cfRule>
    <cfRule type="cellIs" dxfId="3192" priority="113" stopIfTrue="1" operator="greaterThan">
      <formula>$F$38</formula>
    </cfRule>
    <cfRule type="cellIs" dxfId="3191" priority="112" stopIfTrue="1" operator="lessThanOrEqual">
      <formula>0</formula>
    </cfRule>
  </conditionalFormatting>
  <conditionalFormatting sqref="I63:I64">
    <cfRule type="cellIs" dxfId="3190" priority="34" stopIfTrue="1" operator="lessThanOrEqual">
      <formula>0</formula>
    </cfRule>
    <cfRule type="cellIs" dxfId="3189" priority="32" stopIfTrue="1" operator="lessThanOrEqual">
      <formula>0</formula>
    </cfRule>
    <cfRule type="cellIs" dxfId="3188" priority="31" stopIfTrue="1" operator="greaterThan">
      <formula>#REF!</formula>
    </cfRule>
    <cfRule type="cellIs" dxfId="3187" priority="33" stopIfTrue="1" operator="greaterThan">
      <formula>#REF!</formula>
    </cfRule>
    <cfRule type="cellIs" dxfId="3186" priority="36" stopIfTrue="1" operator="lessThanOrEqual">
      <formula>0</formula>
    </cfRule>
    <cfRule type="cellIs" dxfId="3185" priority="35" stopIfTrue="1" operator="greaterThan">
      <formula>#REF!</formula>
    </cfRule>
  </conditionalFormatting>
  <conditionalFormatting sqref="I68:I76">
    <cfRule type="cellIs" dxfId="3184" priority="141" stopIfTrue="1" operator="greaterThan">
      <formula>$J68</formula>
    </cfRule>
    <cfRule type="cellIs" dxfId="3183" priority="142" stopIfTrue="1" operator="lessThanOrEqual">
      <formula>0</formula>
    </cfRule>
  </conditionalFormatting>
  <conditionalFormatting sqref="I79:I87">
    <cfRule type="cellIs" dxfId="3182" priority="166" stopIfTrue="1" operator="lessThanOrEqual">
      <formula>0</formula>
    </cfRule>
    <cfRule type="cellIs" dxfId="3181" priority="165" stopIfTrue="1" operator="greaterThan">
      <formula>4.5</formula>
    </cfRule>
  </conditionalFormatting>
  <conditionalFormatting sqref="I10:J25">
    <cfRule type="cellIs" dxfId="3180" priority="2" operator="lessThan">
      <formula>97.9</formula>
    </cfRule>
  </conditionalFormatting>
  <conditionalFormatting sqref="J28:J30">
    <cfRule type="cellIs" dxfId="3179" priority="120" stopIfTrue="1" operator="lessThan">
      <formula>96.8</formula>
    </cfRule>
    <cfRule type="cellIs" dxfId="3178" priority="121" stopIfTrue="1" operator="greaterThan">
      <formula>100</formula>
    </cfRule>
    <cfRule type="cellIs" dxfId="3177" priority="122" operator="lessThan">
      <formula>98</formula>
    </cfRule>
  </conditionalFormatting>
  <conditionalFormatting sqref="J28:J32">
    <cfRule type="cellIs" dxfId="3176" priority="119" operator="lessThan">
      <formula>97.4</formula>
    </cfRule>
  </conditionalFormatting>
  <conditionalFormatting sqref="J33:J34">
    <cfRule type="cellIs" dxfId="3175" priority="123" operator="lessThan">
      <formula>98</formula>
    </cfRule>
  </conditionalFormatting>
  <conditionalFormatting sqref="J35:J36">
    <cfRule type="cellIs" dxfId="3174" priority="125" stopIfTrue="1" operator="greaterThan">
      <formula>100</formula>
    </cfRule>
    <cfRule type="cellIs" dxfId="3173" priority="124" stopIfTrue="1" operator="lessThan">
      <formula>96.8</formula>
    </cfRule>
  </conditionalFormatting>
  <conditionalFormatting sqref="J35:J37">
    <cfRule type="cellIs" dxfId="3172" priority="126" operator="lessThan">
      <formula>98</formula>
    </cfRule>
  </conditionalFormatting>
  <conditionalFormatting sqref="J64">
    <cfRule type="cellIs" dxfId="3171" priority="24" stopIfTrue="1" operator="lessThanOrEqual">
      <formula>0</formula>
    </cfRule>
    <cfRule type="cellIs" dxfId="3170" priority="22" stopIfTrue="1" operator="lessThanOrEqual">
      <formula>0</formula>
    </cfRule>
    <cfRule type="cellIs" dxfId="3169" priority="26" stopIfTrue="1" operator="lessThanOrEqual">
      <formula>0</formula>
    </cfRule>
    <cfRule type="cellIs" dxfId="3168" priority="25" stopIfTrue="1" operator="greaterThan">
      <formula>#REF!</formula>
    </cfRule>
    <cfRule type="cellIs" dxfId="3167" priority="23" stopIfTrue="1" operator="greaterThan">
      <formula>#REF!</formula>
    </cfRule>
    <cfRule type="cellIs" dxfId="3166" priority="21" stopIfTrue="1" operator="greaterThan">
      <formula>#REF!</formula>
    </cfRule>
    <cfRule type="cellIs" dxfId="3165" priority="20" stopIfTrue="1" operator="lessThanOrEqual">
      <formula>0</formula>
    </cfRule>
    <cfRule type="cellIs" dxfId="3164" priority="19" stopIfTrue="1" operator="greaterThan">
      <formula>#REF!</formula>
    </cfRule>
  </conditionalFormatting>
  <conditionalFormatting sqref="J77">
    <cfRule type="cellIs" dxfId="3163" priority="128" stopIfTrue="1" operator="lessThanOrEqual">
      <formula>0</formula>
    </cfRule>
    <cfRule type="cellIs" dxfId="3162" priority="127" stopIfTrue="1" operator="greaterThan">
      <formula>$F77</formula>
    </cfRule>
  </conditionalFormatting>
  <conditionalFormatting sqref="K10:K25">
    <cfRule type="cellIs" dxfId="3161" priority="5" operator="greaterThan">
      <formula>6.4</formula>
    </cfRule>
    <cfRule type="cellIs" dxfId="3160" priority="4" operator="lessThan">
      <formula>4</formula>
    </cfRule>
    <cfRule type="cellIs" dxfId="3159" priority="3" operator="greaterThan">
      <formula>6</formula>
    </cfRule>
  </conditionalFormatting>
  <conditionalFormatting sqref="K57:K64 K68:N74 K75 M75:N75 K76:N76">
    <cfRule type="cellIs" dxfId="3158" priority="104" stopIfTrue="1" operator="lessThan">
      <formula>100%</formula>
    </cfRule>
  </conditionalFormatting>
  <conditionalFormatting sqref="K79:K84">
    <cfRule type="cellIs" dxfId="3157" priority="171" stopIfTrue="1" operator="lessThan">
      <formula>100%</formula>
    </cfRule>
  </conditionalFormatting>
  <conditionalFormatting sqref="K86:K87">
    <cfRule type="cellIs" dxfId="3156" priority="178" stopIfTrue="1" operator="lessThan">
      <formula>100%</formula>
    </cfRule>
  </conditionalFormatting>
  <conditionalFormatting sqref="L10:L22">
    <cfRule type="cellIs" dxfId="3155" priority="9" operator="greaterThan">
      <formula>65</formula>
    </cfRule>
    <cfRule type="cellIs" dxfId="3154" priority="8" operator="between">
      <formula>61</formula>
      <formula>65</formula>
    </cfRule>
  </conditionalFormatting>
  <conditionalFormatting sqref="L23:M24 L25">
    <cfRule type="cellIs" dxfId="3153" priority="56" operator="greaterThan">
      <formula>65</formula>
    </cfRule>
    <cfRule type="cellIs" dxfId="3152" priority="55" operator="between">
      <formula>61</formula>
      <formula>65</formula>
    </cfRule>
  </conditionalFormatting>
  <conditionalFormatting sqref="L28:M39">
    <cfRule type="cellIs" dxfId="3151" priority="72" operator="lessThan">
      <formula>97.95</formula>
    </cfRule>
  </conditionalFormatting>
  <conditionalFormatting sqref="L43:N43">
    <cfRule type="cellIs" dxfId="3150" priority="73" operator="notEqual">
      <formula>#REF!</formula>
    </cfRule>
  </conditionalFormatting>
  <conditionalFormatting sqref="L77:N77">
    <cfRule type="cellIs" dxfId="3149" priority="129" stopIfTrue="1" operator="lessThan">
      <formula>100%</formula>
    </cfRule>
  </conditionalFormatting>
  <conditionalFormatting sqref="L79:N87">
    <cfRule type="cellIs" dxfId="3148" priority="156" stopIfTrue="1" operator="lessThan">
      <formula>100%</formula>
    </cfRule>
  </conditionalFormatting>
  <conditionalFormatting sqref="M10:M22">
    <cfRule type="expression" dxfId="3147" priority="10">
      <formula>IF(+(IF(M10&lt;U10,0,IF(M10&gt;V10,0,1)))=0,1)</formula>
    </cfRule>
  </conditionalFormatting>
  <conditionalFormatting sqref="M23:M24 G23:H25">
    <cfRule type="expression" dxfId="3146" priority="57">
      <formula>IF(+(IF(G23&lt;#REF!,0,IF(G23&gt;#REF!,0,1)))=0,1)</formula>
    </cfRule>
  </conditionalFormatting>
  <conditionalFormatting sqref="M25:N25">
    <cfRule type="expression" dxfId="3145" priority="186">
      <formula>IF(+(IF(M25&lt;#REF!,0,IF(M25&gt;#REF!,0,1)))=0,1)</formula>
    </cfRule>
  </conditionalFormatting>
  <conditionalFormatting sqref="N10:N24">
    <cfRule type="expression" dxfId="3144" priority="1">
      <formula>IF(+(IF(N10&lt;W10,0,IF(N10&gt;X10,0,1)))=0,1)</formula>
    </cfRule>
  </conditionalFormatting>
  <conditionalFormatting sqref="P6">
    <cfRule type="cellIs" dxfId="3143" priority="152" operator="greaterThanOrEqual">
      <formula>19</formula>
    </cfRule>
  </conditionalFormatting>
  <dataValidations count="1">
    <dataValidation type="list" allowBlank="1" showInputMessage="1" showErrorMessage="1" sqref="R8" xr:uid="{7EB76A88-014C-478B-8D75-F7E659B107C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07928-5C66-4181-8435-A5FFB05B8EAD}">
  <sheetPr>
    <pageSetUpPr fitToPage="1"/>
  </sheetPr>
  <dimension ref="A1:BE80"/>
  <sheetViews>
    <sheetView topLeftCell="A6" zoomScale="80" zoomScaleNormal="80" workbookViewId="0">
      <selection activeCell="B25" sqref="B25:O25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45971</v>
      </c>
      <c r="J4" s="398" t="s">
        <v>166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9" t="s">
        <v>6</v>
      </c>
      <c r="C10" s="366" t="str">
        <f>[24]Brewhouse!$A936</f>
        <v>CA821</v>
      </c>
      <c r="D10" s="279">
        <f>[24]Brewhouse!$AF936</f>
        <v>49.1</v>
      </c>
      <c r="E10" s="279">
        <f>[24]Brewhouse!$AI936</f>
        <v>49.8</v>
      </c>
      <c r="F10" s="278">
        <f>[24]Brewhouse!$V936</f>
        <v>56</v>
      </c>
      <c r="G10" s="279">
        <f>[24]Brewhouse!AG936</f>
        <v>11.8</v>
      </c>
      <c r="H10" s="396">
        <v>11.8</v>
      </c>
      <c r="I10" s="368">
        <f>[24]Brewhouse!$AU936</f>
        <v>96.997802076386705</v>
      </c>
      <c r="J10" s="368">
        <f>[24]Brewhouse!$AV936</f>
        <v>97.452478429537436</v>
      </c>
      <c r="K10" s="281">
        <f>[24]Brewhouse!$Q936</f>
        <v>8.7169811320754675</v>
      </c>
      <c r="L10" s="276">
        <f>[24]Brewhouse!$P936</f>
        <v>60</v>
      </c>
      <c r="M10" s="397">
        <f>[24]Brewhouse!$U936-[24]Brewhouse!$T936</f>
        <v>0.1131944444444446</v>
      </c>
      <c r="N10" s="370">
        <f>[24]Brewhouse!$Z936</f>
        <v>0.26111111111111129</v>
      </c>
      <c r="O10" s="421" t="str">
        <f>[24]Brewhouse!$AX936</f>
        <v>K. Benjamin</v>
      </c>
      <c r="P10" s="418"/>
      <c r="R10" s="277" t="str">
        <f t="shared" ref="R10:R42" si="0">B10</f>
        <v>CARIB</v>
      </c>
      <c r="S10" s="296">
        <f t="shared" ref="S10:S42" si="1">VLOOKUP($B10,$R$3:$X$9,2,FALSE)</f>
        <v>11.6</v>
      </c>
      <c r="T10" s="296">
        <f t="shared" ref="T10:T42" si="2">VLOOKUP($B10,$R$3:$X$9,3,FALSE)</f>
        <v>12</v>
      </c>
      <c r="U10" s="297">
        <f t="shared" ref="U10:U42" si="3">VLOOKUP($B10,$R$3:$X$9,4,FALSE)</f>
        <v>0</v>
      </c>
      <c r="V10" s="297">
        <f t="shared" ref="V10:V42" si="4">VLOOKUP($B10,$R$3:$X$9,5,FALSE)</f>
        <v>0.118055555555556</v>
      </c>
      <c r="W10" s="297">
        <f t="shared" ref="W10:W42" si="5">VLOOKUP($B10,$R$3:$X$9,6,FALSE)</f>
        <v>0.22569444444444445</v>
      </c>
      <c r="X10" s="297">
        <f t="shared" ref="X10:X42" si="6">VLOOKUP($B10,$R$3:$X$9,7,FALSE)</f>
        <v>0.2638888888888889</v>
      </c>
      <c r="Y10" s="297">
        <f t="shared" ref="Y10:Y42" si="7">VLOOKUP($B10,$R$3:$Z$9,8,FALSE)</f>
        <v>0</v>
      </c>
      <c r="Z10" s="296">
        <f t="shared" ref="Z10:Z42" si="8">VLOOKUP($B10,$R$3:$Z$9,9,FALSE)</f>
        <v>60</v>
      </c>
    </row>
    <row r="11" spans="2:29" ht="15" customHeight="1">
      <c r="B11" s="29" t="s">
        <v>6</v>
      </c>
      <c r="C11" s="366" t="str">
        <f>[24]Brewhouse!$A937</f>
        <v>CA822</v>
      </c>
      <c r="D11" s="279">
        <f>[24]Brewhouse!$AF937</f>
        <v>53.2</v>
      </c>
      <c r="E11" s="279">
        <f>[24]Brewhouse!$AI937</f>
        <v>52.3</v>
      </c>
      <c r="F11" s="278">
        <f>[24]Brewhouse!$V937</f>
        <v>62</v>
      </c>
      <c r="G11" s="279">
        <f>[24]Brewhouse!AG937</f>
        <v>11.7</v>
      </c>
      <c r="H11" s="396">
        <v>11.7</v>
      </c>
      <c r="I11" s="368">
        <f>[24]Brewhouse!$AU937</f>
        <v>101.08338411465823</v>
      </c>
      <c r="J11" s="368">
        <f>[24]Brewhouse!$AV937</f>
        <v>101.5571736900017</v>
      </c>
      <c r="K11" s="281">
        <f>[24]Brewhouse!$Q937</f>
        <v>2.6792452830188709</v>
      </c>
      <c r="L11" s="276">
        <f>[24]Brewhouse!$P937</f>
        <v>0</v>
      </c>
      <c r="M11" s="397">
        <f>[24]Brewhouse!$U937-[24]Brewhouse!$T937</f>
        <v>0.12430555555555556</v>
      </c>
      <c r="N11" s="370">
        <f>[24]Brewhouse!$Z937</f>
        <v>0.2729166666666667</v>
      </c>
      <c r="O11" s="421" t="str">
        <f>[24]Brewhouse!$AX937</f>
        <v>K. Benjamin</v>
      </c>
      <c r="P11" s="418"/>
      <c r="R11" s="277" t="str">
        <f t="shared" ref="R11:R34" si="9">B11</f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421"/>
      <c r="P12" s="418"/>
      <c r="R12" s="277">
        <f t="shared" si="9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" customHeight="1">
      <c r="B13" s="33" t="s">
        <v>9</v>
      </c>
      <c r="C13" s="366" t="str">
        <f>[25]Brewhouse!$A449</f>
        <v>ST425</v>
      </c>
      <c r="D13" s="279">
        <f>[25]Brewhouse!$AD449</f>
        <v>55.1</v>
      </c>
      <c r="E13" s="279">
        <f>[25]Brewhouse!$AG449</f>
        <v>54.3</v>
      </c>
      <c r="F13" s="278">
        <f>[25]Brewhouse!$V449</f>
        <v>68</v>
      </c>
      <c r="G13" s="279">
        <f>[25]Brewhouse!$AE449</f>
        <v>12</v>
      </c>
      <c r="H13" s="396">
        <v>12</v>
      </c>
      <c r="I13" s="420">
        <f>[25]Brewhouse!$AS449</f>
        <v>109.14773514072522</v>
      </c>
      <c r="J13" s="420">
        <f>[25]Brewhouse!$AT449</f>
        <v>109.57994483019775</v>
      </c>
      <c r="K13" s="281">
        <f>[25]Brewhouse!$Q449</f>
        <v>14.077212806026369</v>
      </c>
      <c r="L13" s="276">
        <f>[25]Brewhouse!$P449</f>
        <v>59</v>
      </c>
      <c r="M13" s="374">
        <f>[25]Brewhouse!$U449-[25]Brewhouse!$T449</f>
        <v>0.13124999999999998</v>
      </c>
      <c r="N13" s="370">
        <f>[25]Brewhouse!$AW449</f>
        <v>0.28472222222222221</v>
      </c>
      <c r="O13" s="421" t="str">
        <f>[25]Brewhouse!$AV449</f>
        <v>R. Regis</v>
      </c>
      <c r="P13" s="418"/>
      <c r="R13" s="277" t="str">
        <f t="shared" si="9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33" t="s">
        <v>9</v>
      </c>
      <c r="C14" s="366" t="str">
        <f>[25]Brewhouse!$A450</f>
        <v>ST426</v>
      </c>
      <c r="D14" s="279">
        <f>[25]Brewhouse!$AD450</f>
        <v>47.6</v>
      </c>
      <c r="E14" s="279">
        <f>[25]Brewhouse!$AG450</f>
        <v>48.1</v>
      </c>
      <c r="F14" s="278">
        <f>[25]Brewhouse!$V450</f>
        <v>60</v>
      </c>
      <c r="G14" s="279">
        <f>[25]Brewhouse!$AE450</f>
        <v>12</v>
      </c>
      <c r="H14" s="396">
        <v>12.3</v>
      </c>
      <c r="I14" s="420">
        <f>[25]Brewhouse!$AS450</f>
        <v>96.805862263667493</v>
      </c>
      <c r="J14" s="420">
        <f>[25]Brewhouse!$AT450</f>
        <v>97.189075266868727</v>
      </c>
      <c r="K14" s="281">
        <f>[25]Brewhouse!$Q450</f>
        <v>11.66026871401152</v>
      </c>
      <c r="L14" s="276">
        <f>[25]Brewhouse!$P450</f>
        <v>60</v>
      </c>
      <c r="M14" s="374">
        <f>[25]Brewhouse!$U450-[25]Brewhouse!$T450</f>
        <v>0.10972222222222228</v>
      </c>
      <c r="N14" s="370">
        <f>[25]Brewhouse!$AW450</f>
        <v>0.2506944444444445</v>
      </c>
      <c r="O14" s="421" t="str">
        <f>[25]Brewhouse!$AV450</f>
        <v>R. Regis</v>
      </c>
      <c r="P14" s="418"/>
      <c r="R14" s="277" t="str">
        <f t="shared" si="9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" customHeight="1">
      <c r="B15" s="33" t="s">
        <v>9</v>
      </c>
      <c r="C15" s="366" t="str">
        <f>[25]Brewhouse!$A451</f>
        <v>ST427</v>
      </c>
      <c r="D15" s="279">
        <f>[25]Brewhouse!$AD451</f>
        <v>48.3</v>
      </c>
      <c r="E15" s="279">
        <f>[25]Brewhouse!$AG451</f>
        <v>48.4</v>
      </c>
      <c r="F15" s="278">
        <f>[25]Brewhouse!$V451</f>
        <v>55</v>
      </c>
      <c r="G15" s="279">
        <f>[25]Brewhouse!$AE451</f>
        <v>12</v>
      </c>
      <c r="H15" s="396">
        <v>12.2</v>
      </c>
      <c r="I15" s="420">
        <f>[25]Brewhouse!$AS451</f>
        <v>97.531364875406652</v>
      </c>
      <c r="J15" s="420">
        <f>[25]Brewhouse!$AT451</f>
        <v>97.917323981439409</v>
      </c>
      <c r="K15" s="281">
        <f>[25]Brewhouse!$Q451</f>
        <v>13.771593090211127</v>
      </c>
      <c r="L15" s="276">
        <f>[25]Brewhouse!$P451</f>
        <v>58</v>
      </c>
      <c r="M15" s="374">
        <f>[25]Brewhouse!$U451-[25]Brewhouse!$T451</f>
        <v>0.10902777777777772</v>
      </c>
      <c r="N15" s="370">
        <f>[25]Brewhouse!$AW451</f>
        <v>0.25277777777777777</v>
      </c>
      <c r="O15" s="421" t="str">
        <f>[25]Brewhouse!$AV451</f>
        <v>R.Sookram</v>
      </c>
      <c r="P15" s="418"/>
      <c r="R15" s="277" t="str">
        <f t="shared" si="9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" customHeight="1">
      <c r="B16" s="33" t="s">
        <v>9</v>
      </c>
      <c r="C16" s="366" t="str">
        <f>[25]Brewhouse!$A452</f>
        <v>ST428</v>
      </c>
      <c r="D16" s="279">
        <f>[25]Brewhouse!$AD452</f>
        <v>49.4</v>
      </c>
      <c r="E16" s="279">
        <f>[25]Brewhouse!$AG452</f>
        <v>48.83</v>
      </c>
      <c r="F16" s="278">
        <f>[25]Brewhouse!$V452</f>
        <v>55</v>
      </c>
      <c r="G16" s="279">
        <f>[25]Brewhouse!$AE452</f>
        <v>11.8</v>
      </c>
      <c r="H16" s="396">
        <v>11.8</v>
      </c>
      <c r="I16" s="420">
        <f>[25]Brewhouse!$AS452</f>
        <v>96.91654844456977</v>
      </c>
      <c r="J16" s="420">
        <f>[25]Brewhouse!$AT452</f>
        <v>97.299823492925583</v>
      </c>
      <c r="K16" s="281">
        <f>[25]Brewhouse!$Q452</f>
        <v>11.276391554702494</v>
      </c>
      <c r="L16" s="276">
        <f>[25]Brewhouse!$P452</f>
        <v>59</v>
      </c>
      <c r="M16" s="374">
        <f>[25]Brewhouse!$U452-[25]Brewhouse!$T452</f>
        <v>0.10902777777777783</v>
      </c>
      <c r="N16" s="370">
        <f>[25]Brewhouse!$AW452</f>
        <v>0.24305555555555558</v>
      </c>
      <c r="O16" s="421" t="str">
        <f>[25]Brewhouse!$AV452</f>
        <v>R.Sookram</v>
      </c>
      <c r="P16" s="418"/>
      <c r="R16" s="277" t="str">
        <f t="shared" si="9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" customHeight="1">
      <c r="B17" s="33" t="s">
        <v>9</v>
      </c>
      <c r="C17" s="366" t="str">
        <f>[25]Brewhouse!$A453</f>
        <v>ST429</v>
      </c>
      <c r="D17" s="279">
        <f>[25]Brewhouse!$AD453</f>
        <v>48.9</v>
      </c>
      <c r="E17" s="279">
        <f>[25]Brewhouse!$AG453</f>
        <v>49.6</v>
      </c>
      <c r="F17" s="278">
        <f>[25]Brewhouse!$V453</f>
        <v>57</v>
      </c>
      <c r="G17" s="279">
        <f>[25]Brewhouse!$AE453</f>
        <v>11.8</v>
      </c>
      <c r="H17" s="396">
        <v>11.8</v>
      </c>
      <c r="I17" s="420">
        <f>[25]Brewhouse!$AS453</f>
        <v>98.321653626332392</v>
      </c>
      <c r="J17" s="420">
        <f>[25]Brewhouse!$AT453</f>
        <v>98.710612939130797</v>
      </c>
      <c r="K17" s="281">
        <f>[25]Brewhouse!$Q453</f>
        <v>10.508637236084455</v>
      </c>
      <c r="L17" s="276">
        <f>[25]Brewhouse!$P453</f>
        <v>56</v>
      </c>
      <c r="M17" s="374">
        <f>[25]Brewhouse!$U453-[25]Brewhouse!$T453</f>
        <v>2.3611111111111138E-2</v>
      </c>
      <c r="N17" s="478">
        <f>[25]Brewhouse!$AW453</f>
        <v>0.15416666666666667</v>
      </c>
      <c r="O17" s="421" t="str">
        <f>[25]Brewhouse!$AV453</f>
        <v>R.Sookram</v>
      </c>
      <c r="P17" s="418"/>
      <c r="R17" s="277" t="str">
        <f t="shared" si="9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" customHeight="1">
      <c r="B18" s="33" t="s">
        <v>9</v>
      </c>
      <c r="C18" s="366" t="str">
        <f>[25]Brewhouse!$A454</f>
        <v>ST430</v>
      </c>
      <c r="D18" s="279">
        <f>[25]Brewhouse!$AD454</f>
        <v>48.4</v>
      </c>
      <c r="E18" s="279">
        <f>[25]Brewhouse!$AG454</f>
        <v>48.9</v>
      </c>
      <c r="F18" s="278">
        <f>[25]Brewhouse!$V454</f>
        <v>50</v>
      </c>
      <c r="G18" s="279">
        <f>[25]Brewhouse!$AE454</f>
        <v>12</v>
      </c>
      <c r="H18" s="396">
        <v>12</v>
      </c>
      <c r="I18" s="420">
        <f>[25]Brewhouse!$AS454</f>
        <v>98.662209361823813</v>
      </c>
      <c r="J18" s="420">
        <f>[25]Brewhouse!$AT454</f>
        <v>99.052515909132239</v>
      </c>
      <c r="K18" s="281">
        <f>[25]Brewhouse!$Q454</f>
        <v>12.836538461538455</v>
      </c>
      <c r="L18" s="276">
        <f>[25]Brewhouse!$P454</f>
        <v>60</v>
      </c>
      <c r="M18" s="374">
        <f>[25]Brewhouse!$U454-[25]Brewhouse!$T454</f>
        <v>0.1118055555555556</v>
      </c>
      <c r="N18" s="370">
        <f>[25]Brewhouse!$AW454</f>
        <v>0.24097222222222225</v>
      </c>
      <c r="O18" s="421" t="str">
        <f>[25]Brewhouse!$AV454</f>
        <v>K. Benjamin</v>
      </c>
      <c r="P18" s="418"/>
      <c r="R18" s="277" t="str">
        <f t="shared" si="9"/>
        <v>STAG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" customHeight="1">
      <c r="B19" s="33" t="s">
        <v>9</v>
      </c>
      <c r="C19" s="366" t="str">
        <f>[25]Brewhouse!$A455</f>
        <v>ST431</v>
      </c>
      <c r="D19" s="279">
        <f>[25]Brewhouse!$AD455</f>
        <v>47.5</v>
      </c>
      <c r="E19" s="279">
        <f>[25]Brewhouse!$AG455</f>
        <v>48.2</v>
      </c>
      <c r="F19" s="278">
        <f>[25]Brewhouse!$V455</f>
        <v>59</v>
      </c>
      <c r="G19" s="279">
        <f>[25]Brewhouse!$AE455</f>
        <v>11.8</v>
      </c>
      <c r="H19" s="396">
        <v>11.8</v>
      </c>
      <c r="I19" s="420">
        <f>[25]Brewhouse!$AS455</f>
        <v>95.546445661073022</v>
      </c>
      <c r="J19" s="420">
        <f>[25]Brewhouse!$AT455</f>
        <v>95.924426283590819</v>
      </c>
      <c r="K19" s="281">
        <f>[25]Brewhouse!$Q455</f>
        <v>12.45192307692308</v>
      </c>
      <c r="L19" s="276">
        <f>[25]Brewhouse!$P455</f>
        <v>62</v>
      </c>
      <c r="M19" s="374">
        <f>[25]Brewhouse!$U455-[25]Brewhouse!$T455</f>
        <v>0.11458333333333337</v>
      </c>
      <c r="N19" s="370">
        <f>[25]Brewhouse!$AW455</f>
        <v>0.24583333333333346</v>
      </c>
      <c r="O19" s="421" t="str">
        <f>[25]Brewhouse!$AV455</f>
        <v>K. Benjamin</v>
      </c>
      <c r="P19" s="418"/>
      <c r="R19" s="277" t="str">
        <f t="shared" si="9"/>
        <v>STAG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6" ht="15" customHeight="1">
      <c r="B20" s="33" t="s">
        <v>9</v>
      </c>
      <c r="C20" s="366" t="str">
        <f>[25]Brewhouse!$A456</f>
        <v>ST432</v>
      </c>
      <c r="D20" s="279">
        <f>[25]Brewhouse!$AD456</f>
        <v>48.9</v>
      </c>
      <c r="E20" s="279">
        <f>[25]Brewhouse!$AG456</f>
        <v>49.4</v>
      </c>
      <c r="F20" s="278">
        <f>[25]Brewhouse!$V456</f>
        <v>57</v>
      </c>
      <c r="G20" s="279">
        <f>[25]Brewhouse!$AE456</f>
        <v>11.9</v>
      </c>
      <c r="H20" s="396">
        <v>11.9</v>
      </c>
      <c r="I20" s="420">
        <f>[25]Brewhouse!$AS456</f>
        <v>98.798110377024656</v>
      </c>
      <c r="J20" s="420">
        <f>[25]Brewhouse!$AT456</f>
        <v>99.188954547161117</v>
      </c>
      <c r="K20" s="281">
        <f>[25]Brewhouse!$Q456</f>
        <v>10.528846153846157</v>
      </c>
      <c r="L20" s="276">
        <f>[25]Brewhouse!$P456</f>
        <v>59</v>
      </c>
      <c r="M20" s="374">
        <f>[25]Brewhouse!$U456-[25]Brewhouse!$T456</f>
        <v>0.11527777777777759</v>
      </c>
      <c r="N20" s="370">
        <f>[25]Brewhouse!$AW456</f>
        <v>0.24374999999999991</v>
      </c>
      <c r="O20" s="421" t="str">
        <f>[25]Brewhouse!$AV456</f>
        <v>K. Benjamin</v>
      </c>
      <c r="P20" s="418"/>
      <c r="R20" s="277" t="str">
        <f t="shared" si="9"/>
        <v>STAG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1:26" ht="12.75" customHeight="1">
      <c r="B21" s="475">
        <v>45969</v>
      </c>
      <c r="C21" s="366"/>
      <c r="D21" s="279"/>
      <c r="E21" s="279"/>
      <c r="F21" s="278"/>
      <c r="G21" s="279"/>
      <c r="H21" s="396"/>
      <c r="I21" s="420"/>
      <c r="J21" s="420"/>
      <c r="K21" s="281"/>
      <c r="L21" s="276"/>
      <c r="M21" s="374"/>
      <c r="N21" s="370"/>
      <c r="O21" s="421"/>
      <c r="P21" s="418"/>
      <c r="R21" s="277">
        <f>B21</f>
        <v>45969</v>
      </c>
      <c r="S21" s="296" t="e">
        <f>VLOOKUP($B21,$R$3:$X$9,2,FALSE)</f>
        <v>#N/A</v>
      </c>
      <c r="T21" s="296" t="e">
        <f>VLOOKUP($B21,$R$3:$X$9,3,FALSE)</f>
        <v>#N/A</v>
      </c>
      <c r="U21" s="297" t="e">
        <f>VLOOKUP($B21,$R$3:$X$9,4,FALSE)</f>
        <v>#N/A</v>
      </c>
      <c r="V21" s="297" t="e">
        <f>VLOOKUP($B21,$R$3:$X$9,5,FALSE)</f>
        <v>#N/A</v>
      </c>
      <c r="W21" s="297" t="e">
        <f>VLOOKUP($B21,$R$3:$X$9,6,FALSE)</f>
        <v>#N/A</v>
      </c>
      <c r="X21" s="297" t="e">
        <f>VLOOKUP($B21,$R$3:$X$9,7,FALSE)</f>
        <v>#N/A</v>
      </c>
      <c r="Y21" s="297" t="e">
        <f>VLOOKUP($B21,$R$3:$Z$9,8,FALSE)</f>
        <v>#N/A</v>
      </c>
      <c r="Z21" s="296" t="e">
        <f>VLOOKUP($B21,$R$3:$Z$9,9,FALSE)</f>
        <v>#N/A</v>
      </c>
    </row>
    <row r="22" spans="1:26" ht="15" customHeight="1">
      <c r="B22" s="33" t="s">
        <v>9</v>
      </c>
      <c r="C22" s="366" t="str">
        <f>[25]Brewhouse!$A457</f>
        <v>ST433</v>
      </c>
      <c r="D22" s="279">
        <f>[25]Brewhouse!$AD457</f>
        <v>47.6</v>
      </c>
      <c r="E22" s="279">
        <f>[25]Brewhouse!$AG457</f>
        <v>47.2</v>
      </c>
      <c r="F22" s="278">
        <f>[25]Brewhouse!$V457</f>
        <v>61</v>
      </c>
      <c r="G22" s="279">
        <f>[25]Brewhouse!$AE457</f>
        <v>12</v>
      </c>
      <c r="H22" s="396">
        <v>12</v>
      </c>
      <c r="I22" s="420">
        <f>[25]Brewhouse!$AS457</f>
        <v>95.471136285214527</v>
      </c>
      <c r="J22" s="420">
        <f>[25]Brewhouse!$AT457</f>
        <v>95.848571053845376</v>
      </c>
      <c r="K22" s="281">
        <f>[25]Brewhouse!$Q457</f>
        <v>12.259615384615383</v>
      </c>
      <c r="L22" s="276">
        <f>[25]Brewhouse!$P457</f>
        <v>63</v>
      </c>
      <c r="M22" s="374">
        <f>[25]Brewhouse!$U457-[25]Brewhouse!$T457</f>
        <v>0.11666666666666647</v>
      </c>
      <c r="N22" s="370">
        <f>[25]Brewhouse!$AW457</f>
        <v>0.25277777777777777</v>
      </c>
      <c r="O22" s="421" t="str">
        <f>[25]Brewhouse!$AV457</f>
        <v>K. Benjamin</v>
      </c>
      <c r="P22" s="418"/>
      <c r="R22" s="277" t="str">
        <f t="shared" si="9"/>
        <v>STAG</v>
      </c>
      <c r="S22" s="296">
        <f t="shared" si="1"/>
        <v>11.6</v>
      </c>
      <c r="T22" s="296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296">
        <f t="shared" si="8"/>
        <v>60</v>
      </c>
    </row>
    <row r="23" spans="1:26" ht="15" customHeight="1">
      <c r="B23" s="33" t="s">
        <v>9</v>
      </c>
      <c r="C23" s="366" t="str">
        <f>[25]Brewhouse!$A458</f>
        <v>ST434</v>
      </c>
      <c r="D23" s="279">
        <f>[25]Brewhouse!$AD458</f>
        <v>48.6</v>
      </c>
      <c r="E23" s="279">
        <f>[25]Brewhouse!$AG458</f>
        <v>49.3</v>
      </c>
      <c r="F23" s="278">
        <f>[25]Brewhouse!$V458</f>
        <v>60</v>
      </c>
      <c r="G23" s="279">
        <f>[25]Brewhouse!$AE458</f>
        <v>11.7</v>
      </c>
      <c r="H23" s="396">
        <v>11.7</v>
      </c>
      <c r="I23" s="420">
        <f>[25]Brewhouse!$AS458</f>
        <v>96.855818208238404</v>
      </c>
      <c r="J23" s="420">
        <f>[25]Brewhouse!$AT458</f>
        <v>97.238978693251994</v>
      </c>
      <c r="K23" s="281">
        <f>[25]Brewhouse!$Q458</f>
        <v>10.316698656429942</v>
      </c>
      <c r="L23" s="276">
        <f>[25]Brewhouse!$P458</f>
        <v>58</v>
      </c>
      <c r="M23" s="374">
        <f>[25]Brewhouse!$U458-[25]Brewhouse!$T458</f>
        <v>0.11249999999999999</v>
      </c>
      <c r="N23" s="370">
        <f>[25]Brewhouse!$AW458</f>
        <v>0.24791666666666667</v>
      </c>
      <c r="O23" s="421" t="str">
        <f>[25]Brewhouse!$AV458</f>
        <v>R.Sookram</v>
      </c>
      <c r="P23" s="418"/>
      <c r="R23" s="277" t="str">
        <f t="shared" si="9"/>
        <v>STAG</v>
      </c>
      <c r="S23" s="296">
        <f t="shared" si="1"/>
        <v>11.6</v>
      </c>
      <c r="T23" s="296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296">
        <f t="shared" si="8"/>
        <v>60</v>
      </c>
    </row>
    <row r="24" spans="1:26" ht="15" customHeight="1">
      <c r="B24" s="33" t="s">
        <v>9</v>
      </c>
      <c r="C24" s="366" t="str">
        <f>[25]Brewhouse!$A459</f>
        <v>ST435</v>
      </c>
      <c r="D24" s="279">
        <f>[25]Brewhouse!$AD459</f>
        <v>47.1</v>
      </c>
      <c r="E24" s="279">
        <f>[25]Brewhouse!$AG459</f>
        <v>47.6</v>
      </c>
      <c r="F24" s="278">
        <f>[25]Brewhouse!$V459</f>
        <v>56</v>
      </c>
      <c r="G24" s="279">
        <f>[25]Brewhouse!$AE459</f>
        <v>11.9</v>
      </c>
      <c r="H24" s="396">
        <v>11.9</v>
      </c>
      <c r="I24" s="420">
        <f>[25]Brewhouse!$AS459</f>
        <v>94.960555395961549</v>
      </c>
      <c r="J24" s="420">
        <f>[25]Brewhouse!$AT459</f>
        <v>95.33646361854241</v>
      </c>
      <c r="K24" s="281">
        <f>[25]Brewhouse!$Q459</f>
        <v>11.084452975047981</v>
      </c>
      <c r="L24" s="276">
        <f>[25]Brewhouse!$P459</f>
        <v>56</v>
      </c>
      <c r="M24" s="374">
        <f>[25]Brewhouse!$U459-[25]Brewhouse!$T459</f>
        <v>0.10486111111111118</v>
      </c>
      <c r="N24" s="370">
        <f>[25]Brewhouse!$AW459</f>
        <v>0.2597222222222223</v>
      </c>
      <c r="O24" s="421" t="str">
        <f>[25]Brewhouse!$AV459</f>
        <v>R.Sookram</v>
      </c>
      <c r="P24" s="418"/>
      <c r="R24" s="277" t="str">
        <f t="shared" si="9"/>
        <v>STAG</v>
      </c>
      <c r="S24" s="296">
        <f t="shared" si="1"/>
        <v>11.6</v>
      </c>
      <c r="T24" s="296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296">
        <f t="shared" si="8"/>
        <v>60</v>
      </c>
    </row>
    <row r="25" spans="1:26" ht="15" customHeight="1">
      <c r="B25" s="33" t="s">
        <v>9</v>
      </c>
      <c r="C25" s="366" t="str">
        <f>[25]Brewhouse!$A460</f>
        <v>ST436</v>
      </c>
      <c r="D25" s="279">
        <f>[25]Brewhouse!$AD460</f>
        <v>50.5</v>
      </c>
      <c r="E25" s="279">
        <f>[25]Brewhouse!$AG460</f>
        <v>51.1</v>
      </c>
      <c r="F25" s="278">
        <f>[25]Brewhouse!$V460</f>
        <v>73</v>
      </c>
      <c r="G25" s="279">
        <f>[25]Brewhouse!$AE460</f>
        <v>11.8</v>
      </c>
      <c r="H25" s="396">
        <v>11.8</v>
      </c>
      <c r="I25" s="420">
        <f>[25]Brewhouse!$AS460</f>
        <v>100.79066520141535</v>
      </c>
      <c r="J25" s="420">
        <f>[25]Brewhouse!$AT460</f>
        <v>101.18991147940805</v>
      </c>
      <c r="K25" s="281">
        <f>[25]Brewhouse!$Q460</f>
        <v>9.9328214971209157</v>
      </c>
      <c r="L25" s="276">
        <f>[25]Brewhouse!$P460</f>
        <v>59</v>
      </c>
      <c r="M25" s="374">
        <f>[25]Brewhouse!$U460-[25]Brewhouse!$T460</f>
        <v>0.12291666666666667</v>
      </c>
      <c r="N25" s="370">
        <f>[25]Brewhouse!$AW460</f>
        <v>0.25763888888888892</v>
      </c>
      <c r="O25" s="421" t="str">
        <f>[25]Brewhouse!$AV460</f>
        <v>R.Sookram</v>
      </c>
      <c r="P25" s="418"/>
      <c r="R25" s="277" t="str">
        <f t="shared" si="9"/>
        <v>STAG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1:26" ht="15" customHeight="1">
      <c r="B26" s="33"/>
      <c r="C26" s="366"/>
      <c r="D26" s="279"/>
      <c r="E26" s="279"/>
      <c r="F26" s="278"/>
      <c r="G26" s="279"/>
      <c r="H26" s="396"/>
      <c r="I26" s="420"/>
      <c r="J26" s="420"/>
      <c r="K26" s="281"/>
      <c r="L26" s="276"/>
      <c r="M26" s="374"/>
      <c r="N26" s="370"/>
      <c r="O26" s="421"/>
      <c r="P26" s="418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" customHeight="1">
      <c r="B27" s="33"/>
      <c r="C27" s="366"/>
      <c r="D27" s="279"/>
      <c r="E27" s="279"/>
      <c r="F27" s="278"/>
      <c r="G27" s="279"/>
      <c r="H27" s="396"/>
      <c r="I27" s="420"/>
      <c r="J27" s="420"/>
      <c r="K27" s="281"/>
      <c r="L27" s="276"/>
      <c r="M27" s="374"/>
      <c r="N27" s="370"/>
      <c r="O27" s="421"/>
      <c r="P27" s="418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8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.75" customHeight="1" thickBot="1">
      <c r="B29" s="358"/>
      <c r="C29" s="358"/>
      <c r="D29" s="358"/>
      <c r="E29" s="358"/>
      <c r="F29" s="294"/>
      <c r="G29" s="294"/>
      <c r="H29" s="348"/>
      <c r="I29" s="512"/>
      <c r="J29" s="512"/>
      <c r="K29" s="512"/>
      <c r="L29" s="512"/>
      <c r="M29" s="512"/>
      <c r="N29" s="512"/>
      <c r="O29" s="1"/>
      <c r="P29" s="12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5.75" customHeight="1" thickBot="1">
      <c r="B30" s="388" t="s">
        <v>162</v>
      </c>
      <c r="C30" s="388"/>
      <c r="D30" s="490" t="s">
        <v>35</v>
      </c>
      <c r="E30" s="491"/>
      <c r="F30" s="294"/>
      <c r="G30" s="294"/>
      <c r="H30" s="348"/>
      <c r="I30" s="24" t="s">
        <v>17</v>
      </c>
      <c r="J30" s="25"/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 t="str">
        <f t="shared" si="9"/>
        <v xml:space="preserve">BRAND 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5" customHeight="1">
      <c r="A31" s="28"/>
      <c r="B31" s="581"/>
      <c r="C31" s="362"/>
      <c r="D31" s="516"/>
      <c r="E31" s="517"/>
      <c r="F31" s="294"/>
      <c r="G31" s="294"/>
      <c r="H31" s="348"/>
      <c r="I31" s="29" t="s">
        <v>6</v>
      </c>
      <c r="J31" s="280">
        <f>AVERAGE(I10:I11)</f>
        <v>99.040593095522468</v>
      </c>
      <c r="K31" s="284">
        <f>COUNTA([24]Brewhouse!$A$914:$A$937)</f>
        <v>24</v>
      </c>
      <c r="L31" s="305">
        <f>AVERAGE([24]Brewhouse!$AU$914:$AU$937)</f>
        <v>97.26917528987282</v>
      </c>
      <c r="M31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$937)</f>
        <v>97.699941985071874</v>
      </c>
      <c r="N31" s="30">
        <v>98</v>
      </c>
      <c r="O31" s="11"/>
      <c r="P31" s="31"/>
      <c r="R31" s="277">
        <f t="shared" si="9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5" customHeight="1">
      <c r="A32" s="28"/>
      <c r="B32" s="582"/>
      <c r="C32" s="362"/>
      <c r="D32" s="518"/>
      <c r="E32" s="519"/>
      <c r="F32" s="294"/>
      <c r="G32" s="294"/>
      <c r="H32" s="348"/>
      <c r="I32" s="33" t="s">
        <v>9</v>
      </c>
      <c r="J32" s="280">
        <f>AVERAGE(I13:I19,I20:I25)</f>
        <v>98.317342070121057</v>
      </c>
      <c r="K32" s="284">
        <f>COUNTA([25]Brewhouse!$A$449:$A$460)</f>
        <v>12</v>
      </c>
      <c r="L32" s="302">
        <f>AVERAGE([25]Brewhouse!$AS$449:$AS$460)</f>
        <v>98.317342070121057</v>
      </c>
      <c r="M32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$460)</f>
        <v>97.937185549118041</v>
      </c>
      <c r="N32" s="30">
        <v>98</v>
      </c>
      <c r="O32" s="11"/>
      <c r="P32" s="31"/>
      <c r="R32" s="277">
        <f t="shared" si="9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4.65" customHeight="1">
      <c r="A33" s="28"/>
      <c r="B33" s="582"/>
      <c r="C33" s="362"/>
      <c r="D33" s="566"/>
      <c r="E33" s="567"/>
      <c r="F33" s="294"/>
      <c r="G33" s="294"/>
      <c r="H33" s="348"/>
      <c r="I33" s="34" t="s">
        <v>12</v>
      </c>
      <c r="J33" s="280"/>
      <c r="K33" s="284"/>
      <c r="L33" s="302"/>
      <c r="M33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33" s="30">
        <v>98</v>
      </c>
      <c r="O33" s="11"/>
      <c r="P33" s="31"/>
      <c r="R33" s="277">
        <f t="shared" si="9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4.65" customHeight="1">
      <c r="A34" s="28"/>
      <c r="B34" s="582"/>
      <c r="C34" s="362"/>
      <c r="D34" s="531"/>
      <c r="E34" s="519"/>
      <c r="F34" s="294"/>
      <c r="G34" s="294"/>
      <c r="H34" s="348"/>
      <c r="I34" s="22" t="s">
        <v>33</v>
      </c>
      <c r="J34" s="280"/>
      <c r="K34" s="284">
        <f>COUNTA([23]Brewhouse!$A$97:$A$104)</f>
        <v>8</v>
      </c>
      <c r="L34" s="302">
        <f>AVERAGE([23]Brewhouse!$AV$97:$AV$104)</f>
        <v>98.419138016287462</v>
      </c>
      <c r="M34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34" s="30">
        <v>98</v>
      </c>
      <c r="O34" s="11"/>
      <c r="P34" s="31"/>
      <c r="R34" s="277">
        <f t="shared" si="9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4.65" customHeight="1">
      <c r="A35" s="28"/>
      <c r="B35" s="582"/>
      <c r="C35" s="362"/>
      <c r="D35" s="566"/>
      <c r="E35" s="567"/>
      <c r="F35" s="417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4.65" customHeight="1">
      <c r="A36" s="28"/>
      <c r="B36" s="582"/>
      <c r="C36" s="362"/>
      <c r="D36" s="531"/>
      <c r="E36" s="519"/>
      <c r="F36" s="417"/>
      <c r="G36" s="294"/>
      <c r="H36" s="348"/>
      <c r="I36" s="36" t="s">
        <v>15</v>
      </c>
      <c r="J36" s="323"/>
      <c r="K36" s="284"/>
      <c r="L36" s="302"/>
      <c r="M36" s="302">
        <f>AVERAGE([27]Brewhouse!$AT$4:$AT$11,[27]Brewhouse!$AT$13:$AT$16,[27]Brewhouse!$AT$18:$AT$21,[27]Brewhouse!$AT$26,[27]Brewhouse!$AT$28:$AT$35)</f>
        <v>94.794664331624134</v>
      </c>
      <c r="N36" s="30">
        <v>98</v>
      </c>
      <c r="O36" s="11"/>
      <c r="P36" s="31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27" ht="14.65" customHeight="1">
      <c r="A37" s="28"/>
      <c r="B37" s="582"/>
      <c r="C37" s="362"/>
      <c r="D37" s="566"/>
      <c r="E37" s="567"/>
      <c r="F37" s="417"/>
      <c r="G37" s="294"/>
      <c r="H37" s="348"/>
      <c r="I37" s="37" t="s">
        <v>16</v>
      </c>
      <c r="J37" s="323"/>
      <c r="K37" s="284">
        <f>COUNTA([22]Brewhouse!$A$94:$A$97)</f>
        <v>4</v>
      </c>
      <c r="L37" s="302">
        <f>AVERAGE([22]Brewhouse!$AY$94:$AY$97)</f>
        <v>95.326767995731288</v>
      </c>
      <c r="M37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7" s="30">
        <v>98</v>
      </c>
      <c r="O37" s="11"/>
      <c r="P37" s="31" t="s">
        <v>41</v>
      </c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AA37" s="296"/>
    </row>
    <row r="38" spans="1:27" ht="14.65" customHeight="1">
      <c r="A38" s="28"/>
      <c r="B38" s="582"/>
      <c r="C38" s="362"/>
      <c r="D38" s="531"/>
      <c r="E38" s="519"/>
      <c r="F38" s="294"/>
      <c r="G38" s="294"/>
      <c r="H38" s="348"/>
      <c r="I38" s="411" t="s">
        <v>158</v>
      </c>
      <c r="J38" s="326"/>
      <c r="K38" s="284"/>
      <c r="L38" s="305"/>
      <c r="M38" s="305">
        <f>AVERAGE([28]Brewhouse!$AU$5:$AU$8,[28]Brewhouse!$AU$10:$AU$13,[22]Brewhouse!$AY$75:$AY$77)</f>
        <v>94.749192473706671</v>
      </c>
      <c r="N38" s="30">
        <v>98</v>
      </c>
      <c r="O38" s="11"/>
      <c r="P38" s="31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  <c r="AA38" s="296"/>
    </row>
    <row r="39" spans="1:27" ht="14.65" customHeight="1">
      <c r="A39" s="28"/>
      <c r="B39" s="582"/>
      <c r="C39" s="349"/>
      <c r="D39" s="566"/>
      <c r="E39" s="567"/>
      <c r="F39" s="294"/>
      <c r="G39" s="294"/>
      <c r="H39" s="348"/>
      <c r="I39" s="410" t="s">
        <v>157</v>
      </c>
      <c r="J39" s="326"/>
      <c r="K39" s="284"/>
      <c r="L39" s="305"/>
      <c r="M39" s="305">
        <f>AVERAGE([29]Brewhouse!$AW$26:$AW$27)</f>
        <v>95.310680905194914</v>
      </c>
      <c r="N39" s="30">
        <v>98</v>
      </c>
      <c r="O39" s="11"/>
      <c r="P39" s="31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  <c r="AA39" s="296"/>
    </row>
    <row r="40" spans="1:27" ht="15" customHeight="1" thickBot="1">
      <c r="A40" s="28"/>
      <c r="B40" s="582"/>
      <c r="C40" s="349"/>
      <c r="D40" s="531"/>
      <c r="E40" s="519"/>
      <c r="F40" s="294"/>
      <c r="G40" s="294"/>
      <c r="H40" s="348"/>
      <c r="I40" s="406" t="s">
        <v>156</v>
      </c>
      <c r="J40" s="327"/>
      <c r="K40" s="407"/>
      <c r="L40" s="408"/>
      <c r="M40" s="408">
        <f>AVERAGE([30]Brewhouse!$AU$13:$AU$14)</f>
        <v>97.110575243268045</v>
      </c>
      <c r="N40" s="409">
        <v>98</v>
      </c>
      <c r="O40" s="11"/>
      <c r="P40" s="31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  <c r="AA40" s="296"/>
    </row>
    <row r="41" spans="1:27" ht="15" customHeight="1" thickBot="1">
      <c r="A41" s="28"/>
      <c r="B41" s="582"/>
      <c r="C41" s="349"/>
      <c r="D41" s="516"/>
      <c r="E41" s="517"/>
      <c r="F41" s="294"/>
      <c r="G41" s="294"/>
      <c r="H41" s="348"/>
      <c r="I41" s="1"/>
      <c r="J41" s="39"/>
      <c r="K41" s="404">
        <f>SUM(K31:K40)</f>
        <v>48</v>
      </c>
      <c r="L41" s="405">
        <f>((L31*K31)+(L32*K32)+(L33*K33)+(L34*K34)+(L35*K35)+(K38*L38)+(L36*K36)+(L37*K37)+(L40*K40))/(K41)</f>
        <v>97.561010164825518</v>
      </c>
      <c r="M41" s="405">
        <f>AVERAGE('[31]Jan 31st'!$L$65,'[32]Feb 28th'!$L$35,'[33]Mar. 31st'!$L$35,'[34]Apr. 30th'!$L$45,'[35]May 30th'!$L$37,'[36]June 30th'!$L$57,'[37]July 29th '!$L$44,'[38]Aug 29th'!$L$29,'[39]Sept 30th'!$L$35,L41)</f>
        <v>97.574051256164353</v>
      </c>
      <c r="N41" s="40">
        <v>98</v>
      </c>
      <c r="O41" s="11"/>
      <c r="P41" s="31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  <c r="AA41" s="296"/>
    </row>
    <row r="42" spans="1:27" ht="15.75" thickBot="1">
      <c r="B42" s="583"/>
      <c r="C42" s="350"/>
      <c r="D42" s="518"/>
      <c r="E42" s="519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  <c r="AA42" s="296"/>
    </row>
    <row r="43" spans="1:27" ht="15.75" thickBot="1">
      <c r="B43" s="513"/>
      <c r="C43" s="362"/>
      <c r="D43" s="529"/>
      <c r="E43" s="530"/>
      <c r="F43" s="294"/>
      <c r="G43" s="42"/>
      <c r="H43" s="41"/>
      <c r="I43" s="42"/>
      <c r="J43" s="565" t="s">
        <v>129</v>
      </c>
      <c r="K43" s="565"/>
      <c r="L43" s="294"/>
      <c r="M43" s="294"/>
      <c r="N43" s="294"/>
      <c r="O43" s="294"/>
      <c r="P43" s="12"/>
    </row>
    <row r="44" spans="1:27" ht="15.75" thickBot="1">
      <c r="B44" s="514"/>
      <c r="C44" s="362"/>
      <c r="D44" s="531"/>
      <c r="E44" s="519"/>
      <c r="F44" s="294"/>
      <c r="G44" s="42"/>
      <c r="H44" s="41"/>
      <c r="I44" s="292" t="s">
        <v>17</v>
      </c>
      <c r="J44" s="293" t="s">
        <v>177</v>
      </c>
      <c r="K44" s="293" t="s">
        <v>147</v>
      </c>
      <c r="L44" s="533" t="s">
        <v>136</v>
      </c>
      <c r="M44" s="533"/>
      <c r="N44" s="534"/>
      <c r="O44" s="294"/>
      <c r="P44" s="12"/>
    </row>
    <row r="45" spans="1:27" ht="15" customHeight="1" thickBot="1">
      <c r="B45" s="514"/>
      <c r="C45" s="349"/>
      <c r="D45" s="566"/>
      <c r="E45" s="567"/>
      <c r="F45" s="294"/>
      <c r="G45" s="42"/>
      <c r="H45" s="41"/>
      <c r="I45" s="287" t="s">
        <v>6</v>
      </c>
      <c r="J45" s="324">
        <f>COUNTA(B10:B11)</f>
        <v>2</v>
      </c>
      <c r="K45" s="324"/>
      <c r="L45" s="343" t="s">
        <v>37</v>
      </c>
      <c r="M45" s="307" t="s">
        <v>38</v>
      </c>
      <c r="N45" s="307" t="s">
        <v>84</v>
      </c>
      <c r="O45" s="294"/>
      <c r="P45" s="12"/>
    </row>
    <row r="46" spans="1:27" ht="15.75" customHeight="1" thickBot="1">
      <c r="B46" s="514"/>
      <c r="C46" s="349"/>
      <c r="D46" s="531"/>
      <c r="E46" s="519"/>
      <c r="F46" s="294"/>
      <c r="G46" s="42"/>
      <c r="H46" s="41"/>
      <c r="I46" s="345" t="s">
        <v>9</v>
      </c>
      <c r="J46" s="324">
        <v>8</v>
      </c>
      <c r="K46" s="324">
        <v>4</v>
      </c>
      <c r="L46" s="344">
        <f>AVERAGE('Nov 7th-8th'!K55,'Nov 6th '!K52,'Nov 7th-8th'!J55,'Nov 4th'!K52,'Nov 5th'!K51,Nov.3rd!K52)</f>
        <v>8</v>
      </c>
      <c r="M46" s="325">
        <f>AVERAGE('[31]Jan 29th '!$M$70,'[32]Feb 28th'!$L$40,'[33]Mar. 31st'!$L$40,'[34]Apr. 30th'!$L$50,'[35]May 30th'!$L$42,'[36]June 30th'!$L$62,'[37]July 29th '!$L$49,'[38]Aug 29th'!$L$34,'[39]Sept 30th'!$L$40,[40]Oct.31st!$L$43,L46)</f>
        <v>7.1484278498008473</v>
      </c>
      <c r="N46" s="416">
        <v>9.1999999999999993</v>
      </c>
      <c r="O46" s="294"/>
      <c r="P46" s="12"/>
    </row>
    <row r="47" spans="1:27" ht="15" customHeight="1">
      <c r="B47" s="514"/>
      <c r="C47" s="349"/>
      <c r="D47" s="566"/>
      <c r="E47" s="567"/>
      <c r="F47" s="294"/>
      <c r="G47" s="42"/>
      <c r="H47" s="41"/>
      <c r="I47" s="288" t="s">
        <v>40</v>
      </c>
      <c r="J47" s="324"/>
      <c r="K47" s="324"/>
      <c r="L47" s="294"/>
      <c r="M47" s="294"/>
      <c r="N47" s="294"/>
      <c r="O47" s="294"/>
      <c r="P47" s="12"/>
    </row>
    <row r="48" spans="1:27" ht="15" customHeight="1">
      <c r="B48" s="514"/>
      <c r="C48" s="349"/>
      <c r="D48" s="531"/>
      <c r="E48" s="519"/>
      <c r="F48" s="294"/>
      <c r="G48" s="42"/>
      <c r="H48" s="41"/>
      <c r="I48" s="289" t="s">
        <v>33</v>
      </c>
      <c r="J48" s="324"/>
      <c r="K48" s="324"/>
      <c r="L48" s="294"/>
      <c r="M48" s="294"/>
      <c r="N48" s="294"/>
      <c r="O48" s="294"/>
      <c r="P48" s="12"/>
    </row>
    <row r="49" spans="2:57" ht="15">
      <c r="B49" s="514"/>
      <c r="C49" s="349"/>
      <c r="D49" s="566"/>
      <c r="E49" s="567"/>
      <c r="F49" s="294"/>
      <c r="G49" s="42"/>
      <c r="H49" s="41"/>
      <c r="I49" s="290" t="s">
        <v>16</v>
      </c>
      <c r="J49" s="324"/>
      <c r="K49" s="324"/>
      <c r="L49" s="294"/>
      <c r="M49" s="294"/>
      <c r="N49" s="294"/>
      <c r="O49" s="294"/>
      <c r="P49" s="12"/>
      <c r="BC49" s="44"/>
      <c r="BD49" s="44"/>
    </row>
    <row r="50" spans="2:57" ht="15">
      <c r="B50" s="514"/>
      <c r="C50" s="349"/>
      <c r="D50" s="531"/>
      <c r="E50" s="519"/>
      <c r="F50" s="294"/>
      <c r="G50" s="42"/>
      <c r="H50" s="41"/>
      <c r="I50" s="291" t="s">
        <v>15</v>
      </c>
      <c r="J50" s="324"/>
      <c r="K50" s="324"/>
      <c r="L50" s="294"/>
      <c r="M50" s="294"/>
      <c r="N50" s="294"/>
      <c r="O50" s="294"/>
      <c r="P50" s="12"/>
      <c r="BC50" s="44"/>
      <c r="BD50" s="44"/>
    </row>
    <row r="51" spans="2:57" ht="15">
      <c r="B51" s="514"/>
      <c r="C51" s="349"/>
      <c r="D51" s="566"/>
      <c r="E51" s="567"/>
      <c r="F51" s="294"/>
      <c r="G51" s="42"/>
      <c r="H51" s="41"/>
      <c r="I51" s="291" t="s">
        <v>149</v>
      </c>
      <c r="J51" s="324"/>
      <c r="K51" s="324"/>
      <c r="L51" s="294"/>
      <c r="M51" s="294"/>
      <c r="N51" s="294"/>
      <c r="O51" s="294"/>
      <c r="P51" s="12"/>
      <c r="BC51" s="44"/>
      <c r="BD51" s="44"/>
    </row>
    <row r="52" spans="2:57" ht="15.75" thickBot="1">
      <c r="B52" s="515"/>
      <c r="C52" s="350"/>
      <c r="D52" s="568"/>
      <c r="E52" s="569"/>
      <c r="F52" s="294" t="s">
        <v>168</v>
      </c>
      <c r="G52" s="42"/>
      <c r="H52" s="41"/>
      <c r="I52" s="291" t="s">
        <v>148</v>
      </c>
      <c r="J52" s="324"/>
      <c r="K52" s="324"/>
      <c r="L52" s="294"/>
      <c r="M52" s="294"/>
      <c r="N52" s="294" t="s">
        <v>41</v>
      </c>
      <c r="O52" s="294"/>
      <c r="P52" s="12"/>
      <c r="BC52" s="44"/>
      <c r="BD52" s="44"/>
    </row>
    <row r="53" spans="2:57" ht="17.649999999999999" customHeight="1" thickBot="1">
      <c r="B53" s="312" t="s">
        <v>139</v>
      </c>
      <c r="C53" s="313"/>
      <c r="D53" s="576"/>
      <c r="E53" s="577"/>
      <c r="F53" s="294"/>
      <c r="H53" s="41"/>
      <c r="I53" s="295" t="s">
        <v>134</v>
      </c>
      <c r="J53" s="324"/>
      <c r="K53" s="324"/>
      <c r="L53" s="294"/>
      <c r="M53" s="294"/>
      <c r="N53" s="294"/>
      <c r="O53" s="294"/>
      <c r="P53" s="12"/>
      <c r="BC53" s="44"/>
      <c r="BD53" s="44"/>
    </row>
    <row r="54" spans="2:57" ht="17.649999999999999" customHeight="1">
      <c r="B54" s="363"/>
      <c r="C54" s="364"/>
      <c r="D54" s="365"/>
      <c r="E54" s="365"/>
      <c r="F54" s="294"/>
      <c r="G54" s="42"/>
      <c r="H54" s="41"/>
      <c r="I54" s="295" t="s">
        <v>131</v>
      </c>
      <c r="J54" s="324"/>
      <c r="K54" s="324"/>
      <c r="L54" s="294"/>
      <c r="M54" s="294"/>
      <c r="N54" s="294"/>
      <c r="O54" s="294"/>
      <c r="P54" s="12"/>
      <c r="BC54" s="44"/>
      <c r="BD54" s="44"/>
    </row>
    <row r="55" spans="2:57" ht="15.6" customHeight="1">
      <c r="B55" s="45"/>
      <c r="C55" s="11"/>
      <c r="D55" s="11"/>
      <c r="E55" s="46"/>
      <c r="F55" s="294"/>
      <c r="G55" s="42"/>
      <c r="H55" s="41"/>
      <c r="I55" s="346" t="s">
        <v>130</v>
      </c>
      <c r="J55" s="324">
        <f>SUM(J45:J54)</f>
        <v>10</v>
      </c>
      <c r="K55" s="324">
        <f>SUM(K45:K54)</f>
        <v>4</v>
      </c>
      <c r="L55" s="294"/>
      <c r="M55" s="294"/>
      <c r="N55" s="294"/>
      <c r="O55" s="294"/>
      <c r="P55" s="12"/>
    </row>
    <row r="56" spans="2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I56" s="42"/>
      <c r="L56" s="294"/>
      <c r="N56" s="315"/>
      <c r="P56" s="334"/>
    </row>
    <row r="57" spans="2:57" ht="15" customHeight="1" thickBo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1"/>
      <c r="O57" s="48"/>
      <c r="P57" s="49"/>
    </row>
    <row r="58" spans="2:57" ht="15" customHeight="1" thickBot="1">
      <c r="B58" s="541" t="s">
        <v>17</v>
      </c>
      <c r="C58" s="541" t="s">
        <v>44</v>
      </c>
      <c r="D58" s="543" t="s">
        <v>45</v>
      </c>
      <c r="E58" s="498" t="s">
        <v>46</v>
      </c>
      <c r="F58" s="558" t="s">
        <v>47</v>
      </c>
      <c r="G58" s="552" t="s">
        <v>48</v>
      </c>
      <c r="H58" s="541" t="s">
        <v>49</v>
      </c>
      <c r="I58" s="541" t="s">
        <v>50</v>
      </c>
      <c r="J58" s="546" t="s">
        <v>28</v>
      </c>
      <c r="K58" s="496" t="s">
        <v>51</v>
      </c>
      <c r="L58" s="508" t="s">
        <v>52</v>
      </c>
      <c r="M58" s="546" t="s">
        <v>53</v>
      </c>
      <c r="N58" s="13"/>
      <c r="O58" s="13"/>
      <c r="P58" s="50"/>
    </row>
    <row r="59" spans="2:57" ht="28.5" customHeight="1" thickTop="1" thickBot="1">
      <c r="B59" s="542"/>
      <c r="C59" s="542"/>
      <c r="D59" s="544"/>
      <c r="E59" s="545"/>
      <c r="F59" s="559"/>
      <c r="G59" s="553"/>
      <c r="H59" s="560"/>
      <c r="I59" s="560"/>
      <c r="J59" s="547"/>
      <c r="K59" s="556"/>
      <c r="L59" s="557"/>
      <c r="M59" s="547"/>
      <c r="N59" s="13"/>
      <c r="O59" s="13"/>
      <c r="P59" s="50"/>
      <c r="Q59" s="355"/>
      <c r="AB59" s="51">
        <v>43474</v>
      </c>
      <c r="AC59" s="51">
        <v>43475</v>
      </c>
      <c r="AD59" s="51">
        <v>43476</v>
      </c>
      <c r="AE59" s="51">
        <v>43477</v>
      </c>
      <c r="AF59" s="51">
        <v>43478</v>
      </c>
      <c r="AG59" s="51">
        <v>43479</v>
      </c>
      <c r="AH59" s="51">
        <v>43480</v>
      </c>
      <c r="AI59" s="51">
        <v>43481</v>
      </c>
      <c r="AJ59" s="51">
        <v>43482</v>
      </c>
      <c r="AK59" s="51">
        <v>43483</v>
      </c>
      <c r="AL59" s="51">
        <v>43484</v>
      </c>
      <c r="AM59" s="51">
        <v>43485</v>
      </c>
      <c r="AN59" s="51">
        <v>43486</v>
      </c>
      <c r="AO59" s="51">
        <v>43487</v>
      </c>
      <c r="AP59" s="51">
        <v>43488</v>
      </c>
      <c r="AQ59" s="51">
        <v>43489</v>
      </c>
      <c r="AR59" s="51">
        <v>43490</v>
      </c>
      <c r="AS59" s="51">
        <v>43491</v>
      </c>
      <c r="AT59" s="51">
        <v>43492</v>
      </c>
      <c r="AU59" s="51">
        <v>43493</v>
      </c>
      <c r="AV59" s="51">
        <v>43494</v>
      </c>
      <c r="AW59" s="51">
        <v>43495</v>
      </c>
      <c r="AX59" s="51">
        <v>43496</v>
      </c>
    </row>
    <row r="60" spans="2:57" s="54" customFormat="1" ht="43.15" customHeight="1" thickBot="1">
      <c r="B60" s="474"/>
      <c r="C60" s="442"/>
      <c r="D60" s="443"/>
      <c r="E60" s="444"/>
      <c r="F60" s="445"/>
      <c r="G60" s="445"/>
      <c r="H60" s="460"/>
      <c r="I60" s="460"/>
      <c r="J60" s="449"/>
      <c r="K60" s="450"/>
      <c r="L60" s="459" t="e">
        <f>(((D60+E60)-G60)/(D60+E60))*100</f>
        <v>#DIV/0!</v>
      </c>
      <c r="M60" s="456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[20]January_2019!L7</f>
        <v>285.8</v>
      </c>
      <c r="AC60" s="57">
        <f>[20]January_2019!M7</f>
        <v>508.1</v>
      </c>
      <c r="AD60" s="57">
        <f>[20]January_2019!N7</f>
        <v>0</v>
      </c>
      <c r="AE60" s="57">
        <f>[20]January_2019!O7</f>
        <v>0</v>
      </c>
      <c r="AF60" s="57">
        <f>[20]January_2019!P7</f>
        <v>109.56666666666666</v>
      </c>
      <c r="AG60" s="57">
        <f>[20]January_2019!Q7</f>
        <v>297.64999999999998</v>
      </c>
      <c r="AH60" s="57">
        <f>[20]January_2019!R7</f>
        <v>122.3</v>
      </c>
      <c r="AI60" s="57">
        <f>[20]January_2019!S7</f>
        <v>0</v>
      </c>
      <c r="AJ60" s="57">
        <f>[20]January_2019!T7</f>
        <v>294.7</v>
      </c>
      <c r="AK60" s="57">
        <f>[20]January_2019!U7</f>
        <v>280.5</v>
      </c>
      <c r="AL60" s="57">
        <f>[20]January_2019!V7</f>
        <v>0</v>
      </c>
      <c r="AM60" s="57">
        <f>[20]January_2019!W7</f>
        <v>0</v>
      </c>
      <c r="AN60" s="57">
        <f>[20]January_2019!X7</f>
        <v>188.25</v>
      </c>
      <c r="AO60" s="57">
        <f>[20]January_2019!Y7</f>
        <v>295.7</v>
      </c>
      <c r="AP60" s="57">
        <f>[20]January_2019!Z7</f>
        <v>257.8</v>
      </c>
      <c r="AQ60" s="57">
        <f>[20]January_2019!AA7</f>
        <v>291.2</v>
      </c>
      <c r="AR60" s="57">
        <f>[20]January_2019!AB7</f>
        <v>187</v>
      </c>
      <c r="AS60" s="57">
        <f>[20]January_2019!AC7</f>
        <v>0</v>
      </c>
      <c r="AT60" s="57">
        <f>[20]January_2019!AD7</f>
        <v>0</v>
      </c>
      <c r="AU60" s="57">
        <f>[20]January_2019!AE7</f>
        <v>485.1</v>
      </c>
      <c r="AV60" s="57">
        <f>[20]January_2019!AF7</f>
        <v>171.55</v>
      </c>
      <c r="AW60" s="57">
        <f>[20]January_2019!AG7</f>
        <v>423.8</v>
      </c>
      <c r="AX60" s="277">
        <f>[20]January_2019!AH7</f>
        <v>0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20.45" hidden="1" customHeight="1" thickBot="1">
      <c r="B61" s="473"/>
      <c r="C61" s="431"/>
      <c r="D61" s="432"/>
      <c r="E61" s="433"/>
      <c r="F61" s="434"/>
      <c r="G61" s="435"/>
      <c r="H61" s="429"/>
      <c r="I61" s="429"/>
      <c r="J61" s="452"/>
      <c r="K61" s="437"/>
      <c r="L61" s="453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8.450000000000003" hidden="1" customHeight="1" thickBot="1">
      <c r="B62" s="473"/>
      <c r="C62" s="442">
        <v>45966</v>
      </c>
      <c r="D62" s="443"/>
      <c r="E62" s="444"/>
      <c r="F62" s="445"/>
      <c r="G62" s="446"/>
      <c r="H62" s="460"/>
      <c r="I62" s="460"/>
      <c r="J62" s="449"/>
      <c r="K62" s="462"/>
      <c r="L62" s="472" t="e">
        <f>(((D62+E62)-G62)/(D62+E62))*100</f>
        <v>#DIV/0!</v>
      </c>
      <c r="M62" s="456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5" hidden="1">
      <c r="B63" s="454"/>
      <c r="C63" s="431"/>
      <c r="D63" s="432"/>
      <c r="E63" s="433"/>
      <c r="F63" s="434"/>
      <c r="G63" s="435"/>
      <c r="H63" s="436"/>
      <c r="I63" s="451"/>
      <c r="J63" s="452"/>
      <c r="K63" s="437"/>
      <c r="L63" s="453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15" hidden="1" customHeight="1" thickBot="1">
      <c r="B64" s="461"/>
      <c r="C64" s="442"/>
      <c r="D64" s="443"/>
      <c r="E64" s="444"/>
      <c r="F64" s="445"/>
      <c r="G64" s="446"/>
      <c r="H64" s="447"/>
      <c r="I64" s="448"/>
      <c r="J64" s="449"/>
      <c r="K64" s="450"/>
      <c r="L64" s="459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6.5" hidden="1" customHeight="1" thickBot="1">
      <c r="B65" s="438"/>
      <c r="C65" s="424"/>
      <c r="D65" s="425"/>
      <c r="E65" s="426"/>
      <c r="F65" s="427"/>
      <c r="G65" s="428"/>
      <c r="H65" s="429"/>
      <c r="I65" s="439"/>
      <c r="J65" s="440"/>
      <c r="K65" s="430"/>
      <c r="L65" s="441"/>
      <c r="M65" s="423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15"/>
      <c r="AC65" s="415"/>
      <c r="AD65" s="415"/>
      <c r="AE65" s="415"/>
      <c r="AF65" s="415"/>
      <c r="AG65" s="415"/>
      <c r="AH65" s="415"/>
      <c r="AI65" s="415"/>
      <c r="AJ65" s="415"/>
      <c r="AK65" s="415"/>
      <c r="AL65" s="415"/>
      <c r="AM65" s="415"/>
      <c r="AN65" s="415"/>
      <c r="AO65" s="415"/>
      <c r="AP65" s="415"/>
      <c r="AQ65" s="415"/>
      <c r="AR65" s="415"/>
      <c r="AS65" s="415"/>
      <c r="AT65" s="415"/>
      <c r="AU65" s="415"/>
      <c r="AV65" s="415"/>
      <c r="AW65" s="415"/>
    </row>
    <row r="66" spans="2:57" s="54" customFormat="1" ht="37.15" hidden="1" customHeight="1" thickBot="1">
      <c r="B66" s="461"/>
      <c r="C66" s="442"/>
      <c r="D66" s="443"/>
      <c r="E66" s="444"/>
      <c r="F66" s="445"/>
      <c r="G66" s="446"/>
      <c r="H66" s="447"/>
      <c r="I66" s="448"/>
      <c r="J66" s="449"/>
      <c r="K66" s="450"/>
      <c r="L66" s="459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15" customHeight="1">
      <c r="B67" s="470"/>
      <c r="C67" s="431"/>
      <c r="D67" s="464"/>
      <c r="E67" s="465"/>
      <c r="F67" s="466"/>
      <c r="G67" s="464"/>
      <c r="H67" s="467"/>
      <c r="I67" s="467"/>
      <c r="J67" s="467"/>
      <c r="K67" s="468"/>
      <c r="L67" s="469"/>
      <c r="M67" s="50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ht="18" customHeight="1" thickBot="1">
      <c r="B68" s="59"/>
      <c r="C68" s="30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 t="s">
        <v>41</v>
      </c>
      <c r="O68" s="56"/>
      <c r="P68" s="60"/>
    </row>
    <row r="69" spans="2:57" ht="15.75" thickBot="1">
      <c r="B69" s="548" t="s">
        <v>55</v>
      </c>
      <c r="C69" s="549"/>
      <c r="D69" s="549"/>
      <c r="E69" s="549"/>
      <c r="F69" s="550"/>
      <c r="G69" s="548" t="s">
        <v>56</v>
      </c>
      <c r="H69" s="549"/>
      <c r="I69" s="549"/>
      <c r="J69" s="550"/>
      <c r="K69" s="548" t="s">
        <v>51</v>
      </c>
      <c r="L69" s="549"/>
      <c r="M69" s="549"/>
      <c r="N69" s="551"/>
      <c r="O69" s="56"/>
      <c r="P69" s="50"/>
    </row>
    <row r="70" spans="2:57" ht="15">
      <c r="B70" s="61" t="s">
        <v>17</v>
      </c>
      <c r="C70" s="62" t="s">
        <v>36</v>
      </c>
      <c r="D70" s="62" t="s">
        <v>37</v>
      </c>
      <c r="E70" s="62" t="s">
        <v>38</v>
      </c>
      <c r="F70" s="63" t="s">
        <v>39</v>
      </c>
      <c r="G70" s="62" t="s">
        <v>36</v>
      </c>
      <c r="H70" s="62" t="s">
        <v>37</v>
      </c>
      <c r="I70" s="62" t="s">
        <v>38</v>
      </c>
      <c r="J70" s="63" t="s">
        <v>39</v>
      </c>
      <c r="K70" s="62" t="s">
        <v>36</v>
      </c>
      <c r="L70" s="62" t="s">
        <v>37</v>
      </c>
      <c r="M70" s="62" t="s">
        <v>38</v>
      </c>
      <c r="N70" s="63" t="s">
        <v>39</v>
      </c>
      <c r="O70" s="56"/>
      <c r="P70" s="64"/>
    </row>
    <row r="71" spans="2:57" ht="15">
      <c r="B71" s="29" t="s">
        <v>6</v>
      </c>
      <c r="C71" s="65"/>
      <c r="D71" s="76">
        <v>5.6319231282530273</v>
      </c>
      <c r="E71" s="76">
        <v>6.0605326541347297</v>
      </c>
      <c r="F71" s="66">
        <v>4.8</v>
      </c>
      <c r="G71" s="65"/>
      <c r="H71" s="76">
        <v>7.4734885378868032</v>
      </c>
      <c r="I71" s="76">
        <v>6.0781746761521545</v>
      </c>
      <c r="J71" s="66">
        <v>4.8</v>
      </c>
      <c r="K71" s="67"/>
      <c r="L71" s="194">
        <v>0.28046783625730998</v>
      </c>
      <c r="M71" s="194">
        <v>0.70199764246992191</v>
      </c>
      <c r="N71" s="68">
        <v>1</v>
      </c>
      <c r="O71" s="56"/>
      <c r="P71" s="69"/>
    </row>
    <row r="72" spans="2:57" ht="15">
      <c r="B72" s="33" t="s">
        <v>9</v>
      </c>
      <c r="C72" s="65"/>
      <c r="D72" s="76">
        <v>5.1671214188267509</v>
      </c>
      <c r="E72" s="76">
        <v>5.7344696924419472</v>
      </c>
      <c r="F72" s="66">
        <v>4.8</v>
      </c>
      <c r="G72" s="65"/>
      <c r="H72" s="76">
        <v>3.8690868488751016</v>
      </c>
      <c r="I72" s="76">
        <v>6.3491977772279</v>
      </c>
      <c r="J72" s="66">
        <v>4.8</v>
      </c>
      <c r="K72" s="67"/>
      <c r="L72" s="194">
        <v>0.48780701754385969</v>
      </c>
      <c r="M72" s="194">
        <v>0.65340260538294603</v>
      </c>
      <c r="N72" s="68">
        <v>1</v>
      </c>
      <c r="P72" s="69"/>
    </row>
    <row r="73" spans="2:57" ht="15">
      <c r="B73" s="34" t="s">
        <v>40</v>
      </c>
      <c r="C73" s="65"/>
      <c r="D73" s="76"/>
      <c r="E73" s="76">
        <v>11.019084676672206</v>
      </c>
      <c r="F73" s="66">
        <v>5.5</v>
      </c>
      <c r="G73" s="65"/>
      <c r="H73" s="76"/>
      <c r="I73" s="76">
        <v>12.668713273493125</v>
      </c>
      <c r="J73" s="66">
        <v>5.5</v>
      </c>
      <c r="K73" s="67"/>
      <c r="L73" s="194"/>
      <c r="M73" s="194">
        <v>0.49234992101105851</v>
      </c>
      <c r="N73" s="68">
        <v>1</v>
      </c>
      <c r="P73" s="69"/>
    </row>
    <row r="74" spans="2:57" ht="15">
      <c r="B74" s="22" t="s">
        <v>33</v>
      </c>
      <c r="C74" s="65"/>
      <c r="D74" s="76">
        <v>3.7833827893175105</v>
      </c>
      <c r="E74" s="76">
        <v>4.6226456706805745</v>
      </c>
      <c r="F74" s="66">
        <v>3.3</v>
      </c>
      <c r="G74" s="65"/>
      <c r="H74" s="76">
        <v>3.7421885632627285</v>
      </c>
      <c r="I74" s="76">
        <v>4.4171317623593813</v>
      </c>
      <c r="J74" s="66">
        <v>3.3</v>
      </c>
      <c r="K74" s="67"/>
      <c r="L74" s="194">
        <v>0.68263157894736837</v>
      </c>
      <c r="M74" s="194">
        <v>0.83111215538847116</v>
      </c>
      <c r="N74" s="68">
        <v>1</v>
      </c>
      <c r="P74" s="69"/>
    </row>
    <row r="75" spans="2:57" ht="15">
      <c r="B75" s="35" t="s">
        <v>164</v>
      </c>
      <c r="C75" s="65"/>
      <c r="D75" s="76"/>
      <c r="E75" s="76">
        <v>7.837301587301579</v>
      </c>
      <c r="F75" s="66">
        <v>3.3</v>
      </c>
      <c r="G75" s="282"/>
      <c r="H75" s="76"/>
      <c r="I75" s="76">
        <v>5.3377569154690221</v>
      </c>
      <c r="J75" s="66">
        <v>3</v>
      </c>
      <c r="K75" s="67"/>
      <c r="L75" s="194"/>
      <c r="M75" s="194">
        <v>0.32596491228070179</v>
      </c>
      <c r="N75" s="68">
        <v>1</v>
      </c>
      <c r="P75" s="69"/>
    </row>
    <row r="76" spans="2:57" ht="15">
      <c r="B76" s="36" t="s">
        <v>15</v>
      </c>
      <c r="C76" s="65"/>
      <c r="D76" s="76"/>
      <c r="E76" s="76">
        <v>6.8851328044153277</v>
      </c>
      <c r="F76" s="70">
        <f>[21]May_2022!$M$43</f>
        <v>3.4878406700073312</v>
      </c>
      <c r="G76" s="282"/>
      <c r="H76" s="76"/>
      <c r="I76" s="76">
        <v>8.6614709463340702</v>
      </c>
      <c r="J76" s="66">
        <v>5.5</v>
      </c>
      <c r="K76" s="67"/>
      <c r="L76" s="194"/>
      <c r="M76" s="194">
        <v>0.73160818713450293</v>
      </c>
      <c r="N76" s="68">
        <v>1</v>
      </c>
      <c r="P76" s="69"/>
    </row>
    <row r="77" spans="2:57" ht="15">
      <c r="B77" s="37" t="s">
        <v>16</v>
      </c>
      <c r="C77" s="65"/>
      <c r="D77" s="76">
        <v>2.6328862394436081</v>
      </c>
      <c r="E77" s="76">
        <v>2.9297033255778997</v>
      </c>
      <c r="F77" s="66">
        <v>3.3</v>
      </c>
      <c r="G77" s="282"/>
      <c r="H77" s="76">
        <v>2.6328862394435983</v>
      </c>
      <c r="I77" s="76">
        <v>4.2684292436723528</v>
      </c>
      <c r="J77" s="66">
        <v>3.3</v>
      </c>
      <c r="K77" s="67"/>
      <c r="L77" s="194">
        <v>0.68771929824561406</v>
      </c>
      <c r="M77" s="194">
        <v>0.84660147761842675</v>
      </c>
      <c r="N77" s="71">
        <v>1</v>
      </c>
      <c r="P77" s="69"/>
    </row>
    <row r="78" spans="2:57" ht="15.75" thickBot="1">
      <c r="B78" s="38" t="s">
        <v>163</v>
      </c>
      <c r="C78" s="65"/>
      <c r="D78" s="76"/>
      <c r="E78" s="76">
        <v>11.483253588516746</v>
      </c>
      <c r="F78" s="66">
        <v>7.5</v>
      </c>
      <c r="G78" s="282"/>
      <c r="H78" s="76"/>
      <c r="I78" s="76">
        <v>9.7934336121043764</v>
      </c>
      <c r="J78" s="66">
        <v>7.5</v>
      </c>
      <c r="K78" s="67"/>
      <c r="M78" s="194">
        <v>0.32456140350877194</v>
      </c>
      <c r="N78" s="71">
        <v>1</v>
      </c>
      <c r="P78" s="69"/>
    </row>
    <row r="79" spans="2:57" ht="15.75" thickBot="1">
      <c r="B79" s="414" t="s">
        <v>161</v>
      </c>
      <c r="C79" s="65"/>
      <c r="D79" s="76"/>
      <c r="E79" s="76">
        <v>7.2653644592663174</v>
      </c>
      <c r="F79" s="66">
        <v>4.8</v>
      </c>
      <c r="G79" s="282"/>
      <c r="H79" s="76"/>
      <c r="I79" s="76">
        <v>8.1715311054411259</v>
      </c>
      <c r="J79" s="66">
        <v>4.8</v>
      </c>
      <c r="K79" s="67"/>
      <c r="L79" s="194"/>
      <c r="M79" s="194">
        <v>0.51368421052631585</v>
      </c>
      <c r="N79" s="71">
        <v>1</v>
      </c>
      <c r="O79" s="74"/>
      <c r="P79" s="75"/>
    </row>
    <row r="80" spans="2:57" ht="15">
      <c r="D80" s="76">
        <v>4.7955083960028801</v>
      </c>
      <c r="E80" s="76">
        <v>6.0907165680639421</v>
      </c>
      <c r="F80" s="341">
        <v>5.5</v>
      </c>
      <c r="H80" s="76">
        <v>4.15439460544341</v>
      </c>
      <c r="I80" s="76">
        <v>6.6005611711665431</v>
      </c>
      <c r="J80" s="341">
        <v>5.5</v>
      </c>
      <c r="L80" s="194">
        <v>0.53465643274853802</v>
      </c>
      <c r="M80" s="194">
        <v>0.68096881222620476</v>
      </c>
      <c r="N80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B43:B52"/>
    <mergeCell ref="D43:E44"/>
    <mergeCell ref="J43:K43"/>
    <mergeCell ref="L44:N44"/>
    <mergeCell ref="D45:E46"/>
    <mergeCell ref="D47:E48"/>
    <mergeCell ref="D49:E50"/>
    <mergeCell ref="D51:E52"/>
    <mergeCell ref="D53:E53"/>
    <mergeCell ref="B58:B59"/>
    <mergeCell ref="C58:C59"/>
    <mergeCell ref="D58:D59"/>
    <mergeCell ref="E58:E59"/>
    <mergeCell ref="M58:M59"/>
    <mergeCell ref="B69:F69"/>
    <mergeCell ref="G69:J69"/>
    <mergeCell ref="K69:N69"/>
    <mergeCell ref="G58:G59"/>
    <mergeCell ref="H58:H59"/>
    <mergeCell ref="I58:I59"/>
    <mergeCell ref="J58:J59"/>
    <mergeCell ref="K58:K59"/>
    <mergeCell ref="L58:L59"/>
    <mergeCell ref="F58:F59"/>
  </mergeCells>
  <conditionalFormatting sqref="B53:B54">
    <cfRule type="cellIs" dxfId="3142" priority="27" operator="notBetween">
      <formula>#REF!</formula>
      <formula>#REF!</formula>
    </cfRule>
  </conditionalFormatting>
  <conditionalFormatting sqref="C57">
    <cfRule type="cellIs" dxfId="3141" priority="192" stopIfTrue="1" operator="greaterThan">
      <formula>100</formula>
    </cfRule>
    <cfRule type="cellIs" dxfId="3140" priority="191" stopIfTrue="1" operator="lessThan">
      <formula>96</formula>
    </cfRule>
  </conditionalFormatting>
  <conditionalFormatting sqref="C71:C75">
    <cfRule type="cellIs" dxfId="3139" priority="145" stopIfTrue="1" operator="lessThanOrEqual">
      <formula>0</formula>
    </cfRule>
  </conditionalFormatting>
  <conditionalFormatting sqref="C71:C79">
    <cfRule type="cellIs" dxfId="3138" priority="144" stopIfTrue="1" operator="greaterThan">
      <formula>$F71</formula>
    </cfRule>
  </conditionalFormatting>
  <conditionalFormatting sqref="C72">
    <cfRule type="cellIs" dxfId="3137" priority="195" stopIfTrue="1" operator="greaterThan">
      <formula>$F71</formula>
    </cfRule>
  </conditionalFormatting>
  <conditionalFormatting sqref="C76">
    <cfRule type="cellIs" dxfId="3136" priority="85" stopIfTrue="1" operator="greaterThan">
      <formula>$F75</formula>
    </cfRule>
    <cfRule type="cellIs" dxfId="3135" priority="84" stopIfTrue="1" operator="lessThanOrEqual">
      <formula>0</formula>
    </cfRule>
  </conditionalFormatting>
  <conditionalFormatting sqref="C82:C86">
    <cfRule type="cellIs" dxfId="3134" priority="183" stopIfTrue="1" operator="lessThanOrEqual">
      <formula>0</formula>
    </cfRule>
  </conditionalFormatting>
  <conditionalFormatting sqref="C83:C86">
    <cfRule type="cellIs" dxfId="3133" priority="182" stopIfTrue="1" operator="greaterThan">
      <formula>$F$82</formula>
    </cfRule>
  </conditionalFormatting>
  <conditionalFormatting sqref="C88">
    <cfRule type="cellIs" dxfId="3132" priority="184" stopIfTrue="1" operator="greaterThan">
      <formula>$F$82</formula>
    </cfRule>
    <cfRule type="cellIs" dxfId="3131" priority="185" stopIfTrue="1" operator="lessThanOrEqual">
      <formula>0</formula>
    </cfRule>
  </conditionalFormatting>
  <conditionalFormatting sqref="C82:D82 D84:D90">
    <cfRule type="cellIs" dxfId="3130" priority="177" stopIfTrue="1" operator="greaterThan">
      <formula>4.5</formula>
    </cfRule>
  </conditionalFormatting>
  <conditionalFormatting sqref="D53:D54">
    <cfRule type="cellIs" dxfId="3129" priority="28" operator="notBetween">
      <formula>#REF!</formula>
      <formula>#REF!</formula>
    </cfRule>
  </conditionalFormatting>
  <conditionalFormatting sqref="D71:D78">
    <cfRule type="cellIs" dxfId="3128" priority="157" stopIfTrue="1" operator="lessThanOrEqual">
      <formula>0</formula>
    </cfRule>
  </conditionalFormatting>
  <conditionalFormatting sqref="D79">
    <cfRule type="cellIs" dxfId="3127" priority="156" stopIfTrue="1" operator="lessThanOrEqual">
      <formula>0</formula>
    </cfRule>
  </conditionalFormatting>
  <conditionalFormatting sqref="D82 D84:D90">
    <cfRule type="cellIs" dxfId="3126" priority="178" stopIfTrue="1" operator="lessThanOrEqual">
      <formula>0</formula>
    </cfRule>
  </conditionalFormatting>
  <conditionalFormatting sqref="D83">
    <cfRule type="cellIs" dxfId="3125" priority="169" stopIfTrue="1" operator="greaterThan">
      <formula>$F$82</formula>
    </cfRule>
    <cfRule type="cellIs" dxfId="3124" priority="170" stopIfTrue="1" operator="lessThanOrEqual">
      <formula>0</formula>
    </cfRule>
  </conditionalFormatting>
  <conditionalFormatting sqref="D71:E80">
    <cfRule type="cellIs" dxfId="3123" priority="142" stopIfTrue="1" operator="greaterThan">
      <formula>$F71</formula>
    </cfRule>
  </conditionalFormatting>
  <conditionalFormatting sqref="D80:E80">
    <cfRule type="cellIs" dxfId="3122" priority="143" stopIfTrue="1" operator="lessThanOrEqual">
      <formula>0</formula>
    </cfRule>
  </conditionalFormatting>
  <conditionalFormatting sqref="E10:E28">
    <cfRule type="cellIs" dxfId="3121" priority="16" operator="lessThan">
      <formula>48</formula>
    </cfRule>
  </conditionalFormatting>
  <conditionalFormatting sqref="E56 E57:F57">
    <cfRule type="cellIs" dxfId="3120" priority="174" stopIfTrue="1" operator="greaterThan">
      <formula>100</formula>
    </cfRule>
  </conditionalFormatting>
  <conditionalFormatting sqref="E57">
    <cfRule type="cellIs" dxfId="3119" priority="172" stopIfTrue="1" operator="greaterThan">
      <formula>100</formula>
    </cfRule>
    <cfRule type="cellIs" dxfId="3118" priority="171" stopIfTrue="1" operator="lessThan">
      <formula>96.8</formula>
    </cfRule>
  </conditionalFormatting>
  <conditionalFormatting sqref="E71:E79">
    <cfRule type="cellIs" dxfId="3117" priority="153" stopIfTrue="1" operator="lessThanOrEqual">
      <formula>0</formula>
    </cfRule>
  </conditionalFormatting>
  <conditionalFormatting sqref="E82:E90">
    <cfRule type="cellIs" dxfId="3116" priority="163" stopIfTrue="1" operator="greaterThan">
      <formula>4.5</formula>
    </cfRule>
    <cfRule type="cellIs" dxfId="3115" priority="164" stopIfTrue="1" operator="lessThanOrEqual">
      <formula>0</formula>
    </cfRule>
  </conditionalFormatting>
  <conditionalFormatting sqref="E57:F57 E56">
    <cfRule type="cellIs" dxfId="3114" priority="173" stopIfTrue="1" operator="lessThan">
      <formula>96.5</formula>
    </cfRule>
  </conditionalFormatting>
  <conditionalFormatting sqref="F10:F28">
    <cfRule type="cellIs" dxfId="3113" priority="17" operator="greaterThan">
      <formula>60</formula>
    </cfRule>
  </conditionalFormatting>
  <conditionalFormatting sqref="F57">
    <cfRule type="cellIs" dxfId="3112" priority="189" stopIfTrue="1" operator="lessThan">
      <formula>96.8</formula>
    </cfRule>
    <cfRule type="cellIs" dxfId="3111" priority="190" stopIfTrue="1" operator="greaterThan">
      <formula>100</formula>
    </cfRule>
  </conditionalFormatting>
  <conditionalFormatting sqref="F80">
    <cfRule type="cellIs" dxfId="3110" priority="155" stopIfTrue="1" operator="lessThanOrEqual">
      <formula>0</formula>
    </cfRule>
    <cfRule type="cellIs" dxfId="3109" priority="154" stopIfTrue="1" operator="greaterThan">
      <formula>$F80</formula>
    </cfRule>
  </conditionalFormatting>
  <conditionalFormatting sqref="G10:G12">
    <cfRule type="expression" dxfId="3108" priority="21">
      <formula>IF(+(IF(G10&lt;S10,0,IF(G10&gt;T10,0,1)))=0,1)</formula>
    </cfRule>
  </conditionalFormatting>
  <conditionalFormatting sqref="G71:G72 C77:C79">
    <cfRule type="cellIs" dxfId="3107" priority="159" stopIfTrue="1" operator="lessThanOrEqual">
      <formula>0</formula>
    </cfRule>
  </conditionalFormatting>
  <conditionalFormatting sqref="G71:G72">
    <cfRule type="cellIs" dxfId="3106" priority="146" stopIfTrue="1" operator="greaterThan">
      <formula>$F71</formula>
    </cfRule>
    <cfRule type="cellIs" dxfId="3105" priority="147" stopIfTrue="1" operator="lessThanOrEqual">
      <formula>0</formula>
    </cfRule>
    <cfRule type="cellIs" dxfId="3104" priority="158" stopIfTrue="1" operator="greaterThan">
      <formula>$F71</formula>
    </cfRule>
  </conditionalFormatting>
  <conditionalFormatting sqref="G73">
    <cfRule type="cellIs" dxfId="3103" priority="194" stopIfTrue="1" operator="lessThanOrEqual">
      <formula>0</formula>
    </cfRule>
    <cfRule type="cellIs" dxfId="3102" priority="193" stopIfTrue="1" operator="greaterThan">
      <formula>$F72</formula>
    </cfRule>
  </conditionalFormatting>
  <conditionalFormatting sqref="G74">
    <cfRule type="cellIs" dxfId="3101" priority="26" stopIfTrue="1" operator="lessThanOrEqual">
      <formula>0</formula>
    </cfRule>
    <cfRule type="cellIs" dxfId="3100" priority="25" stopIfTrue="1" operator="greaterThan">
      <formula>$F74</formula>
    </cfRule>
    <cfRule type="cellIs" dxfId="3099" priority="24" stopIfTrue="1" operator="lessThanOrEqual">
      <formula>0</formula>
    </cfRule>
    <cfRule type="cellIs" dxfId="3098" priority="23" stopIfTrue="1" operator="greaterThan">
      <formula>$F74</formula>
    </cfRule>
  </conditionalFormatting>
  <conditionalFormatting sqref="G75:G79">
    <cfRule type="cellIs" dxfId="3097" priority="161" stopIfTrue="1" operator="lessThanOrEqual">
      <formula>0</formula>
    </cfRule>
    <cfRule type="cellIs" dxfId="3096" priority="160" stopIfTrue="1" operator="greaterThan">
      <formula>$J75</formula>
    </cfRule>
  </conditionalFormatting>
  <conditionalFormatting sqref="G84:G89 C87 C89">
    <cfRule type="cellIs" dxfId="3095" priority="187" stopIfTrue="1" operator="lessThanOrEqual">
      <formula>0</formula>
    </cfRule>
    <cfRule type="cellIs" dxfId="3094" priority="186" stopIfTrue="1" operator="greaterThan">
      <formula>4.5</formula>
    </cfRule>
  </conditionalFormatting>
  <conditionalFormatting sqref="G83:H83">
    <cfRule type="cellIs" dxfId="3093" priority="167" stopIfTrue="1" operator="greaterThan">
      <formula>$F$82</formula>
    </cfRule>
    <cfRule type="cellIs" dxfId="3092" priority="168" stopIfTrue="1" operator="lessThanOrEqual">
      <formula>0</formula>
    </cfRule>
  </conditionalFormatting>
  <conditionalFormatting sqref="H42:H56">
    <cfRule type="cellIs" dxfId="3091" priority="165" stopIfTrue="1" operator="greaterThan">
      <formula>0</formula>
    </cfRule>
  </conditionalFormatting>
  <conditionalFormatting sqref="H60">
    <cfRule type="cellIs" dxfId="3090" priority="53" stopIfTrue="1" operator="greaterThan">
      <formula>$F$73</formula>
    </cfRule>
    <cfRule type="cellIs" dxfId="3089" priority="52" stopIfTrue="1" operator="lessThanOrEqual">
      <formula>0</formula>
    </cfRule>
    <cfRule type="cellIs" dxfId="3088" priority="61" stopIfTrue="1" operator="greaterThan">
      <formula>$F$76</formula>
    </cfRule>
    <cfRule type="cellIs" dxfId="3087" priority="62" stopIfTrue="1" operator="lessThanOrEqual">
      <formula>0</formula>
    </cfRule>
    <cfRule type="cellIs" dxfId="3086" priority="64" stopIfTrue="1" operator="lessThanOrEqual">
      <formula>0</formula>
    </cfRule>
    <cfRule type="cellIs" dxfId="3085" priority="63" stopIfTrue="1" operator="greaterThan">
      <formula>$F$74</formula>
    </cfRule>
  </conditionalFormatting>
  <conditionalFormatting sqref="H61">
    <cfRule type="cellIs" dxfId="3084" priority="102" stopIfTrue="1" operator="greaterThan">
      <formula>#REF!</formula>
    </cfRule>
    <cfRule type="cellIs" dxfId="3083" priority="101" stopIfTrue="1" operator="lessThanOrEqual">
      <formula>0</formula>
    </cfRule>
    <cfRule type="cellIs" dxfId="3082" priority="110" stopIfTrue="1" operator="greaterThan">
      <formula>$F$29</formula>
    </cfRule>
    <cfRule type="cellIs" dxfId="3081" priority="113" stopIfTrue="1" operator="lessThanOrEqual">
      <formula>0</formula>
    </cfRule>
    <cfRule type="cellIs" dxfId="3080" priority="112" stopIfTrue="1" operator="greaterThan">
      <formula>#REF!</formula>
    </cfRule>
    <cfRule type="cellIs" dxfId="3079" priority="111" stopIfTrue="1" operator="lessThanOrEqual">
      <formula>0</formula>
    </cfRule>
  </conditionalFormatting>
  <conditionalFormatting sqref="H62">
    <cfRule type="cellIs" dxfId="3078" priority="69" stopIfTrue="1" operator="lessThanOrEqual">
      <formula>0</formula>
    </cfRule>
    <cfRule type="cellIs" dxfId="3077" priority="70" stopIfTrue="1" operator="greaterThan">
      <formula>$F$72</formula>
    </cfRule>
    <cfRule type="cellIs" dxfId="3076" priority="78" stopIfTrue="1" operator="greaterThan">
      <formula>$F$75</formula>
    </cfRule>
    <cfRule type="cellIs" dxfId="3075" priority="81" stopIfTrue="1" operator="lessThanOrEqual">
      <formula>0</formula>
    </cfRule>
    <cfRule type="cellIs" dxfId="3074" priority="80" stopIfTrue="1" operator="greaterThan">
      <formula>$F$73</formula>
    </cfRule>
    <cfRule type="cellIs" dxfId="3073" priority="79" stopIfTrue="1" operator="lessThanOrEqual">
      <formula>0</formula>
    </cfRule>
  </conditionalFormatting>
  <conditionalFormatting sqref="H63:H64">
    <cfRule type="cellIs" dxfId="3072" priority="87" stopIfTrue="1" operator="lessThanOrEqual">
      <formula>0</formula>
    </cfRule>
    <cfRule type="cellIs" dxfId="3071" priority="88" stopIfTrue="1" operator="greaterThan">
      <formula>#REF!</formula>
    </cfRule>
    <cfRule type="cellIs" dxfId="3070" priority="96" stopIfTrue="1" operator="greaterThan">
      <formula>$F$28</formula>
    </cfRule>
    <cfRule type="cellIs" dxfId="3069" priority="97" stopIfTrue="1" operator="lessThanOrEqual">
      <formula>0</formula>
    </cfRule>
    <cfRule type="cellIs" dxfId="3068" priority="98" stopIfTrue="1" operator="greaterThan">
      <formula>#REF!</formula>
    </cfRule>
    <cfRule type="cellIs" dxfId="3067" priority="99" stopIfTrue="1" operator="lessThanOrEqual">
      <formula>0</formula>
    </cfRule>
  </conditionalFormatting>
  <conditionalFormatting sqref="H65">
    <cfRule type="cellIs" dxfId="3066" priority="127" stopIfTrue="1" operator="greaterThan">
      <formula>$F$42</formula>
    </cfRule>
    <cfRule type="cellIs" dxfId="3065" priority="128" stopIfTrue="1" operator="lessThanOrEqual">
      <formula>0</formula>
    </cfRule>
    <cfRule type="cellIs" dxfId="3064" priority="117" stopIfTrue="1" operator="greaterThan">
      <formula>$F$41</formula>
    </cfRule>
    <cfRule type="cellIs" dxfId="3063" priority="116" stopIfTrue="1" operator="lessThanOrEqual">
      <formula>0</formula>
    </cfRule>
    <cfRule type="cellIs" dxfId="3062" priority="125" stopIfTrue="1" operator="greaterThan">
      <formula>$F$44</formula>
    </cfRule>
    <cfRule type="cellIs" dxfId="3061" priority="126" stopIfTrue="1" operator="lessThanOrEqual">
      <formula>0</formula>
    </cfRule>
  </conditionalFormatting>
  <conditionalFormatting sqref="H66:H67">
    <cfRule type="cellIs" dxfId="3060" priority="50" stopIfTrue="1" operator="lessThanOrEqual">
      <formula>0</formula>
    </cfRule>
    <cfRule type="cellIs" dxfId="3059" priority="49" stopIfTrue="1" operator="greaterThan">
      <formula>#REF!</formula>
    </cfRule>
    <cfRule type="cellIs" dxfId="3058" priority="48" stopIfTrue="1" operator="lessThanOrEqual">
      <formula>0</formula>
    </cfRule>
    <cfRule type="cellIs" dxfId="3057" priority="47" stopIfTrue="1" operator="greaterThan">
      <formula>$F$28</formula>
    </cfRule>
    <cfRule type="cellIs" dxfId="3056" priority="39" stopIfTrue="1" operator="greaterThan">
      <formula>#REF!</formula>
    </cfRule>
    <cfRule type="cellIs" dxfId="3055" priority="38" stopIfTrue="1" operator="lessThanOrEqual">
      <formula>0</formula>
    </cfRule>
  </conditionalFormatting>
  <conditionalFormatting sqref="H71:H78">
    <cfRule type="cellIs" dxfId="3054" priority="149" stopIfTrue="1" operator="lessThanOrEqual">
      <formula>0</formula>
    </cfRule>
    <cfRule type="cellIs" dxfId="3053" priority="148" stopIfTrue="1" operator="greaterThan">
      <formula>$J71</formula>
    </cfRule>
  </conditionalFormatting>
  <conditionalFormatting sqref="H79">
    <cfRule type="cellIs" dxfId="3052" priority="150" operator="greaterThan">
      <formula>5.3</formula>
    </cfRule>
  </conditionalFormatting>
  <conditionalFormatting sqref="H82 H84:H90">
    <cfRule type="cellIs" dxfId="3051" priority="179" stopIfTrue="1" operator="greaterThan">
      <formula>4.5</formula>
    </cfRule>
    <cfRule type="cellIs" dxfId="3050" priority="180" stopIfTrue="1" operator="lessThanOrEqual">
      <formula>0</formula>
    </cfRule>
  </conditionalFormatting>
  <conditionalFormatting sqref="H60:I60">
    <cfRule type="cellIs" dxfId="3049" priority="51" stopIfTrue="1" operator="greaterThan">
      <formula>$F$75</formula>
    </cfRule>
    <cfRule type="cellIs" dxfId="3048" priority="54" stopIfTrue="1" operator="lessThanOrEqual">
      <formula>0</formula>
    </cfRule>
  </conditionalFormatting>
  <conditionalFormatting sqref="H61:I61">
    <cfRule type="cellIs" dxfId="3047" priority="103" stopIfTrue="1" operator="lessThanOrEqual">
      <formula>0</formula>
    </cfRule>
    <cfRule type="cellIs" dxfId="3046" priority="100" stopIfTrue="1" operator="greaterThan">
      <formula>$F$28</formula>
    </cfRule>
  </conditionalFormatting>
  <conditionalFormatting sqref="H62:I62">
    <cfRule type="cellIs" dxfId="3045" priority="68" stopIfTrue="1" operator="greaterThan">
      <formula>$F$74</formula>
    </cfRule>
    <cfRule type="cellIs" dxfId="3044" priority="71" stopIfTrue="1" operator="lessThanOrEqual">
      <formula>0</formula>
    </cfRule>
  </conditionalFormatting>
  <conditionalFormatting sqref="H63:I64">
    <cfRule type="cellIs" dxfId="3043" priority="89" stopIfTrue="1" operator="lessThanOrEqual">
      <formula>0</formula>
    </cfRule>
    <cfRule type="cellIs" dxfId="3042" priority="86" stopIfTrue="1" operator="greaterThan">
      <formula>#REF!</formula>
    </cfRule>
  </conditionalFormatting>
  <conditionalFormatting sqref="H65:I65">
    <cfRule type="cellIs" dxfId="3041" priority="118" stopIfTrue="1" operator="lessThanOrEqual">
      <formula>0</formula>
    </cfRule>
    <cfRule type="cellIs" dxfId="3040" priority="115" stopIfTrue="1" operator="greaterThan">
      <formula>$F$43</formula>
    </cfRule>
  </conditionalFormatting>
  <conditionalFormatting sqref="H66:I67">
    <cfRule type="cellIs" dxfId="3039" priority="40" stopIfTrue="1" operator="lessThanOrEqual">
      <formula>0</formula>
    </cfRule>
    <cfRule type="cellIs" dxfId="3038" priority="37" stopIfTrue="1" operator="greaterThan">
      <formula>#REF!</formula>
    </cfRule>
  </conditionalFormatting>
  <conditionalFormatting sqref="H80:I80">
    <cfRule type="cellIs" dxfId="3037" priority="141" stopIfTrue="1" operator="lessThanOrEqual">
      <formula>0</formula>
    </cfRule>
    <cfRule type="cellIs" dxfId="3036" priority="140" stopIfTrue="1" operator="greaterThan">
      <formula>$J80</formula>
    </cfRule>
  </conditionalFormatting>
  <conditionalFormatting sqref="I60">
    <cfRule type="cellIs" dxfId="3035" priority="56" stopIfTrue="1" operator="lessThanOrEqual">
      <formula>0</formula>
    </cfRule>
    <cfRule type="cellIs" dxfId="3034" priority="57" stopIfTrue="1" operator="greaterThan">
      <formula>$F$75</formula>
    </cfRule>
    <cfRule type="cellIs" dxfId="3033" priority="59" stopIfTrue="1" operator="greaterThan">
      <formula>$F$73</formula>
    </cfRule>
    <cfRule type="cellIs" dxfId="3032" priority="60" stopIfTrue="1" operator="lessThanOrEqual">
      <formula>0</formula>
    </cfRule>
    <cfRule type="cellIs" dxfId="3031" priority="55" stopIfTrue="1" operator="greaterThan">
      <formula>$F$73</formula>
    </cfRule>
    <cfRule type="cellIs" dxfId="3030" priority="58" stopIfTrue="1" operator="lessThanOrEqual">
      <formula>0</formula>
    </cfRule>
  </conditionalFormatting>
  <conditionalFormatting sqref="I61">
    <cfRule type="cellIs" dxfId="3029" priority="104" stopIfTrue="1" operator="greaterThan">
      <formula>#REF!</formula>
    </cfRule>
    <cfRule type="cellIs" dxfId="3028" priority="109" stopIfTrue="1" operator="lessThanOrEqual">
      <formula>0</formula>
    </cfRule>
    <cfRule type="cellIs" dxfId="3027" priority="108" stopIfTrue="1" operator="greaterThan">
      <formula>#REF!</formula>
    </cfRule>
    <cfRule type="cellIs" dxfId="3026" priority="107" stopIfTrue="1" operator="lessThanOrEqual">
      <formula>0</formula>
    </cfRule>
    <cfRule type="cellIs" dxfId="3025" priority="106" stopIfTrue="1" operator="greaterThan">
      <formula>$F$28</formula>
    </cfRule>
    <cfRule type="cellIs" dxfId="3024" priority="105" stopIfTrue="1" operator="lessThanOrEqual">
      <formula>0</formula>
    </cfRule>
  </conditionalFormatting>
  <conditionalFormatting sqref="I62">
    <cfRule type="cellIs" dxfId="3023" priority="74" stopIfTrue="1" operator="greaterThan">
      <formula>$F$74</formula>
    </cfRule>
    <cfRule type="cellIs" dxfId="3022" priority="73" stopIfTrue="1" operator="lessThanOrEqual">
      <formula>0</formula>
    </cfRule>
    <cfRule type="cellIs" dxfId="3021" priority="72" stopIfTrue="1" operator="greaterThan">
      <formula>$F$72</formula>
    </cfRule>
    <cfRule type="cellIs" dxfId="3020" priority="77" stopIfTrue="1" operator="lessThanOrEqual">
      <formula>0</formula>
    </cfRule>
    <cfRule type="cellIs" dxfId="3019" priority="76" stopIfTrue="1" operator="greaterThan">
      <formula>$F$72</formula>
    </cfRule>
    <cfRule type="cellIs" dxfId="3018" priority="75" stopIfTrue="1" operator="lessThanOrEqual">
      <formula>0</formula>
    </cfRule>
  </conditionalFormatting>
  <conditionalFormatting sqref="I63:I64">
    <cfRule type="cellIs" dxfId="3017" priority="90" stopIfTrue="1" operator="greaterThan">
      <formula>#REF!</formula>
    </cfRule>
    <cfRule type="cellIs" dxfId="3016" priority="95" stopIfTrue="1" operator="lessThanOrEqual">
      <formula>0</formula>
    </cfRule>
    <cfRule type="cellIs" dxfId="3015" priority="94" stopIfTrue="1" operator="greaterThan">
      <formula>#REF!</formula>
    </cfRule>
    <cfRule type="cellIs" dxfId="3014" priority="93" stopIfTrue="1" operator="lessThanOrEqual">
      <formula>0</formula>
    </cfRule>
    <cfRule type="cellIs" dxfId="3013" priority="92" stopIfTrue="1" operator="greaterThan">
      <formula>#REF!</formula>
    </cfRule>
    <cfRule type="cellIs" dxfId="3012" priority="91" stopIfTrue="1" operator="lessThanOrEqual">
      <formula>0</formula>
    </cfRule>
  </conditionalFormatting>
  <conditionalFormatting sqref="I65">
    <cfRule type="cellIs" dxfId="3011" priority="124" stopIfTrue="1" operator="lessThanOrEqual">
      <formula>0</formula>
    </cfRule>
    <cfRule type="cellIs" dxfId="3010" priority="119" stopIfTrue="1" operator="greaterThan">
      <formula>$F$41</formula>
    </cfRule>
    <cfRule type="cellIs" dxfId="3009" priority="120" stopIfTrue="1" operator="lessThanOrEqual">
      <formula>0</formula>
    </cfRule>
    <cfRule type="cellIs" dxfId="3008" priority="121" stopIfTrue="1" operator="greaterThan">
      <formula>$F$43</formula>
    </cfRule>
    <cfRule type="cellIs" dxfId="3007" priority="122" stopIfTrue="1" operator="lessThanOrEqual">
      <formula>0</formula>
    </cfRule>
    <cfRule type="cellIs" dxfId="3006" priority="123" stopIfTrue="1" operator="greaterThan">
      <formula>$F$41</formula>
    </cfRule>
  </conditionalFormatting>
  <conditionalFormatting sqref="I66:I67">
    <cfRule type="cellIs" dxfId="3005" priority="42" stopIfTrue="1" operator="lessThanOrEqual">
      <formula>0</formula>
    </cfRule>
    <cfRule type="cellIs" dxfId="3004" priority="46" stopIfTrue="1" operator="lessThanOrEqual">
      <formula>0</formula>
    </cfRule>
    <cfRule type="cellIs" dxfId="3003" priority="45" stopIfTrue="1" operator="greaterThan">
      <formula>#REF!</formula>
    </cfRule>
    <cfRule type="cellIs" dxfId="3002" priority="44" stopIfTrue="1" operator="lessThanOrEqual">
      <formula>0</formula>
    </cfRule>
    <cfRule type="cellIs" dxfId="3001" priority="43" stopIfTrue="1" operator="greaterThan">
      <formula>#REF!</formula>
    </cfRule>
    <cfRule type="cellIs" dxfId="3000" priority="41" stopIfTrue="1" operator="greaterThan">
      <formula>#REF!</formula>
    </cfRule>
  </conditionalFormatting>
  <conditionalFormatting sqref="I71:I79">
    <cfRule type="cellIs" dxfId="2999" priority="151" stopIfTrue="1" operator="greaterThan">
      <formula>$J71</formula>
    </cfRule>
    <cfRule type="cellIs" dxfId="2998" priority="152" stopIfTrue="1" operator="lessThanOrEqual">
      <formula>0</formula>
    </cfRule>
  </conditionalFormatting>
  <conditionalFormatting sqref="I82:I90">
    <cfRule type="cellIs" dxfId="2997" priority="176" stopIfTrue="1" operator="lessThanOrEqual">
      <formula>0</formula>
    </cfRule>
    <cfRule type="cellIs" dxfId="2996" priority="175" stopIfTrue="1" operator="greaterThan">
      <formula>4.5</formula>
    </cfRule>
  </conditionalFormatting>
  <conditionalFormatting sqref="I10:J28">
    <cfRule type="cellIs" dxfId="2995" priority="12" operator="lessThan">
      <formula>97.9</formula>
    </cfRule>
  </conditionalFormatting>
  <conditionalFormatting sqref="J31:J33">
    <cfRule type="cellIs" dxfId="2994" priority="130" stopIfTrue="1" operator="lessThan">
      <formula>96.8</formula>
    </cfRule>
    <cfRule type="cellIs" dxfId="2993" priority="132" operator="lessThan">
      <formula>98</formula>
    </cfRule>
    <cfRule type="cellIs" dxfId="2992" priority="131" stopIfTrue="1" operator="greaterThan">
      <formula>100</formula>
    </cfRule>
  </conditionalFormatting>
  <conditionalFormatting sqref="J31:J35">
    <cfRule type="cellIs" dxfId="2991" priority="129" operator="lessThan">
      <formula>97.4</formula>
    </cfRule>
  </conditionalFormatting>
  <conditionalFormatting sqref="J36:J37">
    <cfRule type="cellIs" dxfId="2990" priority="133" operator="lessThan">
      <formula>98</formula>
    </cfRule>
  </conditionalFormatting>
  <conditionalFormatting sqref="J38:J39">
    <cfRule type="cellIs" dxfId="2989" priority="135" stopIfTrue="1" operator="greaterThan">
      <formula>100</formula>
    </cfRule>
    <cfRule type="cellIs" dxfId="2988" priority="134" stopIfTrue="1" operator="lessThan">
      <formula>96.8</formula>
    </cfRule>
  </conditionalFormatting>
  <conditionalFormatting sqref="J38:J40">
    <cfRule type="cellIs" dxfId="2987" priority="136" operator="lessThan">
      <formula>98</formula>
    </cfRule>
  </conditionalFormatting>
  <conditionalFormatting sqref="J67">
    <cfRule type="cellIs" dxfId="2986" priority="36" stopIfTrue="1" operator="lessThanOrEqual">
      <formula>0</formula>
    </cfRule>
    <cfRule type="cellIs" dxfId="2985" priority="29" stopIfTrue="1" operator="greaterThan">
      <formula>#REF!</formula>
    </cfRule>
    <cfRule type="cellIs" dxfId="2984" priority="30" stopIfTrue="1" operator="lessThanOrEqual">
      <formula>0</formula>
    </cfRule>
    <cfRule type="cellIs" dxfId="2983" priority="31" stopIfTrue="1" operator="greaterThan">
      <formula>#REF!</formula>
    </cfRule>
    <cfRule type="cellIs" dxfId="2982" priority="32" stopIfTrue="1" operator="lessThanOrEqual">
      <formula>0</formula>
    </cfRule>
    <cfRule type="cellIs" dxfId="2981" priority="33" stopIfTrue="1" operator="greaterThan">
      <formula>#REF!</formula>
    </cfRule>
    <cfRule type="cellIs" dxfId="2980" priority="35" stopIfTrue="1" operator="greaterThan">
      <formula>#REF!</formula>
    </cfRule>
    <cfRule type="cellIs" dxfId="2979" priority="34" stopIfTrue="1" operator="lessThanOrEqual">
      <formula>0</formula>
    </cfRule>
  </conditionalFormatting>
  <conditionalFormatting sqref="J80">
    <cfRule type="cellIs" dxfId="2978" priority="138" stopIfTrue="1" operator="lessThanOrEqual">
      <formula>0</formula>
    </cfRule>
    <cfRule type="cellIs" dxfId="2977" priority="137" stopIfTrue="1" operator="greaterThan">
      <formula>$F80</formula>
    </cfRule>
  </conditionalFormatting>
  <conditionalFormatting sqref="K10:K28">
    <cfRule type="cellIs" dxfId="2976" priority="15" operator="greaterThan">
      <formula>6.4</formula>
    </cfRule>
    <cfRule type="cellIs" dxfId="2975" priority="14" operator="lessThan">
      <formula>4</formula>
    </cfRule>
    <cfRule type="cellIs" dxfId="2974" priority="13" operator="greaterThan">
      <formula>6</formula>
    </cfRule>
  </conditionalFormatting>
  <conditionalFormatting sqref="K60:K67 K71:N77 K78 M78:N78 K79:N79">
    <cfRule type="cellIs" dxfId="2973" priority="114" stopIfTrue="1" operator="lessThan">
      <formula>100%</formula>
    </cfRule>
  </conditionalFormatting>
  <conditionalFormatting sqref="K82:K87">
    <cfRule type="cellIs" dxfId="2972" priority="181" stopIfTrue="1" operator="lessThan">
      <formula>100%</formula>
    </cfRule>
  </conditionalFormatting>
  <conditionalFormatting sqref="K89:K90">
    <cfRule type="cellIs" dxfId="2971" priority="188" stopIfTrue="1" operator="lessThan">
      <formula>100%</formula>
    </cfRule>
  </conditionalFormatting>
  <conditionalFormatting sqref="L10:L12 L13:M27">
    <cfRule type="cellIs" dxfId="2970" priority="19" operator="greaterThan">
      <formula>65</formula>
    </cfRule>
    <cfRule type="cellIs" dxfId="2969" priority="18" operator="between">
      <formula>61</formula>
      <formula>65</formula>
    </cfRule>
  </conditionalFormatting>
  <conditionalFormatting sqref="L28">
    <cfRule type="cellIs" dxfId="2968" priority="65" operator="between">
      <formula>61</formula>
      <formula>65</formula>
    </cfRule>
    <cfRule type="cellIs" dxfId="2967" priority="66" operator="greaterThan">
      <formula>65</formula>
    </cfRule>
  </conditionalFormatting>
  <conditionalFormatting sqref="L31:M42">
    <cfRule type="cellIs" dxfId="2966" priority="82" operator="lessThan">
      <formula>97.95</formula>
    </cfRule>
  </conditionalFormatting>
  <conditionalFormatting sqref="L46:N46">
    <cfRule type="cellIs" dxfId="2965" priority="83" operator="notEqual">
      <formula>#REF!</formula>
    </cfRule>
  </conditionalFormatting>
  <conditionalFormatting sqref="L80:N80">
    <cfRule type="cellIs" dxfId="2964" priority="139" stopIfTrue="1" operator="lessThan">
      <formula>100%</formula>
    </cfRule>
  </conditionalFormatting>
  <conditionalFormatting sqref="L82:N90">
    <cfRule type="cellIs" dxfId="2963" priority="166" stopIfTrue="1" operator="lessThan">
      <formula>100%</formula>
    </cfRule>
  </conditionalFormatting>
  <conditionalFormatting sqref="M10:M12">
    <cfRule type="expression" dxfId="2962" priority="20">
      <formula>IF(+(IF(M10&lt;U10,0,IF(M10&gt;V10,0,1)))=0,1)</formula>
    </cfRule>
  </conditionalFormatting>
  <conditionalFormatting sqref="M13:M27 H10:H12 G13:H28">
    <cfRule type="expression" dxfId="2961" priority="22">
      <formula>IF(+(IF(G10&lt;#REF!,0,IF(G10&gt;#REF!,0,1)))=0,1)</formula>
    </cfRule>
  </conditionalFormatting>
  <conditionalFormatting sqref="M28:N28">
    <cfRule type="expression" dxfId="2960" priority="196">
      <formula>IF(+(IF(M28&lt;#REF!,0,IF(M28&gt;#REF!,0,1)))=0,1)</formula>
    </cfRule>
  </conditionalFormatting>
  <conditionalFormatting sqref="N10:N27">
    <cfRule type="expression" dxfId="2959" priority="11">
      <formula>IF(+(IF(N10&lt;W10,0,IF(N10&gt;X10,0,1)))=0,1)</formula>
    </cfRule>
  </conditionalFormatting>
  <conditionalFormatting sqref="P6">
    <cfRule type="cellIs" dxfId="2958" priority="162" operator="greaterThanOrEqual">
      <formula>19</formula>
    </cfRule>
  </conditionalFormatting>
  <dataValidations count="1">
    <dataValidation type="list" allowBlank="1" showInputMessage="1" showErrorMessage="1" sqref="R8" xr:uid="{F046C6C6-0B77-4A4F-9133-EB59112E7C3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4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B3EF-FBB6-4C7E-AD95-0AA04B7CE165}">
  <sheetPr>
    <pageSetUpPr fitToPage="1"/>
  </sheetPr>
  <dimension ref="A1:BE78"/>
  <sheetViews>
    <sheetView zoomScale="80" zoomScaleNormal="80" workbookViewId="0">
      <selection activeCell="C10" sqref="C10:C1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45972</v>
      </c>
      <c r="J4" s="398" t="s">
        <v>166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9" t="s">
        <v>6</v>
      </c>
      <c r="C10" s="366" t="str">
        <f>[24]Brewhouse!$A938</f>
        <v>CA823</v>
      </c>
      <c r="D10" s="279">
        <f>[24]Brewhouse!$AF938</f>
        <v>49.9</v>
      </c>
      <c r="E10" s="279">
        <f>[24]Brewhouse!$AI938</f>
        <v>49.79</v>
      </c>
      <c r="F10" s="278">
        <f>[24]Brewhouse!$V938</f>
        <v>60</v>
      </c>
      <c r="G10" s="279">
        <f>[24]Brewhouse!AG938</f>
        <v>11.6</v>
      </c>
      <c r="H10" s="476">
        <v>11.4</v>
      </c>
      <c r="I10" s="368">
        <f>[24]Brewhouse!$AU938</f>
        <v>95.366616185686155</v>
      </c>
      <c r="J10" s="368">
        <f>[24]Brewhouse!$AV938</f>
        <v>95.813610604999525</v>
      </c>
      <c r="K10" s="281">
        <f>[24]Brewhouse!$Q938</f>
        <v>11.148775894538609</v>
      </c>
      <c r="L10" s="276">
        <f>[24]Brewhouse!$P938</f>
        <v>61</v>
      </c>
      <c r="M10" s="397">
        <f>[24]Brewhouse!$U938-[24]Brewhouse!$T938</f>
        <v>0.11597222222222225</v>
      </c>
      <c r="N10" s="370">
        <f>[24]Brewhouse!$Z938</f>
        <v>0.25347222222222227</v>
      </c>
      <c r="O10" s="421" t="str">
        <f>[24]Brewhouse!$AX938</f>
        <v>R.Sookram</v>
      </c>
      <c r="P10" s="418"/>
      <c r="R10" s="277" t="str">
        <f t="shared" ref="R10:R40" si="0">B10</f>
        <v>CARIB</v>
      </c>
      <c r="S10" s="296">
        <f t="shared" ref="S10:S40" si="1">VLOOKUP($B10,$R$3:$X$9,2,FALSE)</f>
        <v>11.6</v>
      </c>
      <c r="T10" s="296">
        <f t="shared" ref="T10:T40" si="2">VLOOKUP($B10,$R$3:$X$9,3,FALSE)</f>
        <v>12</v>
      </c>
      <c r="U10" s="297">
        <f t="shared" ref="U10:U40" si="3">VLOOKUP($B10,$R$3:$X$9,4,FALSE)</f>
        <v>0</v>
      </c>
      <c r="V10" s="297">
        <f t="shared" ref="V10:V40" si="4">VLOOKUP($B10,$R$3:$X$9,5,FALSE)</f>
        <v>0.118055555555556</v>
      </c>
      <c r="W10" s="297">
        <f t="shared" ref="W10:W40" si="5">VLOOKUP($B10,$R$3:$X$9,6,FALSE)</f>
        <v>0.22569444444444445</v>
      </c>
      <c r="X10" s="297">
        <f t="shared" ref="X10:X40" si="6">VLOOKUP($B10,$R$3:$X$9,7,FALSE)</f>
        <v>0.2638888888888889</v>
      </c>
      <c r="Y10" s="297">
        <f t="shared" ref="Y10:Y40" si="7">VLOOKUP($B10,$R$3:$Z$9,8,FALSE)</f>
        <v>0</v>
      </c>
      <c r="Z10" s="296">
        <f t="shared" ref="Z10:Z40" si="8">VLOOKUP($B10,$R$3:$Z$9,9,FALSE)</f>
        <v>60</v>
      </c>
    </row>
    <row r="11" spans="2:29" ht="15" customHeight="1">
      <c r="B11" s="29" t="s">
        <v>6</v>
      </c>
      <c r="C11" s="366" t="str">
        <f>[24]Brewhouse!$A939</f>
        <v>CA824</v>
      </c>
      <c r="D11" s="279">
        <f>[24]Brewhouse!$AF939</f>
        <v>48.8</v>
      </c>
      <c r="E11" s="279">
        <f>[24]Brewhouse!$AI939</f>
        <v>48.18</v>
      </c>
      <c r="F11" s="278">
        <f>[24]Brewhouse!$V939</f>
        <v>58</v>
      </c>
      <c r="G11" s="279">
        <f>[24]Brewhouse!AG939</f>
        <v>12</v>
      </c>
      <c r="H11" s="396">
        <v>12.1</v>
      </c>
      <c r="I11" s="368">
        <f>[24]Brewhouse!$AU939</f>
        <v>95.750920163480728</v>
      </c>
      <c r="J11" s="368">
        <f>[24]Brewhouse!$AV939</f>
        <v>96.199679863455074</v>
      </c>
      <c r="K11" s="281">
        <f>[24]Brewhouse!$Q939</f>
        <v>9.2830188679245325</v>
      </c>
      <c r="L11" s="276">
        <f>[24]Brewhouse!$P939</f>
        <v>59</v>
      </c>
      <c r="M11" s="397">
        <f>[24]Brewhouse!$U939-[24]Brewhouse!$T939</f>
        <v>0.11736111111111108</v>
      </c>
      <c r="N11" s="370">
        <f>[24]Brewhouse!$Z939</f>
        <v>0.25277777777777777</v>
      </c>
      <c r="O11" s="421" t="str">
        <f>[24]Brewhouse!$AX939</f>
        <v>K. Benjamin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29" t="s">
        <v>6</v>
      </c>
      <c r="C12" s="366" t="str">
        <f>[24]Brewhouse!$A940</f>
        <v>CA825</v>
      </c>
      <c r="D12" s="279">
        <f>[24]Brewhouse!$AF940</f>
        <v>52</v>
      </c>
      <c r="E12" s="279">
        <f>[24]Brewhouse!$AI940</f>
        <v>49.77</v>
      </c>
      <c r="F12" s="278">
        <f>[24]Brewhouse!$V940</f>
        <v>60</v>
      </c>
      <c r="G12" s="279">
        <f>[24]Brewhouse!AG940</f>
        <v>11.7</v>
      </c>
      <c r="H12" s="396">
        <v>11.7</v>
      </c>
      <c r="I12" s="368">
        <f>[24]Brewhouse!$AU940</f>
        <v>96.312048231817471</v>
      </c>
      <c r="J12" s="368">
        <f>[24]Brewhouse!$AV940</f>
        <v>96.763437793344735</v>
      </c>
      <c r="K12" s="281">
        <f>[24]Brewhouse!$Q940</f>
        <v>3.2452830188679229</v>
      </c>
      <c r="L12" s="276">
        <f>[24]Brewhouse!$P940</f>
        <v>60</v>
      </c>
      <c r="M12" s="397">
        <f>[24]Brewhouse!$U940-[24]Brewhouse!$T940</f>
        <v>0.12013888888888885</v>
      </c>
      <c r="N12" s="370">
        <f>[24]Brewhouse!$Z940</f>
        <v>0.26458333333333334</v>
      </c>
      <c r="O12" s="421" t="str">
        <f>[24]Brewhouse!$AX940</f>
        <v>K. Benjamin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29" t="s">
        <v>6</v>
      </c>
      <c r="C13" s="366" t="str">
        <f>[24]Brewhouse!$A941</f>
        <v>CA826</v>
      </c>
      <c r="D13" s="279">
        <f>[24]Brewhouse!$AF941</f>
        <v>52.1</v>
      </c>
      <c r="E13" s="279">
        <f>[24]Brewhouse!$AI941</f>
        <v>50.2</v>
      </c>
      <c r="F13" s="278">
        <f>[24]Brewhouse!$V941</f>
        <v>61</v>
      </c>
      <c r="G13" s="279">
        <f>[24]Brewhouse!AG941</f>
        <v>11.8</v>
      </c>
      <c r="H13" s="396">
        <v>11.7</v>
      </c>
      <c r="I13" s="368">
        <f>[24]Brewhouse!$AU941</f>
        <v>97.776900888245265</v>
      </c>
      <c r="J13" s="368">
        <f>[24]Brewhouse!$AV941</f>
        <v>98.235229260296791</v>
      </c>
      <c r="K13" s="281">
        <f>[24]Brewhouse!$Q941</f>
        <v>3.0566037735849005</v>
      </c>
      <c r="L13" s="276">
        <f>[24]Brewhouse!$P941</f>
        <v>61</v>
      </c>
      <c r="M13" s="397">
        <f>[24]Brewhouse!$U941-[24]Brewhouse!$T941</f>
        <v>0.11597222222222214</v>
      </c>
      <c r="N13" s="370">
        <f>[24]Brewhouse!$Z941</f>
        <v>0.33402777777777776</v>
      </c>
      <c r="O13" s="421" t="str">
        <f>[24]Brewhouse!$AX941</f>
        <v>K. Benjamin</v>
      </c>
      <c r="P13" s="418" t="s">
        <v>180</v>
      </c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29" t="s">
        <v>6</v>
      </c>
      <c r="C14" s="366" t="str">
        <f>[24]Brewhouse!$A942</f>
        <v>CA827</v>
      </c>
      <c r="D14" s="279">
        <f>[24]Brewhouse!$AF942</f>
        <v>52.2</v>
      </c>
      <c r="E14" s="279">
        <f>[24]Brewhouse!$AI942</f>
        <v>50.7</v>
      </c>
      <c r="F14" s="278">
        <f>[24]Brewhouse!$V942</f>
        <v>61</v>
      </c>
      <c r="G14" s="279">
        <f>[24]Brewhouse!AG942</f>
        <v>11.7</v>
      </c>
      <c r="H14" s="396">
        <v>11.8</v>
      </c>
      <c r="I14" s="368">
        <f>[24]Brewhouse!$AU942</f>
        <v>98.18414196319047</v>
      </c>
      <c r="J14" s="368">
        <f>[24]Brewhouse!$AV942</f>
        <v>98.693147325281558</v>
      </c>
      <c r="K14" s="281">
        <f>[24]Brewhouse!$Q942</f>
        <v>2.8679245283018791</v>
      </c>
      <c r="L14" s="276">
        <f>[24]Brewhouse!$P942</f>
        <v>60</v>
      </c>
      <c r="M14" s="397">
        <f>[24]Brewhouse!$U942-[24]Brewhouse!$T942</f>
        <v>0.10555555555555551</v>
      </c>
      <c r="N14" s="370">
        <f>[24]Brewhouse!$Z942</f>
        <v>0.31597222222222221</v>
      </c>
      <c r="O14" s="421" t="str">
        <f>[24]Brewhouse!$AX942</f>
        <v>R. Regis</v>
      </c>
      <c r="P14" s="418" t="s">
        <v>181</v>
      </c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" customHeight="1">
      <c r="B15" s="29" t="s">
        <v>6</v>
      </c>
      <c r="C15" s="366" t="str">
        <f>[24]Brewhouse!$A943</f>
        <v>CA828</v>
      </c>
      <c r="D15" s="279">
        <f>[24]Brewhouse!$AF943</f>
        <v>53.1</v>
      </c>
      <c r="E15" s="279">
        <f>[24]Brewhouse!$AI943</f>
        <v>51.6</v>
      </c>
      <c r="F15" s="278">
        <f>[24]Brewhouse!$V943</f>
        <v>61</v>
      </c>
      <c r="G15" s="279">
        <f>[24]Brewhouse!AG943</f>
        <v>11.6</v>
      </c>
      <c r="H15" s="396">
        <v>11.6</v>
      </c>
      <c r="I15" s="368">
        <f>[24]Brewhouse!$AU943</f>
        <v>98.180232024300835</v>
      </c>
      <c r="J15" s="368">
        <f>[24]Brewhouse!$AV943</f>
        <v>98.689501535959039</v>
      </c>
      <c r="K15" s="281">
        <f>[24]Brewhouse!$Q943</f>
        <v>1.3559322033898284</v>
      </c>
      <c r="L15" s="276">
        <f>[24]Brewhouse!$P943</f>
        <v>61</v>
      </c>
      <c r="M15" s="397">
        <f>[24]Brewhouse!$U943-[24]Brewhouse!$T943</f>
        <v>0.10972222222222228</v>
      </c>
      <c r="N15" s="370">
        <f>[24]Brewhouse!$Z943</f>
        <v>0.27430555555555558</v>
      </c>
      <c r="O15" s="421" t="str">
        <f>[24]Brewhouse!$AX943</f>
        <v>R. Regis</v>
      </c>
      <c r="P15" s="418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" customHeight="1">
      <c r="B16" s="29" t="s">
        <v>6</v>
      </c>
      <c r="C16" s="366" t="str">
        <f>[24]Brewhouse!$A944</f>
        <v>CA829</v>
      </c>
      <c r="D16" s="279">
        <f>[24]Brewhouse!$AF944</f>
        <v>52.4</v>
      </c>
      <c r="E16" s="279">
        <f>[24]Brewhouse!$AI944</f>
        <v>51.4</v>
      </c>
      <c r="F16" s="278">
        <f>[24]Brewhouse!$V944</f>
        <v>65</v>
      </c>
      <c r="G16" s="279">
        <f>[24]Brewhouse!AG944</f>
        <v>11.8</v>
      </c>
      <c r="H16" s="396">
        <v>11.8</v>
      </c>
      <c r="I16" s="368">
        <f>[24]Brewhouse!$AU944</f>
        <v>100.06460287732762</v>
      </c>
      <c r="J16" s="368">
        <f>[24]Brewhouse!$AV944</f>
        <v>100.58348175257478</v>
      </c>
      <c r="K16" s="281">
        <f>[24]Brewhouse!$Q944</f>
        <v>2.6741996233521688</v>
      </c>
      <c r="L16" s="276">
        <f>[24]Brewhouse!$P944</f>
        <v>60</v>
      </c>
      <c r="M16" s="397">
        <f>[24]Brewhouse!$U944-[24]Brewhouse!$T944</f>
        <v>0.11597222222222225</v>
      </c>
      <c r="N16" s="370">
        <f>[24]Brewhouse!$Z944</f>
        <v>0.25624999999999998</v>
      </c>
      <c r="O16" s="421" t="str">
        <f>[24]Brewhouse!$AX944</f>
        <v>R. Regis</v>
      </c>
      <c r="P16" s="418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" customHeight="1">
      <c r="B17" s="29" t="s">
        <v>6</v>
      </c>
      <c r="C17" s="366" t="str">
        <f>[24]Brewhouse!$A945</f>
        <v>CA830</v>
      </c>
      <c r="D17" s="367"/>
      <c r="E17" s="279">
        <f>[24]Brewhouse!$AI945</f>
        <v>50.26</v>
      </c>
      <c r="F17" s="278">
        <f>[24]Brewhouse!$V945</f>
        <v>58</v>
      </c>
      <c r="G17" s="279">
        <f>[24]Brewhouse!AG945</f>
        <v>11.6</v>
      </c>
      <c r="H17" s="476">
        <v>11.5</v>
      </c>
      <c r="I17" s="368">
        <f>[24]Brewhouse!$AU945</f>
        <v>96.100866058699324</v>
      </c>
      <c r="J17" s="368">
        <f>[24]Brewhouse!$AV945</f>
        <v>96.599191219215342</v>
      </c>
      <c r="K17" s="392"/>
      <c r="L17" s="276">
        <f>[24]Brewhouse!$P945</f>
        <v>58</v>
      </c>
      <c r="M17" s="397">
        <f>[24]Brewhouse!$U945-[24]Brewhouse!$T945</f>
        <v>0.11388888888888893</v>
      </c>
      <c r="N17" s="370">
        <f>[24]Brewhouse!$Z945</f>
        <v>0.24652777777777779</v>
      </c>
      <c r="O17" s="421" t="str">
        <f>[24]Brewhouse!$AX945</f>
        <v>R.Sookram</v>
      </c>
      <c r="P17" s="418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6" ht="15" customHeight="1">
      <c r="B19" s="29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" hidden="1" customHeight="1">
      <c r="B20" s="33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" hidden="1" customHeight="1">
      <c r="B21" s="33"/>
      <c r="C21" s="366"/>
      <c r="D21" s="279"/>
      <c r="E21" s="279"/>
      <c r="F21" s="278"/>
      <c r="G21" s="279"/>
      <c r="H21" s="396"/>
      <c r="I21" s="420"/>
      <c r="J21" s="420"/>
      <c r="K21" s="281"/>
      <c r="L21" s="276"/>
      <c r="M21" s="374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" hidden="1" customHeight="1">
      <c r="B22" s="33"/>
      <c r="C22" s="366"/>
      <c r="D22" s="279"/>
      <c r="E22" s="279"/>
      <c r="F22" s="278"/>
      <c r="G22" s="279"/>
      <c r="H22" s="396"/>
      <c r="I22" s="420"/>
      <c r="J22" s="420"/>
      <c r="K22" s="281"/>
      <c r="L22" s="276"/>
      <c r="M22" s="374"/>
      <c r="N22" s="370"/>
      <c r="O22" s="42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" hidden="1" customHeight="1">
      <c r="B23" s="33"/>
      <c r="C23" s="366"/>
      <c r="D23" s="279"/>
      <c r="E23" s="279"/>
      <c r="F23" s="278"/>
      <c r="G23" s="279"/>
      <c r="H23" s="396"/>
      <c r="I23" s="420"/>
      <c r="J23" s="420"/>
      <c r="K23" s="281"/>
      <c r="L23" s="276"/>
      <c r="M23" s="374"/>
      <c r="N23" s="370"/>
      <c r="O23" s="42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" hidden="1" customHeight="1">
      <c r="B24" s="33"/>
      <c r="C24" s="366"/>
      <c r="D24" s="279"/>
      <c r="E24" s="279"/>
      <c r="F24" s="278"/>
      <c r="G24" s="279"/>
      <c r="H24" s="396"/>
      <c r="I24" s="420"/>
      <c r="J24" s="420"/>
      <c r="K24" s="281"/>
      <c r="L24" s="276"/>
      <c r="M24" s="374"/>
      <c r="N24" s="370"/>
      <c r="O24" s="42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" hidden="1" customHeight="1">
      <c r="B25" s="33"/>
      <c r="C25" s="366"/>
      <c r="D25" s="279"/>
      <c r="E25" s="279"/>
      <c r="F25" s="278"/>
      <c r="G25" s="279"/>
      <c r="H25" s="396"/>
      <c r="I25" s="420"/>
      <c r="J25" s="420"/>
      <c r="K25" s="281"/>
      <c r="L25" s="276"/>
      <c r="M25" s="374"/>
      <c r="N25" s="370"/>
      <c r="O25" s="421"/>
      <c r="P25" s="418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12"/>
      <c r="J27" s="512"/>
      <c r="K27" s="512"/>
      <c r="L27" s="512"/>
      <c r="M27" s="512"/>
      <c r="N27" s="512"/>
      <c r="O27" s="1"/>
      <c r="P27" s="12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.75" customHeight="1" thickBot="1">
      <c r="B28" s="388" t="s">
        <v>162</v>
      </c>
      <c r="C28" s="388"/>
      <c r="D28" s="490" t="s">
        <v>35</v>
      </c>
      <c r="E28" s="491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 xml:space="preserve">BRAND 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customHeight="1">
      <c r="A29" s="28"/>
      <c r="B29" s="585" t="str">
        <f>I31</f>
        <v>GUINNESS</v>
      </c>
      <c r="C29" s="362" cm="1">
        <f t="array" ref="C29:C32">[26]Process!$D$123:$D$126</f>
        <v>17.3</v>
      </c>
      <c r="D29" s="516">
        <v>17.45</v>
      </c>
      <c r="E29" s="517"/>
      <c r="F29" s="294"/>
      <c r="G29" s="294"/>
      <c r="H29" s="348"/>
      <c r="I29" s="29" t="s">
        <v>6</v>
      </c>
      <c r="J29" s="280">
        <f>AVERAGE(I10:I17)</f>
        <v>97.217041049093481</v>
      </c>
      <c r="K29" s="284">
        <f>COUNTA([24]Brewhouse!$A$914:$A$945)</f>
        <v>32</v>
      </c>
      <c r="L29" s="305">
        <f>AVERAGE([24]Brewhouse!$AU$914:$AU$945)</f>
        <v>97.256141729677992</v>
      </c>
      <c r="M29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$945)</f>
        <v>97.694791041754783</v>
      </c>
      <c r="N29" s="30">
        <v>98</v>
      </c>
      <c r="O29" s="11"/>
      <c r="P29" s="31"/>
      <c r="R29" s="277" t="str">
        <f t="shared" si="0"/>
        <v>GUINNESS</v>
      </c>
      <c r="S29" s="296">
        <f t="shared" si="1"/>
        <v>17</v>
      </c>
      <c r="T29" s="296">
        <f t="shared" si="2"/>
        <v>17.5</v>
      </c>
      <c r="U29" s="297">
        <f t="shared" si="3"/>
        <v>0</v>
      </c>
      <c r="V29" s="297">
        <f t="shared" si="4"/>
        <v>0.1076388888888889</v>
      </c>
      <c r="W29" s="297">
        <f t="shared" si="5"/>
        <v>0.24652777777777779</v>
      </c>
      <c r="X29" s="297">
        <f t="shared" si="6"/>
        <v>0.28472222222222221</v>
      </c>
      <c r="Y29" s="297">
        <f t="shared" si="7"/>
        <v>0</v>
      </c>
      <c r="Z29" s="296">
        <f t="shared" si="8"/>
        <v>60</v>
      </c>
    </row>
    <row r="30" spans="1:26" ht="15" customHeight="1">
      <c r="A30" s="28"/>
      <c r="B30" s="586"/>
      <c r="C30" s="362">
        <v>17.399999999999999</v>
      </c>
      <c r="D30" s="518"/>
      <c r="E30" s="519"/>
      <c r="F30" s="294"/>
      <c r="G30" s="294"/>
      <c r="H30" s="348"/>
      <c r="I30" s="33" t="s">
        <v>9</v>
      </c>
      <c r="J30" s="280"/>
      <c r="K30" s="284">
        <f>COUNTA([25]Brewhouse!$A$449:$A$460)</f>
        <v>12</v>
      </c>
      <c r="L30" s="302">
        <f>AVERAGE([25]Brewhouse!$AS$449:$AS$460)</f>
        <v>98.317342070121057</v>
      </c>
      <c r="M30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$460)</f>
        <v>97.937185549118041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86"/>
      <c r="C31" s="362">
        <v>17.3</v>
      </c>
      <c r="D31" s="566">
        <v>17.5</v>
      </c>
      <c r="E31" s="567"/>
      <c r="F31" s="294"/>
      <c r="G31" s="294"/>
      <c r="H31" s="348"/>
      <c r="I31" s="34" t="s">
        <v>12</v>
      </c>
      <c r="J31" s="280"/>
      <c r="K31" s="284"/>
      <c r="L31" s="302"/>
      <c r="M31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86"/>
      <c r="C32" s="362">
        <v>16.8</v>
      </c>
      <c r="D32" s="531"/>
      <c r="E32" s="519"/>
      <c r="F32" s="294"/>
      <c r="G32" s="294"/>
      <c r="H32" s="348"/>
      <c r="I32" s="22" t="s">
        <v>33</v>
      </c>
      <c r="J32" s="280"/>
      <c r="K32" s="284">
        <f>COUNTA([23]Brewhouse!$A$97:$A$104)</f>
        <v>8</v>
      </c>
      <c r="L32" s="302">
        <f>AVERAGE([23]Brewhouse!$AV$97:$AV$104)</f>
        <v>98.419138016287462</v>
      </c>
      <c r="M32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32" s="3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56" ht="14.65" customHeight="1">
      <c r="A33" s="28"/>
      <c r="B33" s="586"/>
      <c r="C33" s="362"/>
      <c r="D33" s="566"/>
      <c r="E33" s="567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56" ht="14.65" customHeight="1">
      <c r="A34" s="28"/>
      <c r="B34" s="586"/>
      <c r="C34" s="362"/>
      <c r="D34" s="531"/>
      <c r="E34" s="519"/>
      <c r="F34" s="417"/>
      <c r="G34" s="294"/>
      <c r="H34" s="348"/>
      <c r="I34" s="36" t="s">
        <v>15</v>
      </c>
      <c r="J34" s="323"/>
      <c r="K34" s="284"/>
      <c r="L34" s="302"/>
      <c r="M34" s="302">
        <f>AVERAGE([27]Brewhouse!$AT$4:$AT$11,[27]Brewhouse!$AT$13:$AT$16,[27]Brewhouse!$AT$18:$AT$21,[27]Brewhouse!$AT$26,[27]Brewhouse!$AT$28:$AT$35)</f>
        <v>94.794664331624134</v>
      </c>
      <c r="N34" s="30">
        <v>98</v>
      </c>
      <c r="O34" s="11"/>
      <c r="P34" s="31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4.65" customHeight="1">
      <c r="A35" s="28"/>
      <c r="B35" s="586"/>
      <c r="C35" s="362"/>
      <c r="D35" s="566"/>
      <c r="E35" s="567"/>
      <c r="F35" s="417"/>
      <c r="G35" s="294"/>
      <c r="H35" s="348"/>
      <c r="I35" s="37" t="s">
        <v>16</v>
      </c>
      <c r="J35" s="323"/>
      <c r="K35" s="284">
        <f>COUNTA([22]Brewhouse!$A$94:$A$97)</f>
        <v>4</v>
      </c>
      <c r="L35" s="302">
        <f>AVERAGE([22]Brewhouse!$AY$94:$AY$97)</f>
        <v>95.326767995731288</v>
      </c>
      <c r="M35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5" s="30">
        <v>98</v>
      </c>
      <c r="O35" s="11"/>
      <c r="P35" s="31" t="s">
        <v>41</v>
      </c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4.65" customHeight="1">
      <c r="A36" s="28"/>
      <c r="B36" s="586"/>
      <c r="C36" s="362"/>
      <c r="D36" s="531"/>
      <c r="E36" s="519"/>
      <c r="F36" s="294"/>
      <c r="G36" s="294"/>
      <c r="H36" s="348"/>
      <c r="I36" s="411" t="s">
        <v>158</v>
      </c>
      <c r="J36" s="326"/>
      <c r="K36" s="284"/>
      <c r="L36" s="305"/>
      <c r="M36" s="305">
        <f>AVERAGE([28]Brewhouse!$AU$5:$AU$8,[28]Brewhouse!$AU$10:$AU$13,[22]Brewhouse!$AY$75:$AY$77)</f>
        <v>94.749192473706671</v>
      </c>
      <c r="N36" s="30">
        <v>98</v>
      </c>
      <c r="O36" s="11"/>
      <c r="P36" s="31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4.65" customHeight="1">
      <c r="A37" s="28"/>
      <c r="B37" s="586"/>
      <c r="C37" s="349"/>
      <c r="D37" s="566"/>
      <c r="E37" s="567"/>
      <c r="F37" s="294"/>
      <c r="G37" s="294"/>
      <c r="H37" s="348"/>
      <c r="I37" s="410" t="s">
        <v>157</v>
      </c>
      <c r="J37" s="326"/>
      <c r="K37" s="284"/>
      <c r="L37" s="305"/>
      <c r="M37" s="305">
        <f>AVERAGE([29]Brewhouse!$AW$26:$AW$27)</f>
        <v>95.310680905194914</v>
      </c>
      <c r="N37" s="30">
        <v>98</v>
      </c>
      <c r="O37" s="11"/>
      <c r="P37" s="31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AA37" s="296"/>
    </row>
    <row r="38" spans="1:56" ht="15" customHeight="1" thickBot="1">
      <c r="A38" s="28"/>
      <c r="B38" s="586"/>
      <c r="C38" s="349"/>
      <c r="D38" s="531"/>
      <c r="E38" s="519"/>
      <c r="F38" s="294"/>
      <c r="G38" s="294"/>
      <c r="H38" s="348"/>
      <c r="I38" s="406" t="s">
        <v>156</v>
      </c>
      <c r="J38" s="327"/>
      <c r="K38" s="407"/>
      <c r="L38" s="408"/>
      <c r="M38" s="408">
        <f>AVERAGE([30]Brewhouse!$AU$13:$AU$14)</f>
        <v>97.110575243268045</v>
      </c>
      <c r="N38" s="409">
        <v>98</v>
      </c>
      <c r="O38" s="11"/>
      <c r="P38" s="31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  <c r="AA38" s="296"/>
    </row>
    <row r="39" spans="1:56" ht="15" customHeight="1" thickBot="1">
      <c r="A39" s="28"/>
      <c r="B39" s="586"/>
      <c r="C39" s="349"/>
      <c r="D39" s="516"/>
      <c r="E39" s="517"/>
      <c r="F39" s="294"/>
      <c r="G39" s="294"/>
      <c r="H39" s="348"/>
      <c r="I39" s="1"/>
      <c r="J39" s="39"/>
      <c r="K39" s="404">
        <f>SUM(K29:K38)</f>
        <v>56</v>
      </c>
      <c r="L39" s="405">
        <f>((L29*K29)+(L30*K30)+(L31*K31)+(L32*K32)+(L33*K33)+(K36*L36)+(L34*K34)+(L35*K35)+(L38*K38))/(K39)</f>
        <v>97.511871719720943</v>
      </c>
      <c r="M39" s="405">
        <f>AVERAGE('[31]Jan 31st'!$L$65,'[32]Feb 28th'!$L$35,'[33]Mar. 31st'!$L$35,'[34]Apr. 30th'!$L$45,'[35]May 30th'!$L$37,'[36]June 30th'!$L$57,'[37]July 29th '!$L$44,'[38]Aug 29th'!$L$29,'[39]Sept 30th'!$L$35,L39)</f>
        <v>97.569137411653884</v>
      </c>
      <c r="N39" s="40">
        <v>98</v>
      </c>
      <c r="O39" s="11"/>
      <c r="P39" s="31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  <c r="AA39" s="296"/>
    </row>
    <row r="40" spans="1:56" ht="15.75" thickBot="1">
      <c r="B40" s="587"/>
      <c r="C40" s="350"/>
      <c r="D40" s="518"/>
      <c r="E40" s="519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  <c r="AA40" s="296"/>
    </row>
    <row r="41" spans="1:56" ht="15.75" thickBot="1">
      <c r="B41" s="563" t="str">
        <f>I29</f>
        <v>CARIB</v>
      </c>
      <c r="C41" s="362" cm="1">
        <f t="array" ref="C41:C48">[24]Process!$D$872:$D$879</f>
        <v>11.8</v>
      </c>
      <c r="D41" s="529">
        <v>11.84</v>
      </c>
      <c r="E41" s="530"/>
      <c r="F41" s="294"/>
      <c r="G41" s="42"/>
      <c r="H41" s="41"/>
      <c r="I41" s="42"/>
      <c r="J41" s="565" t="s">
        <v>129</v>
      </c>
      <c r="K41" s="565"/>
      <c r="L41" s="294"/>
      <c r="M41" s="294"/>
      <c r="N41" s="294"/>
      <c r="O41" s="294"/>
      <c r="P41" s="12"/>
    </row>
    <row r="42" spans="1:56" ht="15.75" thickBot="1">
      <c r="B42" s="564"/>
      <c r="C42" s="362">
        <v>11.8</v>
      </c>
      <c r="D42" s="531"/>
      <c r="E42" s="519"/>
      <c r="F42" s="294"/>
      <c r="G42" s="42"/>
      <c r="H42" s="41"/>
      <c r="I42" s="41"/>
      <c r="J42" s="292" t="s">
        <v>17</v>
      </c>
      <c r="K42" s="293" t="s">
        <v>147</v>
      </c>
      <c r="L42" s="533" t="s">
        <v>136</v>
      </c>
      <c r="M42" s="533"/>
      <c r="N42" s="534"/>
      <c r="O42" s="294"/>
      <c r="P42" s="12"/>
    </row>
    <row r="43" spans="1:56" ht="15" customHeight="1" thickBot="1">
      <c r="B43" s="564"/>
      <c r="C43" s="349">
        <v>11.7</v>
      </c>
      <c r="D43" s="566">
        <v>11.78</v>
      </c>
      <c r="E43" s="567"/>
      <c r="F43" s="294"/>
      <c r="G43" s="42"/>
      <c r="H43" s="41"/>
      <c r="I43" s="41"/>
      <c r="J43" s="287" t="s">
        <v>6</v>
      </c>
      <c r="K43" s="324">
        <f>COUNTA(B10:B17)</f>
        <v>8</v>
      </c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64"/>
      <c r="C44" s="349">
        <v>11.8</v>
      </c>
      <c r="D44" s="531"/>
      <c r="E44" s="519"/>
      <c r="F44" s="294"/>
      <c r="G44" s="42"/>
      <c r="H44" s="41"/>
      <c r="I44" s="41"/>
      <c r="J44" s="345" t="s">
        <v>9</v>
      </c>
      <c r="K44" s="324"/>
      <c r="L44" s="344">
        <f>AVERAGE('Nov 10th'!K53,'Nov 6th '!K52,'Nov 7th-8th'!J55,'Nov 7th-8th'!K55,'Nov 4th'!K52,'Nov 5th'!K51,Nov.3rd!K52)</f>
        <v>8</v>
      </c>
      <c r="M44" s="325">
        <f>AVERAGE('[31]Jan 29th '!$M$70,'[32]Feb 28th'!$L$40,'[33]Mar. 31st'!$L$40,'[34]Apr. 30th'!$L$50,'[35]May 30th'!$L$42,'[36]June 30th'!$L$62,'[37]July 29th '!$L$49,'[38]Aug 29th'!$L$34,'[39]Sept 30th'!$L$40,[40]Oct.31st!$L$43,L44)</f>
        <v>7.1484278498008473</v>
      </c>
      <c r="N44" s="416">
        <v>9.1999999999999993</v>
      </c>
      <c r="O44" s="294"/>
      <c r="P44" s="12"/>
    </row>
    <row r="45" spans="1:56" ht="15" customHeight="1">
      <c r="B45" s="564"/>
      <c r="C45" s="349">
        <v>11.7</v>
      </c>
      <c r="D45" s="566">
        <v>11.74</v>
      </c>
      <c r="E45" s="567"/>
      <c r="F45" s="294"/>
      <c r="G45" s="42"/>
      <c r="H45" s="41"/>
      <c r="I45" s="41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64"/>
      <c r="C46" s="349">
        <v>11.6</v>
      </c>
      <c r="D46" s="531"/>
      <c r="E46" s="519"/>
      <c r="F46" s="294"/>
      <c r="G46" s="42"/>
      <c r="H46" s="41"/>
      <c r="I46" s="41"/>
      <c r="J46" s="289" t="s">
        <v>33</v>
      </c>
      <c r="K46" s="324"/>
      <c r="L46" s="294"/>
      <c r="M46" s="294"/>
      <c r="N46" s="294"/>
      <c r="O46" s="294"/>
      <c r="P46" s="12"/>
    </row>
    <row r="47" spans="1:56" ht="15">
      <c r="B47" s="564"/>
      <c r="C47" s="349">
        <v>11.5</v>
      </c>
      <c r="D47" s="566">
        <v>11.76</v>
      </c>
      <c r="E47" s="567"/>
      <c r="F47" s="294"/>
      <c r="G47" s="42"/>
      <c r="H47" s="41"/>
      <c r="I47" s="41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64"/>
      <c r="C48" s="349">
        <v>11.7</v>
      </c>
      <c r="D48" s="531"/>
      <c r="E48" s="519"/>
      <c r="F48" s="294"/>
      <c r="G48" s="42"/>
      <c r="H48" s="41"/>
      <c r="I48" s="41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64"/>
      <c r="C49" s="349">
        <f>[24]Process!$D$866</f>
        <v>11.7</v>
      </c>
      <c r="D49" s="566"/>
      <c r="E49" s="567"/>
      <c r="F49" s="294"/>
      <c r="G49" s="42"/>
      <c r="H49" s="41"/>
      <c r="I49" s="41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.75" thickBot="1">
      <c r="B50" s="584"/>
      <c r="C50" s="350"/>
      <c r="D50" s="568"/>
      <c r="E50" s="569"/>
      <c r="F50" s="294" t="s">
        <v>168</v>
      </c>
      <c r="G50" s="42"/>
      <c r="H50" s="41"/>
      <c r="I50" s="41"/>
      <c r="J50" s="291" t="s">
        <v>148</v>
      </c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2:57" ht="17.649999999999999" customHeight="1" thickBot="1">
      <c r="B51" s="312" t="s">
        <v>139</v>
      </c>
      <c r="C51" s="313"/>
      <c r="D51" s="576"/>
      <c r="E51" s="577"/>
      <c r="F51" s="294"/>
      <c r="H51" s="41"/>
      <c r="I51" s="41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>
      <c r="B52" s="363"/>
      <c r="C52" s="364"/>
      <c r="D52" s="365"/>
      <c r="E52" s="365"/>
      <c r="F52" s="294"/>
      <c r="G52" s="42"/>
      <c r="H52" s="41"/>
      <c r="I52" s="41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1"/>
      <c r="I53" s="41"/>
      <c r="J53" s="346" t="s">
        <v>130</v>
      </c>
      <c r="K53" s="324">
        <f>SUM(K43:K52)</f>
        <v>8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541" t="s">
        <v>17</v>
      </c>
      <c r="C56" s="541" t="s">
        <v>44</v>
      </c>
      <c r="D56" s="543" t="s">
        <v>45</v>
      </c>
      <c r="E56" s="498" t="s">
        <v>46</v>
      </c>
      <c r="F56" s="558" t="s">
        <v>47</v>
      </c>
      <c r="G56" s="552" t="s">
        <v>48</v>
      </c>
      <c r="H56" s="541" t="s">
        <v>49</v>
      </c>
      <c r="I56" s="541" t="s">
        <v>50</v>
      </c>
      <c r="J56" s="546" t="s">
        <v>28</v>
      </c>
      <c r="K56" s="496" t="s">
        <v>51</v>
      </c>
      <c r="L56" s="508" t="s">
        <v>52</v>
      </c>
      <c r="M56" s="546" t="s">
        <v>53</v>
      </c>
      <c r="N56" s="13"/>
      <c r="O56" s="13"/>
      <c r="P56" s="50"/>
    </row>
    <row r="57" spans="2:57" ht="28.5" customHeight="1" thickTop="1" thickBot="1">
      <c r="B57" s="542"/>
      <c r="C57" s="542"/>
      <c r="D57" s="544"/>
      <c r="E57" s="545"/>
      <c r="F57" s="559"/>
      <c r="G57" s="553"/>
      <c r="H57" s="560"/>
      <c r="I57" s="560"/>
      <c r="J57" s="547"/>
      <c r="K57" s="556"/>
      <c r="L57" s="557"/>
      <c r="M57" s="547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43.15" customHeight="1" thickBot="1">
      <c r="B58" s="477" t="str">
        <f>I31</f>
        <v>GUINNESS</v>
      </c>
      <c r="C58" s="442">
        <v>45971</v>
      </c>
      <c r="D58" s="443">
        <f>[41]November_2025!$M$23</f>
        <v>184.20000000000002</v>
      </c>
      <c r="E58" s="444">
        <f>SUM([43]GUINNESS!$S$10)</f>
        <v>4.5999999999999996</v>
      </c>
      <c r="F58" s="445"/>
      <c r="G58" s="445">
        <f>[41]November_2025!$M$28</f>
        <v>177</v>
      </c>
      <c r="H58" s="460"/>
      <c r="I58" s="460"/>
      <c r="J58" s="449" t="s">
        <v>174</v>
      </c>
      <c r="K58" s="450">
        <f>[42]November_2025!$M$32</f>
        <v>0.31052631578947371</v>
      </c>
      <c r="L58" s="459">
        <f>(((D58+E58)-G58)/(D58+E58))*100</f>
        <v>6.2500000000000053</v>
      </c>
      <c r="M58" s="456" t="s">
        <v>178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[20]January_2019!L7</f>
        <v>285.8</v>
      </c>
      <c r="AC58" s="57">
        <f>[20]January_2019!M7</f>
        <v>508.1</v>
      </c>
      <c r="AD58" s="57">
        <f>[20]January_2019!N7</f>
        <v>0</v>
      </c>
      <c r="AE58" s="57">
        <f>[20]January_2019!O7</f>
        <v>0</v>
      </c>
      <c r="AF58" s="57">
        <f>[20]January_2019!P7</f>
        <v>109.56666666666666</v>
      </c>
      <c r="AG58" s="57">
        <f>[20]January_2019!Q7</f>
        <v>297.64999999999998</v>
      </c>
      <c r="AH58" s="57">
        <f>[20]January_2019!R7</f>
        <v>122.3</v>
      </c>
      <c r="AI58" s="57">
        <f>[20]January_2019!S7</f>
        <v>0</v>
      </c>
      <c r="AJ58" s="57">
        <f>[20]January_2019!T7</f>
        <v>294.7</v>
      </c>
      <c r="AK58" s="57">
        <f>[20]January_2019!U7</f>
        <v>280.5</v>
      </c>
      <c r="AL58" s="57">
        <f>[20]January_2019!V7</f>
        <v>0</v>
      </c>
      <c r="AM58" s="57">
        <f>[20]January_2019!W7</f>
        <v>0</v>
      </c>
      <c r="AN58" s="57">
        <f>[20]January_2019!X7</f>
        <v>188.25</v>
      </c>
      <c r="AO58" s="57">
        <f>[20]January_2019!Y7</f>
        <v>295.7</v>
      </c>
      <c r="AP58" s="57">
        <f>[20]January_2019!Z7</f>
        <v>257.8</v>
      </c>
      <c r="AQ58" s="57">
        <f>[20]January_2019!AA7</f>
        <v>291.2</v>
      </c>
      <c r="AR58" s="57">
        <f>[20]January_2019!AB7</f>
        <v>187</v>
      </c>
      <c r="AS58" s="57">
        <f>[20]January_2019!AC7</f>
        <v>0</v>
      </c>
      <c r="AT58" s="57">
        <f>[20]January_2019!AD7</f>
        <v>0</v>
      </c>
      <c r="AU58" s="57">
        <f>[20]January_2019!AE7</f>
        <v>485.1</v>
      </c>
      <c r="AV58" s="57">
        <f>[20]January_2019!AF7</f>
        <v>171.55</v>
      </c>
      <c r="AW58" s="57">
        <f>[20]January_2019!AG7</f>
        <v>423.8</v>
      </c>
      <c r="AX58" s="277">
        <f>[20]January_2019!AH7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20.45" customHeight="1" thickBot="1">
      <c r="B59" s="473"/>
      <c r="C59" s="431"/>
      <c r="D59" s="432"/>
      <c r="E59" s="433"/>
      <c r="F59" s="434"/>
      <c r="G59" s="435"/>
      <c r="H59" s="429"/>
      <c r="I59" s="429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450000000000003" customHeight="1" thickBot="1">
      <c r="B60" s="458" t="str">
        <f>J43</f>
        <v>CARIB</v>
      </c>
      <c r="C60" s="442">
        <v>45971</v>
      </c>
      <c r="D60" s="443">
        <f>[41]November_2025!$M$3</f>
        <v>451.4</v>
      </c>
      <c r="E60" s="444"/>
      <c r="F60" s="445"/>
      <c r="G60" s="446">
        <f>[41]November_2025!$M$7</f>
        <v>396.5</v>
      </c>
      <c r="H60" s="460"/>
      <c r="I60" s="460"/>
      <c r="J60" s="449" t="s">
        <v>179</v>
      </c>
      <c r="K60" s="462">
        <f>[42]November_2025!$M$18</f>
        <v>0.69561403508771935</v>
      </c>
      <c r="L60" s="459">
        <f>(((D60+E60)-G60)/(D60+E60))*100</f>
        <v>12.162162162162158</v>
      </c>
      <c r="M60" s="456" t="s">
        <v>175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4"/>
      <c r="C61" s="431"/>
      <c r="D61" s="432"/>
      <c r="E61" s="433"/>
      <c r="F61" s="434"/>
      <c r="G61" s="435"/>
      <c r="H61" s="436"/>
      <c r="I61" s="451"/>
      <c r="J61" s="452"/>
      <c r="K61" s="437"/>
      <c r="L61" s="453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61"/>
      <c r="C62" s="442"/>
      <c r="D62" s="443"/>
      <c r="E62" s="444"/>
      <c r="F62" s="445"/>
      <c r="G62" s="446"/>
      <c r="H62" s="447"/>
      <c r="I62" s="448"/>
      <c r="J62" s="449"/>
      <c r="K62" s="450"/>
      <c r="L62" s="459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8"/>
      <c r="C63" s="424"/>
      <c r="D63" s="425"/>
      <c r="E63" s="426"/>
      <c r="F63" s="427"/>
      <c r="G63" s="428"/>
      <c r="H63" s="429"/>
      <c r="I63" s="439"/>
      <c r="J63" s="440"/>
      <c r="K63" s="430"/>
      <c r="L63" s="441"/>
      <c r="M63" s="423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61"/>
      <c r="C64" s="442"/>
      <c r="D64" s="443"/>
      <c r="E64" s="444"/>
      <c r="F64" s="445"/>
      <c r="G64" s="446"/>
      <c r="H64" s="447"/>
      <c r="I64" s="448"/>
      <c r="J64" s="449"/>
      <c r="K64" s="450"/>
      <c r="L64" s="459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70"/>
      <c r="C65" s="431"/>
      <c r="D65" s="464"/>
      <c r="E65" s="465"/>
      <c r="F65" s="466"/>
      <c r="G65" s="464"/>
      <c r="H65" s="467"/>
      <c r="I65" s="467"/>
      <c r="J65" s="467"/>
      <c r="K65" s="468"/>
      <c r="L65" s="469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48" t="s">
        <v>55</v>
      </c>
      <c r="C67" s="549"/>
      <c r="D67" s="549"/>
      <c r="E67" s="549"/>
      <c r="F67" s="550"/>
      <c r="G67" s="548" t="s">
        <v>56</v>
      </c>
      <c r="H67" s="549"/>
      <c r="I67" s="549"/>
      <c r="J67" s="550"/>
      <c r="K67" s="548" t="s">
        <v>51</v>
      </c>
      <c r="L67" s="549"/>
      <c r="M67" s="549"/>
      <c r="N67" s="551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65">
        <f>L60</f>
        <v>12.162162162162158</v>
      </c>
      <c r="D69" s="76">
        <v>8.0869492795869018</v>
      </c>
      <c r="E69" s="76">
        <v>6.1278629630390187</v>
      </c>
      <c r="F69" s="66">
        <v>4.8</v>
      </c>
      <c r="G69" s="65">
        <f>[41]November_2025!$M$11</f>
        <v>11.587589224547528</v>
      </c>
      <c r="H69" s="76">
        <v>10.078489309325498</v>
      </c>
      <c r="I69" s="76">
        <v>6.1392031479265743</v>
      </c>
      <c r="J69" s="66">
        <v>4.8</v>
      </c>
      <c r="K69" s="67">
        <f>K60</f>
        <v>0.69561403508771935</v>
      </c>
      <c r="L69" s="194">
        <v>0.48804093567251461</v>
      </c>
      <c r="M69" s="194">
        <v>0.70822006817643735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5.1671214188267509</v>
      </c>
      <c r="E70" s="76">
        <v>5.7344696924419472</v>
      </c>
      <c r="F70" s="66">
        <v>4.8</v>
      </c>
      <c r="G70" s="65"/>
      <c r="H70" s="76">
        <v>3.8690868488751016</v>
      </c>
      <c r="I70" s="76">
        <v>6.3491977772279</v>
      </c>
      <c r="J70" s="66">
        <v>4.8</v>
      </c>
      <c r="K70" s="67"/>
      <c r="L70" s="194">
        <v>0.48780701754385969</v>
      </c>
      <c r="M70" s="194">
        <v>0.65340260538294603</v>
      </c>
      <c r="N70" s="68">
        <v>1</v>
      </c>
      <c r="P70" s="69"/>
    </row>
    <row r="71" spans="2:57" ht="15">
      <c r="B71" s="34" t="s">
        <v>40</v>
      </c>
      <c r="C71" s="65">
        <f>L58</f>
        <v>6.2500000000000053</v>
      </c>
      <c r="D71" s="76">
        <v>6.2500000000000053</v>
      </c>
      <c r="E71" s="76">
        <v>10.839987110172206</v>
      </c>
      <c r="F71" s="66">
        <v>5.5</v>
      </c>
      <c r="G71" s="65">
        <f>[41]November_2025!$M$32</f>
        <v>6.2847885309849998</v>
      </c>
      <c r="H71" s="76">
        <v>6.2847885309849998</v>
      </c>
      <c r="I71" s="76">
        <v>12.456668215153922</v>
      </c>
      <c r="J71" s="66">
        <v>5.5</v>
      </c>
      <c r="K71" s="67">
        <f>K58</f>
        <v>0.31052631578947371</v>
      </c>
      <c r="L71" s="194">
        <v>0.31052631578947371</v>
      </c>
      <c r="M71" s="194">
        <v>0.5063309636650869</v>
      </c>
      <c r="N71" s="68">
        <v>1</v>
      </c>
      <c r="P71" s="69"/>
    </row>
    <row r="72" spans="2:57" ht="15">
      <c r="B72" s="22" t="s">
        <v>33</v>
      </c>
      <c r="C72" s="65"/>
      <c r="D72" s="76">
        <v>3.7833827893175105</v>
      </c>
      <c r="E72" s="76">
        <v>4.6226456706805745</v>
      </c>
      <c r="F72" s="66">
        <v>3.3</v>
      </c>
      <c r="G72" s="65"/>
      <c r="H72" s="76">
        <v>3.7421885632627285</v>
      </c>
      <c r="I72" s="76">
        <v>4.4171317623593813</v>
      </c>
      <c r="J72" s="66">
        <v>3.3</v>
      </c>
      <c r="K72" s="67"/>
      <c r="L72" s="194">
        <v>0.68263157894736837</v>
      </c>
      <c r="M72" s="194">
        <v>0.83111215538847116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>
        <v>7.837301587301579</v>
      </c>
      <c r="F73" s="66">
        <v>3.3</v>
      </c>
      <c r="G73" s="282"/>
      <c r="H73" s="76"/>
      <c r="I73" s="76">
        <v>5.3377569154690221</v>
      </c>
      <c r="J73" s="66">
        <v>3</v>
      </c>
      <c r="K73" s="67"/>
      <c r="L73" s="194"/>
      <c r="M73" s="194">
        <v>0.32596491228070179</v>
      </c>
      <c r="N73" s="68">
        <v>1</v>
      </c>
      <c r="P73" s="69"/>
    </row>
    <row r="74" spans="2:57" ht="15">
      <c r="B74" s="36" t="s">
        <v>15</v>
      </c>
      <c r="C74" s="65"/>
      <c r="D74" s="76"/>
      <c r="E74" s="76">
        <v>6.8851328044153277</v>
      </c>
      <c r="F74" s="70">
        <f>[21]May_2022!$M$43</f>
        <v>3.4878406700073312</v>
      </c>
      <c r="G74" s="282"/>
      <c r="H74" s="76"/>
      <c r="I74" s="76">
        <v>8.6614709463340702</v>
      </c>
      <c r="J74" s="66">
        <v>5.5</v>
      </c>
      <c r="K74" s="67"/>
      <c r="L74" s="194"/>
      <c r="M74" s="194">
        <v>0.73160818713450293</v>
      </c>
      <c r="N74" s="68">
        <v>1</v>
      </c>
      <c r="P74" s="69"/>
    </row>
    <row r="75" spans="2:57" ht="15">
      <c r="B75" s="37" t="s">
        <v>16</v>
      </c>
      <c r="C75" s="65"/>
      <c r="D75" s="76">
        <v>2.6328862394436081</v>
      </c>
      <c r="E75" s="76">
        <v>2.9297033255778997</v>
      </c>
      <c r="F75" s="66">
        <v>3.3</v>
      </c>
      <c r="G75" s="282"/>
      <c r="H75" s="76">
        <v>2.6328862394435983</v>
      </c>
      <c r="I75" s="76">
        <v>4.2684292436723528</v>
      </c>
      <c r="J75" s="66">
        <v>3.3</v>
      </c>
      <c r="K75" s="67"/>
      <c r="L75" s="194">
        <v>0.68771929824561406</v>
      </c>
      <c r="M75" s="194">
        <v>0.84660147761842675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>
        <v>11.483253588516746</v>
      </c>
      <c r="F76" s="66">
        <v>7.5</v>
      </c>
      <c r="G76" s="282"/>
      <c r="H76" s="76"/>
      <c r="I76" s="76">
        <v>9.7934336121043764</v>
      </c>
      <c r="J76" s="66">
        <v>7.5</v>
      </c>
      <c r="K76" s="67"/>
      <c r="M76" s="194">
        <v>0.32456140350877194</v>
      </c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>
        <v>7.2653644592663174</v>
      </c>
      <c r="F77" s="66">
        <v>4.8</v>
      </c>
      <c r="G77" s="282"/>
      <c r="H77" s="76"/>
      <c r="I77" s="76">
        <v>8.1715311054411259</v>
      </c>
      <c r="J77" s="66">
        <v>4.8</v>
      </c>
      <c r="K77" s="67"/>
      <c r="L77" s="194"/>
      <c r="M77" s="194">
        <v>0.51368421052631585</v>
      </c>
      <c r="N77" s="71">
        <v>1</v>
      </c>
      <c r="O77" s="74"/>
      <c r="P77" s="75"/>
    </row>
    <row r="78" spans="2:57" ht="15">
      <c r="D78" s="76">
        <v>6.1899597149054921</v>
      </c>
      <c r="E78" s="76">
        <v>6.1248098251859906</v>
      </c>
      <c r="F78" s="341">
        <v>5.5</v>
      </c>
      <c r="H78" s="76">
        <v>5.7577728047826016</v>
      </c>
      <c r="I78" s="76">
        <v>6.6256281383537248</v>
      </c>
      <c r="J78" s="341">
        <v>5.5</v>
      </c>
      <c r="L78" s="194">
        <v>0.52412768031189083</v>
      </c>
      <c r="M78" s="194">
        <v>0.68525121963361213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7:F67"/>
    <mergeCell ref="G67:J67"/>
    <mergeCell ref="K67:N67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2957" priority="17" operator="notBetween">
      <formula>#REF!</formula>
      <formula>#REF!</formula>
    </cfRule>
  </conditionalFormatting>
  <conditionalFormatting sqref="C55">
    <cfRule type="cellIs" dxfId="2956" priority="181" stopIfTrue="1" operator="greaterThan">
      <formula>100</formula>
    </cfRule>
    <cfRule type="cellIs" dxfId="2955" priority="180" stopIfTrue="1" operator="lessThan">
      <formula>96</formula>
    </cfRule>
  </conditionalFormatting>
  <conditionalFormatting sqref="C69:C73">
    <cfRule type="cellIs" dxfId="2954" priority="134" stopIfTrue="1" operator="lessThanOrEqual">
      <formula>0</formula>
    </cfRule>
  </conditionalFormatting>
  <conditionalFormatting sqref="C69:C77">
    <cfRule type="cellIs" dxfId="2953" priority="133" stopIfTrue="1" operator="greaterThan">
      <formula>$F69</formula>
    </cfRule>
  </conditionalFormatting>
  <conditionalFormatting sqref="C70">
    <cfRule type="cellIs" dxfId="2952" priority="184" stopIfTrue="1" operator="greaterThan">
      <formula>$F69</formula>
    </cfRule>
  </conditionalFormatting>
  <conditionalFormatting sqref="C74">
    <cfRule type="cellIs" dxfId="2951" priority="74" stopIfTrue="1" operator="greaterThan">
      <formula>$F73</formula>
    </cfRule>
    <cfRule type="cellIs" dxfId="2950" priority="73" stopIfTrue="1" operator="lessThanOrEqual">
      <formula>0</formula>
    </cfRule>
  </conditionalFormatting>
  <conditionalFormatting sqref="C80:C84">
    <cfRule type="cellIs" dxfId="2949" priority="172" stopIfTrue="1" operator="lessThanOrEqual">
      <formula>0</formula>
    </cfRule>
  </conditionalFormatting>
  <conditionalFormatting sqref="C81:C84">
    <cfRule type="cellIs" dxfId="2948" priority="171" stopIfTrue="1" operator="greaterThan">
      <formula>$F$80</formula>
    </cfRule>
  </conditionalFormatting>
  <conditionalFormatting sqref="C86">
    <cfRule type="cellIs" dxfId="2947" priority="173" stopIfTrue="1" operator="greaterThan">
      <formula>$F$80</formula>
    </cfRule>
    <cfRule type="cellIs" dxfId="2946" priority="174" stopIfTrue="1" operator="lessThanOrEqual">
      <formula>0</formula>
    </cfRule>
  </conditionalFormatting>
  <conditionalFormatting sqref="C80:D80 D82:D88">
    <cfRule type="cellIs" dxfId="2945" priority="166" stopIfTrue="1" operator="greaterThan">
      <formula>4.5</formula>
    </cfRule>
  </conditionalFormatting>
  <conditionalFormatting sqref="D51:D52">
    <cfRule type="cellIs" dxfId="2944" priority="18" operator="notBetween">
      <formula>#REF!</formula>
      <formula>#REF!</formula>
    </cfRule>
  </conditionalFormatting>
  <conditionalFormatting sqref="D69:D76">
    <cfRule type="cellIs" dxfId="2943" priority="146" stopIfTrue="1" operator="lessThanOrEqual">
      <formula>0</formula>
    </cfRule>
  </conditionalFormatting>
  <conditionalFormatting sqref="D77">
    <cfRule type="cellIs" dxfId="2942" priority="145" stopIfTrue="1" operator="lessThanOrEqual">
      <formula>0</formula>
    </cfRule>
  </conditionalFormatting>
  <conditionalFormatting sqref="D80 D82:D88">
    <cfRule type="cellIs" dxfId="2941" priority="167" stopIfTrue="1" operator="lessThanOrEqual">
      <formula>0</formula>
    </cfRule>
  </conditionalFormatting>
  <conditionalFormatting sqref="D81">
    <cfRule type="cellIs" dxfId="2940" priority="158" stopIfTrue="1" operator="greaterThan">
      <formula>$F$80</formula>
    </cfRule>
    <cfRule type="cellIs" dxfId="2939" priority="159" stopIfTrue="1" operator="lessThanOrEqual">
      <formula>0</formula>
    </cfRule>
  </conditionalFormatting>
  <conditionalFormatting sqref="D69:E78">
    <cfRule type="cellIs" dxfId="2938" priority="131" stopIfTrue="1" operator="greaterThan">
      <formula>$F69</formula>
    </cfRule>
  </conditionalFormatting>
  <conditionalFormatting sqref="D78:E78">
    <cfRule type="cellIs" dxfId="2937" priority="132" stopIfTrue="1" operator="lessThanOrEqual">
      <formula>0</formula>
    </cfRule>
  </conditionalFormatting>
  <conditionalFormatting sqref="E10:E26">
    <cfRule type="cellIs" dxfId="2936" priority="6" operator="lessThan">
      <formula>48</formula>
    </cfRule>
  </conditionalFormatting>
  <conditionalFormatting sqref="E54 E55:F55">
    <cfRule type="cellIs" dxfId="2935" priority="163" stopIfTrue="1" operator="greaterThan">
      <formula>100</formula>
    </cfRule>
  </conditionalFormatting>
  <conditionalFormatting sqref="E55">
    <cfRule type="cellIs" dxfId="2934" priority="161" stopIfTrue="1" operator="greaterThan">
      <formula>100</formula>
    </cfRule>
    <cfRule type="cellIs" dxfId="2933" priority="160" stopIfTrue="1" operator="lessThan">
      <formula>96.8</formula>
    </cfRule>
  </conditionalFormatting>
  <conditionalFormatting sqref="E69:E77">
    <cfRule type="cellIs" dxfId="2932" priority="142" stopIfTrue="1" operator="lessThanOrEqual">
      <formula>0</formula>
    </cfRule>
  </conditionalFormatting>
  <conditionalFormatting sqref="E80:E88">
    <cfRule type="cellIs" dxfId="2931" priority="152" stopIfTrue="1" operator="greaterThan">
      <formula>4.5</formula>
    </cfRule>
    <cfRule type="cellIs" dxfId="2930" priority="153" stopIfTrue="1" operator="lessThanOrEqual">
      <formula>0</formula>
    </cfRule>
  </conditionalFormatting>
  <conditionalFormatting sqref="E55:F55 E54">
    <cfRule type="cellIs" dxfId="2929" priority="162" stopIfTrue="1" operator="lessThan">
      <formula>96.5</formula>
    </cfRule>
  </conditionalFormatting>
  <conditionalFormatting sqref="F10:F26">
    <cfRule type="cellIs" dxfId="2928" priority="7" operator="greaterThan">
      <formula>60</formula>
    </cfRule>
  </conditionalFormatting>
  <conditionalFormatting sqref="F55">
    <cfRule type="cellIs" dxfId="2927" priority="178" stopIfTrue="1" operator="lessThan">
      <formula>96.8</formula>
    </cfRule>
    <cfRule type="cellIs" dxfId="2926" priority="179" stopIfTrue="1" operator="greaterThan">
      <formula>100</formula>
    </cfRule>
  </conditionalFormatting>
  <conditionalFormatting sqref="F78">
    <cfRule type="cellIs" dxfId="2925" priority="144" stopIfTrue="1" operator="lessThanOrEqual">
      <formula>0</formula>
    </cfRule>
    <cfRule type="cellIs" dxfId="2924" priority="143" stopIfTrue="1" operator="greaterThan">
      <formula>$F78</formula>
    </cfRule>
  </conditionalFormatting>
  <conditionalFormatting sqref="G10:G19">
    <cfRule type="expression" dxfId="2923" priority="11">
      <formula>IF(+(IF(G10&lt;S10,0,IF(G10&gt;T10,0,1)))=0,1)</formula>
    </cfRule>
  </conditionalFormatting>
  <conditionalFormatting sqref="G69:G70 C75:C77">
    <cfRule type="cellIs" dxfId="2922" priority="148" stopIfTrue="1" operator="lessThanOrEqual">
      <formula>0</formula>
    </cfRule>
  </conditionalFormatting>
  <conditionalFormatting sqref="G69:G70">
    <cfRule type="cellIs" dxfId="2921" priority="135" stopIfTrue="1" operator="greaterThan">
      <formula>$F69</formula>
    </cfRule>
    <cfRule type="cellIs" dxfId="2920" priority="136" stopIfTrue="1" operator="lessThanOrEqual">
      <formula>0</formula>
    </cfRule>
    <cfRule type="cellIs" dxfId="2919" priority="147" stopIfTrue="1" operator="greaterThan">
      <formula>$F69</formula>
    </cfRule>
  </conditionalFormatting>
  <conditionalFormatting sqref="G71">
    <cfRule type="cellIs" dxfId="2918" priority="183" stopIfTrue="1" operator="lessThanOrEqual">
      <formula>0</formula>
    </cfRule>
    <cfRule type="cellIs" dxfId="2917" priority="182" stopIfTrue="1" operator="greaterThan">
      <formula>$F70</formula>
    </cfRule>
  </conditionalFormatting>
  <conditionalFormatting sqref="G72">
    <cfRule type="cellIs" dxfId="2916" priority="16" stopIfTrue="1" operator="lessThanOrEqual">
      <formula>0</formula>
    </cfRule>
    <cfRule type="cellIs" dxfId="2915" priority="15" stopIfTrue="1" operator="greaterThan">
      <formula>$F72</formula>
    </cfRule>
    <cfRule type="cellIs" dxfId="2914" priority="14" stopIfTrue="1" operator="lessThanOrEqual">
      <formula>0</formula>
    </cfRule>
    <cfRule type="cellIs" dxfId="2913" priority="13" stopIfTrue="1" operator="greaterThan">
      <formula>$F72</formula>
    </cfRule>
  </conditionalFormatting>
  <conditionalFormatting sqref="G73:G77">
    <cfRule type="cellIs" dxfId="2912" priority="150" stopIfTrue="1" operator="lessThanOrEqual">
      <formula>0</formula>
    </cfRule>
    <cfRule type="cellIs" dxfId="2911" priority="149" stopIfTrue="1" operator="greaterThan">
      <formula>$J73</formula>
    </cfRule>
  </conditionalFormatting>
  <conditionalFormatting sqref="G82:G87 C85 C87">
    <cfRule type="cellIs" dxfId="2910" priority="176" stopIfTrue="1" operator="lessThanOrEqual">
      <formula>0</formula>
    </cfRule>
    <cfRule type="cellIs" dxfId="2909" priority="175" stopIfTrue="1" operator="greaterThan">
      <formula>4.5</formula>
    </cfRule>
  </conditionalFormatting>
  <conditionalFormatting sqref="G81:H81">
    <cfRule type="cellIs" dxfId="2908" priority="156" stopIfTrue="1" operator="greaterThan">
      <formula>$F$80</formula>
    </cfRule>
    <cfRule type="cellIs" dxfId="2907" priority="157" stopIfTrue="1" operator="lessThanOrEqual">
      <formula>0</formula>
    </cfRule>
  </conditionalFormatting>
  <conditionalFormatting sqref="H40:H54 I42:I53">
    <cfRule type="cellIs" dxfId="2906" priority="154" stopIfTrue="1" operator="greaterThan">
      <formula>0</formula>
    </cfRule>
  </conditionalFormatting>
  <conditionalFormatting sqref="H58">
    <cfRule type="cellIs" dxfId="2905" priority="43" stopIfTrue="1" operator="greaterThan">
      <formula>$F$71</formula>
    </cfRule>
    <cfRule type="cellIs" dxfId="2904" priority="42" stopIfTrue="1" operator="lessThanOrEqual">
      <formula>0</formula>
    </cfRule>
    <cfRule type="cellIs" dxfId="2903" priority="51" stopIfTrue="1" operator="greaterThan">
      <formula>$F$74</formula>
    </cfRule>
    <cfRule type="cellIs" dxfId="2902" priority="52" stopIfTrue="1" operator="lessThanOrEqual">
      <formula>0</formula>
    </cfRule>
    <cfRule type="cellIs" dxfId="2901" priority="54" stopIfTrue="1" operator="lessThanOrEqual">
      <formula>0</formula>
    </cfRule>
    <cfRule type="cellIs" dxfId="2900" priority="53" stopIfTrue="1" operator="greaterThan">
      <formula>$F$72</formula>
    </cfRule>
  </conditionalFormatting>
  <conditionalFormatting sqref="H59">
    <cfRule type="cellIs" dxfId="2899" priority="91" stopIfTrue="1" operator="greaterThan">
      <formula>#REF!</formula>
    </cfRule>
    <cfRule type="cellIs" dxfId="2898" priority="90" stopIfTrue="1" operator="lessThanOrEqual">
      <formula>0</formula>
    </cfRule>
    <cfRule type="cellIs" dxfId="2897" priority="99" stopIfTrue="1" operator="greaterThan">
      <formula>$F$27</formula>
    </cfRule>
    <cfRule type="cellIs" dxfId="2896" priority="102" stopIfTrue="1" operator="lessThanOrEqual">
      <formula>0</formula>
    </cfRule>
    <cfRule type="cellIs" dxfId="2895" priority="101" stopIfTrue="1" operator="greaterThan">
      <formula>#REF!</formula>
    </cfRule>
    <cfRule type="cellIs" dxfId="2894" priority="100" stopIfTrue="1" operator="lessThanOrEqual">
      <formula>0</formula>
    </cfRule>
  </conditionalFormatting>
  <conditionalFormatting sqref="H60">
    <cfRule type="cellIs" dxfId="2893" priority="58" stopIfTrue="1" operator="lessThanOrEqual">
      <formula>0</formula>
    </cfRule>
    <cfRule type="cellIs" dxfId="2892" priority="59" stopIfTrue="1" operator="greaterThan">
      <formula>$F$70</formula>
    </cfRule>
    <cfRule type="cellIs" dxfId="2891" priority="67" stopIfTrue="1" operator="greaterThan">
      <formula>$F$73</formula>
    </cfRule>
    <cfRule type="cellIs" dxfId="2890" priority="70" stopIfTrue="1" operator="lessThanOrEqual">
      <formula>0</formula>
    </cfRule>
    <cfRule type="cellIs" dxfId="2889" priority="69" stopIfTrue="1" operator="greaterThan">
      <formula>$F$71</formula>
    </cfRule>
    <cfRule type="cellIs" dxfId="2888" priority="68" stopIfTrue="1" operator="lessThanOrEqual">
      <formula>0</formula>
    </cfRule>
  </conditionalFormatting>
  <conditionalFormatting sqref="H61:H62">
    <cfRule type="cellIs" dxfId="2887" priority="76" stopIfTrue="1" operator="lessThanOrEqual">
      <formula>0</formula>
    </cfRule>
    <cfRule type="cellIs" dxfId="2886" priority="77" stopIfTrue="1" operator="greaterThan">
      <formula>#REF!</formula>
    </cfRule>
    <cfRule type="cellIs" dxfId="2885" priority="85" stopIfTrue="1" operator="greaterThan">
      <formula>$F$26</formula>
    </cfRule>
    <cfRule type="cellIs" dxfId="2884" priority="86" stopIfTrue="1" operator="lessThanOrEqual">
      <formula>0</formula>
    </cfRule>
    <cfRule type="cellIs" dxfId="2883" priority="87" stopIfTrue="1" operator="greaterThan">
      <formula>#REF!</formula>
    </cfRule>
    <cfRule type="cellIs" dxfId="2882" priority="88" stopIfTrue="1" operator="lessThanOrEqual">
      <formula>0</formula>
    </cfRule>
  </conditionalFormatting>
  <conditionalFormatting sqref="H63">
    <cfRule type="cellIs" dxfId="2881" priority="116" stopIfTrue="1" operator="greaterThan">
      <formula>$F$40</formula>
    </cfRule>
    <cfRule type="cellIs" dxfId="2880" priority="117" stopIfTrue="1" operator="lessThanOrEqual">
      <formula>0</formula>
    </cfRule>
    <cfRule type="cellIs" dxfId="2879" priority="106" stopIfTrue="1" operator="greaterThan">
      <formula>$F$39</formula>
    </cfRule>
    <cfRule type="cellIs" dxfId="2878" priority="105" stopIfTrue="1" operator="lessThanOrEqual">
      <formula>0</formula>
    </cfRule>
    <cfRule type="cellIs" dxfId="2877" priority="114" stopIfTrue="1" operator="greaterThan">
      <formula>$F$42</formula>
    </cfRule>
    <cfRule type="cellIs" dxfId="2876" priority="115" stopIfTrue="1" operator="lessThanOrEqual">
      <formula>0</formula>
    </cfRule>
  </conditionalFormatting>
  <conditionalFormatting sqref="H64:H65">
    <cfRule type="cellIs" dxfId="2875" priority="40" stopIfTrue="1" operator="lessThanOrEqual">
      <formula>0</formula>
    </cfRule>
    <cfRule type="cellIs" dxfId="2874" priority="39" stopIfTrue="1" operator="greaterThan">
      <formula>#REF!</formula>
    </cfRule>
    <cfRule type="cellIs" dxfId="2873" priority="38" stopIfTrue="1" operator="lessThanOrEqual">
      <formula>0</formula>
    </cfRule>
    <cfRule type="cellIs" dxfId="2872" priority="37" stopIfTrue="1" operator="greaterThan">
      <formula>$F$26</formula>
    </cfRule>
    <cfRule type="cellIs" dxfId="2871" priority="29" stopIfTrue="1" operator="greaterThan">
      <formula>#REF!</formula>
    </cfRule>
    <cfRule type="cellIs" dxfId="2870" priority="28" stopIfTrue="1" operator="lessThanOrEqual">
      <formula>0</formula>
    </cfRule>
  </conditionalFormatting>
  <conditionalFormatting sqref="H69:H76">
    <cfRule type="cellIs" dxfId="2869" priority="138" stopIfTrue="1" operator="lessThanOrEqual">
      <formula>0</formula>
    </cfRule>
    <cfRule type="cellIs" dxfId="2868" priority="137" stopIfTrue="1" operator="greaterThan">
      <formula>$J69</formula>
    </cfRule>
  </conditionalFormatting>
  <conditionalFormatting sqref="H77">
    <cfRule type="cellIs" dxfId="2867" priority="139" operator="greaterThan">
      <formula>5.3</formula>
    </cfRule>
  </conditionalFormatting>
  <conditionalFormatting sqref="H80 H82:H88">
    <cfRule type="cellIs" dxfId="2866" priority="168" stopIfTrue="1" operator="greaterThan">
      <formula>4.5</formula>
    </cfRule>
    <cfRule type="cellIs" dxfId="2865" priority="169" stopIfTrue="1" operator="lessThanOrEqual">
      <formula>0</formula>
    </cfRule>
  </conditionalFormatting>
  <conditionalFormatting sqref="H58:I58">
    <cfRule type="cellIs" dxfId="2864" priority="41" stopIfTrue="1" operator="greaterThan">
      <formula>$F$73</formula>
    </cfRule>
    <cfRule type="cellIs" dxfId="2863" priority="44" stopIfTrue="1" operator="lessThanOrEqual">
      <formula>0</formula>
    </cfRule>
  </conditionalFormatting>
  <conditionalFormatting sqref="H59:I59">
    <cfRule type="cellIs" dxfId="2862" priority="92" stopIfTrue="1" operator="lessThanOrEqual">
      <formula>0</formula>
    </cfRule>
    <cfRule type="cellIs" dxfId="2861" priority="89" stopIfTrue="1" operator="greaterThan">
      <formula>$F$26</formula>
    </cfRule>
  </conditionalFormatting>
  <conditionalFormatting sqref="H60:I60">
    <cfRule type="cellIs" dxfId="2860" priority="57" stopIfTrue="1" operator="greaterThan">
      <formula>$F$72</formula>
    </cfRule>
    <cfRule type="cellIs" dxfId="2859" priority="60" stopIfTrue="1" operator="lessThanOrEqual">
      <formula>0</formula>
    </cfRule>
  </conditionalFormatting>
  <conditionalFormatting sqref="H61:I62">
    <cfRule type="cellIs" dxfId="2858" priority="78" stopIfTrue="1" operator="lessThanOrEqual">
      <formula>0</formula>
    </cfRule>
    <cfRule type="cellIs" dxfId="2857" priority="75" stopIfTrue="1" operator="greaterThan">
      <formula>#REF!</formula>
    </cfRule>
  </conditionalFormatting>
  <conditionalFormatting sqref="H63:I63">
    <cfRule type="cellIs" dxfId="2856" priority="107" stopIfTrue="1" operator="lessThanOrEqual">
      <formula>0</formula>
    </cfRule>
    <cfRule type="cellIs" dxfId="2855" priority="104" stopIfTrue="1" operator="greaterThan">
      <formula>$F$41</formula>
    </cfRule>
  </conditionalFormatting>
  <conditionalFormatting sqref="H64:I65">
    <cfRule type="cellIs" dxfId="2854" priority="30" stopIfTrue="1" operator="lessThanOrEqual">
      <formula>0</formula>
    </cfRule>
    <cfRule type="cellIs" dxfId="2853" priority="27" stopIfTrue="1" operator="greaterThan">
      <formula>#REF!</formula>
    </cfRule>
  </conditionalFormatting>
  <conditionalFormatting sqref="H78:I78">
    <cfRule type="cellIs" dxfId="2852" priority="130" stopIfTrue="1" operator="lessThanOrEqual">
      <formula>0</formula>
    </cfRule>
    <cfRule type="cellIs" dxfId="2851" priority="129" stopIfTrue="1" operator="greaterThan">
      <formula>$J78</formula>
    </cfRule>
  </conditionalFormatting>
  <conditionalFormatting sqref="I58">
    <cfRule type="cellIs" dxfId="2850" priority="46" stopIfTrue="1" operator="lessThanOrEqual">
      <formula>0</formula>
    </cfRule>
    <cfRule type="cellIs" dxfId="2849" priority="47" stopIfTrue="1" operator="greaterThan">
      <formula>$F$73</formula>
    </cfRule>
    <cfRule type="cellIs" dxfId="2848" priority="49" stopIfTrue="1" operator="greaterThan">
      <formula>$F$71</formula>
    </cfRule>
    <cfRule type="cellIs" dxfId="2847" priority="50" stopIfTrue="1" operator="lessThanOrEqual">
      <formula>0</formula>
    </cfRule>
    <cfRule type="cellIs" dxfId="2846" priority="45" stopIfTrue="1" operator="greaterThan">
      <formula>$F$71</formula>
    </cfRule>
    <cfRule type="cellIs" dxfId="2845" priority="48" stopIfTrue="1" operator="lessThanOrEqual">
      <formula>0</formula>
    </cfRule>
  </conditionalFormatting>
  <conditionalFormatting sqref="I59">
    <cfRule type="cellIs" dxfId="2844" priority="93" stopIfTrue="1" operator="greaterThan">
      <formula>#REF!</formula>
    </cfRule>
    <cfRule type="cellIs" dxfId="2843" priority="98" stopIfTrue="1" operator="lessThanOrEqual">
      <formula>0</formula>
    </cfRule>
    <cfRule type="cellIs" dxfId="2842" priority="97" stopIfTrue="1" operator="greaterThan">
      <formula>#REF!</formula>
    </cfRule>
    <cfRule type="cellIs" dxfId="2841" priority="96" stopIfTrue="1" operator="lessThanOrEqual">
      <formula>0</formula>
    </cfRule>
    <cfRule type="cellIs" dxfId="2840" priority="95" stopIfTrue="1" operator="greaterThan">
      <formula>$F$26</formula>
    </cfRule>
    <cfRule type="cellIs" dxfId="2839" priority="94" stopIfTrue="1" operator="lessThanOrEqual">
      <formula>0</formula>
    </cfRule>
  </conditionalFormatting>
  <conditionalFormatting sqref="I60">
    <cfRule type="cellIs" dxfId="2838" priority="63" stopIfTrue="1" operator="greaterThan">
      <formula>$F$72</formula>
    </cfRule>
    <cfRule type="cellIs" dxfId="2837" priority="62" stopIfTrue="1" operator="lessThanOrEqual">
      <formula>0</formula>
    </cfRule>
    <cfRule type="cellIs" dxfId="2836" priority="61" stopIfTrue="1" operator="greaterThan">
      <formula>$F$70</formula>
    </cfRule>
    <cfRule type="cellIs" dxfId="2835" priority="66" stopIfTrue="1" operator="lessThanOrEqual">
      <formula>0</formula>
    </cfRule>
    <cfRule type="cellIs" dxfId="2834" priority="65" stopIfTrue="1" operator="greaterThan">
      <formula>$F$70</formula>
    </cfRule>
    <cfRule type="cellIs" dxfId="2833" priority="64" stopIfTrue="1" operator="lessThanOrEqual">
      <formula>0</formula>
    </cfRule>
  </conditionalFormatting>
  <conditionalFormatting sqref="I61:I62">
    <cfRule type="cellIs" dxfId="2832" priority="79" stopIfTrue="1" operator="greaterThan">
      <formula>#REF!</formula>
    </cfRule>
    <cfRule type="cellIs" dxfId="2831" priority="84" stopIfTrue="1" operator="lessThanOrEqual">
      <formula>0</formula>
    </cfRule>
    <cfRule type="cellIs" dxfId="2830" priority="83" stopIfTrue="1" operator="greaterThan">
      <formula>#REF!</formula>
    </cfRule>
    <cfRule type="cellIs" dxfId="2829" priority="82" stopIfTrue="1" operator="lessThanOrEqual">
      <formula>0</formula>
    </cfRule>
    <cfRule type="cellIs" dxfId="2828" priority="81" stopIfTrue="1" operator="greaterThan">
      <formula>#REF!</formula>
    </cfRule>
    <cfRule type="cellIs" dxfId="2827" priority="80" stopIfTrue="1" operator="lessThanOrEqual">
      <formula>0</formula>
    </cfRule>
  </conditionalFormatting>
  <conditionalFormatting sqref="I63">
    <cfRule type="cellIs" dxfId="2826" priority="113" stopIfTrue="1" operator="lessThanOrEqual">
      <formula>0</formula>
    </cfRule>
    <cfRule type="cellIs" dxfId="2825" priority="108" stopIfTrue="1" operator="greaterThan">
      <formula>$F$39</formula>
    </cfRule>
    <cfRule type="cellIs" dxfId="2824" priority="109" stopIfTrue="1" operator="lessThanOrEqual">
      <formula>0</formula>
    </cfRule>
    <cfRule type="cellIs" dxfId="2823" priority="110" stopIfTrue="1" operator="greaterThan">
      <formula>$F$41</formula>
    </cfRule>
    <cfRule type="cellIs" dxfId="2822" priority="111" stopIfTrue="1" operator="lessThanOrEqual">
      <formula>0</formula>
    </cfRule>
    <cfRule type="cellIs" dxfId="2821" priority="112" stopIfTrue="1" operator="greaterThan">
      <formula>$F$39</formula>
    </cfRule>
  </conditionalFormatting>
  <conditionalFormatting sqref="I64:I65">
    <cfRule type="cellIs" dxfId="2820" priority="32" stopIfTrue="1" operator="lessThanOrEqual">
      <formula>0</formula>
    </cfRule>
    <cfRule type="cellIs" dxfId="2819" priority="36" stopIfTrue="1" operator="lessThanOrEqual">
      <formula>0</formula>
    </cfRule>
    <cfRule type="cellIs" dxfId="2818" priority="35" stopIfTrue="1" operator="greaterThan">
      <formula>#REF!</formula>
    </cfRule>
    <cfRule type="cellIs" dxfId="2817" priority="34" stopIfTrue="1" operator="lessThanOrEqual">
      <formula>0</formula>
    </cfRule>
    <cfRule type="cellIs" dxfId="2816" priority="33" stopIfTrue="1" operator="greaterThan">
      <formula>#REF!</formula>
    </cfRule>
    <cfRule type="cellIs" dxfId="2815" priority="31" stopIfTrue="1" operator="greaterThan">
      <formula>#REF!</formula>
    </cfRule>
  </conditionalFormatting>
  <conditionalFormatting sqref="I69:I77">
    <cfRule type="cellIs" dxfId="2814" priority="140" stopIfTrue="1" operator="greaterThan">
      <formula>$J69</formula>
    </cfRule>
    <cfRule type="cellIs" dxfId="2813" priority="141" stopIfTrue="1" operator="lessThanOrEqual">
      <formula>0</formula>
    </cfRule>
  </conditionalFormatting>
  <conditionalFormatting sqref="I80:I88">
    <cfRule type="cellIs" dxfId="2812" priority="165" stopIfTrue="1" operator="lessThanOrEqual">
      <formula>0</formula>
    </cfRule>
    <cfRule type="cellIs" dxfId="2811" priority="164" stopIfTrue="1" operator="greaterThan">
      <formula>4.5</formula>
    </cfRule>
  </conditionalFormatting>
  <conditionalFormatting sqref="I10:J26">
    <cfRule type="cellIs" dxfId="2810" priority="2" operator="lessThan">
      <formula>97.9</formula>
    </cfRule>
  </conditionalFormatting>
  <conditionalFormatting sqref="J29:J31">
    <cfRule type="cellIs" dxfId="2809" priority="119" stopIfTrue="1" operator="lessThan">
      <formula>96.8</formula>
    </cfRule>
    <cfRule type="cellIs" dxfId="2808" priority="121" operator="lessThan">
      <formula>98</formula>
    </cfRule>
    <cfRule type="cellIs" dxfId="2807" priority="120" stopIfTrue="1" operator="greaterThan">
      <formula>100</formula>
    </cfRule>
  </conditionalFormatting>
  <conditionalFormatting sqref="J29:J33">
    <cfRule type="cellIs" dxfId="2806" priority="118" operator="lessThan">
      <formula>97.4</formula>
    </cfRule>
  </conditionalFormatting>
  <conditionalFormatting sqref="J34:J35">
    <cfRule type="cellIs" dxfId="2805" priority="122" operator="lessThan">
      <formula>98</formula>
    </cfRule>
  </conditionalFormatting>
  <conditionalFormatting sqref="J36:J37">
    <cfRule type="cellIs" dxfId="2804" priority="124" stopIfTrue="1" operator="greaterThan">
      <formula>100</formula>
    </cfRule>
    <cfRule type="cellIs" dxfId="2803" priority="123" stopIfTrue="1" operator="lessThan">
      <formula>96.8</formula>
    </cfRule>
  </conditionalFormatting>
  <conditionalFormatting sqref="J36:J38">
    <cfRule type="cellIs" dxfId="2802" priority="125" operator="lessThan">
      <formula>98</formula>
    </cfRule>
  </conditionalFormatting>
  <conditionalFormatting sqref="J65">
    <cfRule type="cellIs" dxfId="2801" priority="26" stopIfTrue="1" operator="lessThanOrEqual">
      <formula>0</formula>
    </cfRule>
    <cfRule type="cellIs" dxfId="2800" priority="19" stopIfTrue="1" operator="greaterThan">
      <formula>#REF!</formula>
    </cfRule>
    <cfRule type="cellIs" dxfId="2799" priority="20" stopIfTrue="1" operator="lessThanOrEqual">
      <formula>0</formula>
    </cfRule>
    <cfRule type="cellIs" dxfId="2798" priority="21" stopIfTrue="1" operator="greaterThan">
      <formula>#REF!</formula>
    </cfRule>
    <cfRule type="cellIs" dxfId="2797" priority="22" stopIfTrue="1" operator="lessThanOrEqual">
      <formula>0</formula>
    </cfRule>
    <cfRule type="cellIs" dxfId="2796" priority="23" stopIfTrue="1" operator="greaterThan">
      <formula>#REF!</formula>
    </cfRule>
    <cfRule type="cellIs" dxfId="2795" priority="25" stopIfTrue="1" operator="greaterThan">
      <formula>#REF!</formula>
    </cfRule>
    <cfRule type="cellIs" dxfId="2794" priority="24" stopIfTrue="1" operator="lessThanOrEqual">
      <formula>0</formula>
    </cfRule>
  </conditionalFormatting>
  <conditionalFormatting sqref="J78">
    <cfRule type="cellIs" dxfId="2793" priority="127" stopIfTrue="1" operator="lessThanOrEqual">
      <formula>0</formula>
    </cfRule>
    <cfRule type="cellIs" dxfId="2792" priority="126" stopIfTrue="1" operator="greaterThan">
      <formula>$F78</formula>
    </cfRule>
  </conditionalFormatting>
  <conditionalFormatting sqref="K10:K26">
    <cfRule type="cellIs" dxfId="2791" priority="5" operator="greaterThan">
      <formula>6.4</formula>
    </cfRule>
    <cfRule type="cellIs" dxfId="2790" priority="4" operator="lessThan">
      <formula>4</formula>
    </cfRule>
    <cfRule type="cellIs" dxfId="2789" priority="3" operator="greaterThan">
      <formula>6</formula>
    </cfRule>
  </conditionalFormatting>
  <conditionalFormatting sqref="K58:K65 K69:N75 K76 M76:N76 K77:N77">
    <cfRule type="cellIs" dxfId="2788" priority="103" stopIfTrue="1" operator="lessThan">
      <formula>100%</formula>
    </cfRule>
  </conditionalFormatting>
  <conditionalFormatting sqref="K80:K85">
    <cfRule type="cellIs" dxfId="2787" priority="170" stopIfTrue="1" operator="lessThan">
      <formula>100%</formula>
    </cfRule>
  </conditionalFormatting>
  <conditionalFormatting sqref="K87:K88">
    <cfRule type="cellIs" dxfId="2786" priority="177" stopIfTrue="1" operator="lessThan">
      <formula>100%</formula>
    </cfRule>
  </conditionalFormatting>
  <conditionalFormatting sqref="L10:L18 L19:M25">
    <cfRule type="cellIs" dxfId="2785" priority="9" operator="greaterThan">
      <formula>65</formula>
    </cfRule>
    <cfRule type="cellIs" dxfId="2784" priority="8" operator="between">
      <formula>61</formula>
      <formula>65</formula>
    </cfRule>
  </conditionalFormatting>
  <conditionalFormatting sqref="L26">
    <cfRule type="cellIs" dxfId="2783" priority="55" operator="between">
      <formula>61</formula>
      <formula>65</formula>
    </cfRule>
    <cfRule type="cellIs" dxfId="2782" priority="56" operator="greaterThan">
      <formula>65</formula>
    </cfRule>
  </conditionalFormatting>
  <conditionalFormatting sqref="L29:M40">
    <cfRule type="cellIs" dxfId="2781" priority="71" operator="lessThan">
      <formula>97.95</formula>
    </cfRule>
  </conditionalFormatting>
  <conditionalFormatting sqref="L44:N44">
    <cfRule type="cellIs" dxfId="2780" priority="72" operator="notEqual">
      <formula>#REF!</formula>
    </cfRule>
  </conditionalFormatting>
  <conditionalFormatting sqref="L78:N78">
    <cfRule type="cellIs" dxfId="2779" priority="128" stopIfTrue="1" operator="lessThan">
      <formula>100%</formula>
    </cfRule>
  </conditionalFormatting>
  <conditionalFormatting sqref="L80:N88">
    <cfRule type="cellIs" dxfId="2778" priority="155" stopIfTrue="1" operator="lessThan">
      <formula>100%</formula>
    </cfRule>
  </conditionalFormatting>
  <conditionalFormatting sqref="M10:M18">
    <cfRule type="expression" dxfId="2777" priority="10">
      <formula>IF(+(IF(M10&lt;U10,0,IF(M10&gt;V10,0,1)))=0,1)</formula>
    </cfRule>
  </conditionalFormatting>
  <conditionalFormatting sqref="M19:M25 H10:H19 G20:H26">
    <cfRule type="expression" dxfId="2776" priority="12">
      <formula>IF(+(IF(G10&lt;#REF!,0,IF(G10&gt;#REF!,0,1)))=0,1)</formula>
    </cfRule>
  </conditionalFormatting>
  <conditionalFormatting sqref="M26:N26">
    <cfRule type="expression" dxfId="2775" priority="185">
      <formula>IF(+(IF(M26&lt;#REF!,0,IF(M26&gt;#REF!,0,1)))=0,1)</formula>
    </cfRule>
  </conditionalFormatting>
  <conditionalFormatting sqref="N10:N25">
    <cfRule type="expression" dxfId="2774" priority="1">
      <formula>IF(+(IF(N10&lt;W10,0,IF(N10&gt;X10,0,1)))=0,1)</formula>
    </cfRule>
  </conditionalFormatting>
  <conditionalFormatting sqref="P6">
    <cfRule type="cellIs" dxfId="2773" priority="151" operator="greaterThanOrEqual">
      <formula>19</formula>
    </cfRule>
  </conditionalFormatting>
  <dataValidations count="1">
    <dataValidation type="list" allowBlank="1" showInputMessage="1" showErrorMessage="1" sqref="R8" xr:uid="{9A30F34E-43E5-45F2-AF19-54E051A8D44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B340-FDEA-425E-870A-C456FE526D97}">
  <sheetPr>
    <pageSetUpPr fitToPage="1"/>
  </sheetPr>
  <dimension ref="A1:BE76"/>
  <sheetViews>
    <sheetView zoomScale="80" zoomScaleNormal="80" workbookViewId="0">
      <selection activeCell="P13" sqref="P1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45973</v>
      </c>
      <c r="J4" s="398" t="s">
        <v>166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9" t="s">
        <v>6</v>
      </c>
      <c r="C10" s="366" t="str">
        <f>[24]Brewhouse!$A946</f>
        <v>CA831</v>
      </c>
      <c r="D10" s="279">
        <f>[24]Brewhouse!$AF946</f>
        <v>50.3</v>
      </c>
      <c r="E10" s="279">
        <f>[24]Brewhouse!$AI946</f>
        <v>49.9</v>
      </c>
      <c r="F10" s="278">
        <f>[24]Brewhouse!$V946</f>
        <v>61</v>
      </c>
      <c r="G10" s="279">
        <f>[24]Brewhouse!AG946</f>
        <v>11.65</v>
      </c>
      <c r="H10" s="396">
        <v>11.7</v>
      </c>
      <c r="I10" s="368">
        <f>[24]Brewhouse!$AU946</f>
        <v>95.690262975847233</v>
      </c>
      <c r="J10" s="368">
        <f>[24]Brewhouse!$AV946</f>
        <v>96.186656012635552</v>
      </c>
      <c r="K10" s="281">
        <f>[24]Brewhouse!$Q946</f>
        <v>7.3822975517890796</v>
      </c>
      <c r="L10" s="276">
        <f>[24]Brewhouse!$P946</f>
        <v>59</v>
      </c>
      <c r="M10" s="397">
        <f>[24]Brewhouse!$U946-[24]Brewhouse!$T946</f>
        <v>0.10972222222222217</v>
      </c>
      <c r="N10" s="370">
        <f>[24]Brewhouse!$Z946</f>
        <v>0.24583333333333335</v>
      </c>
      <c r="O10" s="421" t="str">
        <f>[24]Brewhouse!$AX946</f>
        <v>R. Regis</v>
      </c>
      <c r="P10" s="418"/>
      <c r="R10" s="277" t="str">
        <f t="shared" ref="R10:R38" si="0">B10</f>
        <v>CARIB</v>
      </c>
      <c r="S10" s="296">
        <f t="shared" ref="S10:S38" si="1">VLOOKUP($B10,$R$3:$X$9,2,FALSE)</f>
        <v>11.6</v>
      </c>
      <c r="T10" s="296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296">
        <f t="shared" ref="Z10:Z38" si="8">VLOOKUP($B10,$R$3:$Z$9,9,FALSE)</f>
        <v>60</v>
      </c>
    </row>
    <row r="11" spans="2:29" ht="15" customHeight="1">
      <c r="B11" s="29" t="s">
        <v>6</v>
      </c>
      <c r="C11" s="366" t="str">
        <f>[24]Brewhouse!$A947</f>
        <v>CA832</v>
      </c>
      <c r="D11" s="279">
        <f>[24]Brewhouse!$AF947</f>
        <v>51.3</v>
      </c>
      <c r="E11" s="279">
        <f>[24]Brewhouse!$AI947</f>
        <v>49.13</v>
      </c>
      <c r="F11" s="278">
        <f>[24]Brewhouse!$V947</f>
        <v>60</v>
      </c>
      <c r="G11" s="279">
        <f>[24]Brewhouse!AG947</f>
        <v>11.6</v>
      </c>
      <c r="H11" s="396">
        <v>11.6</v>
      </c>
      <c r="I11" s="368">
        <f>[24]Brewhouse!$AU947</f>
        <v>93.824872867980801</v>
      </c>
      <c r="J11" s="368">
        <f>[24]Brewhouse!$AV947</f>
        <v>94.311434833278781</v>
      </c>
      <c r="K11" s="281">
        <f>[24]Brewhouse!$Q947</f>
        <v>4.7457627118644128</v>
      </c>
      <c r="L11" s="276">
        <f>[24]Brewhouse!$P947</f>
        <v>61</v>
      </c>
      <c r="M11" s="397">
        <f>[24]Brewhouse!$U947-[24]Brewhouse!$T947</f>
        <v>0.11111111111111105</v>
      </c>
      <c r="N11" s="370">
        <f>[24]Brewhouse!$Z947</f>
        <v>0.26180555555555551</v>
      </c>
      <c r="O11" s="421" t="str">
        <f>[24]Brewhouse!$AX947</f>
        <v>R. Regis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29" t="s">
        <v>6</v>
      </c>
      <c r="C12" s="366" t="str">
        <f>[24]Brewhouse!$A948</f>
        <v>CA833</v>
      </c>
      <c r="D12" s="279">
        <f>[24]Brewhouse!$AF948</f>
        <v>53.9</v>
      </c>
      <c r="E12" s="279">
        <f>[24]Brewhouse!$AI948</f>
        <v>51.2</v>
      </c>
      <c r="F12" s="278">
        <f>[24]Brewhouse!$V948</f>
        <v>63</v>
      </c>
      <c r="G12" s="279">
        <f>[24]Brewhouse!AG948</f>
        <v>11.8</v>
      </c>
      <c r="H12" s="396">
        <v>11.8</v>
      </c>
      <c r="I12" s="368">
        <f>[24]Brewhouse!$AU948</f>
        <v>100.91591388735279</v>
      </c>
      <c r="J12" s="368">
        <f>[24]Brewhouse!$AV948</f>
        <v>101.43878384022733</v>
      </c>
      <c r="K12" s="281">
        <f>[24]Brewhouse!$Q948</f>
        <v>0.41509433962263936</v>
      </c>
      <c r="L12" s="276">
        <f>[24]Brewhouse!$P948</f>
        <v>60</v>
      </c>
      <c r="M12" s="397">
        <f>[24]Brewhouse!$U948-[24]Brewhouse!$T948</f>
        <v>0.14027777777777783</v>
      </c>
      <c r="N12" s="370">
        <f>[24]Brewhouse!$Z948</f>
        <v>0.30069444444444449</v>
      </c>
      <c r="O12" s="421" t="str">
        <f>[24]Brewhouse!$AX948</f>
        <v>R. Regis</v>
      </c>
      <c r="P12" s="418" t="s">
        <v>183</v>
      </c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29" t="s">
        <v>6</v>
      </c>
      <c r="C13" s="366" t="str">
        <f>[24]Brewhouse!$A949</f>
        <v>CA834</v>
      </c>
      <c r="D13" s="279">
        <f>[24]Brewhouse!$AF949</f>
        <v>54.1</v>
      </c>
      <c r="E13" s="279">
        <f>[24]Brewhouse!$AI949</f>
        <v>51.6</v>
      </c>
      <c r="F13" s="278">
        <f>[24]Brewhouse!$V949</f>
        <v>69</v>
      </c>
      <c r="G13" s="279">
        <f>[24]Brewhouse!AG949</f>
        <v>11.5</v>
      </c>
      <c r="H13" s="476">
        <v>11.4</v>
      </c>
      <c r="I13" s="368">
        <f>[24]Brewhouse!$AU949</f>
        <v>96.697662088466046</v>
      </c>
      <c r="J13" s="368">
        <f>[24]Brewhouse!$AV949</f>
        <v>97.199438549632717</v>
      </c>
      <c r="K13" s="281">
        <f>[24]Brewhouse!$Q949</f>
        <v>-0.52730696798493615</v>
      </c>
      <c r="L13" s="276">
        <f>[24]Brewhouse!$P949</f>
        <v>58</v>
      </c>
      <c r="M13" s="397">
        <f>[24]Brewhouse!$U949-[24]Brewhouse!$T949</f>
        <v>0.10972222222222228</v>
      </c>
      <c r="N13" s="370">
        <f>[24]Brewhouse!$Z949</f>
        <v>0.40763888888888888</v>
      </c>
      <c r="O13" s="421" t="str">
        <f>[24]Brewhouse!$AX949</f>
        <v>R.Sookram</v>
      </c>
      <c r="P13" s="418" t="s">
        <v>182</v>
      </c>
      <c r="R13" s="277" t="str">
        <f t="shared" ref="R13:R23" si="9">B13</f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29"/>
      <c r="C14" s="366"/>
      <c r="D14" s="279"/>
      <c r="E14" s="279"/>
      <c r="F14" s="278"/>
      <c r="G14" s="279"/>
      <c r="H14" s="476"/>
      <c r="I14" s="368"/>
      <c r="J14" s="368"/>
      <c r="K14" s="281"/>
      <c r="L14" s="276"/>
      <c r="M14" s="397"/>
      <c r="N14" s="370"/>
      <c r="O14" s="421"/>
      <c r="P14" s="418"/>
      <c r="R14" s="277">
        <f t="shared" si="9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" customHeight="1">
      <c r="B15" s="29"/>
      <c r="C15" s="366"/>
      <c r="D15" s="279"/>
      <c r="E15" s="279"/>
      <c r="F15" s="278"/>
      <c r="G15" s="279"/>
      <c r="H15" s="476"/>
      <c r="I15" s="368"/>
      <c r="J15" s="368"/>
      <c r="K15" s="281"/>
      <c r="L15" s="276"/>
      <c r="M15" s="397"/>
      <c r="N15" s="370"/>
      <c r="O15" s="421"/>
      <c r="P15" s="418"/>
      <c r="R15" s="277">
        <f t="shared" si="9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" hidden="1" customHeight="1">
      <c r="B16" s="29"/>
      <c r="C16" s="366"/>
      <c r="D16" s="279"/>
      <c r="E16" s="279"/>
      <c r="F16" s="278"/>
      <c r="G16" s="279"/>
      <c r="H16" s="476"/>
      <c r="I16" s="368"/>
      <c r="J16" s="368"/>
      <c r="K16" s="281"/>
      <c r="L16" s="276"/>
      <c r="M16" s="397"/>
      <c r="N16" s="370"/>
      <c r="O16" s="421"/>
      <c r="P16" s="418"/>
      <c r="R16" s="277">
        <f t="shared" si="9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" hidden="1" customHeight="1">
      <c r="B17" s="29"/>
      <c r="C17" s="366"/>
      <c r="D17" s="279"/>
      <c r="E17" s="279"/>
      <c r="F17" s="278"/>
      <c r="G17" s="279"/>
      <c r="H17" s="476"/>
      <c r="I17" s="368"/>
      <c r="J17" s="368"/>
      <c r="K17" s="281"/>
      <c r="L17" s="276"/>
      <c r="M17" s="397"/>
      <c r="N17" s="370"/>
      <c r="O17" s="421"/>
      <c r="P17" s="418"/>
      <c r="R17" s="277">
        <f t="shared" si="9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" hidden="1" customHeight="1">
      <c r="B18" s="29"/>
      <c r="C18" s="366"/>
      <c r="D18" s="279"/>
      <c r="E18" s="279"/>
      <c r="F18" s="278"/>
      <c r="G18" s="279"/>
      <c r="H18" s="476"/>
      <c r="I18" s="368"/>
      <c r="J18" s="368"/>
      <c r="K18" s="281"/>
      <c r="L18" s="276"/>
      <c r="M18" s="397"/>
      <c r="N18" s="370"/>
      <c r="O18" s="421"/>
      <c r="P18" s="418"/>
      <c r="R18" s="277">
        <f t="shared" si="9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" hidden="1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" hidden="1" customHeight="1">
      <c r="B20" s="33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" hidden="1" customHeight="1">
      <c r="B21" s="33"/>
      <c r="C21" s="366"/>
      <c r="D21" s="279"/>
      <c r="E21" s="279"/>
      <c r="F21" s="278"/>
      <c r="G21" s="279"/>
      <c r="H21" s="396"/>
      <c r="I21" s="420"/>
      <c r="J21" s="420"/>
      <c r="K21" s="281"/>
      <c r="L21" s="276"/>
      <c r="M21" s="374"/>
      <c r="N21" s="370"/>
      <c r="O21" s="421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" hidden="1" customHeight="1">
      <c r="B22" s="33"/>
      <c r="C22" s="366"/>
      <c r="D22" s="279"/>
      <c r="E22" s="279"/>
      <c r="F22" s="278"/>
      <c r="G22" s="279"/>
      <c r="H22" s="396"/>
      <c r="I22" s="420"/>
      <c r="J22" s="420"/>
      <c r="K22" s="281"/>
      <c r="L22" s="276"/>
      <c r="M22" s="374"/>
      <c r="N22" s="370"/>
      <c r="O22" s="421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" hidden="1" customHeight="1">
      <c r="B23" s="33"/>
      <c r="C23" s="366"/>
      <c r="D23" s="279"/>
      <c r="E23" s="279"/>
      <c r="F23" s="278"/>
      <c r="G23" s="279"/>
      <c r="H23" s="396"/>
      <c r="I23" s="420"/>
      <c r="J23" s="420"/>
      <c r="K23" s="281"/>
      <c r="L23" s="276"/>
      <c r="M23" s="374"/>
      <c r="N23" s="370"/>
      <c r="O23" s="421"/>
      <c r="P23" s="418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12"/>
      <c r="J25" s="512"/>
      <c r="K25" s="512"/>
      <c r="L25" s="512"/>
      <c r="M25" s="512"/>
      <c r="N25" s="512"/>
      <c r="O25" s="1"/>
      <c r="P25" s="12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.75" customHeight="1" thickBot="1">
      <c r="B26" s="388" t="s">
        <v>162</v>
      </c>
      <c r="C26" s="388"/>
      <c r="D26" s="490" t="s">
        <v>35</v>
      </c>
      <c r="E26" s="491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0"/>
        <v xml:space="preserve">BRAND 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5" customHeight="1">
      <c r="A27" s="28"/>
      <c r="B27" s="563"/>
      <c r="C27" s="362"/>
      <c r="D27" s="516"/>
      <c r="E27" s="517"/>
      <c r="F27" s="294"/>
      <c r="G27" s="294"/>
      <c r="H27" s="348"/>
      <c r="I27" s="29" t="s">
        <v>6</v>
      </c>
      <c r="J27" s="280">
        <f>AVERAGE(I10:I13)</f>
        <v>96.782177954911702</v>
      </c>
      <c r="K27" s="284">
        <f>COUNTA([24]Brewhouse!$A$914:$A$949)</f>
        <v>36</v>
      </c>
      <c r="L27" s="305">
        <f>AVERAGE([24]Brewhouse!$AU$914:$AU$949)</f>
        <v>97.203479088037312</v>
      </c>
      <c r="M27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$949)</f>
        <v>97.689949593018198</v>
      </c>
      <c r="N27" s="30">
        <v>98</v>
      </c>
      <c r="O27" s="11"/>
      <c r="P27" s="31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5" customHeight="1">
      <c r="A28" s="28"/>
      <c r="B28" s="564"/>
      <c r="C28" s="362"/>
      <c r="D28" s="518"/>
      <c r="E28" s="519"/>
      <c r="F28" s="294"/>
      <c r="G28" s="294"/>
      <c r="H28" s="348"/>
      <c r="I28" s="33" t="s">
        <v>9</v>
      </c>
      <c r="J28" s="280"/>
      <c r="K28" s="284">
        <f>COUNTA([25]Brewhouse!$A$449:$A$460)</f>
        <v>12</v>
      </c>
      <c r="L28" s="302">
        <f>AVERAGE([25]Brewhouse!$AS$449:$AS$460)</f>
        <v>98.317342070121057</v>
      </c>
      <c r="M28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$460)</f>
        <v>97.937185549118041</v>
      </c>
      <c r="N28" s="30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64"/>
      <c r="C29" s="362"/>
      <c r="D29" s="566"/>
      <c r="E29" s="567"/>
      <c r="F29" s="294"/>
      <c r="G29" s="294"/>
      <c r="H29" s="348"/>
      <c r="I29" s="34" t="s">
        <v>12</v>
      </c>
      <c r="J29" s="280"/>
      <c r="K29" s="284"/>
      <c r="L29" s="302"/>
      <c r="M29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64"/>
      <c r="C30" s="362"/>
      <c r="D30" s="531"/>
      <c r="E30" s="519"/>
      <c r="F30" s="294"/>
      <c r="G30" s="294"/>
      <c r="H30" s="348"/>
      <c r="I30" s="22" t="s">
        <v>33</v>
      </c>
      <c r="J30" s="280"/>
      <c r="K30" s="284">
        <f>COUNTA([23]Brewhouse!$A$97:$A$104)</f>
        <v>8</v>
      </c>
      <c r="L30" s="302">
        <f>AVERAGE([23]Brewhouse!$AV$97:$AV$104)</f>
        <v>98.419138016287462</v>
      </c>
      <c r="M30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7" ht="14.65" customHeight="1">
      <c r="A31" s="28"/>
      <c r="B31" s="564"/>
      <c r="C31" s="362"/>
      <c r="D31" s="566"/>
      <c r="E31" s="567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7" ht="14.65" customHeight="1">
      <c r="A32" s="28"/>
      <c r="B32" s="564"/>
      <c r="C32" s="362"/>
      <c r="D32" s="531"/>
      <c r="E32" s="519"/>
      <c r="F32" s="417"/>
      <c r="G32" s="294"/>
      <c r="H32" s="348"/>
      <c r="I32" s="36" t="s">
        <v>15</v>
      </c>
      <c r="J32" s="323"/>
      <c r="K32" s="284"/>
      <c r="L32" s="302"/>
      <c r="M32" s="302">
        <f>AVERAGE([27]Brewhouse!$AT$4:$AT$11,[27]Brewhouse!$AT$13:$AT$16,[27]Brewhouse!$AT$18:$AT$21,[27]Brewhouse!$AT$26,[27]Brewhouse!$AT$28:$AT$35)</f>
        <v>94.794664331624134</v>
      </c>
      <c r="N32" s="3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4.65" customHeight="1">
      <c r="A33" s="28"/>
      <c r="B33" s="564"/>
      <c r="C33" s="362"/>
      <c r="D33" s="566"/>
      <c r="E33" s="567"/>
      <c r="F33" s="417"/>
      <c r="G33" s="294"/>
      <c r="H33" s="348"/>
      <c r="I33" s="37" t="s">
        <v>16</v>
      </c>
      <c r="J33" s="323"/>
      <c r="K33" s="284">
        <f>COUNTA([22]Brewhouse!$A$94:$A$97)</f>
        <v>4</v>
      </c>
      <c r="L33" s="302">
        <f>AVERAGE([22]Brewhouse!$AY$94:$AY$97)</f>
        <v>95.326767995731288</v>
      </c>
      <c r="M33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3" s="30">
        <v>98</v>
      </c>
      <c r="O33" s="11"/>
      <c r="P33" s="31" t="s">
        <v>41</v>
      </c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4.65" customHeight="1">
      <c r="A34" s="28"/>
      <c r="B34" s="564"/>
      <c r="C34" s="362"/>
      <c r="D34" s="531"/>
      <c r="E34" s="519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AVERAGE([28]Brewhouse!$AU$5:$AU$8,[28]Brewhouse!$AU$10:$AU$13,[22]Brewhouse!$AY$75:$AY$77)</f>
        <v>94.749192473706671</v>
      </c>
      <c r="N34" s="30">
        <v>98</v>
      </c>
      <c r="O34" s="11"/>
      <c r="P34" s="31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4.65" customHeight="1">
      <c r="A35" s="28"/>
      <c r="B35" s="564"/>
      <c r="C35" s="349"/>
      <c r="D35" s="566"/>
      <c r="E35" s="567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5" customHeight="1" thickBot="1">
      <c r="A36" s="28"/>
      <c r="B36" s="564"/>
      <c r="C36" s="349"/>
      <c r="D36" s="531"/>
      <c r="E36" s="519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5" customHeight="1" thickBot="1">
      <c r="A37" s="28"/>
      <c r="B37" s="564"/>
      <c r="C37" s="349"/>
      <c r="D37" s="516"/>
      <c r="E37" s="517"/>
      <c r="F37" s="294"/>
      <c r="G37" s="294"/>
      <c r="H37" s="348"/>
      <c r="I37" s="1"/>
      <c r="J37" s="39"/>
      <c r="K37" s="404">
        <f>SUM(K27:K36)</f>
        <v>60</v>
      </c>
      <c r="L37" s="405">
        <f>((L27*K27)+(L28*K28)+(L29*K29)+(L30*K30)+(L31*K31)+(K34*L34)+(L32*K32)+(L33*K33)+(L36*K36))/(K37)</f>
        <v>97.463225468733668</v>
      </c>
      <c r="M37" s="405">
        <f>AVERAGE('[31]Jan 31st'!$L$65,'[32]Feb 28th'!$L$35,'[33]Mar. 31st'!$L$35,'[34]Apr. 30th'!$L$45,'[35]May 30th'!$L$37,'[36]June 30th'!$L$57,'[37]July 29th '!$L$44,'[38]Aug 29th'!$L$29,'[39]Sept 30th'!$L$35,L37)</f>
        <v>97.564272786555165</v>
      </c>
      <c r="N37" s="40">
        <v>98</v>
      </c>
      <c r="O37" s="11"/>
      <c r="P37" s="31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AA37" s="296"/>
    </row>
    <row r="38" spans="1:56" ht="15.75" thickBot="1">
      <c r="B38" s="570"/>
      <c r="C38" s="350"/>
      <c r="D38" s="518"/>
      <c r="E38" s="519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  <c r="AA38" s="296"/>
    </row>
    <row r="39" spans="1:56" ht="15.75" thickBot="1">
      <c r="B39" s="563"/>
      <c r="C39" s="362"/>
      <c r="D39" s="529"/>
      <c r="E39" s="530"/>
      <c r="F39" s="294"/>
      <c r="G39" s="42"/>
      <c r="H39" s="41"/>
      <c r="I39" s="42"/>
      <c r="J39" s="565" t="s">
        <v>129</v>
      </c>
      <c r="K39" s="565"/>
      <c r="L39" s="294"/>
      <c r="M39" s="294"/>
      <c r="N39" s="294"/>
      <c r="O39" s="294"/>
      <c r="P39" s="12"/>
    </row>
    <row r="40" spans="1:56" ht="15.75" thickBot="1">
      <c r="B40" s="564"/>
      <c r="C40" s="362"/>
      <c r="D40" s="531"/>
      <c r="E40" s="519"/>
      <c r="F40" s="294"/>
      <c r="G40" s="42"/>
      <c r="H40" s="41"/>
      <c r="I40" s="41"/>
      <c r="J40" s="292" t="s">
        <v>17</v>
      </c>
      <c r="K40" s="293" t="s">
        <v>147</v>
      </c>
      <c r="L40" s="533" t="s">
        <v>136</v>
      </c>
      <c r="M40" s="533"/>
      <c r="N40" s="534"/>
      <c r="O40" s="294"/>
      <c r="P40" s="12"/>
    </row>
    <row r="41" spans="1:56" ht="15" customHeight="1" thickBot="1">
      <c r="B41" s="564"/>
      <c r="C41" s="349"/>
      <c r="D41" s="566"/>
      <c r="E41" s="567"/>
      <c r="F41" s="294"/>
      <c r="G41" s="42"/>
      <c r="H41" s="41"/>
      <c r="I41" s="41"/>
      <c r="J41" s="287" t="s">
        <v>6</v>
      </c>
      <c r="K41" s="324">
        <v>4</v>
      </c>
      <c r="L41" s="343" t="s">
        <v>37</v>
      </c>
      <c r="M41" s="307" t="s">
        <v>38</v>
      </c>
      <c r="N41" s="307" t="s">
        <v>84</v>
      </c>
      <c r="O41" s="294"/>
      <c r="P41" s="12"/>
    </row>
    <row r="42" spans="1:56" ht="15.75" customHeight="1" thickBot="1">
      <c r="B42" s="564"/>
      <c r="C42" s="349"/>
      <c r="D42" s="531"/>
      <c r="E42" s="519"/>
      <c r="F42" s="294"/>
      <c r="G42" s="42"/>
      <c r="H42" s="41"/>
      <c r="I42" s="41"/>
      <c r="J42" s="345" t="s">
        <v>9</v>
      </c>
      <c r="K42" s="324"/>
      <c r="L42" s="344">
        <f>AVERAGE('Nov 11th'!K51,'Nov 10th'!K53,'Nov 6th '!K52,'Nov 7th-8th'!J55,'Nov 7th-8th'!K55,'Nov 4th'!K52,'Nov 5th'!K51,Nov.3rd!K52)</f>
        <v>7.5</v>
      </c>
      <c r="M42" s="325">
        <f>AVERAGE('[31]Jan 29th '!$M$70,'[32]Feb 28th'!$L$40,'[33]Mar. 31st'!$L$40,'[34]Apr. 30th'!$L$50,'[35]May 30th'!$L$42,'[36]June 30th'!$L$62,'[37]July 29th '!$L$49,'[38]Aug 29th'!$L$34,'[39]Sept 30th'!$L$40,[40]Oct.31st!$L$43,L42)</f>
        <v>7.1029733043463015</v>
      </c>
      <c r="N42" s="416">
        <v>9.1999999999999993</v>
      </c>
      <c r="O42" s="294"/>
      <c r="P42" s="12"/>
    </row>
    <row r="43" spans="1:56" ht="15" customHeight="1">
      <c r="B43" s="564"/>
      <c r="C43" s="349"/>
      <c r="D43" s="566"/>
      <c r="E43" s="567"/>
      <c r="F43" s="294"/>
      <c r="G43" s="42"/>
      <c r="H43" s="41"/>
      <c r="I43" s="41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64"/>
      <c r="C44" s="349"/>
      <c r="D44" s="531"/>
      <c r="E44" s="519"/>
      <c r="F44" s="294"/>
      <c r="G44" s="42"/>
      <c r="H44" s="41"/>
      <c r="I44" s="41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64"/>
      <c r="C45" s="349"/>
      <c r="D45" s="566"/>
      <c r="E45" s="567"/>
      <c r="F45" s="294"/>
      <c r="G45" s="42"/>
      <c r="H45" s="41"/>
      <c r="I45" s="41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64"/>
      <c r="C46" s="349"/>
      <c r="D46" s="531"/>
      <c r="E46" s="519"/>
      <c r="F46" s="294"/>
      <c r="G46" s="42"/>
      <c r="H46" s="41"/>
      <c r="I46" s="41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64"/>
      <c r="C47" s="349"/>
      <c r="D47" s="566"/>
      <c r="E47" s="567"/>
      <c r="F47" s="294"/>
      <c r="G47" s="42"/>
      <c r="H47" s="41"/>
      <c r="I47" s="41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84"/>
      <c r="C48" s="350"/>
      <c r="D48" s="568"/>
      <c r="E48" s="569"/>
      <c r="F48" s="294" t="s">
        <v>168</v>
      </c>
      <c r="G48" s="42"/>
      <c r="H48" s="41"/>
      <c r="I48" s="41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76"/>
      <c r="E49" s="577"/>
      <c r="F49" s="294"/>
      <c r="H49" s="41"/>
      <c r="I49" s="41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1"/>
      <c r="I50" s="41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1"/>
      <c r="I51" s="41"/>
      <c r="J51" s="346" t="s">
        <v>130</v>
      </c>
      <c r="K51" s="324">
        <f>SUM(K41:K50)</f>
        <v>4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41" t="s">
        <v>17</v>
      </c>
      <c r="C54" s="541" t="s">
        <v>44</v>
      </c>
      <c r="D54" s="543" t="s">
        <v>45</v>
      </c>
      <c r="E54" s="498" t="s">
        <v>46</v>
      </c>
      <c r="F54" s="558" t="s">
        <v>47</v>
      </c>
      <c r="G54" s="552" t="s">
        <v>48</v>
      </c>
      <c r="H54" s="541" t="s">
        <v>49</v>
      </c>
      <c r="I54" s="541" t="s">
        <v>50</v>
      </c>
      <c r="J54" s="546" t="s">
        <v>28</v>
      </c>
      <c r="K54" s="496" t="s">
        <v>51</v>
      </c>
      <c r="L54" s="508" t="s">
        <v>52</v>
      </c>
      <c r="M54" s="546" t="s">
        <v>53</v>
      </c>
      <c r="N54" s="13"/>
      <c r="O54" s="13"/>
      <c r="P54" s="50"/>
    </row>
    <row r="55" spans="2:57" ht="28.5" customHeight="1" thickTop="1" thickBot="1">
      <c r="B55" s="542"/>
      <c r="C55" s="542"/>
      <c r="D55" s="544"/>
      <c r="E55" s="545"/>
      <c r="F55" s="559"/>
      <c r="G55" s="553"/>
      <c r="H55" s="560"/>
      <c r="I55" s="560"/>
      <c r="J55" s="547"/>
      <c r="K55" s="556"/>
      <c r="L55" s="557"/>
      <c r="M55" s="547"/>
      <c r="N55" s="13"/>
      <c r="O55" s="13"/>
      <c r="P55" s="50"/>
      <c r="Q55" s="355"/>
      <c r="AB55" s="51">
        <v>43474</v>
      </c>
      <c r="AC55" s="51">
        <v>43475</v>
      </c>
      <c r="AD55" s="51">
        <v>43476</v>
      </c>
      <c r="AE55" s="51">
        <v>43477</v>
      </c>
      <c r="AF55" s="51">
        <v>43478</v>
      </c>
      <c r="AG55" s="51">
        <v>43479</v>
      </c>
      <c r="AH55" s="51">
        <v>43480</v>
      </c>
      <c r="AI55" s="51">
        <v>43481</v>
      </c>
      <c r="AJ55" s="51">
        <v>43482</v>
      </c>
      <c r="AK55" s="51">
        <v>43483</v>
      </c>
      <c r="AL55" s="51">
        <v>43484</v>
      </c>
      <c r="AM55" s="51">
        <v>43485</v>
      </c>
      <c r="AN55" s="51">
        <v>43486</v>
      </c>
      <c r="AO55" s="51">
        <v>43487</v>
      </c>
      <c r="AP55" s="51">
        <v>43488</v>
      </c>
      <c r="AQ55" s="51">
        <v>43489</v>
      </c>
      <c r="AR55" s="51">
        <v>43490</v>
      </c>
      <c r="AS55" s="51">
        <v>43491</v>
      </c>
      <c r="AT55" s="51">
        <v>43492</v>
      </c>
      <c r="AU55" s="51">
        <v>43493</v>
      </c>
      <c r="AV55" s="51">
        <v>43494</v>
      </c>
      <c r="AW55" s="51">
        <v>43495</v>
      </c>
      <c r="AX55" s="51">
        <v>43496</v>
      </c>
    </row>
    <row r="56" spans="2:57" s="54" customFormat="1" ht="43.15" customHeight="1" thickBot="1">
      <c r="B56" s="458"/>
      <c r="C56" s="442"/>
      <c r="D56" s="443"/>
      <c r="E56" s="444"/>
      <c r="F56" s="445"/>
      <c r="G56" s="445"/>
      <c r="H56" s="460"/>
      <c r="I56" s="460"/>
      <c r="J56" s="449"/>
      <c r="K56" s="450"/>
      <c r="L56" s="459" t="e">
        <f>(((D56+E56)-G56)/(D56+E56))*100</f>
        <v>#DIV/0!</v>
      </c>
      <c r="M56" s="456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20.45" hidden="1" customHeight="1" thickBot="1">
      <c r="B57" s="473"/>
      <c r="C57" s="431"/>
      <c r="D57" s="432"/>
      <c r="E57" s="433"/>
      <c r="F57" s="434"/>
      <c r="G57" s="435"/>
      <c r="H57" s="429"/>
      <c r="I57" s="429"/>
      <c r="J57" s="452"/>
      <c r="K57" s="437"/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450000000000003" hidden="1" customHeight="1" thickBot="1">
      <c r="B58" s="458"/>
      <c r="C58" s="442"/>
      <c r="D58" s="443"/>
      <c r="E58" s="444"/>
      <c r="F58" s="445"/>
      <c r="G58" s="446"/>
      <c r="H58" s="460"/>
      <c r="I58" s="460"/>
      <c r="J58" s="449"/>
      <c r="K58" s="462"/>
      <c r="L58" s="459" t="e">
        <f>(((D58+E58)-G58)/(D58+E58))*100</f>
        <v>#DIV/0!</v>
      </c>
      <c r="M58" s="456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.75" hidden="1" thickBot="1">
      <c r="B59" s="454"/>
      <c r="C59" s="431"/>
      <c r="D59" s="432"/>
      <c r="E59" s="433"/>
      <c r="F59" s="434"/>
      <c r="G59" s="435"/>
      <c r="H59" s="436"/>
      <c r="I59" s="451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61"/>
      <c r="C60" s="442"/>
      <c r="D60" s="443"/>
      <c r="E60" s="444"/>
      <c r="F60" s="445"/>
      <c r="G60" s="446"/>
      <c r="H60" s="447"/>
      <c r="I60" s="448"/>
      <c r="J60" s="449"/>
      <c r="K60" s="450"/>
      <c r="L60" s="459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customHeight="1" thickBot="1">
      <c r="B61" s="438"/>
      <c r="C61" s="424"/>
      <c r="D61" s="425"/>
      <c r="E61" s="426"/>
      <c r="F61" s="427"/>
      <c r="G61" s="428"/>
      <c r="H61" s="429"/>
      <c r="I61" s="439"/>
      <c r="J61" s="440"/>
      <c r="K61" s="430"/>
      <c r="L61" s="441"/>
      <c r="M61" s="423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61"/>
      <c r="C62" s="442"/>
      <c r="D62" s="443"/>
      <c r="E62" s="444"/>
      <c r="F62" s="445"/>
      <c r="G62" s="446"/>
      <c r="H62" s="447"/>
      <c r="I62" s="448"/>
      <c r="J62" s="449"/>
      <c r="K62" s="450"/>
      <c r="L62" s="459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70"/>
      <c r="C63" s="431"/>
      <c r="D63" s="464"/>
      <c r="E63" s="465"/>
      <c r="F63" s="466"/>
      <c r="G63" s="464"/>
      <c r="H63" s="467"/>
      <c r="I63" s="467"/>
      <c r="J63" s="467"/>
      <c r="K63" s="468"/>
      <c r="L63" s="469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48" t="s">
        <v>55</v>
      </c>
      <c r="C65" s="549"/>
      <c r="D65" s="549"/>
      <c r="E65" s="549"/>
      <c r="F65" s="550"/>
      <c r="G65" s="548" t="s">
        <v>56</v>
      </c>
      <c r="H65" s="549"/>
      <c r="I65" s="549"/>
      <c r="J65" s="550"/>
      <c r="K65" s="548" t="s">
        <v>51</v>
      </c>
      <c r="L65" s="549"/>
      <c r="M65" s="549"/>
      <c r="N65" s="551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/>
      <c r="D67" s="76">
        <v>8.0869492795869018</v>
      </c>
      <c r="E67" s="76">
        <v>6.1278629630390187</v>
      </c>
      <c r="F67" s="66">
        <v>4.8</v>
      </c>
      <c r="G67" s="65"/>
      <c r="H67" s="76">
        <v>10.078489309325498</v>
      </c>
      <c r="I67" s="76">
        <v>6.1392031479265743</v>
      </c>
      <c r="J67" s="66">
        <v>4.8</v>
      </c>
      <c r="K67" s="67"/>
      <c r="L67" s="194">
        <v>0.48804093567251461</v>
      </c>
      <c r="M67" s="194">
        <v>0.70822006817643735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5.1671214188267509</v>
      </c>
      <c r="E68" s="76">
        <v>5.7344696924419472</v>
      </c>
      <c r="F68" s="66">
        <v>4.8</v>
      </c>
      <c r="G68" s="65"/>
      <c r="H68" s="76">
        <v>3.8690868488751016</v>
      </c>
      <c r="I68" s="76">
        <v>6.3491977772279</v>
      </c>
      <c r="J68" s="66">
        <v>4.8</v>
      </c>
      <c r="K68" s="67"/>
      <c r="L68" s="194">
        <v>0.48780701754385969</v>
      </c>
      <c r="M68" s="194">
        <v>0.65340260538294603</v>
      </c>
      <c r="N68" s="68">
        <v>1</v>
      </c>
      <c r="P68" s="69"/>
    </row>
    <row r="69" spans="2:16" ht="15">
      <c r="B69" s="34" t="s">
        <v>40</v>
      </c>
      <c r="C69" s="65"/>
      <c r="D69" s="76">
        <v>6.2500000000000053</v>
      </c>
      <c r="E69" s="76">
        <v>10.839987110172206</v>
      </c>
      <c r="F69" s="66">
        <v>5.5</v>
      </c>
      <c r="G69" s="65"/>
      <c r="H69" s="76">
        <v>6.2847885309849998</v>
      </c>
      <c r="I69" s="76">
        <v>12.456668215153922</v>
      </c>
      <c r="J69" s="66">
        <v>5.5</v>
      </c>
      <c r="K69" s="67"/>
      <c r="L69" s="194">
        <v>0.31052631578947371</v>
      </c>
      <c r="M69" s="194">
        <v>0.5063309636650869</v>
      </c>
      <c r="N69" s="68">
        <v>1</v>
      </c>
      <c r="P69" s="69"/>
    </row>
    <row r="70" spans="2:16" ht="15">
      <c r="B70" s="22" t="s">
        <v>33</v>
      </c>
      <c r="C70" s="65"/>
      <c r="D70" s="76">
        <v>3.7833827893175105</v>
      </c>
      <c r="E70" s="76">
        <v>4.6226456706805745</v>
      </c>
      <c r="F70" s="66">
        <v>3.3</v>
      </c>
      <c r="G70" s="65"/>
      <c r="H70" s="76">
        <v>3.7421885632627285</v>
      </c>
      <c r="I70" s="76">
        <v>4.4171317623593813</v>
      </c>
      <c r="J70" s="66">
        <v>3.3</v>
      </c>
      <c r="K70" s="67"/>
      <c r="L70" s="194">
        <v>0.68263157894736837</v>
      </c>
      <c r="M70" s="194">
        <v>0.83111215538847116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>
        <v>7.837301587301579</v>
      </c>
      <c r="F71" s="66">
        <v>3.3</v>
      </c>
      <c r="G71" s="282"/>
      <c r="H71" s="76"/>
      <c r="I71" s="76">
        <v>5.3377569154690221</v>
      </c>
      <c r="J71" s="66">
        <v>3</v>
      </c>
      <c r="K71" s="67"/>
      <c r="L71" s="194"/>
      <c r="M71" s="194">
        <v>0.32596491228070179</v>
      </c>
      <c r="N71" s="68">
        <v>1</v>
      </c>
      <c r="P71" s="69"/>
    </row>
    <row r="72" spans="2:16" ht="15">
      <c r="B72" s="36" t="s">
        <v>15</v>
      </c>
      <c r="C72" s="65"/>
      <c r="D72" s="76"/>
      <c r="E72" s="76">
        <v>6.8851328044153277</v>
      </c>
      <c r="F72" s="70">
        <f>[21]May_2022!$M$43</f>
        <v>3.4878406700073312</v>
      </c>
      <c r="G72" s="282"/>
      <c r="H72" s="76"/>
      <c r="I72" s="76">
        <v>8.6614709463340702</v>
      </c>
      <c r="J72" s="66">
        <v>5.5</v>
      </c>
      <c r="K72" s="67"/>
      <c r="L72" s="194"/>
      <c r="M72" s="194">
        <v>0.73160818713450293</v>
      </c>
      <c r="N72" s="68">
        <v>1</v>
      </c>
      <c r="P72" s="69"/>
    </row>
    <row r="73" spans="2:16" ht="15">
      <c r="B73" s="37" t="s">
        <v>16</v>
      </c>
      <c r="C73" s="65"/>
      <c r="D73" s="76">
        <v>2.6328862394436081</v>
      </c>
      <c r="E73" s="76">
        <v>2.9297033255778997</v>
      </c>
      <c r="F73" s="66">
        <v>3.3</v>
      </c>
      <c r="G73" s="282"/>
      <c r="H73" s="76">
        <v>2.6328862394435983</v>
      </c>
      <c r="I73" s="76">
        <v>4.2684292436723528</v>
      </c>
      <c r="J73" s="66">
        <v>3.3</v>
      </c>
      <c r="K73" s="67"/>
      <c r="L73" s="194">
        <v>0.68771929824561406</v>
      </c>
      <c r="M73" s="194">
        <v>0.84660147761842675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>
        <v>11.483253588516746</v>
      </c>
      <c r="F74" s="66">
        <v>7.5</v>
      </c>
      <c r="G74" s="282"/>
      <c r="H74" s="76"/>
      <c r="I74" s="76">
        <v>9.7934336121043764</v>
      </c>
      <c r="J74" s="66">
        <v>7.5</v>
      </c>
      <c r="K74" s="67"/>
      <c r="M74" s="194">
        <v>0.32456140350877194</v>
      </c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>
        <v>7.2653644592663174</v>
      </c>
      <c r="F75" s="66">
        <v>4.8</v>
      </c>
      <c r="G75" s="282"/>
      <c r="H75" s="76"/>
      <c r="I75" s="76">
        <v>8.1715311054411259</v>
      </c>
      <c r="J75" s="66">
        <v>4.8</v>
      </c>
      <c r="K75" s="67"/>
      <c r="L75" s="194"/>
      <c r="M75" s="194">
        <v>0.51368421052631585</v>
      </c>
      <c r="N75" s="71">
        <v>1</v>
      </c>
      <c r="O75" s="74"/>
      <c r="P75" s="75"/>
    </row>
    <row r="76" spans="2:16" ht="15">
      <c r="D76" s="76">
        <v>6.1899597149054921</v>
      </c>
      <c r="E76" s="76">
        <v>6.1248098251859906</v>
      </c>
      <c r="F76" s="341">
        <v>5.5</v>
      </c>
      <c r="H76" s="76">
        <v>5.7577728047826016</v>
      </c>
      <c r="I76" s="76">
        <v>6.6256281383537248</v>
      </c>
      <c r="J76" s="341">
        <v>5.5</v>
      </c>
      <c r="L76" s="194">
        <v>0.52412768031189083</v>
      </c>
      <c r="M76" s="194">
        <v>0.68525121963361213</v>
      </c>
      <c r="N7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5:F65"/>
    <mergeCell ref="G65:J65"/>
    <mergeCell ref="K65:N65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2772" priority="17" operator="notBetween">
      <formula>#REF!</formula>
      <formula>#REF!</formula>
    </cfRule>
  </conditionalFormatting>
  <conditionalFormatting sqref="C53">
    <cfRule type="cellIs" dxfId="2771" priority="181" stopIfTrue="1" operator="greaterThan">
      <formula>100</formula>
    </cfRule>
    <cfRule type="cellIs" dxfId="2770" priority="180" stopIfTrue="1" operator="lessThan">
      <formula>96</formula>
    </cfRule>
  </conditionalFormatting>
  <conditionalFormatting sqref="C67:C71">
    <cfRule type="cellIs" dxfId="2769" priority="134" stopIfTrue="1" operator="lessThanOrEqual">
      <formula>0</formula>
    </cfRule>
  </conditionalFormatting>
  <conditionalFormatting sqref="C67:C75">
    <cfRule type="cellIs" dxfId="2768" priority="133" stopIfTrue="1" operator="greaterThan">
      <formula>$F67</formula>
    </cfRule>
  </conditionalFormatting>
  <conditionalFormatting sqref="C68">
    <cfRule type="cellIs" dxfId="2767" priority="184" stopIfTrue="1" operator="greaterThan">
      <formula>$F67</formula>
    </cfRule>
  </conditionalFormatting>
  <conditionalFormatting sqref="C72">
    <cfRule type="cellIs" dxfId="2766" priority="74" stopIfTrue="1" operator="greaterThan">
      <formula>$F71</formula>
    </cfRule>
    <cfRule type="cellIs" dxfId="2765" priority="73" stopIfTrue="1" operator="lessThanOrEqual">
      <formula>0</formula>
    </cfRule>
  </conditionalFormatting>
  <conditionalFormatting sqref="C78:C82">
    <cfRule type="cellIs" dxfId="2764" priority="172" stopIfTrue="1" operator="lessThanOrEqual">
      <formula>0</formula>
    </cfRule>
  </conditionalFormatting>
  <conditionalFormatting sqref="C79:C82">
    <cfRule type="cellIs" dxfId="2763" priority="171" stopIfTrue="1" operator="greaterThan">
      <formula>$F$78</formula>
    </cfRule>
  </conditionalFormatting>
  <conditionalFormatting sqref="C84">
    <cfRule type="cellIs" dxfId="2762" priority="173" stopIfTrue="1" operator="greaterThan">
      <formula>$F$78</formula>
    </cfRule>
    <cfRule type="cellIs" dxfId="2761" priority="174" stopIfTrue="1" operator="lessThanOrEqual">
      <formula>0</formula>
    </cfRule>
  </conditionalFormatting>
  <conditionalFormatting sqref="C78:D78 D80:D86">
    <cfRule type="cellIs" dxfId="2760" priority="166" stopIfTrue="1" operator="greaterThan">
      <formula>4.5</formula>
    </cfRule>
  </conditionalFormatting>
  <conditionalFormatting sqref="D49:D50">
    <cfRule type="cellIs" dxfId="2759" priority="18" operator="notBetween">
      <formula>#REF!</formula>
      <formula>#REF!</formula>
    </cfRule>
  </conditionalFormatting>
  <conditionalFormatting sqref="D67:D74">
    <cfRule type="cellIs" dxfId="2758" priority="146" stopIfTrue="1" operator="lessThanOrEqual">
      <formula>0</formula>
    </cfRule>
  </conditionalFormatting>
  <conditionalFormatting sqref="D75">
    <cfRule type="cellIs" dxfId="2757" priority="145" stopIfTrue="1" operator="lessThanOrEqual">
      <formula>0</formula>
    </cfRule>
  </conditionalFormatting>
  <conditionalFormatting sqref="D78 D80:D86">
    <cfRule type="cellIs" dxfId="2756" priority="167" stopIfTrue="1" operator="lessThanOrEqual">
      <formula>0</formula>
    </cfRule>
  </conditionalFormatting>
  <conditionalFormatting sqref="D79">
    <cfRule type="cellIs" dxfId="2755" priority="158" stopIfTrue="1" operator="greaterThan">
      <formula>$F$78</formula>
    </cfRule>
    <cfRule type="cellIs" dxfId="2754" priority="159" stopIfTrue="1" operator="lessThanOrEqual">
      <formula>0</formula>
    </cfRule>
  </conditionalFormatting>
  <conditionalFormatting sqref="D67:E76">
    <cfRule type="cellIs" dxfId="2753" priority="131" stopIfTrue="1" operator="greaterThan">
      <formula>$F67</formula>
    </cfRule>
  </conditionalFormatting>
  <conditionalFormatting sqref="D76:E76">
    <cfRule type="cellIs" dxfId="2752" priority="132" stopIfTrue="1" operator="lessThanOrEqual">
      <formula>0</formula>
    </cfRule>
  </conditionalFormatting>
  <conditionalFormatting sqref="E10:E24">
    <cfRule type="cellIs" dxfId="2751" priority="6" operator="lessThan">
      <formula>48</formula>
    </cfRule>
  </conditionalFormatting>
  <conditionalFormatting sqref="E52 E53:F53">
    <cfRule type="cellIs" dxfId="2750" priority="163" stopIfTrue="1" operator="greaterThan">
      <formula>100</formula>
    </cfRule>
  </conditionalFormatting>
  <conditionalFormatting sqref="E53">
    <cfRule type="cellIs" dxfId="2749" priority="161" stopIfTrue="1" operator="greaterThan">
      <formula>100</formula>
    </cfRule>
    <cfRule type="cellIs" dxfId="2748" priority="160" stopIfTrue="1" operator="lessThan">
      <formula>96.8</formula>
    </cfRule>
  </conditionalFormatting>
  <conditionalFormatting sqref="E67:E75">
    <cfRule type="cellIs" dxfId="2747" priority="142" stopIfTrue="1" operator="lessThanOrEqual">
      <formula>0</formula>
    </cfRule>
  </conditionalFormatting>
  <conditionalFormatting sqref="E78:E86">
    <cfRule type="cellIs" dxfId="2746" priority="152" stopIfTrue="1" operator="greaterThan">
      <formula>4.5</formula>
    </cfRule>
    <cfRule type="cellIs" dxfId="2745" priority="153" stopIfTrue="1" operator="lessThanOrEqual">
      <formula>0</formula>
    </cfRule>
  </conditionalFormatting>
  <conditionalFormatting sqref="E53:F53 E52">
    <cfRule type="cellIs" dxfId="2744" priority="162" stopIfTrue="1" operator="lessThan">
      <formula>96.5</formula>
    </cfRule>
  </conditionalFormatting>
  <conditionalFormatting sqref="F10:F24">
    <cfRule type="cellIs" dxfId="2743" priority="7" operator="greaterThan">
      <formula>60</formula>
    </cfRule>
  </conditionalFormatting>
  <conditionalFormatting sqref="F53">
    <cfRule type="cellIs" dxfId="2742" priority="178" stopIfTrue="1" operator="lessThan">
      <formula>96.8</formula>
    </cfRule>
    <cfRule type="cellIs" dxfId="2741" priority="179" stopIfTrue="1" operator="greaterThan">
      <formula>100</formula>
    </cfRule>
  </conditionalFormatting>
  <conditionalFormatting sqref="F76">
    <cfRule type="cellIs" dxfId="2740" priority="144" stopIfTrue="1" operator="lessThanOrEqual">
      <formula>0</formula>
    </cfRule>
    <cfRule type="cellIs" dxfId="2739" priority="143" stopIfTrue="1" operator="greaterThan">
      <formula>$F76</formula>
    </cfRule>
  </conditionalFormatting>
  <conditionalFormatting sqref="G10:G18">
    <cfRule type="expression" dxfId="2738" priority="11">
      <formula>IF(+(IF(G10&lt;S10,0,IF(G10&gt;T10,0,1)))=0,1)</formula>
    </cfRule>
  </conditionalFormatting>
  <conditionalFormatting sqref="G67:G68 C73:C75">
    <cfRule type="cellIs" dxfId="2737" priority="148" stopIfTrue="1" operator="lessThanOrEqual">
      <formula>0</formula>
    </cfRule>
  </conditionalFormatting>
  <conditionalFormatting sqref="G67:G68">
    <cfRule type="cellIs" dxfId="2736" priority="135" stopIfTrue="1" operator="greaterThan">
      <formula>$F67</formula>
    </cfRule>
    <cfRule type="cellIs" dxfId="2735" priority="136" stopIfTrue="1" operator="lessThanOrEqual">
      <formula>0</formula>
    </cfRule>
    <cfRule type="cellIs" dxfId="2734" priority="147" stopIfTrue="1" operator="greaterThan">
      <formula>$F67</formula>
    </cfRule>
  </conditionalFormatting>
  <conditionalFormatting sqref="G69">
    <cfRule type="cellIs" dxfId="2733" priority="183" stopIfTrue="1" operator="lessThanOrEqual">
      <formula>0</formula>
    </cfRule>
    <cfRule type="cellIs" dxfId="2732" priority="182" stopIfTrue="1" operator="greaterThan">
      <formula>$F68</formula>
    </cfRule>
  </conditionalFormatting>
  <conditionalFormatting sqref="G70">
    <cfRule type="cellIs" dxfId="2731" priority="16" stopIfTrue="1" operator="lessThanOrEqual">
      <formula>0</formula>
    </cfRule>
    <cfRule type="cellIs" dxfId="2730" priority="15" stopIfTrue="1" operator="greaterThan">
      <formula>$F70</formula>
    </cfRule>
    <cfRule type="cellIs" dxfId="2729" priority="14" stopIfTrue="1" operator="lessThanOrEqual">
      <formula>0</formula>
    </cfRule>
    <cfRule type="cellIs" dxfId="2728" priority="13" stopIfTrue="1" operator="greaterThan">
      <formula>$F70</formula>
    </cfRule>
  </conditionalFormatting>
  <conditionalFormatting sqref="G71:G75">
    <cfRule type="cellIs" dxfId="2727" priority="150" stopIfTrue="1" operator="lessThanOrEqual">
      <formula>0</formula>
    </cfRule>
    <cfRule type="cellIs" dxfId="2726" priority="149" stopIfTrue="1" operator="greaterThan">
      <formula>$J71</formula>
    </cfRule>
  </conditionalFormatting>
  <conditionalFormatting sqref="G80:G85 C83 C85">
    <cfRule type="cellIs" dxfId="2725" priority="176" stopIfTrue="1" operator="lessThanOrEqual">
      <formula>0</formula>
    </cfRule>
    <cfRule type="cellIs" dxfId="2724" priority="175" stopIfTrue="1" operator="greaterThan">
      <formula>4.5</formula>
    </cfRule>
  </conditionalFormatting>
  <conditionalFormatting sqref="G79:H79">
    <cfRule type="cellIs" dxfId="2723" priority="156" stopIfTrue="1" operator="greaterThan">
      <formula>$F$78</formula>
    </cfRule>
    <cfRule type="cellIs" dxfId="2722" priority="157" stopIfTrue="1" operator="lessThanOrEqual">
      <formula>0</formula>
    </cfRule>
  </conditionalFormatting>
  <conditionalFormatting sqref="H38:H52 I40:I51">
    <cfRule type="cellIs" dxfId="2721" priority="154" stopIfTrue="1" operator="greaterThan">
      <formula>0</formula>
    </cfRule>
  </conditionalFormatting>
  <conditionalFormatting sqref="H56">
    <cfRule type="cellIs" dxfId="2720" priority="43" stopIfTrue="1" operator="greaterThan">
      <formula>$F$69</formula>
    </cfRule>
    <cfRule type="cellIs" dxfId="2719" priority="42" stopIfTrue="1" operator="lessThanOrEqual">
      <formula>0</formula>
    </cfRule>
    <cfRule type="cellIs" dxfId="2718" priority="51" stopIfTrue="1" operator="greaterThan">
      <formula>$F$72</formula>
    </cfRule>
    <cfRule type="cellIs" dxfId="2717" priority="52" stopIfTrue="1" operator="lessThanOrEqual">
      <formula>0</formula>
    </cfRule>
    <cfRule type="cellIs" dxfId="2716" priority="54" stopIfTrue="1" operator="lessThanOrEqual">
      <formula>0</formula>
    </cfRule>
    <cfRule type="cellIs" dxfId="2715" priority="53" stopIfTrue="1" operator="greaterThan">
      <formula>$F$70</formula>
    </cfRule>
  </conditionalFormatting>
  <conditionalFormatting sqref="H57">
    <cfRule type="cellIs" dxfId="2714" priority="91" stopIfTrue="1" operator="greaterThan">
      <formula>#REF!</formula>
    </cfRule>
    <cfRule type="cellIs" dxfId="2713" priority="90" stopIfTrue="1" operator="lessThanOrEqual">
      <formula>0</formula>
    </cfRule>
    <cfRule type="cellIs" dxfId="2712" priority="99" stopIfTrue="1" operator="greaterThan">
      <formula>$F$25</formula>
    </cfRule>
    <cfRule type="cellIs" dxfId="2711" priority="102" stopIfTrue="1" operator="lessThanOrEqual">
      <formula>0</formula>
    </cfRule>
    <cfRule type="cellIs" dxfId="2710" priority="101" stopIfTrue="1" operator="greaterThan">
      <formula>#REF!</formula>
    </cfRule>
    <cfRule type="cellIs" dxfId="2709" priority="100" stopIfTrue="1" operator="lessThanOrEqual">
      <formula>0</formula>
    </cfRule>
  </conditionalFormatting>
  <conditionalFormatting sqref="H58">
    <cfRule type="cellIs" dxfId="2708" priority="58" stopIfTrue="1" operator="lessThanOrEqual">
      <formula>0</formula>
    </cfRule>
    <cfRule type="cellIs" dxfId="2707" priority="59" stopIfTrue="1" operator="greaterThan">
      <formula>$F$68</formula>
    </cfRule>
    <cfRule type="cellIs" dxfId="2706" priority="67" stopIfTrue="1" operator="greaterThan">
      <formula>$F$71</formula>
    </cfRule>
    <cfRule type="cellIs" dxfId="2705" priority="70" stopIfTrue="1" operator="lessThanOrEqual">
      <formula>0</formula>
    </cfRule>
    <cfRule type="cellIs" dxfId="2704" priority="69" stopIfTrue="1" operator="greaterThan">
      <formula>$F$69</formula>
    </cfRule>
    <cfRule type="cellIs" dxfId="2703" priority="68" stopIfTrue="1" operator="lessThanOrEqual">
      <formula>0</formula>
    </cfRule>
  </conditionalFormatting>
  <conditionalFormatting sqref="H59:H60">
    <cfRule type="cellIs" dxfId="2702" priority="76" stopIfTrue="1" operator="lessThanOrEqual">
      <formula>0</formula>
    </cfRule>
    <cfRule type="cellIs" dxfId="2701" priority="77" stopIfTrue="1" operator="greaterThan">
      <formula>#REF!</formula>
    </cfRule>
    <cfRule type="cellIs" dxfId="2700" priority="85" stopIfTrue="1" operator="greaterThan">
      <formula>$F$24</formula>
    </cfRule>
    <cfRule type="cellIs" dxfId="2699" priority="86" stopIfTrue="1" operator="lessThanOrEqual">
      <formula>0</formula>
    </cfRule>
    <cfRule type="cellIs" dxfId="2698" priority="87" stopIfTrue="1" operator="greaterThan">
      <formula>#REF!</formula>
    </cfRule>
    <cfRule type="cellIs" dxfId="2697" priority="88" stopIfTrue="1" operator="lessThanOrEqual">
      <formula>0</formula>
    </cfRule>
  </conditionalFormatting>
  <conditionalFormatting sqref="H61">
    <cfRule type="cellIs" dxfId="2696" priority="116" stopIfTrue="1" operator="greaterThan">
      <formula>$F$38</formula>
    </cfRule>
    <cfRule type="cellIs" dxfId="2695" priority="117" stopIfTrue="1" operator="lessThanOrEqual">
      <formula>0</formula>
    </cfRule>
    <cfRule type="cellIs" dxfId="2694" priority="106" stopIfTrue="1" operator="greaterThan">
      <formula>$F$37</formula>
    </cfRule>
    <cfRule type="cellIs" dxfId="2693" priority="105" stopIfTrue="1" operator="lessThanOrEqual">
      <formula>0</formula>
    </cfRule>
    <cfRule type="cellIs" dxfId="2692" priority="114" stopIfTrue="1" operator="greaterThan">
      <formula>$F$40</formula>
    </cfRule>
    <cfRule type="cellIs" dxfId="2691" priority="115" stopIfTrue="1" operator="lessThanOrEqual">
      <formula>0</formula>
    </cfRule>
  </conditionalFormatting>
  <conditionalFormatting sqref="H62:H63">
    <cfRule type="cellIs" dxfId="2690" priority="40" stopIfTrue="1" operator="lessThanOrEqual">
      <formula>0</formula>
    </cfRule>
    <cfRule type="cellIs" dxfId="2689" priority="39" stopIfTrue="1" operator="greaterThan">
      <formula>#REF!</formula>
    </cfRule>
    <cfRule type="cellIs" dxfId="2688" priority="38" stopIfTrue="1" operator="lessThanOrEqual">
      <formula>0</formula>
    </cfRule>
    <cfRule type="cellIs" dxfId="2687" priority="37" stopIfTrue="1" operator="greaterThan">
      <formula>$F$24</formula>
    </cfRule>
    <cfRule type="cellIs" dxfId="2686" priority="29" stopIfTrue="1" operator="greaterThan">
      <formula>#REF!</formula>
    </cfRule>
    <cfRule type="cellIs" dxfId="2685" priority="28" stopIfTrue="1" operator="lessThanOrEqual">
      <formula>0</formula>
    </cfRule>
  </conditionalFormatting>
  <conditionalFormatting sqref="H67:H74">
    <cfRule type="cellIs" dxfId="2684" priority="138" stopIfTrue="1" operator="lessThanOrEqual">
      <formula>0</formula>
    </cfRule>
    <cfRule type="cellIs" dxfId="2683" priority="137" stopIfTrue="1" operator="greaterThan">
      <formula>$J67</formula>
    </cfRule>
  </conditionalFormatting>
  <conditionalFormatting sqref="H75">
    <cfRule type="cellIs" dxfId="2682" priority="139" operator="greaterThan">
      <formula>5.3</formula>
    </cfRule>
  </conditionalFormatting>
  <conditionalFormatting sqref="H78 H80:H86">
    <cfRule type="cellIs" dxfId="2681" priority="168" stopIfTrue="1" operator="greaterThan">
      <formula>4.5</formula>
    </cfRule>
    <cfRule type="cellIs" dxfId="2680" priority="169" stopIfTrue="1" operator="lessThanOrEqual">
      <formula>0</formula>
    </cfRule>
  </conditionalFormatting>
  <conditionalFormatting sqref="H56:I56">
    <cfRule type="cellIs" dxfId="2679" priority="41" stopIfTrue="1" operator="greaterThan">
      <formula>$F$71</formula>
    </cfRule>
    <cfRule type="cellIs" dxfId="2678" priority="44" stopIfTrue="1" operator="lessThanOrEqual">
      <formula>0</formula>
    </cfRule>
  </conditionalFormatting>
  <conditionalFormatting sqref="H57:I57">
    <cfRule type="cellIs" dxfId="2677" priority="92" stopIfTrue="1" operator="lessThanOrEqual">
      <formula>0</formula>
    </cfRule>
    <cfRule type="cellIs" dxfId="2676" priority="89" stopIfTrue="1" operator="greaterThan">
      <formula>$F$24</formula>
    </cfRule>
  </conditionalFormatting>
  <conditionalFormatting sqref="H58:I58">
    <cfRule type="cellIs" dxfId="2675" priority="57" stopIfTrue="1" operator="greaterThan">
      <formula>$F$70</formula>
    </cfRule>
    <cfRule type="cellIs" dxfId="2674" priority="60" stopIfTrue="1" operator="lessThanOrEqual">
      <formula>0</formula>
    </cfRule>
  </conditionalFormatting>
  <conditionalFormatting sqref="H59:I60">
    <cfRule type="cellIs" dxfId="2673" priority="78" stopIfTrue="1" operator="lessThanOrEqual">
      <formula>0</formula>
    </cfRule>
    <cfRule type="cellIs" dxfId="2672" priority="75" stopIfTrue="1" operator="greaterThan">
      <formula>#REF!</formula>
    </cfRule>
  </conditionalFormatting>
  <conditionalFormatting sqref="H61:I61">
    <cfRule type="cellIs" dxfId="2671" priority="107" stopIfTrue="1" operator="lessThanOrEqual">
      <formula>0</formula>
    </cfRule>
    <cfRule type="cellIs" dxfId="2670" priority="104" stopIfTrue="1" operator="greaterThan">
      <formula>$F$39</formula>
    </cfRule>
  </conditionalFormatting>
  <conditionalFormatting sqref="H62:I63">
    <cfRule type="cellIs" dxfId="2669" priority="30" stopIfTrue="1" operator="lessThanOrEqual">
      <formula>0</formula>
    </cfRule>
    <cfRule type="cellIs" dxfId="2668" priority="27" stopIfTrue="1" operator="greaterThan">
      <formula>#REF!</formula>
    </cfRule>
  </conditionalFormatting>
  <conditionalFormatting sqref="H76:I76">
    <cfRule type="cellIs" dxfId="2667" priority="130" stopIfTrue="1" operator="lessThanOrEqual">
      <formula>0</formula>
    </cfRule>
    <cfRule type="cellIs" dxfId="2666" priority="129" stopIfTrue="1" operator="greaterThan">
      <formula>$J76</formula>
    </cfRule>
  </conditionalFormatting>
  <conditionalFormatting sqref="I56">
    <cfRule type="cellIs" dxfId="2665" priority="46" stopIfTrue="1" operator="lessThanOrEqual">
      <formula>0</formula>
    </cfRule>
    <cfRule type="cellIs" dxfId="2664" priority="47" stopIfTrue="1" operator="greaterThan">
      <formula>$F$71</formula>
    </cfRule>
    <cfRule type="cellIs" dxfId="2663" priority="49" stopIfTrue="1" operator="greaterThan">
      <formula>$F$69</formula>
    </cfRule>
    <cfRule type="cellIs" dxfId="2662" priority="50" stopIfTrue="1" operator="lessThanOrEqual">
      <formula>0</formula>
    </cfRule>
    <cfRule type="cellIs" dxfId="2661" priority="45" stopIfTrue="1" operator="greaterThan">
      <formula>$F$69</formula>
    </cfRule>
    <cfRule type="cellIs" dxfId="2660" priority="48" stopIfTrue="1" operator="lessThanOrEqual">
      <formula>0</formula>
    </cfRule>
  </conditionalFormatting>
  <conditionalFormatting sqref="I57">
    <cfRule type="cellIs" dxfId="2659" priority="93" stopIfTrue="1" operator="greaterThan">
      <formula>#REF!</formula>
    </cfRule>
    <cfRule type="cellIs" dxfId="2658" priority="98" stopIfTrue="1" operator="lessThanOrEqual">
      <formula>0</formula>
    </cfRule>
    <cfRule type="cellIs" dxfId="2657" priority="97" stopIfTrue="1" operator="greaterThan">
      <formula>#REF!</formula>
    </cfRule>
    <cfRule type="cellIs" dxfId="2656" priority="96" stopIfTrue="1" operator="lessThanOrEqual">
      <formula>0</formula>
    </cfRule>
    <cfRule type="cellIs" dxfId="2655" priority="95" stopIfTrue="1" operator="greaterThan">
      <formula>$F$24</formula>
    </cfRule>
    <cfRule type="cellIs" dxfId="2654" priority="94" stopIfTrue="1" operator="lessThanOrEqual">
      <formula>0</formula>
    </cfRule>
  </conditionalFormatting>
  <conditionalFormatting sqref="I58">
    <cfRule type="cellIs" dxfId="2653" priority="63" stopIfTrue="1" operator="greaterThan">
      <formula>$F$70</formula>
    </cfRule>
    <cfRule type="cellIs" dxfId="2652" priority="62" stopIfTrue="1" operator="lessThanOrEqual">
      <formula>0</formula>
    </cfRule>
    <cfRule type="cellIs" dxfId="2651" priority="61" stopIfTrue="1" operator="greaterThan">
      <formula>$F$68</formula>
    </cfRule>
    <cfRule type="cellIs" dxfId="2650" priority="66" stopIfTrue="1" operator="lessThanOrEqual">
      <formula>0</formula>
    </cfRule>
    <cfRule type="cellIs" dxfId="2649" priority="65" stopIfTrue="1" operator="greaterThan">
      <formula>$F$68</formula>
    </cfRule>
    <cfRule type="cellIs" dxfId="2648" priority="64" stopIfTrue="1" operator="lessThanOrEqual">
      <formula>0</formula>
    </cfRule>
  </conditionalFormatting>
  <conditionalFormatting sqref="I59:I60">
    <cfRule type="cellIs" dxfId="2647" priority="79" stopIfTrue="1" operator="greaterThan">
      <formula>#REF!</formula>
    </cfRule>
    <cfRule type="cellIs" dxfId="2646" priority="84" stopIfTrue="1" operator="lessThanOrEqual">
      <formula>0</formula>
    </cfRule>
    <cfRule type="cellIs" dxfId="2645" priority="83" stopIfTrue="1" operator="greaterThan">
      <formula>#REF!</formula>
    </cfRule>
    <cfRule type="cellIs" dxfId="2644" priority="82" stopIfTrue="1" operator="lessThanOrEqual">
      <formula>0</formula>
    </cfRule>
    <cfRule type="cellIs" dxfId="2643" priority="81" stopIfTrue="1" operator="greaterThan">
      <formula>#REF!</formula>
    </cfRule>
    <cfRule type="cellIs" dxfId="2642" priority="80" stopIfTrue="1" operator="lessThanOrEqual">
      <formula>0</formula>
    </cfRule>
  </conditionalFormatting>
  <conditionalFormatting sqref="I61">
    <cfRule type="cellIs" dxfId="2641" priority="113" stopIfTrue="1" operator="lessThanOrEqual">
      <formula>0</formula>
    </cfRule>
    <cfRule type="cellIs" dxfId="2640" priority="108" stopIfTrue="1" operator="greaterThan">
      <formula>$F$37</formula>
    </cfRule>
    <cfRule type="cellIs" dxfId="2639" priority="109" stopIfTrue="1" operator="lessThanOrEqual">
      <formula>0</formula>
    </cfRule>
    <cfRule type="cellIs" dxfId="2638" priority="110" stopIfTrue="1" operator="greaterThan">
      <formula>$F$39</formula>
    </cfRule>
    <cfRule type="cellIs" dxfId="2637" priority="111" stopIfTrue="1" operator="lessThanOrEqual">
      <formula>0</formula>
    </cfRule>
    <cfRule type="cellIs" dxfId="2636" priority="112" stopIfTrue="1" operator="greaterThan">
      <formula>$F$37</formula>
    </cfRule>
  </conditionalFormatting>
  <conditionalFormatting sqref="I62:I63">
    <cfRule type="cellIs" dxfId="2635" priority="32" stopIfTrue="1" operator="lessThanOrEqual">
      <formula>0</formula>
    </cfRule>
    <cfRule type="cellIs" dxfId="2634" priority="36" stopIfTrue="1" operator="lessThanOrEqual">
      <formula>0</formula>
    </cfRule>
    <cfRule type="cellIs" dxfId="2633" priority="35" stopIfTrue="1" operator="greaterThan">
      <formula>#REF!</formula>
    </cfRule>
    <cfRule type="cellIs" dxfId="2632" priority="34" stopIfTrue="1" operator="lessThanOrEqual">
      <formula>0</formula>
    </cfRule>
    <cfRule type="cellIs" dxfId="2631" priority="33" stopIfTrue="1" operator="greaterThan">
      <formula>#REF!</formula>
    </cfRule>
    <cfRule type="cellIs" dxfId="2630" priority="31" stopIfTrue="1" operator="greaterThan">
      <formula>#REF!</formula>
    </cfRule>
  </conditionalFormatting>
  <conditionalFormatting sqref="I67:I75">
    <cfRule type="cellIs" dxfId="2629" priority="140" stopIfTrue="1" operator="greaterThan">
      <formula>$J67</formula>
    </cfRule>
    <cfRule type="cellIs" dxfId="2628" priority="141" stopIfTrue="1" operator="lessThanOrEqual">
      <formula>0</formula>
    </cfRule>
  </conditionalFormatting>
  <conditionalFormatting sqref="I78:I86">
    <cfRule type="cellIs" dxfId="2627" priority="165" stopIfTrue="1" operator="lessThanOrEqual">
      <formula>0</formula>
    </cfRule>
    <cfRule type="cellIs" dxfId="2626" priority="164" stopIfTrue="1" operator="greaterThan">
      <formula>4.5</formula>
    </cfRule>
  </conditionalFormatting>
  <conditionalFormatting sqref="I10:J24">
    <cfRule type="cellIs" dxfId="2625" priority="2" operator="lessThan">
      <formula>97.9</formula>
    </cfRule>
  </conditionalFormatting>
  <conditionalFormatting sqref="J27:J29">
    <cfRule type="cellIs" dxfId="2624" priority="119" stopIfTrue="1" operator="lessThan">
      <formula>96.8</formula>
    </cfRule>
    <cfRule type="cellIs" dxfId="2623" priority="121" operator="lessThan">
      <formula>98</formula>
    </cfRule>
    <cfRule type="cellIs" dxfId="2622" priority="120" stopIfTrue="1" operator="greaterThan">
      <formula>100</formula>
    </cfRule>
  </conditionalFormatting>
  <conditionalFormatting sqref="J27:J31">
    <cfRule type="cellIs" dxfId="2621" priority="118" operator="lessThan">
      <formula>97.4</formula>
    </cfRule>
  </conditionalFormatting>
  <conditionalFormatting sqref="J32:J33">
    <cfRule type="cellIs" dxfId="2620" priority="122" operator="lessThan">
      <formula>98</formula>
    </cfRule>
  </conditionalFormatting>
  <conditionalFormatting sqref="J34:J35">
    <cfRule type="cellIs" dxfId="2619" priority="124" stopIfTrue="1" operator="greaterThan">
      <formula>100</formula>
    </cfRule>
    <cfRule type="cellIs" dxfId="2618" priority="123" stopIfTrue="1" operator="lessThan">
      <formula>96.8</formula>
    </cfRule>
  </conditionalFormatting>
  <conditionalFormatting sqref="J34:J36">
    <cfRule type="cellIs" dxfId="2617" priority="125" operator="lessThan">
      <formula>98</formula>
    </cfRule>
  </conditionalFormatting>
  <conditionalFormatting sqref="J63">
    <cfRule type="cellIs" dxfId="2616" priority="26" stopIfTrue="1" operator="lessThanOrEqual">
      <formula>0</formula>
    </cfRule>
    <cfRule type="cellIs" dxfId="2615" priority="19" stopIfTrue="1" operator="greaterThan">
      <formula>#REF!</formula>
    </cfRule>
    <cfRule type="cellIs" dxfId="2614" priority="20" stopIfTrue="1" operator="lessThanOrEqual">
      <formula>0</formula>
    </cfRule>
    <cfRule type="cellIs" dxfId="2613" priority="21" stopIfTrue="1" operator="greaterThan">
      <formula>#REF!</formula>
    </cfRule>
    <cfRule type="cellIs" dxfId="2612" priority="22" stopIfTrue="1" operator="lessThanOrEqual">
      <formula>0</formula>
    </cfRule>
    <cfRule type="cellIs" dxfId="2611" priority="23" stopIfTrue="1" operator="greaterThan">
      <formula>#REF!</formula>
    </cfRule>
    <cfRule type="cellIs" dxfId="2610" priority="25" stopIfTrue="1" operator="greaterThan">
      <formula>#REF!</formula>
    </cfRule>
    <cfRule type="cellIs" dxfId="2609" priority="24" stopIfTrue="1" operator="lessThanOrEqual">
      <formula>0</formula>
    </cfRule>
  </conditionalFormatting>
  <conditionalFormatting sqref="J76">
    <cfRule type="cellIs" dxfId="2608" priority="127" stopIfTrue="1" operator="lessThanOrEqual">
      <formula>0</formula>
    </cfRule>
    <cfRule type="cellIs" dxfId="2607" priority="126" stopIfTrue="1" operator="greaterThan">
      <formula>$F76</formula>
    </cfRule>
  </conditionalFormatting>
  <conditionalFormatting sqref="K10:K24">
    <cfRule type="cellIs" dxfId="2606" priority="5" operator="greaterThan">
      <formula>6.4</formula>
    </cfRule>
    <cfRule type="cellIs" dxfId="2605" priority="4" operator="lessThan">
      <formula>4</formula>
    </cfRule>
    <cfRule type="cellIs" dxfId="2604" priority="3" operator="greaterThan">
      <formula>6</formula>
    </cfRule>
  </conditionalFormatting>
  <conditionalFormatting sqref="K56:K63 K67:N73 K74 M74:N74 K75:N75">
    <cfRule type="cellIs" dxfId="2603" priority="103" stopIfTrue="1" operator="lessThan">
      <formula>100%</formula>
    </cfRule>
  </conditionalFormatting>
  <conditionalFormatting sqref="K78:K83">
    <cfRule type="cellIs" dxfId="2602" priority="170" stopIfTrue="1" operator="lessThan">
      <formula>100%</formula>
    </cfRule>
  </conditionalFormatting>
  <conditionalFormatting sqref="K85:K86">
    <cfRule type="cellIs" dxfId="2601" priority="177" stopIfTrue="1" operator="lessThan">
      <formula>100%</formula>
    </cfRule>
  </conditionalFormatting>
  <conditionalFormatting sqref="L10:L18 L19:M23">
    <cfRule type="cellIs" dxfId="2600" priority="9" operator="greaterThan">
      <formula>65</formula>
    </cfRule>
    <cfRule type="cellIs" dxfId="2599" priority="8" operator="between">
      <formula>61</formula>
      <formula>65</formula>
    </cfRule>
  </conditionalFormatting>
  <conditionalFormatting sqref="L24">
    <cfRule type="cellIs" dxfId="2598" priority="55" operator="between">
      <formula>61</formula>
      <formula>65</formula>
    </cfRule>
    <cfRule type="cellIs" dxfId="2597" priority="56" operator="greaterThan">
      <formula>65</formula>
    </cfRule>
  </conditionalFormatting>
  <conditionalFormatting sqref="L27:M38">
    <cfRule type="cellIs" dxfId="2596" priority="71" operator="lessThan">
      <formula>97.95</formula>
    </cfRule>
  </conditionalFormatting>
  <conditionalFormatting sqref="L42:N42">
    <cfRule type="cellIs" dxfId="2595" priority="72" operator="notEqual">
      <formula>#REF!</formula>
    </cfRule>
  </conditionalFormatting>
  <conditionalFormatting sqref="L76:N76">
    <cfRule type="cellIs" dxfId="2594" priority="128" stopIfTrue="1" operator="lessThan">
      <formula>100%</formula>
    </cfRule>
  </conditionalFormatting>
  <conditionalFormatting sqref="L78:N86">
    <cfRule type="cellIs" dxfId="2593" priority="155" stopIfTrue="1" operator="lessThan">
      <formula>100%</formula>
    </cfRule>
  </conditionalFormatting>
  <conditionalFormatting sqref="M10:M18">
    <cfRule type="expression" dxfId="2592" priority="10">
      <formula>IF(+(IF(M10&lt;U10,0,IF(M10&gt;V10,0,1)))=0,1)</formula>
    </cfRule>
  </conditionalFormatting>
  <conditionalFormatting sqref="M19:M23 H10:H18 G19:H24">
    <cfRule type="expression" dxfId="2591" priority="12">
      <formula>IF(+(IF(G10&lt;#REF!,0,IF(G10&gt;#REF!,0,1)))=0,1)</formula>
    </cfRule>
  </conditionalFormatting>
  <conditionalFormatting sqref="M24:N24">
    <cfRule type="expression" dxfId="2590" priority="185">
      <formula>IF(+(IF(M24&lt;#REF!,0,IF(M24&gt;#REF!,0,1)))=0,1)</formula>
    </cfRule>
  </conditionalFormatting>
  <conditionalFormatting sqref="N10:N23">
    <cfRule type="expression" dxfId="2589" priority="1">
      <formula>IF(+(IF(N10&lt;W10,0,IF(N10&gt;X10,0,1)))=0,1)</formula>
    </cfRule>
  </conditionalFormatting>
  <conditionalFormatting sqref="P6">
    <cfRule type="cellIs" dxfId="2588" priority="151" operator="greaterThanOrEqual">
      <formula>19</formula>
    </cfRule>
  </conditionalFormatting>
  <dataValidations count="1">
    <dataValidation type="list" allowBlank="1" showInputMessage="1" showErrorMessage="1" sqref="R8" xr:uid="{013679C4-EFCE-43AF-B7EC-54B81E45D5A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39B0-EB62-4A62-9068-1A8AC1285E4D}">
  <sheetPr>
    <pageSetUpPr fitToPage="1"/>
  </sheetPr>
  <dimension ref="A1:BE72"/>
  <sheetViews>
    <sheetView topLeftCell="A23" zoomScale="80" zoomScaleNormal="80" workbookViewId="0">
      <selection activeCell="H52" sqref="H52:I52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45974</v>
      </c>
      <c r="J4" s="398" t="s">
        <v>166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9" t="s">
        <v>6</v>
      </c>
      <c r="C10" s="366" t="str">
        <f>[24]Brewhouse!$A950</f>
        <v>CA835</v>
      </c>
      <c r="D10" s="279">
        <f>[24]Brewhouse!$AF950</f>
        <v>54.4</v>
      </c>
      <c r="E10" s="279">
        <f>[24]Brewhouse!$AI950</f>
        <v>52.1</v>
      </c>
      <c r="F10" s="278">
        <f>[24]Brewhouse!$V950</f>
        <v>57</v>
      </c>
      <c r="G10" s="279">
        <f>[24]Brewhouse!AG950</f>
        <v>12</v>
      </c>
      <c r="H10" s="396">
        <v>12</v>
      </c>
      <c r="I10" s="368">
        <f>[24]Brewhouse!$AU950</f>
        <v>103.36269240524116</v>
      </c>
      <c r="J10" s="368">
        <f>[24]Brewhouse!$AV950</f>
        <v>103.89863044134735</v>
      </c>
      <c r="K10" s="281">
        <f>[24]Brewhouse!$Q950</f>
        <v>-0.33898305084745711</v>
      </c>
      <c r="L10" s="276">
        <f>[24]Brewhouse!$P950</f>
        <v>58</v>
      </c>
      <c r="M10" s="397">
        <f>[24]Brewhouse!$U950-[24]Brewhouse!$T950</f>
        <v>0.13888888888888887</v>
      </c>
      <c r="N10" s="370">
        <f>[24]Brewhouse!$Z950</f>
        <v>0.33263888888888887</v>
      </c>
      <c r="O10" s="421" t="str">
        <f>[24]Brewhouse!$AX950</f>
        <v>R.Sookram</v>
      </c>
      <c r="P10" s="418" t="s">
        <v>184</v>
      </c>
      <c r="R10" s="277" t="str">
        <f t="shared" ref="R10:R34" si="0">B10</f>
        <v>CARIB</v>
      </c>
      <c r="S10" s="296">
        <f t="shared" ref="S10:S34" si="1">VLOOKUP($B10,$R$3:$X$9,2,FALSE)</f>
        <v>11.6</v>
      </c>
      <c r="T10" s="296">
        <f t="shared" ref="T10:T34" si="2">VLOOKUP($B10,$R$3:$X$9,3,FALSE)</f>
        <v>12</v>
      </c>
      <c r="U10" s="297">
        <f t="shared" ref="U10:U34" si="3">VLOOKUP($B10,$R$3:$X$9,4,FALSE)</f>
        <v>0</v>
      </c>
      <c r="V10" s="297">
        <f t="shared" ref="V10:V34" si="4">VLOOKUP($B10,$R$3:$X$9,5,FALSE)</f>
        <v>0.118055555555556</v>
      </c>
      <c r="W10" s="297">
        <f t="shared" ref="W10:W34" si="5">VLOOKUP($B10,$R$3:$X$9,6,FALSE)</f>
        <v>0.22569444444444445</v>
      </c>
      <c r="X10" s="297">
        <f t="shared" ref="X10:X34" si="6">VLOOKUP($B10,$R$3:$X$9,7,FALSE)</f>
        <v>0.2638888888888889</v>
      </c>
      <c r="Y10" s="297">
        <f t="shared" ref="Y10:Y34" si="7">VLOOKUP($B10,$R$3:$Z$9,8,FALSE)</f>
        <v>0</v>
      </c>
      <c r="Z10" s="296">
        <f t="shared" ref="Z10:Z34" si="8">VLOOKUP($B10,$R$3:$Z$9,9,FALSE)</f>
        <v>60</v>
      </c>
    </row>
    <row r="11" spans="2:29" ht="15" customHeight="1">
      <c r="B11" s="29" t="s">
        <v>6</v>
      </c>
      <c r="C11" s="366" t="str">
        <f>[24]Brewhouse!$A951</f>
        <v>CA836</v>
      </c>
      <c r="D11" s="279">
        <f>[24]Brewhouse!$AF951</f>
        <v>54.8</v>
      </c>
      <c r="E11" s="279">
        <f>[24]Brewhouse!$AI951</f>
        <v>52.8</v>
      </c>
      <c r="F11" s="278">
        <f>[24]Brewhouse!$V951</f>
        <v>69</v>
      </c>
      <c r="G11" s="279">
        <f>[24]Brewhouse!AG951</f>
        <v>11.8</v>
      </c>
      <c r="H11" s="396">
        <v>11.8</v>
      </c>
      <c r="I11" s="368">
        <f>[24]Brewhouse!$AU951</f>
        <v>102.16210380276367</v>
      </c>
      <c r="J11" s="368">
        <f>[24]Brewhouse!$AV951</f>
        <v>102.69206950015273</v>
      </c>
      <c r="K11" s="281">
        <f>[24]Brewhouse!$Q951</f>
        <v>0.41509433962263936</v>
      </c>
      <c r="L11" s="276">
        <f>[24]Brewhouse!$P951</f>
        <v>60</v>
      </c>
      <c r="M11" s="397">
        <f>[24]Brewhouse!$U951-[24]Brewhouse!$T951</f>
        <v>0.13611111111111107</v>
      </c>
      <c r="N11" s="370">
        <f>[24]Brewhouse!$Z951</f>
        <v>0.34791666666666665</v>
      </c>
      <c r="O11" s="421" t="str">
        <f>[24]Brewhouse!$AX951</f>
        <v>K. Benjamin</v>
      </c>
      <c r="P11" s="418" t="s">
        <v>185</v>
      </c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29" t="s">
        <v>6</v>
      </c>
      <c r="C12" s="366" t="str">
        <f>[24]Brewhouse!$A952</f>
        <v>CA837</v>
      </c>
      <c r="D12" s="279">
        <f>[24]Brewhouse!$AF952</f>
        <v>55</v>
      </c>
      <c r="E12" s="279">
        <f>[24]Brewhouse!$AI952</f>
        <v>52.5</v>
      </c>
      <c r="F12" s="278">
        <f>[24]Brewhouse!$V952</f>
        <v>67</v>
      </c>
      <c r="G12" s="279">
        <f>[24]Brewhouse!AG952</f>
        <v>11.7</v>
      </c>
      <c r="H12" s="396">
        <v>11.8</v>
      </c>
      <c r="I12" s="368">
        <f>[24]Brewhouse!$AU952</f>
        <v>101.17060826484592</v>
      </c>
      <c r="J12" s="368">
        <f>[24]Brewhouse!$AV952</f>
        <v>101.69526413149441</v>
      </c>
      <c r="K12" s="281">
        <f>[24]Brewhouse!$Q952</f>
        <v>-2.6037735849056651</v>
      </c>
      <c r="L12" s="276">
        <f>[24]Brewhouse!$P952</f>
        <v>60</v>
      </c>
      <c r="M12" s="397">
        <f>[24]Brewhouse!$U952-[24]Brewhouse!$T952</f>
        <v>0.12013888888888885</v>
      </c>
      <c r="N12" s="370">
        <f>[24]Brewhouse!$Z952</f>
        <v>0.32847222222222222</v>
      </c>
      <c r="O12" s="421" t="str">
        <f>[24]Brewhouse!$AX952</f>
        <v>K. Benjamin</v>
      </c>
      <c r="P12" s="418" t="s">
        <v>186</v>
      </c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29" t="s">
        <v>6</v>
      </c>
      <c r="C13" s="366" t="str">
        <f>[24]Brewhouse!$A953</f>
        <v>CA838</v>
      </c>
      <c r="D13" s="279">
        <f>[24]Brewhouse!$AF953</f>
        <v>54.2</v>
      </c>
      <c r="E13" s="279">
        <f>[24]Brewhouse!$AI953</f>
        <v>52.4</v>
      </c>
      <c r="F13" s="278">
        <f>[24]Brewhouse!$V953</f>
        <v>66</v>
      </c>
      <c r="G13" s="279">
        <f>[24]Brewhouse!AG953</f>
        <v>11.8</v>
      </c>
      <c r="H13" s="396">
        <v>11.8</v>
      </c>
      <c r="I13" s="368">
        <f>[24]Brewhouse!$AU953</f>
        <v>102.51551827119978</v>
      </c>
      <c r="J13" s="368">
        <f>[24]Brewhouse!$AV953</f>
        <v>103.04693547144474</v>
      </c>
      <c r="K13" s="281">
        <f>[24]Brewhouse!$Q953</f>
        <v>-0.90566037735849803</v>
      </c>
      <c r="L13" s="276">
        <f>[24]Brewhouse!$P953</f>
        <v>59</v>
      </c>
      <c r="M13" s="397">
        <f>[24]Brewhouse!$U953-[24]Brewhouse!$T953</f>
        <v>0.14097222222222228</v>
      </c>
      <c r="N13" s="370">
        <f>[24]Brewhouse!$Z953</f>
        <v>0.33402777777777781</v>
      </c>
      <c r="O13" s="421" t="str">
        <f>[24]Brewhouse!$AX953</f>
        <v>K. Benjamin</v>
      </c>
      <c r="P13" s="418" t="s">
        <v>187</v>
      </c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29"/>
      <c r="C14" s="366"/>
      <c r="D14" s="279"/>
      <c r="E14" s="279"/>
      <c r="F14" s="278"/>
      <c r="G14" s="279"/>
      <c r="H14" s="476"/>
      <c r="I14" s="368"/>
      <c r="J14" s="368"/>
      <c r="K14" s="281"/>
      <c r="L14" s="276"/>
      <c r="M14" s="397"/>
      <c r="N14" s="370"/>
      <c r="O14" s="421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" hidden="1" customHeight="1">
      <c r="B15" s="33"/>
      <c r="C15" s="366"/>
      <c r="D15" s="279"/>
      <c r="E15" s="279"/>
      <c r="F15" s="278"/>
      <c r="G15" s="279"/>
      <c r="H15" s="396"/>
      <c r="I15" s="420"/>
      <c r="J15" s="420"/>
      <c r="K15" s="281"/>
      <c r="L15" s="276"/>
      <c r="M15" s="374"/>
      <c r="N15" s="370"/>
      <c r="O15" s="421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" hidden="1" customHeight="1">
      <c r="B16" s="33"/>
      <c r="C16" s="366"/>
      <c r="D16" s="279"/>
      <c r="E16" s="279"/>
      <c r="F16" s="278"/>
      <c r="G16" s="279"/>
      <c r="H16" s="396"/>
      <c r="I16" s="420"/>
      <c r="J16" s="420"/>
      <c r="K16" s="281"/>
      <c r="L16" s="276"/>
      <c r="M16" s="374"/>
      <c r="N16" s="370"/>
      <c r="O16" s="42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" hidden="1" customHeight="1">
      <c r="B17" s="33"/>
      <c r="C17" s="366"/>
      <c r="D17" s="279"/>
      <c r="E17" s="279"/>
      <c r="F17" s="278"/>
      <c r="G17" s="279"/>
      <c r="H17" s="396"/>
      <c r="I17" s="420"/>
      <c r="J17" s="420"/>
      <c r="K17" s="281"/>
      <c r="L17" s="276"/>
      <c r="M17" s="374"/>
      <c r="N17" s="370"/>
      <c r="O17" s="42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" hidden="1" customHeight="1">
      <c r="B18" s="33"/>
      <c r="C18" s="366"/>
      <c r="D18" s="279"/>
      <c r="E18" s="279"/>
      <c r="F18" s="278"/>
      <c r="G18" s="279"/>
      <c r="H18" s="396"/>
      <c r="I18" s="420"/>
      <c r="J18" s="420"/>
      <c r="K18" s="281"/>
      <c r="L18" s="276"/>
      <c r="M18" s="374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" hidden="1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12"/>
      <c r="J21" s="512"/>
      <c r="K21" s="512"/>
      <c r="L21" s="512"/>
      <c r="M21" s="512"/>
      <c r="N21" s="512"/>
      <c r="O21" s="1"/>
      <c r="P21" s="12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customHeight="1" thickBot="1">
      <c r="B22" s="388" t="s">
        <v>162</v>
      </c>
      <c r="C22" s="388"/>
      <c r="D22" s="490" t="s">
        <v>35</v>
      </c>
      <c r="E22" s="491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0"/>
        <v xml:space="preserve">BRAND 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" customHeight="1">
      <c r="A23" s="28"/>
      <c r="B23" s="563" t="str">
        <f>I23</f>
        <v>CARIB</v>
      </c>
      <c r="C23" s="362" cm="1">
        <f t="array" ref="C23:C30">[24]Process!$D$880:$D$887</f>
        <v>11.8</v>
      </c>
      <c r="D23" s="516">
        <v>11.6</v>
      </c>
      <c r="E23" s="517"/>
      <c r="F23" s="294"/>
      <c r="G23" s="294"/>
      <c r="H23" s="348"/>
      <c r="I23" s="29" t="s">
        <v>6</v>
      </c>
      <c r="J23" s="280">
        <f>AVERAGE(I10:I13)</f>
        <v>102.30273068601264</v>
      </c>
      <c r="K23" s="284">
        <f>COUNTA([24]Brewhouse!$A$914:$A$953)</f>
        <v>40</v>
      </c>
      <c r="L23" s="305">
        <f>AVERAGE([24]Brewhouse!$AU$914:$AU$953)</f>
        <v>97.713404247834845</v>
      </c>
      <c r="M23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$953)</f>
        <v>97.714291445751684</v>
      </c>
      <c r="N23" s="30">
        <v>98</v>
      </c>
      <c r="O23" s="11"/>
      <c r="P23" s="31"/>
      <c r="R23" s="277" t="str">
        <f t="shared" si="0"/>
        <v>CARIB</v>
      </c>
      <c r="S23" s="296">
        <f t="shared" si="1"/>
        <v>11.6</v>
      </c>
      <c r="T23" s="296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296">
        <f t="shared" si="8"/>
        <v>60</v>
      </c>
    </row>
    <row r="24" spans="1:27" ht="15" customHeight="1">
      <c r="A24" s="28"/>
      <c r="B24" s="564"/>
      <c r="C24" s="362">
        <v>11.5</v>
      </c>
      <c r="D24" s="518"/>
      <c r="E24" s="519"/>
      <c r="F24" s="294"/>
      <c r="G24" s="294"/>
      <c r="H24" s="348"/>
      <c r="I24" s="33" t="s">
        <v>9</v>
      </c>
      <c r="J24" s="280"/>
      <c r="K24" s="284">
        <f>COUNTA([25]Brewhouse!$A$449:$A$460)</f>
        <v>12</v>
      </c>
      <c r="L24" s="302">
        <f>AVERAGE([25]Brewhouse!$AS$449:$AS$460)</f>
        <v>98.317342070121057</v>
      </c>
      <c r="M24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$460)</f>
        <v>97.937185549118041</v>
      </c>
      <c r="N24" s="30">
        <v>98</v>
      </c>
      <c r="O24" s="11"/>
      <c r="P24" s="31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4.65" customHeight="1">
      <c r="A25" s="28"/>
      <c r="B25" s="564"/>
      <c r="C25" s="362">
        <v>11.8</v>
      </c>
      <c r="D25" s="566">
        <v>11.72</v>
      </c>
      <c r="E25" s="567"/>
      <c r="F25" s="294"/>
      <c r="G25" s="294"/>
      <c r="H25" s="348"/>
      <c r="I25" s="34" t="s">
        <v>12</v>
      </c>
      <c r="J25" s="280"/>
      <c r="K25" s="284"/>
      <c r="L25" s="302"/>
      <c r="M25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25" s="30">
        <v>98</v>
      </c>
      <c r="O25" s="11"/>
      <c r="P25" s="31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4.65" customHeight="1">
      <c r="A26" s="28"/>
      <c r="B26" s="564"/>
      <c r="C26" s="362">
        <v>11.6</v>
      </c>
      <c r="D26" s="531"/>
      <c r="E26" s="519"/>
      <c r="F26" s="294"/>
      <c r="G26" s="294"/>
      <c r="H26" s="348"/>
      <c r="I26" s="22" t="s">
        <v>33</v>
      </c>
      <c r="J26" s="280"/>
      <c r="K26" s="284">
        <f>COUNTA([23]Brewhouse!$A$97:$A$104)</f>
        <v>8</v>
      </c>
      <c r="L26" s="302">
        <f>AVERAGE([23]Brewhouse!$AV$97:$AV$104)</f>
        <v>98.419138016287462</v>
      </c>
      <c r="M26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26" s="30">
        <v>98</v>
      </c>
      <c r="O26" s="11"/>
      <c r="P26" s="31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4.65" customHeight="1">
      <c r="A27" s="28"/>
      <c r="B27" s="564"/>
      <c r="C27" s="362">
        <v>11.6</v>
      </c>
      <c r="D27" s="566">
        <v>11.76</v>
      </c>
      <c r="E27" s="567"/>
      <c r="F27" s="417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64"/>
      <c r="C28" s="362">
        <v>11.7</v>
      </c>
      <c r="D28" s="531"/>
      <c r="E28" s="519"/>
      <c r="F28" s="417"/>
      <c r="G28" s="294"/>
      <c r="H28" s="348"/>
      <c r="I28" s="36" t="s">
        <v>15</v>
      </c>
      <c r="J28" s="323"/>
      <c r="K28" s="284"/>
      <c r="L28" s="302"/>
      <c r="M28" s="302">
        <f>AVERAGE([27]Brewhouse!$AT$4:$AT$11,[27]Brewhouse!$AT$13:$AT$16,[27]Brewhouse!$AT$18:$AT$21,[27]Brewhouse!$AT$26,[27]Brewhouse!$AT$28:$AT$35)</f>
        <v>94.794664331624134</v>
      </c>
      <c r="N28" s="30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  <c r="AA28" s="296"/>
    </row>
    <row r="29" spans="1:27" ht="14.65" customHeight="1">
      <c r="A29" s="28"/>
      <c r="B29" s="564"/>
      <c r="C29" s="362">
        <v>11.8</v>
      </c>
      <c r="D29" s="566">
        <v>11.71</v>
      </c>
      <c r="E29" s="567"/>
      <c r="F29" s="417"/>
      <c r="G29" s="294"/>
      <c r="H29" s="348"/>
      <c r="I29" s="37" t="s">
        <v>16</v>
      </c>
      <c r="J29" s="323"/>
      <c r="K29" s="284">
        <f>COUNTA([22]Brewhouse!$A$94:$A$97)</f>
        <v>4</v>
      </c>
      <c r="L29" s="302">
        <f>AVERAGE([22]Brewhouse!$AY$94:$AY$97)</f>
        <v>95.326767995731288</v>
      </c>
      <c r="M29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29" s="30">
        <v>98</v>
      </c>
      <c r="O29" s="11"/>
      <c r="P29" s="31" t="s">
        <v>41</v>
      </c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  <c r="AA29" s="296"/>
    </row>
    <row r="30" spans="1:27" ht="14.65" customHeight="1">
      <c r="A30" s="28"/>
      <c r="B30" s="564"/>
      <c r="C30" s="362">
        <v>11.7</v>
      </c>
      <c r="D30" s="531"/>
      <c r="E30" s="519"/>
      <c r="F30" s="294"/>
      <c r="G30" s="294"/>
      <c r="H30" s="348"/>
      <c r="I30" s="411" t="s">
        <v>158</v>
      </c>
      <c r="J30" s="326"/>
      <c r="K30" s="284"/>
      <c r="L30" s="305"/>
      <c r="M30" s="305">
        <f>AVERAGE([28]Brewhouse!$AU$5:$AU$8,[28]Brewhouse!$AU$10:$AU$13,[22]Brewhouse!$AY$75:$AY$77)</f>
        <v>94.749192473706671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  <c r="AA30" s="296"/>
    </row>
    <row r="31" spans="1:27" ht="14.65" customHeight="1">
      <c r="A31" s="28"/>
      <c r="B31" s="564"/>
      <c r="C31" s="349"/>
      <c r="D31" s="566"/>
      <c r="E31" s="567"/>
      <c r="F31" s="294"/>
      <c r="G31" s="294"/>
      <c r="H31" s="348"/>
      <c r="I31" s="410" t="s">
        <v>157</v>
      </c>
      <c r="J31" s="326"/>
      <c r="K31" s="284"/>
      <c r="L31" s="305"/>
      <c r="M31" s="305">
        <f>AVERAGE([29]Brewhouse!$AW$26:$AW$27)</f>
        <v>95.310680905194914</v>
      </c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5" customHeight="1" thickBot="1">
      <c r="A32" s="28"/>
      <c r="B32" s="564"/>
      <c r="C32" s="349"/>
      <c r="D32" s="531"/>
      <c r="E32" s="519"/>
      <c r="F32" s="294"/>
      <c r="G32" s="294"/>
      <c r="H32" s="348"/>
      <c r="I32" s="406" t="s">
        <v>156</v>
      </c>
      <c r="J32" s="327"/>
      <c r="K32" s="407"/>
      <c r="L32" s="408"/>
      <c r="M32" s="408">
        <f>AVERAGE([30]Brewhouse!$AU$13:$AU$14)</f>
        <v>97.110575243268045</v>
      </c>
      <c r="N32" s="409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5" customHeight="1" thickBot="1">
      <c r="A33" s="28"/>
      <c r="B33" s="564"/>
      <c r="C33" s="349"/>
      <c r="D33" s="516"/>
      <c r="E33" s="517"/>
      <c r="F33" s="294"/>
      <c r="G33" s="294"/>
      <c r="H33" s="348"/>
      <c r="I33" s="1"/>
      <c r="J33" s="39"/>
      <c r="K33" s="404">
        <f>SUM(K23:K32)</f>
        <v>64</v>
      </c>
      <c r="L33" s="405">
        <f>((L23*K23)+(L24*K24)+(L25*K25)+(L26*K26)+(L27*K27)+(K30*L30)+(L28*K28)+(L29*K29)+(L32*K32))/(K33)</f>
        <v>97.765694544813599</v>
      </c>
      <c r="M33" s="405">
        <f>AVERAGE('[31]Jan 31st'!$L$65,'[32]Feb 28th'!$L$35,'[33]Mar. 31st'!$L$35,'[34]Apr. 30th'!$L$45,'[35]May 30th'!$L$37,'[36]June 30th'!$L$57,'[37]July 29th '!$L$44,'[38]Aug 29th'!$L$29,'[39]Sept 30th'!$L$35,L33)</f>
        <v>97.594519694163154</v>
      </c>
      <c r="N33" s="4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5.75" thickBot="1">
      <c r="B34" s="570"/>
      <c r="C34" s="350"/>
      <c r="D34" s="518"/>
      <c r="E34" s="519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5.75" thickBot="1">
      <c r="B35" s="563"/>
      <c r="C35" s="362"/>
      <c r="D35" s="529"/>
      <c r="E35" s="530"/>
      <c r="F35" s="294"/>
      <c r="G35" s="42"/>
      <c r="H35" s="41"/>
      <c r="I35" s="42"/>
      <c r="J35" s="565" t="s">
        <v>129</v>
      </c>
      <c r="K35" s="565"/>
      <c r="L35" s="294"/>
      <c r="M35" s="294"/>
      <c r="N35" s="294"/>
      <c r="O35" s="294"/>
      <c r="P35" s="12"/>
    </row>
    <row r="36" spans="1:56" ht="15.75" thickBot="1">
      <c r="B36" s="564"/>
      <c r="C36" s="362"/>
      <c r="D36" s="531"/>
      <c r="E36" s="519"/>
      <c r="F36" s="294"/>
      <c r="G36" s="42"/>
      <c r="H36" s="41"/>
      <c r="I36" s="41"/>
      <c r="J36" s="292" t="s">
        <v>17</v>
      </c>
      <c r="K36" s="293" t="s">
        <v>147</v>
      </c>
      <c r="L36" s="533" t="s">
        <v>136</v>
      </c>
      <c r="M36" s="533"/>
      <c r="N36" s="534"/>
      <c r="O36" s="294"/>
      <c r="P36" s="12"/>
    </row>
    <row r="37" spans="1:56" ht="15" customHeight="1" thickBot="1">
      <c r="B37" s="564"/>
      <c r="C37" s="349"/>
      <c r="D37" s="566"/>
      <c r="E37" s="567"/>
      <c r="F37" s="294"/>
      <c r="G37" s="42"/>
      <c r="H37" s="41"/>
      <c r="I37" s="41"/>
      <c r="J37" s="287" t="s">
        <v>6</v>
      </c>
      <c r="K37" s="324">
        <v>4</v>
      </c>
      <c r="L37" s="343" t="s">
        <v>37</v>
      </c>
      <c r="M37" s="307" t="s">
        <v>38</v>
      </c>
      <c r="N37" s="307" t="s">
        <v>84</v>
      </c>
      <c r="O37" s="294"/>
      <c r="P37" s="12"/>
    </row>
    <row r="38" spans="1:56" ht="15.75" customHeight="1" thickBot="1">
      <c r="B38" s="564"/>
      <c r="C38" s="349"/>
      <c r="D38" s="531"/>
      <c r="E38" s="519"/>
      <c r="F38" s="294"/>
      <c r="G38" s="42"/>
      <c r="H38" s="41"/>
      <c r="I38" s="41"/>
      <c r="J38" s="345" t="s">
        <v>9</v>
      </c>
      <c r="K38" s="324"/>
      <c r="L38" s="344">
        <f>AVERAGE('Nov 12th'!K47,'Nov 11th'!K51,'Nov 10th'!K53,'Nov 6th '!K52,'Nov 7th-8th'!J55,'Nov 7th-8th'!K55,'Nov 4th'!K52,'Nov 5th'!K51,Nov.3rd!K52)</f>
        <v>7.1111111111111107</v>
      </c>
      <c r="M38" s="325">
        <f>AVERAGE('[31]Jan 29th '!$M$70,'[32]Feb 28th'!$L$40,'[33]Mar. 31st'!$L$40,'[34]Apr. 30th'!$L$50,'[35]May 30th'!$L$42,'[36]June 30th'!$L$62,'[37]July 29th '!$L$49,'[38]Aug 29th'!$L$34,'[39]Sept 30th'!$L$40,[40]Oct.31st!$L$43,L38)</f>
        <v>7.0676197689927669</v>
      </c>
      <c r="N38" s="416">
        <v>9.1999999999999993</v>
      </c>
      <c r="O38" s="294"/>
      <c r="P38" s="12"/>
    </row>
    <row r="39" spans="1:56" ht="15" customHeight="1">
      <c r="B39" s="564"/>
      <c r="C39" s="349"/>
      <c r="D39" s="566"/>
      <c r="E39" s="567"/>
      <c r="F39" s="294"/>
      <c r="G39" s="42"/>
      <c r="H39" s="41"/>
      <c r="I39" s="41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64"/>
      <c r="C40" s="349"/>
      <c r="D40" s="531"/>
      <c r="E40" s="519"/>
      <c r="F40" s="294"/>
      <c r="G40" s="42"/>
      <c r="H40" s="41"/>
      <c r="I40" s="41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64"/>
      <c r="C41" s="349"/>
      <c r="D41" s="566"/>
      <c r="E41" s="567"/>
      <c r="F41" s="294"/>
      <c r="G41" s="42"/>
      <c r="H41" s="41"/>
      <c r="I41" s="41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5">
      <c r="B42" s="564"/>
      <c r="C42" s="349"/>
      <c r="D42" s="531"/>
      <c r="E42" s="519"/>
      <c r="F42" s="294"/>
      <c r="G42" s="42"/>
      <c r="H42" s="41"/>
      <c r="I42" s="41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64"/>
      <c r="C43" s="349"/>
      <c r="D43" s="566"/>
      <c r="E43" s="567"/>
      <c r="F43" s="294"/>
      <c r="G43" s="42"/>
      <c r="H43" s="41"/>
      <c r="I43" s="41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84"/>
      <c r="C44" s="350"/>
      <c r="D44" s="568"/>
      <c r="E44" s="569"/>
      <c r="F44" s="294" t="s">
        <v>168</v>
      </c>
      <c r="G44" s="42"/>
      <c r="H44" s="41"/>
      <c r="I44" s="41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76"/>
      <c r="E45" s="577"/>
      <c r="F45" s="294"/>
      <c r="H45" s="41"/>
      <c r="I45" s="41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1"/>
      <c r="I46" s="41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1"/>
      <c r="I47" s="41"/>
      <c r="J47" s="346" t="s">
        <v>130</v>
      </c>
      <c r="K47" s="324">
        <f>SUM(K37:K46)</f>
        <v>4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294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41" t="s">
        <v>17</v>
      </c>
      <c r="C50" s="541" t="s">
        <v>44</v>
      </c>
      <c r="D50" s="543" t="s">
        <v>45</v>
      </c>
      <c r="E50" s="498" t="s">
        <v>46</v>
      </c>
      <c r="F50" s="558" t="s">
        <v>47</v>
      </c>
      <c r="G50" s="552" t="s">
        <v>48</v>
      </c>
      <c r="H50" s="541" t="s">
        <v>49</v>
      </c>
      <c r="I50" s="541" t="s">
        <v>50</v>
      </c>
      <c r="J50" s="546" t="s">
        <v>28</v>
      </c>
      <c r="K50" s="496" t="s">
        <v>51</v>
      </c>
      <c r="L50" s="508" t="s">
        <v>52</v>
      </c>
      <c r="M50" s="546" t="s">
        <v>53</v>
      </c>
      <c r="N50" s="13"/>
      <c r="O50" s="13"/>
      <c r="P50" s="50"/>
    </row>
    <row r="51" spans="2:57" ht="28.5" customHeight="1" thickTop="1" thickBot="1">
      <c r="B51" s="542"/>
      <c r="C51" s="542"/>
      <c r="D51" s="544"/>
      <c r="E51" s="545"/>
      <c r="F51" s="559"/>
      <c r="G51" s="553"/>
      <c r="H51" s="560"/>
      <c r="I51" s="560"/>
      <c r="J51" s="547"/>
      <c r="K51" s="556"/>
      <c r="L51" s="557"/>
      <c r="M51" s="547"/>
      <c r="N51" s="13"/>
      <c r="O51" s="13"/>
      <c r="P51" s="50"/>
      <c r="Q51" s="355"/>
      <c r="AB51" s="51">
        <v>43474</v>
      </c>
      <c r="AC51" s="51">
        <v>43475</v>
      </c>
      <c r="AD51" s="51">
        <v>43476</v>
      </c>
      <c r="AE51" s="51">
        <v>43477</v>
      </c>
      <c r="AF51" s="51">
        <v>43478</v>
      </c>
      <c r="AG51" s="51">
        <v>43479</v>
      </c>
      <c r="AH51" s="51">
        <v>43480</v>
      </c>
      <c r="AI51" s="51">
        <v>43481</v>
      </c>
      <c r="AJ51" s="51">
        <v>43482</v>
      </c>
      <c r="AK51" s="51">
        <v>43483</v>
      </c>
      <c r="AL51" s="51">
        <v>43484</v>
      </c>
      <c r="AM51" s="51">
        <v>43485</v>
      </c>
      <c r="AN51" s="51">
        <v>43486</v>
      </c>
      <c r="AO51" s="51">
        <v>43487</v>
      </c>
      <c r="AP51" s="51">
        <v>43488</v>
      </c>
      <c r="AQ51" s="51">
        <v>43489</v>
      </c>
      <c r="AR51" s="51">
        <v>43490</v>
      </c>
      <c r="AS51" s="51">
        <v>43491</v>
      </c>
      <c r="AT51" s="51">
        <v>43492</v>
      </c>
      <c r="AU51" s="51">
        <v>43493</v>
      </c>
      <c r="AV51" s="51">
        <v>43494</v>
      </c>
      <c r="AW51" s="51">
        <v>43495</v>
      </c>
      <c r="AX51" s="51">
        <v>43496</v>
      </c>
    </row>
    <row r="52" spans="2:57" s="54" customFormat="1" ht="43.15" customHeight="1" thickBot="1">
      <c r="B52" s="458" t="str">
        <f>J37</f>
        <v>CARIB</v>
      </c>
      <c r="C52" s="442">
        <v>45973</v>
      </c>
      <c r="D52" s="443">
        <f>[41]November_2025!$O$3</f>
        <v>408.2</v>
      </c>
      <c r="E52" s="444"/>
      <c r="F52" s="445">
        <f>SUM([43]CARIB!$L$47:$L$54)</f>
        <v>406</v>
      </c>
      <c r="G52" s="445">
        <f>[41]November_2025!$O$7</f>
        <v>386.8</v>
      </c>
      <c r="H52" s="460">
        <f>(D52-F52)/D52*100</f>
        <v>0.53895149436550438</v>
      </c>
      <c r="I52" s="460">
        <f>((F52+E52)-G52)/(F52+E52)*100</f>
        <v>4.7290640394088639</v>
      </c>
      <c r="J52" s="449" t="s">
        <v>173</v>
      </c>
      <c r="K52" s="450">
        <f>[42]November_2025!$O$18</f>
        <v>0.3392982456140351</v>
      </c>
      <c r="L52" s="459">
        <f>(((D52+E52)-G52)/(D52+E52))*100</f>
        <v>5.242528172464473</v>
      </c>
      <c r="M52" s="456" t="s">
        <v>188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[20]January_2019!L7</f>
        <v>285.8</v>
      </c>
      <c r="AC52" s="57">
        <f>[20]January_2019!M7</f>
        <v>508.1</v>
      </c>
      <c r="AD52" s="57">
        <f>[20]January_2019!N7</f>
        <v>0</v>
      </c>
      <c r="AE52" s="57">
        <f>[20]January_2019!O7</f>
        <v>0</v>
      </c>
      <c r="AF52" s="57">
        <f>[20]January_2019!P7</f>
        <v>109.56666666666666</v>
      </c>
      <c r="AG52" s="57">
        <f>[20]January_2019!Q7</f>
        <v>297.64999999999998</v>
      </c>
      <c r="AH52" s="57">
        <f>[20]January_2019!R7</f>
        <v>122.3</v>
      </c>
      <c r="AI52" s="57">
        <f>[20]January_2019!S7</f>
        <v>0</v>
      </c>
      <c r="AJ52" s="57">
        <f>[20]January_2019!T7</f>
        <v>294.7</v>
      </c>
      <c r="AK52" s="57">
        <f>[20]January_2019!U7</f>
        <v>280.5</v>
      </c>
      <c r="AL52" s="57">
        <f>[20]January_2019!V7</f>
        <v>0</v>
      </c>
      <c r="AM52" s="57">
        <f>[20]January_2019!W7</f>
        <v>0</v>
      </c>
      <c r="AN52" s="57">
        <f>[20]January_2019!X7</f>
        <v>188.25</v>
      </c>
      <c r="AO52" s="57">
        <f>[20]January_2019!Y7</f>
        <v>295.7</v>
      </c>
      <c r="AP52" s="57">
        <f>[20]January_2019!Z7</f>
        <v>257.8</v>
      </c>
      <c r="AQ52" s="57">
        <f>[20]January_2019!AA7</f>
        <v>291.2</v>
      </c>
      <c r="AR52" s="57">
        <f>[20]January_2019!AB7</f>
        <v>187</v>
      </c>
      <c r="AS52" s="57">
        <f>[20]January_2019!AC7</f>
        <v>0</v>
      </c>
      <c r="AT52" s="57">
        <f>[20]January_2019!AD7</f>
        <v>0</v>
      </c>
      <c r="AU52" s="57">
        <f>[20]January_2019!AE7</f>
        <v>485.1</v>
      </c>
      <c r="AV52" s="57">
        <f>[20]January_2019!AF7</f>
        <v>171.55</v>
      </c>
      <c r="AW52" s="57">
        <f>[20]January_2019!AG7</f>
        <v>423.8</v>
      </c>
      <c r="AX52" s="277">
        <f>[20]January_2019!AH7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20.45" hidden="1" customHeight="1" thickBot="1">
      <c r="B53" s="473"/>
      <c r="C53" s="431"/>
      <c r="D53" s="432"/>
      <c r="E53" s="433"/>
      <c r="F53" s="434"/>
      <c r="G53" s="435"/>
      <c r="H53" s="429"/>
      <c r="I53" s="429"/>
      <c r="J53" s="452"/>
      <c r="K53" s="437"/>
      <c r="L53" s="453"/>
      <c r="M53" s="422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8.450000000000003" hidden="1" customHeight="1" thickBot="1">
      <c r="B54" s="458"/>
      <c r="C54" s="442"/>
      <c r="D54" s="443"/>
      <c r="E54" s="444"/>
      <c r="F54" s="445"/>
      <c r="G54" s="446"/>
      <c r="H54" s="460"/>
      <c r="I54" s="460"/>
      <c r="J54" s="449"/>
      <c r="K54" s="462"/>
      <c r="L54" s="459" t="e">
        <f>(((D54+E54)-G54)/(D54+E54))*100</f>
        <v>#DIV/0!</v>
      </c>
      <c r="M54" s="456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5" hidden="1">
      <c r="B55" s="454"/>
      <c r="C55" s="431"/>
      <c r="D55" s="432"/>
      <c r="E55" s="433"/>
      <c r="F55" s="434"/>
      <c r="G55" s="435"/>
      <c r="H55" s="436"/>
      <c r="I55" s="451"/>
      <c r="J55" s="452"/>
      <c r="K55" s="437"/>
      <c r="L55" s="453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61"/>
      <c r="C56" s="442"/>
      <c r="D56" s="443"/>
      <c r="E56" s="444"/>
      <c r="F56" s="445"/>
      <c r="G56" s="446"/>
      <c r="H56" s="447"/>
      <c r="I56" s="448"/>
      <c r="J56" s="449"/>
      <c r="K56" s="450"/>
      <c r="L56" s="459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6.5" customHeight="1" thickBot="1">
      <c r="B57" s="438"/>
      <c r="C57" s="424"/>
      <c r="D57" s="425"/>
      <c r="E57" s="426"/>
      <c r="F57" s="427"/>
      <c r="G57" s="428"/>
      <c r="H57" s="429"/>
      <c r="I57" s="439"/>
      <c r="J57" s="440"/>
      <c r="K57" s="430"/>
      <c r="L57" s="441"/>
      <c r="M57" s="423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2:57" s="54" customFormat="1" ht="37.15" hidden="1" customHeight="1" thickBot="1">
      <c r="B58" s="461"/>
      <c r="C58" s="442"/>
      <c r="D58" s="443"/>
      <c r="E58" s="444"/>
      <c r="F58" s="445"/>
      <c r="G58" s="446"/>
      <c r="H58" s="447"/>
      <c r="I58" s="448"/>
      <c r="J58" s="449"/>
      <c r="K58" s="450"/>
      <c r="L58" s="459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>
      <c r="B59" s="470"/>
      <c r="C59" s="431"/>
      <c r="D59" s="464"/>
      <c r="E59" s="465"/>
      <c r="F59" s="466"/>
      <c r="G59" s="464"/>
      <c r="H59" s="467"/>
      <c r="I59" s="467"/>
      <c r="J59" s="467"/>
      <c r="K59" s="468"/>
      <c r="L59" s="469"/>
      <c r="M59" s="5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548" t="s">
        <v>55</v>
      </c>
      <c r="C61" s="549"/>
      <c r="D61" s="549"/>
      <c r="E61" s="549"/>
      <c r="F61" s="550"/>
      <c r="G61" s="548" t="s">
        <v>56</v>
      </c>
      <c r="H61" s="549"/>
      <c r="I61" s="549"/>
      <c r="J61" s="550"/>
      <c r="K61" s="548" t="s">
        <v>51</v>
      </c>
      <c r="L61" s="549"/>
      <c r="M61" s="549"/>
      <c r="N61" s="551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>
        <f>L52</f>
        <v>5.242528172464473</v>
      </c>
      <c r="D63" s="76">
        <v>7.3652806265149975</v>
      </c>
      <c r="E63" s="76">
        <v>6.1191157135692746</v>
      </c>
      <c r="F63" s="66">
        <v>4.8</v>
      </c>
      <c r="G63" s="65">
        <f>[41]November_2025!$O$11</f>
        <v>5.1649852331620645</v>
      </c>
      <c r="H63" s="76">
        <v>8.2903801284762242</v>
      </c>
      <c r="I63" s="76">
        <v>6.1295489948779354</v>
      </c>
      <c r="J63" s="66">
        <v>4.8</v>
      </c>
      <c r="K63" s="67">
        <f>K52</f>
        <v>0.3392982456140351</v>
      </c>
      <c r="L63" s="194">
        <v>0.47615984405458089</v>
      </c>
      <c r="M63" s="194">
        <v>0.7122668681146973</v>
      </c>
      <c r="N63" s="68">
        <v>1</v>
      </c>
      <c r="O63" s="56"/>
      <c r="P63" s="69"/>
    </row>
    <row r="64" spans="2:57" ht="15">
      <c r="B64" s="33" t="s">
        <v>9</v>
      </c>
      <c r="C64" s="65"/>
      <c r="D64" s="76">
        <v>5.1671214188267509</v>
      </c>
      <c r="E64" s="76">
        <v>5.7344696924419472</v>
      </c>
      <c r="F64" s="66">
        <v>4.8</v>
      </c>
      <c r="G64" s="65"/>
      <c r="H64" s="76">
        <v>3.8690868488751016</v>
      </c>
      <c r="I64" s="76">
        <v>6.3491977772279</v>
      </c>
      <c r="J64" s="66">
        <v>4.8</v>
      </c>
      <c r="K64" s="67"/>
      <c r="L64" s="194">
        <v>0.48780701754385969</v>
      </c>
      <c r="M64" s="194">
        <v>0.65340260538294603</v>
      </c>
      <c r="N64" s="68">
        <v>1</v>
      </c>
      <c r="P64" s="69"/>
    </row>
    <row r="65" spans="2:16" ht="15">
      <c r="B65" s="34" t="s">
        <v>40</v>
      </c>
      <c r="C65" s="65"/>
      <c r="D65" s="76">
        <v>6.2500000000000053</v>
      </c>
      <c r="E65" s="76">
        <v>10.839987110172206</v>
      </c>
      <c r="F65" s="66">
        <v>5.5</v>
      </c>
      <c r="G65" s="65"/>
      <c r="H65" s="76">
        <v>6.2847885309849998</v>
      </c>
      <c r="I65" s="76">
        <v>12.456668215153922</v>
      </c>
      <c r="J65" s="66">
        <v>5.5</v>
      </c>
      <c r="K65" s="67"/>
      <c r="L65" s="194">
        <v>0.31052631578947371</v>
      </c>
      <c r="M65" s="194">
        <v>0.5063309636650869</v>
      </c>
      <c r="N65" s="68">
        <v>1</v>
      </c>
      <c r="P65" s="69"/>
    </row>
    <row r="66" spans="2:16" ht="15">
      <c r="B66" s="22" t="s">
        <v>33</v>
      </c>
      <c r="C66" s="65"/>
      <c r="D66" s="76">
        <v>3.7833827893175105</v>
      </c>
      <c r="E66" s="76">
        <v>4.6226456706805745</v>
      </c>
      <c r="F66" s="66">
        <v>3.3</v>
      </c>
      <c r="G66" s="65"/>
      <c r="H66" s="76">
        <v>3.7421885632627285</v>
      </c>
      <c r="I66" s="76">
        <v>4.4171317623593813</v>
      </c>
      <c r="J66" s="66">
        <v>3.3</v>
      </c>
      <c r="K66" s="67"/>
      <c r="L66" s="194">
        <v>0.68263157894736837</v>
      </c>
      <c r="M66" s="194">
        <v>0.83111215538847116</v>
      </c>
      <c r="N66" s="68">
        <v>1</v>
      </c>
      <c r="P66" s="69"/>
    </row>
    <row r="67" spans="2:16" ht="15">
      <c r="B67" s="35" t="s">
        <v>164</v>
      </c>
      <c r="C67" s="65"/>
      <c r="D67" s="76"/>
      <c r="E67" s="76">
        <v>7.837301587301579</v>
      </c>
      <c r="F67" s="66">
        <v>3.3</v>
      </c>
      <c r="G67" s="282"/>
      <c r="H67" s="76"/>
      <c r="I67" s="76">
        <v>5.3377569154690221</v>
      </c>
      <c r="J67" s="66">
        <v>3</v>
      </c>
      <c r="K67" s="67"/>
      <c r="L67" s="194"/>
      <c r="M67" s="194">
        <v>0.32596491228070179</v>
      </c>
      <c r="N67" s="68">
        <v>1</v>
      </c>
      <c r="P67" s="69"/>
    </row>
    <row r="68" spans="2:16" ht="15">
      <c r="B68" s="36" t="s">
        <v>15</v>
      </c>
      <c r="C68" s="65"/>
      <c r="D68" s="76"/>
      <c r="E68" s="76">
        <v>6.8851328044153277</v>
      </c>
      <c r="F68" s="70">
        <f>[21]May_2022!$M$43</f>
        <v>3.4878406700073312</v>
      </c>
      <c r="G68" s="282"/>
      <c r="H68" s="76"/>
      <c r="I68" s="76">
        <v>8.6614709463340702</v>
      </c>
      <c r="J68" s="66">
        <v>5.5</v>
      </c>
      <c r="K68" s="67"/>
      <c r="L68" s="194"/>
      <c r="M68" s="194">
        <v>0.73160818713450293</v>
      </c>
      <c r="N68" s="68">
        <v>1</v>
      </c>
      <c r="P68" s="69"/>
    </row>
    <row r="69" spans="2:16" ht="15">
      <c r="B69" s="37" t="s">
        <v>16</v>
      </c>
      <c r="C69" s="65"/>
      <c r="D69" s="76">
        <v>2.6328862394436081</v>
      </c>
      <c r="E69" s="76">
        <v>2.9297033255778997</v>
      </c>
      <c r="F69" s="66">
        <v>3.3</v>
      </c>
      <c r="G69" s="282"/>
      <c r="H69" s="76">
        <v>2.6328862394435983</v>
      </c>
      <c r="I69" s="76">
        <v>4.2684292436723528</v>
      </c>
      <c r="J69" s="66">
        <v>3.3</v>
      </c>
      <c r="K69" s="67"/>
      <c r="L69" s="194">
        <v>0.68771929824561406</v>
      </c>
      <c r="M69" s="194">
        <v>0.84660147761842675</v>
      </c>
      <c r="N69" s="71">
        <v>1</v>
      </c>
      <c r="P69" s="69"/>
    </row>
    <row r="70" spans="2:16" ht="15.75" thickBot="1">
      <c r="B70" s="38" t="s">
        <v>163</v>
      </c>
      <c r="C70" s="65"/>
      <c r="D70" s="76"/>
      <c r="E70" s="76">
        <v>11.483253588516746</v>
      </c>
      <c r="F70" s="66">
        <v>7.5</v>
      </c>
      <c r="G70" s="282"/>
      <c r="H70" s="76"/>
      <c r="I70" s="76">
        <v>9.7934336121043764</v>
      </c>
      <c r="J70" s="66">
        <v>7.5</v>
      </c>
      <c r="K70" s="67"/>
      <c r="M70" s="194">
        <v>0.32456140350877194</v>
      </c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>
        <v>7.2653644592663174</v>
      </c>
      <c r="F71" s="66">
        <v>4.8</v>
      </c>
      <c r="G71" s="282"/>
      <c r="H71" s="76"/>
      <c r="I71" s="76">
        <v>8.1715311054411259</v>
      </c>
      <c r="J71" s="66">
        <v>4.8</v>
      </c>
      <c r="K71" s="67"/>
      <c r="L71" s="194"/>
      <c r="M71" s="194">
        <v>0.51368421052631585</v>
      </c>
      <c r="N71" s="71">
        <v>1</v>
      </c>
      <c r="O71" s="74"/>
      <c r="P71" s="75"/>
    </row>
    <row r="72" spans="2:16" ht="15">
      <c r="D72" s="76">
        <v>6.0606060606060694</v>
      </c>
      <c r="E72" s="76">
        <v>6.1202361779345367</v>
      </c>
      <c r="F72" s="341">
        <v>5.5</v>
      </c>
      <c r="H72" s="76">
        <v>5.6739576433938366</v>
      </c>
      <c r="I72" s="76">
        <v>6.6187465624249677</v>
      </c>
      <c r="J72" s="341">
        <v>5.5</v>
      </c>
      <c r="L72" s="194">
        <v>0.51388053467000827</v>
      </c>
      <c r="M72" s="194">
        <v>0.68717674731182787</v>
      </c>
      <c r="N7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B35:B44"/>
    <mergeCell ref="D35:E36"/>
    <mergeCell ref="J35:K35"/>
    <mergeCell ref="L36:N36"/>
    <mergeCell ref="D37:E38"/>
    <mergeCell ref="D39:E40"/>
    <mergeCell ref="D41:E42"/>
    <mergeCell ref="D43:E44"/>
    <mergeCell ref="D45:E45"/>
    <mergeCell ref="B50:B51"/>
    <mergeCell ref="C50:C51"/>
    <mergeCell ref="D50:D51"/>
    <mergeCell ref="E50:E51"/>
    <mergeCell ref="M50:M51"/>
    <mergeCell ref="B61:F61"/>
    <mergeCell ref="G61:J61"/>
    <mergeCell ref="K61:N61"/>
    <mergeCell ref="G50:G51"/>
    <mergeCell ref="H50:H51"/>
    <mergeCell ref="I50:I51"/>
    <mergeCell ref="J50:J51"/>
    <mergeCell ref="K50:K51"/>
    <mergeCell ref="L50:L51"/>
    <mergeCell ref="F50:F51"/>
  </mergeCells>
  <conditionalFormatting sqref="B45:B46">
    <cfRule type="cellIs" dxfId="2587" priority="31" operator="notBetween">
      <formula>#REF!</formula>
      <formula>#REF!</formula>
    </cfRule>
  </conditionalFormatting>
  <conditionalFormatting sqref="C49">
    <cfRule type="cellIs" dxfId="2586" priority="195" stopIfTrue="1" operator="greaterThan">
      <formula>100</formula>
    </cfRule>
    <cfRule type="cellIs" dxfId="2585" priority="194" stopIfTrue="1" operator="lessThan">
      <formula>96</formula>
    </cfRule>
  </conditionalFormatting>
  <conditionalFormatting sqref="C63:C67">
    <cfRule type="cellIs" dxfId="2584" priority="148" stopIfTrue="1" operator="lessThanOrEqual">
      <formula>0</formula>
    </cfRule>
  </conditionalFormatting>
  <conditionalFormatting sqref="C63:C71">
    <cfRule type="cellIs" dxfId="2583" priority="147" stopIfTrue="1" operator="greaterThan">
      <formula>$F63</formula>
    </cfRule>
  </conditionalFormatting>
  <conditionalFormatting sqref="C64">
    <cfRule type="cellIs" dxfId="2582" priority="198" stopIfTrue="1" operator="greaterThan">
      <formula>$F63</formula>
    </cfRule>
  </conditionalFormatting>
  <conditionalFormatting sqref="C68">
    <cfRule type="cellIs" dxfId="2581" priority="87" stopIfTrue="1" operator="lessThanOrEqual">
      <formula>0</formula>
    </cfRule>
    <cfRule type="cellIs" dxfId="2580" priority="88" stopIfTrue="1" operator="greaterThan">
      <formula>$F67</formula>
    </cfRule>
  </conditionalFormatting>
  <conditionalFormatting sqref="C74:C78">
    <cfRule type="cellIs" dxfId="2579" priority="186" stopIfTrue="1" operator="lessThanOrEqual">
      <formula>0</formula>
    </cfRule>
  </conditionalFormatting>
  <conditionalFormatting sqref="C75:C78">
    <cfRule type="cellIs" dxfId="2578" priority="185" stopIfTrue="1" operator="greaterThan">
      <formula>$F$74</formula>
    </cfRule>
  </conditionalFormatting>
  <conditionalFormatting sqref="C80">
    <cfRule type="cellIs" dxfId="2577" priority="188" stopIfTrue="1" operator="lessThanOrEqual">
      <formula>0</formula>
    </cfRule>
    <cfRule type="cellIs" dxfId="2576" priority="187" stopIfTrue="1" operator="greaterThan">
      <formula>$F$74</formula>
    </cfRule>
  </conditionalFormatting>
  <conditionalFormatting sqref="C74:D74 D76:D82">
    <cfRule type="cellIs" dxfId="2575" priority="180" stopIfTrue="1" operator="greaterThan">
      <formula>4.5</formula>
    </cfRule>
  </conditionalFormatting>
  <conditionalFormatting sqref="D45:D46">
    <cfRule type="cellIs" dxfId="2574" priority="32" operator="notBetween">
      <formula>#REF!</formula>
      <formula>#REF!</formula>
    </cfRule>
  </conditionalFormatting>
  <conditionalFormatting sqref="D63:D70">
    <cfRule type="cellIs" dxfId="2573" priority="160" stopIfTrue="1" operator="lessThanOrEqual">
      <formula>0</formula>
    </cfRule>
  </conditionalFormatting>
  <conditionalFormatting sqref="D71">
    <cfRule type="cellIs" dxfId="2572" priority="159" stopIfTrue="1" operator="lessThanOrEqual">
      <formula>0</formula>
    </cfRule>
  </conditionalFormatting>
  <conditionalFormatting sqref="D74 D76:D82">
    <cfRule type="cellIs" dxfId="2571" priority="181" stopIfTrue="1" operator="lessThanOrEqual">
      <formula>0</formula>
    </cfRule>
  </conditionalFormatting>
  <conditionalFormatting sqref="D75">
    <cfRule type="cellIs" dxfId="2570" priority="172" stopIfTrue="1" operator="greaterThan">
      <formula>$F$74</formula>
    </cfRule>
    <cfRule type="cellIs" dxfId="2569" priority="173" stopIfTrue="1" operator="lessThanOrEqual">
      <formula>0</formula>
    </cfRule>
  </conditionalFormatting>
  <conditionalFormatting sqref="D63:E72">
    <cfRule type="cellIs" dxfId="2568" priority="145" stopIfTrue="1" operator="greaterThan">
      <formula>$F63</formula>
    </cfRule>
  </conditionalFormatting>
  <conditionalFormatting sqref="D72:E72">
    <cfRule type="cellIs" dxfId="2567" priority="146" stopIfTrue="1" operator="lessThanOrEqual">
      <formula>0</formula>
    </cfRule>
  </conditionalFormatting>
  <conditionalFormatting sqref="E10:E20">
    <cfRule type="cellIs" dxfId="2566" priority="20" operator="lessThan">
      <formula>48</formula>
    </cfRule>
  </conditionalFormatting>
  <conditionalFormatting sqref="E48 E49:F49">
    <cfRule type="cellIs" dxfId="2565" priority="177" stopIfTrue="1" operator="greaterThan">
      <formula>100</formula>
    </cfRule>
  </conditionalFormatting>
  <conditionalFormatting sqref="E49">
    <cfRule type="cellIs" dxfId="2564" priority="174" stopIfTrue="1" operator="lessThan">
      <formula>96.8</formula>
    </cfRule>
    <cfRule type="cellIs" dxfId="2563" priority="175" stopIfTrue="1" operator="greaterThan">
      <formula>100</formula>
    </cfRule>
  </conditionalFormatting>
  <conditionalFormatting sqref="E63:E71">
    <cfRule type="cellIs" dxfId="2562" priority="156" stopIfTrue="1" operator="lessThanOrEqual">
      <formula>0</formula>
    </cfRule>
  </conditionalFormatting>
  <conditionalFormatting sqref="E74:E82">
    <cfRule type="cellIs" dxfId="2561" priority="167" stopIfTrue="1" operator="lessThanOrEqual">
      <formula>0</formula>
    </cfRule>
    <cfRule type="cellIs" dxfId="2560" priority="166" stopIfTrue="1" operator="greaterThan">
      <formula>4.5</formula>
    </cfRule>
  </conditionalFormatting>
  <conditionalFormatting sqref="E49:F49 E48">
    <cfRule type="cellIs" dxfId="2559" priority="176" stopIfTrue="1" operator="lessThan">
      <formula>96.5</formula>
    </cfRule>
  </conditionalFormatting>
  <conditionalFormatting sqref="F10:F20">
    <cfRule type="cellIs" dxfId="2558" priority="21" operator="greaterThan">
      <formula>60</formula>
    </cfRule>
  </conditionalFormatting>
  <conditionalFormatting sqref="F49">
    <cfRule type="cellIs" dxfId="2557" priority="192" stopIfTrue="1" operator="lessThan">
      <formula>96.8</formula>
    </cfRule>
    <cfRule type="cellIs" dxfId="2556" priority="193" stopIfTrue="1" operator="greaterThan">
      <formula>100</formula>
    </cfRule>
  </conditionalFormatting>
  <conditionalFormatting sqref="F72">
    <cfRule type="cellIs" dxfId="2555" priority="157" stopIfTrue="1" operator="greaterThan">
      <formula>$F72</formula>
    </cfRule>
    <cfRule type="cellIs" dxfId="2554" priority="158" stopIfTrue="1" operator="lessThanOrEqual">
      <formula>0</formula>
    </cfRule>
  </conditionalFormatting>
  <conditionalFormatting sqref="G10:G14">
    <cfRule type="expression" dxfId="2553" priority="25">
      <formula>IF(+(IF(G10&lt;S10,0,IF(G10&gt;T10,0,1)))=0,1)</formula>
    </cfRule>
  </conditionalFormatting>
  <conditionalFormatting sqref="G63:G64 C69:C71">
    <cfRule type="cellIs" dxfId="2552" priority="162" stopIfTrue="1" operator="lessThanOrEqual">
      <formula>0</formula>
    </cfRule>
  </conditionalFormatting>
  <conditionalFormatting sqref="G63:G64">
    <cfRule type="cellIs" dxfId="2551" priority="161" stopIfTrue="1" operator="greaterThan">
      <formula>$F63</formula>
    </cfRule>
    <cfRule type="cellIs" dxfId="2550" priority="150" stopIfTrue="1" operator="lessThanOrEqual">
      <formula>0</formula>
    </cfRule>
    <cfRule type="cellIs" dxfId="2549" priority="149" stopIfTrue="1" operator="greaterThan">
      <formula>$F63</formula>
    </cfRule>
  </conditionalFormatting>
  <conditionalFormatting sqref="G65">
    <cfRule type="cellIs" dxfId="2548" priority="196" stopIfTrue="1" operator="greaterThan">
      <formula>$F64</formula>
    </cfRule>
    <cfRule type="cellIs" dxfId="2547" priority="197" stopIfTrue="1" operator="lessThanOrEqual">
      <formula>0</formula>
    </cfRule>
  </conditionalFormatting>
  <conditionalFormatting sqref="G66">
    <cfRule type="cellIs" dxfId="2546" priority="27" stopIfTrue="1" operator="greaterThan">
      <formula>$F66</formula>
    </cfRule>
    <cfRule type="cellIs" dxfId="2545" priority="28" stopIfTrue="1" operator="lessThanOrEqual">
      <formula>0</formula>
    </cfRule>
    <cfRule type="cellIs" dxfId="2544" priority="29" stopIfTrue="1" operator="greaterThan">
      <formula>$F66</formula>
    </cfRule>
    <cfRule type="cellIs" dxfId="2543" priority="30" stopIfTrue="1" operator="lessThanOrEqual">
      <formula>0</formula>
    </cfRule>
  </conditionalFormatting>
  <conditionalFormatting sqref="G67:G71">
    <cfRule type="cellIs" dxfId="2542" priority="163" stopIfTrue="1" operator="greaterThan">
      <formula>$J67</formula>
    </cfRule>
    <cfRule type="cellIs" dxfId="2541" priority="164" stopIfTrue="1" operator="lessThanOrEqual">
      <formula>0</formula>
    </cfRule>
  </conditionalFormatting>
  <conditionalFormatting sqref="G76:G81 C79 C81">
    <cfRule type="cellIs" dxfId="2540" priority="189" stopIfTrue="1" operator="greaterThan">
      <formula>4.5</formula>
    </cfRule>
    <cfRule type="cellIs" dxfId="2539" priority="190" stopIfTrue="1" operator="lessThanOrEqual">
      <formula>0</formula>
    </cfRule>
  </conditionalFormatting>
  <conditionalFormatting sqref="G75:H75">
    <cfRule type="cellIs" dxfId="2538" priority="171" stopIfTrue="1" operator="lessThanOrEqual">
      <formula>0</formula>
    </cfRule>
    <cfRule type="cellIs" dxfId="2537" priority="170" stopIfTrue="1" operator="greaterThan">
      <formula>$F$74</formula>
    </cfRule>
  </conditionalFormatting>
  <conditionalFormatting sqref="H34:H48 I36:I47">
    <cfRule type="cellIs" dxfId="2536" priority="168" stopIfTrue="1" operator="greaterThan">
      <formula>0</formula>
    </cfRule>
  </conditionalFormatting>
  <conditionalFormatting sqref="H52">
    <cfRule type="cellIs" dxfId="2535" priority="2" stopIfTrue="1" operator="lessThanOrEqual">
      <formula>0</formula>
    </cfRule>
    <cfRule type="cellIs" dxfId="2534" priority="3" stopIfTrue="1" operator="greaterThan">
      <formula>$F$69</formula>
    </cfRule>
    <cfRule type="cellIs" dxfId="2533" priority="11" stopIfTrue="1" operator="greaterThan">
      <formula>$F$72</formula>
    </cfRule>
    <cfRule type="cellIs" dxfId="2532" priority="13" stopIfTrue="1" operator="greaterThan">
      <formula>$F$70</formula>
    </cfRule>
    <cfRule type="cellIs" dxfId="2531" priority="14" stopIfTrue="1" operator="lessThanOrEqual">
      <formula>0</formula>
    </cfRule>
    <cfRule type="cellIs" dxfId="2530" priority="12" stopIfTrue="1" operator="lessThanOrEqual">
      <formula>0</formula>
    </cfRule>
  </conditionalFormatting>
  <conditionalFormatting sqref="H53">
    <cfRule type="cellIs" dxfId="2529" priority="105" stopIfTrue="1" operator="greaterThan">
      <formula>#REF!</formula>
    </cfRule>
    <cfRule type="cellIs" dxfId="2528" priority="104" stopIfTrue="1" operator="lessThanOrEqual">
      <formula>0</formula>
    </cfRule>
    <cfRule type="cellIs" dxfId="2527" priority="113" stopIfTrue="1" operator="greaterThan">
      <formula>$F$21</formula>
    </cfRule>
    <cfRule type="cellIs" dxfId="2526" priority="116" stopIfTrue="1" operator="lessThanOrEqual">
      <formula>0</formula>
    </cfRule>
    <cfRule type="cellIs" dxfId="2525" priority="115" stopIfTrue="1" operator="greaterThan">
      <formula>#REF!</formula>
    </cfRule>
    <cfRule type="cellIs" dxfId="2524" priority="114" stopIfTrue="1" operator="lessThanOrEqual">
      <formula>0</formula>
    </cfRule>
  </conditionalFormatting>
  <conditionalFormatting sqref="H54">
    <cfRule type="cellIs" dxfId="2523" priority="73" stopIfTrue="1" operator="greaterThan">
      <formula>$F$64</formula>
    </cfRule>
    <cfRule type="cellIs" dxfId="2522" priority="81" stopIfTrue="1" operator="greaterThan">
      <formula>$F$67</formula>
    </cfRule>
    <cfRule type="cellIs" dxfId="2521" priority="83" stopIfTrue="1" operator="greaterThan">
      <formula>$F$65</formula>
    </cfRule>
    <cfRule type="cellIs" dxfId="2520" priority="84" stopIfTrue="1" operator="lessThanOrEqual">
      <formula>0</formula>
    </cfRule>
    <cfRule type="cellIs" dxfId="2519" priority="72" stopIfTrue="1" operator="lessThanOrEqual">
      <formula>0</formula>
    </cfRule>
    <cfRule type="cellIs" dxfId="2518" priority="82" stopIfTrue="1" operator="lessThanOrEqual">
      <formula>0</formula>
    </cfRule>
  </conditionalFormatting>
  <conditionalFormatting sqref="H55:H56">
    <cfRule type="cellIs" dxfId="2517" priority="90" stopIfTrue="1" operator="lessThanOrEqual">
      <formula>0</formula>
    </cfRule>
    <cfRule type="cellIs" dxfId="2516" priority="91" stopIfTrue="1" operator="greaterThan">
      <formula>#REF!</formula>
    </cfRule>
    <cfRule type="cellIs" dxfId="2515" priority="99" stopIfTrue="1" operator="greaterThan">
      <formula>$F$20</formula>
    </cfRule>
    <cfRule type="cellIs" dxfId="2514" priority="100" stopIfTrue="1" operator="lessThanOrEqual">
      <formula>0</formula>
    </cfRule>
    <cfRule type="cellIs" dxfId="2513" priority="101" stopIfTrue="1" operator="greaterThan">
      <formula>#REF!</formula>
    </cfRule>
    <cfRule type="cellIs" dxfId="2512" priority="102" stopIfTrue="1" operator="lessThanOrEqual">
      <formula>0</formula>
    </cfRule>
  </conditionalFormatting>
  <conditionalFormatting sqref="H57">
    <cfRule type="cellIs" dxfId="2511" priority="130" stopIfTrue="1" operator="greaterThan">
      <formula>$F$34</formula>
    </cfRule>
    <cfRule type="cellIs" dxfId="2510" priority="131" stopIfTrue="1" operator="lessThanOrEqual">
      <formula>0</formula>
    </cfRule>
    <cfRule type="cellIs" dxfId="2509" priority="128" stopIfTrue="1" operator="greaterThan">
      <formula>$F$36</formula>
    </cfRule>
    <cfRule type="cellIs" dxfId="2508" priority="120" stopIfTrue="1" operator="greaterThan">
      <formula>$F$33</formula>
    </cfRule>
    <cfRule type="cellIs" dxfId="2507" priority="119" stopIfTrue="1" operator="lessThanOrEqual">
      <formula>0</formula>
    </cfRule>
    <cfRule type="cellIs" dxfId="2506" priority="129" stopIfTrue="1" operator="lessThanOrEqual">
      <formula>0</formula>
    </cfRule>
  </conditionalFormatting>
  <conditionalFormatting sqref="H58:H59">
    <cfRule type="cellIs" dxfId="2505" priority="51" stopIfTrue="1" operator="greaterThan">
      <formula>$F$20</formula>
    </cfRule>
    <cfRule type="cellIs" dxfId="2504" priority="52" stopIfTrue="1" operator="lessThanOrEqual">
      <formula>0</formula>
    </cfRule>
    <cfRule type="cellIs" dxfId="2503" priority="53" stopIfTrue="1" operator="greaterThan">
      <formula>#REF!</formula>
    </cfRule>
    <cfRule type="cellIs" dxfId="2502" priority="54" stopIfTrue="1" operator="lessThanOrEqual">
      <formula>0</formula>
    </cfRule>
    <cfRule type="cellIs" dxfId="2501" priority="43" stopIfTrue="1" operator="greaterThan">
      <formula>#REF!</formula>
    </cfRule>
    <cfRule type="cellIs" dxfId="2500" priority="42" stopIfTrue="1" operator="lessThanOrEqual">
      <formula>0</formula>
    </cfRule>
  </conditionalFormatting>
  <conditionalFormatting sqref="H63:H70">
    <cfRule type="cellIs" dxfId="2499" priority="152" stopIfTrue="1" operator="lessThanOrEqual">
      <formula>0</formula>
    </cfRule>
    <cfRule type="cellIs" dxfId="2498" priority="151" stopIfTrue="1" operator="greaterThan">
      <formula>$J63</formula>
    </cfRule>
  </conditionalFormatting>
  <conditionalFormatting sqref="H71">
    <cfRule type="cellIs" dxfId="2497" priority="153" operator="greaterThan">
      <formula>5.3</formula>
    </cfRule>
  </conditionalFormatting>
  <conditionalFormatting sqref="H74 H76:H82">
    <cfRule type="cellIs" dxfId="2496" priority="182" stopIfTrue="1" operator="greaterThan">
      <formula>4.5</formula>
    </cfRule>
    <cfRule type="cellIs" dxfId="2495" priority="183" stopIfTrue="1" operator="lessThanOrEqual">
      <formula>0</formula>
    </cfRule>
  </conditionalFormatting>
  <conditionalFormatting sqref="H52:I52">
    <cfRule type="cellIs" dxfId="2494" priority="1" stopIfTrue="1" operator="greaterThan">
      <formula>$F$71</formula>
    </cfRule>
    <cfRule type="cellIs" dxfId="2493" priority="4" stopIfTrue="1" operator="lessThanOrEqual">
      <formula>0</formula>
    </cfRule>
  </conditionalFormatting>
  <conditionalFormatting sqref="H53:I53">
    <cfRule type="cellIs" dxfId="2492" priority="106" stopIfTrue="1" operator="lessThanOrEqual">
      <formula>0</formula>
    </cfRule>
    <cfRule type="cellIs" dxfId="2491" priority="103" stopIfTrue="1" operator="greaterThan">
      <formula>$F$20</formula>
    </cfRule>
  </conditionalFormatting>
  <conditionalFormatting sqref="H54:I54">
    <cfRule type="cellIs" dxfId="2490" priority="71" stopIfTrue="1" operator="greaterThan">
      <formula>$F$66</formula>
    </cfRule>
    <cfRule type="cellIs" dxfId="2489" priority="74" stopIfTrue="1" operator="lessThanOrEqual">
      <formula>0</formula>
    </cfRule>
  </conditionalFormatting>
  <conditionalFormatting sqref="H55:I56">
    <cfRule type="cellIs" dxfId="2488" priority="92" stopIfTrue="1" operator="lessThanOrEqual">
      <formula>0</formula>
    </cfRule>
    <cfRule type="cellIs" dxfId="2487" priority="89" stopIfTrue="1" operator="greaterThan">
      <formula>#REF!</formula>
    </cfRule>
  </conditionalFormatting>
  <conditionalFormatting sqref="H57:I57">
    <cfRule type="cellIs" dxfId="2486" priority="118" stopIfTrue="1" operator="greaterThan">
      <formula>$F$35</formula>
    </cfRule>
    <cfRule type="cellIs" dxfId="2485" priority="121" stopIfTrue="1" operator="lessThanOrEqual">
      <formula>0</formula>
    </cfRule>
  </conditionalFormatting>
  <conditionalFormatting sqref="H58:I59">
    <cfRule type="cellIs" dxfId="2484" priority="44" stopIfTrue="1" operator="lessThanOrEqual">
      <formula>0</formula>
    </cfRule>
    <cfRule type="cellIs" dxfId="2483" priority="41" stopIfTrue="1" operator="greaterThan">
      <formula>#REF!</formula>
    </cfRule>
  </conditionalFormatting>
  <conditionalFormatting sqref="H72:I72">
    <cfRule type="cellIs" dxfId="2482" priority="143" stopIfTrue="1" operator="greaterThan">
      <formula>$J72</formula>
    </cfRule>
    <cfRule type="cellIs" dxfId="2481" priority="144" stopIfTrue="1" operator="lessThanOrEqual">
      <formula>0</formula>
    </cfRule>
  </conditionalFormatting>
  <conditionalFormatting sqref="I52">
    <cfRule type="cellIs" dxfId="2480" priority="8" stopIfTrue="1" operator="lessThanOrEqual">
      <formula>0</formula>
    </cfRule>
    <cfRule type="cellIs" dxfId="2479" priority="6" stopIfTrue="1" operator="lessThanOrEqual">
      <formula>0</formula>
    </cfRule>
    <cfRule type="cellIs" dxfId="2478" priority="5" stopIfTrue="1" operator="greaterThan">
      <formula>$F$69</formula>
    </cfRule>
    <cfRule type="cellIs" dxfId="2477" priority="10" stopIfTrue="1" operator="lessThanOrEqual">
      <formula>0</formula>
    </cfRule>
    <cfRule type="cellIs" dxfId="2476" priority="9" stopIfTrue="1" operator="greaterThan">
      <formula>$F$69</formula>
    </cfRule>
    <cfRule type="cellIs" dxfId="2475" priority="7" stopIfTrue="1" operator="greaterThan">
      <formula>$F$71</formula>
    </cfRule>
  </conditionalFormatting>
  <conditionalFormatting sqref="I53">
    <cfRule type="cellIs" dxfId="2474" priority="112" stopIfTrue="1" operator="lessThanOrEqual">
      <formula>0</formula>
    </cfRule>
    <cfRule type="cellIs" dxfId="2473" priority="111" stopIfTrue="1" operator="greaterThan">
      <formula>#REF!</formula>
    </cfRule>
    <cfRule type="cellIs" dxfId="2472" priority="107" stopIfTrue="1" operator="greaterThan">
      <formula>#REF!</formula>
    </cfRule>
    <cfRule type="cellIs" dxfId="2471" priority="108" stopIfTrue="1" operator="lessThanOrEqual">
      <formula>0</formula>
    </cfRule>
    <cfRule type="cellIs" dxfId="2470" priority="109" stopIfTrue="1" operator="greaterThan">
      <formula>$F$20</formula>
    </cfRule>
    <cfRule type="cellIs" dxfId="2469" priority="110" stopIfTrue="1" operator="lessThanOrEqual">
      <formula>0</formula>
    </cfRule>
  </conditionalFormatting>
  <conditionalFormatting sqref="I54">
    <cfRule type="cellIs" dxfId="2468" priority="75" stopIfTrue="1" operator="greaterThan">
      <formula>$F$64</formula>
    </cfRule>
    <cfRule type="cellIs" dxfId="2467" priority="76" stopIfTrue="1" operator="lessThanOrEqual">
      <formula>0</formula>
    </cfRule>
    <cfRule type="cellIs" dxfId="2466" priority="80" stopIfTrue="1" operator="lessThanOrEqual">
      <formula>0</formula>
    </cfRule>
    <cfRule type="cellIs" dxfId="2465" priority="79" stopIfTrue="1" operator="greaterThan">
      <formula>$F$64</formula>
    </cfRule>
    <cfRule type="cellIs" dxfId="2464" priority="78" stopIfTrue="1" operator="lessThanOrEqual">
      <formula>0</formula>
    </cfRule>
    <cfRule type="cellIs" dxfId="2463" priority="77" stopIfTrue="1" operator="greaterThan">
      <formula>$F$66</formula>
    </cfRule>
  </conditionalFormatting>
  <conditionalFormatting sqref="I55:I56">
    <cfRule type="cellIs" dxfId="2462" priority="95" stopIfTrue="1" operator="greaterThan">
      <formula>#REF!</formula>
    </cfRule>
    <cfRule type="cellIs" dxfId="2461" priority="96" stopIfTrue="1" operator="lessThanOrEqual">
      <formula>0</formula>
    </cfRule>
    <cfRule type="cellIs" dxfId="2460" priority="94" stopIfTrue="1" operator="lessThanOrEqual">
      <formula>0</formula>
    </cfRule>
    <cfRule type="cellIs" dxfId="2459" priority="97" stopIfTrue="1" operator="greaterThan">
      <formula>#REF!</formula>
    </cfRule>
    <cfRule type="cellIs" dxfId="2458" priority="98" stopIfTrue="1" operator="lessThanOrEqual">
      <formula>0</formula>
    </cfRule>
    <cfRule type="cellIs" dxfId="2457" priority="93" stopIfTrue="1" operator="greaterThan">
      <formula>#REF!</formula>
    </cfRule>
  </conditionalFormatting>
  <conditionalFormatting sqref="I57">
    <cfRule type="cellIs" dxfId="2456" priority="124" stopIfTrue="1" operator="greaterThan">
      <formula>$F$35</formula>
    </cfRule>
    <cfRule type="cellIs" dxfId="2455" priority="125" stopIfTrue="1" operator="lessThanOrEqual">
      <formula>0</formula>
    </cfRule>
    <cfRule type="cellIs" dxfId="2454" priority="123" stopIfTrue="1" operator="lessThanOrEqual">
      <formula>0</formula>
    </cfRule>
    <cfRule type="cellIs" dxfId="2453" priority="122" stopIfTrue="1" operator="greaterThan">
      <formula>$F$33</formula>
    </cfRule>
    <cfRule type="cellIs" dxfId="2452" priority="127" stopIfTrue="1" operator="lessThanOrEqual">
      <formula>0</formula>
    </cfRule>
    <cfRule type="cellIs" dxfId="2451" priority="126" stopIfTrue="1" operator="greaterThan">
      <formula>$F$33</formula>
    </cfRule>
  </conditionalFormatting>
  <conditionalFormatting sqref="I58:I59">
    <cfRule type="cellIs" dxfId="2450" priority="47" stopIfTrue="1" operator="greaterThan">
      <formula>#REF!</formula>
    </cfRule>
    <cfRule type="cellIs" dxfId="2449" priority="46" stopIfTrue="1" operator="lessThanOrEqual">
      <formula>0</formula>
    </cfRule>
    <cfRule type="cellIs" dxfId="2448" priority="50" stopIfTrue="1" operator="lessThanOrEqual">
      <formula>0</formula>
    </cfRule>
    <cfRule type="cellIs" dxfId="2447" priority="49" stopIfTrue="1" operator="greaterThan">
      <formula>#REF!</formula>
    </cfRule>
    <cfRule type="cellIs" dxfId="2446" priority="48" stopIfTrue="1" operator="lessThanOrEqual">
      <formula>0</formula>
    </cfRule>
    <cfRule type="cellIs" dxfId="2445" priority="45" stopIfTrue="1" operator="greaterThan">
      <formula>#REF!</formula>
    </cfRule>
  </conditionalFormatting>
  <conditionalFormatting sqref="I63:I71">
    <cfRule type="cellIs" dxfId="2444" priority="154" stopIfTrue="1" operator="greaterThan">
      <formula>$J63</formula>
    </cfRule>
    <cfRule type="cellIs" dxfId="2443" priority="155" stopIfTrue="1" operator="lessThanOrEqual">
      <formula>0</formula>
    </cfRule>
  </conditionalFormatting>
  <conditionalFormatting sqref="I74:I82">
    <cfRule type="cellIs" dxfId="2442" priority="179" stopIfTrue="1" operator="lessThanOrEqual">
      <formula>0</formula>
    </cfRule>
    <cfRule type="cellIs" dxfId="2441" priority="178" stopIfTrue="1" operator="greaterThan">
      <formula>4.5</formula>
    </cfRule>
  </conditionalFormatting>
  <conditionalFormatting sqref="I10:J20">
    <cfRule type="cellIs" dxfId="2440" priority="16" operator="lessThan">
      <formula>97.9</formula>
    </cfRule>
  </conditionalFormatting>
  <conditionalFormatting sqref="J24:J25">
    <cfRule type="cellIs" dxfId="2439" priority="134" stopIfTrue="1" operator="greaterThan">
      <formula>100</formula>
    </cfRule>
    <cfRule type="cellIs" dxfId="2438" priority="135" operator="lessThan">
      <formula>98</formula>
    </cfRule>
    <cfRule type="cellIs" dxfId="2437" priority="133" stopIfTrue="1" operator="lessThan">
      <formula>96.8</formula>
    </cfRule>
  </conditionalFormatting>
  <conditionalFormatting sqref="J24:J27">
    <cfRule type="cellIs" dxfId="2436" priority="132" operator="lessThan">
      <formula>97.4</formula>
    </cfRule>
  </conditionalFormatting>
  <conditionalFormatting sqref="J28:J29">
    <cfRule type="cellIs" dxfId="2435" priority="136" operator="lessThan">
      <formula>98</formula>
    </cfRule>
  </conditionalFormatting>
  <conditionalFormatting sqref="J30:J31">
    <cfRule type="cellIs" dxfId="2434" priority="137" stopIfTrue="1" operator="lessThan">
      <formula>96.8</formula>
    </cfRule>
    <cfRule type="cellIs" dxfId="2433" priority="138" stopIfTrue="1" operator="greaterThan">
      <formula>100</formula>
    </cfRule>
  </conditionalFormatting>
  <conditionalFormatting sqref="J30:J32">
    <cfRule type="cellIs" dxfId="2432" priority="139" operator="lessThan">
      <formula>98</formula>
    </cfRule>
  </conditionalFormatting>
  <conditionalFormatting sqref="J59">
    <cfRule type="cellIs" dxfId="2431" priority="36" stopIfTrue="1" operator="lessThanOrEqual">
      <formula>0</formula>
    </cfRule>
    <cfRule type="cellIs" dxfId="2430" priority="40" stopIfTrue="1" operator="lessThanOrEqual">
      <formula>0</formula>
    </cfRule>
    <cfRule type="cellIs" dxfId="2429" priority="39" stopIfTrue="1" operator="greaterThan">
      <formula>#REF!</formula>
    </cfRule>
    <cfRule type="cellIs" dxfId="2428" priority="38" stopIfTrue="1" operator="lessThanOrEqual">
      <formula>0</formula>
    </cfRule>
    <cfRule type="cellIs" dxfId="2427" priority="37" stopIfTrue="1" operator="greaterThan">
      <formula>#REF!</formula>
    </cfRule>
    <cfRule type="cellIs" dxfId="2426" priority="35" stopIfTrue="1" operator="greaterThan">
      <formula>#REF!</formula>
    </cfRule>
    <cfRule type="cellIs" dxfId="2425" priority="33" stopIfTrue="1" operator="greaterThan">
      <formula>#REF!</formula>
    </cfRule>
    <cfRule type="cellIs" dxfId="2424" priority="34" stopIfTrue="1" operator="lessThanOrEqual">
      <formula>0</formula>
    </cfRule>
  </conditionalFormatting>
  <conditionalFormatting sqref="J72">
    <cfRule type="cellIs" dxfId="2423" priority="140" stopIfTrue="1" operator="greaterThan">
      <formula>$F72</formula>
    </cfRule>
    <cfRule type="cellIs" dxfId="2422" priority="141" stopIfTrue="1" operator="lessThanOrEqual">
      <formula>0</formula>
    </cfRule>
  </conditionalFormatting>
  <conditionalFormatting sqref="K10:K20">
    <cfRule type="cellIs" dxfId="2421" priority="18" operator="lessThan">
      <formula>4</formula>
    </cfRule>
    <cfRule type="cellIs" dxfId="2420" priority="17" operator="greaterThan">
      <formula>6</formula>
    </cfRule>
    <cfRule type="cellIs" dxfId="2419" priority="19" operator="greaterThan">
      <formula>6.4</formula>
    </cfRule>
  </conditionalFormatting>
  <conditionalFormatting sqref="K52:K59 K63:N69 K70 M70:N70 K71:N71">
    <cfRule type="cellIs" dxfId="2418" priority="117" stopIfTrue="1" operator="lessThan">
      <formula>100%</formula>
    </cfRule>
  </conditionalFormatting>
  <conditionalFormatting sqref="K74:K79">
    <cfRule type="cellIs" dxfId="2417" priority="184" stopIfTrue="1" operator="lessThan">
      <formula>100%</formula>
    </cfRule>
  </conditionalFormatting>
  <conditionalFormatting sqref="K81:K82">
    <cfRule type="cellIs" dxfId="2416" priority="191" stopIfTrue="1" operator="lessThan">
      <formula>100%</formula>
    </cfRule>
  </conditionalFormatting>
  <conditionalFormatting sqref="L10:L14 L15:M19">
    <cfRule type="cellIs" dxfId="2415" priority="23" operator="greaterThan">
      <formula>65</formula>
    </cfRule>
    <cfRule type="cellIs" dxfId="2414" priority="22" operator="between">
      <formula>61</formula>
      <formula>65</formula>
    </cfRule>
  </conditionalFormatting>
  <conditionalFormatting sqref="L20">
    <cfRule type="cellIs" dxfId="2413" priority="70" operator="greaterThan">
      <formula>65</formula>
    </cfRule>
    <cfRule type="cellIs" dxfId="2412" priority="69" operator="between">
      <formula>61</formula>
      <formula>65</formula>
    </cfRule>
  </conditionalFormatting>
  <conditionalFormatting sqref="L23:M34">
    <cfRule type="cellIs" dxfId="2411" priority="85" operator="lessThan">
      <formula>97.95</formula>
    </cfRule>
  </conditionalFormatting>
  <conditionalFormatting sqref="L38:N38">
    <cfRule type="cellIs" dxfId="2410" priority="86" operator="notEqual">
      <formula>#REF!</formula>
    </cfRule>
  </conditionalFormatting>
  <conditionalFormatting sqref="L72:N72">
    <cfRule type="cellIs" dxfId="2409" priority="142" stopIfTrue="1" operator="lessThan">
      <formula>100%</formula>
    </cfRule>
  </conditionalFormatting>
  <conditionalFormatting sqref="L74:N82">
    <cfRule type="cellIs" dxfId="2408" priority="169" stopIfTrue="1" operator="lessThan">
      <formula>100%</formula>
    </cfRule>
  </conditionalFormatting>
  <conditionalFormatting sqref="M10:M14">
    <cfRule type="expression" dxfId="2407" priority="24">
      <formula>IF(+(IF(M10&lt;U10,0,IF(M10&gt;V10,0,1)))=0,1)</formula>
    </cfRule>
  </conditionalFormatting>
  <conditionalFormatting sqref="M15:M19 H10:H14 G15:H20">
    <cfRule type="expression" dxfId="2406" priority="26">
      <formula>IF(+(IF(G10&lt;#REF!,0,IF(G10&gt;#REF!,0,1)))=0,1)</formula>
    </cfRule>
  </conditionalFormatting>
  <conditionalFormatting sqref="M20:N20">
    <cfRule type="expression" dxfId="2405" priority="199">
      <formula>IF(+(IF(M20&lt;#REF!,0,IF(M20&gt;#REF!,0,1)))=0,1)</formula>
    </cfRule>
  </conditionalFormatting>
  <conditionalFormatting sqref="N10:N19">
    <cfRule type="expression" dxfId="2404" priority="15">
      <formula>IF(+(IF(N10&lt;W10,0,IF(N10&gt;X10,0,1)))=0,1)</formula>
    </cfRule>
  </conditionalFormatting>
  <conditionalFormatting sqref="P6">
    <cfRule type="cellIs" dxfId="2403" priority="165" operator="greaterThanOrEqual">
      <formula>19</formula>
    </cfRule>
  </conditionalFormatting>
  <dataValidations disablePrompts="1" count="1">
    <dataValidation type="list" allowBlank="1" showInputMessage="1" showErrorMessage="1" sqref="R8" xr:uid="{B02692AD-1D23-4763-8854-1B1662547FC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59D2-E4DA-44CD-BF4B-7DF40A6D1FC6}">
  <sheetPr>
    <pageSetUpPr fitToPage="1"/>
  </sheetPr>
  <dimension ref="A1:BE78"/>
  <sheetViews>
    <sheetView topLeftCell="A24" zoomScale="70" zoomScaleNormal="70" workbookViewId="0">
      <selection activeCell="D20" sqref="D20:D2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45975</v>
      </c>
      <c r="J4" s="398" t="s">
        <v>166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9" t="s">
        <v>6</v>
      </c>
      <c r="C10" s="366" t="str">
        <f>[24]Brewhouse!$A954</f>
        <v>CA839</v>
      </c>
      <c r="D10" s="279">
        <f>[24]Brewhouse!$AF954</f>
        <v>50.9</v>
      </c>
      <c r="E10" s="279">
        <f>[24]Brewhouse!$AI954</f>
        <v>48.3</v>
      </c>
      <c r="F10" s="278">
        <f>[24]Brewhouse!$V954</f>
        <v>61</v>
      </c>
      <c r="G10" s="279">
        <f>[24]Brewhouse!AG954</f>
        <v>11.9</v>
      </c>
      <c r="H10" s="396">
        <v>11.7</v>
      </c>
      <c r="I10" s="368">
        <f>[24]Brewhouse!$AU954</f>
        <v>94.288174528256974</v>
      </c>
      <c r="J10" s="368">
        <f>[24]Brewhouse!$AV954</f>
        <v>94.777294234189043</v>
      </c>
      <c r="K10" s="281">
        <f>[24]Brewhouse!$Q954</f>
        <v>6.0754716981132049</v>
      </c>
      <c r="L10" s="276">
        <f>[24]Brewhouse!$P954</f>
        <v>60</v>
      </c>
      <c r="M10" s="397">
        <f>[24]Brewhouse!$U954-[24]Brewhouse!$T954</f>
        <v>0.11388888888888887</v>
      </c>
      <c r="N10" s="370">
        <f>[24]Brewhouse!$Z954</f>
        <v>0.23958333333333331</v>
      </c>
      <c r="O10" s="421" t="str">
        <f>[24]Brewhouse!$AX954</f>
        <v>K. Benjamin</v>
      </c>
      <c r="P10" s="418"/>
      <c r="R10" s="277" t="str">
        <f t="shared" ref="R10:R24" si="0">B10</f>
        <v>CARIB</v>
      </c>
      <c r="S10" s="296">
        <f t="shared" ref="S10:S16" si="1">VLOOKUP($B10,$R$3:$X$9,2,FALSE)</f>
        <v>11.6</v>
      </c>
      <c r="T10" s="296">
        <f t="shared" ref="T10:T16" si="2">VLOOKUP($B10,$R$3:$X$9,3,FALSE)</f>
        <v>12</v>
      </c>
      <c r="U10" s="297">
        <f t="shared" ref="U10:U16" si="3">VLOOKUP($B10,$R$3:$X$9,4,FALSE)</f>
        <v>0</v>
      </c>
      <c r="V10" s="297">
        <f t="shared" ref="V10:V16" si="4">VLOOKUP($B10,$R$3:$X$9,5,FALSE)</f>
        <v>0.118055555555556</v>
      </c>
      <c r="W10" s="297">
        <f t="shared" ref="W10:W16" si="5">VLOOKUP($B10,$R$3:$X$9,6,FALSE)</f>
        <v>0.22569444444444445</v>
      </c>
      <c r="X10" s="297">
        <f t="shared" ref="X10:X16" si="6">VLOOKUP($B10,$R$3:$X$9,7,FALSE)</f>
        <v>0.2638888888888889</v>
      </c>
      <c r="Y10" s="297">
        <f t="shared" ref="Y10:Y16" si="7">VLOOKUP($B10,$R$3:$Z$9,8,FALSE)</f>
        <v>0</v>
      </c>
      <c r="Z10" s="296">
        <f t="shared" ref="Z10:Z16" si="8">VLOOKUP($B10,$R$3:$Z$9,9,FALSE)</f>
        <v>60</v>
      </c>
    </row>
    <row r="11" spans="2:29" ht="15" customHeight="1">
      <c r="B11" s="29" t="s">
        <v>6</v>
      </c>
      <c r="C11" s="366" t="str">
        <f>[24]Brewhouse!$A955</f>
        <v>CA840</v>
      </c>
      <c r="D11" s="279">
        <f>[24]Brewhouse!$AF955</f>
        <v>51.1</v>
      </c>
      <c r="E11" s="279">
        <f>[24]Brewhouse!$AI955</f>
        <v>49.4</v>
      </c>
      <c r="F11" s="278">
        <f>[24]Brewhouse!$V955</f>
        <v>57</v>
      </c>
      <c r="G11" s="279">
        <f>[24]Brewhouse!AG955</f>
        <v>11.9</v>
      </c>
      <c r="H11" s="396">
        <v>12</v>
      </c>
      <c r="I11" s="368">
        <f>[24]Brewhouse!$AU955</f>
        <v>97.628442380814946</v>
      </c>
      <c r="J11" s="368">
        <f>[24]Brewhouse!$AV955</f>
        <v>98.134485184732355</v>
      </c>
      <c r="K11" s="281">
        <f>[24]Brewhouse!$Q955</f>
        <v>4.9433962264150892</v>
      </c>
      <c r="L11" s="276">
        <f>[24]Brewhouse!$P955</f>
        <v>61</v>
      </c>
      <c r="M11" s="397">
        <f>[24]Brewhouse!$U955-[24]Brewhouse!$T955</f>
        <v>0.10625000000000001</v>
      </c>
      <c r="N11" s="370">
        <f>[24]Brewhouse!$Z955</f>
        <v>0.24583333333333335</v>
      </c>
      <c r="O11" s="421" t="str">
        <f>[24]Brewhouse!$AX955</f>
        <v>K. Benjamin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29" t="s">
        <v>6</v>
      </c>
      <c r="C12" s="366" t="str">
        <f>[24]Brewhouse!$A956</f>
        <v>CA841</v>
      </c>
      <c r="D12" s="279">
        <f>[24]Brewhouse!$AF956</f>
        <v>51.8</v>
      </c>
      <c r="E12" s="279">
        <f>[24]Brewhouse!$AI956</f>
        <v>59.3</v>
      </c>
      <c r="F12" s="278">
        <f>[24]Brewhouse!$V956</f>
        <v>60</v>
      </c>
      <c r="G12" s="279">
        <f>[24]Brewhouse!AG956</f>
        <v>11.8</v>
      </c>
      <c r="H12" s="396">
        <v>11.9</v>
      </c>
      <c r="I12" s="368">
        <f>[24]Brewhouse!$AU956</f>
        <v>115.16102235463596</v>
      </c>
      <c r="J12" s="368">
        <f>[24]Brewhouse!$AV956</f>
        <v>115.75827798825848</v>
      </c>
      <c r="K12" s="281">
        <f>[24]Brewhouse!$Q956</f>
        <v>3.622641509433965</v>
      </c>
      <c r="L12" s="276">
        <f>[24]Brewhouse!$P956</f>
        <v>60</v>
      </c>
      <c r="M12" s="397">
        <f>[24]Brewhouse!$U956-[24]Brewhouse!$T956</f>
        <v>0.11319444444444449</v>
      </c>
      <c r="N12" s="370">
        <f>[24]Brewhouse!$Z956</f>
        <v>0.25138888888888888</v>
      </c>
      <c r="O12" s="421" t="str">
        <f>[24]Brewhouse!$AX956</f>
        <v>K. Benjamin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29" t="s">
        <v>6</v>
      </c>
      <c r="C13" s="366" t="str">
        <f>[24]Brewhouse!$A957</f>
        <v>CA842</v>
      </c>
      <c r="D13" s="279">
        <f>[24]Brewhouse!$AF957</f>
        <v>52.7</v>
      </c>
      <c r="E13" s="279">
        <f>[24]Brewhouse!$AI957</f>
        <v>50.9</v>
      </c>
      <c r="F13" s="278">
        <f>[24]Brewhouse!$V957</f>
        <v>62</v>
      </c>
      <c r="G13" s="279">
        <f>[24]Brewhouse!AG957</f>
        <v>11.8</v>
      </c>
      <c r="H13" s="396">
        <v>11.8</v>
      </c>
      <c r="I13" s="368">
        <f>[24]Brewhouse!$AU957</f>
        <v>99.213185196104973</v>
      </c>
      <c r="J13" s="368">
        <f>[24]Brewhouse!$AV957</f>
        <v>99.727607937933101</v>
      </c>
      <c r="K13" s="281">
        <f>[24]Brewhouse!$Q957</f>
        <v>2.8625235404896481</v>
      </c>
      <c r="L13" s="276">
        <f>[24]Brewhouse!$P957</f>
        <v>60</v>
      </c>
      <c r="M13" s="397">
        <f>[24]Brewhouse!$U957-[24]Brewhouse!$T957</f>
        <v>0.10694444444444451</v>
      </c>
      <c r="N13" s="370">
        <f>[24]Brewhouse!$Z957</f>
        <v>0.25138888888888888</v>
      </c>
      <c r="O13" s="421" t="str">
        <f>[24]Brewhouse!$AX957</f>
        <v>R. Regis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29" t="s">
        <v>6</v>
      </c>
      <c r="C14" s="366" t="str">
        <f>[24]Brewhouse!$A958</f>
        <v>CA843</v>
      </c>
      <c r="D14" s="279">
        <f>[24]Brewhouse!$AF958</f>
        <v>52.5</v>
      </c>
      <c r="E14" s="279">
        <f>[24]Brewhouse!$AI958</f>
        <v>50.86</v>
      </c>
      <c r="F14" s="278">
        <f>[24]Brewhouse!$V958</f>
        <v>58</v>
      </c>
      <c r="G14" s="279">
        <f>[24]Brewhouse!AG958</f>
        <v>11.6</v>
      </c>
      <c r="H14" s="396">
        <v>11.6</v>
      </c>
      <c r="I14" s="368">
        <f>[24]Brewhouse!$AU958</f>
        <v>97.728704242380999</v>
      </c>
      <c r="J14" s="368">
        <f>[24]Brewhouse!$AV958</f>
        <v>98.235307684161029</v>
      </c>
      <c r="K14" s="281">
        <f>[24]Brewhouse!$Q958</f>
        <v>2.4858757062146899</v>
      </c>
      <c r="L14" s="276">
        <f>[24]Brewhouse!$P958</f>
        <v>60</v>
      </c>
      <c r="M14" s="397">
        <f>[24]Brewhouse!$U958-[24]Brewhouse!$T958</f>
        <v>0.10416666666666663</v>
      </c>
      <c r="N14" s="370">
        <f>[24]Brewhouse!$Z958</f>
        <v>0.26597222222222228</v>
      </c>
      <c r="O14" s="421" t="str">
        <f>[24]Brewhouse!$AX958</f>
        <v>R. Regis</v>
      </c>
      <c r="P14" s="418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" customHeight="1">
      <c r="B15" s="29" t="s">
        <v>6</v>
      </c>
      <c r="C15" s="366" t="str">
        <f>[24]Brewhouse!$A959</f>
        <v>CA844</v>
      </c>
      <c r="D15" s="279">
        <f>[24]Brewhouse!$AF959</f>
        <v>52.6</v>
      </c>
      <c r="E15" s="279">
        <f>[24]Brewhouse!$AI959</f>
        <v>50.8</v>
      </c>
      <c r="F15" s="278">
        <f>[24]Brewhouse!$V959</f>
        <v>66</v>
      </c>
      <c r="G15" s="279">
        <f>[24]Brewhouse!AG959</f>
        <v>11.9</v>
      </c>
      <c r="H15" s="396">
        <v>12</v>
      </c>
      <c r="I15" s="368">
        <f>[24]Brewhouse!$AU959</f>
        <v>99.047489084918467</v>
      </c>
      <c r="J15" s="368">
        <f>[24]Brewhouse!$AV959</f>
        <v>99.561338215712453</v>
      </c>
      <c r="K15" s="281">
        <f>[24]Brewhouse!$Q959</f>
        <v>2.2975517890772106</v>
      </c>
      <c r="L15" s="276">
        <f>[24]Brewhouse!$P959</f>
        <v>60</v>
      </c>
      <c r="M15" s="397">
        <f>[24]Brewhouse!$U959-[24]Brewhouse!$T959</f>
        <v>0.11111111111111116</v>
      </c>
      <c r="N15" s="370">
        <f>[24]Brewhouse!$Z959</f>
        <v>0.25694444444444453</v>
      </c>
      <c r="O15" s="421" t="str">
        <f>[24]Brewhouse!$AX959</f>
        <v>R. Regis</v>
      </c>
      <c r="P15" s="418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" customHeight="1">
      <c r="B16" s="29" t="s">
        <v>6</v>
      </c>
      <c r="C16" s="366" t="str">
        <f>[24]Brewhouse!$A960</f>
        <v>CA845</v>
      </c>
      <c r="D16" s="279">
        <f>[24]Brewhouse!$AF960</f>
        <v>53</v>
      </c>
      <c r="E16" s="279">
        <f>[24]Brewhouse!$AI960</f>
        <v>51.3</v>
      </c>
      <c r="F16" s="278">
        <f>[24]Brewhouse!$V960</f>
        <v>63</v>
      </c>
      <c r="G16" s="279">
        <f>[24]Brewhouse!AG960</f>
        <v>11.7</v>
      </c>
      <c r="H16" s="396">
        <v>11.7</v>
      </c>
      <c r="I16" s="368">
        <f>[24]Brewhouse!$AU960</f>
        <v>98.254902451362568</v>
      </c>
      <c r="J16" s="368">
        <f>[24]Brewhouse!$AV960</f>
        <v>98.764639716661577</v>
      </c>
      <c r="K16" s="281">
        <f>[24]Brewhouse!$Q960</f>
        <v>1.5442561205273075</v>
      </c>
      <c r="L16" s="480"/>
      <c r="M16" s="397">
        <f>[24]Brewhouse!$U960-[24]Brewhouse!$T960</f>
        <v>7.7083333333333393E-2</v>
      </c>
      <c r="N16" s="370">
        <f>[24]Brewhouse!$Z960</f>
        <v>0.26041666666666663</v>
      </c>
      <c r="O16" s="421" t="str">
        <f>[24]Brewhouse!$AX960</f>
        <v>R.Sookram</v>
      </c>
      <c r="P16" s="418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" customHeight="1">
      <c r="B17" s="29" t="s">
        <v>6</v>
      </c>
      <c r="C17" s="366" t="str">
        <f>[24]Brewhouse!$A961</f>
        <v>CA846</v>
      </c>
      <c r="D17" s="279">
        <f>[24]Brewhouse!$AF961</f>
        <v>51.8</v>
      </c>
      <c r="E17" s="279">
        <f>[24]Brewhouse!$AI961</f>
        <v>50.42</v>
      </c>
      <c r="F17" s="278">
        <f>[24]Brewhouse!$V961</f>
        <v>60</v>
      </c>
      <c r="G17" s="279">
        <f>[24]Brewhouse!AG961</f>
        <v>11.6</v>
      </c>
      <c r="H17" s="476">
        <v>11.5</v>
      </c>
      <c r="I17" s="368">
        <f>[24]Brewhouse!$AU961</f>
        <v>96.406797984075197</v>
      </c>
      <c r="J17" s="368">
        <f>[24]Brewhouse!$AV961</f>
        <v>96.906709535870235</v>
      </c>
      <c r="K17" s="281">
        <f>[24]Brewhouse!$Q961</f>
        <v>3.80414312617703</v>
      </c>
      <c r="L17" s="276">
        <f>[24]Brewhouse!$P961</f>
        <v>57</v>
      </c>
      <c r="M17" s="397">
        <f>[24]Brewhouse!$U961-[24]Brewhouse!$T961</f>
        <v>0.11875000000000013</v>
      </c>
      <c r="N17" s="370">
        <f>[24]Brewhouse!$Z961</f>
        <v>0.29513888888888895</v>
      </c>
      <c r="O17" s="421" t="str">
        <f>[24]Brewhouse!$AX961</f>
        <v>R.Sookram</v>
      </c>
      <c r="P17" s="418" t="s">
        <v>189</v>
      </c>
      <c r="R17" s="277" t="str">
        <f t="shared" si="0"/>
        <v>CARIB</v>
      </c>
      <c r="S17" s="296">
        <f t="shared" ref="S17:S40" si="9">VLOOKUP($B17,$R$3:$X$9,2,FALSE)</f>
        <v>11.6</v>
      </c>
      <c r="T17" s="296">
        <f t="shared" ref="T17:T40" si="10">VLOOKUP($B17,$R$3:$X$9,3,FALSE)</f>
        <v>12</v>
      </c>
      <c r="U17" s="297">
        <f t="shared" ref="U17:U40" si="11">VLOOKUP($B17,$R$3:$X$9,4,FALSE)</f>
        <v>0</v>
      </c>
      <c r="V17" s="297">
        <f t="shared" ref="V17:V40" si="12">VLOOKUP($B17,$R$3:$X$9,5,FALSE)</f>
        <v>0.118055555555556</v>
      </c>
      <c r="W17" s="297">
        <f t="shared" ref="W17:W40" si="13">VLOOKUP($B17,$R$3:$X$9,6,FALSE)</f>
        <v>0.22569444444444445</v>
      </c>
      <c r="X17" s="297">
        <f t="shared" ref="X17:X40" si="14">VLOOKUP($B17,$R$3:$X$9,7,FALSE)</f>
        <v>0.2638888888888889</v>
      </c>
      <c r="Y17" s="297">
        <f t="shared" ref="Y17:Y40" si="15">VLOOKUP($B17,$R$3:$Z$9,8,FALSE)</f>
        <v>0</v>
      </c>
      <c r="Z17" s="296">
        <f t="shared" ref="Z17:Z40" si="16">VLOOKUP($B17,$R$3:$Z$9,9,FALSE)</f>
        <v>60</v>
      </c>
    </row>
    <row r="18" spans="1:26" ht="15" customHeight="1">
      <c r="B18" s="29"/>
      <c r="C18" s="366"/>
      <c r="D18" s="279"/>
      <c r="E18" s="279"/>
      <c r="F18" s="278"/>
      <c r="G18" s="279"/>
      <c r="H18" s="476"/>
      <c r="I18" s="368"/>
      <c r="J18" s="368"/>
      <c r="K18" s="281"/>
      <c r="L18" s="276"/>
      <c r="M18" s="397"/>
      <c r="N18" s="370"/>
      <c r="O18" s="421"/>
      <c r="P18" s="418"/>
      <c r="R18" s="277"/>
      <c r="S18" s="296"/>
      <c r="T18" s="296"/>
      <c r="U18" s="297"/>
      <c r="V18" s="297"/>
      <c r="W18" s="297"/>
      <c r="X18" s="297"/>
      <c r="Y18" s="297"/>
      <c r="Z18" s="296"/>
    </row>
    <row r="19" spans="1:26" ht="15" customHeight="1">
      <c r="B19" s="481" t="s">
        <v>190</v>
      </c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 t="str">
        <f t="shared" si="0"/>
        <v>14th Nov 2025</v>
      </c>
      <c r="S19" s="296" t="e">
        <f t="shared" si="9"/>
        <v>#N/A</v>
      </c>
      <c r="T19" s="296" t="e">
        <f t="shared" si="10"/>
        <v>#N/A</v>
      </c>
      <c r="U19" s="297" t="e">
        <f t="shared" si="11"/>
        <v>#N/A</v>
      </c>
      <c r="V19" s="297" t="e">
        <f t="shared" si="12"/>
        <v>#N/A</v>
      </c>
      <c r="W19" s="297" t="e">
        <f t="shared" si="13"/>
        <v>#N/A</v>
      </c>
      <c r="X19" s="297" t="e">
        <f t="shared" si="14"/>
        <v>#N/A</v>
      </c>
      <c r="Y19" s="297" t="e">
        <f t="shared" si="15"/>
        <v>#N/A</v>
      </c>
      <c r="Z19" s="296" t="e">
        <f t="shared" si="16"/>
        <v>#N/A</v>
      </c>
    </row>
    <row r="20" spans="1:26" ht="15" customHeight="1">
      <c r="B20" s="33" t="s">
        <v>9</v>
      </c>
      <c r="C20" s="366" t="str">
        <f>[25]Brewhouse!$A461</f>
        <v>ST437</v>
      </c>
      <c r="D20" s="279">
        <f>[25]Brewhouse!$AD461</f>
        <v>46.9</v>
      </c>
      <c r="E20" s="279">
        <f>[25]Brewhouse!$AG461</f>
        <v>46.9</v>
      </c>
      <c r="F20" s="278">
        <f>[25]Brewhouse!$V461</f>
        <v>56</v>
      </c>
      <c r="G20" s="279">
        <f>[25]Brewhouse!$AE461</f>
        <v>11.9</v>
      </c>
      <c r="H20" s="396">
        <v>11.8</v>
      </c>
      <c r="I20" s="420">
        <f>[25]Brewhouse!$AS461</f>
        <v>94.468212745964692</v>
      </c>
      <c r="J20" s="420">
        <f>[25]Brewhouse!$AT461</f>
        <v>94.880809015195339</v>
      </c>
      <c r="K20" s="281">
        <f>[25]Brewhouse!$Q461</f>
        <v>13.990384615384613</v>
      </c>
      <c r="L20" s="276">
        <f>[25]Brewhouse!$P461</f>
        <v>60</v>
      </c>
      <c r="M20" s="374">
        <f>[25]Brewhouse!$U461-[25]Brewhouse!$T461</f>
        <v>0.10972222222222217</v>
      </c>
      <c r="N20" s="370">
        <f>[25]Brewhouse!$AW461</f>
        <v>0.25138888888888888</v>
      </c>
      <c r="O20" s="421" t="str">
        <f>[25]Brewhouse!$AV461</f>
        <v>R. Regis</v>
      </c>
      <c r="P20" s="418"/>
      <c r="R20" s="277" t="str">
        <f t="shared" si="0"/>
        <v>STAG</v>
      </c>
      <c r="S20" s="296">
        <f t="shared" si="9"/>
        <v>11.6</v>
      </c>
      <c r="T20" s="296">
        <f t="shared" si="10"/>
        <v>12</v>
      </c>
      <c r="U20" s="297">
        <f t="shared" si="11"/>
        <v>0</v>
      </c>
      <c r="V20" s="297">
        <f t="shared" si="12"/>
        <v>0.118055555555556</v>
      </c>
      <c r="W20" s="297">
        <f t="shared" si="13"/>
        <v>0.22569444444444445</v>
      </c>
      <c r="X20" s="297">
        <f t="shared" si="14"/>
        <v>0.2638888888888889</v>
      </c>
      <c r="Y20" s="297">
        <f t="shared" si="15"/>
        <v>0</v>
      </c>
      <c r="Z20" s="296">
        <f t="shared" si="16"/>
        <v>60</v>
      </c>
    </row>
    <row r="21" spans="1:26" ht="15" customHeight="1">
      <c r="B21" s="33" t="s">
        <v>9</v>
      </c>
      <c r="C21" s="366" t="str">
        <f>[25]Brewhouse!$A462</f>
        <v>ST438</v>
      </c>
      <c r="D21" s="279">
        <f>[25]Brewhouse!$AD462</f>
        <v>48.5</v>
      </c>
      <c r="E21" s="279">
        <f>[25]Brewhouse!$AG462</f>
        <v>48.8</v>
      </c>
      <c r="F21" s="278">
        <f>[25]Brewhouse!$V462</f>
        <v>58</v>
      </c>
      <c r="G21" s="279">
        <f>[25]Brewhouse!$AE462</f>
        <v>11.9</v>
      </c>
      <c r="H21" s="396">
        <v>11.9</v>
      </c>
      <c r="I21" s="420">
        <f>[25]Brewhouse!$AS462</f>
        <v>97.192444367259839</v>
      </c>
      <c r="J21" s="420">
        <f>[25]Brewhouse!$AT462</f>
        <v>97.618196972814005</v>
      </c>
      <c r="K21" s="281">
        <f>[25]Brewhouse!$Q462</f>
        <v>13.387715930902115</v>
      </c>
      <c r="L21" s="276">
        <f>[25]Brewhouse!$P462</f>
        <v>58</v>
      </c>
      <c r="M21" s="374">
        <f>[25]Brewhouse!$U462-[25]Brewhouse!$T462</f>
        <v>0.10972222222222217</v>
      </c>
      <c r="N21" s="370">
        <f>[25]Brewhouse!$AW462</f>
        <v>0.24722222222222223</v>
      </c>
      <c r="O21" s="421" t="str">
        <f>[25]Brewhouse!$AV462</f>
        <v>R.Sookram</v>
      </c>
      <c r="P21" s="418"/>
      <c r="R21" s="277" t="str">
        <f t="shared" si="0"/>
        <v>STAG</v>
      </c>
      <c r="S21" s="296">
        <f t="shared" si="9"/>
        <v>11.6</v>
      </c>
      <c r="T21" s="296">
        <f t="shared" si="10"/>
        <v>12</v>
      </c>
      <c r="U21" s="297">
        <f t="shared" si="11"/>
        <v>0</v>
      </c>
      <c r="V21" s="297">
        <f t="shared" si="12"/>
        <v>0.118055555555556</v>
      </c>
      <c r="W21" s="297">
        <f t="shared" si="13"/>
        <v>0.22569444444444445</v>
      </c>
      <c r="X21" s="297">
        <f t="shared" si="14"/>
        <v>0.2638888888888889</v>
      </c>
      <c r="Y21" s="297">
        <f t="shared" si="15"/>
        <v>0</v>
      </c>
      <c r="Z21" s="296">
        <f t="shared" si="16"/>
        <v>60</v>
      </c>
    </row>
    <row r="22" spans="1:26" ht="15" customHeight="1">
      <c r="B22" s="33" t="s">
        <v>9</v>
      </c>
      <c r="C22" s="366" t="str">
        <f>[25]Brewhouse!$A463</f>
        <v>ST439</v>
      </c>
      <c r="D22" s="279">
        <f>[25]Brewhouse!$AD463</f>
        <v>47</v>
      </c>
      <c r="E22" s="279">
        <f>[25]Brewhouse!$AG463</f>
        <v>48.01</v>
      </c>
      <c r="F22" s="278">
        <f>[25]Brewhouse!$V463</f>
        <v>57</v>
      </c>
      <c r="G22" s="279">
        <f>[25]Brewhouse!$AE463</f>
        <v>12.2</v>
      </c>
      <c r="H22" s="476">
        <v>12.2</v>
      </c>
      <c r="I22" s="420">
        <f>[25]Brewhouse!$AS463</f>
        <v>98.893221049037479</v>
      </c>
      <c r="J22" s="420">
        <f>[25]Brewhouse!$AT463</f>
        <v>99.32557374698969</v>
      </c>
      <c r="K22" s="281">
        <f>[25]Brewhouse!$Q463</f>
        <v>13.387715930902115</v>
      </c>
      <c r="L22" s="276">
        <f>[25]Brewhouse!$P463</f>
        <v>58</v>
      </c>
      <c r="M22" s="374">
        <f>[25]Brewhouse!$U463-[25]Brewhouse!$T463</f>
        <v>0.10624999999999996</v>
      </c>
      <c r="N22" s="370">
        <f>[25]Brewhouse!$AW463</f>
        <v>0.24513888888888891</v>
      </c>
      <c r="O22" s="421" t="str">
        <f>[25]Brewhouse!$AV463</f>
        <v>R.Sookram</v>
      </c>
      <c r="P22" s="418"/>
      <c r="R22" s="277" t="str">
        <f t="shared" si="0"/>
        <v>STAG</v>
      </c>
      <c r="S22" s="296">
        <f t="shared" si="9"/>
        <v>11.6</v>
      </c>
      <c r="T22" s="296">
        <f t="shared" si="10"/>
        <v>12</v>
      </c>
      <c r="U22" s="297">
        <f t="shared" si="11"/>
        <v>0</v>
      </c>
      <c r="V22" s="297">
        <f t="shared" si="12"/>
        <v>0.118055555555556</v>
      </c>
      <c r="W22" s="297">
        <f t="shared" si="13"/>
        <v>0.22569444444444445</v>
      </c>
      <c r="X22" s="297">
        <f t="shared" si="14"/>
        <v>0.2638888888888889</v>
      </c>
      <c r="Y22" s="297">
        <f t="shared" si="15"/>
        <v>0</v>
      </c>
      <c r="Z22" s="296">
        <f t="shared" si="16"/>
        <v>60</v>
      </c>
    </row>
    <row r="23" spans="1:26" ht="15" customHeight="1">
      <c r="B23" s="33" t="s">
        <v>9</v>
      </c>
      <c r="C23" s="366" t="str">
        <f>[25]Brewhouse!$A464</f>
        <v>ST440</v>
      </c>
      <c r="D23" s="279">
        <f>[25]Brewhouse!$AD464</f>
        <v>48.4</v>
      </c>
      <c r="E23" s="279">
        <f>[25]Brewhouse!$AG464</f>
        <v>48.4</v>
      </c>
      <c r="F23" s="278">
        <f>[25]Brewhouse!$V464</f>
        <v>62</v>
      </c>
      <c r="G23" s="279">
        <f>[25]Brewhouse!$AE464</f>
        <v>12</v>
      </c>
      <c r="H23" s="396">
        <v>12</v>
      </c>
      <c r="I23" s="420">
        <f>[25]Brewhouse!$AS464</f>
        <v>97.612534195473771</v>
      </c>
      <c r="J23" s="420">
        <f>[25]Brewhouse!$AT464</f>
        <v>98.039708997995916</v>
      </c>
      <c r="K23" s="281">
        <f>[25]Brewhouse!$Q464</f>
        <v>14.923224568138194</v>
      </c>
      <c r="L23" s="276">
        <f>[25]Brewhouse!$P464</f>
        <v>58</v>
      </c>
      <c r="M23" s="374">
        <f>[25]Brewhouse!$U464-[25]Brewhouse!$T464</f>
        <v>0.11458333333333348</v>
      </c>
      <c r="N23" s="370">
        <f>[25]Brewhouse!$AW464</f>
        <v>0.25416666666666676</v>
      </c>
      <c r="O23" s="421" t="str">
        <f>[25]Brewhouse!$AV464</f>
        <v>R.Sookram</v>
      </c>
      <c r="P23" s="418"/>
      <c r="R23" s="277" t="str">
        <f t="shared" si="0"/>
        <v>STAG</v>
      </c>
      <c r="S23" s="296">
        <f t="shared" si="9"/>
        <v>11.6</v>
      </c>
      <c r="T23" s="296">
        <f t="shared" si="10"/>
        <v>12</v>
      </c>
      <c r="U23" s="297">
        <f t="shared" si="11"/>
        <v>0</v>
      </c>
      <c r="V23" s="297">
        <f t="shared" si="12"/>
        <v>0.118055555555556</v>
      </c>
      <c r="W23" s="297">
        <f t="shared" si="13"/>
        <v>0.22569444444444445</v>
      </c>
      <c r="X23" s="297">
        <f t="shared" si="14"/>
        <v>0.2638888888888889</v>
      </c>
      <c r="Y23" s="297">
        <f t="shared" si="15"/>
        <v>0</v>
      </c>
      <c r="Z23" s="296">
        <f t="shared" si="16"/>
        <v>60</v>
      </c>
    </row>
    <row r="24" spans="1:26" ht="15" customHeight="1">
      <c r="B24" s="33"/>
      <c r="C24" s="366"/>
      <c r="D24" s="279"/>
      <c r="E24" s="279"/>
      <c r="F24" s="278"/>
      <c r="G24" s="279"/>
      <c r="H24" s="396"/>
      <c r="I24" s="420"/>
      <c r="J24" s="420"/>
      <c r="K24" s="281"/>
      <c r="L24" s="276"/>
      <c r="M24" s="374"/>
      <c r="N24" s="370"/>
      <c r="O24" s="421"/>
      <c r="P24" s="418"/>
      <c r="R24" s="277">
        <f t="shared" si="0"/>
        <v>0</v>
      </c>
      <c r="S24" s="296" t="e">
        <f t="shared" si="9"/>
        <v>#N/A</v>
      </c>
      <c r="T24" s="296" t="e">
        <f t="shared" si="10"/>
        <v>#N/A</v>
      </c>
      <c r="U24" s="297" t="e">
        <f t="shared" si="11"/>
        <v>#N/A</v>
      </c>
      <c r="V24" s="297" t="e">
        <f t="shared" si="12"/>
        <v>#N/A</v>
      </c>
      <c r="W24" s="297" t="e">
        <f t="shared" si="13"/>
        <v>#N/A</v>
      </c>
      <c r="X24" s="297" t="e">
        <f t="shared" si="14"/>
        <v>#N/A</v>
      </c>
      <c r="Y24" s="297" t="e">
        <f t="shared" si="15"/>
        <v>#N/A</v>
      </c>
      <c r="Z24" s="296" t="e">
        <f t="shared" si="16"/>
        <v>#N/A</v>
      </c>
    </row>
    <row r="25" spans="1:26" ht="15" customHeight="1">
      <c r="B25" s="33"/>
      <c r="C25" s="366"/>
      <c r="D25" s="279"/>
      <c r="E25" s="279"/>
      <c r="F25" s="278"/>
      <c r="G25" s="279"/>
      <c r="H25" s="396"/>
      <c r="I25" s="420"/>
      <c r="J25" s="420"/>
      <c r="K25" s="281"/>
      <c r="L25" s="276"/>
      <c r="M25" s="374"/>
      <c r="N25" s="370"/>
      <c r="O25" s="421"/>
      <c r="P25" s="418"/>
      <c r="R25" s="277">
        <f t="shared" ref="R25:R40" si="17">B25</f>
        <v>0</v>
      </c>
      <c r="S25" s="296" t="e">
        <f t="shared" si="9"/>
        <v>#N/A</v>
      </c>
      <c r="T25" s="296" t="e">
        <f t="shared" si="10"/>
        <v>#N/A</v>
      </c>
      <c r="U25" s="297" t="e">
        <f t="shared" si="11"/>
        <v>#N/A</v>
      </c>
      <c r="V25" s="297" t="e">
        <f t="shared" si="12"/>
        <v>#N/A</v>
      </c>
      <c r="W25" s="297" t="e">
        <f t="shared" si="13"/>
        <v>#N/A</v>
      </c>
      <c r="X25" s="297" t="e">
        <f t="shared" si="14"/>
        <v>#N/A</v>
      </c>
      <c r="Y25" s="297" t="e">
        <f t="shared" si="15"/>
        <v>#N/A</v>
      </c>
      <c r="Z25" s="296" t="e">
        <f t="shared" si="16"/>
        <v>#N/A</v>
      </c>
    </row>
    <row r="26" spans="1:26" ht="1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17"/>
        <v>0</v>
      </c>
      <c r="S26" s="296" t="e">
        <f t="shared" si="9"/>
        <v>#N/A</v>
      </c>
      <c r="T26" s="296" t="e">
        <f t="shared" si="10"/>
        <v>#N/A</v>
      </c>
      <c r="U26" s="297" t="e">
        <f t="shared" si="11"/>
        <v>#N/A</v>
      </c>
      <c r="V26" s="297" t="e">
        <f t="shared" si="12"/>
        <v>#N/A</v>
      </c>
      <c r="W26" s="297" t="e">
        <f t="shared" si="13"/>
        <v>#N/A</v>
      </c>
      <c r="X26" s="297" t="e">
        <f t="shared" si="14"/>
        <v>#N/A</v>
      </c>
      <c r="Y26" s="297" t="e">
        <f t="shared" si="15"/>
        <v>#N/A</v>
      </c>
      <c r="Z26" s="296" t="e">
        <f t="shared" si="16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12"/>
      <c r="J27" s="512"/>
      <c r="K27" s="512"/>
      <c r="L27" s="512"/>
      <c r="M27" s="512"/>
      <c r="N27" s="512"/>
      <c r="O27" s="1"/>
      <c r="P27" s="12"/>
      <c r="R27" s="277">
        <f t="shared" si="17"/>
        <v>0</v>
      </c>
      <c r="S27" s="296" t="e">
        <f t="shared" si="9"/>
        <v>#N/A</v>
      </c>
      <c r="T27" s="296" t="e">
        <f t="shared" si="10"/>
        <v>#N/A</v>
      </c>
      <c r="U27" s="297" t="e">
        <f t="shared" si="11"/>
        <v>#N/A</v>
      </c>
      <c r="V27" s="297" t="e">
        <f t="shared" si="12"/>
        <v>#N/A</v>
      </c>
      <c r="W27" s="297" t="e">
        <f t="shared" si="13"/>
        <v>#N/A</v>
      </c>
      <c r="X27" s="297" t="e">
        <f t="shared" si="14"/>
        <v>#N/A</v>
      </c>
      <c r="Y27" s="297" t="e">
        <f t="shared" si="15"/>
        <v>#N/A</v>
      </c>
      <c r="Z27" s="296" t="e">
        <f t="shared" si="16"/>
        <v>#N/A</v>
      </c>
    </row>
    <row r="28" spans="1:26" ht="15.75" customHeight="1" thickBot="1">
      <c r="B28" s="388" t="s">
        <v>162</v>
      </c>
      <c r="C28" s="388"/>
      <c r="D28" s="490" t="s">
        <v>35</v>
      </c>
      <c r="E28" s="491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17"/>
        <v xml:space="preserve">BRAND </v>
      </c>
      <c r="S28" s="296" t="e">
        <f t="shared" si="9"/>
        <v>#N/A</v>
      </c>
      <c r="T28" s="296" t="e">
        <f t="shared" si="10"/>
        <v>#N/A</v>
      </c>
      <c r="U28" s="297" t="e">
        <f t="shared" si="11"/>
        <v>#N/A</v>
      </c>
      <c r="V28" s="297" t="e">
        <f t="shared" si="12"/>
        <v>#N/A</v>
      </c>
      <c r="W28" s="297" t="e">
        <f t="shared" si="13"/>
        <v>#N/A</v>
      </c>
      <c r="X28" s="297" t="e">
        <f t="shared" si="14"/>
        <v>#N/A</v>
      </c>
      <c r="Y28" s="297" t="e">
        <f t="shared" si="15"/>
        <v>#N/A</v>
      </c>
      <c r="Z28" s="296" t="e">
        <f t="shared" si="16"/>
        <v>#N/A</v>
      </c>
    </row>
    <row r="29" spans="1:26" ht="15" customHeight="1">
      <c r="A29" s="28"/>
      <c r="B29" s="563" t="str">
        <f>I29</f>
        <v>CARIB</v>
      </c>
      <c r="C29" s="362" cm="1">
        <f t="array" ref="C29:C34">[24]Process!$D$897:$D$902</f>
        <v>11.6</v>
      </c>
      <c r="D29" s="516">
        <v>11.86</v>
      </c>
      <c r="E29" s="517"/>
      <c r="F29" s="294"/>
      <c r="G29" s="294"/>
      <c r="H29" s="348"/>
      <c r="I29" s="29" t="s">
        <v>6</v>
      </c>
      <c r="J29" s="280">
        <f>AVERAGE(I10:I17)</f>
        <v>99.716089777818766</v>
      </c>
      <c r="K29" s="284">
        <f>COUNTA([24]Brewhouse!$A$914:$A$961)</f>
        <v>48</v>
      </c>
      <c r="L29" s="305">
        <f>AVERAGE([24]Brewhouse!$AU$914:$AU$961)</f>
        <v>98.047185169498846</v>
      </c>
      <c r="M29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$961)</f>
        <v>97.73519795574714</v>
      </c>
      <c r="N29" s="30">
        <v>98</v>
      </c>
      <c r="O29" s="11"/>
      <c r="P29" s="31"/>
      <c r="R29" s="277" t="str">
        <f t="shared" si="17"/>
        <v>CARIB</v>
      </c>
      <c r="S29" s="296">
        <f t="shared" si="9"/>
        <v>11.6</v>
      </c>
      <c r="T29" s="296">
        <f t="shared" si="10"/>
        <v>12</v>
      </c>
      <c r="U29" s="297">
        <f t="shared" si="11"/>
        <v>0</v>
      </c>
      <c r="V29" s="297">
        <f t="shared" si="12"/>
        <v>0.118055555555556</v>
      </c>
      <c r="W29" s="297">
        <f t="shared" si="13"/>
        <v>0.22569444444444445</v>
      </c>
      <c r="X29" s="297">
        <f t="shared" si="14"/>
        <v>0.2638888888888889</v>
      </c>
      <c r="Y29" s="297">
        <f t="shared" si="15"/>
        <v>0</v>
      </c>
      <c r="Z29" s="296">
        <f t="shared" si="16"/>
        <v>60</v>
      </c>
    </row>
    <row r="30" spans="1:26" ht="15" customHeight="1">
      <c r="A30" s="28"/>
      <c r="B30" s="564"/>
      <c r="C30" s="362">
        <v>11.9</v>
      </c>
      <c r="D30" s="518"/>
      <c r="E30" s="519"/>
      <c r="F30" s="294"/>
      <c r="G30" s="294"/>
      <c r="H30" s="348"/>
      <c r="I30" s="33" t="s">
        <v>9</v>
      </c>
      <c r="J30" s="280">
        <f>AVERAGE(I20:I23)</f>
        <v>97.041603089433949</v>
      </c>
      <c r="K30" s="284">
        <f>COUNTA([25]Brewhouse!$A$449:$A$460)</f>
        <v>12</v>
      </c>
      <c r="L30" s="302">
        <f>AVERAGE([25]Brewhouse!$AS$449:$AS$460)</f>
        <v>98.317342070121057</v>
      </c>
      <c r="M30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$460)</f>
        <v>97.937185549118041</v>
      </c>
      <c r="N30" s="30">
        <v>98</v>
      </c>
      <c r="O30" s="11"/>
      <c r="P30" s="31"/>
      <c r="R30" s="277">
        <f t="shared" si="17"/>
        <v>0</v>
      </c>
      <c r="S30" s="296" t="e">
        <f t="shared" si="9"/>
        <v>#N/A</v>
      </c>
      <c r="T30" s="296" t="e">
        <f t="shared" si="10"/>
        <v>#N/A</v>
      </c>
      <c r="U30" s="297" t="e">
        <f t="shared" si="11"/>
        <v>#N/A</v>
      </c>
      <c r="V30" s="297" t="e">
        <f t="shared" si="12"/>
        <v>#N/A</v>
      </c>
      <c r="W30" s="297" t="e">
        <f t="shared" si="13"/>
        <v>#N/A</v>
      </c>
      <c r="X30" s="297" t="e">
        <f t="shared" si="14"/>
        <v>#N/A</v>
      </c>
      <c r="Y30" s="297" t="e">
        <f t="shared" si="15"/>
        <v>#N/A</v>
      </c>
      <c r="Z30" s="296" t="e">
        <f t="shared" si="16"/>
        <v>#N/A</v>
      </c>
    </row>
    <row r="31" spans="1:26" ht="14.65" customHeight="1">
      <c r="A31" s="28"/>
      <c r="B31" s="564"/>
      <c r="C31" s="362">
        <v>11.7</v>
      </c>
      <c r="D31" s="566">
        <v>11.76</v>
      </c>
      <c r="E31" s="567"/>
      <c r="F31" s="294"/>
      <c r="G31" s="294"/>
      <c r="H31" s="348"/>
      <c r="I31" s="34" t="s">
        <v>12</v>
      </c>
      <c r="J31" s="280"/>
      <c r="K31" s="284"/>
      <c r="L31" s="302"/>
      <c r="M31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31" s="30">
        <v>98</v>
      </c>
      <c r="O31" s="11"/>
      <c r="P31" s="31"/>
      <c r="R31" s="277">
        <f t="shared" si="17"/>
        <v>0</v>
      </c>
      <c r="S31" s="296" t="e">
        <f t="shared" si="9"/>
        <v>#N/A</v>
      </c>
      <c r="T31" s="296" t="e">
        <f t="shared" si="10"/>
        <v>#N/A</v>
      </c>
      <c r="U31" s="297" t="e">
        <f t="shared" si="11"/>
        <v>#N/A</v>
      </c>
      <c r="V31" s="297" t="e">
        <f t="shared" si="12"/>
        <v>#N/A</v>
      </c>
      <c r="W31" s="297" t="e">
        <f t="shared" si="13"/>
        <v>#N/A</v>
      </c>
      <c r="X31" s="297" t="e">
        <f t="shared" si="14"/>
        <v>#N/A</v>
      </c>
      <c r="Y31" s="297" t="e">
        <f t="shared" si="15"/>
        <v>#N/A</v>
      </c>
      <c r="Z31" s="296" t="e">
        <f t="shared" si="16"/>
        <v>#N/A</v>
      </c>
    </row>
    <row r="32" spans="1:26" ht="14.65" customHeight="1">
      <c r="A32" s="28"/>
      <c r="B32" s="564"/>
      <c r="C32" s="362">
        <v>11.5</v>
      </c>
      <c r="D32" s="531"/>
      <c r="E32" s="519"/>
      <c r="F32" s="294"/>
      <c r="G32" s="294"/>
      <c r="H32" s="348"/>
      <c r="I32" s="22" t="s">
        <v>33</v>
      </c>
      <c r="J32" s="280"/>
      <c r="K32" s="284">
        <f>COUNTA([23]Brewhouse!$A$97:$A$104)</f>
        <v>8</v>
      </c>
      <c r="L32" s="302">
        <f>AVERAGE([23]Brewhouse!$AV$97:$AV$104)</f>
        <v>98.419138016287462</v>
      </c>
      <c r="M32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32" s="30">
        <v>98</v>
      </c>
      <c r="O32" s="11"/>
      <c r="P32" s="31"/>
      <c r="R32" s="277">
        <f t="shared" si="17"/>
        <v>0</v>
      </c>
      <c r="S32" s="296" t="e">
        <f t="shared" si="9"/>
        <v>#N/A</v>
      </c>
      <c r="T32" s="296" t="e">
        <f t="shared" si="10"/>
        <v>#N/A</v>
      </c>
      <c r="U32" s="297" t="e">
        <f t="shared" si="11"/>
        <v>#N/A</v>
      </c>
      <c r="V32" s="297" t="e">
        <f t="shared" si="12"/>
        <v>#N/A</v>
      </c>
      <c r="W32" s="297" t="e">
        <f t="shared" si="13"/>
        <v>#N/A</v>
      </c>
      <c r="X32" s="297" t="e">
        <f t="shared" si="14"/>
        <v>#N/A</v>
      </c>
      <c r="Y32" s="297" t="e">
        <f t="shared" si="15"/>
        <v>#N/A</v>
      </c>
      <c r="Z32" s="296" t="e">
        <f t="shared" si="16"/>
        <v>#N/A</v>
      </c>
    </row>
    <row r="33" spans="1:56" ht="14.65" customHeight="1">
      <c r="A33" s="28"/>
      <c r="B33" s="564"/>
      <c r="C33" s="362">
        <v>12</v>
      </c>
      <c r="D33" s="566">
        <v>11.85</v>
      </c>
      <c r="E33" s="567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17"/>
        <v>0</v>
      </c>
      <c r="S33" s="296" t="e">
        <f t="shared" si="9"/>
        <v>#N/A</v>
      </c>
      <c r="T33" s="296" t="e">
        <f t="shared" si="10"/>
        <v>#N/A</v>
      </c>
      <c r="U33" s="297" t="e">
        <f t="shared" si="11"/>
        <v>#N/A</v>
      </c>
      <c r="V33" s="297" t="e">
        <f t="shared" si="12"/>
        <v>#N/A</v>
      </c>
      <c r="W33" s="297" t="e">
        <f t="shared" si="13"/>
        <v>#N/A</v>
      </c>
      <c r="X33" s="297" t="e">
        <f t="shared" si="14"/>
        <v>#N/A</v>
      </c>
      <c r="Y33" s="297" t="e">
        <f t="shared" si="15"/>
        <v>#N/A</v>
      </c>
      <c r="Z33" s="296" t="e">
        <f t="shared" si="16"/>
        <v>#N/A</v>
      </c>
    </row>
    <row r="34" spans="1:56" ht="14.65" customHeight="1">
      <c r="A34" s="28"/>
      <c r="B34" s="564"/>
      <c r="C34" s="362">
        <v>11.7</v>
      </c>
      <c r="D34" s="531"/>
      <c r="E34" s="519"/>
      <c r="F34" s="417"/>
      <c r="G34" s="294"/>
      <c r="H34" s="348"/>
      <c r="I34" s="36" t="s">
        <v>15</v>
      </c>
      <c r="J34" s="323"/>
      <c r="K34" s="284"/>
      <c r="L34" s="302"/>
      <c r="M34" s="302">
        <f>AVERAGE([27]Brewhouse!$AT$4:$AT$11,[27]Brewhouse!$AT$13:$AT$16,[27]Brewhouse!$AT$18:$AT$21,[27]Brewhouse!$AT$26,[27]Brewhouse!$AT$28:$AT$35)</f>
        <v>94.794664331624134</v>
      </c>
      <c r="N34" s="30">
        <v>98</v>
      </c>
      <c r="O34" s="11"/>
      <c r="P34" s="31"/>
      <c r="R34" s="277">
        <f t="shared" si="17"/>
        <v>0</v>
      </c>
      <c r="S34" s="296" t="e">
        <f t="shared" si="9"/>
        <v>#N/A</v>
      </c>
      <c r="T34" s="296" t="e">
        <f t="shared" si="10"/>
        <v>#N/A</v>
      </c>
      <c r="U34" s="297" t="e">
        <f t="shared" si="11"/>
        <v>#N/A</v>
      </c>
      <c r="V34" s="297" t="e">
        <f t="shared" si="12"/>
        <v>#N/A</v>
      </c>
      <c r="W34" s="297" t="e">
        <f t="shared" si="13"/>
        <v>#N/A</v>
      </c>
      <c r="X34" s="297" t="e">
        <f t="shared" si="14"/>
        <v>#N/A</v>
      </c>
      <c r="Y34" s="297" t="e">
        <f t="shared" si="15"/>
        <v>#N/A</v>
      </c>
      <c r="Z34" s="296" t="e">
        <f t="shared" si="16"/>
        <v>#N/A</v>
      </c>
      <c r="AA34" s="296"/>
    </row>
    <row r="35" spans="1:56" ht="14.65" customHeight="1">
      <c r="A35" s="28"/>
      <c r="B35" s="564"/>
      <c r="C35" s="362"/>
      <c r="D35" s="566"/>
      <c r="E35" s="567"/>
      <c r="F35" s="417"/>
      <c r="G35" s="294"/>
      <c r="H35" s="348"/>
      <c r="I35" s="37" t="s">
        <v>16</v>
      </c>
      <c r="J35" s="323"/>
      <c r="K35" s="284">
        <f>COUNTA([22]Brewhouse!$A$94:$A$97)</f>
        <v>4</v>
      </c>
      <c r="L35" s="302">
        <f>AVERAGE([22]Brewhouse!$AY$94:$AY$97)</f>
        <v>95.326767995731288</v>
      </c>
      <c r="M35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5" s="30">
        <v>98</v>
      </c>
      <c r="O35" s="11"/>
      <c r="P35" s="31" t="s">
        <v>41</v>
      </c>
      <c r="R35" s="277">
        <f t="shared" si="17"/>
        <v>0</v>
      </c>
      <c r="S35" s="296" t="e">
        <f t="shared" si="9"/>
        <v>#N/A</v>
      </c>
      <c r="T35" s="296" t="e">
        <f t="shared" si="10"/>
        <v>#N/A</v>
      </c>
      <c r="U35" s="297" t="e">
        <f t="shared" si="11"/>
        <v>#N/A</v>
      </c>
      <c r="V35" s="297" t="e">
        <f t="shared" si="12"/>
        <v>#N/A</v>
      </c>
      <c r="W35" s="297" t="e">
        <f t="shared" si="13"/>
        <v>#N/A</v>
      </c>
      <c r="X35" s="297" t="e">
        <f t="shared" si="14"/>
        <v>#N/A</v>
      </c>
      <c r="Y35" s="297" t="e">
        <f t="shared" si="15"/>
        <v>#N/A</v>
      </c>
      <c r="Z35" s="296" t="e">
        <f t="shared" si="16"/>
        <v>#N/A</v>
      </c>
      <c r="AA35" s="296"/>
    </row>
    <row r="36" spans="1:56" ht="14.65" customHeight="1">
      <c r="A36" s="28"/>
      <c r="B36" s="564"/>
      <c r="C36" s="362"/>
      <c r="D36" s="531"/>
      <c r="E36" s="519"/>
      <c r="F36" s="294"/>
      <c r="G36" s="294"/>
      <c r="H36" s="348"/>
      <c r="I36" s="411" t="s">
        <v>158</v>
      </c>
      <c r="J36" s="326"/>
      <c r="K36" s="284"/>
      <c r="L36" s="305"/>
      <c r="M36" s="305">
        <f>AVERAGE([28]Brewhouse!$AU$5:$AU$8,[28]Brewhouse!$AU$10:$AU$13,[22]Brewhouse!$AY$75:$AY$77)</f>
        <v>94.749192473706671</v>
      </c>
      <c r="N36" s="30">
        <v>98</v>
      </c>
      <c r="O36" s="11"/>
      <c r="P36" s="31"/>
      <c r="R36" s="277">
        <f t="shared" si="17"/>
        <v>0</v>
      </c>
      <c r="S36" s="296" t="e">
        <f t="shared" si="9"/>
        <v>#N/A</v>
      </c>
      <c r="T36" s="296" t="e">
        <f t="shared" si="10"/>
        <v>#N/A</v>
      </c>
      <c r="U36" s="297" t="e">
        <f t="shared" si="11"/>
        <v>#N/A</v>
      </c>
      <c r="V36" s="297" t="e">
        <f t="shared" si="12"/>
        <v>#N/A</v>
      </c>
      <c r="W36" s="297" t="e">
        <f t="shared" si="13"/>
        <v>#N/A</v>
      </c>
      <c r="X36" s="297" t="e">
        <f t="shared" si="14"/>
        <v>#N/A</v>
      </c>
      <c r="Y36" s="297" t="e">
        <f t="shared" si="15"/>
        <v>#N/A</v>
      </c>
      <c r="Z36" s="296" t="e">
        <f t="shared" si="16"/>
        <v>#N/A</v>
      </c>
      <c r="AA36" s="296"/>
    </row>
    <row r="37" spans="1:56" ht="14.65" customHeight="1">
      <c r="A37" s="28"/>
      <c r="B37" s="564"/>
      <c r="C37" s="349"/>
      <c r="D37" s="566"/>
      <c r="E37" s="567"/>
      <c r="F37" s="294"/>
      <c r="G37" s="294"/>
      <c r="H37" s="348"/>
      <c r="I37" s="410" t="s">
        <v>157</v>
      </c>
      <c r="J37" s="326"/>
      <c r="K37" s="284"/>
      <c r="L37" s="305"/>
      <c r="M37" s="305">
        <f>AVERAGE([29]Brewhouse!$AW$26:$AW$27)</f>
        <v>95.310680905194914</v>
      </c>
      <c r="N37" s="30">
        <v>98</v>
      </c>
      <c r="O37" s="11"/>
      <c r="P37" s="31"/>
      <c r="R37" s="277">
        <f t="shared" si="17"/>
        <v>0</v>
      </c>
      <c r="S37" s="296" t="e">
        <f t="shared" si="9"/>
        <v>#N/A</v>
      </c>
      <c r="T37" s="296" t="e">
        <f t="shared" si="10"/>
        <v>#N/A</v>
      </c>
      <c r="U37" s="297" t="e">
        <f t="shared" si="11"/>
        <v>#N/A</v>
      </c>
      <c r="V37" s="297" t="e">
        <f t="shared" si="12"/>
        <v>#N/A</v>
      </c>
      <c r="W37" s="297" t="e">
        <f t="shared" si="13"/>
        <v>#N/A</v>
      </c>
      <c r="X37" s="297" t="e">
        <f t="shared" si="14"/>
        <v>#N/A</v>
      </c>
      <c r="Y37" s="297" t="e">
        <f t="shared" si="15"/>
        <v>#N/A</v>
      </c>
      <c r="Z37" s="296" t="e">
        <f t="shared" si="16"/>
        <v>#N/A</v>
      </c>
      <c r="AA37" s="296"/>
    </row>
    <row r="38" spans="1:56" ht="15" customHeight="1" thickBot="1">
      <c r="A38" s="28"/>
      <c r="B38" s="564"/>
      <c r="C38" s="349"/>
      <c r="D38" s="531"/>
      <c r="E38" s="519"/>
      <c r="F38" s="294"/>
      <c r="G38" s="294"/>
      <c r="H38" s="348"/>
      <c r="I38" s="406" t="s">
        <v>156</v>
      </c>
      <c r="J38" s="327"/>
      <c r="K38" s="407"/>
      <c r="L38" s="408"/>
      <c r="M38" s="408">
        <f>AVERAGE([30]Brewhouse!$AU$13:$AU$14)</f>
        <v>97.110575243268045</v>
      </c>
      <c r="N38" s="409">
        <v>98</v>
      </c>
      <c r="O38" s="11"/>
      <c r="P38" s="31"/>
      <c r="R38" s="277">
        <f t="shared" si="17"/>
        <v>0</v>
      </c>
      <c r="S38" s="296" t="e">
        <f t="shared" si="9"/>
        <v>#N/A</v>
      </c>
      <c r="T38" s="296" t="e">
        <f t="shared" si="10"/>
        <v>#N/A</v>
      </c>
      <c r="U38" s="297" t="e">
        <f t="shared" si="11"/>
        <v>#N/A</v>
      </c>
      <c r="V38" s="297" t="e">
        <f t="shared" si="12"/>
        <v>#N/A</v>
      </c>
      <c r="W38" s="297" t="e">
        <f t="shared" si="13"/>
        <v>#N/A</v>
      </c>
      <c r="X38" s="297" t="e">
        <f t="shared" si="14"/>
        <v>#N/A</v>
      </c>
      <c r="Y38" s="297" t="e">
        <f t="shared" si="15"/>
        <v>#N/A</v>
      </c>
      <c r="Z38" s="296" t="e">
        <f t="shared" si="16"/>
        <v>#N/A</v>
      </c>
      <c r="AA38" s="296"/>
    </row>
    <row r="39" spans="1:56" ht="15" customHeight="1" thickBot="1">
      <c r="A39" s="28"/>
      <c r="B39" s="564"/>
      <c r="C39" s="349"/>
      <c r="D39" s="516"/>
      <c r="E39" s="517"/>
      <c r="F39" s="294"/>
      <c r="G39" s="294"/>
      <c r="H39" s="348"/>
      <c r="I39" s="1"/>
      <c r="J39" s="39"/>
      <c r="K39" s="404">
        <f>SUM(K29:K38)</f>
        <v>72</v>
      </c>
      <c r="L39" s="405">
        <f>((L29*K29)+(L30*K30)+(L31*K31)+(L32*K32)+(L33*K33)+(K36*L36)+(L34*K34)+(L35*K35)+(L38*K38))/(K39)</f>
        <v>97.982405126258627</v>
      </c>
      <c r="M39" s="405">
        <f>AVERAGE('[31]Jan 31st'!$L$65,'[32]Feb 28th'!$L$35,'[33]Mar. 31st'!$L$35,'[34]Apr. 30th'!$L$45,'[35]May 30th'!$L$37,'[36]June 30th'!$L$57,'[37]July 29th '!$L$44,'[38]Aug 29th'!$L$29,'[39]Sept 30th'!$L$35,L39)</f>
        <v>97.616190752307659</v>
      </c>
      <c r="N39" s="40">
        <v>98</v>
      </c>
      <c r="O39" s="11"/>
      <c r="P39" s="31"/>
      <c r="R39" s="277">
        <f t="shared" si="17"/>
        <v>0</v>
      </c>
      <c r="S39" s="296" t="e">
        <f t="shared" si="9"/>
        <v>#N/A</v>
      </c>
      <c r="T39" s="296" t="e">
        <f t="shared" si="10"/>
        <v>#N/A</v>
      </c>
      <c r="U39" s="297" t="e">
        <f t="shared" si="11"/>
        <v>#N/A</v>
      </c>
      <c r="V39" s="297" t="e">
        <f t="shared" si="12"/>
        <v>#N/A</v>
      </c>
      <c r="W39" s="297" t="e">
        <f t="shared" si="13"/>
        <v>#N/A</v>
      </c>
      <c r="X39" s="297" t="e">
        <f t="shared" si="14"/>
        <v>#N/A</v>
      </c>
      <c r="Y39" s="297" t="e">
        <f t="shared" si="15"/>
        <v>#N/A</v>
      </c>
      <c r="Z39" s="296" t="e">
        <f t="shared" si="16"/>
        <v>#N/A</v>
      </c>
      <c r="AA39" s="296"/>
    </row>
    <row r="40" spans="1:56" ht="15.75" thickBot="1">
      <c r="B40" s="570"/>
      <c r="C40" s="350"/>
      <c r="D40" s="518"/>
      <c r="E40" s="519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17"/>
        <v>0</v>
      </c>
      <c r="S40" s="296" t="e">
        <f t="shared" si="9"/>
        <v>#N/A</v>
      </c>
      <c r="T40" s="296" t="e">
        <f t="shared" si="10"/>
        <v>#N/A</v>
      </c>
      <c r="U40" s="297" t="e">
        <f t="shared" si="11"/>
        <v>#N/A</v>
      </c>
      <c r="V40" s="297" t="e">
        <f t="shared" si="12"/>
        <v>#N/A</v>
      </c>
      <c r="W40" s="297" t="e">
        <f t="shared" si="13"/>
        <v>#N/A</v>
      </c>
      <c r="X40" s="297" t="e">
        <f t="shared" si="14"/>
        <v>#N/A</v>
      </c>
      <c r="Y40" s="297" t="e">
        <f t="shared" si="15"/>
        <v>#N/A</v>
      </c>
      <c r="Z40" s="296" t="e">
        <f t="shared" si="16"/>
        <v>#N/A</v>
      </c>
      <c r="AA40" s="296"/>
    </row>
    <row r="41" spans="1:56" ht="15.75" thickBot="1">
      <c r="B41" s="563"/>
      <c r="C41" s="362"/>
      <c r="D41" s="529"/>
      <c r="E41" s="530"/>
      <c r="F41" s="294"/>
      <c r="G41" s="42"/>
      <c r="H41" s="41"/>
      <c r="I41" s="42"/>
      <c r="J41" s="565" t="s">
        <v>129</v>
      </c>
      <c r="K41" s="565"/>
      <c r="L41" s="294"/>
      <c r="M41" s="294"/>
      <c r="N41" s="294"/>
      <c r="O41" s="294"/>
      <c r="P41" s="12"/>
    </row>
    <row r="42" spans="1:56" ht="15.75" thickBot="1">
      <c r="B42" s="564"/>
      <c r="C42" s="362"/>
      <c r="D42" s="531"/>
      <c r="E42" s="519"/>
      <c r="F42" s="294"/>
      <c r="G42" s="42"/>
      <c r="H42" s="41"/>
      <c r="I42" s="292" t="s">
        <v>17</v>
      </c>
      <c r="J42" s="293" t="s">
        <v>147</v>
      </c>
      <c r="K42" s="293" t="s">
        <v>191</v>
      </c>
      <c r="L42" s="533" t="s">
        <v>136</v>
      </c>
      <c r="M42" s="533"/>
      <c r="N42" s="534"/>
      <c r="O42" s="294"/>
      <c r="P42" s="12"/>
    </row>
    <row r="43" spans="1:56" ht="15" customHeight="1" thickBot="1">
      <c r="B43" s="564"/>
      <c r="C43" s="349"/>
      <c r="D43" s="566"/>
      <c r="E43" s="567"/>
      <c r="F43" s="294"/>
      <c r="G43" s="42"/>
      <c r="H43" s="41"/>
      <c r="I43" s="287" t="s">
        <v>6</v>
      </c>
      <c r="J43" s="324">
        <v>8</v>
      </c>
      <c r="K43" s="324">
        <v>4</v>
      </c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64"/>
      <c r="C44" s="349"/>
      <c r="D44" s="531"/>
      <c r="E44" s="519"/>
      <c r="F44" s="294"/>
      <c r="G44" s="42"/>
      <c r="H44" s="41"/>
      <c r="I44" s="345" t="s">
        <v>9</v>
      </c>
      <c r="J44" s="324"/>
      <c r="K44" s="324"/>
      <c r="L44" s="344">
        <f>AVERAGE('Nov 13th&amp; 14th'!K53,J53,'Nov 12th'!K47,'Nov 11th'!K51,'Nov 10th'!K53,'Nov 6th '!K52,'Nov 7th-8th'!J55,'Nov 7th-8th'!K55,'Nov 4th'!K52,'Nov 5th'!K51,Nov.3rd!K52)</f>
        <v>6.9090909090909092</v>
      </c>
      <c r="M44" s="325">
        <f>AVERAGE('[31]Jan 29th '!$M$70,'[32]Feb 28th'!$L$40,'[33]Mar. 31st'!$L$40,'[34]Apr. 30th'!$L$50,'[35]May 30th'!$L$42,'[36]June 30th'!$L$62,'[37]July 29th '!$L$49,'[38]Aug 29th'!$L$34,'[39]Sept 30th'!$L$40,[40]Oct.31st!$L$43,L44)</f>
        <v>7.0492542960818385</v>
      </c>
      <c r="N44" s="416">
        <v>9.1999999999999993</v>
      </c>
      <c r="O44" s="294"/>
      <c r="P44" s="12"/>
    </row>
    <row r="45" spans="1:56" ht="15" customHeight="1">
      <c r="B45" s="564"/>
      <c r="C45" s="349"/>
      <c r="D45" s="566"/>
      <c r="E45" s="567"/>
      <c r="F45" s="294"/>
      <c r="G45" s="42"/>
      <c r="H45" s="41"/>
      <c r="I45" s="288" t="s">
        <v>40</v>
      </c>
      <c r="J45" s="324"/>
      <c r="K45" s="324"/>
      <c r="L45" s="294"/>
      <c r="M45" s="294"/>
      <c r="N45" s="294"/>
      <c r="O45" s="294"/>
      <c r="P45" s="12"/>
    </row>
    <row r="46" spans="1:56" ht="15" customHeight="1">
      <c r="B46" s="564"/>
      <c r="C46" s="349"/>
      <c r="D46" s="531"/>
      <c r="E46" s="519"/>
      <c r="F46" s="294"/>
      <c r="G46" s="42"/>
      <c r="H46" s="41"/>
      <c r="I46" s="289" t="s">
        <v>33</v>
      </c>
      <c r="J46" s="324"/>
      <c r="K46" s="324"/>
      <c r="L46" s="294"/>
      <c r="M46" s="294"/>
      <c r="N46" s="294"/>
      <c r="O46" s="294"/>
      <c r="P46" s="12"/>
    </row>
    <row r="47" spans="1:56" ht="15">
      <c r="B47" s="564"/>
      <c r="C47" s="349"/>
      <c r="D47" s="566"/>
      <c r="E47" s="567"/>
      <c r="F47" s="294"/>
      <c r="G47" s="42"/>
      <c r="H47" s="41"/>
      <c r="I47" s="290" t="s">
        <v>16</v>
      </c>
      <c r="J47" s="324"/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64"/>
      <c r="C48" s="349"/>
      <c r="D48" s="531"/>
      <c r="E48" s="519"/>
      <c r="F48" s="294"/>
      <c r="G48" s="42"/>
      <c r="H48" s="41"/>
      <c r="I48" s="291" t="s">
        <v>15</v>
      </c>
      <c r="J48" s="324"/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64"/>
      <c r="C49" s="349"/>
      <c r="D49" s="566"/>
      <c r="E49" s="567"/>
      <c r="F49" s="294"/>
      <c r="G49" s="42"/>
      <c r="H49" s="41"/>
      <c r="I49" s="291" t="s">
        <v>149</v>
      </c>
      <c r="J49" s="324"/>
      <c r="K49" s="324"/>
      <c r="L49" s="294"/>
      <c r="M49" s="294"/>
      <c r="N49" s="294"/>
      <c r="O49" s="294"/>
      <c r="P49" s="12"/>
      <c r="BC49" s="44"/>
      <c r="BD49" s="44"/>
    </row>
    <row r="50" spans="2:57" ht="15.75" thickBot="1">
      <c r="B50" s="584"/>
      <c r="C50" s="350"/>
      <c r="D50" s="568"/>
      <c r="E50" s="569"/>
      <c r="F50" s="294" t="s">
        <v>168</v>
      </c>
      <c r="G50" s="42"/>
      <c r="H50" s="41"/>
      <c r="I50" s="291" t="s">
        <v>148</v>
      </c>
      <c r="J50" s="324"/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2:57" ht="17.649999999999999" customHeight="1" thickBot="1">
      <c r="B51" s="312" t="s">
        <v>139</v>
      </c>
      <c r="C51" s="313"/>
      <c r="D51" s="576"/>
      <c r="E51" s="577"/>
      <c r="F51" s="294"/>
      <c r="H51" s="41"/>
      <c r="I51" s="295" t="s">
        <v>134</v>
      </c>
      <c r="J51" s="324"/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>
      <c r="B52" s="363"/>
      <c r="C52" s="364"/>
      <c r="D52" s="365"/>
      <c r="E52" s="365"/>
      <c r="F52" s="294"/>
      <c r="G52" s="42"/>
      <c r="H52" s="41"/>
      <c r="I52" s="295" t="s">
        <v>131</v>
      </c>
      <c r="J52" s="324"/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1"/>
      <c r="I53" s="346" t="s">
        <v>130</v>
      </c>
      <c r="J53" s="324">
        <f>SUM(J43:J52)</f>
        <v>8</v>
      </c>
      <c r="K53" s="324">
        <f>SUM(K43:K52)</f>
        <v>4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541" t="s">
        <v>17</v>
      </c>
      <c r="C56" s="541" t="s">
        <v>44</v>
      </c>
      <c r="D56" s="543" t="s">
        <v>45</v>
      </c>
      <c r="E56" s="498" t="s">
        <v>46</v>
      </c>
      <c r="F56" s="558" t="s">
        <v>47</v>
      </c>
      <c r="G56" s="552" t="s">
        <v>48</v>
      </c>
      <c r="H56" s="541" t="s">
        <v>49</v>
      </c>
      <c r="I56" s="541" t="s">
        <v>50</v>
      </c>
      <c r="J56" s="546" t="s">
        <v>28</v>
      </c>
      <c r="K56" s="496" t="s">
        <v>51</v>
      </c>
      <c r="L56" s="508" t="s">
        <v>52</v>
      </c>
      <c r="M56" s="546" t="s">
        <v>53</v>
      </c>
      <c r="N56" s="13"/>
      <c r="O56" s="13"/>
      <c r="P56" s="50"/>
    </row>
    <row r="57" spans="2:57" ht="28.5" customHeight="1" thickTop="1" thickBot="1">
      <c r="B57" s="542"/>
      <c r="C57" s="542"/>
      <c r="D57" s="544"/>
      <c r="E57" s="545"/>
      <c r="F57" s="559"/>
      <c r="G57" s="553"/>
      <c r="H57" s="560"/>
      <c r="I57" s="560"/>
      <c r="J57" s="547"/>
      <c r="K57" s="556"/>
      <c r="L57" s="557"/>
      <c r="M57" s="547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43.15" customHeight="1" thickBot="1">
      <c r="B58" s="458" t="str">
        <f>I29</f>
        <v>CARIB</v>
      </c>
      <c r="C58" s="442">
        <v>45974</v>
      </c>
      <c r="D58" s="443">
        <f>[41]November_2025!$P$3</f>
        <v>319</v>
      </c>
      <c r="E58" s="444"/>
      <c r="F58" s="445"/>
      <c r="G58" s="445">
        <f>[41]November_2025!$P$7</f>
        <v>303.60000000000002</v>
      </c>
      <c r="H58" s="460"/>
      <c r="I58" s="460"/>
      <c r="J58" s="449" t="s">
        <v>172</v>
      </c>
      <c r="K58" s="450">
        <f>[42]November_2025!$P$18</f>
        <v>0.35508771929824562</v>
      </c>
      <c r="L58" s="479">
        <f>(((D58+E58)-G58)/(D58+E58))*100</f>
        <v>4.8275862068965445</v>
      </c>
      <c r="M58" s="456" t="s">
        <v>188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[20]January_2019!L7</f>
        <v>285.8</v>
      </c>
      <c r="AC58" s="57">
        <f>[20]January_2019!M7</f>
        <v>508.1</v>
      </c>
      <c r="AD58" s="57">
        <f>[20]January_2019!N7</f>
        <v>0</v>
      </c>
      <c r="AE58" s="57">
        <f>[20]January_2019!O7</f>
        <v>0</v>
      </c>
      <c r="AF58" s="57">
        <f>[20]January_2019!P7</f>
        <v>109.56666666666666</v>
      </c>
      <c r="AG58" s="57">
        <f>[20]January_2019!Q7</f>
        <v>297.64999999999998</v>
      </c>
      <c r="AH58" s="57">
        <f>[20]January_2019!R7</f>
        <v>122.3</v>
      </c>
      <c r="AI58" s="57">
        <f>[20]January_2019!S7</f>
        <v>0</v>
      </c>
      <c r="AJ58" s="57">
        <f>[20]January_2019!T7</f>
        <v>294.7</v>
      </c>
      <c r="AK58" s="57">
        <f>[20]January_2019!U7</f>
        <v>280.5</v>
      </c>
      <c r="AL58" s="57">
        <f>[20]January_2019!V7</f>
        <v>0</v>
      </c>
      <c r="AM58" s="57">
        <f>[20]January_2019!W7</f>
        <v>0</v>
      </c>
      <c r="AN58" s="57">
        <f>[20]January_2019!X7</f>
        <v>188.25</v>
      </c>
      <c r="AO58" s="57">
        <f>[20]January_2019!Y7</f>
        <v>295.7</v>
      </c>
      <c r="AP58" s="57">
        <f>[20]January_2019!Z7</f>
        <v>257.8</v>
      </c>
      <c r="AQ58" s="57">
        <f>[20]January_2019!AA7</f>
        <v>291.2</v>
      </c>
      <c r="AR58" s="57">
        <f>[20]January_2019!AB7</f>
        <v>187</v>
      </c>
      <c r="AS58" s="57">
        <f>[20]January_2019!AC7</f>
        <v>0</v>
      </c>
      <c r="AT58" s="57">
        <f>[20]January_2019!AD7</f>
        <v>0</v>
      </c>
      <c r="AU58" s="57">
        <f>[20]January_2019!AE7</f>
        <v>485.1</v>
      </c>
      <c r="AV58" s="57">
        <f>[20]January_2019!AF7</f>
        <v>171.55</v>
      </c>
      <c r="AW58" s="57">
        <f>[20]January_2019!AG7</f>
        <v>423.8</v>
      </c>
      <c r="AX58" s="277">
        <f>[20]January_2019!AH7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20.45" hidden="1" customHeight="1" thickBot="1">
      <c r="B59" s="473"/>
      <c r="C59" s="431"/>
      <c r="D59" s="432"/>
      <c r="E59" s="433"/>
      <c r="F59" s="434"/>
      <c r="G59" s="435"/>
      <c r="H59" s="429"/>
      <c r="I59" s="429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450000000000003" hidden="1" customHeight="1" thickBot="1">
      <c r="B60" s="458"/>
      <c r="C60" s="442"/>
      <c r="D60" s="443"/>
      <c r="E60" s="444"/>
      <c r="F60" s="445"/>
      <c r="G60" s="446"/>
      <c r="H60" s="460"/>
      <c r="I60" s="460"/>
      <c r="J60" s="449"/>
      <c r="K60" s="462"/>
      <c r="L60" s="459" t="e">
        <f>(((D60+E60)-G60)/(D60+E60))*100</f>
        <v>#DIV/0!</v>
      </c>
      <c r="M60" s="456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4"/>
      <c r="C61" s="431"/>
      <c r="D61" s="432"/>
      <c r="E61" s="433"/>
      <c r="F61" s="434"/>
      <c r="G61" s="435"/>
      <c r="H61" s="436"/>
      <c r="I61" s="451"/>
      <c r="J61" s="452"/>
      <c r="K61" s="437"/>
      <c r="L61" s="453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61"/>
      <c r="C62" s="442"/>
      <c r="D62" s="443"/>
      <c r="E62" s="444"/>
      <c r="F62" s="445"/>
      <c r="G62" s="446"/>
      <c r="H62" s="447"/>
      <c r="I62" s="448"/>
      <c r="J62" s="449"/>
      <c r="K62" s="450"/>
      <c r="L62" s="459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customHeight="1" thickBot="1">
      <c r="B63" s="438"/>
      <c r="C63" s="424"/>
      <c r="D63" s="425"/>
      <c r="E63" s="426"/>
      <c r="F63" s="427"/>
      <c r="G63" s="428"/>
      <c r="H63" s="429"/>
      <c r="I63" s="439"/>
      <c r="J63" s="440"/>
      <c r="K63" s="430"/>
      <c r="L63" s="441"/>
      <c r="M63" s="423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61"/>
      <c r="C64" s="442"/>
      <c r="D64" s="443"/>
      <c r="E64" s="444"/>
      <c r="F64" s="445"/>
      <c r="G64" s="446"/>
      <c r="H64" s="447"/>
      <c r="I64" s="448"/>
      <c r="J64" s="449"/>
      <c r="K64" s="450"/>
      <c r="L64" s="459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70"/>
      <c r="C65" s="431"/>
      <c r="D65" s="464"/>
      <c r="E65" s="465"/>
      <c r="F65" s="466"/>
      <c r="G65" s="464"/>
      <c r="H65" s="467"/>
      <c r="I65" s="467"/>
      <c r="J65" s="467"/>
      <c r="K65" s="468"/>
      <c r="L65" s="469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48" t="s">
        <v>55</v>
      </c>
      <c r="C67" s="549"/>
      <c r="D67" s="549"/>
      <c r="E67" s="549"/>
      <c r="F67" s="550"/>
      <c r="G67" s="548" t="s">
        <v>56</v>
      </c>
      <c r="H67" s="549"/>
      <c r="I67" s="549"/>
      <c r="J67" s="550"/>
      <c r="K67" s="548" t="s">
        <v>51</v>
      </c>
      <c r="L67" s="549"/>
      <c r="M67" s="549"/>
      <c r="N67" s="551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>
        <f>L58</f>
        <v>4.8275862068965445</v>
      </c>
      <c r="D69" s="76">
        <v>6.8970885878872634</v>
      </c>
      <c r="E69" s="76">
        <v>6.1069648395316118</v>
      </c>
      <c r="F69" s="66">
        <v>4.8</v>
      </c>
      <c r="G69" s="65">
        <f>[41]November_2025!$P$11</f>
        <v>3.585531867019172</v>
      </c>
      <c r="H69" s="76">
        <v>7.1813760252318861</v>
      </c>
      <c r="I69" s="76">
        <v>6.1076663502229875</v>
      </c>
      <c r="J69" s="66">
        <v>4.8</v>
      </c>
      <c r="K69" s="67">
        <f>K58</f>
        <v>0.35508771929824562</v>
      </c>
      <c r="L69" s="194">
        <v>0.41761695906432744</v>
      </c>
      <c r="M69" s="194">
        <v>0.71443150851600545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5.1671214188267509</v>
      </c>
      <c r="E70" s="76">
        <v>5.7344696924419472</v>
      </c>
      <c r="F70" s="66">
        <v>4.8</v>
      </c>
      <c r="G70" s="65"/>
      <c r="H70" s="76">
        <v>3.8690868488751016</v>
      </c>
      <c r="I70" s="76">
        <v>6.3491977772279</v>
      </c>
      <c r="J70" s="66">
        <v>4.8</v>
      </c>
      <c r="K70" s="67"/>
      <c r="L70" s="194">
        <v>0.48780701754385969</v>
      </c>
      <c r="M70" s="194">
        <v>0.65340260538294603</v>
      </c>
      <c r="N70" s="68">
        <v>1</v>
      </c>
      <c r="P70" s="69"/>
    </row>
    <row r="71" spans="2:57" ht="15">
      <c r="B71" s="34" t="s">
        <v>40</v>
      </c>
      <c r="C71" s="65"/>
      <c r="D71" s="76">
        <v>6.2500000000000053</v>
      </c>
      <c r="E71" s="76">
        <v>10.839987110172206</v>
      </c>
      <c r="F71" s="66">
        <v>5.5</v>
      </c>
      <c r="G71" s="65"/>
      <c r="H71" s="76">
        <v>6.2847885309849998</v>
      </c>
      <c r="I71" s="76">
        <v>12.456668215153922</v>
      </c>
      <c r="J71" s="66">
        <v>5.5</v>
      </c>
      <c r="K71" s="67"/>
      <c r="L71" s="194">
        <v>0.31052631578947371</v>
      </c>
      <c r="M71" s="194">
        <v>0.5063309636650869</v>
      </c>
      <c r="N71" s="68">
        <v>1</v>
      </c>
      <c r="P71" s="69"/>
    </row>
    <row r="72" spans="2:57" ht="15">
      <c r="B72" s="22" t="s">
        <v>33</v>
      </c>
      <c r="C72" s="65"/>
      <c r="D72" s="76">
        <v>3.7833827893175105</v>
      </c>
      <c r="E72" s="76">
        <v>4.6226456706805745</v>
      </c>
      <c r="F72" s="66">
        <v>3.3</v>
      </c>
      <c r="G72" s="65"/>
      <c r="H72" s="76">
        <v>3.7421885632627285</v>
      </c>
      <c r="I72" s="76">
        <v>4.4171317623593813</v>
      </c>
      <c r="J72" s="66">
        <v>3.3</v>
      </c>
      <c r="K72" s="67"/>
      <c r="L72" s="194">
        <v>0.68263157894736837</v>
      </c>
      <c r="M72" s="194">
        <v>0.83111215538847116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>
        <v>7.837301587301579</v>
      </c>
      <c r="F73" s="66">
        <v>3.3</v>
      </c>
      <c r="G73" s="282"/>
      <c r="H73" s="76"/>
      <c r="I73" s="76">
        <v>5.3377569154690221</v>
      </c>
      <c r="J73" s="66">
        <v>3</v>
      </c>
      <c r="K73" s="67"/>
      <c r="L73" s="194"/>
      <c r="M73" s="194">
        <v>0.32596491228070179</v>
      </c>
      <c r="N73" s="68">
        <v>1</v>
      </c>
      <c r="P73" s="69"/>
    </row>
    <row r="74" spans="2:57" ht="15">
      <c r="B74" s="36" t="s">
        <v>15</v>
      </c>
      <c r="C74" s="65"/>
      <c r="D74" s="76"/>
      <c r="E74" s="76">
        <v>6.8851328044153277</v>
      </c>
      <c r="F74" s="70">
        <f>[21]May_2022!$M$43</f>
        <v>3.4878406700073312</v>
      </c>
      <c r="G74" s="282"/>
      <c r="H74" s="76"/>
      <c r="I74" s="76">
        <v>8.6614709463340702</v>
      </c>
      <c r="J74" s="66">
        <v>5.5</v>
      </c>
      <c r="K74" s="67"/>
      <c r="L74" s="194"/>
      <c r="M74" s="194">
        <v>0.73160818713450293</v>
      </c>
      <c r="N74" s="68">
        <v>1</v>
      </c>
      <c r="P74" s="69"/>
    </row>
    <row r="75" spans="2:57" ht="15">
      <c r="B75" s="37" t="s">
        <v>16</v>
      </c>
      <c r="C75" s="65"/>
      <c r="D75" s="76">
        <v>2.6328862394436081</v>
      </c>
      <c r="E75" s="76">
        <v>2.9297033255778997</v>
      </c>
      <c r="F75" s="66">
        <v>3.3</v>
      </c>
      <c r="G75" s="282"/>
      <c r="H75" s="76">
        <v>2.6328862394435983</v>
      </c>
      <c r="I75" s="76">
        <v>4.2684292436723528</v>
      </c>
      <c r="J75" s="66">
        <v>3.3</v>
      </c>
      <c r="K75" s="67"/>
      <c r="L75" s="194">
        <v>0.68771929824561406</v>
      </c>
      <c r="M75" s="194">
        <v>0.84660147761842675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>
        <v>11.483253588516746</v>
      </c>
      <c r="F76" s="66">
        <v>7.5</v>
      </c>
      <c r="G76" s="282"/>
      <c r="H76" s="76"/>
      <c r="I76" s="76">
        <v>9.7934336121043764</v>
      </c>
      <c r="J76" s="66">
        <v>7.5</v>
      </c>
      <c r="K76" s="67"/>
      <c r="M76" s="194">
        <v>0.32456140350877194</v>
      </c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>
        <v>7.2653644592663174</v>
      </c>
      <c r="F77" s="66">
        <v>4.8</v>
      </c>
      <c r="G77" s="282"/>
      <c r="H77" s="76"/>
      <c r="I77" s="76">
        <v>8.1715311054411259</v>
      </c>
      <c r="J77" s="66">
        <v>4.8</v>
      </c>
      <c r="K77" s="67"/>
      <c r="L77" s="194"/>
      <c r="M77" s="194">
        <v>0.51368421052631585</v>
      </c>
      <c r="N77" s="71">
        <v>1</v>
      </c>
      <c r="O77" s="74"/>
      <c r="P77" s="75"/>
    </row>
    <row r="78" spans="2:57" ht="15">
      <c r="D78" s="76">
        <v>5.9132958461817502</v>
      </c>
      <c r="E78" s="76">
        <v>6.1138331654061151</v>
      </c>
      <c r="F78" s="341">
        <v>5.5</v>
      </c>
      <c r="H78" s="76">
        <v>5.4359634776021553</v>
      </c>
      <c r="I78" s="76">
        <v>6.6065060465487724</v>
      </c>
      <c r="J78" s="341">
        <v>5.5</v>
      </c>
      <c r="L78" s="194">
        <v>0.47989400584795322</v>
      </c>
      <c r="M78" s="194">
        <v>0.68820671545201118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7:F67"/>
    <mergeCell ref="G67:J67"/>
    <mergeCell ref="K67:N67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2402" priority="41" operator="notBetween">
      <formula>#REF!</formula>
      <formula>#REF!</formula>
    </cfRule>
  </conditionalFormatting>
  <conditionalFormatting sqref="C55">
    <cfRule type="cellIs" dxfId="2401" priority="191" stopIfTrue="1" operator="greaterThan">
      <formula>100</formula>
    </cfRule>
    <cfRule type="cellIs" dxfId="2400" priority="190" stopIfTrue="1" operator="lessThan">
      <formula>96</formula>
    </cfRule>
  </conditionalFormatting>
  <conditionalFormatting sqref="C69:C73">
    <cfRule type="cellIs" dxfId="2399" priority="144" stopIfTrue="1" operator="lessThanOrEqual">
      <formula>0</formula>
    </cfRule>
  </conditionalFormatting>
  <conditionalFormatting sqref="C69:C77">
    <cfRule type="cellIs" dxfId="2398" priority="143" stopIfTrue="1" operator="greaterThan">
      <formula>$F69</formula>
    </cfRule>
  </conditionalFormatting>
  <conditionalFormatting sqref="C70">
    <cfRule type="cellIs" dxfId="2397" priority="194" stopIfTrue="1" operator="greaterThan">
      <formula>$F69</formula>
    </cfRule>
  </conditionalFormatting>
  <conditionalFormatting sqref="C74">
    <cfRule type="cellIs" dxfId="2396" priority="83" stopIfTrue="1" operator="lessThanOrEqual">
      <formula>0</formula>
    </cfRule>
    <cfRule type="cellIs" dxfId="2395" priority="84" stopIfTrue="1" operator="greaterThan">
      <formula>$F73</formula>
    </cfRule>
  </conditionalFormatting>
  <conditionalFormatting sqref="C80:C84">
    <cfRule type="cellIs" dxfId="2394" priority="182" stopIfTrue="1" operator="lessThanOrEqual">
      <formula>0</formula>
    </cfRule>
  </conditionalFormatting>
  <conditionalFormatting sqref="C81:C84">
    <cfRule type="cellIs" dxfId="2393" priority="181" stopIfTrue="1" operator="greaterThan">
      <formula>$F$80</formula>
    </cfRule>
  </conditionalFormatting>
  <conditionalFormatting sqref="C86">
    <cfRule type="cellIs" dxfId="2392" priority="184" stopIfTrue="1" operator="lessThanOrEqual">
      <formula>0</formula>
    </cfRule>
    <cfRule type="cellIs" dxfId="2391" priority="183" stopIfTrue="1" operator="greaterThan">
      <formula>$F$80</formula>
    </cfRule>
  </conditionalFormatting>
  <conditionalFormatting sqref="C80:D80 D82:D88">
    <cfRule type="cellIs" dxfId="2390" priority="176" stopIfTrue="1" operator="greaterThan">
      <formula>4.5</formula>
    </cfRule>
  </conditionalFormatting>
  <conditionalFormatting sqref="D51:D52">
    <cfRule type="cellIs" dxfId="2389" priority="42" operator="notBetween">
      <formula>#REF!</formula>
      <formula>#REF!</formula>
    </cfRule>
  </conditionalFormatting>
  <conditionalFormatting sqref="D69:D76">
    <cfRule type="cellIs" dxfId="2388" priority="156" stopIfTrue="1" operator="lessThanOrEqual">
      <formula>0</formula>
    </cfRule>
  </conditionalFormatting>
  <conditionalFormatting sqref="D77">
    <cfRule type="cellIs" dxfId="2387" priority="155" stopIfTrue="1" operator="lessThanOrEqual">
      <formula>0</formula>
    </cfRule>
  </conditionalFormatting>
  <conditionalFormatting sqref="D80 D82:D88">
    <cfRule type="cellIs" dxfId="2386" priority="177" stopIfTrue="1" operator="lessThanOrEqual">
      <formula>0</formula>
    </cfRule>
  </conditionalFormatting>
  <conditionalFormatting sqref="D81">
    <cfRule type="cellIs" dxfId="2385" priority="168" stopIfTrue="1" operator="greaterThan">
      <formula>$F$80</formula>
    </cfRule>
    <cfRule type="cellIs" dxfId="2384" priority="169" stopIfTrue="1" operator="lessThanOrEqual">
      <formula>0</formula>
    </cfRule>
  </conditionalFormatting>
  <conditionalFormatting sqref="D69:E78">
    <cfRule type="cellIs" dxfId="2383" priority="141" stopIfTrue="1" operator="greaterThan">
      <formula>$F69</formula>
    </cfRule>
  </conditionalFormatting>
  <conditionalFormatting sqref="D78:E78">
    <cfRule type="cellIs" dxfId="2382" priority="142" stopIfTrue="1" operator="lessThanOrEqual">
      <formula>0</formula>
    </cfRule>
  </conditionalFormatting>
  <conditionalFormatting sqref="E10:E26">
    <cfRule type="cellIs" dxfId="2381" priority="30" operator="lessThan">
      <formula>48</formula>
    </cfRule>
  </conditionalFormatting>
  <conditionalFormatting sqref="E54 E55:F55">
    <cfRule type="cellIs" dxfId="2380" priority="173" stopIfTrue="1" operator="greaterThan">
      <formula>100</formula>
    </cfRule>
  </conditionalFormatting>
  <conditionalFormatting sqref="E55">
    <cfRule type="cellIs" dxfId="2379" priority="170" stopIfTrue="1" operator="lessThan">
      <formula>96.8</formula>
    </cfRule>
    <cfRule type="cellIs" dxfId="2378" priority="171" stopIfTrue="1" operator="greaterThan">
      <formula>100</formula>
    </cfRule>
  </conditionalFormatting>
  <conditionalFormatting sqref="E69:E77">
    <cfRule type="cellIs" dxfId="2377" priority="152" stopIfTrue="1" operator="lessThanOrEqual">
      <formula>0</formula>
    </cfRule>
  </conditionalFormatting>
  <conditionalFormatting sqref="E80:E88">
    <cfRule type="cellIs" dxfId="2376" priority="163" stopIfTrue="1" operator="lessThanOrEqual">
      <formula>0</formula>
    </cfRule>
    <cfRule type="cellIs" dxfId="2375" priority="162" stopIfTrue="1" operator="greaterThan">
      <formula>4.5</formula>
    </cfRule>
  </conditionalFormatting>
  <conditionalFormatting sqref="E55:F55 E54">
    <cfRule type="cellIs" dxfId="2374" priority="172" stopIfTrue="1" operator="lessThan">
      <formula>96.5</formula>
    </cfRule>
  </conditionalFormatting>
  <conditionalFormatting sqref="F10:F26">
    <cfRule type="cellIs" dxfId="2373" priority="31" operator="greaterThan">
      <formula>60</formula>
    </cfRule>
  </conditionalFormatting>
  <conditionalFormatting sqref="F55">
    <cfRule type="cellIs" dxfId="2372" priority="188" stopIfTrue="1" operator="lessThan">
      <formula>96.8</formula>
    </cfRule>
    <cfRule type="cellIs" dxfId="2371" priority="189" stopIfTrue="1" operator="greaterThan">
      <formula>100</formula>
    </cfRule>
  </conditionalFormatting>
  <conditionalFormatting sqref="F78">
    <cfRule type="cellIs" dxfId="2370" priority="153" stopIfTrue="1" operator="greaterThan">
      <formula>$F78</formula>
    </cfRule>
    <cfRule type="cellIs" dxfId="2369" priority="154" stopIfTrue="1" operator="lessThanOrEqual">
      <formula>0</formula>
    </cfRule>
  </conditionalFormatting>
  <conditionalFormatting sqref="G10:G18">
    <cfRule type="expression" dxfId="2368" priority="35">
      <formula>IF(+(IF(G10&lt;S10,0,IF(G10&gt;T10,0,1)))=0,1)</formula>
    </cfRule>
  </conditionalFormatting>
  <conditionalFormatting sqref="G69:G70 C75:C77">
    <cfRule type="cellIs" dxfId="2367" priority="158" stopIfTrue="1" operator="lessThanOrEqual">
      <formula>0</formula>
    </cfRule>
  </conditionalFormatting>
  <conditionalFormatting sqref="G69:G70">
    <cfRule type="cellIs" dxfId="2366" priority="157" stopIfTrue="1" operator="greaterThan">
      <formula>$F69</formula>
    </cfRule>
    <cfRule type="cellIs" dxfId="2365" priority="146" stopIfTrue="1" operator="lessThanOrEqual">
      <formula>0</formula>
    </cfRule>
    <cfRule type="cellIs" dxfId="2364" priority="145" stopIfTrue="1" operator="greaterThan">
      <formula>$F69</formula>
    </cfRule>
  </conditionalFormatting>
  <conditionalFormatting sqref="G71">
    <cfRule type="cellIs" dxfId="2363" priority="192" stopIfTrue="1" operator="greaterThan">
      <formula>$F70</formula>
    </cfRule>
    <cfRule type="cellIs" dxfId="2362" priority="193" stopIfTrue="1" operator="lessThanOrEqual">
      <formula>0</formula>
    </cfRule>
  </conditionalFormatting>
  <conditionalFormatting sqref="G72">
    <cfRule type="cellIs" dxfId="2361" priority="37" stopIfTrue="1" operator="greaterThan">
      <formula>$F72</formula>
    </cfRule>
    <cfRule type="cellIs" dxfId="2360" priority="38" stopIfTrue="1" operator="lessThanOrEqual">
      <formula>0</formula>
    </cfRule>
    <cfRule type="cellIs" dxfId="2359" priority="39" stopIfTrue="1" operator="greaterThan">
      <formula>$F72</formula>
    </cfRule>
    <cfRule type="cellIs" dxfId="2358" priority="40" stopIfTrue="1" operator="lessThanOrEqual">
      <formula>0</formula>
    </cfRule>
  </conditionalFormatting>
  <conditionalFormatting sqref="G73:G77">
    <cfRule type="cellIs" dxfId="2357" priority="159" stopIfTrue="1" operator="greaterThan">
      <formula>$J73</formula>
    </cfRule>
    <cfRule type="cellIs" dxfId="2356" priority="160" stopIfTrue="1" operator="lessThanOrEqual">
      <formula>0</formula>
    </cfRule>
  </conditionalFormatting>
  <conditionalFormatting sqref="G82:G87 C85 C87">
    <cfRule type="cellIs" dxfId="2355" priority="185" stopIfTrue="1" operator="greaterThan">
      <formula>4.5</formula>
    </cfRule>
    <cfRule type="cellIs" dxfId="2354" priority="186" stopIfTrue="1" operator="lessThanOrEqual">
      <formula>0</formula>
    </cfRule>
  </conditionalFormatting>
  <conditionalFormatting sqref="G81:H81">
    <cfRule type="cellIs" dxfId="2353" priority="167" stopIfTrue="1" operator="lessThanOrEqual">
      <formula>0</formula>
    </cfRule>
    <cfRule type="cellIs" dxfId="2352" priority="166" stopIfTrue="1" operator="greaterThan">
      <formula>$F$80</formula>
    </cfRule>
  </conditionalFormatting>
  <conditionalFormatting sqref="H40:H54">
    <cfRule type="cellIs" dxfId="2351" priority="164" stopIfTrue="1" operator="greaterThan">
      <formula>0</formula>
    </cfRule>
  </conditionalFormatting>
  <conditionalFormatting sqref="H58">
    <cfRule type="cellIs" dxfId="2350" priority="12" stopIfTrue="1" operator="lessThanOrEqual">
      <formula>0</formula>
    </cfRule>
    <cfRule type="cellIs" dxfId="2349" priority="13" stopIfTrue="1" operator="greaterThan">
      <formula>$F$75</formula>
    </cfRule>
    <cfRule type="cellIs" dxfId="2348" priority="21" stopIfTrue="1" operator="greaterThan">
      <formula>$F$78</formula>
    </cfRule>
    <cfRule type="cellIs" dxfId="2347" priority="23" stopIfTrue="1" operator="greaterThan">
      <formula>$F$76</formula>
    </cfRule>
    <cfRule type="cellIs" dxfId="2346" priority="24" stopIfTrue="1" operator="lessThanOrEqual">
      <formula>0</formula>
    </cfRule>
    <cfRule type="cellIs" dxfId="2345" priority="22" stopIfTrue="1" operator="lessThanOrEqual">
      <formula>0</formula>
    </cfRule>
  </conditionalFormatting>
  <conditionalFormatting sqref="H59">
    <cfRule type="cellIs" dxfId="2344" priority="101" stopIfTrue="1" operator="greaterThan">
      <formula>#REF!</formula>
    </cfRule>
    <cfRule type="cellIs" dxfId="2343" priority="100" stopIfTrue="1" operator="lessThanOrEqual">
      <formula>0</formula>
    </cfRule>
    <cfRule type="cellIs" dxfId="2342" priority="109" stopIfTrue="1" operator="greaterThan">
      <formula>$F$27</formula>
    </cfRule>
    <cfRule type="cellIs" dxfId="2341" priority="112" stopIfTrue="1" operator="lessThanOrEqual">
      <formula>0</formula>
    </cfRule>
    <cfRule type="cellIs" dxfId="2340" priority="111" stopIfTrue="1" operator="greaterThan">
      <formula>#REF!</formula>
    </cfRule>
    <cfRule type="cellIs" dxfId="2339" priority="110" stopIfTrue="1" operator="lessThanOrEqual">
      <formula>0</formula>
    </cfRule>
  </conditionalFormatting>
  <conditionalFormatting sqref="H60">
    <cfRule type="cellIs" dxfId="2338" priority="69" stopIfTrue="1" operator="greaterThan">
      <formula>$F$70</formula>
    </cfRule>
    <cfRule type="cellIs" dxfId="2337" priority="77" stopIfTrue="1" operator="greaterThan">
      <formula>$F$73</formula>
    </cfRule>
    <cfRule type="cellIs" dxfId="2336" priority="79" stopIfTrue="1" operator="greaterThan">
      <formula>$F$71</formula>
    </cfRule>
    <cfRule type="cellIs" dxfId="2335" priority="80" stopIfTrue="1" operator="lessThanOrEqual">
      <formula>0</formula>
    </cfRule>
    <cfRule type="cellIs" dxfId="2334" priority="68" stopIfTrue="1" operator="lessThanOrEqual">
      <formula>0</formula>
    </cfRule>
    <cfRule type="cellIs" dxfId="2333" priority="78" stopIfTrue="1" operator="lessThanOrEqual">
      <formula>0</formula>
    </cfRule>
  </conditionalFormatting>
  <conditionalFormatting sqref="H61:H62">
    <cfRule type="cellIs" dxfId="2332" priority="86" stopIfTrue="1" operator="lessThanOrEqual">
      <formula>0</formula>
    </cfRule>
    <cfRule type="cellIs" dxfId="2331" priority="87" stopIfTrue="1" operator="greaterThan">
      <formula>#REF!</formula>
    </cfRule>
    <cfRule type="cellIs" dxfId="2330" priority="95" stopIfTrue="1" operator="greaterThan">
      <formula>$F$26</formula>
    </cfRule>
    <cfRule type="cellIs" dxfId="2329" priority="96" stopIfTrue="1" operator="lessThanOrEqual">
      <formula>0</formula>
    </cfRule>
    <cfRule type="cellIs" dxfId="2328" priority="97" stopIfTrue="1" operator="greaterThan">
      <formula>#REF!</formula>
    </cfRule>
    <cfRule type="cellIs" dxfId="2327" priority="98" stopIfTrue="1" operator="lessThanOrEqual">
      <formula>0</formula>
    </cfRule>
  </conditionalFormatting>
  <conditionalFormatting sqref="H63">
    <cfRule type="cellIs" dxfId="2326" priority="126" stopIfTrue="1" operator="greaterThan">
      <formula>$F$40</formula>
    </cfRule>
    <cfRule type="cellIs" dxfId="2325" priority="127" stopIfTrue="1" operator="lessThanOrEqual">
      <formula>0</formula>
    </cfRule>
    <cfRule type="cellIs" dxfId="2324" priority="124" stopIfTrue="1" operator="greaterThan">
      <formula>$F$42</formula>
    </cfRule>
    <cfRule type="cellIs" dxfId="2323" priority="116" stopIfTrue="1" operator="greaterThan">
      <formula>$F$39</formula>
    </cfRule>
    <cfRule type="cellIs" dxfId="2322" priority="115" stopIfTrue="1" operator="lessThanOrEqual">
      <formula>0</formula>
    </cfRule>
    <cfRule type="cellIs" dxfId="2321" priority="125" stopIfTrue="1" operator="lessThanOrEqual">
      <formula>0</formula>
    </cfRule>
  </conditionalFormatting>
  <conditionalFormatting sqref="H64:H65">
    <cfRule type="cellIs" dxfId="2320" priority="61" stopIfTrue="1" operator="greaterThan">
      <formula>$F$26</formula>
    </cfRule>
    <cfRule type="cellIs" dxfId="2319" priority="62" stopIfTrue="1" operator="lessThanOrEqual">
      <formula>0</formula>
    </cfRule>
    <cfRule type="cellIs" dxfId="2318" priority="63" stopIfTrue="1" operator="greaterThan">
      <formula>#REF!</formula>
    </cfRule>
    <cfRule type="cellIs" dxfId="2317" priority="64" stopIfTrue="1" operator="lessThanOrEqual">
      <formula>0</formula>
    </cfRule>
    <cfRule type="cellIs" dxfId="2316" priority="53" stopIfTrue="1" operator="greaterThan">
      <formula>#REF!</formula>
    </cfRule>
    <cfRule type="cellIs" dxfId="2315" priority="52" stopIfTrue="1" operator="lessThanOrEqual">
      <formula>0</formula>
    </cfRule>
  </conditionalFormatting>
  <conditionalFormatting sqref="H69:H76">
    <cfRule type="cellIs" dxfId="2314" priority="148" stopIfTrue="1" operator="lessThanOrEqual">
      <formula>0</formula>
    </cfRule>
    <cfRule type="cellIs" dxfId="2313" priority="147" stopIfTrue="1" operator="greaterThan">
      <formula>$J69</formula>
    </cfRule>
  </conditionalFormatting>
  <conditionalFormatting sqref="H77">
    <cfRule type="cellIs" dxfId="2312" priority="149" operator="greaterThan">
      <formula>5.3</formula>
    </cfRule>
  </conditionalFormatting>
  <conditionalFormatting sqref="H80 H82:H88">
    <cfRule type="cellIs" dxfId="2311" priority="178" stopIfTrue="1" operator="greaterThan">
      <formula>4.5</formula>
    </cfRule>
    <cfRule type="cellIs" dxfId="2310" priority="179" stopIfTrue="1" operator="lessThanOrEqual">
      <formula>0</formula>
    </cfRule>
  </conditionalFormatting>
  <conditionalFormatting sqref="H58:I58">
    <cfRule type="cellIs" dxfId="2309" priority="11" stopIfTrue="1" operator="greaterThan">
      <formula>$F$77</formula>
    </cfRule>
    <cfRule type="cellIs" dxfId="2308" priority="14" stopIfTrue="1" operator="lessThanOrEqual">
      <formula>0</formula>
    </cfRule>
  </conditionalFormatting>
  <conditionalFormatting sqref="H59:I59">
    <cfRule type="cellIs" dxfId="2307" priority="102" stopIfTrue="1" operator="lessThanOrEqual">
      <formula>0</formula>
    </cfRule>
    <cfRule type="cellIs" dxfId="2306" priority="99" stopIfTrue="1" operator="greaterThan">
      <formula>$F$26</formula>
    </cfRule>
  </conditionalFormatting>
  <conditionalFormatting sqref="H60:I60">
    <cfRule type="cellIs" dxfId="2305" priority="67" stopIfTrue="1" operator="greaterThan">
      <formula>$F$72</formula>
    </cfRule>
    <cfRule type="cellIs" dxfId="2304" priority="70" stopIfTrue="1" operator="lessThanOrEqual">
      <formula>0</formula>
    </cfRule>
  </conditionalFormatting>
  <conditionalFormatting sqref="H61:I62">
    <cfRule type="cellIs" dxfId="2303" priority="88" stopIfTrue="1" operator="lessThanOrEqual">
      <formula>0</formula>
    </cfRule>
    <cfRule type="cellIs" dxfId="2302" priority="85" stopIfTrue="1" operator="greaterThan">
      <formula>#REF!</formula>
    </cfRule>
  </conditionalFormatting>
  <conditionalFormatting sqref="H63:I63">
    <cfRule type="cellIs" dxfId="2301" priority="114" stopIfTrue="1" operator="greaterThan">
      <formula>$F$41</formula>
    </cfRule>
    <cfRule type="cellIs" dxfId="2300" priority="117" stopIfTrue="1" operator="lessThanOrEqual">
      <formula>0</formula>
    </cfRule>
  </conditionalFormatting>
  <conditionalFormatting sqref="H64:I65">
    <cfRule type="cellIs" dxfId="2299" priority="54" stopIfTrue="1" operator="lessThanOrEqual">
      <formula>0</formula>
    </cfRule>
    <cfRule type="cellIs" dxfId="2298" priority="51" stopIfTrue="1" operator="greaterThan">
      <formula>#REF!</formula>
    </cfRule>
  </conditionalFormatting>
  <conditionalFormatting sqref="H78:I78">
    <cfRule type="cellIs" dxfId="2297" priority="139" stopIfTrue="1" operator="greaterThan">
      <formula>$J78</formula>
    </cfRule>
    <cfRule type="cellIs" dxfId="2296" priority="140" stopIfTrue="1" operator="lessThanOrEqual">
      <formula>0</formula>
    </cfRule>
  </conditionalFormatting>
  <conditionalFormatting sqref="I58">
    <cfRule type="cellIs" dxfId="2295" priority="18" stopIfTrue="1" operator="lessThanOrEqual">
      <formula>0</formula>
    </cfRule>
    <cfRule type="cellIs" dxfId="2294" priority="16" stopIfTrue="1" operator="lessThanOrEqual">
      <formula>0</formula>
    </cfRule>
    <cfRule type="cellIs" dxfId="2293" priority="15" stopIfTrue="1" operator="greaterThan">
      <formula>$F$75</formula>
    </cfRule>
    <cfRule type="cellIs" dxfId="2292" priority="20" stopIfTrue="1" operator="lessThanOrEqual">
      <formula>0</formula>
    </cfRule>
    <cfRule type="cellIs" dxfId="2291" priority="19" stopIfTrue="1" operator="greaterThan">
      <formula>$F$75</formula>
    </cfRule>
    <cfRule type="cellIs" dxfId="2290" priority="17" stopIfTrue="1" operator="greaterThan">
      <formula>$F$77</formula>
    </cfRule>
  </conditionalFormatting>
  <conditionalFormatting sqref="I59">
    <cfRule type="cellIs" dxfId="2289" priority="108" stopIfTrue="1" operator="lessThanOrEqual">
      <formula>0</formula>
    </cfRule>
    <cfRule type="cellIs" dxfId="2288" priority="107" stopIfTrue="1" operator="greaterThan">
      <formula>#REF!</formula>
    </cfRule>
    <cfRule type="cellIs" dxfId="2287" priority="103" stopIfTrue="1" operator="greaterThan">
      <formula>#REF!</formula>
    </cfRule>
    <cfRule type="cellIs" dxfId="2286" priority="104" stopIfTrue="1" operator="lessThanOrEqual">
      <formula>0</formula>
    </cfRule>
    <cfRule type="cellIs" dxfId="2285" priority="105" stopIfTrue="1" operator="greaterThan">
      <formula>$F$26</formula>
    </cfRule>
    <cfRule type="cellIs" dxfId="2284" priority="106" stopIfTrue="1" operator="lessThanOrEqual">
      <formula>0</formula>
    </cfRule>
  </conditionalFormatting>
  <conditionalFormatting sqref="I60">
    <cfRule type="cellIs" dxfId="2283" priority="71" stopIfTrue="1" operator="greaterThan">
      <formula>$F$70</formula>
    </cfRule>
    <cfRule type="cellIs" dxfId="2282" priority="72" stopIfTrue="1" operator="lessThanOrEqual">
      <formula>0</formula>
    </cfRule>
    <cfRule type="cellIs" dxfId="2281" priority="76" stopIfTrue="1" operator="lessThanOrEqual">
      <formula>0</formula>
    </cfRule>
    <cfRule type="cellIs" dxfId="2280" priority="75" stopIfTrue="1" operator="greaterThan">
      <formula>$F$70</formula>
    </cfRule>
    <cfRule type="cellIs" dxfId="2279" priority="74" stopIfTrue="1" operator="lessThanOrEqual">
      <formula>0</formula>
    </cfRule>
    <cfRule type="cellIs" dxfId="2278" priority="73" stopIfTrue="1" operator="greaterThan">
      <formula>$F$72</formula>
    </cfRule>
  </conditionalFormatting>
  <conditionalFormatting sqref="I61:I62">
    <cfRule type="cellIs" dxfId="2277" priority="91" stopIfTrue="1" operator="greaterThan">
      <formula>#REF!</formula>
    </cfRule>
    <cfRule type="cellIs" dxfId="2276" priority="92" stopIfTrue="1" operator="lessThanOrEqual">
      <formula>0</formula>
    </cfRule>
    <cfRule type="cellIs" dxfId="2275" priority="90" stopIfTrue="1" operator="lessThanOrEqual">
      <formula>0</formula>
    </cfRule>
    <cfRule type="cellIs" dxfId="2274" priority="93" stopIfTrue="1" operator="greaterThan">
      <formula>#REF!</formula>
    </cfRule>
    <cfRule type="cellIs" dxfId="2273" priority="94" stopIfTrue="1" operator="lessThanOrEqual">
      <formula>0</formula>
    </cfRule>
    <cfRule type="cellIs" dxfId="2272" priority="89" stopIfTrue="1" operator="greaterThan">
      <formula>#REF!</formula>
    </cfRule>
  </conditionalFormatting>
  <conditionalFormatting sqref="I63">
    <cfRule type="cellIs" dxfId="2271" priority="120" stopIfTrue="1" operator="greaterThan">
      <formula>$F$41</formula>
    </cfRule>
    <cfRule type="cellIs" dxfId="2270" priority="121" stopIfTrue="1" operator="lessThanOrEqual">
      <formula>0</formula>
    </cfRule>
    <cfRule type="cellIs" dxfId="2269" priority="119" stopIfTrue="1" operator="lessThanOrEqual">
      <formula>0</formula>
    </cfRule>
    <cfRule type="cellIs" dxfId="2268" priority="118" stopIfTrue="1" operator="greaterThan">
      <formula>$F$39</formula>
    </cfRule>
    <cfRule type="cellIs" dxfId="2267" priority="123" stopIfTrue="1" operator="lessThanOrEqual">
      <formula>0</formula>
    </cfRule>
    <cfRule type="cellIs" dxfId="2266" priority="122" stopIfTrue="1" operator="greaterThan">
      <formula>$F$39</formula>
    </cfRule>
  </conditionalFormatting>
  <conditionalFormatting sqref="I64:I65">
    <cfRule type="cellIs" dxfId="2265" priority="57" stopIfTrue="1" operator="greaterThan">
      <formula>#REF!</formula>
    </cfRule>
    <cfRule type="cellIs" dxfId="2264" priority="56" stopIfTrue="1" operator="lessThanOrEqual">
      <formula>0</formula>
    </cfRule>
    <cfRule type="cellIs" dxfId="2263" priority="60" stopIfTrue="1" operator="lessThanOrEqual">
      <formula>0</formula>
    </cfRule>
    <cfRule type="cellIs" dxfId="2262" priority="59" stopIfTrue="1" operator="greaterThan">
      <formula>#REF!</formula>
    </cfRule>
    <cfRule type="cellIs" dxfId="2261" priority="58" stopIfTrue="1" operator="lessThanOrEqual">
      <formula>0</formula>
    </cfRule>
    <cfRule type="cellIs" dxfId="2260" priority="55" stopIfTrue="1" operator="greaterThan">
      <formula>#REF!</formula>
    </cfRule>
  </conditionalFormatting>
  <conditionalFormatting sqref="I69:I77">
    <cfRule type="cellIs" dxfId="2259" priority="150" stopIfTrue="1" operator="greaterThan">
      <formula>$J69</formula>
    </cfRule>
    <cfRule type="cellIs" dxfId="2258" priority="151" stopIfTrue="1" operator="lessThanOrEqual">
      <formula>0</formula>
    </cfRule>
  </conditionalFormatting>
  <conditionalFormatting sqref="I80:I88">
    <cfRule type="cellIs" dxfId="2257" priority="175" stopIfTrue="1" operator="lessThanOrEqual">
      <formula>0</formula>
    </cfRule>
    <cfRule type="cellIs" dxfId="2256" priority="174" stopIfTrue="1" operator="greaterThan">
      <formula>4.5</formula>
    </cfRule>
  </conditionalFormatting>
  <conditionalFormatting sqref="I10:J26">
    <cfRule type="cellIs" dxfId="2255" priority="26" operator="lessThan">
      <formula>97.9</formula>
    </cfRule>
  </conditionalFormatting>
  <conditionalFormatting sqref="J30:J31">
    <cfRule type="cellIs" dxfId="2254" priority="130" stopIfTrue="1" operator="greaterThan">
      <formula>100</formula>
    </cfRule>
    <cfRule type="cellIs" dxfId="2253" priority="131" operator="lessThan">
      <formula>98</formula>
    </cfRule>
    <cfRule type="cellIs" dxfId="2252" priority="129" stopIfTrue="1" operator="lessThan">
      <formula>96.8</formula>
    </cfRule>
  </conditionalFormatting>
  <conditionalFormatting sqref="J30:J33">
    <cfRule type="cellIs" dxfId="2251" priority="128" operator="lessThan">
      <formula>97.4</formula>
    </cfRule>
  </conditionalFormatting>
  <conditionalFormatting sqref="J34:J35">
    <cfRule type="cellIs" dxfId="2250" priority="132" operator="lessThan">
      <formula>98</formula>
    </cfRule>
  </conditionalFormatting>
  <conditionalFormatting sqref="J36:J37">
    <cfRule type="cellIs" dxfId="2249" priority="133" stopIfTrue="1" operator="lessThan">
      <formula>96.8</formula>
    </cfRule>
    <cfRule type="cellIs" dxfId="2248" priority="134" stopIfTrue="1" operator="greaterThan">
      <formula>100</formula>
    </cfRule>
  </conditionalFormatting>
  <conditionalFormatting sqref="J36:J38">
    <cfRule type="cellIs" dxfId="2247" priority="135" operator="lessThan">
      <formula>98</formula>
    </cfRule>
  </conditionalFormatting>
  <conditionalFormatting sqref="J65">
    <cfRule type="cellIs" dxfId="2246" priority="46" stopIfTrue="1" operator="lessThanOrEqual">
      <formula>0</formula>
    </cfRule>
    <cfRule type="cellIs" dxfId="2245" priority="50" stopIfTrue="1" operator="lessThanOrEqual">
      <formula>0</formula>
    </cfRule>
    <cfRule type="cellIs" dxfId="2244" priority="49" stopIfTrue="1" operator="greaterThan">
      <formula>#REF!</formula>
    </cfRule>
    <cfRule type="cellIs" dxfId="2243" priority="48" stopIfTrue="1" operator="lessThanOrEqual">
      <formula>0</formula>
    </cfRule>
    <cfRule type="cellIs" dxfId="2242" priority="47" stopIfTrue="1" operator="greaterThan">
      <formula>#REF!</formula>
    </cfRule>
    <cfRule type="cellIs" dxfId="2241" priority="45" stopIfTrue="1" operator="greaterThan">
      <formula>#REF!</formula>
    </cfRule>
    <cfRule type="cellIs" dxfId="2240" priority="43" stopIfTrue="1" operator="greaterThan">
      <formula>#REF!</formula>
    </cfRule>
    <cfRule type="cellIs" dxfId="2239" priority="44" stopIfTrue="1" operator="lessThanOrEqual">
      <formula>0</formula>
    </cfRule>
  </conditionalFormatting>
  <conditionalFormatting sqref="J78">
    <cfRule type="cellIs" dxfId="2238" priority="136" stopIfTrue="1" operator="greaterThan">
      <formula>$F78</formula>
    </cfRule>
    <cfRule type="cellIs" dxfId="2237" priority="137" stopIfTrue="1" operator="lessThanOrEqual">
      <formula>0</formula>
    </cfRule>
  </conditionalFormatting>
  <conditionalFormatting sqref="K10:K26">
    <cfRule type="cellIs" dxfId="2236" priority="28" operator="lessThan">
      <formula>4</formula>
    </cfRule>
    <cfRule type="cellIs" dxfId="2235" priority="27" operator="greaterThan">
      <formula>6</formula>
    </cfRule>
    <cfRule type="cellIs" dxfId="2234" priority="29" operator="greaterThan">
      <formula>6.4</formula>
    </cfRule>
  </conditionalFormatting>
  <conditionalFormatting sqref="K58:K65 K69:N75 K76 M76:N76 K77:N77">
    <cfRule type="cellIs" dxfId="2233" priority="113" stopIfTrue="1" operator="lessThan">
      <formula>100%</formula>
    </cfRule>
  </conditionalFormatting>
  <conditionalFormatting sqref="K80:K85">
    <cfRule type="cellIs" dxfId="2232" priority="180" stopIfTrue="1" operator="lessThan">
      <formula>100%</formula>
    </cfRule>
  </conditionalFormatting>
  <conditionalFormatting sqref="K87:K88">
    <cfRule type="cellIs" dxfId="2231" priority="187" stopIfTrue="1" operator="lessThan">
      <formula>100%</formula>
    </cfRule>
  </conditionalFormatting>
  <conditionalFormatting sqref="L10:L18 L19:M25">
    <cfRule type="cellIs" dxfId="2230" priority="33" operator="greaterThan">
      <formula>65</formula>
    </cfRule>
    <cfRule type="cellIs" dxfId="2229" priority="32" operator="between">
      <formula>61</formula>
      <formula>65</formula>
    </cfRule>
  </conditionalFormatting>
  <conditionalFormatting sqref="L26">
    <cfRule type="cellIs" dxfId="2228" priority="66" operator="greaterThan">
      <formula>65</formula>
    </cfRule>
    <cfRule type="cellIs" dxfId="2227" priority="65" operator="between">
      <formula>61</formula>
      <formula>65</formula>
    </cfRule>
  </conditionalFormatting>
  <conditionalFormatting sqref="L29:M40">
    <cfRule type="cellIs" dxfId="2226" priority="81" operator="lessThan">
      <formula>97.95</formula>
    </cfRule>
  </conditionalFormatting>
  <conditionalFormatting sqref="L44:N44">
    <cfRule type="cellIs" dxfId="2225" priority="82" operator="notEqual">
      <formula>#REF!</formula>
    </cfRule>
  </conditionalFormatting>
  <conditionalFormatting sqref="L78:N78">
    <cfRule type="cellIs" dxfId="2224" priority="138" stopIfTrue="1" operator="lessThan">
      <formula>100%</formula>
    </cfRule>
  </conditionalFormatting>
  <conditionalFormatting sqref="L80:N88">
    <cfRule type="cellIs" dxfId="2223" priority="165" stopIfTrue="1" operator="lessThan">
      <formula>100%</formula>
    </cfRule>
  </conditionalFormatting>
  <conditionalFormatting sqref="M10:M18">
    <cfRule type="expression" dxfId="2222" priority="34">
      <formula>IF(+(IF(M10&lt;U10,0,IF(M10&gt;V10,0,1)))=0,1)</formula>
    </cfRule>
  </conditionalFormatting>
  <conditionalFormatting sqref="M19:M25 H10:H18 G19:H26">
    <cfRule type="expression" dxfId="2221" priority="36">
      <formula>IF(+(IF(G10&lt;#REF!,0,IF(G10&gt;#REF!,0,1)))=0,1)</formula>
    </cfRule>
  </conditionalFormatting>
  <conditionalFormatting sqref="M26:N26">
    <cfRule type="expression" dxfId="2220" priority="195">
      <formula>IF(+(IF(M26&lt;#REF!,0,IF(M26&gt;#REF!,0,1)))=0,1)</formula>
    </cfRule>
  </conditionalFormatting>
  <conditionalFormatting sqref="N10:N25">
    <cfRule type="expression" dxfId="2219" priority="25">
      <formula>IF(+(IF(N10&lt;W10,0,IF(N10&gt;X10,0,1)))=0,1)</formula>
    </cfRule>
  </conditionalFormatting>
  <conditionalFormatting sqref="P6">
    <cfRule type="cellIs" dxfId="2218" priority="161" operator="greaterThanOrEqual">
      <formula>19</formula>
    </cfRule>
  </conditionalFormatting>
  <dataValidations count="1">
    <dataValidation type="list" allowBlank="1" showInputMessage="1" showErrorMessage="1" sqref="R8" xr:uid="{707655EB-4CC4-472C-98F5-EBC70356FB1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29D8-F70D-46C5-82F9-2AC5461D1F45}">
  <sheetPr>
    <pageSetUpPr fitToPage="1"/>
  </sheetPr>
  <dimension ref="A1:BE78"/>
  <sheetViews>
    <sheetView topLeftCell="A13" zoomScale="70" zoomScaleNormal="70" workbookViewId="0">
      <selection activeCell="B15" sqref="B15:O15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45978</v>
      </c>
      <c r="J4" s="398" t="s">
        <v>166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33" t="s">
        <v>9</v>
      </c>
      <c r="C10" s="366" t="str">
        <f>[25]Brewhouse!$A465</f>
        <v>ST441</v>
      </c>
      <c r="D10" s="279">
        <f>[25]Brewhouse!$AD465</f>
        <v>48.4</v>
      </c>
      <c r="E10" s="279">
        <f>[25]Brewhouse!$AG465</f>
        <v>48</v>
      </c>
      <c r="F10" s="278">
        <f>[25]Brewhouse!$V465</f>
        <v>60</v>
      </c>
      <c r="G10" s="279">
        <f>[25]Brewhouse!$AE465</f>
        <v>12</v>
      </c>
      <c r="H10" s="396">
        <v>12</v>
      </c>
      <c r="I10" s="420">
        <f>[25]Brewhouse!$AS465</f>
        <v>97.292791915815897</v>
      </c>
      <c r="J10" s="420">
        <f>[25]Brewhouse!$AT465</f>
        <v>97.71800704539568</v>
      </c>
      <c r="K10" s="281">
        <f>[25]Brewhouse!$Q465</f>
        <v>10.700575815738969</v>
      </c>
      <c r="L10" s="276">
        <f>[25]Brewhouse!$P465</f>
        <v>57</v>
      </c>
      <c r="M10" s="374">
        <f>[25]Brewhouse!$U465-[25]Brewhouse!$T465</f>
        <v>0.10694444444444445</v>
      </c>
      <c r="N10" s="370">
        <f>[25]Brewhouse!$AW465</f>
        <v>0.24374999999999999</v>
      </c>
      <c r="O10" s="421" t="str">
        <f>[25]Brewhouse!$AV465</f>
        <v>R.Sookram</v>
      </c>
      <c r="P10" s="418"/>
      <c r="R10" s="277" t="str">
        <f t="shared" ref="R10" si="0">B10</f>
        <v>STAG</v>
      </c>
      <c r="S10" s="296">
        <f t="shared" ref="S10:S40" si="1">VLOOKUP($B10,$R$3:$X$9,2,FALSE)</f>
        <v>11.6</v>
      </c>
      <c r="T10" s="296">
        <f t="shared" ref="T10:T40" si="2">VLOOKUP($B10,$R$3:$X$9,3,FALSE)</f>
        <v>12</v>
      </c>
      <c r="U10" s="297">
        <f t="shared" ref="U10:U40" si="3">VLOOKUP($B10,$R$3:$X$9,4,FALSE)</f>
        <v>0</v>
      </c>
      <c r="V10" s="297">
        <f t="shared" ref="V10:V40" si="4">VLOOKUP($B10,$R$3:$X$9,5,FALSE)</f>
        <v>0.118055555555556</v>
      </c>
      <c r="W10" s="297">
        <f t="shared" ref="W10:W40" si="5">VLOOKUP($B10,$R$3:$X$9,6,FALSE)</f>
        <v>0.22569444444444445</v>
      </c>
      <c r="X10" s="297">
        <f t="shared" ref="X10:X40" si="6">VLOOKUP($B10,$R$3:$X$9,7,FALSE)</f>
        <v>0.2638888888888889</v>
      </c>
      <c r="Y10" s="297">
        <f t="shared" ref="Y10:Y40" si="7">VLOOKUP($B10,$R$3:$Z$9,8,FALSE)</f>
        <v>0</v>
      </c>
      <c r="Z10" s="296">
        <f t="shared" ref="Z10:Z40" si="8">VLOOKUP($B10,$R$3:$Z$9,9,FALSE)</f>
        <v>60</v>
      </c>
    </row>
    <row r="11" spans="2:29" ht="15" customHeight="1">
      <c r="B11" s="33" t="s">
        <v>9</v>
      </c>
      <c r="C11" s="366" t="str">
        <f>[25]Brewhouse!$A466</f>
        <v>ST442</v>
      </c>
      <c r="D11" s="279">
        <f>[25]Brewhouse!$AD466</f>
        <v>47</v>
      </c>
      <c r="E11" s="279">
        <f>[25]Brewhouse!$AG466</f>
        <v>47.4</v>
      </c>
      <c r="F11" s="278">
        <f>[25]Brewhouse!$V466</f>
        <v>57</v>
      </c>
      <c r="G11" s="279">
        <f>[25]Brewhouse!$AE466</f>
        <v>12</v>
      </c>
      <c r="H11" s="396">
        <v>12</v>
      </c>
      <c r="I11" s="420">
        <f>[25]Brewhouse!$AS466</f>
        <v>96.807101008605684</v>
      </c>
      <c r="J11" s="420">
        <f>[25]Brewhouse!$AT466</f>
        <v>97.229346439745058</v>
      </c>
      <c r="K11" s="281">
        <f>[25]Brewhouse!$Q466</f>
        <v>13.387715930902115</v>
      </c>
      <c r="L11" s="276">
        <f>[25]Brewhouse!$P466</f>
        <v>60</v>
      </c>
      <c r="M11" s="374">
        <f>[25]Brewhouse!$U466-[25]Brewhouse!$T466</f>
        <v>0.10902777777777778</v>
      </c>
      <c r="N11" s="370">
        <f>[25]Brewhouse!$AW466</f>
        <v>0.24791666666666667</v>
      </c>
      <c r="O11" s="421" t="str">
        <f>[25]Brewhouse!$AV466</f>
        <v>R.Sookram</v>
      </c>
      <c r="P11" s="418"/>
      <c r="R11" s="277" t="str">
        <f t="shared" ref="R11:R40" si="9">B11</f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33" t="s">
        <v>9</v>
      </c>
      <c r="C12" s="366" t="str">
        <f>[25]Brewhouse!$A467</f>
        <v>ST443</v>
      </c>
      <c r="D12" s="279">
        <f>[25]Brewhouse!$AD467</f>
        <v>46.4</v>
      </c>
      <c r="E12" s="279">
        <f>[25]Brewhouse!$AG467</f>
        <v>46.8</v>
      </c>
      <c r="F12" s="278">
        <f>[25]Brewhouse!$V467</f>
        <v>57</v>
      </c>
      <c r="G12" s="279">
        <f>[25]Brewhouse!$AE467</f>
        <v>12</v>
      </c>
      <c r="H12" s="396">
        <v>12</v>
      </c>
      <c r="I12" s="420">
        <f>[25]Brewhouse!$AS467</f>
        <v>94.860472117920509</v>
      </c>
      <c r="J12" s="420">
        <f>[25]Brewhouse!$AT467</f>
        <v>95.275056869260794</v>
      </c>
      <c r="K12" s="281">
        <f>[25]Brewhouse!$Q467</f>
        <v>13.195777351247601</v>
      </c>
      <c r="L12" s="276">
        <f>[25]Brewhouse!$P467</f>
        <v>60</v>
      </c>
      <c r="M12" s="374">
        <f>[25]Brewhouse!$U467-[25]Brewhouse!$T467</f>
        <v>0.1076388888888889</v>
      </c>
      <c r="N12" s="370">
        <f>[25]Brewhouse!$AW467</f>
        <v>0.24861111111111112</v>
      </c>
      <c r="O12" s="421" t="str">
        <f>[25]Brewhouse!$AV467</f>
        <v>R. Regis</v>
      </c>
      <c r="P12" s="418"/>
      <c r="R12" s="277" t="str">
        <f t="shared" ref="R12:R26" si="10">B12</f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33" t="s">
        <v>9</v>
      </c>
      <c r="C13" s="366" t="str">
        <f>[25]Brewhouse!$A468</f>
        <v>ST444</v>
      </c>
      <c r="D13" s="279">
        <f>[25]Brewhouse!$AD468</f>
        <v>46.9</v>
      </c>
      <c r="E13" s="279">
        <f>[25]Brewhouse!$AG468</f>
        <v>46.6</v>
      </c>
      <c r="F13" s="278">
        <f>[25]Brewhouse!$V468</f>
        <v>66</v>
      </c>
      <c r="G13" s="279">
        <f>[25]Brewhouse!$AE468</f>
        <v>12.2</v>
      </c>
      <c r="H13" s="476">
        <v>12.2</v>
      </c>
      <c r="I13" s="420">
        <f>[25]Brewhouse!$AS468</f>
        <v>95.628503044964347</v>
      </c>
      <c r="J13" s="420">
        <f>[25]Brewhouse!$AT468</f>
        <v>96.046995272836625</v>
      </c>
      <c r="K13" s="281">
        <f>[25]Brewhouse!$Q468</f>
        <v>14.347408829174665</v>
      </c>
      <c r="L13" s="276">
        <f>[25]Brewhouse!$P468</f>
        <v>60</v>
      </c>
      <c r="M13" s="374">
        <f>[25]Brewhouse!$U468-[25]Brewhouse!$T468</f>
        <v>0.11250000000000004</v>
      </c>
      <c r="N13" s="370">
        <f>[25]Brewhouse!$AW468</f>
        <v>0.26041666666666669</v>
      </c>
      <c r="O13" s="421" t="str">
        <f>[25]Brewhouse!$AV468</f>
        <v>R. Regis</v>
      </c>
      <c r="P13" s="418"/>
      <c r="R13" s="277" t="str">
        <f t="shared" si="1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33" t="s">
        <v>9</v>
      </c>
      <c r="C14" s="366" t="str">
        <f>[25]Brewhouse!$A469</f>
        <v>ST445</v>
      </c>
      <c r="D14" s="279">
        <f>[25]Brewhouse!$AD469</f>
        <v>49.3</v>
      </c>
      <c r="E14" s="279">
        <f>[25]Brewhouse!$AG469</f>
        <v>48.8</v>
      </c>
      <c r="F14" s="278">
        <f>[25]Brewhouse!$V469</f>
        <v>58</v>
      </c>
      <c r="G14" s="279">
        <f>[25]Brewhouse!$AE469</f>
        <v>11.8</v>
      </c>
      <c r="H14" s="396">
        <v>11.8</v>
      </c>
      <c r="I14" s="420">
        <f>[25]Brewhouse!$AS469</f>
        <v>97.05969995485745</v>
      </c>
      <c r="J14" s="420">
        <f>[25]Brewhouse!$AT469</f>
        <v>97.48403665552074</v>
      </c>
      <c r="K14" s="281">
        <f>[25]Brewhouse!$Q469</f>
        <v>12.044145873320534</v>
      </c>
      <c r="L14" s="276">
        <f>[25]Brewhouse!$P469</f>
        <v>60</v>
      </c>
      <c r="M14" s="374">
        <f>[25]Brewhouse!$U469-[25]Brewhouse!$T469</f>
        <v>0.12777777777777777</v>
      </c>
      <c r="N14" s="370">
        <f>[25]Brewhouse!$AW469</f>
        <v>0.26249999999999996</v>
      </c>
      <c r="O14" s="421" t="str">
        <f>[25]Brewhouse!$AV469</f>
        <v>R. Regis</v>
      </c>
      <c r="P14" s="418"/>
      <c r="R14" s="277" t="str">
        <f t="shared" si="10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" customHeight="1">
      <c r="B15" s="33" t="s">
        <v>9</v>
      </c>
      <c r="C15" s="366" t="str">
        <f>[25]Brewhouse!$A470</f>
        <v>ST446</v>
      </c>
      <c r="D15" s="279">
        <f>[25]Brewhouse!$AD470</f>
        <v>49.1</v>
      </c>
      <c r="E15" s="279">
        <f>[25]Brewhouse!$AG470</f>
        <v>49.2</v>
      </c>
      <c r="F15" s="278">
        <f>[25]Brewhouse!$V470</f>
        <v>59</v>
      </c>
      <c r="G15" s="279">
        <f>[25]Brewhouse!$AE470</f>
        <v>11.8</v>
      </c>
      <c r="H15" s="396">
        <v>11.8</v>
      </c>
      <c r="I15" s="420">
        <f>[25]Brewhouse!$AS470</f>
        <v>97.244564358036726</v>
      </c>
      <c r="J15" s="420">
        <f>[25]Brewhouse!$AT470</f>
        <v>97.670406810094875</v>
      </c>
      <c r="K15" s="281">
        <f>[25]Brewhouse!$Q470</f>
        <v>12.428023032629561</v>
      </c>
      <c r="L15" s="276">
        <f>[25]Brewhouse!$P470</f>
        <v>60</v>
      </c>
      <c r="M15" s="374">
        <f>[25]Brewhouse!$U470-[25]Brewhouse!$T470</f>
        <v>0.11736111111111114</v>
      </c>
      <c r="N15" s="370">
        <f>[25]Brewhouse!$AW470</f>
        <v>0.25208333333333333</v>
      </c>
      <c r="O15" s="421" t="str">
        <f>[25]Brewhouse!$AV470</f>
        <v>R. Regis</v>
      </c>
      <c r="P15" s="418"/>
      <c r="R15" s="277" t="str">
        <f t="shared" si="10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" customHeight="1">
      <c r="B16" s="33"/>
      <c r="C16" s="366"/>
      <c r="D16" s="279"/>
      <c r="E16" s="279"/>
      <c r="F16" s="278"/>
      <c r="G16" s="279"/>
      <c r="H16" s="396"/>
      <c r="I16" s="420"/>
      <c r="J16" s="420"/>
      <c r="K16" s="281"/>
      <c r="L16" s="276"/>
      <c r="M16" s="374"/>
      <c r="N16" s="370"/>
      <c r="O16" s="421"/>
      <c r="P16" s="418"/>
      <c r="R16" s="277">
        <f t="shared" si="1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6" ht="15" customHeight="1">
      <c r="B17" s="33"/>
      <c r="C17" s="366"/>
      <c r="D17" s="279"/>
      <c r="E17" s="279"/>
      <c r="F17" s="278"/>
      <c r="G17" s="279"/>
      <c r="H17" s="396"/>
      <c r="I17" s="420"/>
      <c r="J17" s="420"/>
      <c r="K17" s="281"/>
      <c r="L17" s="276"/>
      <c r="M17" s="374"/>
      <c r="N17" s="370"/>
      <c r="O17" s="421"/>
      <c r="P17" s="418"/>
      <c r="R17" s="277">
        <f t="shared" si="1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6" ht="15" hidden="1" customHeight="1">
      <c r="B18" s="33"/>
      <c r="C18" s="366"/>
      <c r="D18" s="279"/>
      <c r="E18" s="279"/>
      <c r="F18" s="278"/>
      <c r="G18" s="279"/>
      <c r="H18" s="396"/>
      <c r="I18" s="420"/>
      <c r="J18" s="420"/>
      <c r="K18" s="281"/>
      <c r="L18" s="276"/>
      <c r="M18" s="374"/>
      <c r="N18" s="370"/>
      <c r="O18" s="421"/>
      <c r="P18" s="418"/>
      <c r="R18" s="277">
        <f t="shared" si="1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6" ht="15" hidden="1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1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" hidden="1" customHeight="1">
      <c r="B20" s="33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si="1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" hidden="1" customHeight="1">
      <c r="B21" s="33"/>
      <c r="C21" s="366"/>
      <c r="D21" s="279"/>
      <c r="E21" s="279"/>
      <c r="F21" s="278"/>
      <c r="G21" s="279"/>
      <c r="H21" s="396"/>
      <c r="I21" s="420"/>
      <c r="J21" s="420"/>
      <c r="K21" s="281"/>
      <c r="L21" s="276"/>
      <c r="M21" s="374"/>
      <c r="N21" s="370"/>
      <c r="O21" s="421"/>
      <c r="P21" s="418"/>
      <c r="R21" s="277">
        <f t="shared" si="1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" hidden="1" customHeight="1">
      <c r="B22" s="33"/>
      <c r="C22" s="366"/>
      <c r="D22" s="279"/>
      <c r="E22" s="279"/>
      <c r="F22" s="278"/>
      <c r="G22" s="279"/>
      <c r="H22" s="396"/>
      <c r="I22" s="420"/>
      <c r="J22" s="420"/>
      <c r="K22" s="281"/>
      <c r="L22" s="276"/>
      <c r="M22" s="374"/>
      <c r="N22" s="370"/>
      <c r="O22" s="421"/>
      <c r="P22" s="418"/>
      <c r="R22" s="277">
        <f t="shared" si="1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" hidden="1" customHeight="1">
      <c r="B23" s="33"/>
      <c r="C23" s="366"/>
      <c r="D23" s="279"/>
      <c r="E23" s="279"/>
      <c r="F23" s="278"/>
      <c r="G23" s="279"/>
      <c r="H23" s="396"/>
      <c r="I23" s="420"/>
      <c r="J23" s="420"/>
      <c r="K23" s="281"/>
      <c r="L23" s="276"/>
      <c r="M23" s="374"/>
      <c r="N23" s="370"/>
      <c r="O23" s="421"/>
      <c r="P23" s="418"/>
      <c r="R23" s="277">
        <f t="shared" si="1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" hidden="1" customHeight="1">
      <c r="B24" s="33"/>
      <c r="C24" s="366"/>
      <c r="D24" s="279"/>
      <c r="E24" s="279"/>
      <c r="F24" s="278"/>
      <c r="G24" s="279"/>
      <c r="H24" s="396"/>
      <c r="I24" s="420"/>
      <c r="J24" s="420"/>
      <c r="K24" s="281"/>
      <c r="L24" s="276"/>
      <c r="M24" s="374"/>
      <c r="N24" s="370"/>
      <c r="O24" s="421"/>
      <c r="P24" s="418"/>
      <c r="R24" s="277">
        <f t="shared" si="1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" hidden="1" customHeight="1">
      <c r="B25" s="33"/>
      <c r="C25" s="366"/>
      <c r="D25" s="279"/>
      <c r="E25" s="279"/>
      <c r="F25" s="278"/>
      <c r="G25" s="279"/>
      <c r="H25" s="396"/>
      <c r="I25" s="420"/>
      <c r="J25" s="420"/>
      <c r="K25" s="281"/>
      <c r="L25" s="276"/>
      <c r="M25" s="374"/>
      <c r="N25" s="370"/>
      <c r="O25" s="421"/>
      <c r="P25" s="418"/>
      <c r="R25" s="277">
        <f t="shared" si="1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1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12"/>
      <c r="J27" s="512"/>
      <c r="K27" s="512"/>
      <c r="L27" s="512"/>
      <c r="M27" s="512"/>
      <c r="N27" s="512"/>
      <c r="O27" s="1"/>
      <c r="P27" s="12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.75" customHeight="1" thickBot="1">
      <c r="B28" s="388" t="s">
        <v>162</v>
      </c>
      <c r="C28" s="388"/>
      <c r="D28" s="490" t="s">
        <v>35</v>
      </c>
      <c r="E28" s="491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9"/>
        <v xml:space="preserve">BRAND 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customHeight="1">
      <c r="A29" s="28"/>
      <c r="B29" s="563" t="str">
        <f>I29</f>
        <v>CARIB</v>
      </c>
      <c r="C29" s="362">
        <f>[24]Process!$D$871</f>
        <v>11.5</v>
      </c>
      <c r="D29" s="516">
        <v>11.77</v>
      </c>
      <c r="E29" s="517"/>
      <c r="F29" s="294"/>
      <c r="G29" s="294"/>
      <c r="H29" s="348"/>
      <c r="I29" s="29" t="s">
        <v>6</v>
      </c>
      <c r="J29" s="280"/>
      <c r="K29" s="284">
        <f>COUNTA([24]Brewhouse!$A$914:$A$961)</f>
        <v>48</v>
      </c>
      <c r="L29" s="305">
        <f>AVERAGE([24]Brewhouse!$AU$914:$AU$961)</f>
        <v>98.047185169498846</v>
      </c>
      <c r="M29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$961)</f>
        <v>97.73519795574714</v>
      </c>
      <c r="N29" s="30">
        <v>98</v>
      </c>
      <c r="O29" s="11"/>
      <c r="P29" s="31"/>
      <c r="R29" s="277" t="str">
        <f t="shared" si="9"/>
        <v>CARIB</v>
      </c>
      <c r="S29" s="296">
        <f t="shared" si="1"/>
        <v>11.6</v>
      </c>
      <c r="T29" s="296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296">
        <f t="shared" si="8"/>
        <v>60</v>
      </c>
    </row>
    <row r="30" spans="1:26" ht="15" customHeight="1">
      <c r="A30" s="28"/>
      <c r="B30" s="564"/>
      <c r="C30" s="362">
        <f>[24]Process!$D$888</f>
        <v>11.7</v>
      </c>
      <c r="D30" s="518"/>
      <c r="E30" s="519"/>
      <c r="F30" s="294"/>
      <c r="G30" s="294"/>
      <c r="H30" s="348"/>
      <c r="I30" s="33" t="s">
        <v>9</v>
      </c>
      <c r="J30" s="280">
        <f>AVERAGE(I10:I15)</f>
        <v>96.482188733366783</v>
      </c>
      <c r="K30" s="284">
        <f>COUNTA([25]Brewhouse!$A$449:$A$470)</f>
        <v>22</v>
      </c>
      <c r="L30" s="302">
        <f>AVERAGE([25]Brewhouse!$AS$449:$AS$470)</f>
        <v>97.584893163608598</v>
      </c>
      <c r="M30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$470)</f>
        <v>97.909329642481765</v>
      </c>
      <c r="N30" s="30">
        <v>98</v>
      </c>
      <c r="O30" s="11"/>
      <c r="P30" s="31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64"/>
      <c r="C31" s="362" cm="1">
        <f t="array" ref="C31:C32">[24]Process!$D$903:$D$904</f>
        <v>11.8</v>
      </c>
      <c r="D31" s="566">
        <v>11.67</v>
      </c>
      <c r="E31" s="567"/>
      <c r="F31" s="294"/>
      <c r="G31" s="294"/>
      <c r="H31" s="348"/>
      <c r="I31" s="34" t="s">
        <v>12</v>
      </c>
      <c r="J31" s="280"/>
      <c r="K31" s="284"/>
      <c r="L31" s="302"/>
      <c r="M31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31" s="30">
        <v>98</v>
      </c>
      <c r="O31" s="11"/>
      <c r="P31" s="31"/>
      <c r="R31" s="277">
        <f t="shared" si="9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64"/>
      <c r="C32" s="362">
        <v>11.7</v>
      </c>
      <c r="D32" s="531"/>
      <c r="E32" s="519"/>
      <c r="F32" s="294"/>
      <c r="G32" s="294"/>
      <c r="H32" s="348"/>
      <c r="I32" s="22" t="s">
        <v>33</v>
      </c>
      <c r="J32" s="280"/>
      <c r="K32" s="284">
        <f>COUNTA([23]Brewhouse!$A$97:$A$104)</f>
        <v>8</v>
      </c>
      <c r="L32" s="302">
        <f>AVERAGE([23]Brewhouse!$AV$97:$AV$104)</f>
        <v>98.419138016287462</v>
      </c>
      <c r="M32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32" s="30">
        <v>98</v>
      </c>
      <c r="O32" s="11"/>
      <c r="P32" s="31"/>
      <c r="R32" s="277">
        <f t="shared" si="9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56" ht="14.65" customHeight="1">
      <c r="A33" s="28"/>
      <c r="B33" s="564"/>
      <c r="C33" s="362"/>
      <c r="D33" s="566"/>
      <c r="E33" s="567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9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56" ht="14.65" customHeight="1">
      <c r="A34" s="28"/>
      <c r="B34" s="564"/>
      <c r="C34" s="362"/>
      <c r="D34" s="531"/>
      <c r="E34" s="519"/>
      <c r="F34" s="417"/>
      <c r="G34" s="294"/>
      <c r="H34" s="348"/>
      <c r="I34" s="36" t="s">
        <v>15</v>
      </c>
      <c r="J34" s="323"/>
      <c r="K34" s="284"/>
      <c r="L34" s="302"/>
      <c r="M34" s="302">
        <f>AVERAGE([27]Brewhouse!$AT$4:$AT$11,[27]Brewhouse!$AT$13:$AT$16,[27]Brewhouse!$AT$18:$AT$21,[27]Brewhouse!$AT$26,[27]Brewhouse!$AT$28:$AT$35)</f>
        <v>94.794664331624134</v>
      </c>
      <c r="N34" s="30">
        <v>98</v>
      </c>
      <c r="O34" s="11"/>
      <c r="P34" s="31"/>
      <c r="R34" s="277">
        <f t="shared" si="9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4.65" customHeight="1">
      <c r="A35" s="28"/>
      <c r="B35" s="564"/>
      <c r="C35" s="362"/>
      <c r="D35" s="566"/>
      <c r="E35" s="567"/>
      <c r="F35" s="417"/>
      <c r="G35" s="294"/>
      <c r="H35" s="348"/>
      <c r="I35" s="37" t="s">
        <v>16</v>
      </c>
      <c r="J35" s="323"/>
      <c r="K35" s="284">
        <f>COUNTA([22]Brewhouse!$A$94:$A$97)</f>
        <v>4</v>
      </c>
      <c r="L35" s="302">
        <f>AVERAGE([22]Brewhouse!$AY$94:$AY$97)</f>
        <v>95.326767995731288</v>
      </c>
      <c r="M35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5" s="30">
        <v>98</v>
      </c>
      <c r="O35" s="11"/>
      <c r="P35" s="31" t="s">
        <v>41</v>
      </c>
      <c r="R35" s="277">
        <f t="shared" si="9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4.65" customHeight="1">
      <c r="A36" s="28"/>
      <c r="B36" s="564"/>
      <c r="C36" s="362"/>
      <c r="D36" s="531"/>
      <c r="E36" s="519"/>
      <c r="F36" s="294"/>
      <c r="G36" s="294"/>
      <c r="H36" s="348"/>
      <c r="I36" s="411" t="s">
        <v>158</v>
      </c>
      <c r="J36" s="326"/>
      <c r="K36" s="284"/>
      <c r="L36" s="305"/>
      <c r="M36" s="305">
        <f>AVERAGE([28]Brewhouse!$AU$5:$AU$8,[28]Brewhouse!$AU$10:$AU$13,[22]Brewhouse!$AY$75:$AY$77)</f>
        <v>94.749192473706671</v>
      </c>
      <c r="N36" s="30">
        <v>98</v>
      </c>
      <c r="O36" s="11"/>
      <c r="P36" s="31"/>
      <c r="R36" s="277">
        <f t="shared" si="9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4.65" customHeight="1">
      <c r="A37" s="28"/>
      <c r="B37" s="564"/>
      <c r="C37" s="349"/>
      <c r="D37" s="566"/>
      <c r="E37" s="567"/>
      <c r="F37" s="294"/>
      <c r="G37" s="294"/>
      <c r="H37" s="348"/>
      <c r="I37" s="410" t="s">
        <v>157</v>
      </c>
      <c r="J37" s="326"/>
      <c r="K37" s="284"/>
      <c r="L37" s="305"/>
      <c r="M37" s="305">
        <f>AVERAGE([29]Brewhouse!$AW$26:$AW$27)</f>
        <v>95.310680905194914</v>
      </c>
      <c r="N37" s="30">
        <v>98</v>
      </c>
      <c r="O37" s="11"/>
      <c r="P37" s="31"/>
      <c r="R37" s="277">
        <f t="shared" si="9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AA37" s="296"/>
    </row>
    <row r="38" spans="1:56" ht="15" customHeight="1" thickBot="1">
      <c r="A38" s="28"/>
      <c r="B38" s="564"/>
      <c r="C38" s="349"/>
      <c r="D38" s="531"/>
      <c r="E38" s="519"/>
      <c r="F38" s="294"/>
      <c r="G38" s="294"/>
      <c r="H38" s="348"/>
      <c r="I38" s="406" t="s">
        <v>156</v>
      </c>
      <c r="J38" s="327"/>
      <c r="K38" s="407"/>
      <c r="L38" s="408"/>
      <c r="M38" s="408">
        <f>AVERAGE([30]Brewhouse!$AU$13:$AU$14)</f>
        <v>97.110575243268045</v>
      </c>
      <c r="N38" s="409">
        <v>98</v>
      </c>
      <c r="O38" s="11"/>
      <c r="P38" s="31"/>
      <c r="R38" s="277">
        <f t="shared" si="9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  <c r="AA38" s="296"/>
    </row>
    <row r="39" spans="1:56" ht="15" customHeight="1" thickBot="1">
      <c r="A39" s="28"/>
      <c r="B39" s="564"/>
      <c r="C39" s="349"/>
      <c r="D39" s="516"/>
      <c r="E39" s="517"/>
      <c r="F39" s="294"/>
      <c r="G39" s="294"/>
      <c r="H39" s="348"/>
      <c r="I39" s="1"/>
      <c r="J39" s="39"/>
      <c r="K39" s="404">
        <f>SUM(K29:K38)</f>
        <v>82</v>
      </c>
      <c r="L39" s="405">
        <f>((L29*K29)+(L30*K30)+(L31*K31)+(L32*K32)+(L33*K33)+(K36*L36)+(L34*K34)+(L35*K35)+(L38*K38))/(K39)</f>
        <v>97.826740412787288</v>
      </c>
      <c r="M39" s="405">
        <f>AVERAGE('[31]Jan 31st'!$L$65,'[32]Feb 28th'!$L$35,'[33]Mar. 31st'!$L$35,'[34]Apr. 30th'!$L$45,'[35]May 30th'!$L$37,'[36]June 30th'!$L$57,'[37]July 29th '!$L$44,'[38]Aug 29th'!$L$29,'[39]Sept 30th'!$L$35,L39)</f>
        <v>97.600624280960531</v>
      </c>
      <c r="N39" s="40">
        <v>98</v>
      </c>
      <c r="O39" s="11"/>
      <c r="P39" s="31"/>
      <c r="R39" s="277">
        <f t="shared" si="9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  <c r="AA39" s="296"/>
    </row>
    <row r="40" spans="1:56" ht="15.75" thickBot="1">
      <c r="B40" s="570"/>
      <c r="C40" s="350"/>
      <c r="D40" s="518"/>
      <c r="E40" s="519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9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  <c r="AA40" s="296"/>
    </row>
    <row r="41" spans="1:56" ht="15.75" thickBot="1">
      <c r="B41" s="563"/>
      <c r="C41" s="362"/>
      <c r="D41" s="529"/>
      <c r="E41" s="530"/>
      <c r="F41" s="294"/>
      <c r="G41" s="42"/>
      <c r="H41" s="41"/>
      <c r="I41" s="42"/>
      <c r="J41" s="565" t="s">
        <v>129</v>
      </c>
      <c r="K41" s="565"/>
      <c r="L41" s="294"/>
      <c r="M41" s="294"/>
      <c r="N41" s="294"/>
      <c r="O41" s="294"/>
      <c r="P41" s="12"/>
    </row>
    <row r="42" spans="1:56" ht="15.75" thickBot="1">
      <c r="B42" s="564"/>
      <c r="C42" s="362"/>
      <c r="D42" s="531"/>
      <c r="E42" s="519"/>
      <c r="F42" s="294"/>
      <c r="G42" s="42"/>
      <c r="H42" s="41"/>
      <c r="I42" s="41"/>
      <c r="J42" s="292" t="s">
        <v>17</v>
      </c>
      <c r="K42" s="293" t="s">
        <v>147</v>
      </c>
      <c r="L42" s="533" t="s">
        <v>136</v>
      </c>
      <c r="M42" s="533"/>
      <c r="N42" s="534"/>
      <c r="O42" s="294"/>
      <c r="P42" s="12"/>
    </row>
    <row r="43" spans="1:56" ht="15" customHeight="1" thickBot="1">
      <c r="B43" s="564"/>
      <c r="C43" s="349"/>
      <c r="D43" s="566"/>
      <c r="E43" s="567"/>
      <c r="F43" s="294"/>
      <c r="G43" s="42"/>
      <c r="H43" s="41"/>
      <c r="I43" s="41"/>
      <c r="J43" s="287" t="s">
        <v>6</v>
      </c>
      <c r="K43" s="324"/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64"/>
      <c r="C44" s="349"/>
      <c r="D44" s="531"/>
      <c r="E44" s="519"/>
      <c r="F44" s="294"/>
      <c r="G44" s="42"/>
      <c r="H44" s="41"/>
      <c r="I44" s="41"/>
      <c r="J44" s="345" t="s">
        <v>9</v>
      </c>
      <c r="K44" s="324">
        <f>COUNTA(B10:B15)</f>
        <v>6</v>
      </c>
      <c r="L44" s="344">
        <f>AVERAGE('Nov 15th'!K53,'Nov 13th&amp; 14th'!J53,'Nov 13th&amp; 14th'!K53,'Nov 12th'!K47,'Nov 11th'!K51,'Nov 10th'!K53,'Nov 6th '!K52,'Nov 7th-8th'!J55,'Nov 7th-8th'!K55,'Nov 4th'!K52,'Nov 5th'!K51,Nov.3rd!K52)</f>
        <v>6.833333333333333</v>
      </c>
      <c r="M44" s="325">
        <f>AVERAGE('[31]Jan 29th '!$M$70,'[32]Feb 28th'!$L$40,'[33]Mar. 31st'!$L$40,'[34]Apr. 30th'!$L$50,'[35]May 30th'!$L$42,'[36]June 30th'!$L$62,'[37]July 29th '!$L$49,'[38]Aug 29th'!$L$34,'[39]Sept 30th'!$L$40,[40]Oct.31st!$L$43,L44)</f>
        <v>7.0423672437402409</v>
      </c>
      <c r="N44" s="416">
        <v>9.1999999999999993</v>
      </c>
      <c r="O44" s="294"/>
      <c r="P44" s="12"/>
    </row>
    <row r="45" spans="1:56" ht="15" customHeight="1">
      <c r="B45" s="564"/>
      <c r="C45" s="349"/>
      <c r="D45" s="566"/>
      <c r="E45" s="567"/>
      <c r="F45" s="294"/>
      <c r="G45" s="42"/>
      <c r="H45" s="41"/>
      <c r="I45" s="41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64"/>
      <c r="C46" s="349"/>
      <c r="D46" s="531"/>
      <c r="E46" s="519"/>
      <c r="F46" s="294"/>
      <c r="G46" s="42"/>
      <c r="H46" s="41"/>
      <c r="I46" s="41"/>
      <c r="J46" s="289" t="s">
        <v>33</v>
      </c>
      <c r="K46" s="324"/>
      <c r="L46" s="294"/>
      <c r="M46" s="294"/>
      <c r="N46" s="294"/>
      <c r="O46" s="294"/>
      <c r="P46" s="12"/>
    </row>
    <row r="47" spans="1:56" ht="15">
      <c r="B47" s="564"/>
      <c r="C47" s="349"/>
      <c r="D47" s="566"/>
      <c r="E47" s="567"/>
      <c r="F47" s="294"/>
      <c r="G47" s="42"/>
      <c r="H47" s="41"/>
      <c r="I47" s="41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64"/>
      <c r="C48" s="349"/>
      <c r="D48" s="531"/>
      <c r="E48" s="519"/>
      <c r="F48" s="294"/>
      <c r="G48" s="42"/>
      <c r="H48" s="41"/>
      <c r="I48" s="41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64"/>
      <c r="C49" s="349"/>
      <c r="D49" s="566"/>
      <c r="E49" s="567"/>
      <c r="F49" s="294"/>
      <c r="G49" s="42"/>
      <c r="H49" s="41"/>
      <c r="I49" s="41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.75" thickBot="1">
      <c r="B50" s="584"/>
      <c r="C50" s="350"/>
      <c r="D50" s="568"/>
      <c r="E50" s="569"/>
      <c r="F50" s="294" t="s">
        <v>168</v>
      </c>
      <c r="G50" s="42"/>
      <c r="H50" s="41"/>
      <c r="I50" s="41"/>
      <c r="J50" s="291" t="s">
        <v>148</v>
      </c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2:57" ht="17.649999999999999" customHeight="1" thickBot="1">
      <c r="B51" s="312" t="s">
        <v>139</v>
      </c>
      <c r="C51" s="313"/>
      <c r="D51" s="576"/>
      <c r="E51" s="577"/>
      <c r="F51" s="294"/>
      <c r="H51" s="41"/>
      <c r="I51" s="41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>
      <c r="B52" s="363"/>
      <c r="C52" s="364"/>
      <c r="D52" s="365"/>
      <c r="E52" s="365"/>
      <c r="F52" s="294"/>
      <c r="G52" s="42"/>
      <c r="H52" s="41"/>
      <c r="I52" s="41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1"/>
      <c r="I53" s="41"/>
      <c r="J53" s="346" t="s">
        <v>130</v>
      </c>
      <c r="K53" s="324">
        <f>SUM(K43:K52)</f>
        <v>6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541" t="s">
        <v>17</v>
      </c>
      <c r="C56" s="541" t="s">
        <v>44</v>
      </c>
      <c r="D56" s="543" t="s">
        <v>45</v>
      </c>
      <c r="E56" s="498" t="s">
        <v>46</v>
      </c>
      <c r="F56" s="558" t="s">
        <v>47</v>
      </c>
      <c r="G56" s="552" t="s">
        <v>48</v>
      </c>
      <c r="H56" s="541" t="s">
        <v>49</v>
      </c>
      <c r="I56" s="541" t="s">
        <v>50</v>
      </c>
      <c r="J56" s="546" t="s">
        <v>28</v>
      </c>
      <c r="K56" s="496" t="s">
        <v>51</v>
      </c>
      <c r="L56" s="508" t="s">
        <v>52</v>
      </c>
      <c r="M56" s="546" t="s">
        <v>53</v>
      </c>
      <c r="N56" s="13"/>
      <c r="O56" s="13"/>
      <c r="P56" s="50"/>
    </row>
    <row r="57" spans="2:57" ht="28.5" customHeight="1" thickTop="1" thickBot="1">
      <c r="B57" s="542"/>
      <c r="C57" s="542"/>
      <c r="D57" s="544"/>
      <c r="E57" s="545"/>
      <c r="F57" s="559"/>
      <c r="G57" s="553"/>
      <c r="H57" s="560"/>
      <c r="I57" s="560"/>
      <c r="J57" s="547"/>
      <c r="K57" s="556"/>
      <c r="L57" s="557"/>
      <c r="M57" s="547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43.15" customHeight="1" thickBot="1">
      <c r="B58" s="458" t="str">
        <f>J43</f>
        <v>CARIB</v>
      </c>
      <c r="C58" s="442">
        <v>45975</v>
      </c>
      <c r="D58" s="443">
        <f>[41]November_2025!$Q$3</f>
        <v>190.39999999999998</v>
      </c>
      <c r="E58" s="444"/>
      <c r="F58" s="445"/>
      <c r="G58" s="445">
        <f>[41]November_2025!$Q$7</f>
        <v>173.3</v>
      </c>
      <c r="H58" s="460"/>
      <c r="I58" s="460"/>
      <c r="J58" s="449" t="s">
        <v>174</v>
      </c>
      <c r="K58" s="450">
        <f>[42]November_2025!$Q$18</f>
        <v>0.30403508771929827</v>
      </c>
      <c r="L58" s="459">
        <f>(((D58+E58)-G58)/(D58+E58))*100</f>
        <v>8.9810924369747731</v>
      </c>
      <c r="M58" s="456" t="s">
        <v>188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[20]January_2019!L7</f>
        <v>285.8</v>
      </c>
      <c r="AC58" s="57">
        <f>[20]January_2019!M7</f>
        <v>508.1</v>
      </c>
      <c r="AD58" s="57">
        <f>[20]January_2019!N7</f>
        <v>0</v>
      </c>
      <c r="AE58" s="57">
        <f>[20]January_2019!O7</f>
        <v>0</v>
      </c>
      <c r="AF58" s="57">
        <f>[20]January_2019!P7</f>
        <v>109.56666666666666</v>
      </c>
      <c r="AG58" s="57">
        <f>[20]January_2019!Q7</f>
        <v>297.64999999999998</v>
      </c>
      <c r="AH58" s="57">
        <f>[20]January_2019!R7</f>
        <v>122.3</v>
      </c>
      <c r="AI58" s="57">
        <f>[20]January_2019!S7</f>
        <v>0</v>
      </c>
      <c r="AJ58" s="57">
        <f>[20]January_2019!T7</f>
        <v>294.7</v>
      </c>
      <c r="AK58" s="57">
        <f>[20]January_2019!U7</f>
        <v>280.5</v>
      </c>
      <c r="AL58" s="57">
        <f>[20]January_2019!V7</f>
        <v>0</v>
      </c>
      <c r="AM58" s="57">
        <f>[20]January_2019!W7</f>
        <v>0</v>
      </c>
      <c r="AN58" s="57">
        <f>[20]January_2019!X7</f>
        <v>188.25</v>
      </c>
      <c r="AO58" s="57">
        <f>[20]January_2019!Y7</f>
        <v>295.7</v>
      </c>
      <c r="AP58" s="57">
        <f>[20]January_2019!Z7</f>
        <v>257.8</v>
      </c>
      <c r="AQ58" s="57">
        <f>[20]January_2019!AA7</f>
        <v>291.2</v>
      </c>
      <c r="AR58" s="57">
        <f>[20]January_2019!AB7</f>
        <v>187</v>
      </c>
      <c r="AS58" s="57">
        <f>[20]January_2019!AC7</f>
        <v>0</v>
      </c>
      <c r="AT58" s="57">
        <f>[20]January_2019!AD7</f>
        <v>0</v>
      </c>
      <c r="AU58" s="57">
        <f>[20]January_2019!AE7</f>
        <v>485.1</v>
      </c>
      <c r="AV58" s="57">
        <f>[20]January_2019!AF7</f>
        <v>171.55</v>
      </c>
      <c r="AW58" s="57">
        <f>[20]January_2019!AG7</f>
        <v>423.8</v>
      </c>
      <c r="AX58" s="277">
        <f>[20]January_2019!AH7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20.45" hidden="1" customHeight="1" thickBot="1">
      <c r="B59" s="473"/>
      <c r="C59" s="431"/>
      <c r="D59" s="432"/>
      <c r="E59" s="433"/>
      <c r="F59" s="434"/>
      <c r="G59" s="435"/>
      <c r="H59" s="429"/>
      <c r="I59" s="429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450000000000003" hidden="1" customHeight="1" thickBot="1">
      <c r="B60" s="458"/>
      <c r="C60" s="442"/>
      <c r="D60" s="443"/>
      <c r="E60" s="444"/>
      <c r="F60" s="445"/>
      <c r="G60" s="446"/>
      <c r="H60" s="460"/>
      <c r="I60" s="460"/>
      <c r="J60" s="449"/>
      <c r="K60" s="462"/>
      <c r="L60" s="459" t="e">
        <f>(((D60+E60)-G60)/(D60+E60))*100</f>
        <v>#DIV/0!</v>
      </c>
      <c r="M60" s="456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4"/>
      <c r="C61" s="431"/>
      <c r="D61" s="432"/>
      <c r="E61" s="433"/>
      <c r="F61" s="434"/>
      <c r="G61" s="435"/>
      <c r="H61" s="436"/>
      <c r="I61" s="451"/>
      <c r="J61" s="452"/>
      <c r="K61" s="437"/>
      <c r="L61" s="453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61"/>
      <c r="C62" s="442"/>
      <c r="D62" s="443"/>
      <c r="E62" s="444"/>
      <c r="F62" s="445"/>
      <c r="G62" s="446"/>
      <c r="H62" s="447"/>
      <c r="I62" s="448"/>
      <c r="J62" s="449"/>
      <c r="K62" s="450"/>
      <c r="L62" s="459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customHeight="1" thickBot="1">
      <c r="B63" s="438"/>
      <c r="C63" s="424"/>
      <c r="D63" s="425"/>
      <c r="E63" s="426"/>
      <c r="F63" s="427"/>
      <c r="G63" s="428"/>
      <c r="H63" s="429"/>
      <c r="I63" s="439"/>
      <c r="J63" s="440"/>
      <c r="K63" s="430"/>
      <c r="L63" s="441"/>
      <c r="M63" s="423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61"/>
      <c r="C64" s="442"/>
      <c r="D64" s="443"/>
      <c r="E64" s="444"/>
      <c r="F64" s="445"/>
      <c r="G64" s="446"/>
      <c r="H64" s="447"/>
      <c r="I64" s="448"/>
      <c r="J64" s="449"/>
      <c r="K64" s="450"/>
      <c r="L64" s="459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70"/>
      <c r="C65" s="431"/>
      <c r="D65" s="464"/>
      <c r="E65" s="465"/>
      <c r="F65" s="466"/>
      <c r="G65" s="464"/>
      <c r="H65" s="467"/>
      <c r="I65" s="467"/>
      <c r="J65" s="467"/>
      <c r="K65" s="468"/>
      <c r="L65" s="469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48" t="s">
        <v>55</v>
      </c>
      <c r="C67" s="549"/>
      <c r="D67" s="549"/>
      <c r="E67" s="549"/>
      <c r="F67" s="550"/>
      <c r="G67" s="548" t="s">
        <v>56</v>
      </c>
      <c r="H67" s="549"/>
      <c r="I67" s="549"/>
      <c r="J67" s="550"/>
      <c r="K67" s="548" t="s">
        <v>51</v>
      </c>
      <c r="L67" s="549"/>
      <c r="M67" s="549"/>
      <c r="N67" s="551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>
        <f>L58</f>
        <v>8.9810924369747731</v>
      </c>
      <c r="D69" s="76">
        <v>7.1283576452815742</v>
      </c>
      <c r="E69" s="76">
        <v>6.1222938123378228</v>
      </c>
      <c r="F69" s="66">
        <v>4.8</v>
      </c>
      <c r="G69" s="65">
        <f>[41]November_2025!$Q$11</f>
        <v>8.4592805181040411</v>
      </c>
      <c r="H69" s="76">
        <v>7.3871745698727374</v>
      </c>
      <c r="I69" s="76">
        <v>6.1206439103825003</v>
      </c>
      <c r="J69" s="66">
        <v>4.8</v>
      </c>
      <c r="K69" s="67">
        <f>K58</f>
        <v>0.30403508771929827</v>
      </c>
      <c r="L69" s="194">
        <v>0.39490058479532164</v>
      </c>
      <c r="M69" s="194">
        <v>0.71715117150450269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5.1671214188267509</v>
      </c>
      <c r="E70" s="76">
        <v>5.7344696924419472</v>
      </c>
      <c r="F70" s="66">
        <v>4.8</v>
      </c>
      <c r="G70" s="65"/>
      <c r="H70" s="76">
        <v>3.8690868488751016</v>
      </c>
      <c r="I70" s="76">
        <v>6.3491977772279</v>
      </c>
      <c r="J70" s="66">
        <v>4.8</v>
      </c>
      <c r="K70" s="67"/>
      <c r="L70" s="194">
        <v>0.48780701754385969</v>
      </c>
      <c r="M70" s="194">
        <v>0.65340260538294603</v>
      </c>
      <c r="N70" s="68">
        <v>1</v>
      </c>
      <c r="P70" s="69"/>
    </row>
    <row r="71" spans="2:57" ht="15">
      <c r="B71" s="34" t="s">
        <v>40</v>
      </c>
      <c r="C71" s="65"/>
      <c r="D71" s="76">
        <v>6.2500000000000053</v>
      </c>
      <c r="E71" s="76">
        <v>10.839987110172206</v>
      </c>
      <c r="F71" s="66">
        <v>5.5</v>
      </c>
      <c r="G71" s="65"/>
      <c r="H71" s="76">
        <v>6.2847885309849998</v>
      </c>
      <c r="I71" s="76">
        <v>12.456668215153922</v>
      </c>
      <c r="J71" s="66">
        <v>5.5</v>
      </c>
      <c r="K71" s="67"/>
      <c r="L71" s="194">
        <v>0.31052631578947371</v>
      </c>
      <c r="M71" s="194">
        <v>0.5063309636650869</v>
      </c>
      <c r="N71" s="68">
        <v>1</v>
      </c>
      <c r="P71" s="69"/>
    </row>
    <row r="72" spans="2:57" ht="15">
      <c r="B72" s="22" t="s">
        <v>33</v>
      </c>
      <c r="C72" s="65"/>
      <c r="D72" s="76">
        <v>3.7833827893175105</v>
      </c>
      <c r="E72" s="76">
        <v>4.6226456706805745</v>
      </c>
      <c r="F72" s="66">
        <v>3.3</v>
      </c>
      <c r="G72" s="65"/>
      <c r="H72" s="76">
        <v>3.7421885632627285</v>
      </c>
      <c r="I72" s="76">
        <v>4.4171317623593813</v>
      </c>
      <c r="J72" s="66">
        <v>3.3</v>
      </c>
      <c r="K72" s="67"/>
      <c r="L72" s="194">
        <v>0.68263157894736837</v>
      </c>
      <c r="M72" s="194">
        <v>0.83111215538847116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>
        <v>7.837301587301579</v>
      </c>
      <c r="F73" s="66">
        <v>3.3</v>
      </c>
      <c r="G73" s="282"/>
      <c r="H73" s="76"/>
      <c r="I73" s="76">
        <v>5.3377569154690221</v>
      </c>
      <c r="J73" s="66">
        <v>3</v>
      </c>
      <c r="K73" s="67"/>
      <c r="L73" s="194"/>
      <c r="M73" s="194">
        <v>0.32596491228070179</v>
      </c>
      <c r="N73" s="68">
        <v>1</v>
      </c>
      <c r="P73" s="69"/>
    </row>
    <row r="74" spans="2:57" ht="15">
      <c r="B74" s="36" t="s">
        <v>15</v>
      </c>
      <c r="C74" s="65"/>
      <c r="D74" s="76"/>
      <c r="E74" s="76">
        <v>6.8851328044153277</v>
      </c>
      <c r="F74" s="70">
        <f>[21]May_2022!$M$43</f>
        <v>3.4878406700073312</v>
      </c>
      <c r="G74" s="282"/>
      <c r="H74" s="76"/>
      <c r="I74" s="76">
        <v>8.6614709463340702</v>
      </c>
      <c r="J74" s="66">
        <v>5.5</v>
      </c>
      <c r="K74" s="67"/>
      <c r="L74" s="194"/>
      <c r="M74" s="194">
        <v>0.73160818713450293</v>
      </c>
      <c r="N74" s="68">
        <v>1</v>
      </c>
      <c r="P74" s="69"/>
    </row>
    <row r="75" spans="2:57" ht="15">
      <c r="B75" s="37" t="s">
        <v>16</v>
      </c>
      <c r="C75" s="65"/>
      <c r="D75" s="76">
        <v>2.6328862394436081</v>
      </c>
      <c r="E75" s="76">
        <v>2.9297033255778997</v>
      </c>
      <c r="F75" s="66">
        <v>3.3</v>
      </c>
      <c r="G75" s="282"/>
      <c r="H75" s="76">
        <v>2.6328862394435983</v>
      </c>
      <c r="I75" s="76">
        <v>4.2684292436723528</v>
      </c>
      <c r="J75" s="66">
        <v>3.3</v>
      </c>
      <c r="K75" s="67"/>
      <c r="L75" s="194"/>
      <c r="M75" s="194">
        <v>0.84660147761842675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>
        <v>11.483253588516746</v>
      </c>
      <c r="F76" s="66">
        <v>7.5</v>
      </c>
      <c r="G76" s="282"/>
      <c r="H76" s="76"/>
      <c r="I76" s="76">
        <v>9.7934336121043764</v>
      </c>
      <c r="J76" s="66">
        <v>7.5</v>
      </c>
      <c r="K76" s="67"/>
      <c r="M76" s="194">
        <v>0.32456140350877194</v>
      </c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>
        <v>7.2653644592663174</v>
      </c>
      <c r="F77" s="66">
        <v>4.8</v>
      </c>
      <c r="G77" s="282"/>
      <c r="H77" s="76"/>
      <c r="I77" s="76">
        <v>8.1715311054411259</v>
      </c>
      <c r="J77" s="66">
        <v>4.8</v>
      </c>
      <c r="K77" s="67"/>
      <c r="L77" s="194"/>
      <c r="M77" s="194">
        <v>0.51368421052631585</v>
      </c>
      <c r="N77" s="71">
        <v>1</v>
      </c>
      <c r="O77" s="74"/>
      <c r="P77" s="75"/>
    </row>
    <row r="78" spans="2:57" ht="15">
      <c r="D78" s="76">
        <v>6.1071101966163779</v>
      </c>
      <c r="E78" s="76">
        <v>6.1219061587500034</v>
      </c>
      <c r="F78" s="341">
        <v>5.5</v>
      </c>
      <c r="H78" s="76">
        <v>5.6330772694759705</v>
      </c>
      <c r="I78" s="76">
        <v>6.6116211844500796</v>
      </c>
      <c r="J78" s="341">
        <v>5.5</v>
      </c>
      <c r="L78" s="194">
        <v>0.46035412605588044</v>
      </c>
      <c r="M78" s="194">
        <v>0.68950077160493828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7:F67"/>
    <mergeCell ref="G67:J67"/>
    <mergeCell ref="K67:N67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2217" priority="41" operator="notBetween">
      <formula>#REF!</formula>
      <formula>#REF!</formula>
    </cfRule>
  </conditionalFormatting>
  <conditionalFormatting sqref="C55">
    <cfRule type="cellIs" dxfId="2216" priority="191" stopIfTrue="1" operator="greaterThan">
      <formula>100</formula>
    </cfRule>
    <cfRule type="cellIs" dxfId="2215" priority="190" stopIfTrue="1" operator="lessThan">
      <formula>96</formula>
    </cfRule>
  </conditionalFormatting>
  <conditionalFormatting sqref="C69:C73">
    <cfRule type="cellIs" dxfId="2214" priority="144" stopIfTrue="1" operator="lessThanOrEqual">
      <formula>0</formula>
    </cfRule>
  </conditionalFormatting>
  <conditionalFormatting sqref="C69:C77">
    <cfRule type="cellIs" dxfId="2213" priority="143" stopIfTrue="1" operator="greaterThan">
      <formula>$F69</formula>
    </cfRule>
  </conditionalFormatting>
  <conditionalFormatting sqref="C70">
    <cfRule type="cellIs" dxfId="2212" priority="194" stopIfTrue="1" operator="greaterThan">
      <formula>$F69</formula>
    </cfRule>
  </conditionalFormatting>
  <conditionalFormatting sqref="C74">
    <cfRule type="cellIs" dxfId="2211" priority="84" stopIfTrue="1" operator="greaterThan">
      <formula>$F73</formula>
    </cfRule>
    <cfRule type="cellIs" dxfId="2210" priority="83" stopIfTrue="1" operator="lessThanOrEqual">
      <formula>0</formula>
    </cfRule>
  </conditionalFormatting>
  <conditionalFormatting sqref="C80:C84">
    <cfRule type="cellIs" dxfId="2209" priority="182" stopIfTrue="1" operator="lessThanOrEqual">
      <formula>0</formula>
    </cfRule>
  </conditionalFormatting>
  <conditionalFormatting sqref="C81:C84">
    <cfRule type="cellIs" dxfId="2208" priority="181" stopIfTrue="1" operator="greaterThan">
      <formula>$F$80</formula>
    </cfRule>
  </conditionalFormatting>
  <conditionalFormatting sqref="C86">
    <cfRule type="cellIs" dxfId="2207" priority="183" stopIfTrue="1" operator="greaterThan">
      <formula>$F$80</formula>
    </cfRule>
    <cfRule type="cellIs" dxfId="2206" priority="184" stopIfTrue="1" operator="lessThanOrEqual">
      <formula>0</formula>
    </cfRule>
  </conditionalFormatting>
  <conditionalFormatting sqref="C80:D80 D82:D88">
    <cfRule type="cellIs" dxfId="2205" priority="176" stopIfTrue="1" operator="greaterThan">
      <formula>4.5</formula>
    </cfRule>
  </conditionalFormatting>
  <conditionalFormatting sqref="D51:D52">
    <cfRule type="cellIs" dxfId="2204" priority="42" operator="notBetween">
      <formula>#REF!</formula>
      <formula>#REF!</formula>
    </cfRule>
  </conditionalFormatting>
  <conditionalFormatting sqref="D69:D76">
    <cfRule type="cellIs" dxfId="2203" priority="156" stopIfTrue="1" operator="lessThanOrEqual">
      <formula>0</formula>
    </cfRule>
  </conditionalFormatting>
  <conditionalFormatting sqref="D77">
    <cfRule type="cellIs" dxfId="2202" priority="155" stopIfTrue="1" operator="lessThanOrEqual">
      <formula>0</formula>
    </cfRule>
  </conditionalFormatting>
  <conditionalFormatting sqref="D80 D82:D88">
    <cfRule type="cellIs" dxfId="2201" priority="177" stopIfTrue="1" operator="lessThanOrEqual">
      <formula>0</formula>
    </cfRule>
  </conditionalFormatting>
  <conditionalFormatting sqref="D81">
    <cfRule type="cellIs" dxfId="2200" priority="168" stopIfTrue="1" operator="greaterThan">
      <formula>$F$80</formula>
    </cfRule>
    <cfRule type="cellIs" dxfId="2199" priority="169" stopIfTrue="1" operator="lessThanOrEqual">
      <formula>0</formula>
    </cfRule>
  </conditionalFormatting>
  <conditionalFormatting sqref="D69:E78">
    <cfRule type="cellIs" dxfId="2198" priority="141" stopIfTrue="1" operator="greaterThan">
      <formula>$F69</formula>
    </cfRule>
  </conditionalFormatting>
  <conditionalFormatting sqref="D78:E78">
    <cfRule type="cellIs" dxfId="2197" priority="142" stopIfTrue="1" operator="lessThanOrEqual">
      <formula>0</formula>
    </cfRule>
  </conditionalFormatting>
  <conditionalFormatting sqref="E10:E26">
    <cfRule type="cellIs" dxfId="2196" priority="30" operator="lessThan">
      <formula>48</formula>
    </cfRule>
  </conditionalFormatting>
  <conditionalFormatting sqref="E54 E55:F55">
    <cfRule type="cellIs" dxfId="2195" priority="173" stopIfTrue="1" operator="greaterThan">
      <formula>100</formula>
    </cfRule>
  </conditionalFormatting>
  <conditionalFormatting sqref="E55">
    <cfRule type="cellIs" dxfId="2194" priority="170" stopIfTrue="1" operator="lessThan">
      <formula>96.8</formula>
    </cfRule>
    <cfRule type="cellIs" dxfId="2193" priority="171" stopIfTrue="1" operator="greaterThan">
      <formula>100</formula>
    </cfRule>
  </conditionalFormatting>
  <conditionalFormatting sqref="E69:E77">
    <cfRule type="cellIs" dxfId="2192" priority="152" stopIfTrue="1" operator="lessThanOrEqual">
      <formula>0</formula>
    </cfRule>
  </conditionalFormatting>
  <conditionalFormatting sqref="E80:E88">
    <cfRule type="cellIs" dxfId="2191" priority="163" stopIfTrue="1" operator="lessThanOrEqual">
      <formula>0</formula>
    </cfRule>
    <cfRule type="cellIs" dxfId="2190" priority="162" stopIfTrue="1" operator="greaterThan">
      <formula>4.5</formula>
    </cfRule>
  </conditionalFormatting>
  <conditionalFormatting sqref="E55:F55 E54">
    <cfRule type="cellIs" dxfId="2189" priority="172" stopIfTrue="1" operator="lessThan">
      <formula>96.5</formula>
    </cfRule>
  </conditionalFormatting>
  <conditionalFormatting sqref="F10:F26">
    <cfRule type="cellIs" dxfId="2188" priority="31" operator="greaterThan">
      <formula>60</formula>
    </cfRule>
  </conditionalFormatting>
  <conditionalFormatting sqref="F55">
    <cfRule type="cellIs" dxfId="2187" priority="188" stopIfTrue="1" operator="lessThan">
      <formula>96.8</formula>
    </cfRule>
    <cfRule type="cellIs" dxfId="2186" priority="189" stopIfTrue="1" operator="greaterThan">
      <formula>100</formula>
    </cfRule>
  </conditionalFormatting>
  <conditionalFormatting sqref="F78">
    <cfRule type="cellIs" dxfId="2185" priority="153" stopIfTrue="1" operator="greaterThan">
      <formula>$F78</formula>
    </cfRule>
    <cfRule type="cellIs" dxfId="2184" priority="154" stopIfTrue="1" operator="lessThanOrEqual">
      <formula>0</formula>
    </cfRule>
  </conditionalFormatting>
  <conditionalFormatting sqref="G69:G70 C75:C77">
    <cfRule type="cellIs" dxfId="2183" priority="158" stopIfTrue="1" operator="lessThanOrEqual">
      <formula>0</formula>
    </cfRule>
  </conditionalFormatting>
  <conditionalFormatting sqref="G69:G70">
    <cfRule type="cellIs" dxfId="2182" priority="145" stopIfTrue="1" operator="greaterThan">
      <formula>$F69</formula>
    </cfRule>
    <cfRule type="cellIs" dxfId="2181" priority="157" stopIfTrue="1" operator="greaterThan">
      <formula>$F69</formula>
    </cfRule>
    <cfRule type="cellIs" dxfId="2180" priority="146" stopIfTrue="1" operator="lessThanOrEqual">
      <formula>0</formula>
    </cfRule>
  </conditionalFormatting>
  <conditionalFormatting sqref="G71">
    <cfRule type="cellIs" dxfId="2179" priority="193" stopIfTrue="1" operator="lessThanOrEqual">
      <formula>0</formula>
    </cfRule>
    <cfRule type="cellIs" dxfId="2178" priority="192" stopIfTrue="1" operator="greaterThan">
      <formula>$F70</formula>
    </cfRule>
  </conditionalFormatting>
  <conditionalFormatting sqref="G72">
    <cfRule type="cellIs" dxfId="2177" priority="38" stopIfTrue="1" operator="lessThanOrEqual">
      <formula>0</formula>
    </cfRule>
    <cfRule type="cellIs" dxfId="2176" priority="39" stopIfTrue="1" operator="greaterThan">
      <formula>$F72</formula>
    </cfRule>
    <cfRule type="cellIs" dxfId="2175" priority="40" stopIfTrue="1" operator="lessThanOrEqual">
      <formula>0</formula>
    </cfRule>
    <cfRule type="cellIs" dxfId="2174" priority="37" stopIfTrue="1" operator="greaterThan">
      <formula>$F72</formula>
    </cfRule>
  </conditionalFormatting>
  <conditionalFormatting sqref="G73:G77">
    <cfRule type="cellIs" dxfId="2173" priority="159" stopIfTrue="1" operator="greaterThan">
      <formula>$J73</formula>
    </cfRule>
    <cfRule type="cellIs" dxfId="2172" priority="160" stopIfTrue="1" operator="lessThanOrEqual">
      <formula>0</formula>
    </cfRule>
  </conditionalFormatting>
  <conditionalFormatting sqref="G82:G87 C85 C87">
    <cfRule type="cellIs" dxfId="2171" priority="185" stopIfTrue="1" operator="greaterThan">
      <formula>4.5</formula>
    </cfRule>
    <cfRule type="cellIs" dxfId="2170" priority="186" stopIfTrue="1" operator="lessThanOrEqual">
      <formula>0</formula>
    </cfRule>
  </conditionalFormatting>
  <conditionalFormatting sqref="G81:H81">
    <cfRule type="cellIs" dxfId="2169" priority="166" stopIfTrue="1" operator="greaterThan">
      <formula>$F$80</formula>
    </cfRule>
    <cfRule type="cellIs" dxfId="2168" priority="167" stopIfTrue="1" operator="lessThanOrEqual">
      <formula>0</formula>
    </cfRule>
  </conditionalFormatting>
  <conditionalFormatting sqref="H40:H54 I42:I53">
    <cfRule type="cellIs" dxfId="2167" priority="164" stopIfTrue="1" operator="greaterThan">
      <formula>0</formula>
    </cfRule>
  </conditionalFormatting>
  <conditionalFormatting sqref="H58">
    <cfRule type="cellIs" dxfId="2166" priority="24" stopIfTrue="1" operator="lessThanOrEqual">
      <formula>0</formula>
    </cfRule>
    <cfRule type="cellIs" dxfId="2165" priority="21" stopIfTrue="1" operator="greaterThan">
      <formula>$F$78</formula>
    </cfRule>
    <cfRule type="cellIs" dxfId="2164" priority="12" stopIfTrue="1" operator="lessThanOrEqual">
      <formula>0</formula>
    </cfRule>
    <cfRule type="cellIs" dxfId="2163" priority="13" stopIfTrue="1" operator="greaterThan">
      <formula>$F$75</formula>
    </cfRule>
    <cfRule type="cellIs" dxfId="2162" priority="22" stopIfTrue="1" operator="lessThanOrEqual">
      <formula>0</formula>
    </cfRule>
    <cfRule type="cellIs" dxfId="2161" priority="23" stopIfTrue="1" operator="greaterThan">
      <formula>$F$76</formula>
    </cfRule>
  </conditionalFormatting>
  <conditionalFormatting sqref="H59">
    <cfRule type="cellIs" dxfId="2160" priority="112" stopIfTrue="1" operator="lessThanOrEqual">
      <formula>0</formula>
    </cfRule>
    <cfRule type="cellIs" dxfId="2159" priority="109" stopIfTrue="1" operator="greaterThan">
      <formula>$F$27</formula>
    </cfRule>
    <cfRule type="cellIs" dxfId="2158" priority="100" stopIfTrue="1" operator="lessThanOrEqual">
      <formula>0</formula>
    </cfRule>
    <cfRule type="cellIs" dxfId="2157" priority="110" stopIfTrue="1" operator="lessThanOrEqual">
      <formula>0</formula>
    </cfRule>
    <cfRule type="cellIs" dxfId="2156" priority="101" stopIfTrue="1" operator="greaterThan">
      <formula>#REF!</formula>
    </cfRule>
    <cfRule type="cellIs" dxfId="2155" priority="111" stopIfTrue="1" operator="greaterThan">
      <formula>#REF!</formula>
    </cfRule>
  </conditionalFormatting>
  <conditionalFormatting sqref="H60">
    <cfRule type="cellIs" dxfId="2154" priority="77" stopIfTrue="1" operator="greaterThan">
      <formula>$F$73</formula>
    </cfRule>
    <cfRule type="cellIs" dxfId="2153" priority="78" stopIfTrue="1" operator="lessThanOrEqual">
      <formula>0</formula>
    </cfRule>
    <cfRule type="cellIs" dxfId="2152" priority="79" stopIfTrue="1" operator="greaterThan">
      <formula>$F$71</formula>
    </cfRule>
    <cfRule type="cellIs" dxfId="2151" priority="80" stopIfTrue="1" operator="lessThanOrEqual">
      <formula>0</formula>
    </cfRule>
    <cfRule type="cellIs" dxfId="2150" priority="68" stopIfTrue="1" operator="lessThanOrEqual">
      <formula>0</formula>
    </cfRule>
    <cfRule type="cellIs" dxfId="2149" priority="69" stopIfTrue="1" operator="greaterThan">
      <formula>$F$70</formula>
    </cfRule>
  </conditionalFormatting>
  <conditionalFormatting sqref="H61:H62">
    <cfRule type="cellIs" dxfId="2148" priority="96" stopIfTrue="1" operator="lessThanOrEqual">
      <formula>0</formula>
    </cfRule>
    <cfRule type="cellIs" dxfId="2147" priority="95" stopIfTrue="1" operator="greaterThan">
      <formula>$F$26</formula>
    </cfRule>
    <cfRule type="cellIs" dxfId="2146" priority="87" stopIfTrue="1" operator="greaterThan">
      <formula>#REF!</formula>
    </cfRule>
    <cfRule type="cellIs" dxfId="2145" priority="98" stopIfTrue="1" operator="lessThanOrEqual">
      <formula>0</formula>
    </cfRule>
    <cfRule type="cellIs" dxfId="2144" priority="97" stopIfTrue="1" operator="greaterThan">
      <formula>#REF!</formula>
    </cfRule>
    <cfRule type="cellIs" dxfId="2143" priority="86" stopIfTrue="1" operator="lessThanOrEqual">
      <formula>0</formula>
    </cfRule>
  </conditionalFormatting>
  <conditionalFormatting sqref="H63">
    <cfRule type="cellIs" dxfId="2142" priority="116" stopIfTrue="1" operator="greaterThan">
      <formula>$F$39</formula>
    </cfRule>
    <cfRule type="cellIs" dxfId="2141" priority="124" stopIfTrue="1" operator="greaterThan">
      <formula>$F$42</formula>
    </cfRule>
    <cfRule type="cellIs" dxfId="2140" priority="126" stopIfTrue="1" operator="greaterThan">
      <formula>$F$40</formula>
    </cfRule>
    <cfRule type="cellIs" dxfId="2139" priority="115" stopIfTrue="1" operator="lessThanOrEqual">
      <formula>0</formula>
    </cfRule>
    <cfRule type="cellIs" dxfId="2138" priority="127" stopIfTrue="1" operator="lessThanOrEqual">
      <formula>0</formula>
    </cfRule>
    <cfRule type="cellIs" dxfId="2137" priority="125" stopIfTrue="1" operator="lessThanOrEqual">
      <formula>0</formula>
    </cfRule>
  </conditionalFormatting>
  <conditionalFormatting sqref="H64:H65">
    <cfRule type="cellIs" dxfId="2136" priority="52" stopIfTrue="1" operator="lessThanOrEqual">
      <formula>0</formula>
    </cfRule>
    <cfRule type="cellIs" dxfId="2135" priority="53" stopIfTrue="1" operator="greaterThan">
      <formula>#REF!</formula>
    </cfRule>
    <cfRule type="cellIs" dxfId="2134" priority="61" stopIfTrue="1" operator="greaterThan">
      <formula>$F$26</formula>
    </cfRule>
    <cfRule type="cellIs" dxfId="2133" priority="62" stopIfTrue="1" operator="lessThanOrEqual">
      <formula>0</formula>
    </cfRule>
    <cfRule type="cellIs" dxfId="2132" priority="63" stopIfTrue="1" operator="greaterThan">
      <formula>#REF!</formula>
    </cfRule>
    <cfRule type="cellIs" dxfId="2131" priority="64" stopIfTrue="1" operator="lessThanOrEqual">
      <formula>0</formula>
    </cfRule>
  </conditionalFormatting>
  <conditionalFormatting sqref="H69:H76">
    <cfRule type="cellIs" dxfId="2130" priority="147" stopIfTrue="1" operator="greaterThan">
      <formula>$J69</formula>
    </cfRule>
    <cfRule type="cellIs" dxfId="2129" priority="148" stopIfTrue="1" operator="lessThanOrEqual">
      <formula>0</formula>
    </cfRule>
  </conditionalFormatting>
  <conditionalFormatting sqref="H77">
    <cfRule type="cellIs" dxfId="2128" priority="149" operator="greaterThan">
      <formula>5.3</formula>
    </cfRule>
  </conditionalFormatting>
  <conditionalFormatting sqref="H80 H82:H88">
    <cfRule type="cellIs" dxfId="2127" priority="178" stopIfTrue="1" operator="greaterThan">
      <formula>4.5</formula>
    </cfRule>
    <cfRule type="cellIs" dxfId="2126" priority="179" stopIfTrue="1" operator="lessThanOrEqual">
      <formula>0</formula>
    </cfRule>
  </conditionalFormatting>
  <conditionalFormatting sqref="H58:I58">
    <cfRule type="cellIs" dxfId="2125" priority="11" stopIfTrue="1" operator="greaterThan">
      <formula>$F$77</formula>
    </cfRule>
    <cfRule type="cellIs" dxfId="2124" priority="14" stopIfTrue="1" operator="lessThanOrEqual">
      <formula>0</formula>
    </cfRule>
  </conditionalFormatting>
  <conditionalFormatting sqref="H59:I59">
    <cfRule type="cellIs" dxfId="2123" priority="99" stopIfTrue="1" operator="greaterThan">
      <formula>$F$26</formula>
    </cfRule>
    <cfRule type="cellIs" dxfId="2122" priority="102" stopIfTrue="1" operator="lessThanOrEqual">
      <formula>0</formula>
    </cfRule>
  </conditionalFormatting>
  <conditionalFormatting sqref="H60:I60">
    <cfRule type="cellIs" dxfId="2121" priority="70" stopIfTrue="1" operator="lessThanOrEqual">
      <formula>0</formula>
    </cfRule>
    <cfRule type="cellIs" dxfId="2120" priority="67" stopIfTrue="1" operator="greaterThan">
      <formula>$F$72</formula>
    </cfRule>
  </conditionalFormatting>
  <conditionalFormatting sqref="H61:I62">
    <cfRule type="cellIs" dxfId="2119" priority="85" stopIfTrue="1" operator="greaterThan">
      <formula>#REF!</formula>
    </cfRule>
    <cfRule type="cellIs" dxfId="2118" priority="88" stopIfTrue="1" operator="lessThanOrEqual">
      <formula>0</formula>
    </cfRule>
  </conditionalFormatting>
  <conditionalFormatting sqref="H63:I63">
    <cfRule type="cellIs" dxfId="2117" priority="114" stopIfTrue="1" operator="greaterThan">
      <formula>$F$41</formula>
    </cfRule>
    <cfRule type="cellIs" dxfId="2116" priority="117" stopIfTrue="1" operator="lessThanOrEqual">
      <formula>0</formula>
    </cfRule>
  </conditionalFormatting>
  <conditionalFormatting sqref="H64:I65">
    <cfRule type="cellIs" dxfId="2115" priority="54" stopIfTrue="1" operator="lessThanOrEqual">
      <formula>0</formula>
    </cfRule>
    <cfRule type="cellIs" dxfId="2114" priority="51" stopIfTrue="1" operator="greaterThan">
      <formula>#REF!</formula>
    </cfRule>
  </conditionalFormatting>
  <conditionalFormatting sqref="H78:I78">
    <cfRule type="cellIs" dxfId="2113" priority="139" stopIfTrue="1" operator="greaterThan">
      <formula>$J78</formula>
    </cfRule>
    <cfRule type="cellIs" dxfId="2112" priority="140" stopIfTrue="1" operator="lessThanOrEqual">
      <formula>0</formula>
    </cfRule>
  </conditionalFormatting>
  <conditionalFormatting sqref="I58">
    <cfRule type="cellIs" dxfId="2111" priority="17" stopIfTrue="1" operator="greaterThan">
      <formula>$F$77</formula>
    </cfRule>
    <cfRule type="cellIs" dxfId="2110" priority="15" stopIfTrue="1" operator="greaterThan">
      <formula>$F$75</formula>
    </cfRule>
    <cfRule type="cellIs" dxfId="2109" priority="16" stopIfTrue="1" operator="lessThanOrEqual">
      <formula>0</formula>
    </cfRule>
    <cfRule type="cellIs" dxfId="2108" priority="20" stopIfTrue="1" operator="lessThanOrEqual">
      <formula>0</formula>
    </cfRule>
    <cfRule type="cellIs" dxfId="2107" priority="19" stopIfTrue="1" operator="greaterThan">
      <formula>$F$75</formula>
    </cfRule>
    <cfRule type="cellIs" dxfId="2106" priority="18" stopIfTrue="1" operator="lessThanOrEqual">
      <formula>0</formula>
    </cfRule>
  </conditionalFormatting>
  <conditionalFormatting sqref="I59">
    <cfRule type="cellIs" dxfId="2105" priority="103" stopIfTrue="1" operator="greaterThan">
      <formula>#REF!</formula>
    </cfRule>
    <cfRule type="cellIs" dxfId="2104" priority="108" stopIfTrue="1" operator="lessThanOrEqual">
      <formula>0</formula>
    </cfRule>
    <cfRule type="cellIs" dxfId="2103" priority="107" stopIfTrue="1" operator="greaterThan">
      <formula>#REF!</formula>
    </cfRule>
    <cfRule type="cellIs" dxfId="2102" priority="104" stopIfTrue="1" operator="lessThanOrEqual">
      <formula>0</formula>
    </cfRule>
    <cfRule type="cellIs" dxfId="2101" priority="106" stopIfTrue="1" operator="lessThanOrEqual">
      <formula>0</formula>
    </cfRule>
    <cfRule type="cellIs" dxfId="2100" priority="105" stopIfTrue="1" operator="greaterThan">
      <formula>$F$26</formula>
    </cfRule>
  </conditionalFormatting>
  <conditionalFormatting sqref="I60">
    <cfRule type="cellIs" dxfId="2099" priority="73" stopIfTrue="1" operator="greaterThan">
      <formula>$F$72</formula>
    </cfRule>
    <cfRule type="cellIs" dxfId="2098" priority="72" stopIfTrue="1" operator="lessThanOrEqual">
      <formula>0</formula>
    </cfRule>
    <cfRule type="cellIs" dxfId="2097" priority="71" stopIfTrue="1" operator="greaterThan">
      <formula>$F$70</formula>
    </cfRule>
    <cfRule type="cellIs" dxfId="2096" priority="74" stopIfTrue="1" operator="lessThanOrEqual">
      <formula>0</formula>
    </cfRule>
    <cfRule type="cellIs" dxfId="2095" priority="76" stopIfTrue="1" operator="lessThanOrEqual">
      <formula>0</formula>
    </cfRule>
    <cfRule type="cellIs" dxfId="2094" priority="75" stopIfTrue="1" operator="greaterThan">
      <formula>$F$70</formula>
    </cfRule>
  </conditionalFormatting>
  <conditionalFormatting sqref="I61:I62">
    <cfRule type="cellIs" dxfId="2093" priority="89" stopIfTrue="1" operator="greaterThan">
      <formula>#REF!</formula>
    </cfRule>
    <cfRule type="cellIs" dxfId="2092" priority="90" stopIfTrue="1" operator="lessThanOrEqual">
      <formula>0</formula>
    </cfRule>
    <cfRule type="cellIs" dxfId="2091" priority="91" stopIfTrue="1" operator="greaterThan">
      <formula>#REF!</formula>
    </cfRule>
    <cfRule type="cellIs" dxfId="2090" priority="92" stopIfTrue="1" operator="lessThanOrEqual">
      <formula>0</formula>
    </cfRule>
    <cfRule type="cellIs" dxfId="2089" priority="94" stopIfTrue="1" operator="lessThanOrEqual">
      <formula>0</formula>
    </cfRule>
    <cfRule type="cellIs" dxfId="2088" priority="93" stopIfTrue="1" operator="greaterThan">
      <formula>#REF!</formula>
    </cfRule>
  </conditionalFormatting>
  <conditionalFormatting sqref="I63">
    <cfRule type="cellIs" dxfId="2087" priority="118" stopIfTrue="1" operator="greaterThan">
      <formula>$F$39</formula>
    </cfRule>
    <cfRule type="cellIs" dxfId="2086" priority="121" stopIfTrue="1" operator="lessThanOrEqual">
      <formula>0</formula>
    </cfRule>
    <cfRule type="cellIs" dxfId="2085" priority="119" stopIfTrue="1" operator="lessThanOrEqual">
      <formula>0</formula>
    </cfRule>
    <cfRule type="cellIs" dxfId="2084" priority="123" stopIfTrue="1" operator="lessThanOrEqual">
      <formula>0</formula>
    </cfRule>
    <cfRule type="cellIs" dxfId="2083" priority="122" stopIfTrue="1" operator="greaterThan">
      <formula>$F$39</formula>
    </cfRule>
    <cfRule type="cellIs" dxfId="2082" priority="120" stopIfTrue="1" operator="greaterThan">
      <formula>$F$41</formula>
    </cfRule>
  </conditionalFormatting>
  <conditionalFormatting sqref="I64:I65">
    <cfRule type="cellIs" dxfId="2081" priority="58" stopIfTrue="1" operator="lessThanOrEqual">
      <formula>0</formula>
    </cfRule>
    <cfRule type="cellIs" dxfId="2080" priority="59" stopIfTrue="1" operator="greaterThan">
      <formula>#REF!</formula>
    </cfRule>
    <cfRule type="cellIs" dxfId="2079" priority="60" stopIfTrue="1" operator="lessThanOrEqual">
      <formula>0</formula>
    </cfRule>
    <cfRule type="cellIs" dxfId="2078" priority="57" stopIfTrue="1" operator="greaterThan">
      <formula>#REF!</formula>
    </cfRule>
    <cfRule type="cellIs" dxfId="2077" priority="55" stopIfTrue="1" operator="greaterThan">
      <formula>#REF!</formula>
    </cfRule>
    <cfRule type="cellIs" dxfId="2076" priority="56" stopIfTrue="1" operator="lessThanOrEqual">
      <formula>0</formula>
    </cfRule>
  </conditionalFormatting>
  <conditionalFormatting sqref="I69:I77">
    <cfRule type="cellIs" dxfId="2075" priority="151" stopIfTrue="1" operator="lessThanOrEqual">
      <formula>0</formula>
    </cfRule>
    <cfRule type="cellIs" dxfId="2074" priority="150" stopIfTrue="1" operator="greaterThan">
      <formula>$J69</formula>
    </cfRule>
  </conditionalFormatting>
  <conditionalFormatting sqref="I80:I88">
    <cfRule type="cellIs" dxfId="2073" priority="175" stopIfTrue="1" operator="lessThanOrEqual">
      <formula>0</formula>
    </cfRule>
    <cfRule type="cellIs" dxfId="2072" priority="174" stopIfTrue="1" operator="greaterThan">
      <formula>4.5</formula>
    </cfRule>
  </conditionalFormatting>
  <conditionalFormatting sqref="I10:J26">
    <cfRule type="cellIs" dxfId="2071" priority="26" operator="lessThan">
      <formula>97.9</formula>
    </cfRule>
  </conditionalFormatting>
  <conditionalFormatting sqref="J30:J31">
    <cfRule type="cellIs" dxfId="2070" priority="129" stopIfTrue="1" operator="lessThan">
      <formula>96.8</formula>
    </cfRule>
    <cfRule type="cellIs" dxfId="2069" priority="130" stopIfTrue="1" operator="greaterThan">
      <formula>100</formula>
    </cfRule>
    <cfRule type="cellIs" dxfId="2068" priority="131" operator="lessThan">
      <formula>98</formula>
    </cfRule>
  </conditionalFormatting>
  <conditionalFormatting sqref="J30:J33">
    <cfRule type="cellIs" dxfId="2067" priority="128" operator="lessThan">
      <formula>97.4</formula>
    </cfRule>
  </conditionalFormatting>
  <conditionalFormatting sqref="J34:J35">
    <cfRule type="cellIs" dxfId="2066" priority="132" operator="lessThan">
      <formula>98</formula>
    </cfRule>
  </conditionalFormatting>
  <conditionalFormatting sqref="J36:J37">
    <cfRule type="cellIs" dxfId="2065" priority="133" stopIfTrue="1" operator="lessThan">
      <formula>96.8</formula>
    </cfRule>
    <cfRule type="cellIs" dxfId="2064" priority="134" stopIfTrue="1" operator="greaterThan">
      <formula>100</formula>
    </cfRule>
  </conditionalFormatting>
  <conditionalFormatting sqref="J36:J38">
    <cfRule type="cellIs" dxfId="2063" priority="135" operator="lessThan">
      <formula>98</formula>
    </cfRule>
  </conditionalFormatting>
  <conditionalFormatting sqref="J65">
    <cfRule type="cellIs" dxfId="2062" priority="45" stopIfTrue="1" operator="greaterThan">
      <formula>#REF!</formula>
    </cfRule>
    <cfRule type="cellIs" dxfId="2061" priority="46" stopIfTrue="1" operator="lessThanOrEqual">
      <formula>0</formula>
    </cfRule>
    <cfRule type="cellIs" dxfId="2060" priority="47" stopIfTrue="1" operator="greaterThan">
      <formula>#REF!</formula>
    </cfRule>
    <cfRule type="cellIs" dxfId="2059" priority="48" stopIfTrue="1" operator="lessThanOrEqual">
      <formula>0</formula>
    </cfRule>
    <cfRule type="cellIs" dxfId="2058" priority="49" stopIfTrue="1" operator="greaterThan">
      <formula>#REF!</formula>
    </cfRule>
    <cfRule type="cellIs" dxfId="2057" priority="50" stopIfTrue="1" operator="lessThanOrEqual">
      <formula>0</formula>
    </cfRule>
    <cfRule type="cellIs" dxfId="2056" priority="44" stopIfTrue="1" operator="lessThanOrEqual">
      <formula>0</formula>
    </cfRule>
    <cfRule type="cellIs" dxfId="2055" priority="43" stopIfTrue="1" operator="greaterThan">
      <formula>#REF!</formula>
    </cfRule>
  </conditionalFormatting>
  <conditionalFormatting sqref="J78">
    <cfRule type="cellIs" dxfId="2054" priority="136" stopIfTrue="1" operator="greaterThan">
      <formula>$F78</formula>
    </cfRule>
    <cfRule type="cellIs" dxfId="2053" priority="137" stopIfTrue="1" operator="lessThanOrEqual">
      <formula>0</formula>
    </cfRule>
  </conditionalFormatting>
  <conditionalFormatting sqref="K10:K26">
    <cfRule type="cellIs" dxfId="2052" priority="27" operator="greaterThan">
      <formula>6</formula>
    </cfRule>
    <cfRule type="cellIs" dxfId="2051" priority="29" operator="greaterThan">
      <formula>6.4</formula>
    </cfRule>
    <cfRule type="cellIs" dxfId="2050" priority="28" operator="lessThan">
      <formula>4</formula>
    </cfRule>
  </conditionalFormatting>
  <conditionalFormatting sqref="K58:K65 K69:N75 K76 M76:N76 K77:N77">
    <cfRule type="cellIs" dxfId="2049" priority="113" stopIfTrue="1" operator="lessThan">
      <formula>100%</formula>
    </cfRule>
  </conditionalFormatting>
  <conditionalFormatting sqref="K80:K85">
    <cfRule type="cellIs" dxfId="2048" priority="180" stopIfTrue="1" operator="lessThan">
      <formula>100%</formula>
    </cfRule>
  </conditionalFormatting>
  <conditionalFormatting sqref="K87:K88">
    <cfRule type="cellIs" dxfId="2047" priority="187" stopIfTrue="1" operator="lessThan">
      <formula>100%</formula>
    </cfRule>
  </conditionalFormatting>
  <conditionalFormatting sqref="L26">
    <cfRule type="cellIs" dxfId="2046" priority="66" operator="greaterThan">
      <formula>65</formula>
    </cfRule>
    <cfRule type="cellIs" dxfId="2045" priority="65" operator="between">
      <formula>61</formula>
      <formula>65</formula>
    </cfRule>
  </conditionalFormatting>
  <conditionalFormatting sqref="L10:M25">
    <cfRule type="cellIs" dxfId="2044" priority="33" operator="greaterThan">
      <formula>65</formula>
    </cfRule>
    <cfRule type="cellIs" dxfId="2043" priority="32" operator="between">
      <formula>61</formula>
      <formula>65</formula>
    </cfRule>
  </conditionalFormatting>
  <conditionalFormatting sqref="L29:M40">
    <cfRule type="cellIs" dxfId="2042" priority="81" operator="lessThan">
      <formula>97.95</formula>
    </cfRule>
  </conditionalFormatting>
  <conditionalFormatting sqref="L44:N44">
    <cfRule type="cellIs" dxfId="2041" priority="82" operator="notEqual">
      <formula>#REF!</formula>
    </cfRule>
  </conditionalFormatting>
  <conditionalFormatting sqref="L78:N78">
    <cfRule type="cellIs" dxfId="2040" priority="138" stopIfTrue="1" operator="lessThan">
      <formula>100%</formula>
    </cfRule>
  </conditionalFormatting>
  <conditionalFormatting sqref="L80:N88">
    <cfRule type="cellIs" dxfId="2039" priority="165" stopIfTrue="1" operator="lessThan">
      <formula>100%</formula>
    </cfRule>
  </conditionalFormatting>
  <conditionalFormatting sqref="M10:M25 G10:H26">
    <cfRule type="expression" dxfId="2038" priority="36">
      <formula>IF(+(IF(G10&lt;#REF!,0,IF(G10&gt;#REF!,0,1)))=0,1)</formula>
    </cfRule>
  </conditionalFormatting>
  <conditionalFormatting sqref="M26:N26">
    <cfRule type="expression" dxfId="2037" priority="195">
      <formula>IF(+(IF(M26&lt;#REF!,0,IF(M26&gt;#REF!,0,1)))=0,1)</formula>
    </cfRule>
  </conditionalFormatting>
  <conditionalFormatting sqref="N10:N25">
    <cfRule type="expression" dxfId="2036" priority="25">
      <formula>IF(+(IF(N10&lt;W10,0,IF(N10&gt;X10,0,1)))=0,1)</formula>
    </cfRule>
  </conditionalFormatting>
  <conditionalFormatting sqref="P6">
    <cfRule type="cellIs" dxfId="2035" priority="161" operator="greaterThanOrEqual">
      <formula>19</formula>
    </cfRule>
  </conditionalFormatting>
  <dataValidations count="1">
    <dataValidation type="list" allowBlank="1" showInputMessage="1" showErrorMessage="1" sqref="R8" xr:uid="{870B5526-9F02-4808-99A8-48CDBEA07DD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A229-D889-4EB8-94CE-5270908EFBF9}">
  <sheetPr>
    <pageSetUpPr fitToPage="1"/>
  </sheetPr>
  <dimension ref="A1:BE78"/>
  <sheetViews>
    <sheetView topLeftCell="A9" zoomScale="90" zoomScaleNormal="90" workbookViewId="0">
      <selection activeCell="K53" sqref="K5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45979</v>
      </c>
      <c r="J4" s="398" t="s">
        <v>166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169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33"/>
      <c r="C10" s="366"/>
      <c r="D10" s="279"/>
      <c r="E10" s="279"/>
      <c r="F10" s="278"/>
      <c r="G10" s="279"/>
      <c r="H10" s="396"/>
      <c r="I10" s="420"/>
      <c r="J10" s="420"/>
      <c r="K10" s="281"/>
      <c r="L10" s="276"/>
      <c r="M10" s="374"/>
      <c r="N10" s="370"/>
      <c r="O10" s="421"/>
      <c r="P10" s="418"/>
      <c r="R10" s="277">
        <f t="shared" ref="R10:R40" si="0">B10</f>
        <v>0</v>
      </c>
      <c r="S10" s="296" t="e">
        <f t="shared" ref="S10:S40" si="1">VLOOKUP($B10,$R$3:$X$9,2,FALSE)</f>
        <v>#N/A</v>
      </c>
      <c r="T10" s="296" t="e">
        <f t="shared" ref="T10:T40" si="2">VLOOKUP($B10,$R$3:$X$9,3,FALSE)</f>
        <v>#N/A</v>
      </c>
      <c r="U10" s="297" t="e">
        <f t="shared" ref="U10:U40" si="3">VLOOKUP($B10,$R$3:$X$9,4,FALSE)</f>
        <v>#N/A</v>
      </c>
      <c r="V10" s="297" t="e">
        <f t="shared" ref="V10:V40" si="4">VLOOKUP($B10,$R$3:$X$9,5,FALSE)</f>
        <v>#N/A</v>
      </c>
      <c r="W10" s="297" t="e">
        <f t="shared" ref="W10:W40" si="5">VLOOKUP($B10,$R$3:$X$9,6,FALSE)</f>
        <v>#N/A</v>
      </c>
      <c r="X10" s="297" t="e">
        <f t="shared" ref="X10:X40" si="6">VLOOKUP($B10,$R$3:$X$9,7,FALSE)</f>
        <v>#N/A</v>
      </c>
      <c r="Y10" s="297" t="e">
        <f t="shared" ref="Y10:Y40" si="7">VLOOKUP($B10,$R$3:$Z$9,8,FALSE)</f>
        <v>#N/A</v>
      </c>
      <c r="Z10" s="296" t="e">
        <f t="shared" ref="Z10:Z40" si="8">VLOOKUP($B10,$R$3:$Z$9,9,FALSE)</f>
        <v>#N/A</v>
      </c>
    </row>
    <row r="11" spans="2:29" ht="15" customHeight="1">
      <c r="B11" s="33"/>
      <c r="C11" s="366"/>
      <c r="D11" s="279"/>
      <c r="E11" s="279"/>
      <c r="F11" s="278"/>
      <c r="G11" s="279"/>
      <c r="H11" s="396"/>
      <c r="I11" s="420"/>
      <c r="J11" s="420"/>
      <c r="K11" s="281"/>
      <c r="L11" s="276"/>
      <c r="M11" s="374"/>
      <c r="N11" s="370"/>
      <c r="O11" s="421"/>
      <c r="P11" s="418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" customHeight="1">
      <c r="B12" s="33"/>
      <c r="C12" s="366"/>
      <c r="D12" s="279"/>
      <c r="E12" s="279"/>
      <c r="F12" s="278"/>
      <c r="G12" s="279"/>
      <c r="H12" s="396"/>
      <c r="I12" s="420"/>
      <c r="J12" s="420"/>
      <c r="K12" s="281"/>
      <c r="L12" s="276"/>
      <c r="M12" s="374"/>
      <c r="N12" s="370"/>
      <c r="O12" s="421"/>
      <c r="P12" s="418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" customHeight="1">
      <c r="B13" s="33"/>
      <c r="C13" s="366"/>
      <c r="D13" s="279"/>
      <c r="E13" s="279"/>
      <c r="F13" s="278"/>
      <c r="G13" s="279"/>
      <c r="H13" s="476"/>
      <c r="I13" s="420"/>
      <c r="J13" s="420"/>
      <c r="K13" s="281"/>
      <c r="L13" s="276"/>
      <c r="M13" s="374"/>
      <c r="N13" s="370"/>
      <c r="O13" s="421"/>
      <c r="P13" s="418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" customHeight="1">
      <c r="B14" s="33"/>
      <c r="C14" s="366"/>
      <c r="D14" s="279"/>
      <c r="E14" s="279"/>
      <c r="F14" s="278"/>
      <c r="G14" s="279"/>
      <c r="H14" s="396"/>
      <c r="I14" s="420"/>
      <c r="J14" s="420"/>
      <c r="K14" s="281"/>
      <c r="L14" s="276"/>
      <c r="M14" s="374"/>
      <c r="N14" s="370"/>
      <c r="O14" s="421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" hidden="1" customHeight="1">
      <c r="B15" s="33"/>
      <c r="C15" s="366"/>
      <c r="D15" s="279"/>
      <c r="E15" s="279"/>
      <c r="F15" s="278"/>
      <c r="G15" s="279"/>
      <c r="H15" s="396"/>
      <c r="I15" s="420"/>
      <c r="J15" s="420"/>
      <c r="K15" s="281"/>
      <c r="L15" s="276"/>
      <c r="M15" s="374"/>
      <c r="N15" s="370"/>
      <c r="O15" s="421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" hidden="1" customHeight="1">
      <c r="B16" s="33"/>
      <c r="C16" s="366"/>
      <c r="D16" s="279"/>
      <c r="E16" s="279"/>
      <c r="F16" s="278"/>
      <c r="G16" s="279"/>
      <c r="H16" s="396"/>
      <c r="I16" s="420"/>
      <c r="J16" s="420"/>
      <c r="K16" s="281"/>
      <c r="L16" s="276"/>
      <c r="M16" s="374"/>
      <c r="N16" s="370"/>
      <c r="O16" s="42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6" ht="15" hidden="1" customHeight="1">
      <c r="B17" s="33"/>
      <c r="C17" s="366"/>
      <c r="D17" s="279"/>
      <c r="E17" s="279"/>
      <c r="F17" s="278"/>
      <c r="G17" s="279"/>
      <c r="H17" s="396"/>
      <c r="I17" s="420"/>
      <c r="J17" s="420"/>
      <c r="K17" s="281"/>
      <c r="L17" s="276"/>
      <c r="M17" s="374"/>
      <c r="N17" s="370"/>
      <c r="O17" s="42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6" ht="15" hidden="1" customHeight="1">
      <c r="B18" s="33"/>
      <c r="C18" s="366"/>
      <c r="D18" s="279"/>
      <c r="E18" s="279"/>
      <c r="F18" s="278"/>
      <c r="G18" s="279"/>
      <c r="H18" s="396"/>
      <c r="I18" s="420"/>
      <c r="J18" s="420"/>
      <c r="K18" s="281"/>
      <c r="L18" s="276"/>
      <c r="M18" s="374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6" ht="15" hidden="1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" hidden="1" customHeight="1">
      <c r="B20" s="33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" hidden="1" customHeight="1">
      <c r="B21" s="33"/>
      <c r="C21" s="366"/>
      <c r="D21" s="279"/>
      <c r="E21" s="279"/>
      <c r="F21" s="278"/>
      <c r="G21" s="279"/>
      <c r="H21" s="396"/>
      <c r="I21" s="420"/>
      <c r="J21" s="420"/>
      <c r="K21" s="281"/>
      <c r="L21" s="276"/>
      <c r="M21" s="374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" hidden="1" customHeight="1">
      <c r="B22" s="33"/>
      <c r="C22" s="366"/>
      <c r="D22" s="279"/>
      <c r="E22" s="279"/>
      <c r="F22" s="278"/>
      <c r="G22" s="279"/>
      <c r="H22" s="396"/>
      <c r="I22" s="420"/>
      <c r="J22" s="420"/>
      <c r="K22" s="281"/>
      <c r="L22" s="276"/>
      <c r="M22" s="374"/>
      <c r="N22" s="370"/>
      <c r="O22" s="42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" hidden="1" customHeight="1">
      <c r="B23" s="33"/>
      <c r="C23" s="366"/>
      <c r="D23" s="279"/>
      <c r="E23" s="279"/>
      <c r="F23" s="278"/>
      <c r="G23" s="279"/>
      <c r="H23" s="396"/>
      <c r="I23" s="420"/>
      <c r="J23" s="420"/>
      <c r="K23" s="281"/>
      <c r="L23" s="276"/>
      <c r="M23" s="374"/>
      <c r="N23" s="370"/>
      <c r="O23" s="42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" hidden="1" customHeight="1">
      <c r="B24" s="33"/>
      <c r="C24" s="366"/>
      <c r="D24" s="279"/>
      <c r="E24" s="279"/>
      <c r="F24" s="278"/>
      <c r="G24" s="279"/>
      <c r="H24" s="396"/>
      <c r="I24" s="420"/>
      <c r="J24" s="420"/>
      <c r="K24" s="281"/>
      <c r="L24" s="276"/>
      <c r="M24" s="374"/>
      <c r="N24" s="370"/>
      <c r="O24" s="42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" hidden="1" customHeight="1">
      <c r="B25" s="33"/>
      <c r="C25" s="366"/>
      <c r="D25" s="279"/>
      <c r="E25" s="279"/>
      <c r="F25" s="278"/>
      <c r="G25" s="279"/>
      <c r="H25" s="396"/>
      <c r="I25" s="420"/>
      <c r="J25" s="420"/>
      <c r="K25" s="281"/>
      <c r="L25" s="276"/>
      <c r="M25" s="374"/>
      <c r="N25" s="370"/>
      <c r="O25" s="421"/>
      <c r="P25" s="418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12"/>
      <c r="J27" s="512"/>
      <c r="K27" s="512"/>
      <c r="L27" s="512"/>
      <c r="M27" s="512"/>
      <c r="N27" s="512"/>
      <c r="O27" s="1"/>
      <c r="P27" s="12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.75" customHeight="1" thickBot="1">
      <c r="B28" s="388" t="s">
        <v>162</v>
      </c>
      <c r="C28" s="388"/>
      <c r="D28" s="490" t="s">
        <v>35</v>
      </c>
      <c r="E28" s="491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 xml:space="preserve">BRAND 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customHeight="1">
      <c r="A29" s="28"/>
      <c r="B29" s="513" t="str">
        <f>I30</f>
        <v>STAG</v>
      </c>
      <c r="C29" s="362" cm="1">
        <f t="array" ref="C29:C32">[25]Process!$D$440:$D$443</f>
        <v>11.9</v>
      </c>
      <c r="D29" s="516">
        <v>11.91</v>
      </c>
      <c r="E29" s="517"/>
      <c r="F29" s="294"/>
      <c r="G29" s="294"/>
      <c r="H29" s="348"/>
      <c r="I29" s="29" t="s">
        <v>6</v>
      </c>
      <c r="J29" s="280"/>
      <c r="K29" s="284">
        <f>COUNTA([24]Brewhouse!$A$914:$A$961)</f>
        <v>48</v>
      </c>
      <c r="L29" s="305">
        <f>AVERAGE([24]Brewhouse!$AU$914:$AU$961)</f>
        <v>98.047185169498846</v>
      </c>
      <c r="M29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$961)</f>
        <v>97.73519795574714</v>
      </c>
      <c r="N29" s="30">
        <v>98</v>
      </c>
      <c r="O29" s="11"/>
      <c r="P29" s="31"/>
      <c r="R29" s="277" t="str">
        <f t="shared" si="0"/>
        <v>STAG</v>
      </c>
      <c r="S29" s="296">
        <f t="shared" si="1"/>
        <v>11.6</v>
      </c>
      <c r="T29" s="296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296">
        <f t="shared" si="8"/>
        <v>60</v>
      </c>
    </row>
    <row r="30" spans="1:26" ht="15" customHeight="1">
      <c r="A30" s="28"/>
      <c r="B30" s="514"/>
      <c r="C30" s="362">
        <v>11.8</v>
      </c>
      <c r="D30" s="518"/>
      <c r="E30" s="519"/>
      <c r="F30" s="294"/>
      <c r="G30" s="294"/>
      <c r="H30" s="348"/>
      <c r="I30" s="33" t="s">
        <v>9</v>
      </c>
      <c r="J30" s="280"/>
      <c r="K30" s="284">
        <f>COUNTA([25]Brewhouse!$A$449:$A$470)</f>
        <v>22</v>
      </c>
      <c r="L30" s="302">
        <f>AVERAGE([25]Brewhouse!$AS$449:$AS$470)</f>
        <v>97.584893163608598</v>
      </c>
      <c r="M30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$470)</f>
        <v>97.909329642481765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14"/>
      <c r="C31" s="362">
        <v>12</v>
      </c>
      <c r="D31" s="566">
        <v>11.96</v>
      </c>
      <c r="E31" s="567"/>
      <c r="F31" s="294"/>
      <c r="G31" s="294"/>
      <c r="H31" s="348"/>
      <c r="I31" s="34" t="s">
        <v>12</v>
      </c>
      <c r="J31" s="280"/>
      <c r="K31" s="284"/>
      <c r="L31" s="302"/>
      <c r="M31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14"/>
      <c r="C32" s="362">
        <v>11.8</v>
      </c>
      <c r="D32" s="531"/>
      <c r="E32" s="519"/>
      <c r="F32" s="294"/>
      <c r="G32" s="294"/>
      <c r="H32" s="348"/>
      <c r="I32" s="22" t="s">
        <v>33</v>
      </c>
      <c r="J32" s="280"/>
      <c r="K32" s="284">
        <f>COUNTA([23]Brewhouse!$A$97:$A$104)</f>
        <v>8</v>
      </c>
      <c r="L32" s="302">
        <f>AVERAGE([23]Brewhouse!$AV$97:$AV$104)</f>
        <v>98.419138016287462</v>
      </c>
      <c r="M32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32" s="3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56" ht="14.65" customHeight="1">
      <c r="A33" s="28"/>
      <c r="B33" s="514"/>
      <c r="C33" s="362"/>
      <c r="D33" s="566"/>
      <c r="E33" s="567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56" ht="14.65" customHeight="1">
      <c r="A34" s="28"/>
      <c r="B34" s="514"/>
      <c r="C34" s="362"/>
      <c r="D34" s="531"/>
      <c r="E34" s="519"/>
      <c r="F34" s="417"/>
      <c r="G34" s="294"/>
      <c r="H34" s="348"/>
      <c r="I34" s="36" t="s">
        <v>15</v>
      </c>
      <c r="J34" s="323"/>
      <c r="K34" s="284"/>
      <c r="L34" s="302"/>
      <c r="M34" s="302">
        <f>AVERAGE([27]Brewhouse!$AT$4:$AT$11,[27]Brewhouse!$AT$13:$AT$16,[27]Brewhouse!$AT$18:$AT$21,[27]Brewhouse!$AT$26,[27]Brewhouse!$AT$28:$AT$35)</f>
        <v>94.794664331624134</v>
      </c>
      <c r="N34" s="30">
        <v>98</v>
      </c>
      <c r="O34" s="11"/>
      <c r="P34" s="31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4.65" customHeight="1">
      <c r="A35" s="28"/>
      <c r="B35" s="514"/>
      <c r="C35" s="362"/>
      <c r="D35" s="566"/>
      <c r="E35" s="567"/>
      <c r="F35" s="417"/>
      <c r="G35" s="294"/>
      <c r="H35" s="348"/>
      <c r="I35" s="37" t="s">
        <v>16</v>
      </c>
      <c r="J35" s="323"/>
      <c r="K35" s="284">
        <f>COUNTA([22]Brewhouse!$A$94:$A$97)</f>
        <v>4</v>
      </c>
      <c r="L35" s="302">
        <f>AVERAGE([22]Brewhouse!$AY$94:$AY$97)</f>
        <v>95.326767995731288</v>
      </c>
      <c r="M35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5" s="30">
        <v>98</v>
      </c>
      <c r="O35" s="11"/>
      <c r="P35" s="31" t="s">
        <v>41</v>
      </c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4.65" customHeight="1">
      <c r="A36" s="28"/>
      <c r="B36" s="514"/>
      <c r="C36" s="362"/>
      <c r="D36" s="531"/>
      <c r="E36" s="519"/>
      <c r="F36" s="294"/>
      <c r="G36" s="294"/>
      <c r="H36" s="348"/>
      <c r="I36" s="411" t="s">
        <v>158</v>
      </c>
      <c r="J36" s="326"/>
      <c r="K36" s="284"/>
      <c r="L36" s="305"/>
      <c r="M36" s="305">
        <f>AVERAGE([28]Brewhouse!$AU$5:$AU$8,[28]Brewhouse!$AU$10:$AU$13,[22]Brewhouse!$AY$75:$AY$77)</f>
        <v>94.749192473706671</v>
      </c>
      <c r="N36" s="30">
        <v>98</v>
      </c>
      <c r="O36" s="11"/>
      <c r="P36" s="31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4.65" customHeight="1">
      <c r="A37" s="28"/>
      <c r="B37" s="514"/>
      <c r="C37" s="349"/>
      <c r="D37" s="566"/>
      <c r="E37" s="567"/>
      <c r="F37" s="294"/>
      <c r="G37" s="294"/>
      <c r="H37" s="348"/>
      <c r="I37" s="410" t="s">
        <v>157</v>
      </c>
      <c r="J37" s="326"/>
      <c r="K37" s="284"/>
      <c r="L37" s="305"/>
      <c r="M37" s="305">
        <f>AVERAGE([29]Brewhouse!$AW$26:$AW$27)</f>
        <v>95.310680905194914</v>
      </c>
      <c r="N37" s="30">
        <v>98</v>
      </c>
      <c r="O37" s="11"/>
      <c r="P37" s="31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AA37" s="296"/>
    </row>
    <row r="38" spans="1:56" ht="15" customHeight="1" thickBot="1">
      <c r="A38" s="28"/>
      <c r="B38" s="514"/>
      <c r="C38" s="349"/>
      <c r="D38" s="531"/>
      <c r="E38" s="519"/>
      <c r="F38" s="294"/>
      <c r="G38" s="294"/>
      <c r="H38" s="348"/>
      <c r="I38" s="406" t="s">
        <v>156</v>
      </c>
      <c r="J38" s="327"/>
      <c r="K38" s="407"/>
      <c r="L38" s="408"/>
      <c r="M38" s="408">
        <f>AVERAGE([30]Brewhouse!$AU$13:$AU$14)</f>
        <v>97.110575243268045</v>
      </c>
      <c r="N38" s="409">
        <v>98</v>
      </c>
      <c r="O38" s="11"/>
      <c r="P38" s="31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  <c r="AA38" s="296"/>
    </row>
    <row r="39" spans="1:56" ht="15" customHeight="1" thickBot="1">
      <c r="A39" s="28"/>
      <c r="B39" s="514"/>
      <c r="C39" s="349"/>
      <c r="D39" s="516"/>
      <c r="E39" s="517"/>
      <c r="F39" s="294"/>
      <c r="G39" s="294"/>
      <c r="H39" s="348"/>
      <c r="I39" s="1"/>
      <c r="J39" s="39"/>
      <c r="K39" s="404">
        <f>SUM(K29:K38)</f>
        <v>82</v>
      </c>
      <c r="L39" s="405">
        <f>((L29*K29)+(L30*K30)+(L31*K31)+(L32*K32)+(L33*K33)+(K36*L36)+(L34*K34)+(L35*K35)+(L38*K38))/(K39)</f>
        <v>97.826740412787288</v>
      </c>
      <c r="M39" s="405">
        <f>AVERAGE('[31]Jan 31st'!$L$65,'[32]Feb 28th'!$L$35,'[33]Mar. 31st'!$L$35,'[34]Apr. 30th'!$L$45,'[35]May 30th'!$L$37,'[36]June 30th'!$L$57,'[37]July 29th '!$L$44,'[38]Aug 29th'!$L$29,'[39]Sept 30th'!$L$35,L39)</f>
        <v>97.600624280960531</v>
      </c>
      <c r="N39" s="40">
        <v>98</v>
      </c>
      <c r="O39" s="11"/>
      <c r="P39" s="31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  <c r="AA39" s="296"/>
    </row>
    <row r="40" spans="1:56" ht="15.75" thickBot="1">
      <c r="B40" s="588"/>
      <c r="C40" s="350"/>
      <c r="D40" s="518"/>
      <c r="E40" s="519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  <c r="AA40" s="296"/>
    </row>
    <row r="41" spans="1:56" ht="15.75" thickBot="1">
      <c r="B41" s="563"/>
      <c r="C41" s="362"/>
      <c r="D41" s="529"/>
      <c r="E41" s="530"/>
      <c r="F41" s="294"/>
      <c r="G41" s="42"/>
      <c r="H41" s="41"/>
      <c r="I41" s="42"/>
      <c r="J41" s="565" t="s">
        <v>129</v>
      </c>
      <c r="K41" s="565"/>
      <c r="L41" s="294"/>
      <c r="M41" s="294"/>
      <c r="N41" s="294"/>
      <c r="O41" s="294"/>
      <c r="P41" s="12"/>
    </row>
    <row r="42" spans="1:56" ht="15.75" thickBot="1">
      <c r="B42" s="564"/>
      <c r="C42" s="362"/>
      <c r="D42" s="531"/>
      <c r="E42" s="519"/>
      <c r="F42" s="294"/>
      <c r="G42" s="42"/>
      <c r="H42" s="41"/>
      <c r="I42" s="41"/>
      <c r="J42" s="292" t="s">
        <v>17</v>
      </c>
      <c r="K42" s="293" t="s">
        <v>147</v>
      </c>
      <c r="L42" s="533" t="s">
        <v>136</v>
      </c>
      <c r="M42" s="533"/>
      <c r="N42" s="534"/>
      <c r="O42" s="294"/>
      <c r="P42" s="12"/>
    </row>
    <row r="43" spans="1:56" ht="15" customHeight="1" thickBot="1">
      <c r="B43" s="564"/>
      <c r="C43" s="349"/>
      <c r="D43" s="566"/>
      <c r="E43" s="567"/>
      <c r="F43" s="294"/>
      <c r="G43" s="42"/>
      <c r="H43" s="41"/>
      <c r="I43" s="41"/>
      <c r="J43" s="287" t="s">
        <v>6</v>
      </c>
      <c r="K43" s="324"/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64"/>
      <c r="C44" s="349"/>
      <c r="D44" s="531"/>
      <c r="E44" s="519"/>
      <c r="F44" s="294"/>
      <c r="G44" s="42"/>
      <c r="H44" s="41"/>
      <c r="I44" s="41"/>
      <c r="J44" s="345" t="s">
        <v>9</v>
      </c>
      <c r="K44" s="324"/>
      <c r="L44" s="344">
        <f>AVERAGE('Nov 17th'!K53,'Nov 13th&amp; 14th'!J53,'Nov 13th&amp; 14th'!K53,'Nov 12th'!K47,'Nov 11th'!K51,'Nov 10th'!K53,'Nov 6th '!K52,'Nov 7th-8th'!J55,'Nov 7th-8th'!K55,'Nov 4th'!K52,'Nov 5th'!K51,Nov.3rd!K52)</f>
        <v>6.9090909090909092</v>
      </c>
      <c r="M44" s="325">
        <f>AVERAGE('[31]Jan 29th '!$M$70,'[32]Feb 28th'!$L$40,'[33]Mar. 31st'!$L$40,'[34]Apr. 30th'!$L$50,'[35]May 30th'!$L$42,'[36]June 30th'!$L$62,'[37]July 29th '!$L$49,'[38]Aug 29th'!$L$34,'[39]Sept 30th'!$L$40,[40]Oct.31st!$L$43,L44)</f>
        <v>7.0492542960818385</v>
      </c>
      <c r="N44" s="416">
        <v>9.1999999999999993</v>
      </c>
      <c r="O44" s="294"/>
      <c r="P44" s="12"/>
    </row>
    <row r="45" spans="1:56" ht="15" customHeight="1">
      <c r="B45" s="564"/>
      <c r="C45" s="349"/>
      <c r="D45" s="566"/>
      <c r="E45" s="567"/>
      <c r="F45" s="294"/>
      <c r="G45" s="42"/>
      <c r="H45" s="41"/>
      <c r="I45" s="41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64"/>
      <c r="C46" s="349"/>
      <c r="D46" s="531"/>
      <c r="E46" s="519"/>
      <c r="F46" s="294"/>
      <c r="G46" s="42"/>
      <c r="H46" s="41"/>
      <c r="I46" s="41"/>
      <c r="J46" s="289" t="s">
        <v>33</v>
      </c>
      <c r="K46" s="324"/>
      <c r="L46" s="294"/>
      <c r="M46" s="294"/>
      <c r="N46" s="294"/>
      <c r="O46" s="294"/>
      <c r="P46" s="12"/>
    </row>
    <row r="47" spans="1:56" ht="15">
      <c r="B47" s="564"/>
      <c r="C47" s="349"/>
      <c r="D47" s="566"/>
      <c r="E47" s="567"/>
      <c r="F47" s="294"/>
      <c r="G47" s="42"/>
      <c r="H47" s="41"/>
      <c r="I47" s="41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64"/>
      <c r="C48" s="349"/>
      <c r="D48" s="531"/>
      <c r="E48" s="519"/>
      <c r="F48" s="294"/>
      <c r="G48" s="42"/>
      <c r="H48" s="41"/>
      <c r="I48" s="41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64"/>
      <c r="C49" s="349"/>
      <c r="D49" s="566"/>
      <c r="E49" s="567"/>
      <c r="F49" s="294"/>
      <c r="G49" s="42"/>
      <c r="H49" s="41"/>
      <c r="I49" s="41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.75" thickBot="1">
      <c r="B50" s="584"/>
      <c r="C50" s="350"/>
      <c r="D50" s="568"/>
      <c r="E50" s="569"/>
      <c r="F50" s="294" t="s">
        <v>168</v>
      </c>
      <c r="G50" s="42"/>
      <c r="H50" s="41"/>
      <c r="I50" s="41"/>
      <c r="J50" s="291" t="s">
        <v>148</v>
      </c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2:57" ht="17.649999999999999" customHeight="1" thickBot="1">
      <c r="B51" s="312" t="s">
        <v>139</v>
      </c>
      <c r="C51" s="313"/>
      <c r="D51" s="576"/>
      <c r="E51" s="577"/>
      <c r="F51" s="294"/>
      <c r="H51" s="41"/>
      <c r="I51" s="41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>
      <c r="B52" s="363"/>
      <c r="C52" s="364"/>
      <c r="D52" s="365"/>
      <c r="E52" s="365"/>
      <c r="F52" s="294"/>
      <c r="G52" s="42"/>
      <c r="H52" s="41"/>
      <c r="I52" s="41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1"/>
      <c r="I53" s="41"/>
      <c r="J53" s="346" t="s">
        <v>130</v>
      </c>
      <c r="K53" s="324"/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541" t="s">
        <v>17</v>
      </c>
      <c r="C56" s="541" t="s">
        <v>44</v>
      </c>
      <c r="D56" s="543" t="s">
        <v>45</v>
      </c>
      <c r="E56" s="498" t="s">
        <v>46</v>
      </c>
      <c r="F56" s="558" t="s">
        <v>47</v>
      </c>
      <c r="G56" s="552" t="s">
        <v>48</v>
      </c>
      <c r="H56" s="541" t="s">
        <v>49</v>
      </c>
      <c r="I56" s="541" t="s">
        <v>50</v>
      </c>
      <c r="J56" s="546" t="s">
        <v>28</v>
      </c>
      <c r="K56" s="496" t="s">
        <v>51</v>
      </c>
      <c r="L56" s="508" t="s">
        <v>52</v>
      </c>
      <c r="M56" s="546" t="s">
        <v>53</v>
      </c>
      <c r="N56" s="13"/>
      <c r="O56" s="13"/>
      <c r="P56" s="50"/>
    </row>
    <row r="57" spans="2:57" ht="28.5" customHeight="1" thickTop="1" thickBot="1">
      <c r="B57" s="542"/>
      <c r="C57" s="542"/>
      <c r="D57" s="544"/>
      <c r="E57" s="545"/>
      <c r="F57" s="559"/>
      <c r="G57" s="553"/>
      <c r="H57" s="560"/>
      <c r="I57" s="560"/>
      <c r="J57" s="547"/>
      <c r="K57" s="556"/>
      <c r="L57" s="557"/>
      <c r="M57" s="547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43.15" customHeight="1" thickBot="1">
      <c r="B58" s="473" t="str">
        <f>J44</f>
        <v>STAG</v>
      </c>
      <c r="C58" s="442">
        <v>45978</v>
      </c>
      <c r="D58" s="443">
        <f>[41]November_2025!$T$13</f>
        <v>196.2</v>
      </c>
      <c r="E58" s="444"/>
      <c r="F58" s="445"/>
      <c r="G58" s="445">
        <f>[41]November_2025!$T$17</f>
        <v>185</v>
      </c>
      <c r="H58" s="460"/>
      <c r="I58" s="460"/>
      <c r="J58" s="449" t="s">
        <v>170</v>
      </c>
      <c r="K58" s="450">
        <f>[42]November_2025!$T$25</f>
        <v>0.64912280701754388</v>
      </c>
      <c r="L58" s="459">
        <f>(((D58+E58)-G58)/(D58+E58))*100</f>
        <v>5.7084607543323083</v>
      </c>
      <c r="M58" s="456" t="s">
        <v>192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[20]January_2019!L7</f>
        <v>285.8</v>
      </c>
      <c r="AC58" s="57">
        <f>[20]January_2019!M7</f>
        <v>508.1</v>
      </c>
      <c r="AD58" s="57">
        <f>[20]January_2019!N7</f>
        <v>0</v>
      </c>
      <c r="AE58" s="57">
        <f>[20]January_2019!O7</f>
        <v>0</v>
      </c>
      <c r="AF58" s="57">
        <f>[20]January_2019!P7</f>
        <v>109.56666666666666</v>
      </c>
      <c r="AG58" s="57">
        <f>[20]January_2019!Q7</f>
        <v>297.64999999999998</v>
      </c>
      <c r="AH58" s="57">
        <f>[20]January_2019!R7</f>
        <v>122.3</v>
      </c>
      <c r="AI58" s="57">
        <f>[20]January_2019!S7</f>
        <v>0</v>
      </c>
      <c r="AJ58" s="57">
        <f>[20]January_2019!T7</f>
        <v>294.7</v>
      </c>
      <c r="AK58" s="57">
        <f>[20]January_2019!U7</f>
        <v>280.5</v>
      </c>
      <c r="AL58" s="57">
        <f>[20]January_2019!V7</f>
        <v>0</v>
      </c>
      <c r="AM58" s="57">
        <f>[20]January_2019!W7</f>
        <v>0</v>
      </c>
      <c r="AN58" s="57">
        <f>[20]January_2019!X7</f>
        <v>188.25</v>
      </c>
      <c r="AO58" s="57">
        <f>[20]January_2019!Y7</f>
        <v>295.7</v>
      </c>
      <c r="AP58" s="57">
        <f>[20]January_2019!Z7</f>
        <v>257.8</v>
      </c>
      <c r="AQ58" s="57">
        <f>[20]January_2019!AA7</f>
        <v>291.2</v>
      </c>
      <c r="AR58" s="57">
        <f>[20]January_2019!AB7</f>
        <v>187</v>
      </c>
      <c r="AS58" s="57">
        <f>[20]January_2019!AC7</f>
        <v>0</v>
      </c>
      <c r="AT58" s="57">
        <f>[20]January_2019!AD7</f>
        <v>0</v>
      </c>
      <c r="AU58" s="57">
        <f>[20]January_2019!AE7</f>
        <v>485.1</v>
      </c>
      <c r="AV58" s="57">
        <f>[20]January_2019!AF7</f>
        <v>171.55</v>
      </c>
      <c r="AW58" s="57">
        <f>[20]January_2019!AG7</f>
        <v>423.8</v>
      </c>
      <c r="AX58" s="277">
        <f>[20]January_2019!AH7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20.45" hidden="1" customHeight="1" thickBot="1">
      <c r="B59" s="473"/>
      <c r="C59" s="431"/>
      <c r="D59" s="432"/>
      <c r="E59" s="433"/>
      <c r="F59" s="434"/>
      <c r="G59" s="435"/>
      <c r="H59" s="429"/>
      <c r="I59" s="429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450000000000003" hidden="1" customHeight="1" thickBot="1">
      <c r="B60" s="458"/>
      <c r="C60" s="442"/>
      <c r="D60" s="443"/>
      <c r="E60" s="444"/>
      <c r="F60" s="445"/>
      <c r="G60" s="446"/>
      <c r="H60" s="460"/>
      <c r="I60" s="460"/>
      <c r="J60" s="449"/>
      <c r="K60" s="462"/>
      <c r="L60" s="459" t="e">
        <f>(((D60+E60)-G60)/(D60+E60))*100</f>
        <v>#DIV/0!</v>
      </c>
      <c r="M60" s="456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4"/>
      <c r="C61" s="431"/>
      <c r="D61" s="432"/>
      <c r="E61" s="433"/>
      <c r="F61" s="434"/>
      <c r="G61" s="435"/>
      <c r="H61" s="436"/>
      <c r="I61" s="451"/>
      <c r="J61" s="452"/>
      <c r="K61" s="437"/>
      <c r="L61" s="453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61"/>
      <c r="C62" s="442"/>
      <c r="D62" s="443"/>
      <c r="E62" s="444"/>
      <c r="F62" s="445"/>
      <c r="G62" s="446"/>
      <c r="H62" s="447"/>
      <c r="I62" s="448"/>
      <c r="J62" s="449"/>
      <c r="K62" s="450"/>
      <c r="L62" s="459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customHeight="1" thickBot="1">
      <c r="B63" s="438"/>
      <c r="C63" s="424"/>
      <c r="D63" s="425"/>
      <c r="E63" s="426"/>
      <c r="F63" s="427"/>
      <c r="G63" s="428"/>
      <c r="H63" s="429"/>
      <c r="I63" s="439"/>
      <c r="J63" s="440"/>
      <c r="K63" s="430"/>
      <c r="L63" s="441"/>
      <c r="M63" s="423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61"/>
      <c r="C64" s="442"/>
      <c r="D64" s="443"/>
      <c r="E64" s="444"/>
      <c r="F64" s="445"/>
      <c r="G64" s="446"/>
      <c r="H64" s="447"/>
      <c r="I64" s="448"/>
      <c r="J64" s="449"/>
      <c r="K64" s="450"/>
      <c r="L64" s="459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70"/>
      <c r="C65" s="431"/>
      <c r="D65" s="464"/>
      <c r="E65" s="465"/>
      <c r="F65" s="466"/>
      <c r="G65" s="464"/>
      <c r="H65" s="467"/>
      <c r="I65" s="467"/>
      <c r="J65" s="467"/>
      <c r="K65" s="468"/>
      <c r="L65" s="469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48" t="s">
        <v>55</v>
      </c>
      <c r="C67" s="549"/>
      <c r="D67" s="549"/>
      <c r="E67" s="549"/>
      <c r="F67" s="550"/>
      <c r="G67" s="548" t="s">
        <v>56</v>
      </c>
      <c r="H67" s="549"/>
      <c r="I67" s="549"/>
      <c r="J67" s="550"/>
      <c r="K67" s="548" t="s">
        <v>51</v>
      </c>
      <c r="L67" s="549"/>
      <c r="M67" s="549"/>
      <c r="N67" s="551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/>
      <c r="D69" s="76">
        <v>7.1283576452815742</v>
      </c>
      <c r="E69" s="76">
        <v>6.1222938123378228</v>
      </c>
      <c r="F69" s="66">
        <v>4.8</v>
      </c>
      <c r="G69" s="65"/>
      <c r="H69" s="76">
        <v>7.387406767239832</v>
      </c>
      <c r="I69" s="76">
        <v>6.1206531213867956</v>
      </c>
      <c r="J69" s="66">
        <v>4.8</v>
      </c>
      <c r="K69" s="67"/>
      <c r="L69" s="194">
        <v>0.39490058479532164</v>
      </c>
      <c r="M69" s="194">
        <v>0.71715117150450269</v>
      </c>
      <c r="N69" s="68">
        <v>1</v>
      </c>
      <c r="O69" s="56"/>
      <c r="P69" s="69"/>
    </row>
    <row r="70" spans="2:57" ht="15">
      <c r="B70" s="33" t="s">
        <v>9</v>
      </c>
      <c r="C70" s="65">
        <f>L58</f>
        <v>5.7084607543323083</v>
      </c>
      <c r="D70" s="76">
        <v>5.3028366981855353</v>
      </c>
      <c r="E70" s="76">
        <v>5.7342279717397817</v>
      </c>
      <c r="F70" s="66">
        <v>4.8</v>
      </c>
      <c r="G70" s="65">
        <f>[41]November_2025!$T$21</f>
        <v>5.1774544995296656</v>
      </c>
      <c r="H70" s="76">
        <v>4.1972961124493366</v>
      </c>
      <c r="I70" s="76">
        <v>6.338272186357977</v>
      </c>
      <c r="J70" s="66">
        <v>4.8</v>
      </c>
      <c r="K70" s="67">
        <f>K58</f>
        <v>0.64912280701754388</v>
      </c>
      <c r="L70" s="194">
        <v>0.56846491228070173</v>
      </c>
      <c r="M70" s="194">
        <v>0.66362674347671535</v>
      </c>
      <c r="N70" s="68">
        <v>1</v>
      </c>
      <c r="P70" s="69"/>
    </row>
    <row r="71" spans="2:57" ht="15">
      <c r="B71" s="34" t="s">
        <v>40</v>
      </c>
      <c r="C71" s="65"/>
      <c r="D71" s="76">
        <v>6.2500000000000053</v>
      </c>
      <c r="E71" s="76">
        <v>10.839987110172206</v>
      </c>
      <c r="F71" s="66">
        <v>5.5</v>
      </c>
      <c r="G71" s="65"/>
      <c r="H71" s="76">
        <v>6.2847885309849998</v>
      </c>
      <c r="I71" s="76">
        <v>12.456668215153922</v>
      </c>
      <c r="J71" s="66">
        <v>5.5</v>
      </c>
      <c r="K71" s="67"/>
      <c r="L71" s="194">
        <v>0.31052631578947371</v>
      </c>
      <c r="M71" s="194">
        <v>0.5063309636650869</v>
      </c>
      <c r="N71" s="68">
        <v>1</v>
      </c>
      <c r="P71" s="69"/>
    </row>
    <row r="72" spans="2:57" ht="15">
      <c r="B72" s="22" t="s">
        <v>33</v>
      </c>
      <c r="C72" s="65"/>
      <c r="D72" s="76">
        <v>3.7833827893175105</v>
      </c>
      <c r="E72" s="76">
        <v>4.6226456706805745</v>
      </c>
      <c r="F72" s="66">
        <v>3.3</v>
      </c>
      <c r="G72" s="65"/>
      <c r="H72" s="76">
        <v>3.7421885632627285</v>
      </c>
      <c r="I72" s="76">
        <v>4.4171317623593813</v>
      </c>
      <c r="J72" s="66">
        <v>3.3</v>
      </c>
      <c r="K72" s="67"/>
      <c r="L72" s="194">
        <v>0.68263157894736837</v>
      </c>
      <c r="M72" s="194">
        <v>0.83111215538847116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>
        <v>7.837301587301579</v>
      </c>
      <c r="F73" s="66">
        <v>3.3</v>
      </c>
      <c r="G73" s="282"/>
      <c r="H73" s="76"/>
      <c r="I73" s="76">
        <v>5.3377569154690221</v>
      </c>
      <c r="J73" s="66">
        <v>3</v>
      </c>
      <c r="K73" s="67"/>
      <c r="L73" s="194"/>
      <c r="M73" s="194">
        <v>0.32596491228070179</v>
      </c>
      <c r="N73" s="68">
        <v>1</v>
      </c>
      <c r="P73" s="69"/>
    </row>
    <row r="74" spans="2:57" ht="15">
      <c r="B74" s="36" t="s">
        <v>15</v>
      </c>
      <c r="C74" s="65"/>
      <c r="D74" s="76"/>
      <c r="E74" s="76">
        <v>6.8851328044153277</v>
      </c>
      <c r="F74" s="70">
        <f>[21]May_2022!$M$43</f>
        <v>3.4878406700073312</v>
      </c>
      <c r="G74" s="282"/>
      <c r="H74" s="76"/>
      <c r="I74" s="76">
        <v>8.6614709463340702</v>
      </c>
      <c r="J74" s="66">
        <v>5.5</v>
      </c>
      <c r="K74" s="67"/>
      <c r="L74" s="194"/>
      <c r="M74" s="194">
        <v>0.73160818713450293</v>
      </c>
      <c r="N74" s="68">
        <v>1</v>
      </c>
      <c r="P74" s="69"/>
    </row>
    <row r="75" spans="2:57" ht="15">
      <c r="B75" s="37" t="s">
        <v>16</v>
      </c>
      <c r="C75" s="65"/>
      <c r="D75" s="76">
        <v>2.6328862394436081</v>
      </c>
      <c r="E75" s="76">
        <v>2.9297033255778997</v>
      </c>
      <c r="F75" s="66">
        <v>3.3</v>
      </c>
      <c r="G75" s="282"/>
      <c r="H75" s="76">
        <v>2.6328862394435983</v>
      </c>
      <c r="I75" s="76">
        <v>4.2684292436723528</v>
      </c>
      <c r="J75" s="66">
        <v>3.3</v>
      </c>
      <c r="K75" s="67"/>
      <c r="L75" s="194">
        <v>0.68771929824561406</v>
      </c>
      <c r="M75" s="194">
        <v>0.84660147761842675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>
        <v>11.483253588516746</v>
      </c>
      <c r="F76" s="66">
        <v>7.5</v>
      </c>
      <c r="G76" s="282"/>
      <c r="H76" s="76"/>
      <c r="I76" s="76">
        <v>9.7934336121043764</v>
      </c>
      <c r="J76" s="66">
        <v>7.5</v>
      </c>
      <c r="K76" s="67"/>
      <c r="M76" s="194">
        <v>0.32456140350877194</v>
      </c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>
        <v>7.2653644592663174</v>
      </c>
      <c r="F77" s="66">
        <v>4.8</v>
      </c>
      <c r="G77" s="282"/>
      <c r="H77" s="76"/>
      <c r="I77" s="76">
        <v>8.1715311054411259</v>
      </c>
      <c r="J77" s="66">
        <v>4.8</v>
      </c>
      <c r="K77" s="67"/>
      <c r="L77" s="194"/>
      <c r="M77" s="194">
        <v>0.51368421052631585</v>
      </c>
      <c r="N77" s="71">
        <v>1</v>
      </c>
      <c r="O77" s="74"/>
      <c r="P77" s="75"/>
    </row>
    <row r="78" spans="2:57" ht="15">
      <c r="D78" s="76">
        <v>6.0859446879904775</v>
      </c>
      <c r="E78" s="76">
        <v>6.1208851596772949</v>
      </c>
      <c r="F78" s="341">
        <v>5.5</v>
      </c>
      <c r="H78" s="76">
        <v>5.6079045269548722</v>
      </c>
      <c r="I78" s="76">
        <v>6.6083489415166383</v>
      </c>
      <c r="J78" s="341">
        <v>5.5</v>
      </c>
      <c r="L78" s="194">
        <v>0.47923099415204679</v>
      </c>
      <c r="M78" s="194">
        <v>0.69226361509358814</v>
      </c>
      <c r="N78" s="386">
        <v>1</v>
      </c>
    </row>
  </sheetData>
  <mergeCells count="51">
    <mergeCell ref="M56:M57"/>
    <mergeCell ref="B67:F67"/>
    <mergeCell ref="G67:J67"/>
    <mergeCell ref="K67:N67"/>
    <mergeCell ref="G56:G57"/>
    <mergeCell ref="H56:H57"/>
    <mergeCell ref="I56:I57"/>
    <mergeCell ref="J56:J57"/>
    <mergeCell ref="K56:K57"/>
    <mergeCell ref="L56:L57"/>
    <mergeCell ref="F56:F57"/>
    <mergeCell ref="D51:E51"/>
    <mergeCell ref="B56:B57"/>
    <mergeCell ref="C56:C57"/>
    <mergeCell ref="D56:D57"/>
    <mergeCell ref="E56:E57"/>
    <mergeCell ref="B41:B50"/>
    <mergeCell ref="D41:E42"/>
    <mergeCell ref="J41:K41"/>
    <mergeCell ref="L42:N42"/>
    <mergeCell ref="D43:E44"/>
    <mergeCell ref="D45:E46"/>
    <mergeCell ref="D47:E48"/>
    <mergeCell ref="D49:E50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1:B52">
    <cfRule type="cellIs" dxfId="2034" priority="43" operator="notBetween">
      <formula>#REF!</formula>
      <formula>#REF!</formula>
    </cfRule>
  </conditionalFormatting>
  <conditionalFormatting sqref="C55">
    <cfRule type="cellIs" dxfId="2033" priority="193" stopIfTrue="1" operator="greaterThan">
      <formula>100</formula>
    </cfRule>
    <cfRule type="cellIs" dxfId="2032" priority="192" stopIfTrue="1" operator="lessThan">
      <formula>96</formula>
    </cfRule>
  </conditionalFormatting>
  <conditionalFormatting sqref="C69:C73">
    <cfRule type="cellIs" dxfId="2031" priority="146" stopIfTrue="1" operator="lessThanOrEqual">
      <formula>0</formula>
    </cfRule>
  </conditionalFormatting>
  <conditionalFormatting sqref="C69:C77">
    <cfRule type="cellIs" dxfId="2030" priority="145" stopIfTrue="1" operator="greaterThan">
      <formula>$F69</formula>
    </cfRule>
  </conditionalFormatting>
  <conditionalFormatting sqref="C70">
    <cfRule type="cellIs" dxfId="2029" priority="196" stopIfTrue="1" operator="greaterThan">
      <formula>$F69</formula>
    </cfRule>
  </conditionalFormatting>
  <conditionalFormatting sqref="C74">
    <cfRule type="cellIs" dxfId="2028" priority="86" stopIfTrue="1" operator="greaterThan">
      <formula>$F73</formula>
    </cfRule>
    <cfRule type="cellIs" dxfId="2027" priority="85" stopIfTrue="1" operator="lessThanOrEqual">
      <formula>0</formula>
    </cfRule>
  </conditionalFormatting>
  <conditionalFormatting sqref="C80:C84">
    <cfRule type="cellIs" dxfId="2026" priority="184" stopIfTrue="1" operator="lessThanOrEqual">
      <formula>0</formula>
    </cfRule>
  </conditionalFormatting>
  <conditionalFormatting sqref="C81:C84">
    <cfRule type="cellIs" dxfId="2025" priority="183" stopIfTrue="1" operator="greaterThan">
      <formula>$F$80</formula>
    </cfRule>
  </conditionalFormatting>
  <conditionalFormatting sqref="C86">
    <cfRule type="cellIs" dxfId="2024" priority="185" stopIfTrue="1" operator="greaterThan">
      <formula>$F$80</formula>
    </cfRule>
    <cfRule type="cellIs" dxfId="2023" priority="186" stopIfTrue="1" operator="lessThanOrEqual">
      <formula>0</formula>
    </cfRule>
  </conditionalFormatting>
  <conditionalFormatting sqref="C80:D80 D82:D88">
    <cfRule type="cellIs" dxfId="2022" priority="178" stopIfTrue="1" operator="greaterThan">
      <formula>4.5</formula>
    </cfRule>
  </conditionalFormatting>
  <conditionalFormatting sqref="D51:D52">
    <cfRule type="cellIs" dxfId="2021" priority="44" operator="notBetween">
      <formula>#REF!</formula>
      <formula>#REF!</formula>
    </cfRule>
  </conditionalFormatting>
  <conditionalFormatting sqref="D69:D76">
    <cfRule type="cellIs" dxfId="2020" priority="158" stopIfTrue="1" operator="lessThanOrEqual">
      <formula>0</formula>
    </cfRule>
  </conditionalFormatting>
  <conditionalFormatting sqref="D77">
    <cfRule type="cellIs" dxfId="2019" priority="157" stopIfTrue="1" operator="lessThanOrEqual">
      <formula>0</formula>
    </cfRule>
  </conditionalFormatting>
  <conditionalFormatting sqref="D80 D82:D88">
    <cfRule type="cellIs" dxfId="2018" priority="179" stopIfTrue="1" operator="lessThanOrEqual">
      <formula>0</formula>
    </cfRule>
  </conditionalFormatting>
  <conditionalFormatting sqref="D81">
    <cfRule type="cellIs" dxfId="2017" priority="170" stopIfTrue="1" operator="greaterThan">
      <formula>$F$80</formula>
    </cfRule>
    <cfRule type="cellIs" dxfId="2016" priority="171" stopIfTrue="1" operator="lessThanOrEqual">
      <formula>0</formula>
    </cfRule>
  </conditionalFormatting>
  <conditionalFormatting sqref="D69:E78">
    <cfRule type="cellIs" dxfId="2015" priority="143" stopIfTrue="1" operator="greaterThan">
      <formula>$F69</formula>
    </cfRule>
  </conditionalFormatting>
  <conditionalFormatting sqref="D78:E78">
    <cfRule type="cellIs" dxfId="2014" priority="144" stopIfTrue="1" operator="lessThanOrEqual">
      <formula>0</formula>
    </cfRule>
  </conditionalFormatting>
  <conditionalFormatting sqref="E10:E26">
    <cfRule type="cellIs" dxfId="2013" priority="34" operator="lessThan">
      <formula>48</formula>
    </cfRule>
  </conditionalFormatting>
  <conditionalFormatting sqref="E54 E55:F55">
    <cfRule type="cellIs" dxfId="2012" priority="175" stopIfTrue="1" operator="greaterThan">
      <formula>100</formula>
    </cfRule>
  </conditionalFormatting>
  <conditionalFormatting sqref="E55">
    <cfRule type="cellIs" dxfId="2011" priority="172" stopIfTrue="1" operator="lessThan">
      <formula>96.8</formula>
    </cfRule>
    <cfRule type="cellIs" dxfId="2010" priority="173" stopIfTrue="1" operator="greaterThan">
      <formula>100</formula>
    </cfRule>
  </conditionalFormatting>
  <conditionalFormatting sqref="E69:E77">
    <cfRule type="cellIs" dxfId="2009" priority="154" stopIfTrue="1" operator="lessThanOrEqual">
      <formula>0</formula>
    </cfRule>
  </conditionalFormatting>
  <conditionalFormatting sqref="E80:E88">
    <cfRule type="cellIs" dxfId="2008" priority="165" stopIfTrue="1" operator="lessThanOrEqual">
      <formula>0</formula>
    </cfRule>
    <cfRule type="cellIs" dxfId="2007" priority="164" stopIfTrue="1" operator="greaterThan">
      <formula>4.5</formula>
    </cfRule>
  </conditionalFormatting>
  <conditionalFormatting sqref="E55:F55 E54">
    <cfRule type="cellIs" dxfId="2006" priority="174" stopIfTrue="1" operator="lessThan">
      <formula>96.5</formula>
    </cfRule>
  </conditionalFormatting>
  <conditionalFormatting sqref="F10:F26">
    <cfRule type="cellIs" dxfId="2005" priority="35" operator="greaterThan">
      <formula>60</formula>
    </cfRule>
  </conditionalFormatting>
  <conditionalFormatting sqref="F55">
    <cfRule type="cellIs" dxfId="2004" priority="190" stopIfTrue="1" operator="lessThan">
      <formula>96.8</formula>
    </cfRule>
    <cfRule type="cellIs" dxfId="2003" priority="191" stopIfTrue="1" operator="greaterThan">
      <formula>100</formula>
    </cfRule>
  </conditionalFormatting>
  <conditionalFormatting sqref="F78">
    <cfRule type="cellIs" dxfId="2002" priority="155" stopIfTrue="1" operator="greaterThan">
      <formula>$F78</formula>
    </cfRule>
    <cfRule type="cellIs" dxfId="2001" priority="156" stopIfTrue="1" operator="lessThanOrEqual">
      <formula>0</formula>
    </cfRule>
  </conditionalFormatting>
  <conditionalFormatting sqref="G69:G70 C75:C77">
    <cfRule type="cellIs" dxfId="2000" priority="160" stopIfTrue="1" operator="lessThanOrEqual">
      <formula>0</formula>
    </cfRule>
  </conditionalFormatting>
  <conditionalFormatting sqref="G69:G70">
    <cfRule type="cellIs" dxfId="1999" priority="147" stopIfTrue="1" operator="greaterThan">
      <formula>$F69</formula>
    </cfRule>
    <cfRule type="cellIs" dxfId="1998" priority="159" stopIfTrue="1" operator="greaterThan">
      <formula>$F69</formula>
    </cfRule>
    <cfRule type="cellIs" dxfId="1997" priority="148" stopIfTrue="1" operator="lessThanOrEqual">
      <formula>0</formula>
    </cfRule>
  </conditionalFormatting>
  <conditionalFormatting sqref="G71">
    <cfRule type="cellIs" dxfId="1996" priority="195" stopIfTrue="1" operator="lessThanOrEqual">
      <formula>0</formula>
    </cfRule>
    <cfRule type="cellIs" dxfId="1995" priority="194" stopIfTrue="1" operator="greaterThan">
      <formula>$F70</formula>
    </cfRule>
  </conditionalFormatting>
  <conditionalFormatting sqref="G72">
    <cfRule type="cellIs" dxfId="1994" priority="40" stopIfTrue="1" operator="lessThanOrEqual">
      <formula>0</formula>
    </cfRule>
    <cfRule type="cellIs" dxfId="1993" priority="41" stopIfTrue="1" operator="greaterThan">
      <formula>$F72</formula>
    </cfRule>
    <cfRule type="cellIs" dxfId="1992" priority="42" stopIfTrue="1" operator="lessThanOrEqual">
      <formula>0</formula>
    </cfRule>
    <cfRule type="cellIs" dxfId="1991" priority="39" stopIfTrue="1" operator="greaterThan">
      <formula>$F72</formula>
    </cfRule>
  </conditionalFormatting>
  <conditionalFormatting sqref="G73:G77">
    <cfRule type="cellIs" dxfId="1990" priority="161" stopIfTrue="1" operator="greaterThan">
      <formula>$J73</formula>
    </cfRule>
    <cfRule type="cellIs" dxfId="1989" priority="162" stopIfTrue="1" operator="lessThanOrEqual">
      <formula>0</formula>
    </cfRule>
  </conditionalFormatting>
  <conditionalFormatting sqref="G82:G87 C85 C87">
    <cfRule type="cellIs" dxfId="1988" priority="187" stopIfTrue="1" operator="greaterThan">
      <formula>4.5</formula>
    </cfRule>
    <cfRule type="cellIs" dxfId="1987" priority="188" stopIfTrue="1" operator="lessThanOrEqual">
      <formula>0</formula>
    </cfRule>
  </conditionalFormatting>
  <conditionalFormatting sqref="G81:H81">
    <cfRule type="cellIs" dxfId="1986" priority="168" stopIfTrue="1" operator="greaterThan">
      <formula>$F$80</formula>
    </cfRule>
    <cfRule type="cellIs" dxfId="1985" priority="169" stopIfTrue="1" operator="lessThanOrEqual">
      <formula>0</formula>
    </cfRule>
  </conditionalFormatting>
  <conditionalFormatting sqref="H40:H54 I42:I53">
    <cfRule type="cellIs" dxfId="1984" priority="166" stopIfTrue="1" operator="greaterThan">
      <formula>0</formula>
    </cfRule>
  </conditionalFormatting>
  <conditionalFormatting sqref="H58">
    <cfRule type="cellIs" dxfId="1983" priority="14" stopIfTrue="1" operator="lessThanOrEqual">
      <formula>0</formula>
    </cfRule>
    <cfRule type="cellIs" dxfId="1982" priority="11" stopIfTrue="1" operator="greaterThan">
      <formula>$F$72</formula>
    </cfRule>
    <cfRule type="cellIs" dxfId="1981" priority="2" stopIfTrue="1" operator="lessThanOrEqual">
      <formula>0</formula>
    </cfRule>
    <cfRule type="cellIs" dxfId="1980" priority="3" stopIfTrue="1" operator="greaterThan">
      <formula>$F$69</formula>
    </cfRule>
    <cfRule type="cellIs" dxfId="1979" priority="12" stopIfTrue="1" operator="lessThanOrEqual">
      <formula>0</formula>
    </cfRule>
    <cfRule type="cellIs" dxfId="1978" priority="13" stopIfTrue="1" operator="greaterThan">
      <formula>$F$70</formula>
    </cfRule>
  </conditionalFormatting>
  <conditionalFormatting sqref="H59">
    <cfRule type="cellIs" dxfId="1977" priority="114" stopIfTrue="1" operator="lessThanOrEqual">
      <formula>0</formula>
    </cfRule>
    <cfRule type="cellIs" dxfId="1976" priority="111" stopIfTrue="1" operator="greaterThan">
      <formula>$F$27</formula>
    </cfRule>
    <cfRule type="cellIs" dxfId="1975" priority="102" stopIfTrue="1" operator="lessThanOrEqual">
      <formula>0</formula>
    </cfRule>
    <cfRule type="cellIs" dxfId="1974" priority="112" stopIfTrue="1" operator="lessThanOrEqual">
      <formula>0</formula>
    </cfRule>
    <cfRule type="cellIs" dxfId="1973" priority="103" stopIfTrue="1" operator="greaterThan">
      <formula>#REF!</formula>
    </cfRule>
    <cfRule type="cellIs" dxfId="1972" priority="113" stopIfTrue="1" operator="greaterThan">
      <formula>#REF!</formula>
    </cfRule>
  </conditionalFormatting>
  <conditionalFormatting sqref="H60">
    <cfRule type="cellIs" dxfId="1971" priority="79" stopIfTrue="1" operator="greaterThan">
      <formula>$F$73</formula>
    </cfRule>
    <cfRule type="cellIs" dxfId="1970" priority="80" stopIfTrue="1" operator="lessThanOrEqual">
      <formula>0</formula>
    </cfRule>
    <cfRule type="cellIs" dxfId="1969" priority="81" stopIfTrue="1" operator="greaterThan">
      <formula>$F$71</formula>
    </cfRule>
    <cfRule type="cellIs" dxfId="1968" priority="82" stopIfTrue="1" operator="lessThanOrEqual">
      <formula>0</formula>
    </cfRule>
    <cfRule type="cellIs" dxfId="1967" priority="70" stopIfTrue="1" operator="lessThanOrEqual">
      <formula>0</formula>
    </cfRule>
    <cfRule type="cellIs" dxfId="1966" priority="71" stopIfTrue="1" operator="greaterThan">
      <formula>$F$70</formula>
    </cfRule>
  </conditionalFormatting>
  <conditionalFormatting sqref="H61:H62">
    <cfRule type="cellIs" dxfId="1965" priority="98" stopIfTrue="1" operator="lessThanOrEqual">
      <formula>0</formula>
    </cfRule>
    <cfRule type="cellIs" dxfId="1964" priority="97" stopIfTrue="1" operator="greaterThan">
      <formula>$F$26</formula>
    </cfRule>
    <cfRule type="cellIs" dxfId="1963" priority="89" stopIfTrue="1" operator="greaterThan">
      <formula>#REF!</formula>
    </cfRule>
    <cfRule type="cellIs" dxfId="1962" priority="100" stopIfTrue="1" operator="lessThanOrEqual">
      <formula>0</formula>
    </cfRule>
    <cfRule type="cellIs" dxfId="1961" priority="99" stopIfTrue="1" operator="greaterThan">
      <formula>#REF!</formula>
    </cfRule>
    <cfRule type="cellIs" dxfId="1960" priority="88" stopIfTrue="1" operator="lessThanOrEqual">
      <formula>0</formula>
    </cfRule>
  </conditionalFormatting>
  <conditionalFormatting sqref="H63">
    <cfRule type="cellIs" dxfId="1959" priority="118" stopIfTrue="1" operator="greaterThan">
      <formula>$F$39</formula>
    </cfRule>
    <cfRule type="cellIs" dxfId="1958" priority="126" stopIfTrue="1" operator="greaterThan">
      <formula>$F$42</formula>
    </cfRule>
    <cfRule type="cellIs" dxfId="1957" priority="128" stopIfTrue="1" operator="greaterThan">
      <formula>$F$40</formula>
    </cfRule>
    <cfRule type="cellIs" dxfId="1956" priority="117" stopIfTrue="1" operator="lessThanOrEqual">
      <formula>0</formula>
    </cfRule>
    <cfRule type="cellIs" dxfId="1955" priority="129" stopIfTrue="1" operator="lessThanOrEqual">
      <formula>0</formula>
    </cfRule>
    <cfRule type="cellIs" dxfId="1954" priority="127" stopIfTrue="1" operator="lessThanOrEqual">
      <formula>0</formula>
    </cfRule>
  </conditionalFormatting>
  <conditionalFormatting sqref="H64:H65">
    <cfRule type="cellIs" dxfId="1953" priority="54" stopIfTrue="1" operator="lessThanOrEqual">
      <formula>0</formula>
    </cfRule>
    <cfRule type="cellIs" dxfId="1952" priority="55" stopIfTrue="1" operator="greaterThan">
      <formula>#REF!</formula>
    </cfRule>
    <cfRule type="cellIs" dxfId="1951" priority="63" stopIfTrue="1" operator="greaterThan">
      <formula>$F$26</formula>
    </cfRule>
    <cfRule type="cellIs" dxfId="1950" priority="64" stopIfTrue="1" operator="lessThanOrEqual">
      <formula>0</formula>
    </cfRule>
    <cfRule type="cellIs" dxfId="1949" priority="65" stopIfTrue="1" operator="greaterThan">
      <formula>#REF!</formula>
    </cfRule>
    <cfRule type="cellIs" dxfId="1948" priority="66" stopIfTrue="1" operator="lessThanOrEqual">
      <formula>0</formula>
    </cfRule>
  </conditionalFormatting>
  <conditionalFormatting sqref="H69:H76">
    <cfRule type="cellIs" dxfId="1947" priority="149" stopIfTrue="1" operator="greaterThan">
      <formula>$J69</formula>
    </cfRule>
    <cfRule type="cellIs" dxfId="1946" priority="150" stopIfTrue="1" operator="lessThanOrEqual">
      <formula>0</formula>
    </cfRule>
  </conditionalFormatting>
  <conditionalFormatting sqref="H77">
    <cfRule type="cellIs" dxfId="1945" priority="151" operator="greaterThan">
      <formula>5.3</formula>
    </cfRule>
  </conditionalFormatting>
  <conditionalFormatting sqref="H80 H82:H88">
    <cfRule type="cellIs" dxfId="1944" priority="180" stopIfTrue="1" operator="greaterThan">
      <formula>4.5</formula>
    </cfRule>
    <cfRule type="cellIs" dxfId="1943" priority="181" stopIfTrue="1" operator="lessThanOrEqual">
      <formula>0</formula>
    </cfRule>
  </conditionalFormatting>
  <conditionalFormatting sqref="H58:I58">
    <cfRule type="cellIs" dxfId="1942" priority="1" stopIfTrue="1" operator="greaterThan">
      <formula>$F$71</formula>
    </cfRule>
    <cfRule type="cellIs" dxfId="1941" priority="4" stopIfTrue="1" operator="lessThanOrEqual">
      <formula>0</formula>
    </cfRule>
  </conditionalFormatting>
  <conditionalFormatting sqref="H59:I59">
    <cfRule type="cellIs" dxfId="1940" priority="101" stopIfTrue="1" operator="greaterThan">
      <formula>$F$26</formula>
    </cfRule>
    <cfRule type="cellIs" dxfId="1939" priority="104" stopIfTrue="1" operator="lessThanOrEqual">
      <formula>0</formula>
    </cfRule>
  </conditionalFormatting>
  <conditionalFormatting sqref="H60:I60">
    <cfRule type="cellIs" dxfId="1938" priority="72" stopIfTrue="1" operator="lessThanOrEqual">
      <formula>0</formula>
    </cfRule>
    <cfRule type="cellIs" dxfId="1937" priority="69" stopIfTrue="1" operator="greaterThan">
      <formula>$F$72</formula>
    </cfRule>
  </conditionalFormatting>
  <conditionalFormatting sqref="H61:I62">
    <cfRule type="cellIs" dxfId="1936" priority="87" stopIfTrue="1" operator="greaterThan">
      <formula>#REF!</formula>
    </cfRule>
    <cfRule type="cellIs" dxfId="1935" priority="90" stopIfTrue="1" operator="lessThanOrEqual">
      <formula>0</formula>
    </cfRule>
  </conditionalFormatting>
  <conditionalFormatting sqref="H63:I63">
    <cfRule type="cellIs" dxfId="1934" priority="116" stopIfTrue="1" operator="greaterThan">
      <formula>$F$41</formula>
    </cfRule>
    <cfRule type="cellIs" dxfId="1933" priority="119" stopIfTrue="1" operator="lessThanOrEqual">
      <formula>0</formula>
    </cfRule>
  </conditionalFormatting>
  <conditionalFormatting sqref="H64:I65">
    <cfRule type="cellIs" dxfId="1932" priority="56" stopIfTrue="1" operator="lessThanOrEqual">
      <formula>0</formula>
    </cfRule>
    <cfRule type="cellIs" dxfId="1931" priority="53" stopIfTrue="1" operator="greaterThan">
      <formula>#REF!</formula>
    </cfRule>
  </conditionalFormatting>
  <conditionalFormatting sqref="H78:I78">
    <cfRule type="cellIs" dxfId="1930" priority="141" stopIfTrue="1" operator="greaterThan">
      <formula>$J78</formula>
    </cfRule>
    <cfRule type="cellIs" dxfId="1929" priority="142" stopIfTrue="1" operator="lessThanOrEqual">
      <formula>0</formula>
    </cfRule>
  </conditionalFormatting>
  <conditionalFormatting sqref="I58">
    <cfRule type="cellIs" dxfId="1928" priority="7" stopIfTrue="1" operator="greaterThan">
      <formula>$F$71</formula>
    </cfRule>
    <cfRule type="cellIs" dxfId="1927" priority="5" stopIfTrue="1" operator="greaterThan">
      <formula>$F$69</formula>
    </cfRule>
    <cfRule type="cellIs" dxfId="1926" priority="6" stopIfTrue="1" operator="lessThanOrEqual">
      <formula>0</formula>
    </cfRule>
    <cfRule type="cellIs" dxfId="1925" priority="10" stopIfTrue="1" operator="lessThanOrEqual">
      <formula>0</formula>
    </cfRule>
    <cfRule type="cellIs" dxfId="1924" priority="9" stopIfTrue="1" operator="greaterThan">
      <formula>$F$69</formula>
    </cfRule>
    <cfRule type="cellIs" dxfId="1923" priority="8" stopIfTrue="1" operator="lessThanOrEqual">
      <formula>0</formula>
    </cfRule>
  </conditionalFormatting>
  <conditionalFormatting sqref="I59">
    <cfRule type="cellIs" dxfId="1922" priority="105" stopIfTrue="1" operator="greaterThan">
      <formula>#REF!</formula>
    </cfRule>
    <cfRule type="cellIs" dxfId="1921" priority="110" stopIfTrue="1" operator="lessThanOrEqual">
      <formula>0</formula>
    </cfRule>
    <cfRule type="cellIs" dxfId="1920" priority="109" stopIfTrue="1" operator="greaterThan">
      <formula>#REF!</formula>
    </cfRule>
    <cfRule type="cellIs" dxfId="1919" priority="106" stopIfTrue="1" operator="lessThanOrEqual">
      <formula>0</formula>
    </cfRule>
    <cfRule type="cellIs" dxfId="1918" priority="108" stopIfTrue="1" operator="lessThanOrEqual">
      <formula>0</formula>
    </cfRule>
    <cfRule type="cellIs" dxfId="1917" priority="107" stopIfTrue="1" operator="greaterThan">
      <formula>$F$26</formula>
    </cfRule>
  </conditionalFormatting>
  <conditionalFormatting sqref="I60">
    <cfRule type="cellIs" dxfId="1916" priority="75" stopIfTrue="1" operator="greaterThan">
      <formula>$F$72</formula>
    </cfRule>
    <cfRule type="cellIs" dxfId="1915" priority="74" stopIfTrue="1" operator="lessThanOrEqual">
      <formula>0</formula>
    </cfRule>
    <cfRule type="cellIs" dxfId="1914" priority="73" stopIfTrue="1" operator="greaterThan">
      <formula>$F$70</formula>
    </cfRule>
    <cfRule type="cellIs" dxfId="1913" priority="76" stopIfTrue="1" operator="lessThanOrEqual">
      <formula>0</formula>
    </cfRule>
    <cfRule type="cellIs" dxfId="1912" priority="78" stopIfTrue="1" operator="lessThanOrEqual">
      <formula>0</formula>
    </cfRule>
    <cfRule type="cellIs" dxfId="1911" priority="77" stopIfTrue="1" operator="greaterThan">
      <formula>$F$70</formula>
    </cfRule>
  </conditionalFormatting>
  <conditionalFormatting sqref="I61:I62">
    <cfRule type="cellIs" dxfId="1910" priority="91" stopIfTrue="1" operator="greaterThan">
      <formula>#REF!</formula>
    </cfRule>
    <cfRule type="cellIs" dxfId="1909" priority="92" stopIfTrue="1" operator="lessThanOrEqual">
      <formula>0</formula>
    </cfRule>
    <cfRule type="cellIs" dxfId="1908" priority="93" stopIfTrue="1" operator="greaterThan">
      <formula>#REF!</formula>
    </cfRule>
    <cfRule type="cellIs" dxfId="1907" priority="94" stopIfTrue="1" operator="lessThanOrEqual">
      <formula>0</formula>
    </cfRule>
    <cfRule type="cellIs" dxfId="1906" priority="96" stopIfTrue="1" operator="lessThanOrEqual">
      <formula>0</formula>
    </cfRule>
    <cfRule type="cellIs" dxfId="1905" priority="95" stopIfTrue="1" operator="greaterThan">
      <formula>#REF!</formula>
    </cfRule>
  </conditionalFormatting>
  <conditionalFormatting sqref="I63">
    <cfRule type="cellIs" dxfId="1904" priority="120" stopIfTrue="1" operator="greaterThan">
      <formula>$F$39</formula>
    </cfRule>
    <cfRule type="cellIs" dxfId="1903" priority="123" stopIfTrue="1" operator="lessThanOrEqual">
      <formula>0</formula>
    </cfRule>
    <cfRule type="cellIs" dxfId="1902" priority="121" stopIfTrue="1" operator="lessThanOrEqual">
      <formula>0</formula>
    </cfRule>
    <cfRule type="cellIs" dxfId="1901" priority="125" stopIfTrue="1" operator="lessThanOrEqual">
      <formula>0</formula>
    </cfRule>
    <cfRule type="cellIs" dxfId="1900" priority="124" stopIfTrue="1" operator="greaterThan">
      <formula>$F$39</formula>
    </cfRule>
    <cfRule type="cellIs" dxfId="1899" priority="122" stopIfTrue="1" operator="greaterThan">
      <formula>$F$41</formula>
    </cfRule>
  </conditionalFormatting>
  <conditionalFormatting sqref="I64:I65">
    <cfRule type="cellIs" dxfId="1898" priority="60" stopIfTrue="1" operator="lessThanOrEqual">
      <formula>0</formula>
    </cfRule>
    <cfRule type="cellIs" dxfId="1897" priority="61" stopIfTrue="1" operator="greaterThan">
      <formula>#REF!</formula>
    </cfRule>
    <cfRule type="cellIs" dxfId="1896" priority="62" stopIfTrue="1" operator="lessThanOrEqual">
      <formula>0</formula>
    </cfRule>
    <cfRule type="cellIs" dxfId="1895" priority="59" stopIfTrue="1" operator="greaterThan">
      <formula>#REF!</formula>
    </cfRule>
    <cfRule type="cellIs" dxfId="1894" priority="57" stopIfTrue="1" operator="greaterThan">
      <formula>#REF!</formula>
    </cfRule>
    <cfRule type="cellIs" dxfId="1893" priority="58" stopIfTrue="1" operator="lessThanOrEqual">
      <formula>0</formula>
    </cfRule>
  </conditionalFormatting>
  <conditionalFormatting sqref="I69:I77">
    <cfRule type="cellIs" dxfId="1892" priority="153" stopIfTrue="1" operator="lessThanOrEqual">
      <formula>0</formula>
    </cfRule>
    <cfRule type="cellIs" dxfId="1891" priority="152" stopIfTrue="1" operator="greaterThan">
      <formula>$J69</formula>
    </cfRule>
  </conditionalFormatting>
  <conditionalFormatting sqref="I80:I88">
    <cfRule type="cellIs" dxfId="1890" priority="177" stopIfTrue="1" operator="lessThanOrEqual">
      <formula>0</formula>
    </cfRule>
    <cfRule type="cellIs" dxfId="1889" priority="176" stopIfTrue="1" operator="greaterThan">
      <formula>4.5</formula>
    </cfRule>
  </conditionalFormatting>
  <conditionalFormatting sqref="I10:J26">
    <cfRule type="cellIs" dxfId="1888" priority="30" operator="lessThan">
      <formula>97.9</formula>
    </cfRule>
  </conditionalFormatting>
  <conditionalFormatting sqref="J30:J31">
    <cfRule type="cellIs" dxfId="1887" priority="131" stopIfTrue="1" operator="lessThan">
      <formula>96.8</formula>
    </cfRule>
    <cfRule type="cellIs" dxfId="1886" priority="132" stopIfTrue="1" operator="greaterThan">
      <formula>100</formula>
    </cfRule>
    <cfRule type="cellIs" dxfId="1885" priority="133" operator="lessThan">
      <formula>98</formula>
    </cfRule>
  </conditionalFormatting>
  <conditionalFormatting sqref="J30:J33">
    <cfRule type="cellIs" dxfId="1884" priority="130" operator="lessThan">
      <formula>97.4</formula>
    </cfRule>
  </conditionalFormatting>
  <conditionalFormatting sqref="J34:J35">
    <cfRule type="cellIs" dxfId="1883" priority="134" operator="lessThan">
      <formula>98</formula>
    </cfRule>
  </conditionalFormatting>
  <conditionalFormatting sqref="J36:J37">
    <cfRule type="cellIs" dxfId="1882" priority="135" stopIfTrue="1" operator="lessThan">
      <formula>96.8</formula>
    </cfRule>
    <cfRule type="cellIs" dxfId="1881" priority="136" stopIfTrue="1" operator="greaterThan">
      <formula>100</formula>
    </cfRule>
  </conditionalFormatting>
  <conditionalFormatting sqref="J36:J38">
    <cfRule type="cellIs" dxfId="1880" priority="137" operator="lessThan">
      <formula>98</formula>
    </cfRule>
  </conditionalFormatting>
  <conditionalFormatting sqref="J65">
    <cfRule type="cellIs" dxfId="1879" priority="47" stopIfTrue="1" operator="greaterThan">
      <formula>#REF!</formula>
    </cfRule>
    <cfRule type="cellIs" dxfId="1878" priority="48" stopIfTrue="1" operator="lessThanOrEqual">
      <formula>0</formula>
    </cfRule>
    <cfRule type="cellIs" dxfId="1877" priority="49" stopIfTrue="1" operator="greaterThan">
      <formula>#REF!</formula>
    </cfRule>
    <cfRule type="cellIs" dxfId="1876" priority="50" stopIfTrue="1" operator="lessThanOrEqual">
      <formula>0</formula>
    </cfRule>
    <cfRule type="cellIs" dxfId="1875" priority="51" stopIfTrue="1" operator="greaterThan">
      <formula>#REF!</formula>
    </cfRule>
    <cfRule type="cellIs" dxfId="1874" priority="52" stopIfTrue="1" operator="lessThanOrEqual">
      <formula>0</formula>
    </cfRule>
    <cfRule type="cellIs" dxfId="1873" priority="46" stopIfTrue="1" operator="lessThanOrEqual">
      <formula>0</formula>
    </cfRule>
    <cfRule type="cellIs" dxfId="1872" priority="45" stopIfTrue="1" operator="greaterThan">
      <formula>#REF!</formula>
    </cfRule>
  </conditionalFormatting>
  <conditionalFormatting sqref="J78">
    <cfRule type="cellIs" dxfId="1871" priority="138" stopIfTrue="1" operator="greaterThan">
      <formula>$F78</formula>
    </cfRule>
    <cfRule type="cellIs" dxfId="1870" priority="139" stopIfTrue="1" operator="lessThanOrEqual">
      <formula>0</formula>
    </cfRule>
  </conditionalFormatting>
  <conditionalFormatting sqref="K10:K26">
    <cfRule type="cellIs" dxfId="1869" priority="31" operator="greaterThan">
      <formula>6</formula>
    </cfRule>
    <cfRule type="cellIs" dxfId="1868" priority="33" operator="greaterThan">
      <formula>6.4</formula>
    </cfRule>
    <cfRule type="cellIs" dxfId="1867" priority="32" operator="lessThan">
      <formula>4</formula>
    </cfRule>
  </conditionalFormatting>
  <conditionalFormatting sqref="K58:K65 K69:N75 K76 M76:N76 K77:N77">
    <cfRule type="cellIs" dxfId="1866" priority="115" stopIfTrue="1" operator="lessThan">
      <formula>100%</formula>
    </cfRule>
  </conditionalFormatting>
  <conditionalFormatting sqref="K80:K85">
    <cfRule type="cellIs" dxfId="1865" priority="182" stopIfTrue="1" operator="lessThan">
      <formula>100%</formula>
    </cfRule>
  </conditionalFormatting>
  <conditionalFormatting sqref="K87:K88">
    <cfRule type="cellIs" dxfId="1864" priority="189" stopIfTrue="1" operator="lessThan">
      <formula>100%</formula>
    </cfRule>
  </conditionalFormatting>
  <conditionalFormatting sqref="L26">
    <cfRule type="cellIs" dxfId="1863" priority="68" operator="greaterThan">
      <formula>65</formula>
    </cfRule>
    <cfRule type="cellIs" dxfId="1862" priority="67" operator="between">
      <formula>61</formula>
      <formula>65</formula>
    </cfRule>
  </conditionalFormatting>
  <conditionalFormatting sqref="L10:M25">
    <cfRule type="cellIs" dxfId="1861" priority="37" operator="greaterThan">
      <formula>65</formula>
    </cfRule>
    <cfRule type="cellIs" dxfId="1860" priority="36" operator="between">
      <formula>61</formula>
      <formula>65</formula>
    </cfRule>
  </conditionalFormatting>
  <conditionalFormatting sqref="L29:M40">
    <cfRule type="cellIs" dxfId="1859" priority="83" operator="lessThan">
      <formula>97.95</formula>
    </cfRule>
  </conditionalFormatting>
  <conditionalFormatting sqref="L44:N44">
    <cfRule type="cellIs" dxfId="1858" priority="84" operator="notEqual">
      <formula>#REF!</formula>
    </cfRule>
  </conditionalFormatting>
  <conditionalFormatting sqref="L78:N78">
    <cfRule type="cellIs" dxfId="1857" priority="140" stopIfTrue="1" operator="lessThan">
      <formula>100%</formula>
    </cfRule>
  </conditionalFormatting>
  <conditionalFormatting sqref="L80:N88">
    <cfRule type="cellIs" dxfId="1856" priority="167" stopIfTrue="1" operator="lessThan">
      <formula>100%</formula>
    </cfRule>
  </conditionalFormatting>
  <conditionalFormatting sqref="M10:M25 G10:H26">
    <cfRule type="expression" dxfId="1855" priority="38">
      <formula>IF(+(IF(G10&lt;#REF!,0,IF(G10&gt;#REF!,0,1)))=0,1)</formula>
    </cfRule>
  </conditionalFormatting>
  <conditionalFormatting sqref="M26:N26">
    <cfRule type="expression" dxfId="1854" priority="197">
      <formula>IF(+(IF(M26&lt;#REF!,0,IF(M26&gt;#REF!,0,1)))=0,1)</formula>
    </cfRule>
  </conditionalFormatting>
  <conditionalFormatting sqref="N10:N25">
    <cfRule type="expression" dxfId="1853" priority="29">
      <formula>IF(+(IF(N10&lt;W10,0,IF(N10&gt;X10,0,1)))=0,1)</formula>
    </cfRule>
  </conditionalFormatting>
  <conditionalFormatting sqref="P6">
    <cfRule type="cellIs" dxfId="1852" priority="163" operator="greaterThanOrEqual">
      <formula>19</formula>
    </cfRule>
  </conditionalFormatting>
  <dataValidations count="1">
    <dataValidation type="list" allowBlank="1" showInputMessage="1" showErrorMessage="1" sqref="R8" xr:uid="{658FBDD6-540A-4B71-830C-5903B84C113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6546-B998-4BC2-93BA-49C28D842F47}">
  <sheetPr>
    <pageSetUpPr fitToPage="1"/>
  </sheetPr>
  <dimension ref="A1:BE83"/>
  <sheetViews>
    <sheetView topLeftCell="A39" zoomScale="80" zoomScaleNormal="80" workbookViewId="0">
      <selection activeCell="L63" sqref="L6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45980</v>
      </c>
      <c r="J4" s="398" t="s">
        <v>194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193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9" t="s">
        <v>6</v>
      </c>
      <c r="C10" s="366" t="str">
        <f>[24]Brewhouse!$A962</f>
        <v>CA847</v>
      </c>
      <c r="D10" s="279">
        <f>[24]Brewhouse!$AF962</f>
        <v>50.1</v>
      </c>
      <c r="E10" s="279">
        <f>[24]Brewhouse!$AI962</f>
        <v>48</v>
      </c>
      <c r="F10" s="278">
        <f>[24]Brewhouse!$V962</f>
        <v>60</v>
      </c>
      <c r="G10" s="279">
        <f>[24]Brewhouse!AG962</f>
        <v>11.9</v>
      </c>
      <c r="H10" s="396">
        <v>12</v>
      </c>
      <c r="I10" s="368">
        <f>[24]Brewhouse!$AU962</f>
        <v>94.510911284707817</v>
      </c>
      <c r="J10" s="368">
        <f>[24]Brewhouse!$AV962</f>
        <v>95.000913318686713</v>
      </c>
      <c r="K10" s="281">
        <f>[24]Brewhouse!$Q962</f>
        <v>8.3396226415094361</v>
      </c>
      <c r="L10" s="276">
        <f>[24]Brewhouse!$P962</f>
        <v>61</v>
      </c>
      <c r="M10" s="397">
        <f>[24]Brewhouse!$U962-[24]Brewhouse!$T962</f>
        <v>0.12083333333333335</v>
      </c>
      <c r="N10" s="370">
        <f>[24]Brewhouse!$Z962</f>
        <v>0.24513888888888891</v>
      </c>
      <c r="O10" s="421" t="str">
        <f>[24]Brewhouse!$AX962</f>
        <v>K. Benjamin</v>
      </c>
      <c r="P10" s="418"/>
      <c r="R10" s="277" t="str">
        <f t="shared" ref="R10:R18" si="0">B10</f>
        <v>CARIB</v>
      </c>
      <c r="S10" s="296">
        <f t="shared" ref="S10:S18" si="1">VLOOKUP($B10,$R$3:$X$9,2,FALSE)</f>
        <v>11.6</v>
      </c>
      <c r="T10" s="296">
        <f t="shared" ref="T10:T18" si="2">VLOOKUP($B10,$R$3:$X$9,3,FALSE)</f>
        <v>12</v>
      </c>
      <c r="U10" s="297">
        <f t="shared" ref="U10:U18" si="3">VLOOKUP($B10,$R$3:$X$9,4,FALSE)</f>
        <v>0</v>
      </c>
      <c r="V10" s="297">
        <f t="shared" ref="V10:V18" si="4">VLOOKUP($B10,$R$3:$X$9,5,FALSE)</f>
        <v>0.118055555555556</v>
      </c>
      <c r="W10" s="297">
        <f t="shared" ref="W10:W18" si="5">VLOOKUP($B10,$R$3:$X$9,6,FALSE)</f>
        <v>0.22569444444444445</v>
      </c>
      <c r="X10" s="297">
        <f t="shared" ref="X10:X18" si="6">VLOOKUP($B10,$R$3:$X$9,7,FALSE)</f>
        <v>0.2638888888888889</v>
      </c>
      <c r="Y10" s="297">
        <f t="shared" ref="Y10:Y18" si="7">VLOOKUP($B10,$R$3:$Z$9,8,FALSE)</f>
        <v>0</v>
      </c>
      <c r="Z10" s="296">
        <f t="shared" ref="Z10:Z18" si="8">VLOOKUP($B10,$R$3:$Z$9,9,FALSE)</f>
        <v>60</v>
      </c>
    </row>
    <row r="11" spans="2:29" ht="15" customHeight="1">
      <c r="B11" s="29" t="s">
        <v>6</v>
      </c>
      <c r="C11" s="366" t="str">
        <f>[24]Brewhouse!$A963</f>
        <v>CA848</v>
      </c>
      <c r="D11" s="279">
        <f>[24]Brewhouse!$AF963</f>
        <v>52</v>
      </c>
      <c r="E11" s="279">
        <f>[24]Brewhouse!$AI963</f>
        <v>50.2</v>
      </c>
      <c r="F11" s="278">
        <f>[24]Brewhouse!$V963</f>
        <v>58</v>
      </c>
      <c r="G11" s="279">
        <f>[24]Brewhouse!AG963</f>
        <v>11.8</v>
      </c>
      <c r="H11" s="396">
        <v>11.8</v>
      </c>
      <c r="I11" s="368">
        <f>[24]Brewhouse!$AU963</f>
        <v>97.848760252347162</v>
      </c>
      <c r="J11" s="368">
        <f>[24]Brewhouse!$AV963</f>
        <v>98.356108418158001</v>
      </c>
      <c r="K11" s="281">
        <f>[24]Brewhouse!$Q963</f>
        <v>3.2452830188679229</v>
      </c>
      <c r="L11" s="276">
        <f>[24]Brewhouse!$P963</f>
        <v>58</v>
      </c>
      <c r="M11" s="397">
        <f>[24]Brewhouse!$U963-[24]Brewhouse!$T963</f>
        <v>0.10763888888888884</v>
      </c>
      <c r="N11" s="370">
        <f>[24]Brewhouse!$Z963</f>
        <v>0.2416666666666667</v>
      </c>
      <c r="O11" s="421" t="str">
        <f>[24]Brewhouse!$AX963</f>
        <v>K. Benjamin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" customHeight="1">
      <c r="B12" s="29" t="s">
        <v>6</v>
      </c>
      <c r="C12" s="366" t="str">
        <f>[24]Brewhouse!$A964</f>
        <v>CA849</v>
      </c>
      <c r="D12" s="279">
        <f>[24]Brewhouse!$AF964</f>
        <v>49.9</v>
      </c>
      <c r="E12" s="279">
        <f>[24]Brewhouse!$AI964</f>
        <v>49.9</v>
      </c>
      <c r="F12" s="278">
        <f>[24]Brewhouse!$V964</f>
        <v>57</v>
      </c>
      <c r="G12" s="279">
        <f>[24]Brewhouse!AG964</f>
        <v>11.7</v>
      </c>
      <c r="H12" s="396">
        <v>11.7</v>
      </c>
      <c r="I12" s="368">
        <f>[24]Brewhouse!$AU964</f>
        <v>96.6348852852703</v>
      </c>
      <c r="J12" s="368">
        <f>[24]Brewhouse!$AV964</f>
        <v>97.135859004567067</v>
      </c>
      <c r="K12" s="281">
        <f>[24]Brewhouse!$Q964</f>
        <v>7.2075471698113205</v>
      </c>
      <c r="L12" s="276">
        <f>[24]Brewhouse!$P964</f>
        <v>60</v>
      </c>
      <c r="M12" s="397">
        <f>[24]Brewhouse!$U964-[24]Brewhouse!$T964</f>
        <v>0.11388888888888893</v>
      </c>
      <c r="N12" s="370">
        <f>[24]Brewhouse!$Z964</f>
        <v>0.24722222222222223</v>
      </c>
      <c r="O12" s="421" t="str">
        <f>[24]Brewhouse!$AX964</f>
        <v>K. Benjamin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" customHeight="1">
      <c r="B13" s="29" t="s">
        <v>6</v>
      </c>
      <c r="C13" s="366" t="str">
        <f>[24]Brewhouse!$A965</f>
        <v>CA850</v>
      </c>
      <c r="D13" s="279">
        <f>[24]Brewhouse!$AF965</f>
        <v>51.9</v>
      </c>
      <c r="E13" s="279">
        <f>[24]Brewhouse!$AI965</f>
        <v>52.1</v>
      </c>
      <c r="F13" s="278">
        <f>[24]Brewhouse!$V965</f>
        <v>70</v>
      </c>
      <c r="G13" s="279">
        <f>[24]Brewhouse!AG965</f>
        <v>11.7</v>
      </c>
      <c r="H13" s="396">
        <v>11.7</v>
      </c>
      <c r="I13" s="368">
        <f>[24]Brewhouse!$AU965</f>
        <v>101.14495845980653</v>
      </c>
      <c r="J13" s="368">
        <f>[24]Brewhouse!$AV965</f>
        <v>101.66922861236579</v>
      </c>
      <c r="K13" s="281">
        <f>[24]Brewhouse!$Q965</f>
        <v>3.4339622641509435</v>
      </c>
      <c r="L13" s="276">
        <f>[24]Brewhouse!$P965</f>
        <v>61</v>
      </c>
      <c r="M13" s="397">
        <f>[24]Brewhouse!$U965-[24]Brewhouse!$T965</f>
        <v>0.1201388888888888</v>
      </c>
      <c r="N13" s="370">
        <f>[24]Brewhouse!$Z965</f>
        <v>0.24305555555555547</v>
      </c>
      <c r="O13" s="421" t="str">
        <f>[24]Brewhouse!$AX965</f>
        <v>K. Benjamin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" customHeight="1">
      <c r="B14" s="29" t="s">
        <v>6</v>
      </c>
      <c r="C14" s="366" t="str">
        <f>[24]Brewhouse!$A966</f>
        <v>CA851</v>
      </c>
      <c r="D14" s="279">
        <f>[24]Brewhouse!$AF966</f>
        <v>52.6</v>
      </c>
      <c r="E14" s="279">
        <f>[24]Brewhouse!$AI966</f>
        <v>50.7</v>
      </c>
      <c r="F14" s="278">
        <f>[24]Brewhouse!$V966</f>
        <v>61</v>
      </c>
      <c r="G14" s="279">
        <f>[24]Brewhouse!AG966</f>
        <v>11.7</v>
      </c>
      <c r="H14" s="396">
        <v>11.7</v>
      </c>
      <c r="I14" s="368">
        <f>[24]Brewhouse!$AU966</f>
        <v>97.822017110404076</v>
      </c>
      <c r="J14" s="368">
        <f>[24]Brewhouse!$AV966</f>
        <v>98.329267194381131</v>
      </c>
      <c r="K14" s="281">
        <f>[24]Brewhouse!$Q966</f>
        <v>2.2975517890772106</v>
      </c>
      <c r="L14" s="276">
        <f>[24]Brewhouse!$P966</f>
        <v>61</v>
      </c>
      <c r="M14" s="397">
        <f>[24]Brewhouse!$U966-[24]Brewhouse!$T966</f>
        <v>0.17916666666666659</v>
      </c>
      <c r="N14" s="370">
        <f>[24]Brewhouse!$Z966</f>
        <v>0.3208333333333333</v>
      </c>
      <c r="O14" s="421" t="str">
        <f>[24]Brewhouse!$AX966</f>
        <v>R. Regis</v>
      </c>
      <c r="P14" s="418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" customHeight="1">
      <c r="B15" s="29" t="s">
        <v>6</v>
      </c>
      <c r="C15" s="366" t="str">
        <f>[24]Brewhouse!$A967</f>
        <v>CA852</v>
      </c>
      <c r="D15" s="279">
        <f>[24]Brewhouse!$AF967</f>
        <v>53.1</v>
      </c>
      <c r="E15" s="279">
        <f>[24]Brewhouse!$AI967</f>
        <v>51.2</v>
      </c>
      <c r="F15" s="278">
        <f>[24]Brewhouse!$V967</f>
        <v>68</v>
      </c>
      <c r="G15" s="279">
        <f>[24]Brewhouse!AG967</f>
        <v>11.7</v>
      </c>
      <c r="H15" s="396">
        <v>11.7</v>
      </c>
      <c r="I15" s="368">
        <f>[24]Brewhouse!$AU967</f>
        <v>98.665431298287814</v>
      </c>
      <c r="J15" s="368">
        <f>[24]Brewhouse!$AV967</f>
        <v>99.177095686333587</v>
      </c>
      <c r="K15" s="281">
        <f>[24]Brewhouse!$Q967</f>
        <v>1.3559322033898284</v>
      </c>
      <c r="L15" s="276">
        <f>[24]Brewhouse!$P967</f>
        <v>60</v>
      </c>
      <c r="M15" s="397">
        <f>[24]Brewhouse!$U967-[24]Brewhouse!$T967</f>
        <v>0.11805555555555558</v>
      </c>
      <c r="N15" s="370">
        <f>[24]Brewhouse!$Z967</f>
        <v>0.31250000000000011</v>
      </c>
      <c r="O15" s="421" t="str">
        <f>[24]Brewhouse!$AX967</f>
        <v>R. Regis</v>
      </c>
      <c r="P15" s="418" t="s">
        <v>196</v>
      </c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" customHeight="1">
      <c r="B16" s="29"/>
      <c r="C16" s="366"/>
      <c r="D16" s="279"/>
      <c r="E16" s="279"/>
      <c r="F16" s="278"/>
      <c r="G16" s="279"/>
      <c r="H16" s="476"/>
      <c r="I16" s="368"/>
      <c r="J16" s="368"/>
      <c r="K16" s="281"/>
      <c r="L16" s="276"/>
      <c r="M16" s="397"/>
      <c r="N16" s="370"/>
      <c r="O16" s="42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" customHeight="1">
      <c r="B17" s="29"/>
      <c r="C17" s="366"/>
      <c r="D17" s="279"/>
      <c r="E17" s="279"/>
      <c r="F17" s="278"/>
      <c r="G17" s="279"/>
      <c r="H17" s="476"/>
      <c r="I17" s="368"/>
      <c r="J17" s="368"/>
      <c r="K17" s="281"/>
      <c r="L17" s="276"/>
      <c r="M17" s="397"/>
      <c r="N17" s="370"/>
      <c r="O17" s="42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customHeight="1" thickBot="1">
      <c r="B18" s="29"/>
      <c r="C18" s="366"/>
      <c r="D18" s="279"/>
      <c r="E18" s="279"/>
      <c r="F18" s="278"/>
      <c r="G18" s="279"/>
      <c r="H18" s="476"/>
      <c r="I18" s="368"/>
      <c r="J18" s="368"/>
      <c r="K18" s="281"/>
      <c r="L18" s="276"/>
      <c r="M18" s="397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29"/>
      <c r="C19" s="366"/>
      <c r="D19" s="279"/>
      <c r="E19" s="279"/>
      <c r="F19" s="278"/>
      <c r="G19" s="279"/>
      <c r="H19" s="476"/>
      <c r="I19" s="368"/>
      <c r="J19" s="368"/>
      <c r="K19" s="281"/>
      <c r="L19" s="276"/>
      <c r="M19" s="397"/>
      <c r="N19" s="370"/>
      <c r="O19" s="421"/>
      <c r="P19" s="418"/>
      <c r="R19" s="277">
        <f t="shared" ref="R19:R45" si="9">B19</f>
        <v>0</v>
      </c>
      <c r="S19" s="296" t="e">
        <f t="shared" ref="S19:S45" si="10">VLOOKUP($B19,$R$3:$X$9,2,FALSE)</f>
        <v>#N/A</v>
      </c>
      <c r="T19" s="296" t="e">
        <f t="shared" ref="T19:T45" si="11">VLOOKUP($B19,$R$3:$X$9,3,FALSE)</f>
        <v>#N/A</v>
      </c>
      <c r="U19" s="297" t="e">
        <f t="shared" ref="U19:U45" si="12">VLOOKUP($B19,$R$3:$X$9,4,FALSE)</f>
        <v>#N/A</v>
      </c>
      <c r="V19" s="297" t="e">
        <f t="shared" ref="V19:V45" si="13">VLOOKUP($B19,$R$3:$X$9,5,FALSE)</f>
        <v>#N/A</v>
      </c>
      <c r="W19" s="297" t="e">
        <f t="shared" ref="W19:W45" si="14">VLOOKUP($B19,$R$3:$X$9,6,FALSE)</f>
        <v>#N/A</v>
      </c>
      <c r="X19" s="297" t="e">
        <f t="shared" ref="X19:X45" si="15">VLOOKUP($B19,$R$3:$X$9,7,FALSE)</f>
        <v>#N/A</v>
      </c>
      <c r="Y19" s="297" t="e">
        <f t="shared" ref="Y19:Y45" si="16">VLOOKUP($B19,$R$3:$Z$9,8,FALSE)</f>
        <v>#N/A</v>
      </c>
      <c r="Z19" s="296" t="e">
        <f t="shared" ref="Z19:Z45" si="17">VLOOKUP($B19,$R$3:$Z$9,9,FALSE)</f>
        <v>#N/A</v>
      </c>
    </row>
    <row r="20" spans="2:26" ht="15.75" hidden="1" customHeight="1">
      <c r="B20" s="29"/>
      <c r="C20" s="366"/>
      <c r="D20" s="279"/>
      <c r="E20" s="279"/>
      <c r="F20" s="278"/>
      <c r="G20" s="279"/>
      <c r="H20" s="476"/>
      <c r="I20" s="368"/>
      <c r="J20" s="368"/>
      <c r="K20" s="281"/>
      <c r="L20" s="276"/>
      <c r="M20" s="397"/>
      <c r="N20" s="370"/>
      <c r="O20" s="421"/>
      <c r="P20" s="418"/>
      <c r="R20" s="277">
        <f t="shared" si="9"/>
        <v>0</v>
      </c>
      <c r="S20" s="296" t="e">
        <f t="shared" si="10"/>
        <v>#N/A</v>
      </c>
      <c r="T20" s="296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296" t="e">
        <f t="shared" si="17"/>
        <v>#N/A</v>
      </c>
    </row>
    <row r="21" spans="2:26" ht="15.75" hidden="1" customHeight="1">
      <c r="B21" s="33"/>
      <c r="C21" s="366"/>
      <c r="D21" s="279"/>
      <c r="E21" s="279"/>
      <c r="F21" s="278"/>
      <c r="G21" s="279"/>
      <c r="H21" s="396"/>
      <c r="I21" s="420"/>
      <c r="J21" s="420"/>
      <c r="K21" s="281"/>
      <c r="L21" s="276"/>
      <c r="M21" s="374"/>
      <c r="N21" s="370"/>
      <c r="O21" s="421"/>
      <c r="P21" s="418"/>
      <c r="R21" s="277">
        <f t="shared" si="9"/>
        <v>0</v>
      </c>
      <c r="S21" s="296" t="e">
        <f t="shared" si="10"/>
        <v>#N/A</v>
      </c>
      <c r="T21" s="296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296" t="e">
        <f t="shared" si="17"/>
        <v>#N/A</v>
      </c>
    </row>
    <row r="22" spans="2:26" ht="15.75" hidden="1" customHeight="1">
      <c r="B22" s="33"/>
      <c r="C22" s="366"/>
      <c r="D22" s="279"/>
      <c r="E22" s="279"/>
      <c r="F22" s="278"/>
      <c r="G22" s="279"/>
      <c r="H22" s="396"/>
      <c r="I22" s="420"/>
      <c r="J22" s="420"/>
      <c r="K22" s="281"/>
      <c r="L22" s="276"/>
      <c r="M22" s="374"/>
      <c r="N22" s="370"/>
      <c r="O22" s="421"/>
      <c r="P22" s="418"/>
      <c r="R22" s="277">
        <f t="shared" si="9"/>
        <v>0</v>
      </c>
      <c r="S22" s="296" t="e">
        <f t="shared" si="10"/>
        <v>#N/A</v>
      </c>
      <c r="T22" s="296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296" t="e">
        <f t="shared" si="17"/>
        <v>#N/A</v>
      </c>
    </row>
    <row r="23" spans="2:26" ht="15.75" hidden="1" customHeight="1">
      <c r="B23" s="33"/>
      <c r="C23" s="366"/>
      <c r="D23" s="279"/>
      <c r="E23" s="279"/>
      <c r="F23" s="278"/>
      <c r="G23" s="279"/>
      <c r="H23" s="396"/>
      <c r="I23" s="420"/>
      <c r="J23" s="420"/>
      <c r="K23" s="281"/>
      <c r="L23" s="276"/>
      <c r="M23" s="374"/>
      <c r="N23" s="370"/>
      <c r="O23" s="421"/>
      <c r="P23" s="418"/>
      <c r="R23" s="277">
        <f t="shared" si="9"/>
        <v>0</v>
      </c>
      <c r="S23" s="296" t="e">
        <f t="shared" si="10"/>
        <v>#N/A</v>
      </c>
      <c r="T23" s="296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296" t="e">
        <f t="shared" si="17"/>
        <v>#N/A</v>
      </c>
    </row>
    <row r="24" spans="2:26" ht="15.75" hidden="1" customHeight="1">
      <c r="B24" s="33"/>
      <c r="C24" s="366"/>
      <c r="D24" s="279"/>
      <c r="E24" s="279"/>
      <c r="F24" s="278"/>
      <c r="G24" s="279"/>
      <c r="H24" s="396"/>
      <c r="I24" s="420"/>
      <c r="J24" s="420"/>
      <c r="K24" s="281"/>
      <c r="L24" s="276"/>
      <c r="M24" s="374"/>
      <c r="N24" s="370"/>
      <c r="O24" s="421"/>
      <c r="P24" s="418"/>
      <c r="R24" s="277">
        <f t="shared" si="9"/>
        <v>0</v>
      </c>
      <c r="S24" s="296" t="e">
        <f t="shared" si="10"/>
        <v>#N/A</v>
      </c>
      <c r="T24" s="296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296" t="e">
        <f t="shared" si="17"/>
        <v>#N/A</v>
      </c>
    </row>
    <row r="25" spans="2:26" ht="15.75" hidden="1" customHeight="1">
      <c r="B25" s="33"/>
      <c r="C25" s="366"/>
      <c r="D25" s="279"/>
      <c r="E25" s="279"/>
      <c r="F25" s="278"/>
      <c r="G25" s="279"/>
      <c r="H25" s="396"/>
      <c r="I25" s="420"/>
      <c r="J25" s="420"/>
      <c r="K25" s="281"/>
      <c r="L25" s="276"/>
      <c r="M25" s="374"/>
      <c r="N25" s="370"/>
      <c r="O25" s="421"/>
      <c r="P25" s="418"/>
      <c r="R25" s="277">
        <f t="shared" si="9"/>
        <v>0</v>
      </c>
      <c r="S25" s="296" t="e">
        <f t="shared" si="10"/>
        <v>#N/A</v>
      </c>
      <c r="T25" s="296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296" t="e">
        <f t="shared" si="17"/>
        <v>#N/A</v>
      </c>
    </row>
    <row r="26" spans="2:26" ht="15.75" hidden="1" customHeight="1">
      <c r="B26" s="33"/>
      <c r="C26" s="366"/>
      <c r="D26" s="279"/>
      <c r="E26" s="279"/>
      <c r="F26" s="278"/>
      <c r="G26" s="279"/>
      <c r="H26" s="396"/>
      <c r="I26" s="420"/>
      <c r="J26" s="420"/>
      <c r="K26" s="281"/>
      <c r="L26" s="276"/>
      <c r="M26" s="374"/>
      <c r="N26" s="370"/>
      <c r="O26" s="421"/>
      <c r="P26" s="418"/>
      <c r="R26" s="277">
        <f t="shared" si="9"/>
        <v>0</v>
      </c>
      <c r="S26" s="296" t="e">
        <f t="shared" si="10"/>
        <v>#N/A</v>
      </c>
      <c r="T26" s="296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296" t="e">
        <f t="shared" si="17"/>
        <v>#N/A</v>
      </c>
    </row>
    <row r="27" spans="2:26" ht="15.75" hidden="1" customHeight="1">
      <c r="B27" s="33"/>
      <c r="C27" s="366"/>
      <c r="D27" s="279"/>
      <c r="E27" s="279"/>
      <c r="F27" s="278"/>
      <c r="G27" s="279"/>
      <c r="H27" s="396"/>
      <c r="I27" s="420"/>
      <c r="J27" s="420"/>
      <c r="K27" s="281"/>
      <c r="L27" s="276"/>
      <c r="M27" s="374"/>
      <c r="N27" s="370"/>
      <c r="O27" s="421"/>
      <c r="P27" s="418"/>
      <c r="R27" s="277">
        <f t="shared" si="9"/>
        <v>0</v>
      </c>
      <c r="S27" s="296" t="e">
        <f t="shared" si="10"/>
        <v>#N/A</v>
      </c>
      <c r="T27" s="296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296" t="e">
        <f t="shared" si="17"/>
        <v>#N/A</v>
      </c>
    </row>
    <row r="28" spans="2:26" ht="15.75" hidden="1" customHeight="1">
      <c r="B28" s="33"/>
      <c r="C28" s="366"/>
      <c r="D28" s="279"/>
      <c r="E28" s="279"/>
      <c r="F28" s="278"/>
      <c r="G28" s="279"/>
      <c r="H28" s="396"/>
      <c r="I28" s="420"/>
      <c r="J28" s="420"/>
      <c r="K28" s="281"/>
      <c r="L28" s="276"/>
      <c r="M28" s="374"/>
      <c r="N28" s="370"/>
      <c r="O28" s="421"/>
      <c r="P28" s="418"/>
      <c r="R28" s="277">
        <f t="shared" si="9"/>
        <v>0</v>
      </c>
      <c r="S28" s="296" t="e">
        <f t="shared" si="10"/>
        <v>#N/A</v>
      </c>
      <c r="T28" s="296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296" t="e">
        <f t="shared" si="17"/>
        <v>#N/A</v>
      </c>
    </row>
    <row r="29" spans="2:26" ht="15.75" hidden="1" customHeight="1">
      <c r="B29" s="33"/>
      <c r="C29" s="366"/>
      <c r="D29" s="279"/>
      <c r="E29" s="279"/>
      <c r="F29" s="278"/>
      <c r="G29" s="279"/>
      <c r="H29" s="396"/>
      <c r="I29" s="420"/>
      <c r="J29" s="420"/>
      <c r="K29" s="281"/>
      <c r="L29" s="276"/>
      <c r="M29" s="374"/>
      <c r="N29" s="370"/>
      <c r="O29" s="421"/>
      <c r="P29" s="418"/>
      <c r="R29" s="277">
        <f t="shared" si="9"/>
        <v>0</v>
      </c>
      <c r="S29" s="296" t="e">
        <f t="shared" si="10"/>
        <v>#N/A</v>
      </c>
      <c r="T29" s="296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296" t="e">
        <f t="shared" si="17"/>
        <v>#N/A</v>
      </c>
    </row>
    <row r="30" spans="2:26" ht="15.75" hidden="1" customHeight="1">
      <c r="B30" s="33"/>
      <c r="C30" s="366"/>
      <c r="D30" s="279"/>
      <c r="E30" s="279"/>
      <c r="F30" s="278"/>
      <c r="G30" s="279"/>
      <c r="H30" s="396"/>
      <c r="I30" s="420"/>
      <c r="J30" s="420"/>
      <c r="K30" s="281"/>
      <c r="L30" s="276"/>
      <c r="M30" s="374"/>
      <c r="N30" s="370"/>
      <c r="O30" s="421"/>
      <c r="P30" s="418"/>
      <c r="R30" s="277">
        <f t="shared" si="9"/>
        <v>0</v>
      </c>
      <c r="S30" s="296" t="e">
        <f t="shared" si="10"/>
        <v>#N/A</v>
      </c>
      <c r="T30" s="296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296" t="e">
        <f t="shared" si="17"/>
        <v>#N/A</v>
      </c>
    </row>
    <row r="31" spans="2:26" ht="1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8"/>
      <c r="R31" s="277">
        <f t="shared" si="9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</row>
    <row r="32" spans="2:26" ht="15.75" hidden="1" customHeight="1" thickBot="1">
      <c r="B32" s="358"/>
      <c r="C32" s="358"/>
      <c r="D32" s="358"/>
      <c r="E32" s="358"/>
      <c r="F32" s="294"/>
      <c r="G32" s="294"/>
      <c r="H32" s="348"/>
      <c r="I32" s="512"/>
      <c r="J32" s="512"/>
      <c r="K32" s="512"/>
      <c r="L32" s="512"/>
      <c r="M32" s="512"/>
      <c r="N32" s="512"/>
      <c r="O32" s="1"/>
      <c r="P32" s="12"/>
      <c r="R32" s="277">
        <f t="shared" si="9"/>
        <v>0</v>
      </c>
      <c r="S32" s="296" t="e">
        <f t="shared" si="10"/>
        <v>#N/A</v>
      </c>
      <c r="T32" s="296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296" t="e">
        <f t="shared" si="17"/>
        <v>#N/A</v>
      </c>
    </row>
    <row r="33" spans="1:27" ht="15.75" customHeight="1" thickBot="1">
      <c r="B33" s="388" t="s">
        <v>162</v>
      </c>
      <c r="C33" s="388"/>
      <c r="D33" s="490" t="s">
        <v>35</v>
      </c>
      <c r="E33" s="491"/>
      <c r="F33" s="294"/>
      <c r="G33" s="294"/>
      <c r="H33" s="348"/>
      <c r="I33" s="24" t="s">
        <v>17</v>
      </c>
      <c r="J33" s="25"/>
      <c r="K33" s="26" t="s">
        <v>138</v>
      </c>
      <c r="L33" s="25" t="s">
        <v>37</v>
      </c>
      <c r="M33" s="25" t="s">
        <v>38</v>
      </c>
      <c r="N33" s="27" t="s">
        <v>39</v>
      </c>
      <c r="O33" s="294"/>
      <c r="P33" s="12"/>
      <c r="R33" s="277" t="str">
        <f t="shared" si="9"/>
        <v xml:space="preserve">BRAND </v>
      </c>
      <c r="S33" s="296" t="e">
        <f t="shared" si="10"/>
        <v>#N/A</v>
      </c>
      <c r="T33" s="296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296" t="e">
        <f t="shared" si="17"/>
        <v>#N/A</v>
      </c>
    </row>
    <row r="34" spans="1:27" ht="15" customHeight="1">
      <c r="A34" s="28"/>
      <c r="B34" s="513" t="str">
        <f>I35</f>
        <v>STAG</v>
      </c>
      <c r="C34" s="362" cm="1">
        <f t="array" ref="C34:C37">[25]Process!$D$436:$D$439</f>
        <v>12</v>
      </c>
      <c r="D34" s="516">
        <v>12.15</v>
      </c>
      <c r="E34" s="517"/>
      <c r="F34" s="294"/>
      <c r="G34" s="294"/>
      <c r="H34" s="348"/>
      <c r="I34" s="29" t="s">
        <v>6</v>
      </c>
      <c r="J34" s="280">
        <f>AVERAGE(I10:I15)</f>
        <v>97.771160615137276</v>
      </c>
      <c r="K34" s="284">
        <f>COUNTA([24]Brewhouse!$A$914:$A$967)</f>
        <v>54</v>
      </c>
      <c r="L34" s="305">
        <f>AVERAGE([24]Brewhouse!$AU$914:$AU$967)</f>
        <v>98.016515774569797</v>
      </c>
      <c r="M34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$967)</f>
        <v>97.735477458281252</v>
      </c>
      <c r="N34" s="30">
        <v>98</v>
      </c>
      <c r="O34" s="11"/>
      <c r="P34" s="31"/>
      <c r="R34" s="277" t="str">
        <f t="shared" si="9"/>
        <v>STAG</v>
      </c>
      <c r="S34" s="296">
        <f t="shared" si="10"/>
        <v>11.6</v>
      </c>
      <c r="T34" s="296">
        <f t="shared" si="11"/>
        <v>12</v>
      </c>
      <c r="U34" s="297">
        <f t="shared" si="12"/>
        <v>0</v>
      </c>
      <c r="V34" s="297">
        <f t="shared" si="13"/>
        <v>0.118055555555556</v>
      </c>
      <c r="W34" s="297">
        <f t="shared" si="14"/>
        <v>0.22569444444444445</v>
      </c>
      <c r="X34" s="297">
        <f t="shared" si="15"/>
        <v>0.2638888888888889</v>
      </c>
      <c r="Y34" s="297">
        <f t="shared" si="16"/>
        <v>0</v>
      </c>
      <c r="Z34" s="296">
        <f t="shared" si="17"/>
        <v>60</v>
      </c>
    </row>
    <row r="35" spans="1:27" ht="15" customHeight="1">
      <c r="A35" s="28"/>
      <c r="B35" s="514"/>
      <c r="C35" s="362">
        <v>11.7</v>
      </c>
      <c r="D35" s="518"/>
      <c r="E35" s="519"/>
      <c r="F35" s="294"/>
      <c r="G35" s="294"/>
      <c r="H35" s="348"/>
      <c r="I35" s="33" t="s">
        <v>9</v>
      </c>
      <c r="J35" s="280"/>
      <c r="K35" s="284">
        <f>COUNTA([25]Brewhouse!$A$449:$A$470)</f>
        <v>22</v>
      </c>
      <c r="L35" s="302">
        <f>AVERAGE([25]Brewhouse!$AS$449:$AS$470)</f>
        <v>97.584893163608598</v>
      </c>
      <c r="M35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$470)</f>
        <v>97.909329642481765</v>
      </c>
      <c r="N35" s="30">
        <v>98</v>
      </c>
      <c r="O35" s="11"/>
      <c r="P35" s="31"/>
      <c r="R35" s="277">
        <f t="shared" si="9"/>
        <v>0</v>
      </c>
      <c r="S35" s="296" t="e">
        <f t="shared" si="10"/>
        <v>#N/A</v>
      </c>
      <c r="T35" s="296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296" t="e">
        <f t="shared" si="17"/>
        <v>#N/A</v>
      </c>
    </row>
    <row r="36" spans="1:27" ht="14.65" customHeight="1">
      <c r="A36" s="28"/>
      <c r="B36" s="514"/>
      <c r="C36" s="362">
        <v>11.7</v>
      </c>
      <c r="D36" s="566">
        <v>12.1</v>
      </c>
      <c r="E36" s="567"/>
      <c r="F36" s="294"/>
      <c r="G36" s="294"/>
      <c r="H36" s="348"/>
      <c r="I36" s="34" t="s">
        <v>12</v>
      </c>
      <c r="J36" s="280"/>
      <c r="K36" s="284"/>
      <c r="L36" s="302"/>
      <c r="M36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36" s="30">
        <v>98</v>
      </c>
      <c r="O36" s="11"/>
      <c r="P36" s="31"/>
      <c r="R36" s="277">
        <f t="shared" si="9"/>
        <v>0</v>
      </c>
      <c r="S36" s="296" t="e">
        <f t="shared" si="10"/>
        <v>#N/A</v>
      </c>
      <c r="T36" s="296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296" t="e">
        <f t="shared" si="17"/>
        <v>#N/A</v>
      </c>
    </row>
    <row r="37" spans="1:27" ht="14.65" customHeight="1">
      <c r="A37" s="28"/>
      <c r="B37" s="514"/>
      <c r="C37" s="362">
        <v>12.1</v>
      </c>
      <c r="D37" s="531"/>
      <c r="E37" s="519"/>
      <c r="F37" s="294"/>
      <c r="G37" s="294"/>
      <c r="H37" s="348"/>
      <c r="I37" s="22" t="s">
        <v>33</v>
      </c>
      <c r="J37" s="280"/>
      <c r="K37" s="284">
        <f>COUNTA([23]Brewhouse!$A$97:$A$104)</f>
        <v>8</v>
      </c>
      <c r="L37" s="302">
        <f>AVERAGE([23]Brewhouse!$AV$97:$AV$104)</f>
        <v>98.419138016287462</v>
      </c>
      <c r="M37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37" s="30">
        <v>98</v>
      </c>
      <c r="O37" s="11"/>
      <c r="P37" s="31"/>
      <c r="R37" s="277">
        <f t="shared" si="9"/>
        <v>0</v>
      </c>
      <c r="S37" s="296" t="e">
        <f t="shared" si="10"/>
        <v>#N/A</v>
      </c>
      <c r="T37" s="296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296" t="e">
        <f t="shared" si="17"/>
        <v>#N/A</v>
      </c>
    </row>
    <row r="38" spans="1:27" ht="14.65" customHeight="1">
      <c r="A38" s="28"/>
      <c r="B38" s="514"/>
      <c r="C38" s="362" cm="1">
        <f t="array" ref="C38:C41">[25]Process!$D$444:$D$447</f>
        <v>11.9</v>
      </c>
      <c r="D38" s="566">
        <v>12.19</v>
      </c>
      <c r="E38" s="567"/>
      <c r="F38" s="417"/>
      <c r="G38" s="294"/>
      <c r="H38" s="348"/>
      <c r="I38" s="35" t="s">
        <v>29</v>
      </c>
      <c r="J38" s="280"/>
      <c r="K38" s="284"/>
      <c r="L38" s="302"/>
      <c r="M38" s="302"/>
      <c r="N38" s="30">
        <v>98</v>
      </c>
      <c r="O38" s="11"/>
      <c r="P38" s="31"/>
      <c r="R38" s="277">
        <f t="shared" si="9"/>
        <v>0</v>
      </c>
      <c r="S38" s="296" t="e">
        <f t="shared" si="10"/>
        <v>#N/A</v>
      </c>
      <c r="T38" s="296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296" t="e">
        <f t="shared" si="17"/>
        <v>#N/A</v>
      </c>
    </row>
    <row r="39" spans="1:27" ht="14.65" customHeight="1">
      <c r="A39" s="28"/>
      <c r="B39" s="514"/>
      <c r="C39" s="362">
        <v>12</v>
      </c>
      <c r="D39" s="531"/>
      <c r="E39" s="519"/>
      <c r="F39" s="417"/>
      <c r="G39" s="294"/>
      <c r="H39" s="348"/>
      <c r="I39" s="36" t="s">
        <v>15</v>
      </c>
      <c r="J39" s="323"/>
      <c r="K39" s="284"/>
      <c r="L39" s="302"/>
      <c r="M39" s="302">
        <f>AVERAGE([27]Brewhouse!$AT$4:$AT$11,[27]Brewhouse!$AT$13:$AT$16,[27]Brewhouse!$AT$18:$AT$21,[27]Brewhouse!$AT$26,[27]Brewhouse!$AT$28:$AT$35)</f>
        <v>94.794664331624134</v>
      </c>
      <c r="N39" s="30">
        <v>98</v>
      </c>
      <c r="O39" s="11"/>
      <c r="P39" s="31"/>
      <c r="R39" s="277">
        <f t="shared" si="9"/>
        <v>0</v>
      </c>
      <c r="S39" s="296" t="e">
        <f t="shared" si="10"/>
        <v>#N/A</v>
      </c>
      <c r="T39" s="296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296" t="e">
        <f t="shared" si="17"/>
        <v>#N/A</v>
      </c>
      <c r="AA39" s="296"/>
    </row>
    <row r="40" spans="1:27" ht="14.65" customHeight="1">
      <c r="A40" s="28"/>
      <c r="B40" s="514"/>
      <c r="C40" s="362">
        <v>11.8</v>
      </c>
      <c r="D40" s="566">
        <v>12.21</v>
      </c>
      <c r="E40" s="567"/>
      <c r="F40" s="417"/>
      <c r="G40" s="294"/>
      <c r="H40" s="348"/>
      <c r="I40" s="37" t="s">
        <v>16</v>
      </c>
      <c r="J40" s="323"/>
      <c r="K40" s="284">
        <f>COUNTA([22]Brewhouse!$A$94:$A$97)</f>
        <v>4</v>
      </c>
      <c r="L40" s="302">
        <f>AVERAGE([22]Brewhouse!$AY$94:$AY$97)</f>
        <v>95.326767995731288</v>
      </c>
      <c r="M40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40" s="30">
        <v>98</v>
      </c>
      <c r="O40" s="11"/>
      <c r="P40" s="31" t="s">
        <v>41</v>
      </c>
      <c r="R40" s="277">
        <f t="shared" si="9"/>
        <v>0</v>
      </c>
      <c r="S40" s="296" t="e">
        <f t="shared" si="10"/>
        <v>#N/A</v>
      </c>
      <c r="T40" s="296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296" t="e">
        <f t="shared" si="17"/>
        <v>#N/A</v>
      </c>
      <c r="AA40" s="296"/>
    </row>
    <row r="41" spans="1:27" ht="14.65" customHeight="1">
      <c r="A41" s="28"/>
      <c r="B41" s="514"/>
      <c r="C41" s="362">
        <v>11.8</v>
      </c>
      <c r="D41" s="531"/>
      <c r="E41" s="519"/>
      <c r="F41" s="294"/>
      <c r="G41" s="294"/>
      <c r="H41" s="348"/>
      <c r="I41" s="411" t="s">
        <v>158</v>
      </c>
      <c r="J41" s="326"/>
      <c r="K41" s="284"/>
      <c r="L41" s="305"/>
      <c r="M41" s="305">
        <f>AVERAGE([28]Brewhouse!$AU$5:$AU$8,[28]Brewhouse!$AU$10:$AU$13,[22]Brewhouse!$AY$75:$AY$77)</f>
        <v>94.749192473706671</v>
      </c>
      <c r="N41" s="30">
        <v>98</v>
      </c>
      <c r="O41" s="11"/>
      <c r="P41" s="31"/>
      <c r="R41" s="277">
        <f t="shared" si="9"/>
        <v>0</v>
      </c>
      <c r="S41" s="296" t="e">
        <f t="shared" si="10"/>
        <v>#N/A</v>
      </c>
      <c r="T41" s="296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296" t="e">
        <f t="shared" si="17"/>
        <v>#N/A</v>
      </c>
      <c r="AA41" s="296"/>
    </row>
    <row r="42" spans="1:27" ht="14.65" customHeight="1">
      <c r="A42" s="28"/>
      <c r="B42" s="514"/>
      <c r="C42" s="349"/>
      <c r="D42" s="566"/>
      <c r="E42" s="567"/>
      <c r="F42" s="294"/>
      <c r="G42" s="294"/>
      <c r="H42" s="348"/>
      <c r="I42" s="410" t="s">
        <v>157</v>
      </c>
      <c r="J42" s="326"/>
      <c r="K42" s="284"/>
      <c r="L42" s="305"/>
      <c r="M42" s="305">
        <f>AVERAGE([29]Brewhouse!$AW$26:$AW$27)</f>
        <v>95.310680905194914</v>
      </c>
      <c r="N42" s="30">
        <v>98</v>
      </c>
      <c r="O42" s="11"/>
      <c r="P42" s="31"/>
      <c r="R42" s="277">
        <f t="shared" si="9"/>
        <v>0</v>
      </c>
      <c r="S42" s="296" t="e">
        <f t="shared" si="10"/>
        <v>#N/A</v>
      </c>
      <c r="T42" s="296" t="e">
        <f t="shared" si="11"/>
        <v>#N/A</v>
      </c>
      <c r="U42" s="297" t="e">
        <f t="shared" si="12"/>
        <v>#N/A</v>
      </c>
      <c r="V42" s="297" t="e">
        <f t="shared" si="13"/>
        <v>#N/A</v>
      </c>
      <c r="W42" s="297" t="e">
        <f t="shared" si="14"/>
        <v>#N/A</v>
      </c>
      <c r="X42" s="297" t="e">
        <f t="shared" si="15"/>
        <v>#N/A</v>
      </c>
      <c r="Y42" s="297" t="e">
        <f t="shared" si="16"/>
        <v>#N/A</v>
      </c>
      <c r="Z42" s="296" t="e">
        <f t="shared" si="17"/>
        <v>#N/A</v>
      </c>
      <c r="AA42" s="296"/>
    </row>
    <row r="43" spans="1:27" ht="15" customHeight="1" thickBot="1">
      <c r="A43" s="28"/>
      <c r="B43" s="514"/>
      <c r="C43" s="349"/>
      <c r="D43" s="531"/>
      <c r="E43" s="519"/>
      <c r="F43" s="294"/>
      <c r="G43" s="294"/>
      <c r="H43" s="348"/>
      <c r="I43" s="406" t="s">
        <v>156</v>
      </c>
      <c r="J43" s="327"/>
      <c r="K43" s="407"/>
      <c r="L43" s="408"/>
      <c r="M43" s="408">
        <f>AVERAGE([30]Brewhouse!$AU$13:$AU$14)</f>
        <v>97.110575243268045</v>
      </c>
      <c r="N43" s="409">
        <v>98</v>
      </c>
      <c r="O43" s="11"/>
      <c r="P43" s="31"/>
      <c r="R43" s="277">
        <f t="shared" si="9"/>
        <v>0</v>
      </c>
      <c r="S43" s="296" t="e">
        <f t="shared" si="10"/>
        <v>#N/A</v>
      </c>
      <c r="T43" s="296" t="e">
        <f t="shared" si="11"/>
        <v>#N/A</v>
      </c>
      <c r="U43" s="297" t="e">
        <f t="shared" si="12"/>
        <v>#N/A</v>
      </c>
      <c r="V43" s="297" t="e">
        <f t="shared" si="13"/>
        <v>#N/A</v>
      </c>
      <c r="W43" s="297" t="e">
        <f t="shared" si="14"/>
        <v>#N/A</v>
      </c>
      <c r="X43" s="297" t="e">
        <f t="shared" si="15"/>
        <v>#N/A</v>
      </c>
      <c r="Y43" s="297" t="e">
        <f t="shared" si="16"/>
        <v>#N/A</v>
      </c>
      <c r="Z43" s="296" t="e">
        <f t="shared" si="17"/>
        <v>#N/A</v>
      </c>
      <c r="AA43" s="296"/>
    </row>
    <row r="44" spans="1:27" ht="15" customHeight="1" thickBot="1">
      <c r="A44" s="28"/>
      <c r="B44" s="514"/>
      <c r="C44" s="349"/>
      <c r="D44" s="516"/>
      <c r="E44" s="517"/>
      <c r="F44" s="294"/>
      <c r="G44" s="294"/>
      <c r="H44" s="348"/>
      <c r="I44" s="1"/>
      <c r="J44" s="39"/>
      <c r="K44" s="404">
        <f>SUM(K34:K43)</f>
        <v>88</v>
      </c>
      <c r="L44" s="405">
        <f>((L34*K34)+(L35*K35)+(L36*K36)+(L37*K37)+(L38*K38)+(K41*L41)+(L39*K39)+(L40*K40)+(L43*K43))/(K44)</f>
        <v>97.822950881129358</v>
      </c>
      <c r="M44" s="405">
        <f>AVERAGE('[31]Jan 31st'!$L$65,'[32]Feb 28th'!$L$35,'[33]Mar. 31st'!$L$35,'[34]Apr. 30th'!$L$45,'[35]May 30th'!$L$37,'[36]June 30th'!$L$57,'[37]July 29th '!$L$44,'[38]Aug 29th'!$L$29,'[39]Sept 30th'!$L$35,L44)</f>
        <v>97.600245327794738</v>
      </c>
      <c r="N44" s="40">
        <v>98</v>
      </c>
      <c r="O44" s="11"/>
      <c r="P44" s="31"/>
      <c r="R44" s="277">
        <f t="shared" si="9"/>
        <v>0</v>
      </c>
      <c r="S44" s="296" t="e">
        <f t="shared" si="10"/>
        <v>#N/A</v>
      </c>
      <c r="T44" s="296" t="e">
        <f t="shared" si="11"/>
        <v>#N/A</v>
      </c>
      <c r="U44" s="297" t="e">
        <f t="shared" si="12"/>
        <v>#N/A</v>
      </c>
      <c r="V44" s="297" t="e">
        <f t="shared" si="13"/>
        <v>#N/A</v>
      </c>
      <c r="W44" s="297" t="e">
        <f t="shared" si="14"/>
        <v>#N/A</v>
      </c>
      <c r="X44" s="297" t="e">
        <f t="shared" si="15"/>
        <v>#N/A</v>
      </c>
      <c r="Y44" s="297" t="e">
        <f t="shared" si="16"/>
        <v>#N/A</v>
      </c>
      <c r="Z44" s="296" t="e">
        <f t="shared" si="17"/>
        <v>#N/A</v>
      </c>
      <c r="AA44" s="296"/>
    </row>
    <row r="45" spans="1:27" ht="15.75" thickBot="1">
      <c r="B45" s="588"/>
      <c r="C45" s="350"/>
      <c r="D45" s="518"/>
      <c r="E45" s="519"/>
      <c r="F45" s="294"/>
      <c r="G45" s="42"/>
      <c r="H45" s="41"/>
      <c r="I45" s="42"/>
      <c r="J45" s="42"/>
      <c r="K45" s="351"/>
      <c r="L45" s="348"/>
      <c r="M45" s="348"/>
      <c r="N45" s="11"/>
      <c r="O45" s="294"/>
      <c r="P45" s="12"/>
      <c r="R45" s="277">
        <f t="shared" si="9"/>
        <v>0</v>
      </c>
      <c r="S45" s="296" t="e">
        <f t="shared" si="10"/>
        <v>#N/A</v>
      </c>
      <c r="T45" s="296" t="e">
        <f t="shared" si="11"/>
        <v>#N/A</v>
      </c>
      <c r="U45" s="297" t="e">
        <f t="shared" si="12"/>
        <v>#N/A</v>
      </c>
      <c r="V45" s="297" t="e">
        <f t="shared" si="13"/>
        <v>#N/A</v>
      </c>
      <c r="W45" s="297" t="e">
        <f t="shared" si="14"/>
        <v>#N/A</v>
      </c>
      <c r="X45" s="297" t="e">
        <f t="shared" si="15"/>
        <v>#N/A</v>
      </c>
      <c r="Y45" s="297" t="e">
        <f t="shared" si="16"/>
        <v>#N/A</v>
      </c>
      <c r="Z45" s="296" t="e">
        <f t="shared" si="17"/>
        <v>#N/A</v>
      </c>
      <c r="AA45" s="296"/>
    </row>
    <row r="46" spans="1:27" ht="15.75" thickBot="1">
      <c r="B46" s="563"/>
      <c r="C46" s="362"/>
      <c r="D46" s="529"/>
      <c r="E46" s="530"/>
      <c r="F46" s="294"/>
      <c r="G46" s="42"/>
      <c r="H46" s="41"/>
      <c r="I46" s="42"/>
      <c r="J46" s="565" t="s">
        <v>129</v>
      </c>
      <c r="K46" s="565"/>
      <c r="L46" s="294"/>
      <c r="M46" s="294"/>
      <c r="N46" s="294"/>
      <c r="O46" s="294"/>
      <c r="P46" s="12"/>
    </row>
    <row r="47" spans="1:27" ht="15.75" thickBot="1">
      <c r="B47" s="564"/>
      <c r="C47" s="362"/>
      <c r="D47" s="531"/>
      <c r="E47" s="519"/>
      <c r="F47" s="294"/>
      <c r="G47" s="42"/>
      <c r="H47" s="41"/>
      <c r="I47" s="41"/>
      <c r="J47" s="292" t="s">
        <v>17</v>
      </c>
      <c r="K47" s="293" t="s">
        <v>147</v>
      </c>
      <c r="L47" s="533" t="s">
        <v>136</v>
      </c>
      <c r="M47" s="533"/>
      <c r="N47" s="534"/>
      <c r="O47" s="294"/>
      <c r="P47" s="12"/>
    </row>
    <row r="48" spans="1:27" ht="15" customHeight="1" thickBot="1">
      <c r="B48" s="564"/>
      <c r="C48" s="349"/>
      <c r="D48" s="566"/>
      <c r="E48" s="567"/>
      <c r="F48" s="294"/>
      <c r="G48" s="42"/>
      <c r="H48" s="41"/>
      <c r="I48" s="41"/>
      <c r="J48" s="287" t="s">
        <v>6</v>
      </c>
      <c r="K48" s="324">
        <v>6</v>
      </c>
      <c r="L48" s="343" t="s">
        <v>37</v>
      </c>
      <c r="M48" s="307" t="s">
        <v>38</v>
      </c>
      <c r="N48" s="307" t="s">
        <v>84</v>
      </c>
      <c r="O48" s="294"/>
      <c r="P48" s="12"/>
    </row>
    <row r="49" spans="2:57" ht="15.75" customHeight="1" thickBot="1">
      <c r="B49" s="564"/>
      <c r="C49" s="349"/>
      <c r="D49" s="531"/>
      <c r="E49" s="519"/>
      <c r="F49" s="294"/>
      <c r="G49" s="42"/>
      <c r="H49" s="41"/>
      <c r="I49" s="41"/>
      <c r="J49" s="345" t="s">
        <v>9</v>
      </c>
      <c r="K49" s="324"/>
      <c r="L49" s="344">
        <f>AVERAGE('Nov 18th'!K58,'Nov 13th&amp; 14th'!J53,'Nov 13th&amp; 14th'!K53,'Nov 12th'!K47,'Nov 11th'!K51,'Nov 10th'!K53,'Nov 6th '!K52,'Nov 7th-8th'!J55,'Nov 7th-8th'!K55,'Nov 4th'!K52,'Nov 5th'!K51,Nov.3rd!K52)</f>
        <v>6.833333333333333</v>
      </c>
      <c r="M49" s="325">
        <f>AVERAGE('[31]Jan 29th '!$M$70,'[32]Feb 28th'!$L$40,'[33]Mar. 31st'!$L$40,'[34]Apr. 30th'!$L$50,'[35]May 30th'!$L$42,'[36]June 30th'!$L$62,'[37]July 29th '!$L$49,'[38]Aug 29th'!$L$34,'[39]Sept 30th'!$L$40,[40]Oct.31st!$L$43,L49)</f>
        <v>7.0423672437402409</v>
      </c>
      <c r="N49" s="416">
        <v>9.1999999999999993</v>
      </c>
      <c r="O49" s="294"/>
      <c r="P49" s="12"/>
    </row>
    <row r="50" spans="2:57" ht="15" customHeight="1">
      <c r="B50" s="564"/>
      <c r="C50" s="349"/>
      <c r="D50" s="566"/>
      <c r="E50" s="567"/>
      <c r="F50" s="294"/>
      <c r="G50" s="42"/>
      <c r="H50" s="41"/>
      <c r="I50" s="41"/>
      <c r="J50" s="288" t="s">
        <v>40</v>
      </c>
      <c r="K50" s="324"/>
      <c r="L50" s="294"/>
      <c r="M50" s="294"/>
      <c r="N50" s="294"/>
      <c r="O50" s="294"/>
      <c r="P50" s="12"/>
    </row>
    <row r="51" spans="2:57" ht="15" customHeight="1">
      <c r="B51" s="564"/>
      <c r="C51" s="349"/>
      <c r="D51" s="531"/>
      <c r="E51" s="519"/>
      <c r="F51" s="294"/>
      <c r="G51" s="42"/>
      <c r="H51" s="41"/>
      <c r="I51" s="41"/>
      <c r="J51" s="289" t="s">
        <v>33</v>
      </c>
      <c r="K51" s="324"/>
      <c r="L51" s="294"/>
      <c r="M51" s="294"/>
      <c r="N51" s="294"/>
      <c r="O51" s="294"/>
      <c r="P51" s="12"/>
    </row>
    <row r="52" spans="2:57" ht="15">
      <c r="B52" s="564"/>
      <c r="C52" s="349"/>
      <c r="D52" s="566"/>
      <c r="E52" s="567"/>
      <c r="F52" s="294"/>
      <c r="G52" s="42"/>
      <c r="H52" s="41"/>
      <c r="I52" s="41"/>
      <c r="J52" s="290" t="s">
        <v>16</v>
      </c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564"/>
      <c r="C53" s="349"/>
      <c r="D53" s="531"/>
      <c r="E53" s="519"/>
      <c r="F53" s="294"/>
      <c r="G53" s="42"/>
      <c r="H53" s="41"/>
      <c r="I53" s="41"/>
      <c r="J53" s="291" t="s">
        <v>15</v>
      </c>
      <c r="K53" s="324"/>
      <c r="L53" s="294"/>
      <c r="M53" s="294"/>
      <c r="N53" s="294"/>
      <c r="O53" s="294"/>
      <c r="P53" s="12"/>
      <c r="BC53" s="44"/>
      <c r="BD53" s="44"/>
    </row>
    <row r="54" spans="2:57" ht="15">
      <c r="B54" s="564"/>
      <c r="C54" s="349"/>
      <c r="D54" s="566"/>
      <c r="E54" s="567"/>
      <c r="F54" s="294"/>
      <c r="G54" s="42"/>
      <c r="H54" s="41"/>
      <c r="I54" s="41"/>
      <c r="J54" s="291" t="s">
        <v>149</v>
      </c>
      <c r="K54" s="324"/>
      <c r="L54" s="294"/>
      <c r="M54" s="294"/>
      <c r="N54" s="294"/>
      <c r="O54" s="294"/>
      <c r="P54" s="12"/>
      <c r="BC54" s="44"/>
      <c r="BD54" s="44"/>
    </row>
    <row r="55" spans="2:57" ht="15.75" thickBot="1">
      <c r="B55" s="584"/>
      <c r="C55" s="350"/>
      <c r="D55" s="568"/>
      <c r="E55" s="569"/>
      <c r="F55" s="294" t="s">
        <v>168</v>
      </c>
      <c r="G55" s="42"/>
      <c r="H55" s="41"/>
      <c r="I55" s="41"/>
      <c r="J55" s="291" t="s">
        <v>148</v>
      </c>
      <c r="K55" s="324"/>
      <c r="L55" s="294"/>
      <c r="M55" s="294"/>
      <c r="N55" s="294" t="s">
        <v>41</v>
      </c>
      <c r="O55" s="294"/>
      <c r="P55" s="12"/>
      <c r="BC55" s="44"/>
      <c r="BD55" s="44"/>
    </row>
    <row r="56" spans="2:57" ht="17.649999999999999" customHeight="1" thickBot="1">
      <c r="B56" s="312" t="s">
        <v>139</v>
      </c>
      <c r="C56" s="313"/>
      <c r="D56" s="576"/>
      <c r="E56" s="577"/>
      <c r="F56" s="294"/>
      <c r="H56" s="41"/>
      <c r="I56" s="41"/>
      <c r="J56" s="295" t="s">
        <v>134</v>
      </c>
      <c r="K56" s="324"/>
      <c r="L56" s="294"/>
      <c r="M56" s="294"/>
      <c r="N56" s="294"/>
      <c r="O56" s="294"/>
      <c r="P56" s="12"/>
      <c r="BC56" s="44"/>
      <c r="BD56" s="44"/>
    </row>
    <row r="57" spans="2:57" ht="17.649999999999999" customHeight="1">
      <c r="B57" s="363"/>
      <c r="C57" s="364"/>
      <c r="D57" s="365"/>
      <c r="E57" s="365"/>
      <c r="F57" s="294"/>
      <c r="G57" s="42"/>
      <c r="H57" s="41"/>
      <c r="I57" s="41"/>
      <c r="J57" s="295" t="s">
        <v>131</v>
      </c>
      <c r="K57" s="324"/>
      <c r="L57" s="294"/>
      <c r="M57" s="294"/>
      <c r="N57" s="294"/>
      <c r="O57" s="294"/>
      <c r="P57" s="12"/>
      <c r="BC57" s="44"/>
      <c r="BD57" s="44"/>
    </row>
    <row r="58" spans="2:57" ht="15.6" customHeight="1">
      <c r="B58" s="45"/>
      <c r="C58" s="11"/>
      <c r="D58" s="11"/>
      <c r="E58" s="46"/>
      <c r="F58" s="294"/>
      <c r="G58" s="42"/>
      <c r="H58" s="41"/>
      <c r="I58" s="41"/>
      <c r="J58" s="346" t="s">
        <v>130</v>
      </c>
      <c r="K58" s="324">
        <f>SUM(K48:K57)</f>
        <v>6</v>
      </c>
      <c r="L58" s="294"/>
      <c r="M58" s="294"/>
      <c r="N58" s="294"/>
      <c r="O58" s="294"/>
      <c r="P58" s="12"/>
    </row>
    <row r="59" spans="2:57" ht="20.25" customHeight="1">
      <c r="B59" s="15" t="s">
        <v>42</v>
      </c>
      <c r="C59" s="1" t="s">
        <v>43</v>
      </c>
      <c r="D59" s="1"/>
      <c r="E59" s="1"/>
      <c r="F59" s="294"/>
      <c r="G59" s="42"/>
      <c r="H59" s="41"/>
      <c r="I59" s="42"/>
      <c r="L59" s="294"/>
      <c r="N59" s="315"/>
      <c r="P59" s="334"/>
    </row>
    <row r="60" spans="2:57" ht="15" customHeight="1" thickBot="1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1"/>
      <c r="O60" s="48"/>
      <c r="P60" s="49"/>
    </row>
    <row r="61" spans="2:57" ht="15" customHeight="1" thickBot="1">
      <c r="B61" s="541" t="s">
        <v>17</v>
      </c>
      <c r="C61" s="541" t="s">
        <v>44</v>
      </c>
      <c r="D61" s="543" t="s">
        <v>45</v>
      </c>
      <c r="E61" s="498" t="s">
        <v>46</v>
      </c>
      <c r="F61" s="558" t="s">
        <v>47</v>
      </c>
      <c r="G61" s="552" t="s">
        <v>48</v>
      </c>
      <c r="H61" s="541" t="s">
        <v>49</v>
      </c>
      <c r="I61" s="541" t="s">
        <v>50</v>
      </c>
      <c r="J61" s="546" t="s">
        <v>28</v>
      </c>
      <c r="K61" s="496" t="s">
        <v>51</v>
      </c>
      <c r="L61" s="508" t="s">
        <v>52</v>
      </c>
      <c r="M61" s="546" t="s">
        <v>53</v>
      </c>
      <c r="N61" s="13"/>
      <c r="O61" s="13"/>
      <c r="P61" s="50"/>
    </row>
    <row r="62" spans="2:57" ht="28.5" customHeight="1" thickTop="1" thickBot="1">
      <c r="B62" s="542"/>
      <c r="C62" s="542"/>
      <c r="D62" s="544"/>
      <c r="E62" s="545"/>
      <c r="F62" s="559"/>
      <c r="G62" s="553"/>
      <c r="H62" s="560"/>
      <c r="I62" s="560"/>
      <c r="J62" s="547"/>
      <c r="K62" s="556"/>
      <c r="L62" s="557"/>
      <c r="M62" s="547"/>
      <c r="N62" s="13"/>
      <c r="O62" s="13"/>
      <c r="P62" s="50"/>
      <c r="Q62" s="355"/>
      <c r="AB62" s="51">
        <v>43474</v>
      </c>
      <c r="AC62" s="51">
        <v>43475</v>
      </c>
      <c r="AD62" s="51">
        <v>43476</v>
      </c>
      <c r="AE62" s="51">
        <v>43477</v>
      </c>
      <c r="AF62" s="51">
        <v>43478</v>
      </c>
      <c r="AG62" s="51">
        <v>43479</v>
      </c>
      <c r="AH62" s="51">
        <v>43480</v>
      </c>
      <c r="AI62" s="51">
        <v>43481</v>
      </c>
      <c r="AJ62" s="51">
        <v>43482</v>
      </c>
      <c r="AK62" s="51">
        <v>43483</v>
      </c>
      <c r="AL62" s="51">
        <v>43484</v>
      </c>
      <c r="AM62" s="51">
        <v>43485</v>
      </c>
      <c r="AN62" s="51">
        <v>43486</v>
      </c>
      <c r="AO62" s="51">
        <v>43487</v>
      </c>
      <c r="AP62" s="51">
        <v>43488</v>
      </c>
      <c r="AQ62" s="51">
        <v>43489</v>
      </c>
      <c r="AR62" s="51">
        <v>43490</v>
      </c>
      <c r="AS62" s="51">
        <v>43491</v>
      </c>
      <c r="AT62" s="51">
        <v>43492</v>
      </c>
      <c r="AU62" s="51">
        <v>43493</v>
      </c>
      <c r="AV62" s="51">
        <v>43494</v>
      </c>
      <c r="AW62" s="51">
        <v>43495</v>
      </c>
      <c r="AX62" s="51">
        <v>43496</v>
      </c>
    </row>
    <row r="63" spans="2:57" s="54" customFormat="1" ht="43.15" customHeight="1" thickBot="1">
      <c r="B63" s="473" t="str">
        <f>J49</f>
        <v>STAG</v>
      </c>
      <c r="C63" s="442">
        <v>45979</v>
      </c>
      <c r="D63" s="443">
        <f>[41]November_2025!$U$13</f>
        <v>388</v>
      </c>
      <c r="E63" s="444"/>
      <c r="F63" s="445"/>
      <c r="G63" s="445">
        <f>[41]November_2025!$U$17</f>
        <v>368.8</v>
      </c>
      <c r="H63" s="460"/>
      <c r="I63" s="460"/>
      <c r="J63" s="449" t="s">
        <v>174</v>
      </c>
      <c r="K63" s="450">
        <f>[42]November_2025!$U$25</f>
        <v>0.64701754385964916</v>
      </c>
      <c r="L63" s="459">
        <f>(((D63+E63)-G63)/(D63+E63))*100</f>
        <v>4.9484536082474193</v>
      </c>
      <c r="M63" s="456" t="s">
        <v>195</v>
      </c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[20]January_2019!L7</f>
        <v>285.8</v>
      </c>
      <c r="AC63" s="57">
        <f>[20]January_2019!M7</f>
        <v>508.1</v>
      </c>
      <c r="AD63" s="57">
        <f>[20]January_2019!N7</f>
        <v>0</v>
      </c>
      <c r="AE63" s="57">
        <f>[20]January_2019!O7</f>
        <v>0</v>
      </c>
      <c r="AF63" s="57">
        <f>[20]January_2019!P7</f>
        <v>109.56666666666666</v>
      </c>
      <c r="AG63" s="57">
        <f>[20]January_2019!Q7</f>
        <v>297.64999999999998</v>
      </c>
      <c r="AH63" s="57">
        <f>[20]January_2019!R7</f>
        <v>122.3</v>
      </c>
      <c r="AI63" s="57">
        <f>[20]January_2019!S7</f>
        <v>0</v>
      </c>
      <c r="AJ63" s="57">
        <f>[20]January_2019!T7</f>
        <v>294.7</v>
      </c>
      <c r="AK63" s="57">
        <f>[20]January_2019!U7</f>
        <v>280.5</v>
      </c>
      <c r="AL63" s="57">
        <f>[20]January_2019!V7</f>
        <v>0</v>
      </c>
      <c r="AM63" s="57">
        <f>[20]January_2019!W7</f>
        <v>0</v>
      </c>
      <c r="AN63" s="57">
        <f>[20]January_2019!X7</f>
        <v>188.25</v>
      </c>
      <c r="AO63" s="57">
        <f>[20]January_2019!Y7</f>
        <v>295.7</v>
      </c>
      <c r="AP63" s="57">
        <f>[20]January_2019!Z7</f>
        <v>257.8</v>
      </c>
      <c r="AQ63" s="57">
        <f>[20]January_2019!AA7</f>
        <v>291.2</v>
      </c>
      <c r="AR63" s="57">
        <f>[20]January_2019!AB7</f>
        <v>187</v>
      </c>
      <c r="AS63" s="57">
        <f>[20]January_2019!AC7</f>
        <v>0</v>
      </c>
      <c r="AT63" s="57">
        <f>[20]January_2019!AD7</f>
        <v>0</v>
      </c>
      <c r="AU63" s="57">
        <f>[20]January_2019!AE7</f>
        <v>485.1</v>
      </c>
      <c r="AV63" s="57">
        <f>[20]January_2019!AF7</f>
        <v>171.55</v>
      </c>
      <c r="AW63" s="57">
        <f>[20]January_2019!AG7</f>
        <v>423.8</v>
      </c>
      <c r="AX63" s="277">
        <f>[20]January_2019!AH7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20.45" hidden="1" customHeight="1" thickBot="1">
      <c r="B64" s="473"/>
      <c r="C64" s="431"/>
      <c r="D64" s="432"/>
      <c r="E64" s="433"/>
      <c r="F64" s="434"/>
      <c r="G64" s="435"/>
      <c r="H64" s="429"/>
      <c r="I64" s="429"/>
      <c r="J64" s="452"/>
      <c r="K64" s="437"/>
      <c r="L64" s="453"/>
      <c r="M64" s="422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8.450000000000003" hidden="1" customHeight="1" thickBot="1">
      <c r="B65" s="458"/>
      <c r="C65" s="442"/>
      <c r="D65" s="443"/>
      <c r="E65" s="444"/>
      <c r="F65" s="445"/>
      <c r="G65" s="446"/>
      <c r="H65" s="460"/>
      <c r="I65" s="460"/>
      <c r="J65" s="449"/>
      <c r="K65" s="462"/>
      <c r="L65" s="459" t="e">
        <f>(((D65+E65)-G65)/(D65+E65))*100</f>
        <v>#DIV/0!</v>
      </c>
      <c r="M65" s="456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5" hidden="1">
      <c r="B66" s="454"/>
      <c r="C66" s="431"/>
      <c r="D66" s="432"/>
      <c r="E66" s="433"/>
      <c r="F66" s="434"/>
      <c r="G66" s="435"/>
      <c r="H66" s="436"/>
      <c r="I66" s="451"/>
      <c r="J66" s="452"/>
      <c r="K66" s="437"/>
      <c r="L66" s="453"/>
      <c r="M66" s="422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15" hidden="1" customHeight="1" thickBot="1">
      <c r="B67" s="461"/>
      <c r="C67" s="442"/>
      <c r="D67" s="443"/>
      <c r="E67" s="444"/>
      <c r="F67" s="445"/>
      <c r="G67" s="446"/>
      <c r="H67" s="447"/>
      <c r="I67" s="448"/>
      <c r="J67" s="449"/>
      <c r="K67" s="450"/>
      <c r="L67" s="459"/>
      <c r="M67" s="455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16.5" customHeight="1" thickBot="1">
      <c r="B68" s="438"/>
      <c r="C68" s="424"/>
      <c r="D68" s="425"/>
      <c r="E68" s="426"/>
      <c r="F68" s="427"/>
      <c r="G68" s="428"/>
      <c r="H68" s="429"/>
      <c r="I68" s="439"/>
      <c r="J68" s="440"/>
      <c r="K68" s="430"/>
      <c r="L68" s="441"/>
      <c r="M68" s="423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5"/>
      <c r="AC68" s="415"/>
      <c r="AD68" s="415"/>
      <c r="AE68" s="415"/>
      <c r="AF68" s="415"/>
      <c r="AG68" s="415"/>
      <c r="AH68" s="415"/>
      <c r="AI68" s="415"/>
      <c r="AJ68" s="415"/>
      <c r="AK68" s="415"/>
      <c r="AL68" s="415"/>
      <c r="AM68" s="415"/>
      <c r="AN68" s="415"/>
      <c r="AO68" s="415"/>
      <c r="AP68" s="415"/>
      <c r="AQ68" s="415"/>
      <c r="AR68" s="415"/>
      <c r="AS68" s="415"/>
      <c r="AT68" s="415"/>
      <c r="AU68" s="415"/>
      <c r="AV68" s="415"/>
      <c r="AW68" s="415"/>
    </row>
    <row r="69" spans="2:57" s="54" customFormat="1" ht="37.15" hidden="1" customHeight="1" thickBot="1">
      <c r="B69" s="461"/>
      <c r="C69" s="442"/>
      <c r="D69" s="443"/>
      <c r="E69" s="444"/>
      <c r="F69" s="445"/>
      <c r="G69" s="446"/>
      <c r="H69" s="447"/>
      <c r="I69" s="448"/>
      <c r="J69" s="449"/>
      <c r="K69" s="450"/>
      <c r="L69" s="459"/>
      <c r="M69" s="455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s="54" customFormat="1" ht="37.15" customHeight="1">
      <c r="B70" s="470"/>
      <c r="C70" s="431"/>
      <c r="D70" s="464"/>
      <c r="E70" s="465"/>
      <c r="F70" s="466"/>
      <c r="G70" s="464"/>
      <c r="H70" s="467"/>
      <c r="I70" s="467"/>
      <c r="J70" s="467"/>
      <c r="K70" s="468"/>
      <c r="L70" s="469"/>
      <c r="M70" s="50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ht="18" customHeight="1" thickBot="1">
      <c r="B71" s="59"/>
      <c r="C71" s="30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 t="s">
        <v>41</v>
      </c>
      <c r="O71" s="56"/>
      <c r="P71" s="60"/>
    </row>
    <row r="72" spans="2:57" ht="15.75" thickBot="1">
      <c r="B72" s="548" t="s">
        <v>55</v>
      </c>
      <c r="C72" s="549"/>
      <c r="D72" s="549"/>
      <c r="E72" s="549"/>
      <c r="F72" s="550"/>
      <c r="G72" s="548" t="s">
        <v>56</v>
      </c>
      <c r="H72" s="549"/>
      <c r="I72" s="549"/>
      <c r="J72" s="550"/>
      <c r="K72" s="548" t="s">
        <v>51</v>
      </c>
      <c r="L72" s="549"/>
      <c r="M72" s="549"/>
      <c r="N72" s="551"/>
      <c r="O72" s="56"/>
      <c r="P72" s="50"/>
    </row>
    <row r="73" spans="2:57" ht="15">
      <c r="B73" s="61" t="s">
        <v>17</v>
      </c>
      <c r="C73" s="62" t="s">
        <v>36</v>
      </c>
      <c r="D73" s="62" t="s">
        <v>37</v>
      </c>
      <c r="E73" s="62" t="s">
        <v>38</v>
      </c>
      <c r="F73" s="63" t="s">
        <v>39</v>
      </c>
      <c r="G73" s="62" t="s">
        <v>36</v>
      </c>
      <c r="H73" s="62" t="s">
        <v>37</v>
      </c>
      <c r="I73" s="62" t="s">
        <v>38</v>
      </c>
      <c r="J73" s="63" t="s">
        <v>39</v>
      </c>
      <c r="K73" s="62" t="s">
        <v>36</v>
      </c>
      <c r="L73" s="62" t="s">
        <v>37</v>
      </c>
      <c r="M73" s="62" t="s">
        <v>38</v>
      </c>
      <c r="N73" s="63" t="s">
        <v>39</v>
      </c>
      <c r="O73" s="56"/>
      <c r="P73" s="64"/>
    </row>
    <row r="74" spans="2:57" ht="15">
      <c r="B74" s="29" t="s">
        <v>6</v>
      </c>
      <c r="C74" s="282"/>
      <c r="D74" s="76">
        <v>7.1283576452815742</v>
      </c>
      <c r="E74" s="76">
        <v>6.1222938123378228</v>
      </c>
      <c r="F74" s="66">
        <v>4.8</v>
      </c>
      <c r="G74" s="65"/>
      <c r="H74" s="76">
        <v>7.387406767239832</v>
      </c>
      <c r="I74" s="76">
        <v>6.1206531213867956</v>
      </c>
      <c r="J74" s="66">
        <v>4.8</v>
      </c>
      <c r="K74" s="67"/>
      <c r="L74" s="194">
        <v>0.39490058479532164</v>
      </c>
      <c r="M74" s="194">
        <v>0.71715117150450269</v>
      </c>
      <c r="N74" s="68">
        <v>1</v>
      </c>
      <c r="O74" s="56"/>
      <c r="P74" s="69"/>
    </row>
    <row r="75" spans="2:57" ht="15">
      <c r="B75" s="33" t="s">
        <v>9</v>
      </c>
      <c r="C75" s="65">
        <f>L63</f>
        <v>4.9484536082474193</v>
      </c>
      <c r="D75" s="76">
        <v>5.1853750213565721</v>
      </c>
      <c r="E75" s="76">
        <v>5.7200467929828971</v>
      </c>
      <c r="F75" s="66">
        <v>4.8</v>
      </c>
      <c r="G75" s="65">
        <f>[41]November_2025!$U$21</f>
        <v>2.4249612261655002</v>
      </c>
      <c r="H75" s="76">
        <v>3.6096118625802744</v>
      </c>
      <c r="I75" s="76">
        <v>6.2674198164664059</v>
      </c>
      <c r="J75" s="66">
        <v>4.8</v>
      </c>
      <c r="K75" s="67">
        <f>K63</f>
        <v>0.64701754385964916</v>
      </c>
      <c r="L75" s="194">
        <v>0.59464912280701754</v>
      </c>
      <c r="M75" s="194">
        <v>0.67381772220369407</v>
      </c>
      <c r="N75" s="68">
        <v>1</v>
      </c>
      <c r="P75" s="69"/>
    </row>
    <row r="76" spans="2:57" ht="15">
      <c r="B76" s="34" t="s">
        <v>40</v>
      </c>
      <c r="C76" s="65"/>
      <c r="D76" s="76">
        <v>6.2500000000000053</v>
      </c>
      <c r="E76" s="76">
        <v>10.839987110172206</v>
      </c>
      <c r="F76" s="66">
        <v>5.5</v>
      </c>
      <c r="G76" s="65"/>
      <c r="H76" s="76">
        <v>6.2847885309849998</v>
      </c>
      <c r="I76" s="76">
        <v>12.456668215153922</v>
      </c>
      <c r="J76" s="66">
        <v>5.5</v>
      </c>
      <c r="K76" s="67"/>
      <c r="L76" s="194">
        <v>0.31052631578947371</v>
      </c>
      <c r="M76" s="194">
        <v>0.5063309636650869</v>
      </c>
      <c r="N76" s="68">
        <v>1</v>
      </c>
      <c r="P76" s="69"/>
    </row>
    <row r="77" spans="2:57" ht="15">
      <c r="B77" s="22" t="s">
        <v>33</v>
      </c>
      <c r="C77" s="65"/>
      <c r="D77" s="76">
        <v>3.7833827893175105</v>
      </c>
      <c r="E77" s="76">
        <v>4.6226456706805745</v>
      </c>
      <c r="F77" s="66">
        <v>3.3</v>
      </c>
      <c r="G77" s="65"/>
      <c r="H77" s="76">
        <v>3.7421885632627285</v>
      </c>
      <c r="I77" s="76">
        <v>4.4171317623593813</v>
      </c>
      <c r="J77" s="66">
        <v>3.3</v>
      </c>
      <c r="K77" s="67"/>
      <c r="L77" s="194">
        <v>0.68263157894736837</v>
      </c>
      <c r="M77" s="194">
        <v>0.83111215538847116</v>
      </c>
      <c r="N77" s="68">
        <v>1</v>
      </c>
      <c r="P77" s="69"/>
    </row>
    <row r="78" spans="2:57" ht="15">
      <c r="B78" s="35" t="s">
        <v>164</v>
      </c>
      <c r="C78" s="65"/>
      <c r="D78" s="76"/>
      <c r="E78" s="76">
        <v>7.837301587301579</v>
      </c>
      <c r="F78" s="66">
        <v>3.3</v>
      </c>
      <c r="G78" s="282"/>
      <c r="H78" s="76"/>
      <c r="I78" s="76">
        <v>5.3377569154690221</v>
      </c>
      <c r="J78" s="66">
        <v>3</v>
      </c>
      <c r="K78" s="67"/>
      <c r="L78" s="194"/>
      <c r="M78" s="194">
        <v>0.32596491228070179</v>
      </c>
      <c r="N78" s="68">
        <v>1</v>
      </c>
      <c r="P78" s="69"/>
    </row>
    <row r="79" spans="2:57" ht="15">
      <c r="B79" s="36" t="s">
        <v>15</v>
      </c>
      <c r="C79" s="65"/>
      <c r="D79" s="76"/>
      <c r="E79" s="76">
        <v>6.8851328044153277</v>
      </c>
      <c r="F79" s="70">
        <f>[21]May_2022!$M$43</f>
        <v>3.4878406700073312</v>
      </c>
      <c r="G79" s="282"/>
      <c r="H79" s="76"/>
      <c r="I79" s="76">
        <v>8.6614709463340702</v>
      </c>
      <c r="J79" s="66">
        <v>5.5</v>
      </c>
      <c r="K79" s="67"/>
      <c r="L79" s="194"/>
      <c r="M79" s="194">
        <v>0.73160818713450293</v>
      </c>
      <c r="N79" s="68">
        <v>1</v>
      </c>
      <c r="P79" s="69"/>
    </row>
    <row r="80" spans="2:57" ht="15">
      <c r="B80" s="37" t="s">
        <v>16</v>
      </c>
      <c r="C80" s="65"/>
      <c r="D80" s="76">
        <v>2.6328862394436081</v>
      </c>
      <c r="E80" s="76">
        <v>2.9297033255778997</v>
      </c>
      <c r="F80" s="66">
        <v>3.3</v>
      </c>
      <c r="G80" s="282"/>
      <c r="H80" s="76">
        <v>2.6328862394435983</v>
      </c>
      <c r="I80" s="76">
        <v>4.2684292436723528</v>
      </c>
      <c r="J80" s="66">
        <v>3.3</v>
      </c>
      <c r="K80" s="67"/>
      <c r="L80" s="194">
        <v>0.68771929824561406</v>
      </c>
      <c r="M80" s="194">
        <v>0.84660147761842675</v>
      </c>
      <c r="N80" s="71">
        <v>1</v>
      </c>
      <c r="P80" s="69"/>
    </row>
    <row r="81" spans="2:16" ht="15.75" thickBot="1">
      <c r="B81" s="38" t="s">
        <v>163</v>
      </c>
      <c r="C81" s="65"/>
      <c r="D81" s="76"/>
      <c r="E81" s="76">
        <v>11.483253588516746</v>
      </c>
      <c r="F81" s="66">
        <v>7.5</v>
      </c>
      <c r="G81" s="282"/>
      <c r="H81" s="76"/>
      <c r="I81" s="76">
        <v>9.7934336121043764</v>
      </c>
      <c r="J81" s="66">
        <v>7.5</v>
      </c>
      <c r="K81" s="67"/>
      <c r="M81" s="194">
        <v>0.32456140350877194</v>
      </c>
      <c r="N81" s="71">
        <v>1</v>
      </c>
      <c r="P81" s="69"/>
    </row>
    <row r="82" spans="2:16" ht="15.75" thickBot="1">
      <c r="B82" s="414" t="s">
        <v>161</v>
      </c>
      <c r="C82" s="65"/>
      <c r="D82" s="76"/>
      <c r="E82" s="76">
        <v>7.2653644592663174</v>
      </c>
      <c r="F82" s="66">
        <v>4.8</v>
      </c>
      <c r="G82" s="282"/>
      <c r="H82" s="76"/>
      <c r="I82" s="76">
        <v>8.1715311054411259</v>
      </c>
      <c r="J82" s="66">
        <v>4.8</v>
      </c>
      <c r="K82" s="67"/>
      <c r="L82" s="194"/>
      <c r="M82" s="194">
        <v>0.51368421052631585</v>
      </c>
      <c r="N82" s="71">
        <v>1</v>
      </c>
      <c r="O82" s="74"/>
      <c r="P82" s="75"/>
    </row>
    <row r="83" spans="2:16" ht="15">
      <c r="D83" s="76">
        <v>5.9778615859332991</v>
      </c>
      <c r="E83" s="76">
        <v>6.1151873014250695</v>
      </c>
      <c r="F83" s="341">
        <v>5.5</v>
      </c>
      <c r="H83" s="76">
        <v>5.2931880926485908</v>
      </c>
      <c r="I83" s="76">
        <v>6.5895328613665427</v>
      </c>
      <c r="J83" s="341">
        <v>5.5</v>
      </c>
      <c r="L83" s="194">
        <v>0.49448431685273786</v>
      </c>
      <c r="M83" s="194">
        <v>0.69501749800876145</v>
      </c>
      <c r="N83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2:N32"/>
    <mergeCell ref="D33:E33"/>
    <mergeCell ref="B34:B45"/>
    <mergeCell ref="D34:E35"/>
    <mergeCell ref="D36:E37"/>
    <mergeCell ref="D38:E39"/>
    <mergeCell ref="D40:E41"/>
    <mergeCell ref="D42:E43"/>
    <mergeCell ref="D44:E45"/>
    <mergeCell ref="B46:B55"/>
    <mergeCell ref="D46:E47"/>
    <mergeCell ref="J46:K46"/>
    <mergeCell ref="L47:N47"/>
    <mergeCell ref="D48:E49"/>
    <mergeCell ref="D50:E51"/>
    <mergeCell ref="D52:E53"/>
    <mergeCell ref="D54:E55"/>
    <mergeCell ref="D56:E56"/>
    <mergeCell ref="B61:B62"/>
    <mergeCell ref="C61:C62"/>
    <mergeCell ref="D61:D62"/>
    <mergeCell ref="E61:E62"/>
    <mergeCell ref="M61:M62"/>
    <mergeCell ref="B72:F72"/>
    <mergeCell ref="G72:J72"/>
    <mergeCell ref="K72:N72"/>
    <mergeCell ref="G61:G62"/>
    <mergeCell ref="H61:H62"/>
    <mergeCell ref="I61:I62"/>
    <mergeCell ref="J61:J62"/>
    <mergeCell ref="K61:K62"/>
    <mergeCell ref="L61:L62"/>
    <mergeCell ref="F61:F62"/>
  </mergeCells>
  <conditionalFormatting sqref="B56:B57">
    <cfRule type="cellIs" dxfId="1851" priority="41" operator="notBetween">
      <formula>#REF!</formula>
      <formula>#REF!</formula>
    </cfRule>
  </conditionalFormatting>
  <conditionalFormatting sqref="C60">
    <cfRule type="cellIs" dxfId="1850" priority="191" stopIfTrue="1" operator="greaterThan">
      <formula>100</formula>
    </cfRule>
    <cfRule type="cellIs" dxfId="1849" priority="190" stopIfTrue="1" operator="lessThan">
      <formula>96</formula>
    </cfRule>
  </conditionalFormatting>
  <conditionalFormatting sqref="C74:C78">
    <cfRule type="cellIs" dxfId="1848" priority="144" stopIfTrue="1" operator="lessThanOrEqual">
      <formula>0</formula>
    </cfRule>
  </conditionalFormatting>
  <conditionalFormatting sqref="C74:C82">
    <cfRule type="cellIs" dxfId="1847" priority="143" stopIfTrue="1" operator="greaterThan">
      <formula>$F74</formula>
    </cfRule>
  </conditionalFormatting>
  <conditionalFormatting sqref="C75">
    <cfRule type="cellIs" dxfId="1846" priority="194" stopIfTrue="1" operator="greaterThan">
      <formula>$F74</formula>
    </cfRule>
  </conditionalFormatting>
  <conditionalFormatting sqref="C79">
    <cfRule type="cellIs" dxfId="1845" priority="84" stopIfTrue="1" operator="greaterThan">
      <formula>$F78</formula>
    </cfRule>
    <cfRule type="cellIs" dxfId="1844" priority="83" stopIfTrue="1" operator="lessThanOrEqual">
      <formula>0</formula>
    </cfRule>
  </conditionalFormatting>
  <conditionalFormatting sqref="C85:C89">
    <cfRule type="cellIs" dxfId="1843" priority="182" stopIfTrue="1" operator="lessThanOrEqual">
      <formula>0</formula>
    </cfRule>
  </conditionalFormatting>
  <conditionalFormatting sqref="C86:C89">
    <cfRule type="cellIs" dxfId="1842" priority="181" stopIfTrue="1" operator="greaterThan">
      <formula>$F$85</formula>
    </cfRule>
  </conditionalFormatting>
  <conditionalFormatting sqref="C91">
    <cfRule type="cellIs" dxfId="1841" priority="184" stopIfTrue="1" operator="lessThanOrEqual">
      <formula>0</formula>
    </cfRule>
    <cfRule type="cellIs" dxfId="1840" priority="183" stopIfTrue="1" operator="greaterThan">
      <formula>$F$85</formula>
    </cfRule>
  </conditionalFormatting>
  <conditionalFormatting sqref="C85:D85 D87:D93">
    <cfRule type="cellIs" dxfId="1839" priority="176" stopIfTrue="1" operator="greaterThan">
      <formula>4.5</formula>
    </cfRule>
  </conditionalFormatting>
  <conditionalFormatting sqref="D56:D57">
    <cfRule type="cellIs" dxfId="1838" priority="42" operator="notBetween">
      <formula>#REF!</formula>
      <formula>#REF!</formula>
    </cfRule>
  </conditionalFormatting>
  <conditionalFormatting sqref="D74:D81">
    <cfRule type="cellIs" dxfId="1837" priority="156" stopIfTrue="1" operator="lessThanOrEqual">
      <formula>0</formula>
    </cfRule>
  </conditionalFormatting>
  <conditionalFormatting sqref="D82">
    <cfRule type="cellIs" dxfId="1836" priority="155" stopIfTrue="1" operator="lessThanOrEqual">
      <formula>0</formula>
    </cfRule>
  </conditionalFormatting>
  <conditionalFormatting sqref="D85 D87:D93">
    <cfRule type="cellIs" dxfId="1835" priority="177" stopIfTrue="1" operator="lessThanOrEqual">
      <formula>0</formula>
    </cfRule>
  </conditionalFormatting>
  <conditionalFormatting sqref="D86">
    <cfRule type="cellIs" dxfId="1834" priority="169" stopIfTrue="1" operator="lessThanOrEqual">
      <formula>0</formula>
    </cfRule>
    <cfRule type="cellIs" dxfId="1833" priority="168" stopIfTrue="1" operator="greaterThan">
      <formula>$F$85</formula>
    </cfRule>
  </conditionalFormatting>
  <conditionalFormatting sqref="D74:E83">
    <cfRule type="cellIs" dxfId="1832" priority="141" stopIfTrue="1" operator="greaterThan">
      <formula>$F74</formula>
    </cfRule>
  </conditionalFormatting>
  <conditionalFormatting sqref="D83:E83">
    <cfRule type="cellIs" dxfId="1831" priority="142" stopIfTrue="1" operator="lessThanOrEqual">
      <formula>0</formula>
    </cfRule>
  </conditionalFormatting>
  <conditionalFormatting sqref="E10:E31">
    <cfRule type="cellIs" dxfId="1830" priority="32" operator="lessThan">
      <formula>48</formula>
    </cfRule>
  </conditionalFormatting>
  <conditionalFormatting sqref="E59 E60:F60">
    <cfRule type="cellIs" dxfId="1829" priority="173" stopIfTrue="1" operator="greaterThan">
      <formula>100</formula>
    </cfRule>
  </conditionalFormatting>
  <conditionalFormatting sqref="E60">
    <cfRule type="cellIs" dxfId="1828" priority="171" stopIfTrue="1" operator="greaterThan">
      <formula>100</formula>
    </cfRule>
    <cfRule type="cellIs" dxfId="1827" priority="170" stopIfTrue="1" operator="lessThan">
      <formula>96.8</formula>
    </cfRule>
  </conditionalFormatting>
  <conditionalFormatting sqref="E74:E82">
    <cfRule type="cellIs" dxfId="1826" priority="152" stopIfTrue="1" operator="lessThanOrEqual">
      <formula>0</formula>
    </cfRule>
  </conditionalFormatting>
  <conditionalFormatting sqref="E85:E93">
    <cfRule type="cellIs" dxfId="1825" priority="163" stopIfTrue="1" operator="lessThanOrEqual">
      <formula>0</formula>
    </cfRule>
    <cfRule type="cellIs" dxfId="1824" priority="162" stopIfTrue="1" operator="greaterThan">
      <formula>4.5</formula>
    </cfRule>
  </conditionalFormatting>
  <conditionalFormatting sqref="E60:F60 E59">
    <cfRule type="cellIs" dxfId="1823" priority="172" stopIfTrue="1" operator="lessThan">
      <formula>96.5</formula>
    </cfRule>
  </conditionalFormatting>
  <conditionalFormatting sqref="F10:F31">
    <cfRule type="cellIs" dxfId="1822" priority="33" operator="greaterThan">
      <formula>60</formula>
    </cfRule>
  </conditionalFormatting>
  <conditionalFormatting sqref="F60">
    <cfRule type="cellIs" dxfId="1821" priority="189" stopIfTrue="1" operator="greaterThan">
      <formula>100</formula>
    </cfRule>
    <cfRule type="cellIs" dxfId="1820" priority="188" stopIfTrue="1" operator="lessThan">
      <formula>96.8</formula>
    </cfRule>
  </conditionalFormatting>
  <conditionalFormatting sqref="F83">
    <cfRule type="cellIs" dxfId="1819" priority="154" stopIfTrue="1" operator="lessThanOrEqual">
      <formula>0</formula>
    </cfRule>
    <cfRule type="cellIs" dxfId="1818" priority="153" stopIfTrue="1" operator="greaterThan">
      <formula>$F83</formula>
    </cfRule>
  </conditionalFormatting>
  <conditionalFormatting sqref="G10:G20">
    <cfRule type="expression" dxfId="1817" priority="11">
      <formula>IF(+(IF(G10&lt;S10,0,IF(G10&gt;T10,0,1)))=0,1)</formula>
    </cfRule>
  </conditionalFormatting>
  <conditionalFormatting sqref="G74:G75 C80:C82">
    <cfRule type="cellIs" dxfId="1816" priority="158" stopIfTrue="1" operator="lessThanOrEqual">
      <formula>0</formula>
    </cfRule>
  </conditionalFormatting>
  <conditionalFormatting sqref="G74:G75">
    <cfRule type="cellIs" dxfId="1815" priority="157" stopIfTrue="1" operator="greaterThan">
      <formula>$F74</formula>
    </cfRule>
    <cfRule type="cellIs" dxfId="1814" priority="145" stopIfTrue="1" operator="greaterThan">
      <formula>$F74</formula>
    </cfRule>
    <cfRule type="cellIs" dxfId="1813" priority="146" stopIfTrue="1" operator="lessThanOrEqual">
      <formula>0</formula>
    </cfRule>
  </conditionalFormatting>
  <conditionalFormatting sqref="G76">
    <cfRule type="cellIs" dxfId="1812" priority="193" stopIfTrue="1" operator="lessThanOrEqual">
      <formula>0</formula>
    </cfRule>
    <cfRule type="cellIs" dxfId="1811" priority="192" stopIfTrue="1" operator="greaterThan">
      <formula>$F75</formula>
    </cfRule>
  </conditionalFormatting>
  <conditionalFormatting sqref="G77">
    <cfRule type="cellIs" dxfId="1810" priority="38" stopIfTrue="1" operator="lessThanOrEqual">
      <formula>0</formula>
    </cfRule>
    <cfRule type="cellIs" dxfId="1809" priority="39" stopIfTrue="1" operator="greaterThan">
      <formula>$F77</formula>
    </cfRule>
    <cfRule type="cellIs" dxfId="1808" priority="40" stopIfTrue="1" operator="lessThanOrEqual">
      <formula>0</formula>
    </cfRule>
    <cfRule type="cellIs" dxfId="1807" priority="37" stopIfTrue="1" operator="greaterThan">
      <formula>$F77</formula>
    </cfRule>
  </conditionalFormatting>
  <conditionalFormatting sqref="G78:G82">
    <cfRule type="cellIs" dxfId="1806" priority="159" stopIfTrue="1" operator="greaterThan">
      <formula>$J78</formula>
    </cfRule>
    <cfRule type="cellIs" dxfId="1805" priority="160" stopIfTrue="1" operator="lessThanOrEqual">
      <formula>0</formula>
    </cfRule>
  </conditionalFormatting>
  <conditionalFormatting sqref="G87:G92 C90 C92">
    <cfRule type="cellIs" dxfId="1804" priority="186" stopIfTrue="1" operator="lessThanOrEqual">
      <formula>0</formula>
    </cfRule>
    <cfRule type="cellIs" dxfId="1803" priority="185" stopIfTrue="1" operator="greaterThan">
      <formula>4.5</formula>
    </cfRule>
  </conditionalFormatting>
  <conditionalFormatting sqref="G86:H86">
    <cfRule type="cellIs" dxfId="1802" priority="167" stopIfTrue="1" operator="lessThanOrEqual">
      <formula>0</formula>
    </cfRule>
    <cfRule type="cellIs" dxfId="1801" priority="166" stopIfTrue="1" operator="greaterThan">
      <formula>$F$85</formula>
    </cfRule>
  </conditionalFormatting>
  <conditionalFormatting sqref="H45:H59 I47:I58">
    <cfRule type="cellIs" dxfId="1800" priority="164" stopIfTrue="1" operator="greaterThan">
      <formula>0</formula>
    </cfRule>
  </conditionalFormatting>
  <conditionalFormatting sqref="H63">
    <cfRule type="cellIs" dxfId="1799" priority="14" stopIfTrue="1" operator="lessThanOrEqual">
      <formula>0</formula>
    </cfRule>
    <cfRule type="cellIs" dxfId="1798" priority="15" stopIfTrue="1" operator="greaterThan">
      <formula>$F$74</formula>
    </cfRule>
    <cfRule type="cellIs" dxfId="1797" priority="23" stopIfTrue="1" operator="greaterThan">
      <formula>$F$77</formula>
    </cfRule>
    <cfRule type="cellIs" dxfId="1796" priority="25" stopIfTrue="1" operator="greaterThan">
      <formula>$F$75</formula>
    </cfRule>
    <cfRule type="cellIs" dxfId="1795" priority="26" stopIfTrue="1" operator="lessThanOrEqual">
      <formula>0</formula>
    </cfRule>
    <cfRule type="cellIs" dxfId="1794" priority="24" stopIfTrue="1" operator="lessThanOrEqual">
      <formula>0</formula>
    </cfRule>
  </conditionalFormatting>
  <conditionalFormatting sqref="H64">
    <cfRule type="cellIs" dxfId="1793" priority="109" stopIfTrue="1" operator="greaterThan">
      <formula>$F$32</formula>
    </cfRule>
    <cfRule type="cellIs" dxfId="1792" priority="101" stopIfTrue="1" operator="greaterThan">
      <formula>#REF!</formula>
    </cfRule>
    <cfRule type="cellIs" dxfId="1791" priority="100" stopIfTrue="1" operator="lessThanOrEqual">
      <formula>0</formula>
    </cfRule>
    <cfRule type="cellIs" dxfId="1790" priority="112" stopIfTrue="1" operator="lessThanOrEqual">
      <formula>0</formula>
    </cfRule>
    <cfRule type="cellIs" dxfId="1789" priority="111" stopIfTrue="1" operator="greaterThan">
      <formula>#REF!</formula>
    </cfRule>
    <cfRule type="cellIs" dxfId="1788" priority="110" stopIfTrue="1" operator="lessThanOrEqual">
      <formula>0</formula>
    </cfRule>
  </conditionalFormatting>
  <conditionalFormatting sqref="H65">
    <cfRule type="cellIs" dxfId="1787" priority="79" stopIfTrue="1" operator="greaterThan">
      <formula>$F$76</formula>
    </cfRule>
    <cfRule type="cellIs" dxfId="1786" priority="68" stopIfTrue="1" operator="lessThanOrEqual">
      <formula>0</formula>
    </cfRule>
    <cfRule type="cellIs" dxfId="1785" priority="69" stopIfTrue="1" operator="greaterThan">
      <formula>$F$75</formula>
    </cfRule>
    <cfRule type="cellIs" dxfId="1784" priority="78" stopIfTrue="1" operator="lessThanOrEqual">
      <formula>0</formula>
    </cfRule>
    <cfRule type="cellIs" dxfId="1783" priority="80" stopIfTrue="1" operator="lessThanOrEqual">
      <formula>0</formula>
    </cfRule>
    <cfRule type="cellIs" dxfId="1782" priority="77" stopIfTrue="1" operator="greaterThan">
      <formula>$F$78</formula>
    </cfRule>
  </conditionalFormatting>
  <conditionalFormatting sqref="H66:H67">
    <cfRule type="cellIs" dxfId="1781" priority="87" stopIfTrue="1" operator="greaterThan">
      <formula>#REF!</formula>
    </cfRule>
    <cfRule type="cellIs" dxfId="1780" priority="86" stopIfTrue="1" operator="lessThanOrEqual">
      <formula>0</formula>
    </cfRule>
    <cfRule type="cellIs" dxfId="1779" priority="95" stopIfTrue="1" operator="greaterThan">
      <formula>$F$31</formula>
    </cfRule>
    <cfRule type="cellIs" dxfId="1778" priority="96" stopIfTrue="1" operator="lessThanOrEqual">
      <formula>0</formula>
    </cfRule>
    <cfRule type="cellIs" dxfId="1777" priority="97" stopIfTrue="1" operator="greaterThan">
      <formula>#REF!</formula>
    </cfRule>
    <cfRule type="cellIs" dxfId="1776" priority="98" stopIfTrue="1" operator="lessThanOrEqual">
      <formula>0</formula>
    </cfRule>
  </conditionalFormatting>
  <conditionalFormatting sqref="H68">
    <cfRule type="cellIs" dxfId="1775" priority="126" stopIfTrue="1" operator="greaterThan">
      <formula>$F$45</formula>
    </cfRule>
    <cfRule type="cellIs" dxfId="1774" priority="127" stopIfTrue="1" operator="lessThanOrEqual">
      <formula>0</formula>
    </cfRule>
    <cfRule type="cellIs" dxfId="1773" priority="124" stopIfTrue="1" operator="greaterThan">
      <formula>$F$47</formula>
    </cfRule>
    <cfRule type="cellIs" dxfId="1772" priority="116" stopIfTrue="1" operator="greaterThan">
      <formula>$F$44</formula>
    </cfRule>
    <cfRule type="cellIs" dxfId="1771" priority="115" stopIfTrue="1" operator="lessThanOrEqual">
      <formula>0</formula>
    </cfRule>
    <cfRule type="cellIs" dxfId="1770" priority="125" stopIfTrue="1" operator="lessThanOrEqual">
      <formula>0</formula>
    </cfRule>
  </conditionalFormatting>
  <conditionalFormatting sqref="H69:H70">
    <cfRule type="cellIs" dxfId="1769" priority="62" stopIfTrue="1" operator="lessThanOrEqual">
      <formula>0</formula>
    </cfRule>
    <cfRule type="cellIs" dxfId="1768" priority="61" stopIfTrue="1" operator="greaterThan">
      <formula>$F$31</formula>
    </cfRule>
    <cfRule type="cellIs" dxfId="1767" priority="53" stopIfTrue="1" operator="greaterThan">
      <formula>#REF!</formula>
    </cfRule>
    <cfRule type="cellIs" dxfId="1766" priority="64" stopIfTrue="1" operator="lessThanOrEqual">
      <formula>0</formula>
    </cfRule>
    <cfRule type="cellIs" dxfId="1765" priority="63" stopIfTrue="1" operator="greaterThan">
      <formula>#REF!</formula>
    </cfRule>
    <cfRule type="cellIs" dxfId="1764" priority="52" stopIfTrue="1" operator="lessThanOrEqual">
      <formula>0</formula>
    </cfRule>
  </conditionalFormatting>
  <conditionalFormatting sqref="H74:H81">
    <cfRule type="cellIs" dxfId="1763" priority="148" stopIfTrue="1" operator="lessThanOrEqual">
      <formula>0</formula>
    </cfRule>
    <cfRule type="cellIs" dxfId="1762" priority="147" stopIfTrue="1" operator="greaterThan">
      <formula>$J74</formula>
    </cfRule>
  </conditionalFormatting>
  <conditionalFormatting sqref="H82">
    <cfRule type="cellIs" dxfId="1761" priority="149" operator="greaterThan">
      <formula>5.3</formula>
    </cfRule>
  </conditionalFormatting>
  <conditionalFormatting sqref="H85 H87:H93">
    <cfRule type="cellIs" dxfId="1760" priority="179" stopIfTrue="1" operator="lessThanOrEqual">
      <formula>0</formula>
    </cfRule>
    <cfRule type="cellIs" dxfId="1759" priority="178" stopIfTrue="1" operator="greaterThan">
      <formula>4.5</formula>
    </cfRule>
  </conditionalFormatting>
  <conditionalFormatting sqref="H63:I63">
    <cfRule type="cellIs" dxfId="1758" priority="13" stopIfTrue="1" operator="greaterThan">
      <formula>$F$76</formula>
    </cfRule>
    <cfRule type="cellIs" dxfId="1757" priority="16" stopIfTrue="1" operator="lessThanOrEqual">
      <formula>0</formula>
    </cfRule>
  </conditionalFormatting>
  <conditionalFormatting sqref="H64:I64">
    <cfRule type="cellIs" dxfId="1756" priority="102" stopIfTrue="1" operator="lessThanOrEqual">
      <formula>0</formula>
    </cfRule>
    <cfRule type="cellIs" dxfId="1755" priority="99" stopIfTrue="1" operator="greaterThan">
      <formula>$F$31</formula>
    </cfRule>
  </conditionalFormatting>
  <conditionalFormatting sqref="H65:I65">
    <cfRule type="cellIs" dxfId="1754" priority="67" stopIfTrue="1" operator="greaterThan">
      <formula>$F$77</formula>
    </cfRule>
    <cfRule type="cellIs" dxfId="1753" priority="70" stopIfTrue="1" operator="lessThanOrEqual">
      <formula>0</formula>
    </cfRule>
  </conditionalFormatting>
  <conditionalFormatting sqref="H66:I67">
    <cfRule type="cellIs" dxfId="1752" priority="88" stopIfTrue="1" operator="lessThanOrEqual">
      <formula>0</formula>
    </cfRule>
    <cfRule type="cellIs" dxfId="1751" priority="85" stopIfTrue="1" operator="greaterThan">
      <formula>#REF!</formula>
    </cfRule>
  </conditionalFormatting>
  <conditionalFormatting sqref="H68:I68">
    <cfRule type="cellIs" dxfId="1750" priority="114" stopIfTrue="1" operator="greaterThan">
      <formula>$F$46</formula>
    </cfRule>
    <cfRule type="cellIs" dxfId="1749" priority="117" stopIfTrue="1" operator="lessThanOrEqual">
      <formula>0</formula>
    </cfRule>
  </conditionalFormatting>
  <conditionalFormatting sqref="H69:I70">
    <cfRule type="cellIs" dxfId="1748" priority="54" stopIfTrue="1" operator="lessThanOrEqual">
      <formula>0</formula>
    </cfRule>
    <cfRule type="cellIs" dxfId="1747" priority="51" stopIfTrue="1" operator="greaterThan">
      <formula>#REF!</formula>
    </cfRule>
  </conditionalFormatting>
  <conditionalFormatting sqref="H83:I83">
    <cfRule type="cellIs" dxfId="1746" priority="139" stopIfTrue="1" operator="greaterThan">
      <formula>$J83</formula>
    </cfRule>
    <cfRule type="cellIs" dxfId="1745" priority="140" stopIfTrue="1" operator="lessThanOrEqual">
      <formula>0</formula>
    </cfRule>
  </conditionalFormatting>
  <conditionalFormatting sqref="I63">
    <cfRule type="cellIs" dxfId="1744" priority="18" stopIfTrue="1" operator="lessThanOrEqual">
      <formula>0</formula>
    </cfRule>
    <cfRule type="cellIs" dxfId="1743" priority="20" stopIfTrue="1" operator="lessThanOrEqual">
      <formula>0</formula>
    </cfRule>
    <cfRule type="cellIs" dxfId="1742" priority="17" stopIfTrue="1" operator="greaterThan">
      <formula>$F$74</formula>
    </cfRule>
    <cfRule type="cellIs" dxfId="1741" priority="19" stopIfTrue="1" operator="greaterThan">
      <formula>$F$76</formula>
    </cfRule>
    <cfRule type="cellIs" dxfId="1740" priority="21" stopIfTrue="1" operator="greaterThan">
      <formula>$F$74</formula>
    </cfRule>
    <cfRule type="cellIs" dxfId="1739" priority="22" stopIfTrue="1" operator="lessThanOrEqual">
      <formula>0</formula>
    </cfRule>
  </conditionalFormatting>
  <conditionalFormatting sqref="I64">
    <cfRule type="cellIs" dxfId="1738" priority="103" stopIfTrue="1" operator="greaterThan">
      <formula>#REF!</formula>
    </cfRule>
    <cfRule type="cellIs" dxfId="1737" priority="107" stopIfTrue="1" operator="greaterThan">
      <formula>#REF!</formula>
    </cfRule>
    <cfRule type="cellIs" dxfId="1736" priority="104" stopIfTrue="1" operator="lessThanOrEqual">
      <formula>0</formula>
    </cfRule>
    <cfRule type="cellIs" dxfId="1735" priority="105" stopIfTrue="1" operator="greaterThan">
      <formula>$F$31</formula>
    </cfRule>
    <cfRule type="cellIs" dxfId="1734" priority="106" stopIfTrue="1" operator="lessThanOrEqual">
      <formula>0</formula>
    </cfRule>
    <cfRule type="cellIs" dxfId="1733" priority="108" stopIfTrue="1" operator="lessThanOrEqual">
      <formula>0</formula>
    </cfRule>
  </conditionalFormatting>
  <conditionalFormatting sqref="I65">
    <cfRule type="cellIs" dxfId="1732" priority="72" stopIfTrue="1" operator="lessThanOrEqual">
      <formula>0</formula>
    </cfRule>
    <cfRule type="cellIs" dxfId="1731" priority="71" stopIfTrue="1" operator="greaterThan">
      <formula>$F$75</formula>
    </cfRule>
    <cfRule type="cellIs" dxfId="1730" priority="76" stopIfTrue="1" operator="lessThanOrEqual">
      <formula>0</formula>
    </cfRule>
    <cfRule type="cellIs" dxfId="1729" priority="75" stopIfTrue="1" operator="greaterThan">
      <formula>$F$75</formula>
    </cfRule>
    <cfRule type="cellIs" dxfId="1728" priority="74" stopIfTrue="1" operator="lessThanOrEqual">
      <formula>0</formula>
    </cfRule>
    <cfRule type="cellIs" dxfId="1727" priority="73" stopIfTrue="1" operator="greaterThan">
      <formula>$F$77</formula>
    </cfRule>
  </conditionalFormatting>
  <conditionalFormatting sqref="I66:I67">
    <cfRule type="cellIs" dxfId="1726" priority="89" stopIfTrue="1" operator="greaterThan">
      <formula>#REF!</formula>
    </cfRule>
    <cfRule type="cellIs" dxfId="1725" priority="94" stopIfTrue="1" operator="lessThanOrEqual">
      <formula>0</formula>
    </cfRule>
    <cfRule type="cellIs" dxfId="1724" priority="93" stopIfTrue="1" operator="greaterThan">
      <formula>#REF!</formula>
    </cfRule>
    <cfRule type="cellIs" dxfId="1723" priority="92" stopIfTrue="1" operator="lessThanOrEqual">
      <formula>0</formula>
    </cfRule>
    <cfRule type="cellIs" dxfId="1722" priority="91" stopIfTrue="1" operator="greaterThan">
      <formula>#REF!</formula>
    </cfRule>
    <cfRule type="cellIs" dxfId="1721" priority="90" stopIfTrue="1" operator="lessThanOrEqual">
      <formula>0</formula>
    </cfRule>
  </conditionalFormatting>
  <conditionalFormatting sqref="I68">
    <cfRule type="cellIs" dxfId="1720" priority="120" stopIfTrue="1" operator="greaterThan">
      <formula>$F$46</formula>
    </cfRule>
    <cfRule type="cellIs" dxfId="1719" priority="118" stopIfTrue="1" operator="greaterThan">
      <formula>$F$44</formula>
    </cfRule>
    <cfRule type="cellIs" dxfId="1718" priority="123" stopIfTrue="1" operator="lessThanOrEqual">
      <formula>0</formula>
    </cfRule>
    <cfRule type="cellIs" dxfId="1717" priority="122" stopIfTrue="1" operator="greaterThan">
      <formula>$F$44</formula>
    </cfRule>
    <cfRule type="cellIs" dxfId="1716" priority="121" stopIfTrue="1" operator="lessThanOrEqual">
      <formula>0</formula>
    </cfRule>
    <cfRule type="cellIs" dxfId="1715" priority="119" stopIfTrue="1" operator="lessThanOrEqual">
      <formula>0</formula>
    </cfRule>
  </conditionalFormatting>
  <conditionalFormatting sqref="I69:I70">
    <cfRule type="cellIs" dxfId="1714" priority="57" stopIfTrue="1" operator="greaterThan">
      <formula>#REF!</formula>
    </cfRule>
    <cfRule type="cellIs" dxfId="1713" priority="56" stopIfTrue="1" operator="lessThanOrEqual">
      <formula>0</formula>
    </cfRule>
    <cfRule type="cellIs" dxfId="1712" priority="60" stopIfTrue="1" operator="lessThanOrEqual">
      <formula>0</formula>
    </cfRule>
    <cfRule type="cellIs" dxfId="1711" priority="59" stopIfTrue="1" operator="greaterThan">
      <formula>#REF!</formula>
    </cfRule>
    <cfRule type="cellIs" dxfId="1710" priority="58" stopIfTrue="1" operator="lessThanOrEqual">
      <formula>0</formula>
    </cfRule>
    <cfRule type="cellIs" dxfId="1709" priority="55" stopIfTrue="1" operator="greaterThan">
      <formula>#REF!</formula>
    </cfRule>
  </conditionalFormatting>
  <conditionalFormatting sqref="I74:I82">
    <cfRule type="cellIs" dxfId="1708" priority="150" stopIfTrue="1" operator="greaterThan">
      <formula>$J74</formula>
    </cfRule>
    <cfRule type="cellIs" dxfId="1707" priority="151" stopIfTrue="1" operator="lessThanOrEqual">
      <formula>0</formula>
    </cfRule>
  </conditionalFormatting>
  <conditionalFormatting sqref="I85:I93">
    <cfRule type="cellIs" dxfId="1706" priority="175" stopIfTrue="1" operator="lessThanOrEqual">
      <formula>0</formula>
    </cfRule>
    <cfRule type="cellIs" dxfId="1705" priority="174" stopIfTrue="1" operator="greaterThan">
      <formula>4.5</formula>
    </cfRule>
  </conditionalFormatting>
  <conditionalFormatting sqref="I10:J31">
    <cfRule type="cellIs" dxfId="1704" priority="28" operator="lessThan">
      <formula>97.9</formula>
    </cfRule>
  </conditionalFormatting>
  <conditionalFormatting sqref="J35:J36">
    <cfRule type="cellIs" dxfId="1703" priority="131" operator="lessThan">
      <formula>98</formula>
    </cfRule>
    <cfRule type="cellIs" dxfId="1702" priority="129" stopIfTrue="1" operator="lessThan">
      <formula>96.8</formula>
    </cfRule>
    <cfRule type="cellIs" dxfId="1701" priority="130" stopIfTrue="1" operator="greaterThan">
      <formula>100</formula>
    </cfRule>
  </conditionalFormatting>
  <conditionalFormatting sqref="J35:J38">
    <cfRule type="cellIs" dxfId="1700" priority="128" operator="lessThan">
      <formula>97.4</formula>
    </cfRule>
  </conditionalFormatting>
  <conditionalFormatting sqref="J39:J40">
    <cfRule type="cellIs" dxfId="1699" priority="132" operator="lessThan">
      <formula>98</formula>
    </cfRule>
  </conditionalFormatting>
  <conditionalFormatting sqref="J41:J42">
    <cfRule type="cellIs" dxfId="1698" priority="133" stopIfTrue="1" operator="lessThan">
      <formula>96.8</formula>
    </cfRule>
    <cfRule type="cellIs" dxfId="1697" priority="134" stopIfTrue="1" operator="greaterThan">
      <formula>100</formula>
    </cfRule>
  </conditionalFormatting>
  <conditionalFormatting sqref="J41:J43">
    <cfRule type="cellIs" dxfId="1696" priority="135" operator="lessThan">
      <formula>98</formula>
    </cfRule>
  </conditionalFormatting>
  <conditionalFormatting sqref="J70">
    <cfRule type="cellIs" dxfId="1695" priority="46" stopIfTrue="1" operator="lessThanOrEqual">
      <formula>0</formula>
    </cfRule>
    <cfRule type="cellIs" dxfId="1694" priority="43" stopIfTrue="1" operator="greaterThan">
      <formula>#REF!</formula>
    </cfRule>
    <cfRule type="cellIs" dxfId="1693" priority="50" stopIfTrue="1" operator="lessThanOrEqual">
      <formula>0</formula>
    </cfRule>
    <cfRule type="cellIs" dxfId="1692" priority="49" stopIfTrue="1" operator="greaterThan">
      <formula>#REF!</formula>
    </cfRule>
    <cfRule type="cellIs" dxfId="1691" priority="48" stopIfTrue="1" operator="lessThanOrEqual">
      <formula>0</formula>
    </cfRule>
    <cfRule type="cellIs" dxfId="1690" priority="47" stopIfTrue="1" operator="greaterThan">
      <formula>#REF!</formula>
    </cfRule>
    <cfRule type="cellIs" dxfId="1689" priority="45" stopIfTrue="1" operator="greaterThan">
      <formula>#REF!</formula>
    </cfRule>
    <cfRule type="cellIs" dxfId="1688" priority="44" stopIfTrue="1" operator="lessThanOrEqual">
      <formula>0</formula>
    </cfRule>
  </conditionalFormatting>
  <conditionalFormatting sqref="J83">
    <cfRule type="cellIs" dxfId="1687" priority="136" stopIfTrue="1" operator="greaterThan">
      <formula>$F83</formula>
    </cfRule>
    <cfRule type="cellIs" dxfId="1686" priority="137" stopIfTrue="1" operator="lessThanOrEqual">
      <formula>0</formula>
    </cfRule>
  </conditionalFormatting>
  <conditionalFormatting sqref="K10:K31">
    <cfRule type="cellIs" dxfId="1685" priority="31" operator="greaterThan">
      <formula>6.4</formula>
    </cfRule>
    <cfRule type="cellIs" dxfId="1684" priority="30" operator="lessThan">
      <formula>4</formula>
    </cfRule>
    <cfRule type="cellIs" dxfId="1683" priority="29" operator="greaterThan">
      <formula>6</formula>
    </cfRule>
  </conditionalFormatting>
  <conditionalFormatting sqref="K63:K70 K74:N80 K81 M81:N81 K82:N82">
    <cfRule type="cellIs" dxfId="1682" priority="113" stopIfTrue="1" operator="lessThan">
      <formula>100%</formula>
    </cfRule>
  </conditionalFormatting>
  <conditionalFormatting sqref="K85:K90">
    <cfRule type="cellIs" dxfId="1681" priority="180" stopIfTrue="1" operator="lessThan">
      <formula>100%</formula>
    </cfRule>
  </conditionalFormatting>
  <conditionalFormatting sqref="K92:K93">
    <cfRule type="cellIs" dxfId="1680" priority="187" stopIfTrue="1" operator="lessThan">
      <formula>100%</formula>
    </cfRule>
  </conditionalFormatting>
  <conditionalFormatting sqref="L10:L20 L31">
    <cfRule type="cellIs" dxfId="1679" priority="65" operator="between">
      <formula>61</formula>
      <formula>65</formula>
    </cfRule>
    <cfRule type="cellIs" dxfId="1678" priority="66" operator="greaterThan">
      <formula>65</formula>
    </cfRule>
  </conditionalFormatting>
  <conditionalFormatting sqref="L21:M30">
    <cfRule type="cellIs" dxfId="1677" priority="34" operator="between">
      <formula>61</formula>
      <formula>65</formula>
    </cfRule>
    <cfRule type="cellIs" dxfId="1676" priority="35" operator="greaterThan">
      <formula>65</formula>
    </cfRule>
  </conditionalFormatting>
  <conditionalFormatting sqref="L34:M45">
    <cfRule type="cellIs" dxfId="1675" priority="81" operator="lessThan">
      <formula>97.95</formula>
    </cfRule>
  </conditionalFormatting>
  <conditionalFormatting sqref="L49:N49">
    <cfRule type="cellIs" dxfId="1674" priority="82" operator="notEqual">
      <formula>#REF!</formula>
    </cfRule>
  </conditionalFormatting>
  <conditionalFormatting sqref="L83:N83">
    <cfRule type="cellIs" dxfId="1673" priority="138" stopIfTrue="1" operator="lessThan">
      <formula>100%</formula>
    </cfRule>
  </conditionalFormatting>
  <conditionalFormatting sqref="L85:N93">
    <cfRule type="cellIs" dxfId="1672" priority="165" stopIfTrue="1" operator="lessThan">
      <formula>100%</formula>
    </cfRule>
  </conditionalFormatting>
  <conditionalFormatting sqref="M10:M20">
    <cfRule type="expression" dxfId="1671" priority="10">
      <formula>IF(+(IF(M10&lt;U10,0,IF(M10&gt;V10,0,1)))=0,1)</formula>
    </cfRule>
  </conditionalFormatting>
  <conditionalFormatting sqref="M21:M30 H10:H20 G21:H31">
    <cfRule type="expression" dxfId="1670" priority="36">
      <formula>IF(+(IF(G10&lt;#REF!,0,IF(G10&gt;#REF!,0,1)))=0,1)</formula>
    </cfRule>
  </conditionalFormatting>
  <conditionalFormatting sqref="M31:N31">
    <cfRule type="expression" dxfId="1669" priority="195">
      <formula>IF(+(IF(M31&lt;#REF!,0,IF(M31&gt;#REF!,0,1)))=0,1)</formula>
    </cfRule>
  </conditionalFormatting>
  <conditionalFormatting sqref="N10:N30">
    <cfRule type="expression" dxfId="1668" priority="27">
      <formula>IF(+(IF(N10&lt;W10,0,IF(N10&gt;X10,0,1)))=0,1)</formula>
    </cfRule>
  </conditionalFormatting>
  <conditionalFormatting sqref="P6">
    <cfRule type="cellIs" dxfId="1667" priority="161" operator="greaterThanOrEqual">
      <formula>19</formula>
    </cfRule>
  </conditionalFormatting>
  <dataValidations count="1">
    <dataValidation type="list" allowBlank="1" showInputMessage="1" showErrorMessage="1" sqref="R8" xr:uid="{22E3BDCD-41DA-49B7-9CF0-87A405F2F1E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7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F7C5-E4BB-4C58-9D68-247B6BE119FD}">
  <sheetPr>
    <pageSetUpPr fitToPage="1"/>
  </sheetPr>
  <dimension ref="A1:BE74"/>
  <sheetViews>
    <sheetView topLeftCell="A8" zoomScale="80" zoomScaleNormal="80" workbookViewId="0">
      <selection activeCell="B14" sqref="B14:O14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45981</v>
      </c>
      <c r="J4" s="398" t="s">
        <v>194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193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9" t="s">
        <v>6</v>
      </c>
      <c r="C10" s="366" t="str">
        <f>[24]Brewhouse!$A968</f>
        <v>CA853</v>
      </c>
      <c r="D10" s="279">
        <f>[24]Brewhouse!$AF968</f>
        <v>53.4</v>
      </c>
      <c r="E10" s="279">
        <f>[24]Brewhouse!$AI968</f>
        <v>51.6</v>
      </c>
      <c r="F10" s="278">
        <f>[24]Brewhouse!$V968</f>
        <v>64</v>
      </c>
      <c r="G10" s="279">
        <f>[24]Brewhouse!AG968</f>
        <v>11.6</v>
      </c>
      <c r="H10" s="476">
        <v>11.5</v>
      </c>
      <c r="I10" s="368">
        <f>[24]Brewhouse!$AU968</f>
        <v>98.30049195640197</v>
      </c>
      <c r="J10" s="368">
        <f>[24]Brewhouse!$AV968</f>
        <v>98.810344884683204</v>
      </c>
      <c r="K10" s="281">
        <f>[24]Brewhouse!$Q968</f>
        <v>0.79096045197740439</v>
      </c>
      <c r="L10" s="276">
        <f>[24]Brewhouse!$P968</f>
        <v>63</v>
      </c>
      <c r="M10" s="397">
        <f>[24]Brewhouse!$U968-[24]Brewhouse!$T968</f>
        <v>0.11111111111111116</v>
      </c>
      <c r="N10" s="370">
        <f>[24]Brewhouse!$Z968</f>
        <v>0.26041666666666669</v>
      </c>
      <c r="O10" s="421" t="str">
        <f>[24]Brewhouse!$AX968</f>
        <v>R. Regis</v>
      </c>
      <c r="P10" s="418"/>
      <c r="R10" s="277" t="str">
        <f t="shared" ref="R10:R36" si="0">B10</f>
        <v>CARIB</v>
      </c>
      <c r="S10" s="296">
        <f t="shared" ref="S10:S36" si="1">VLOOKUP($B10,$R$3:$X$9,2,FALSE)</f>
        <v>11.6</v>
      </c>
      <c r="T10" s="296">
        <f t="shared" ref="T10:T36" si="2">VLOOKUP($B10,$R$3:$X$9,3,FALSE)</f>
        <v>12</v>
      </c>
      <c r="U10" s="297">
        <f t="shared" ref="U10:U36" si="3">VLOOKUP($B10,$R$3:$X$9,4,FALSE)</f>
        <v>0</v>
      </c>
      <c r="V10" s="297">
        <f t="shared" ref="V10:V36" si="4">VLOOKUP($B10,$R$3:$X$9,5,FALSE)</f>
        <v>0.118055555555556</v>
      </c>
      <c r="W10" s="297">
        <f t="shared" ref="W10:W36" si="5">VLOOKUP($B10,$R$3:$X$9,6,FALSE)</f>
        <v>0.22569444444444445</v>
      </c>
      <c r="X10" s="297">
        <f t="shared" ref="X10:X36" si="6">VLOOKUP($B10,$R$3:$X$9,7,FALSE)</f>
        <v>0.2638888888888889</v>
      </c>
      <c r="Y10" s="297">
        <f t="shared" ref="Y10:Y36" si="7">VLOOKUP($B10,$R$3:$Z$9,8,FALSE)</f>
        <v>0</v>
      </c>
      <c r="Z10" s="296">
        <f t="shared" ref="Z10:Z36" si="8">VLOOKUP($B10,$R$3:$Z$9,9,FALSE)</f>
        <v>60</v>
      </c>
    </row>
    <row r="11" spans="2:29" ht="15" customHeight="1">
      <c r="B11" s="29" t="s">
        <v>6</v>
      </c>
      <c r="C11" s="366" t="str">
        <f>[24]Brewhouse!$A969</f>
        <v>CA854</v>
      </c>
      <c r="D11" s="279">
        <f>[24]Brewhouse!$AF969</f>
        <v>53.5</v>
      </c>
      <c r="E11" s="279">
        <f>[24]Brewhouse!$AI969</f>
        <v>50.89</v>
      </c>
      <c r="F11" s="278">
        <f>[24]Brewhouse!$V969</f>
        <v>64</v>
      </c>
      <c r="G11" s="279">
        <f>[24]Brewhouse!AG969</f>
        <v>11.8</v>
      </c>
      <c r="H11" s="396">
        <v>11.9</v>
      </c>
      <c r="I11" s="368">
        <f>[24]Brewhouse!$AU969</f>
        <v>99.68450820326548</v>
      </c>
      <c r="J11" s="368">
        <f>[24]Brewhouse!$AV969</f>
        <v>100.20120832474792</v>
      </c>
      <c r="K11" s="281">
        <f>[24]Brewhouse!$Q969</f>
        <v>1.3559322033898284</v>
      </c>
      <c r="L11" s="276">
        <f>[24]Brewhouse!$P969</f>
        <v>57</v>
      </c>
      <c r="M11" s="397">
        <f>[24]Brewhouse!$U969-[24]Brewhouse!$T969</f>
        <v>0.13472222222222224</v>
      </c>
      <c r="N11" s="370">
        <f>[24]Brewhouse!$Z969</f>
        <v>0.30555555555555558</v>
      </c>
      <c r="O11" s="421" t="str">
        <f>[24]Brewhouse!$AX969</f>
        <v>R.Sookram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/>
      <c r="C12" s="366"/>
      <c r="D12" s="279"/>
      <c r="E12" s="279"/>
      <c r="F12" s="278"/>
      <c r="G12" s="279"/>
      <c r="H12" s="476"/>
      <c r="I12" s="368"/>
      <c r="J12" s="368"/>
      <c r="K12" s="281"/>
      <c r="L12" s="276"/>
      <c r="M12" s="397"/>
      <c r="N12" s="370"/>
      <c r="O12" s="421"/>
      <c r="P12" s="418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customHeight="1">
      <c r="B13" s="33" t="s">
        <v>9</v>
      </c>
      <c r="C13" s="366" t="str">
        <f>[25]Brewhouse!$A471</f>
        <v>ST447</v>
      </c>
      <c r="D13" s="279">
        <f>[25]Brewhouse!$AD471</f>
        <v>54.4</v>
      </c>
      <c r="E13" s="279">
        <f>[25]Brewhouse!$AG471</f>
        <v>52.3</v>
      </c>
      <c r="F13" s="278">
        <f>[25]Brewhouse!$V471</f>
        <v>67</v>
      </c>
      <c r="G13" s="279">
        <f>[25]Brewhouse!$AE471</f>
        <v>12</v>
      </c>
      <c r="H13" s="396">
        <v>12</v>
      </c>
      <c r="I13" s="420">
        <f>[25]Brewhouse!$AS471</f>
        <v>91.014361605375811</v>
      </c>
      <c r="J13" s="420">
        <f>[25]Brewhouse!$AT471</f>
        <v>91.426954054757189</v>
      </c>
      <c r="K13" s="281">
        <f>[25]Brewhouse!$Q471</f>
        <v>11.490384615384617</v>
      </c>
      <c r="L13" s="276">
        <f>[25]Brewhouse!$P471</f>
        <v>59</v>
      </c>
      <c r="M13" s="374">
        <f>[25]Brewhouse!$U471-[25]Brewhouse!$T471</f>
        <v>0.12222222222222223</v>
      </c>
      <c r="N13" s="370">
        <f>[25]Brewhouse!$AW471</f>
        <v>0.24722222222222223</v>
      </c>
      <c r="O13" s="421" t="str">
        <f>[25]Brewhouse!$AV471</f>
        <v>K. Benjamin</v>
      </c>
      <c r="P13" s="418"/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33" t="s">
        <v>9</v>
      </c>
      <c r="C14" s="366" t="str">
        <f>[25]Brewhouse!$A472</f>
        <v>ST448</v>
      </c>
      <c r="D14" s="279">
        <f>[25]Brewhouse!$AD472</f>
        <v>51.9</v>
      </c>
      <c r="E14" s="279">
        <f>[25]Brewhouse!$AG472</f>
        <v>51.8</v>
      </c>
      <c r="F14" s="278">
        <f>[25]Brewhouse!$V472</f>
        <v>64</v>
      </c>
      <c r="G14" s="279">
        <f>[25]Brewhouse!$AE472</f>
        <v>12</v>
      </c>
      <c r="H14" s="396">
        <v>12</v>
      </c>
      <c r="I14" s="420">
        <f>[25]Brewhouse!$AS472</f>
        <v>97.400676484741709</v>
      </c>
      <c r="J14" s="420">
        <f>[25]Brewhouse!$AT472</f>
        <v>97.834471282913213</v>
      </c>
      <c r="K14" s="281">
        <f>[25]Brewhouse!$Q472</f>
        <v>12.06730769230769</v>
      </c>
      <c r="L14" s="276">
        <f>[25]Brewhouse!$P472</f>
        <v>61</v>
      </c>
      <c r="M14" s="374">
        <f>[25]Brewhouse!$U472-[25]Brewhouse!$T472</f>
        <v>0.12291666666666667</v>
      </c>
      <c r="N14" s="370">
        <f>[25]Brewhouse!$AW472</f>
        <v>0.25555555555555565</v>
      </c>
      <c r="O14" s="421" t="str">
        <f>[25]Brewhouse!$AV472</f>
        <v>K. Benjamin</v>
      </c>
      <c r="P14" s="418"/>
      <c r="R14" s="277" t="str">
        <f t="shared" si="0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33"/>
      <c r="C15" s="366"/>
      <c r="D15" s="279"/>
      <c r="E15" s="279"/>
      <c r="F15" s="278"/>
      <c r="G15" s="279"/>
      <c r="H15" s="396"/>
      <c r="I15" s="420"/>
      <c r="J15" s="420"/>
      <c r="K15" s="281"/>
      <c r="L15" s="276"/>
      <c r="M15" s="374"/>
      <c r="N15" s="370"/>
      <c r="O15" s="421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33"/>
      <c r="C16" s="366"/>
      <c r="D16" s="279"/>
      <c r="E16" s="279"/>
      <c r="F16" s="278"/>
      <c r="G16" s="279"/>
      <c r="H16" s="396"/>
      <c r="I16" s="420"/>
      <c r="J16" s="420"/>
      <c r="K16" s="281"/>
      <c r="L16" s="276"/>
      <c r="M16" s="374"/>
      <c r="N16" s="370"/>
      <c r="O16" s="42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.75" customHeight="1">
      <c r="B17" s="33"/>
      <c r="C17" s="366"/>
      <c r="D17" s="279"/>
      <c r="E17" s="279"/>
      <c r="F17" s="278"/>
      <c r="G17" s="279"/>
      <c r="H17" s="396"/>
      <c r="I17" s="420"/>
      <c r="J17" s="420"/>
      <c r="K17" s="281"/>
      <c r="L17" s="276"/>
      <c r="M17" s="374"/>
      <c r="N17" s="370"/>
      <c r="O17" s="42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.75" hidden="1" customHeight="1">
      <c r="B18" s="33"/>
      <c r="C18" s="366"/>
      <c r="D18" s="279"/>
      <c r="E18" s="279"/>
      <c r="F18" s="278"/>
      <c r="G18" s="279"/>
      <c r="H18" s="396"/>
      <c r="I18" s="420"/>
      <c r="J18" s="420"/>
      <c r="K18" s="281"/>
      <c r="L18" s="276"/>
      <c r="M18" s="374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.75" hidden="1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.75" hidden="1" customHeight="1">
      <c r="B20" s="33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hidden="1" customHeight="1">
      <c r="B21" s="33"/>
      <c r="C21" s="366"/>
      <c r="D21" s="279"/>
      <c r="E21" s="279"/>
      <c r="F21" s="278"/>
      <c r="G21" s="279"/>
      <c r="H21" s="396"/>
      <c r="I21" s="420"/>
      <c r="J21" s="420"/>
      <c r="K21" s="281"/>
      <c r="L21" s="276"/>
      <c r="M21" s="374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12"/>
      <c r="J23" s="512"/>
      <c r="K23" s="512"/>
      <c r="L23" s="512"/>
      <c r="M23" s="512"/>
      <c r="N23" s="512"/>
      <c r="O23" s="1"/>
      <c r="P23" s="12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customHeight="1" thickBot="1">
      <c r="B24" s="388" t="s">
        <v>162</v>
      </c>
      <c r="C24" s="388"/>
      <c r="D24" s="490" t="s">
        <v>35</v>
      </c>
      <c r="E24" s="491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0"/>
        <v xml:space="preserve">BRAND 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" customHeight="1">
      <c r="A25" s="28"/>
      <c r="B25" s="589" t="s">
        <v>131</v>
      </c>
      <c r="C25" s="362"/>
      <c r="D25" s="516"/>
      <c r="E25" s="517"/>
      <c r="F25" s="294"/>
      <c r="G25" s="294"/>
      <c r="H25" s="348"/>
      <c r="I25" s="29" t="s">
        <v>6</v>
      </c>
      <c r="J25" s="280">
        <f>AVERAGE(I10:I11)</f>
        <v>98.992500079833718</v>
      </c>
      <c r="K25" s="284">
        <f>COUNTA([24]Brewhouse!$A$914:$A$967)</f>
        <v>54</v>
      </c>
      <c r="L25" s="305">
        <f>AVERAGE([24]Brewhouse!$AU$914:$AU$967)</f>
        <v>98.016515774569797</v>
      </c>
      <c r="M25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$967)</f>
        <v>97.735477458281252</v>
      </c>
      <c r="N25" s="30">
        <v>98</v>
      </c>
      <c r="O25" s="11"/>
      <c r="P25" s="31"/>
      <c r="R25" s="277" t="str">
        <f t="shared" si="0"/>
        <v>CARIBE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" customHeight="1">
      <c r="A26" s="28"/>
      <c r="B26" s="514"/>
      <c r="C26" s="362"/>
      <c r="D26" s="518"/>
      <c r="E26" s="519"/>
      <c r="F26" s="294"/>
      <c r="G26" s="294"/>
      <c r="H26" s="348"/>
      <c r="I26" s="33" t="s">
        <v>9</v>
      </c>
      <c r="J26" s="280">
        <f>AVERAGE(I13:I14)</f>
        <v>94.20751904505876</v>
      </c>
      <c r="K26" s="284">
        <f>COUNTA([25]Brewhouse!$A$449:$A$472)</f>
        <v>24</v>
      </c>
      <c r="L26" s="302">
        <f>AVERAGE([25]Brewhouse!$AS$449:$AS$472)</f>
        <v>97.303445320396108</v>
      </c>
      <c r="M26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$472)</f>
        <v>97.892654819970858</v>
      </c>
      <c r="N26" s="30">
        <v>98</v>
      </c>
      <c r="O26" s="11"/>
      <c r="P26" s="31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4.65" customHeight="1">
      <c r="A27" s="28"/>
      <c r="B27" s="514"/>
      <c r="C27" s="362"/>
      <c r="D27" s="566"/>
      <c r="E27" s="567"/>
      <c r="F27" s="294"/>
      <c r="G27" s="294"/>
      <c r="H27" s="348"/>
      <c r="I27" s="34" t="s">
        <v>12</v>
      </c>
      <c r="J27" s="280"/>
      <c r="K27" s="284"/>
      <c r="L27" s="302"/>
      <c r="M27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27" s="30">
        <v>98</v>
      </c>
      <c r="O27" s="11"/>
      <c r="P27" s="31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14"/>
      <c r="C28" s="362"/>
      <c r="D28" s="531"/>
      <c r="E28" s="519"/>
      <c r="F28" s="294"/>
      <c r="G28" s="294"/>
      <c r="H28" s="348"/>
      <c r="I28" s="22" t="s">
        <v>33</v>
      </c>
      <c r="J28" s="280"/>
      <c r="K28" s="284">
        <f>COUNTA([23]Brewhouse!$A$97:$A$104)</f>
        <v>8</v>
      </c>
      <c r="L28" s="302">
        <f>AVERAGE([23]Brewhouse!$AV$97:$AV$104)</f>
        <v>98.419138016287462</v>
      </c>
      <c r="M28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28" s="30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14"/>
      <c r="C29" s="362"/>
      <c r="D29" s="566"/>
      <c r="E29" s="567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14"/>
      <c r="C30" s="362"/>
      <c r="D30" s="531"/>
      <c r="E30" s="519"/>
      <c r="F30" s="417"/>
      <c r="G30" s="294"/>
      <c r="H30" s="348"/>
      <c r="I30" s="36" t="s">
        <v>15</v>
      </c>
      <c r="J30" s="323"/>
      <c r="K30" s="284"/>
      <c r="L30" s="302"/>
      <c r="M30" s="302">
        <f>AVERAGE([27]Brewhouse!$AT$4:$AT$11,[27]Brewhouse!$AT$13:$AT$16,[27]Brewhouse!$AT$18:$AT$21,[27]Brewhouse!$AT$26,[27]Brewhouse!$AT$28:$AT$35)</f>
        <v>94.794664331624134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  <c r="AA30" s="296"/>
    </row>
    <row r="31" spans="1:27" ht="14.65" customHeight="1">
      <c r="A31" s="28"/>
      <c r="B31" s="514"/>
      <c r="C31" s="362"/>
      <c r="D31" s="566"/>
      <c r="E31" s="567"/>
      <c r="F31" s="417"/>
      <c r="G31" s="294"/>
      <c r="H31" s="348"/>
      <c r="I31" s="37" t="s">
        <v>16</v>
      </c>
      <c r="J31" s="323"/>
      <c r="K31" s="284">
        <f>COUNTA([22]Brewhouse!$A$94:$A$97)</f>
        <v>4</v>
      </c>
      <c r="L31" s="302">
        <f>AVERAGE([22]Brewhouse!$AY$94:$AY$97)</f>
        <v>95.326767995731288</v>
      </c>
      <c r="M31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1" s="30">
        <v>98</v>
      </c>
      <c r="O31" s="11"/>
      <c r="P31" s="31" t="s">
        <v>41</v>
      </c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4.65" customHeight="1">
      <c r="A32" s="28"/>
      <c r="B32" s="514"/>
      <c r="C32" s="362"/>
      <c r="D32" s="531"/>
      <c r="E32" s="519"/>
      <c r="F32" s="294"/>
      <c r="G32" s="294"/>
      <c r="H32" s="348"/>
      <c r="I32" s="411" t="s">
        <v>158</v>
      </c>
      <c r="J32" s="326"/>
      <c r="K32" s="284"/>
      <c r="L32" s="305"/>
      <c r="M32" s="305">
        <f>AVERAGE([28]Brewhouse!$AU$5:$AU$8,[28]Brewhouse!$AU$10:$AU$13,[22]Brewhouse!$AY$75:$AY$77)</f>
        <v>94.749192473706671</v>
      </c>
      <c r="N32" s="3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4.65" customHeight="1">
      <c r="A33" s="28"/>
      <c r="B33" s="514"/>
      <c r="C33" s="349"/>
      <c r="D33" s="566"/>
      <c r="E33" s="567"/>
      <c r="F33" s="294"/>
      <c r="G33" s="294"/>
      <c r="H33" s="348"/>
      <c r="I33" s="410" t="s">
        <v>157</v>
      </c>
      <c r="J33" s="326"/>
      <c r="K33" s="284"/>
      <c r="L33" s="305"/>
      <c r="M33" s="305">
        <f>AVERAGE([29]Brewhouse!$AW$26:$AW$27)</f>
        <v>95.310680905194914</v>
      </c>
      <c r="N33" s="3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5" customHeight="1" thickBot="1">
      <c r="A34" s="28"/>
      <c r="B34" s="514"/>
      <c r="C34" s="349"/>
      <c r="D34" s="531"/>
      <c r="E34" s="519"/>
      <c r="F34" s="294"/>
      <c r="G34" s="294"/>
      <c r="H34" s="348"/>
      <c r="I34" s="406" t="s">
        <v>156</v>
      </c>
      <c r="J34" s="327"/>
      <c r="K34" s="407"/>
      <c r="L34" s="408"/>
      <c r="M34" s="408">
        <f>AVERAGE([30]Brewhouse!$AU$13:$AU$14)</f>
        <v>97.110575243268045</v>
      </c>
      <c r="N34" s="409">
        <v>98</v>
      </c>
      <c r="O34" s="11"/>
      <c r="P34" s="31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5" customHeight="1" thickBot="1">
      <c r="A35" s="28"/>
      <c r="B35" s="514"/>
      <c r="C35" s="349"/>
      <c r="D35" s="516"/>
      <c r="E35" s="517"/>
      <c r="F35" s="294"/>
      <c r="G35" s="294"/>
      <c r="H35" s="348"/>
      <c r="I35" s="1"/>
      <c r="J35" s="39"/>
      <c r="K35" s="404">
        <f>SUM(K25:K34)</f>
        <v>90</v>
      </c>
      <c r="L35" s="405">
        <f>((L25*K25)+(L26*K26)+(L27*K27)+(L28*K28)+(L29*K29)+(K32*L32)+(L30*K30)+(L31*K31)+(L34*K34))/(K35)</f>
        <v>97.742607951438899</v>
      </c>
      <c r="M35" s="405">
        <f>AVERAGE('[31]Jan 31st'!$L$65,'[32]Feb 28th'!$L$35,'[33]Mar. 31st'!$L$35,'[34]Apr. 30th'!$L$45,'[35]May 30th'!$L$37,'[36]June 30th'!$L$57,'[37]July 29th '!$L$44,'[38]Aug 29th'!$L$29,'[39]Sept 30th'!$L$35,L35)</f>
        <v>97.592211034825681</v>
      </c>
      <c r="N35" s="40">
        <v>98</v>
      </c>
      <c r="O35" s="11"/>
      <c r="P35" s="31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5.75" thickBot="1">
      <c r="B36" s="588"/>
      <c r="C36" s="350"/>
      <c r="D36" s="518"/>
      <c r="E36" s="519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5.75" thickBot="1">
      <c r="B37" s="563"/>
      <c r="C37" s="362"/>
      <c r="D37" s="529"/>
      <c r="E37" s="530"/>
      <c r="F37" s="294"/>
      <c r="G37" s="42"/>
      <c r="H37" s="41"/>
      <c r="I37" s="42"/>
      <c r="J37" s="565" t="s">
        <v>129</v>
      </c>
      <c r="K37" s="565"/>
      <c r="L37" s="294"/>
      <c r="M37" s="294"/>
      <c r="N37" s="294"/>
      <c r="O37" s="294"/>
      <c r="P37" s="12"/>
    </row>
    <row r="38" spans="1:56" ht="15.75" thickBot="1">
      <c r="B38" s="564"/>
      <c r="C38" s="362"/>
      <c r="D38" s="531"/>
      <c r="E38" s="519"/>
      <c r="F38" s="294"/>
      <c r="G38" s="42"/>
      <c r="H38" s="41"/>
      <c r="I38" s="41"/>
      <c r="J38" s="292" t="s">
        <v>17</v>
      </c>
      <c r="K38" s="293" t="s">
        <v>147</v>
      </c>
      <c r="L38" s="533" t="s">
        <v>136</v>
      </c>
      <c r="M38" s="533"/>
      <c r="N38" s="534"/>
      <c r="O38" s="294"/>
      <c r="P38" s="12"/>
    </row>
    <row r="39" spans="1:56" ht="15" customHeight="1" thickBot="1">
      <c r="B39" s="564"/>
      <c r="C39" s="349"/>
      <c r="D39" s="566"/>
      <c r="E39" s="567"/>
      <c r="F39" s="294"/>
      <c r="G39" s="42"/>
      <c r="H39" s="41"/>
      <c r="I39" s="41"/>
      <c r="J39" s="287" t="s">
        <v>6</v>
      </c>
      <c r="K39" s="324">
        <v>2</v>
      </c>
      <c r="L39" s="343" t="s">
        <v>37</v>
      </c>
      <c r="M39" s="307" t="s">
        <v>38</v>
      </c>
      <c r="N39" s="307" t="s">
        <v>84</v>
      </c>
      <c r="O39" s="294"/>
      <c r="P39" s="12"/>
    </row>
    <row r="40" spans="1:56" ht="15.75" customHeight="1" thickBot="1">
      <c r="B40" s="564"/>
      <c r="C40" s="349"/>
      <c r="D40" s="531"/>
      <c r="E40" s="519"/>
      <c r="F40" s="294"/>
      <c r="G40" s="42"/>
      <c r="H40" s="41"/>
      <c r="I40" s="41"/>
      <c r="J40" s="345" t="s">
        <v>9</v>
      </c>
      <c r="K40" s="324">
        <v>2</v>
      </c>
      <c r="L40" s="344">
        <f>AVERAGE(K49,'Nov 18th'!K58,'Nov 15th'!K53,'Nov 13th&amp; 14th'!J53,'Nov 13th&amp; 14th'!K53,'Nov 12th'!K47,'Nov 11th'!K51,'Nov 10th'!K53,'Nov 6th '!K52,'Nov 7th-8th'!J55,'Nov 7th-8th'!K55,'Nov 4th'!K52,'Nov 5th'!K51,Nov.3rd!K52)</f>
        <v>6.5714285714285712</v>
      </c>
      <c r="M40" s="325">
        <f>AVERAGE('[31]Jan 29th '!$M$70,'[32]Feb 28th'!$L$40,'[33]Mar. 31st'!$L$40,'[34]Apr. 30th'!$L$50,'[35]May 30th'!$L$42,'[36]June 30th'!$L$62,'[37]July 29th '!$L$49,'[38]Aug 29th'!$L$34,'[39]Sept 30th'!$L$40,[40]Oct.31st!$L$43,L40)</f>
        <v>7.0185577199307172</v>
      </c>
      <c r="N40" s="416">
        <v>9.1999999999999993</v>
      </c>
      <c r="O40" s="294"/>
      <c r="P40" s="12"/>
    </row>
    <row r="41" spans="1:56" ht="15" customHeight="1">
      <c r="B41" s="564"/>
      <c r="C41" s="349"/>
      <c r="D41" s="566"/>
      <c r="E41" s="567"/>
      <c r="F41" s="294"/>
      <c r="G41" s="42"/>
      <c r="H41" s="41"/>
      <c r="I41" s="41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64"/>
      <c r="C42" s="349"/>
      <c r="D42" s="531"/>
      <c r="E42" s="519"/>
      <c r="F42" s="294"/>
      <c r="G42" s="42"/>
      <c r="H42" s="41"/>
      <c r="I42" s="41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64"/>
      <c r="C43" s="349"/>
      <c r="D43" s="566"/>
      <c r="E43" s="567"/>
      <c r="F43" s="294"/>
      <c r="G43" s="42"/>
      <c r="H43" s="41"/>
      <c r="I43" s="41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64"/>
      <c r="C44" s="349"/>
      <c r="D44" s="531"/>
      <c r="E44" s="519"/>
      <c r="F44" s="294"/>
      <c r="G44" s="42"/>
      <c r="H44" s="41"/>
      <c r="I44" s="41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64"/>
      <c r="C45" s="349"/>
      <c r="D45" s="566"/>
      <c r="E45" s="567"/>
      <c r="F45" s="294"/>
      <c r="G45" s="42"/>
      <c r="H45" s="41"/>
      <c r="I45" s="41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84"/>
      <c r="C46" s="350"/>
      <c r="D46" s="568"/>
      <c r="E46" s="569"/>
      <c r="F46" s="294" t="s">
        <v>168</v>
      </c>
      <c r="G46" s="42"/>
      <c r="H46" s="41"/>
      <c r="I46" s="41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76"/>
      <c r="E47" s="577"/>
      <c r="F47" s="294"/>
      <c r="H47" s="41"/>
      <c r="I47" s="41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1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1"/>
      <c r="I49" s="41"/>
      <c r="J49" s="346" t="s">
        <v>130</v>
      </c>
      <c r="K49" s="324">
        <f>SUM(K39:K48)</f>
        <v>4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41" t="s">
        <v>17</v>
      </c>
      <c r="C52" s="541" t="s">
        <v>44</v>
      </c>
      <c r="D52" s="543" t="s">
        <v>45</v>
      </c>
      <c r="E52" s="498" t="s">
        <v>46</v>
      </c>
      <c r="F52" s="558" t="s">
        <v>47</v>
      </c>
      <c r="G52" s="552" t="s">
        <v>48</v>
      </c>
      <c r="H52" s="541" t="s">
        <v>49</v>
      </c>
      <c r="I52" s="541" t="s">
        <v>50</v>
      </c>
      <c r="J52" s="546" t="s">
        <v>28</v>
      </c>
      <c r="K52" s="496" t="s">
        <v>51</v>
      </c>
      <c r="L52" s="508" t="s">
        <v>52</v>
      </c>
      <c r="M52" s="546" t="s">
        <v>53</v>
      </c>
      <c r="N52" s="13"/>
      <c r="O52" s="13"/>
      <c r="P52" s="50"/>
    </row>
    <row r="53" spans="2:57" ht="28.5" customHeight="1" thickTop="1" thickBot="1">
      <c r="B53" s="542"/>
      <c r="C53" s="542"/>
      <c r="D53" s="544"/>
      <c r="E53" s="545"/>
      <c r="F53" s="559"/>
      <c r="G53" s="553"/>
      <c r="H53" s="560"/>
      <c r="I53" s="560"/>
      <c r="J53" s="547"/>
      <c r="K53" s="556"/>
      <c r="L53" s="557"/>
      <c r="M53" s="547"/>
      <c r="N53" s="13"/>
      <c r="O53" s="13"/>
      <c r="P53" s="50"/>
      <c r="Q53" s="355"/>
      <c r="AB53" s="51">
        <v>43474</v>
      </c>
      <c r="AC53" s="51">
        <v>43475</v>
      </c>
      <c r="AD53" s="51">
        <v>43476</v>
      </c>
      <c r="AE53" s="51">
        <v>43477</v>
      </c>
      <c r="AF53" s="51">
        <v>43478</v>
      </c>
      <c r="AG53" s="51">
        <v>43479</v>
      </c>
      <c r="AH53" s="51">
        <v>43480</v>
      </c>
      <c r="AI53" s="51">
        <v>43481</v>
      </c>
      <c r="AJ53" s="51">
        <v>43482</v>
      </c>
      <c r="AK53" s="51">
        <v>43483</v>
      </c>
      <c r="AL53" s="51">
        <v>43484</v>
      </c>
      <c r="AM53" s="51">
        <v>43485</v>
      </c>
      <c r="AN53" s="51">
        <v>43486</v>
      </c>
      <c r="AO53" s="51">
        <v>43487</v>
      </c>
      <c r="AP53" s="51">
        <v>43488</v>
      </c>
      <c r="AQ53" s="51">
        <v>43489</v>
      </c>
      <c r="AR53" s="51">
        <v>43490</v>
      </c>
      <c r="AS53" s="51">
        <v>43491</v>
      </c>
      <c r="AT53" s="51">
        <v>43492</v>
      </c>
      <c r="AU53" s="51">
        <v>43493</v>
      </c>
      <c r="AV53" s="51">
        <v>43494</v>
      </c>
      <c r="AW53" s="51">
        <v>43495</v>
      </c>
      <c r="AX53" s="51">
        <v>43496</v>
      </c>
    </row>
    <row r="54" spans="2:57" s="54" customFormat="1" ht="43.15" customHeight="1" thickBot="1">
      <c r="B54" s="473"/>
      <c r="C54" s="442"/>
      <c r="D54" s="443"/>
      <c r="E54" s="444"/>
      <c r="F54" s="445"/>
      <c r="G54" s="445"/>
      <c r="H54" s="460"/>
      <c r="I54" s="460"/>
      <c r="J54" s="449"/>
      <c r="K54" s="450"/>
      <c r="L54" s="459"/>
      <c r="M54" s="456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[20]January_2019!L7</f>
        <v>285.8</v>
      </c>
      <c r="AC54" s="57">
        <f>[20]January_2019!M7</f>
        <v>508.1</v>
      </c>
      <c r="AD54" s="57">
        <f>[20]January_2019!N7</f>
        <v>0</v>
      </c>
      <c r="AE54" s="57">
        <f>[20]January_2019!O7</f>
        <v>0</v>
      </c>
      <c r="AF54" s="57">
        <f>[20]January_2019!P7</f>
        <v>109.56666666666666</v>
      </c>
      <c r="AG54" s="57">
        <f>[20]January_2019!Q7</f>
        <v>297.64999999999998</v>
      </c>
      <c r="AH54" s="57">
        <f>[20]January_2019!R7</f>
        <v>122.3</v>
      </c>
      <c r="AI54" s="57">
        <f>[20]January_2019!S7</f>
        <v>0</v>
      </c>
      <c r="AJ54" s="57">
        <f>[20]January_2019!T7</f>
        <v>294.7</v>
      </c>
      <c r="AK54" s="57">
        <f>[20]January_2019!U7</f>
        <v>280.5</v>
      </c>
      <c r="AL54" s="57">
        <f>[20]January_2019!V7</f>
        <v>0</v>
      </c>
      <c r="AM54" s="57">
        <f>[20]January_2019!W7</f>
        <v>0</v>
      </c>
      <c r="AN54" s="57">
        <f>[20]January_2019!X7</f>
        <v>188.25</v>
      </c>
      <c r="AO54" s="57">
        <f>[20]January_2019!Y7</f>
        <v>295.7</v>
      </c>
      <c r="AP54" s="57">
        <f>[20]January_2019!Z7</f>
        <v>257.8</v>
      </c>
      <c r="AQ54" s="57">
        <f>[20]January_2019!AA7</f>
        <v>291.2</v>
      </c>
      <c r="AR54" s="57">
        <f>[20]January_2019!AB7</f>
        <v>187</v>
      </c>
      <c r="AS54" s="57">
        <f>[20]January_2019!AC7</f>
        <v>0</v>
      </c>
      <c r="AT54" s="57">
        <f>[20]January_2019!AD7</f>
        <v>0</v>
      </c>
      <c r="AU54" s="57">
        <f>[20]January_2019!AE7</f>
        <v>485.1</v>
      </c>
      <c r="AV54" s="57">
        <f>[20]January_2019!AF7</f>
        <v>171.55</v>
      </c>
      <c r="AW54" s="57">
        <f>[20]January_2019!AG7</f>
        <v>423.8</v>
      </c>
      <c r="AX54" s="277">
        <f>[20]January_2019!AH7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20.45" hidden="1" customHeight="1" thickBot="1">
      <c r="B55" s="473"/>
      <c r="C55" s="431"/>
      <c r="D55" s="432"/>
      <c r="E55" s="433"/>
      <c r="F55" s="434"/>
      <c r="G55" s="435"/>
      <c r="H55" s="429"/>
      <c r="I55" s="429"/>
      <c r="J55" s="452"/>
      <c r="K55" s="437"/>
      <c r="L55" s="453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450000000000003" hidden="1" customHeight="1" thickBot="1">
      <c r="B56" s="458"/>
      <c r="C56" s="442"/>
      <c r="D56" s="443"/>
      <c r="E56" s="444"/>
      <c r="F56" s="445"/>
      <c r="G56" s="446"/>
      <c r="H56" s="460"/>
      <c r="I56" s="460"/>
      <c r="J56" s="449"/>
      <c r="K56" s="462"/>
      <c r="L56" s="459" t="e">
        <f>(((D56+E56)-G56)/(D56+E56))*100</f>
        <v>#DIV/0!</v>
      </c>
      <c r="M56" s="456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4"/>
      <c r="C57" s="431"/>
      <c r="D57" s="432"/>
      <c r="E57" s="433"/>
      <c r="F57" s="434"/>
      <c r="G57" s="435"/>
      <c r="H57" s="436"/>
      <c r="I57" s="451"/>
      <c r="J57" s="452"/>
      <c r="K57" s="437"/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61"/>
      <c r="C58" s="442"/>
      <c r="D58" s="443"/>
      <c r="E58" s="444"/>
      <c r="F58" s="445"/>
      <c r="G58" s="446"/>
      <c r="H58" s="447"/>
      <c r="I58" s="448"/>
      <c r="J58" s="449"/>
      <c r="K58" s="450"/>
      <c r="L58" s="459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customHeight="1" thickBot="1">
      <c r="B59" s="438"/>
      <c r="C59" s="424"/>
      <c r="D59" s="425"/>
      <c r="E59" s="426"/>
      <c r="F59" s="427"/>
      <c r="G59" s="428"/>
      <c r="H59" s="429"/>
      <c r="I59" s="439"/>
      <c r="J59" s="440"/>
      <c r="K59" s="430"/>
      <c r="L59" s="441"/>
      <c r="M59" s="423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61"/>
      <c r="C60" s="442"/>
      <c r="D60" s="443"/>
      <c r="E60" s="444"/>
      <c r="F60" s="445"/>
      <c r="G60" s="446"/>
      <c r="H60" s="447"/>
      <c r="I60" s="448"/>
      <c r="J60" s="449"/>
      <c r="K60" s="450"/>
      <c r="L60" s="459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70"/>
      <c r="C61" s="431"/>
      <c r="D61" s="464"/>
      <c r="E61" s="465"/>
      <c r="F61" s="466"/>
      <c r="G61" s="464"/>
      <c r="H61" s="467"/>
      <c r="I61" s="467"/>
      <c r="J61" s="467"/>
      <c r="K61" s="468"/>
      <c r="L61" s="469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48" t="s">
        <v>55</v>
      </c>
      <c r="C63" s="549"/>
      <c r="D63" s="549"/>
      <c r="E63" s="549"/>
      <c r="F63" s="550"/>
      <c r="G63" s="548" t="s">
        <v>56</v>
      </c>
      <c r="H63" s="549"/>
      <c r="I63" s="549"/>
      <c r="J63" s="550"/>
      <c r="K63" s="548" t="s">
        <v>51</v>
      </c>
      <c r="L63" s="549"/>
      <c r="M63" s="549"/>
      <c r="N63" s="551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282"/>
      <c r="D65" s="76">
        <v>7.1283576452815742</v>
      </c>
      <c r="E65" s="76">
        <v>6.1222938123378228</v>
      </c>
      <c r="F65" s="66">
        <v>4.8</v>
      </c>
      <c r="G65" s="65"/>
      <c r="H65" s="76">
        <v>7.387406767239832</v>
      </c>
      <c r="I65" s="76">
        <v>6.1206531213867956</v>
      </c>
      <c r="J65" s="66">
        <v>4.8</v>
      </c>
      <c r="K65" s="67"/>
      <c r="L65" s="194">
        <v>0.39490058479532164</v>
      </c>
      <c r="M65" s="194">
        <v>0.71715117150450269</v>
      </c>
      <c r="N65" s="68">
        <v>1</v>
      </c>
      <c r="O65" s="56"/>
      <c r="P65" s="69"/>
    </row>
    <row r="66" spans="2:16" ht="15">
      <c r="B66" s="33" t="s">
        <v>9</v>
      </c>
      <c r="C66" s="65"/>
      <c r="D66" s="76">
        <v>5.1853750213565721</v>
      </c>
      <c r="E66" s="76">
        <v>5.7200467929828971</v>
      </c>
      <c r="F66" s="66">
        <v>4.8</v>
      </c>
      <c r="G66" s="65"/>
      <c r="H66" s="76">
        <v>3.6096118625802744</v>
      </c>
      <c r="I66" s="76">
        <v>6.2674198164664059</v>
      </c>
      <c r="J66" s="66">
        <v>4.8</v>
      </c>
      <c r="K66" s="67"/>
      <c r="L66" s="194">
        <v>0.59464912280701754</v>
      </c>
      <c r="M66" s="194">
        <v>0.67381772220369407</v>
      </c>
      <c r="N66" s="68">
        <v>1</v>
      </c>
      <c r="P66" s="69"/>
    </row>
    <row r="67" spans="2:16" ht="15">
      <c r="B67" s="34" t="s">
        <v>40</v>
      </c>
      <c r="C67" s="65"/>
      <c r="D67" s="76">
        <v>6.2500000000000053</v>
      </c>
      <c r="E67" s="76">
        <v>10.839987110172206</v>
      </c>
      <c r="F67" s="66">
        <v>5.5</v>
      </c>
      <c r="G67" s="65"/>
      <c r="H67" s="76">
        <v>6.2847885309849998</v>
      </c>
      <c r="I67" s="76">
        <v>12.456668215153922</v>
      </c>
      <c r="J67" s="66">
        <v>5.5</v>
      </c>
      <c r="K67" s="67"/>
      <c r="L67" s="194">
        <v>0.31052631578947371</v>
      </c>
      <c r="M67" s="194">
        <v>0.5063309636650869</v>
      </c>
      <c r="N67" s="68">
        <v>1</v>
      </c>
      <c r="P67" s="69"/>
    </row>
    <row r="68" spans="2:16" ht="15">
      <c r="B68" s="22" t="s">
        <v>33</v>
      </c>
      <c r="C68" s="65"/>
      <c r="D68" s="76">
        <v>3.7833827893175105</v>
      </c>
      <c r="E68" s="76">
        <v>4.6226456706805745</v>
      </c>
      <c r="F68" s="66">
        <v>3.3</v>
      </c>
      <c r="G68" s="65"/>
      <c r="H68" s="76">
        <v>3.7421885632627285</v>
      </c>
      <c r="I68" s="76">
        <v>4.4171317623593813</v>
      </c>
      <c r="J68" s="66">
        <v>3.3</v>
      </c>
      <c r="K68" s="67"/>
      <c r="L68" s="194">
        <v>0.68263157894736837</v>
      </c>
      <c r="M68" s="194">
        <v>0.83111215538847116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>
        <v>7.837301587301579</v>
      </c>
      <c r="F69" s="66">
        <v>3.3</v>
      </c>
      <c r="G69" s="282"/>
      <c r="H69" s="76"/>
      <c r="I69" s="76">
        <v>5.3377569154690221</v>
      </c>
      <c r="J69" s="66">
        <v>3</v>
      </c>
      <c r="K69" s="67"/>
      <c r="L69" s="194"/>
      <c r="M69" s="194">
        <v>0.32596491228070179</v>
      </c>
      <c r="N69" s="68">
        <v>1</v>
      </c>
      <c r="P69" s="69"/>
    </row>
    <row r="70" spans="2:16" ht="15">
      <c r="B70" s="36" t="s">
        <v>15</v>
      </c>
      <c r="C70" s="65"/>
      <c r="D70" s="76"/>
      <c r="E70" s="76">
        <v>6.8851328044153277</v>
      </c>
      <c r="F70" s="70">
        <f>[21]May_2022!$M$43</f>
        <v>3.4878406700073312</v>
      </c>
      <c r="G70" s="282"/>
      <c r="H70" s="76"/>
      <c r="I70" s="76">
        <v>8.6614709463340702</v>
      </c>
      <c r="J70" s="66">
        <v>5.5</v>
      </c>
      <c r="K70" s="67"/>
      <c r="L70" s="194"/>
      <c r="M70" s="194">
        <v>0.73160818713450293</v>
      </c>
      <c r="N70" s="68">
        <v>1</v>
      </c>
      <c r="P70" s="69"/>
    </row>
    <row r="71" spans="2:16" ht="15">
      <c r="B71" s="37" t="s">
        <v>16</v>
      </c>
      <c r="C71" s="65"/>
      <c r="D71" s="76">
        <v>2.6328862394436081</v>
      </c>
      <c r="E71" s="76">
        <v>2.9297033255778997</v>
      </c>
      <c r="F71" s="66">
        <v>3.3</v>
      </c>
      <c r="G71" s="282"/>
      <c r="H71" s="76">
        <v>2.6328862394435983</v>
      </c>
      <c r="I71" s="76">
        <v>4.2684292436723528</v>
      </c>
      <c r="J71" s="66">
        <v>3.3</v>
      </c>
      <c r="K71" s="67"/>
      <c r="L71" s="194">
        <v>0.68771929824561406</v>
      </c>
      <c r="M71" s="194">
        <v>0.84660147761842675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>
        <v>11.483253588516746</v>
      </c>
      <c r="F72" s="66">
        <v>7.5</v>
      </c>
      <c r="G72" s="282"/>
      <c r="H72" s="76"/>
      <c r="I72" s="76">
        <v>9.7934336121043764</v>
      </c>
      <c r="J72" s="66">
        <v>7.5</v>
      </c>
      <c r="K72" s="67"/>
      <c r="M72" s="194">
        <v>0.32456140350877194</v>
      </c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>
        <v>7.2653644592663174</v>
      </c>
      <c r="F73" s="66">
        <v>4.8</v>
      </c>
      <c r="G73" s="282"/>
      <c r="H73" s="76"/>
      <c r="I73" s="76">
        <v>8.1715311054411259</v>
      </c>
      <c r="J73" s="66">
        <v>4.8</v>
      </c>
      <c r="K73" s="67"/>
      <c r="L73" s="194"/>
      <c r="M73" s="194">
        <v>0.51368421052631585</v>
      </c>
      <c r="N73" s="71">
        <v>1</v>
      </c>
      <c r="O73" s="74"/>
      <c r="P73" s="75"/>
    </row>
    <row r="74" spans="2:16" ht="15">
      <c r="D74" s="76">
        <v>5.9778615859332991</v>
      </c>
      <c r="E74" s="76">
        <v>6.1151873014250695</v>
      </c>
      <c r="F74" s="341">
        <v>5.5</v>
      </c>
      <c r="H74" s="76">
        <v>5.2931880926485908</v>
      </c>
      <c r="I74" s="76">
        <v>6.5895328613665427</v>
      </c>
      <c r="J74" s="341">
        <v>5.5</v>
      </c>
      <c r="L74" s="194">
        <v>0.49448431685273786</v>
      </c>
      <c r="M74" s="194">
        <v>0.69501749800876145</v>
      </c>
      <c r="N74" s="386">
        <v>1</v>
      </c>
    </row>
  </sheetData>
  <mergeCells count="51">
    <mergeCell ref="M52:M53"/>
    <mergeCell ref="B63:F63"/>
    <mergeCell ref="G63:J63"/>
    <mergeCell ref="K63:N63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1666" priority="41" operator="notBetween">
      <formula>#REF!</formula>
      <formula>#REF!</formula>
    </cfRule>
  </conditionalFormatting>
  <conditionalFormatting sqref="C51">
    <cfRule type="cellIs" dxfId="1665" priority="191" stopIfTrue="1" operator="greaterThan">
      <formula>100</formula>
    </cfRule>
    <cfRule type="cellIs" dxfId="1664" priority="190" stopIfTrue="1" operator="lessThan">
      <formula>96</formula>
    </cfRule>
  </conditionalFormatting>
  <conditionalFormatting sqref="C65:C69">
    <cfRule type="cellIs" dxfId="1663" priority="144" stopIfTrue="1" operator="lessThanOrEqual">
      <formula>0</formula>
    </cfRule>
  </conditionalFormatting>
  <conditionalFormatting sqref="C65:C73">
    <cfRule type="cellIs" dxfId="1662" priority="143" stopIfTrue="1" operator="greaterThan">
      <formula>$F65</formula>
    </cfRule>
  </conditionalFormatting>
  <conditionalFormatting sqref="C66">
    <cfRule type="cellIs" dxfId="1661" priority="194" stopIfTrue="1" operator="greaterThan">
      <formula>$F65</formula>
    </cfRule>
  </conditionalFormatting>
  <conditionalFormatting sqref="C70">
    <cfRule type="cellIs" dxfId="1660" priority="84" stopIfTrue="1" operator="greaterThan">
      <formula>$F69</formula>
    </cfRule>
    <cfRule type="cellIs" dxfId="1659" priority="83" stopIfTrue="1" operator="lessThanOrEqual">
      <formula>0</formula>
    </cfRule>
  </conditionalFormatting>
  <conditionalFormatting sqref="C76:C80">
    <cfRule type="cellIs" dxfId="1658" priority="182" stopIfTrue="1" operator="lessThanOrEqual">
      <formula>0</formula>
    </cfRule>
  </conditionalFormatting>
  <conditionalFormatting sqref="C77:C80">
    <cfRule type="cellIs" dxfId="1657" priority="181" stopIfTrue="1" operator="greaterThan">
      <formula>$F$76</formula>
    </cfRule>
  </conditionalFormatting>
  <conditionalFormatting sqref="C82">
    <cfRule type="cellIs" dxfId="1656" priority="184" stopIfTrue="1" operator="lessThanOrEqual">
      <formula>0</formula>
    </cfRule>
    <cfRule type="cellIs" dxfId="1655" priority="183" stopIfTrue="1" operator="greaterThan">
      <formula>$F$76</formula>
    </cfRule>
  </conditionalFormatting>
  <conditionalFormatting sqref="C76:D76 D78:D84">
    <cfRule type="cellIs" dxfId="1654" priority="176" stopIfTrue="1" operator="greaterThan">
      <formula>4.5</formula>
    </cfRule>
  </conditionalFormatting>
  <conditionalFormatting sqref="D47:D48">
    <cfRule type="cellIs" dxfId="1653" priority="42" operator="notBetween">
      <formula>#REF!</formula>
      <formula>#REF!</formula>
    </cfRule>
  </conditionalFormatting>
  <conditionalFormatting sqref="D65:D72">
    <cfRule type="cellIs" dxfId="1652" priority="156" stopIfTrue="1" operator="lessThanOrEqual">
      <formula>0</formula>
    </cfRule>
  </conditionalFormatting>
  <conditionalFormatting sqref="D73">
    <cfRule type="cellIs" dxfId="1651" priority="155" stopIfTrue="1" operator="lessThanOrEqual">
      <formula>0</formula>
    </cfRule>
  </conditionalFormatting>
  <conditionalFormatting sqref="D76 D78:D84">
    <cfRule type="cellIs" dxfId="1650" priority="177" stopIfTrue="1" operator="lessThanOrEqual">
      <formula>0</formula>
    </cfRule>
  </conditionalFormatting>
  <conditionalFormatting sqref="D77">
    <cfRule type="cellIs" dxfId="1649" priority="169" stopIfTrue="1" operator="lessThanOrEqual">
      <formula>0</formula>
    </cfRule>
    <cfRule type="cellIs" dxfId="1648" priority="168" stopIfTrue="1" operator="greaterThan">
      <formula>$F$76</formula>
    </cfRule>
  </conditionalFormatting>
  <conditionalFormatting sqref="D65:E74">
    <cfRule type="cellIs" dxfId="1647" priority="141" stopIfTrue="1" operator="greaterThan">
      <formula>$F65</formula>
    </cfRule>
  </conditionalFormatting>
  <conditionalFormatting sqref="D74:E74">
    <cfRule type="cellIs" dxfId="1646" priority="142" stopIfTrue="1" operator="lessThanOrEqual">
      <formula>0</formula>
    </cfRule>
  </conditionalFormatting>
  <conditionalFormatting sqref="E10:E22">
    <cfRule type="cellIs" dxfId="1645" priority="32" operator="lessThan">
      <formula>48</formula>
    </cfRule>
  </conditionalFormatting>
  <conditionalFormatting sqref="E50 E51:F51">
    <cfRule type="cellIs" dxfId="1644" priority="173" stopIfTrue="1" operator="greaterThan">
      <formula>100</formula>
    </cfRule>
  </conditionalFormatting>
  <conditionalFormatting sqref="E51">
    <cfRule type="cellIs" dxfId="1643" priority="171" stopIfTrue="1" operator="greaterThan">
      <formula>100</formula>
    </cfRule>
    <cfRule type="cellIs" dxfId="1642" priority="170" stopIfTrue="1" operator="lessThan">
      <formula>96.8</formula>
    </cfRule>
  </conditionalFormatting>
  <conditionalFormatting sqref="E65:E73">
    <cfRule type="cellIs" dxfId="1641" priority="152" stopIfTrue="1" operator="lessThanOrEqual">
      <formula>0</formula>
    </cfRule>
  </conditionalFormatting>
  <conditionalFormatting sqref="E76:E84">
    <cfRule type="cellIs" dxfId="1640" priority="163" stopIfTrue="1" operator="lessThanOrEqual">
      <formula>0</formula>
    </cfRule>
    <cfRule type="cellIs" dxfId="1639" priority="162" stopIfTrue="1" operator="greaterThan">
      <formula>4.5</formula>
    </cfRule>
  </conditionalFormatting>
  <conditionalFormatting sqref="E51:F51 E50">
    <cfRule type="cellIs" dxfId="1638" priority="172" stopIfTrue="1" operator="lessThan">
      <formula>96.5</formula>
    </cfRule>
  </conditionalFormatting>
  <conditionalFormatting sqref="F10:F22">
    <cfRule type="cellIs" dxfId="1637" priority="33" operator="greaterThan">
      <formula>60</formula>
    </cfRule>
  </conditionalFormatting>
  <conditionalFormatting sqref="F51">
    <cfRule type="cellIs" dxfId="1636" priority="189" stopIfTrue="1" operator="greaterThan">
      <formula>100</formula>
    </cfRule>
    <cfRule type="cellIs" dxfId="1635" priority="188" stopIfTrue="1" operator="lessThan">
      <formula>96.8</formula>
    </cfRule>
  </conditionalFormatting>
  <conditionalFormatting sqref="F74">
    <cfRule type="cellIs" dxfId="1634" priority="154" stopIfTrue="1" operator="lessThanOrEqual">
      <formula>0</formula>
    </cfRule>
    <cfRule type="cellIs" dxfId="1633" priority="153" stopIfTrue="1" operator="greaterThan">
      <formula>$F74</formula>
    </cfRule>
  </conditionalFormatting>
  <conditionalFormatting sqref="G10:G12">
    <cfRule type="expression" dxfId="1632" priority="12">
      <formula>IF(+(IF(G10&lt;S10,0,IF(G10&gt;T10,0,1)))=0,1)</formula>
    </cfRule>
  </conditionalFormatting>
  <conditionalFormatting sqref="G65:G66 C71:C73">
    <cfRule type="cellIs" dxfId="1631" priority="158" stopIfTrue="1" operator="lessThanOrEqual">
      <formula>0</formula>
    </cfRule>
  </conditionalFormatting>
  <conditionalFormatting sqref="G65:G66">
    <cfRule type="cellIs" dxfId="1630" priority="157" stopIfTrue="1" operator="greaterThan">
      <formula>$F65</formula>
    </cfRule>
    <cfRule type="cellIs" dxfId="1629" priority="145" stopIfTrue="1" operator="greaterThan">
      <formula>$F65</formula>
    </cfRule>
    <cfRule type="cellIs" dxfId="1628" priority="146" stopIfTrue="1" operator="lessThanOrEqual">
      <formula>0</formula>
    </cfRule>
  </conditionalFormatting>
  <conditionalFormatting sqref="G67">
    <cfRule type="cellIs" dxfId="1627" priority="193" stopIfTrue="1" operator="lessThanOrEqual">
      <formula>0</formula>
    </cfRule>
    <cfRule type="cellIs" dxfId="1626" priority="192" stopIfTrue="1" operator="greaterThan">
      <formula>$F66</formula>
    </cfRule>
  </conditionalFormatting>
  <conditionalFormatting sqref="G68">
    <cfRule type="cellIs" dxfId="1625" priority="38" stopIfTrue="1" operator="lessThanOrEqual">
      <formula>0</formula>
    </cfRule>
    <cfRule type="cellIs" dxfId="1624" priority="39" stopIfTrue="1" operator="greaterThan">
      <formula>$F68</formula>
    </cfRule>
    <cfRule type="cellIs" dxfId="1623" priority="40" stopIfTrue="1" operator="lessThanOrEqual">
      <formula>0</formula>
    </cfRule>
    <cfRule type="cellIs" dxfId="1622" priority="37" stopIfTrue="1" operator="greaterThan">
      <formula>$F68</formula>
    </cfRule>
  </conditionalFormatting>
  <conditionalFormatting sqref="G69:G73">
    <cfRule type="cellIs" dxfId="1621" priority="159" stopIfTrue="1" operator="greaterThan">
      <formula>$J69</formula>
    </cfRule>
    <cfRule type="cellIs" dxfId="1620" priority="160" stopIfTrue="1" operator="lessThanOrEqual">
      <formula>0</formula>
    </cfRule>
  </conditionalFormatting>
  <conditionalFormatting sqref="G78:G83 C81 C83">
    <cfRule type="cellIs" dxfId="1619" priority="186" stopIfTrue="1" operator="lessThanOrEqual">
      <formula>0</formula>
    </cfRule>
    <cfRule type="cellIs" dxfId="1618" priority="185" stopIfTrue="1" operator="greaterThan">
      <formula>4.5</formula>
    </cfRule>
  </conditionalFormatting>
  <conditionalFormatting sqref="G77:H77">
    <cfRule type="cellIs" dxfId="1617" priority="167" stopIfTrue="1" operator="lessThanOrEqual">
      <formula>0</formula>
    </cfRule>
    <cfRule type="cellIs" dxfId="1616" priority="166" stopIfTrue="1" operator="greaterThan">
      <formula>$F$76</formula>
    </cfRule>
  </conditionalFormatting>
  <conditionalFormatting sqref="H36:H50 I38:I49">
    <cfRule type="cellIs" dxfId="1615" priority="164" stopIfTrue="1" operator="greaterThan">
      <formula>0</formula>
    </cfRule>
  </conditionalFormatting>
  <conditionalFormatting sqref="H54">
    <cfRule type="cellIs" dxfId="1614" priority="14" stopIfTrue="1" operator="lessThanOrEqual">
      <formula>0</formula>
    </cfRule>
    <cfRule type="cellIs" dxfId="1613" priority="15" stopIfTrue="1" operator="greaterThan">
      <formula>$F$65</formula>
    </cfRule>
    <cfRule type="cellIs" dxfId="1612" priority="23" stopIfTrue="1" operator="greaterThan">
      <formula>$F$68</formula>
    </cfRule>
    <cfRule type="cellIs" dxfId="1611" priority="25" stopIfTrue="1" operator="greaterThan">
      <formula>$F$66</formula>
    </cfRule>
    <cfRule type="cellIs" dxfId="1610" priority="26" stopIfTrue="1" operator="lessThanOrEqual">
      <formula>0</formula>
    </cfRule>
    <cfRule type="cellIs" dxfId="1609" priority="24" stopIfTrue="1" operator="lessThanOrEqual">
      <formula>0</formula>
    </cfRule>
  </conditionalFormatting>
  <conditionalFormatting sqref="H55">
    <cfRule type="cellIs" dxfId="1608" priority="109" stopIfTrue="1" operator="greaterThan">
      <formula>$F$23</formula>
    </cfRule>
    <cfRule type="cellIs" dxfId="1607" priority="101" stopIfTrue="1" operator="greaterThan">
      <formula>#REF!</formula>
    </cfRule>
    <cfRule type="cellIs" dxfId="1606" priority="100" stopIfTrue="1" operator="lessThanOrEqual">
      <formula>0</formula>
    </cfRule>
    <cfRule type="cellIs" dxfId="1605" priority="112" stopIfTrue="1" operator="lessThanOrEqual">
      <formula>0</formula>
    </cfRule>
    <cfRule type="cellIs" dxfId="1604" priority="111" stopIfTrue="1" operator="greaterThan">
      <formula>#REF!</formula>
    </cfRule>
    <cfRule type="cellIs" dxfId="1603" priority="110" stopIfTrue="1" operator="lessThanOrEqual">
      <formula>0</formula>
    </cfRule>
  </conditionalFormatting>
  <conditionalFormatting sqref="H56">
    <cfRule type="cellIs" dxfId="1602" priority="79" stopIfTrue="1" operator="greaterThan">
      <formula>$F$67</formula>
    </cfRule>
    <cfRule type="cellIs" dxfId="1601" priority="68" stopIfTrue="1" operator="lessThanOrEqual">
      <formula>0</formula>
    </cfRule>
    <cfRule type="cellIs" dxfId="1600" priority="69" stopIfTrue="1" operator="greaterThan">
      <formula>$F$66</formula>
    </cfRule>
    <cfRule type="cellIs" dxfId="1599" priority="78" stopIfTrue="1" operator="lessThanOrEqual">
      <formula>0</formula>
    </cfRule>
    <cfRule type="cellIs" dxfId="1598" priority="80" stopIfTrue="1" operator="lessThanOrEqual">
      <formula>0</formula>
    </cfRule>
    <cfRule type="cellIs" dxfId="1597" priority="77" stopIfTrue="1" operator="greaterThan">
      <formula>$F$69</formula>
    </cfRule>
  </conditionalFormatting>
  <conditionalFormatting sqref="H57:H58">
    <cfRule type="cellIs" dxfId="1596" priority="87" stopIfTrue="1" operator="greaterThan">
      <formula>#REF!</formula>
    </cfRule>
    <cfRule type="cellIs" dxfId="1595" priority="86" stopIfTrue="1" operator="lessThanOrEqual">
      <formula>0</formula>
    </cfRule>
    <cfRule type="cellIs" dxfId="1594" priority="95" stopIfTrue="1" operator="greaterThan">
      <formula>$F$22</formula>
    </cfRule>
    <cfRule type="cellIs" dxfId="1593" priority="96" stopIfTrue="1" operator="lessThanOrEqual">
      <formula>0</formula>
    </cfRule>
    <cfRule type="cellIs" dxfId="1592" priority="97" stopIfTrue="1" operator="greaterThan">
      <formula>#REF!</formula>
    </cfRule>
    <cfRule type="cellIs" dxfId="1591" priority="98" stopIfTrue="1" operator="lessThanOrEqual">
      <formula>0</formula>
    </cfRule>
  </conditionalFormatting>
  <conditionalFormatting sqref="H59">
    <cfRule type="cellIs" dxfId="1590" priority="126" stopIfTrue="1" operator="greaterThan">
      <formula>$F$36</formula>
    </cfRule>
    <cfRule type="cellIs" dxfId="1589" priority="127" stopIfTrue="1" operator="lessThanOrEqual">
      <formula>0</formula>
    </cfRule>
    <cfRule type="cellIs" dxfId="1588" priority="124" stopIfTrue="1" operator="greaterThan">
      <formula>$F$38</formula>
    </cfRule>
    <cfRule type="cellIs" dxfId="1587" priority="116" stopIfTrue="1" operator="greaterThan">
      <formula>$F$35</formula>
    </cfRule>
    <cfRule type="cellIs" dxfId="1586" priority="115" stopIfTrue="1" operator="lessThanOrEqual">
      <formula>0</formula>
    </cfRule>
    <cfRule type="cellIs" dxfId="1585" priority="125" stopIfTrue="1" operator="lessThanOrEqual">
      <formula>0</formula>
    </cfRule>
  </conditionalFormatting>
  <conditionalFormatting sqref="H60:H61">
    <cfRule type="cellIs" dxfId="1584" priority="62" stopIfTrue="1" operator="lessThanOrEqual">
      <formula>0</formula>
    </cfRule>
    <cfRule type="cellIs" dxfId="1583" priority="61" stopIfTrue="1" operator="greaterThan">
      <formula>$F$22</formula>
    </cfRule>
    <cfRule type="cellIs" dxfId="1582" priority="53" stopIfTrue="1" operator="greaterThan">
      <formula>#REF!</formula>
    </cfRule>
    <cfRule type="cellIs" dxfId="1581" priority="64" stopIfTrue="1" operator="lessThanOrEqual">
      <formula>0</formula>
    </cfRule>
    <cfRule type="cellIs" dxfId="1580" priority="63" stopIfTrue="1" operator="greaterThan">
      <formula>#REF!</formula>
    </cfRule>
    <cfRule type="cellIs" dxfId="1579" priority="52" stopIfTrue="1" operator="lessThanOrEqual">
      <formula>0</formula>
    </cfRule>
  </conditionalFormatting>
  <conditionalFormatting sqref="H65:H72">
    <cfRule type="cellIs" dxfId="1578" priority="148" stopIfTrue="1" operator="lessThanOrEqual">
      <formula>0</formula>
    </cfRule>
    <cfRule type="cellIs" dxfId="1577" priority="147" stopIfTrue="1" operator="greaterThan">
      <formula>$J65</formula>
    </cfRule>
  </conditionalFormatting>
  <conditionalFormatting sqref="H73">
    <cfRule type="cellIs" dxfId="1576" priority="149" operator="greaterThan">
      <formula>5.3</formula>
    </cfRule>
  </conditionalFormatting>
  <conditionalFormatting sqref="H76 H78:H84">
    <cfRule type="cellIs" dxfId="1575" priority="179" stopIfTrue="1" operator="lessThanOrEqual">
      <formula>0</formula>
    </cfRule>
    <cfRule type="cellIs" dxfId="1574" priority="178" stopIfTrue="1" operator="greaterThan">
      <formula>4.5</formula>
    </cfRule>
  </conditionalFormatting>
  <conditionalFormatting sqref="H54:I54">
    <cfRule type="cellIs" dxfId="1573" priority="13" stopIfTrue="1" operator="greaterThan">
      <formula>$F$67</formula>
    </cfRule>
    <cfRule type="cellIs" dxfId="1572" priority="16" stopIfTrue="1" operator="lessThanOrEqual">
      <formula>0</formula>
    </cfRule>
  </conditionalFormatting>
  <conditionalFormatting sqref="H55:I55">
    <cfRule type="cellIs" dxfId="1571" priority="102" stopIfTrue="1" operator="lessThanOrEqual">
      <formula>0</formula>
    </cfRule>
    <cfRule type="cellIs" dxfId="1570" priority="99" stopIfTrue="1" operator="greaterThan">
      <formula>$F$22</formula>
    </cfRule>
  </conditionalFormatting>
  <conditionalFormatting sqref="H56:I56">
    <cfRule type="cellIs" dxfId="1569" priority="67" stopIfTrue="1" operator="greaterThan">
      <formula>$F$68</formula>
    </cfRule>
    <cfRule type="cellIs" dxfId="1568" priority="70" stopIfTrue="1" operator="lessThanOrEqual">
      <formula>0</formula>
    </cfRule>
  </conditionalFormatting>
  <conditionalFormatting sqref="H57:I58">
    <cfRule type="cellIs" dxfId="1567" priority="88" stopIfTrue="1" operator="lessThanOrEqual">
      <formula>0</formula>
    </cfRule>
    <cfRule type="cellIs" dxfId="1566" priority="85" stopIfTrue="1" operator="greaterThan">
      <formula>#REF!</formula>
    </cfRule>
  </conditionalFormatting>
  <conditionalFormatting sqref="H59:I59">
    <cfRule type="cellIs" dxfId="1565" priority="114" stopIfTrue="1" operator="greaterThan">
      <formula>$F$37</formula>
    </cfRule>
    <cfRule type="cellIs" dxfId="1564" priority="117" stopIfTrue="1" operator="lessThanOrEqual">
      <formula>0</formula>
    </cfRule>
  </conditionalFormatting>
  <conditionalFormatting sqref="H60:I61">
    <cfRule type="cellIs" dxfId="1563" priority="54" stopIfTrue="1" operator="lessThanOrEqual">
      <formula>0</formula>
    </cfRule>
    <cfRule type="cellIs" dxfId="1562" priority="51" stopIfTrue="1" operator="greaterThan">
      <formula>#REF!</formula>
    </cfRule>
  </conditionalFormatting>
  <conditionalFormatting sqref="H74:I74">
    <cfRule type="cellIs" dxfId="1561" priority="139" stopIfTrue="1" operator="greaterThan">
      <formula>$J74</formula>
    </cfRule>
    <cfRule type="cellIs" dxfId="1560" priority="140" stopIfTrue="1" operator="lessThanOrEqual">
      <formula>0</formula>
    </cfRule>
  </conditionalFormatting>
  <conditionalFormatting sqref="I54">
    <cfRule type="cellIs" dxfId="1559" priority="18" stopIfTrue="1" operator="lessThanOrEqual">
      <formula>0</formula>
    </cfRule>
    <cfRule type="cellIs" dxfId="1558" priority="20" stopIfTrue="1" operator="lessThanOrEqual">
      <formula>0</formula>
    </cfRule>
    <cfRule type="cellIs" dxfId="1557" priority="17" stopIfTrue="1" operator="greaterThan">
      <formula>$F$65</formula>
    </cfRule>
    <cfRule type="cellIs" dxfId="1556" priority="19" stopIfTrue="1" operator="greaterThan">
      <formula>$F$67</formula>
    </cfRule>
    <cfRule type="cellIs" dxfId="1555" priority="21" stopIfTrue="1" operator="greaterThan">
      <formula>$F$65</formula>
    </cfRule>
    <cfRule type="cellIs" dxfId="1554" priority="22" stopIfTrue="1" operator="lessThanOrEqual">
      <formula>0</formula>
    </cfRule>
  </conditionalFormatting>
  <conditionalFormatting sqref="I55">
    <cfRule type="cellIs" dxfId="1553" priority="103" stopIfTrue="1" operator="greaterThan">
      <formula>#REF!</formula>
    </cfRule>
    <cfRule type="cellIs" dxfId="1552" priority="107" stopIfTrue="1" operator="greaterThan">
      <formula>#REF!</formula>
    </cfRule>
    <cfRule type="cellIs" dxfId="1551" priority="104" stopIfTrue="1" operator="lessThanOrEqual">
      <formula>0</formula>
    </cfRule>
    <cfRule type="cellIs" dxfId="1550" priority="105" stopIfTrue="1" operator="greaterThan">
      <formula>$F$22</formula>
    </cfRule>
    <cfRule type="cellIs" dxfId="1549" priority="106" stopIfTrue="1" operator="lessThanOrEqual">
      <formula>0</formula>
    </cfRule>
    <cfRule type="cellIs" dxfId="1548" priority="108" stopIfTrue="1" operator="lessThanOrEqual">
      <formula>0</formula>
    </cfRule>
  </conditionalFormatting>
  <conditionalFormatting sqref="I56">
    <cfRule type="cellIs" dxfId="1547" priority="72" stopIfTrue="1" operator="lessThanOrEqual">
      <formula>0</formula>
    </cfRule>
    <cfRule type="cellIs" dxfId="1546" priority="71" stopIfTrue="1" operator="greaterThan">
      <formula>$F$66</formula>
    </cfRule>
    <cfRule type="cellIs" dxfId="1545" priority="76" stopIfTrue="1" operator="lessThanOrEqual">
      <formula>0</formula>
    </cfRule>
    <cfRule type="cellIs" dxfId="1544" priority="75" stopIfTrue="1" operator="greaterThan">
      <formula>$F$66</formula>
    </cfRule>
    <cfRule type="cellIs" dxfId="1543" priority="74" stopIfTrue="1" operator="lessThanOrEqual">
      <formula>0</formula>
    </cfRule>
    <cfRule type="cellIs" dxfId="1542" priority="73" stopIfTrue="1" operator="greaterThan">
      <formula>$F$68</formula>
    </cfRule>
  </conditionalFormatting>
  <conditionalFormatting sqref="I57:I58">
    <cfRule type="cellIs" dxfId="1541" priority="89" stopIfTrue="1" operator="greaterThan">
      <formula>#REF!</formula>
    </cfRule>
    <cfRule type="cellIs" dxfId="1540" priority="94" stopIfTrue="1" operator="lessThanOrEqual">
      <formula>0</formula>
    </cfRule>
    <cfRule type="cellIs" dxfId="1539" priority="93" stopIfTrue="1" operator="greaterThan">
      <formula>#REF!</formula>
    </cfRule>
    <cfRule type="cellIs" dxfId="1538" priority="92" stopIfTrue="1" operator="lessThanOrEqual">
      <formula>0</formula>
    </cfRule>
    <cfRule type="cellIs" dxfId="1537" priority="91" stopIfTrue="1" operator="greaterThan">
      <formula>#REF!</formula>
    </cfRule>
    <cfRule type="cellIs" dxfId="1536" priority="90" stopIfTrue="1" operator="lessThanOrEqual">
      <formula>0</formula>
    </cfRule>
  </conditionalFormatting>
  <conditionalFormatting sqref="I59">
    <cfRule type="cellIs" dxfId="1535" priority="120" stopIfTrue="1" operator="greaterThan">
      <formula>$F$37</formula>
    </cfRule>
    <cfRule type="cellIs" dxfId="1534" priority="118" stopIfTrue="1" operator="greaterThan">
      <formula>$F$35</formula>
    </cfRule>
    <cfRule type="cellIs" dxfId="1533" priority="123" stopIfTrue="1" operator="lessThanOrEqual">
      <formula>0</formula>
    </cfRule>
    <cfRule type="cellIs" dxfId="1532" priority="122" stopIfTrue="1" operator="greaterThan">
      <formula>$F$35</formula>
    </cfRule>
    <cfRule type="cellIs" dxfId="1531" priority="121" stopIfTrue="1" operator="lessThanOrEqual">
      <formula>0</formula>
    </cfRule>
    <cfRule type="cellIs" dxfId="1530" priority="119" stopIfTrue="1" operator="lessThanOrEqual">
      <formula>0</formula>
    </cfRule>
  </conditionalFormatting>
  <conditionalFormatting sqref="I60:I61">
    <cfRule type="cellIs" dxfId="1529" priority="57" stopIfTrue="1" operator="greaterThan">
      <formula>#REF!</formula>
    </cfRule>
    <cfRule type="cellIs" dxfId="1528" priority="56" stopIfTrue="1" operator="lessThanOrEqual">
      <formula>0</formula>
    </cfRule>
    <cfRule type="cellIs" dxfId="1527" priority="60" stopIfTrue="1" operator="lessThanOrEqual">
      <formula>0</formula>
    </cfRule>
    <cfRule type="cellIs" dxfId="1526" priority="59" stopIfTrue="1" operator="greaterThan">
      <formula>#REF!</formula>
    </cfRule>
    <cfRule type="cellIs" dxfId="1525" priority="58" stopIfTrue="1" operator="lessThanOrEqual">
      <formula>0</formula>
    </cfRule>
    <cfRule type="cellIs" dxfId="1524" priority="55" stopIfTrue="1" operator="greaterThan">
      <formula>#REF!</formula>
    </cfRule>
  </conditionalFormatting>
  <conditionalFormatting sqref="I65:I73">
    <cfRule type="cellIs" dxfId="1523" priority="150" stopIfTrue="1" operator="greaterThan">
      <formula>$J65</formula>
    </cfRule>
    <cfRule type="cellIs" dxfId="1522" priority="151" stopIfTrue="1" operator="lessThanOrEqual">
      <formula>0</formula>
    </cfRule>
  </conditionalFormatting>
  <conditionalFormatting sqref="I76:I84">
    <cfRule type="cellIs" dxfId="1521" priority="175" stopIfTrue="1" operator="lessThanOrEqual">
      <formula>0</formula>
    </cfRule>
    <cfRule type="cellIs" dxfId="1520" priority="174" stopIfTrue="1" operator="greaterThan">
      <formula>4.5</formula>
    </cfRule>
  </conditionalFormatting>
  <conditionalFormatting sqref="I10:J22">
    <cfRule type="cellIs" dxfId="1519" priority="28" operator="lessThan">
      <formula>97.9</formula>
    </cfRule>
  </conditionalFormatting>
  <conditionalFormatting sqref="J26:J27">
    <cfRule type="cellIs" dxfId="1518" priority="131" operator="lessThan">
      <formula>98</formula>
    </cfRule>
    <cfRule type="cellIs" dxfId="1517" priority="129" stopIfTrue="1" operator="lessThan">
      <formula>96.8</formula>
    </cfRule>
    <cfRule type="cellIs" dxfId="1516" priority="130" stopIfTrue="1" operator="greaterThan">
      <formula>100</formula>
    </cfRule>
  </conditionalFormatting>
  <conditionalFormatting sqref="J26:J29">
    <cfRule type="cellIs" dxfId="1515" priority="128" operator="lessThan">
      <formula>97.4</formula>
    </cfRule>
  </conditionalFormatting>
  <conditionalFormatting sqref="J30:J31">
    <cfRule type="cellIs" dxfId="1514" priority="132" operator="lessThan">
      <formula>98</formula>
    </cfRule>
  </conditionalFormatting>
  <conditionalFormatting sqref="J32:J33">
    <cfRule type="cellIs" dxfId="1513" priority="133" stopIfTrue="1" operator="lessThan">
      <formula>96.8</formula>
    </cfRule>
    <cfRule type="cellIs" dxfId="1512" priority="134" stopIfTrue="1" operator="greaterThan">
      <formula>100</formula>
    </cfRule>
  </conditionalFormatting>
  <conditionalFormatting sqref="J32:J34">
    <cfRule type="cellIs" dxfId="1511" priority="135" operator="lessThan">
      <formula>98</formula>
    </cfRule>
  </conditionalFormatting>
  <conditionalFormatting sqref="J61">
    <cfRule type="cellIs" dxfId="1510" priority="46" stopIfTrue="1" operator="lessThanOrEqual">
      <formula>0</formula>
    </cfRule>
    <cfRule type="cellIs" dxfId="1509" priority="43" stopIfTrue="1" operator="greaterThan">
      <formula>#REF!</formula>
    </cfRule>
    <cfRule type="cellIs" dxfId="1508" priority="50" stopIfTrue="1" operator="lessThanOrEqual">
      <formula>0</formula>
    </cfRule>
    <cfRule type="cellIs" dxfId="1507" priority="49" stopIfTrue="1" operator="greaterThan">
      <formula>#REF!</formula>
    </cfRule>
    <cfRule type="cellIs" dxfId="1506" priority="48" stopIfTrue="1" operator="lessThanOrEqual">
      <formula>0</formula>
    </cfRule>
    <cfRule type="cellIs" dxfId="1505" priority="47" stopIfTrue="1" operator="greaterThan">
      <formula>#REF!</formula>
    </cfRule>
    <cfRule type="cellIs" dxfId="1504" priority="45" stopIfTrue="1" operator="greaterThan">
      <formula>#REF!</formula>
    </cfRule>
    <cfRule type="cellIs" dxfId="1503" priority="44" stopIfTrue="1" operator="lessThanOrEqual">
      <formula>0</formula>
    </cfRule>
  </conditionalFormatting>
  <conditionalFormatting sqref="J74">
    <cfRule type="cellIs" dxfId="1502" priority="136" stopIfTrue="1" operator="greaterThan">
      <formula>$F74</formula>
    </cfRule>
    <cfRule type="cellIs" dxfId="1501" priority="137" stopIfTrue="1" operator="lessThanOrEqual">
      <formula>0</formula>
    </cfRule>
  </conditionalFormatting>
  <conditionalFormatting sqref="K10:K22">
    <cfRule type="cellIs" dxfId="1500" priority="31" operator="greaterThan">
      <formula>6.4</formula>
    </cfRule>
    <cfRule type="cellIs" dxfId="1499" priority="30" operator="lessThan">
      <formula>4</formula>
    </cfRule>
    <cfRule type="cellIs" dxfId="1498" priority="29" operator="greaterThan">
      <formula>6</formula>
    </cfRule>
  </conditionalFormatting>
  <conditionalFormatting sqref="K54:K61 K65:N71 K72 M72:N72 K73:N73">
    <cfRule type="cellIs" dxfId="1497" priority="113" stopIfTrue="1" operator="lessThan">
      <formula>100%</formula>
    </cfRule>
  </conditionalFormatting>
  <conditionalFormatting sqref="K76:K81">
    <cfRule type="cellIs" dxfId="1496" priority="180" stopIfTrue="1" operator="lessThan">
      <formula>100%</formula>
    </cfRule>
  </conditionalFormatting>
  <conditionalFormatting sqref="K83:K84">
    <cfRule type="cellIs" dxfId="1495" priority="187" stopIfTrue="1" operator="lessThan">
      <formula>100%</formula>
    </cfRule>
  </conditionalFormatting>
  <conditionalFormatting sqref="L10:L12 L22">
    <cfRule type="cellIs" dxfId="1494" priority="66" operator="greaterThan">
      <formula>65</formula>
    </cfRule>
  </conditionalFormatting>
  <conditionalFormatting sqref="L13:M17 L10:L12 L22">
    <cfRule type="cellIs" dxfId="1493" priority="65" operator="between">
      <formula>61</formula>
      <formula>65</formula>
    </cfRule>
  </conditionalFormatting>
  <conditionalFormatting sqref="L13:M21">
    <cfRule type="cellIs" dxfId="1492" priority="35" operator="greaterThan">
      <formula>65</formula>
    </cfRule>
  </conditionalFormatting>
  <conditionalFormatting sqref="L18:M21">
    <cfRule type="cellIs" dxfId="1491" priority="34" operator="between">
      <formula>61</formula>
      <formula>65</formula>
    </cfRule>
  </conditionalFormatting>
  <conditionalFormatting sqref="L25:M36">
    <cfRule type="cellIs" dxfId="1490" priority="81" operator="lessThan">
      <formula>97.95</formula>
    </cfRule>
  </conditionalFormatting>
  <conditionalFormatting sqref="L40:N40">
    <cfRule type="cellIs" dxfId="1489" priority="82" operator="notEqual">
      <formula>#REF!</formula>
    </cfRule>
  </conditionalFormatting>
  <conditionalFormatting sqref="L74:N74">
    <cfRule type="cellIs" dxfId="1488" priority="138" stopIfTrue="1" operator="lessThan">
      <formula>100%</formula>
    </cfRule>
  </conditionalFormatting>
  <conditionalFormatting sqref="L76:N84">
    <cfRule type="cellIs" dxfId="1487" priority="165" stopIfTrue="1" operator="lessThan">
      <formula>100%</formula>
    </cfRule>
  </conditionalFormatting>
  <conditionalFormatting sqref="M10:M12">
    <cfRule type="expression" dxfId="1486" priority="11">
      <formula>IF(+(IF(M10&lt;U10,0,IF(M10&gt;V10,0,1)))=0,1)</formula>
    </cfRule>
  </conditionalFormatting>
  <conditionalFormatting sqref="M13:M21 H10 H12 G13:H22">
    <cfRule type="expression" dxfId="1485" priority="36">
      <formula>IF(+(IF(G10&lt;#REF!,0,IF(G10&gt;#REF!,0,1)))=0,1)</formula>
    </cfRule>
  </conditionalFormatting>
  <conditionalFormatting sqref="M22:N22">
    <cfRule type="expression" dxfId="1484" priority="195">
      <formula>IF(+(IF(M22&lt;#REF!,0,IF(M22&gt;#REF!,0,1)))=0,1)</formula>
    </cfRule>
  </conditionalFormatting>
  <conditionalFormatting sqref="N10:N21">
    <cfRule type="expression" dxfId="1483" priority="27">
      <formula>IF(+(IF(N10&lt;W10,0,IF(N10&gt;X10,0,1)))=0,1)</formula>
    </cfRule>
  </conditionalFormatting>
  <conditionalFormatting sqref="P6">
    <cfRule type="cellIs" dxfId="1482" priority="161" operator="greaterThanOrEqual">
      <formula>19</formula>
    </cfRule>
  </conditionalFormatting>
  <dataValidations disablePrompts="1" count="1">
    <dataValidation type="list" allowBlank="1" showInputMessage="1" showErrorMessage="1" sqref="R8" xr:uid="{9D94FFFF-AAF5-4A1E-A850-08135BAD2A2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2727-A774-4EE6-BACF-310F4F87DF48}">
  <sheetPr>
    <pageSetUpPr fitToPage="1"/>
  </sheetPr>
  <dimension ref="A1:BE74"/>
  <sheetViews>
    <sheetView topLeftCell="A5" zoomScale="80" zoomScaleNormal="80" workbookViewId="0">
      <selection activeCell="C38" sqref="C38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45982</v>
      </c>
      <c r="J4" s="398" t="s">
        <v>194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193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 customHeight="1">
      <c r="B10" s="29"/>
      <c r="C10" s="366"/>
      <c r="D10" s="279"/>
      <c r="E10" s="279"/>
      <c r="F10" s="278"/>
      <c r="G10" s="279"/>
      <c r="H10" s="476"/>
      <c r="I10" s="368"/>
      <c r="J10" s="368"/>
      <c r="K10" s="281"/>
      <c r="L10" s="276"/>
      <c r="M10" s="397"/>
      <c r="N10" s="370"/>
      <c r="O10" s="421"/>
      <c r="P10" s="418"/>
      <c r="R10" s="277">
        <f t="shared" ref="R10:R36" si="0">B10</f>
        <v>0</v>
      </c>
      <c r="S10" s="296" t="e">
        <f t="shared" ref="S10:S36" si="1">VLOOKUP($B10,$R$3:$X$9,2,FALSE)</f>
        <v>#N/A</v>
      </c>
      <c r="T10" s="296" t="e">
        <f t="shared" ref="T10:T36" si="2">VLOOKUP($B10,$R$3:$X$9,3,FALSE)</f>
        <v>#N/A</v>
      </c>
      <c r="U10" s="297" t="e">
        <f t="shared" ref="U10:U36" si="3">VLOOKUP($B10,$R$3:$X$9,4,FALSE)</f>
        <v>#N/A</v>
      </c>
      <c r="V10" s="297" t="e">
        <f t="shared" ref="V10:V36" si="4">VLOOKUP($B10,$R$3:$X$9,5,FALSE)</f>
        <v>#N/A</v>
      </c>
      <c r="W10" s="297" t="e">
        <f t="shared" ref="W10:W36" si="5">VLOOKUP($B10,$R$3:$X$9,6,FALSE)</f>
        <v>#N/A</v>
      </c>
      <c r="X10" s="297" t="e">
        <f t="shared" ref="X10:X36" si="6">VLOOKUP($B10,$R$3:$X$9,7,FALSE)</f>
        <v>#N/A</v>
      </c>
      <c r="Y10" s="297" t="e">
        <f t="shared" ref="Y10:Y36" si="7">VLOOKUP($B10,$R$3:$Z$9,8,FALSE)</f>
        <v>#N/A</v>
      </c>
      <c r="Z10" s="296" t="e">
        <f t="shared" ref="Z10:Z36" si="8">VLOOKUP($B10,$R$3:$Z$9,9,FALSE)</f>
        <v>#N/A</v>
      </c>
    </row>
    <row r="11" spans="2:29" ht="1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421"/>
      <c r="P11" s="418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customHeight="1">
      <c r="B12" s="29"/>
      <c r="C12" s="366"/>
      <c r="D12" s="279"/>
      <c r="E12" s="279"/>
      <c r="F12" s="278"/>
      <c r="G12" s="279"/>
      <c r="H12" s="476"/>
      <c r="I12" s="368"/>
      <c r="J12" s="368"/>
      <c r="K12" s="281"/>
      <c r="L12" s="276"/>
      <c r="M12" s="397"/>
      <c r="N12" s="370"/>
      <c r="O12" s="421"/>
      <c r="P12" s="418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customHeight="1">
      <c r="B13" s="33"/>
      <c r="C13" s="366"/>
      <c r="D13" s="279"/>
      <c r="E13" s="279"/>
      <c r="F13" s="278"/>
      <c r="G13" s="279"/>
      <c r="H13" s="396"/>
      <c r="I13" s="420"/>
      <c r="J13" s="420"/>
      <c r="K13" s="281"/>
      <c r="L13" s="276"/>
      <c r="M13" s="374"/>
      <c r="N13" s="370"/>
      <c r="O13" s="421"/>
      <c r="P13" s="418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customHeight="1">
      <c r="B14" s="33"/>
      <c r="C14" s="366"/>
      <c r="D14" s="279"/>
      <c r="E14" s="279"/>
      <c r="F14" s="278"/>
      <c r="G14" s="279"/>
      <c r="H14" s="396"/>
      <c r="I14" s="420"/>
      <c r="J14" s="420"/>
      <c r="K14" s="281"/>
      <c r="L14" s="276"/>
      <c r="M14" s="374"/>
      <c r="N14" s="370"/>
      <c r="O14" s="421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33"/>
      <c r="C15" s="366"/>
      <c r="D15" s="279"/>
      <c r="E15" s="279"/>
      <c r="F15" s="278"/>
      <c r="G15" s="279"/>
      <c r="H15" s="396"/>
      <c r="I15" s="420"/>
      <c r="J15" s="420"/>
      <c r="K15" s="281"/>
      <c r="L15" s="276"/>
      <c r="M15" s="374"/>
      <c r="N15" s="370"/>
      <c r="O15" s="421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33"/>
      <c r="C16" s="366"/>
      <c r="D16" s="279"/>
      <c r="E16" s="279"/>
      <c r="F16" s="278"/>
      <c r="G16" s="279"/>
      <c r="H16" s="396"/>
      <c r="I16" s="420"/>
      <c r="J16" s="420"/>
      <c r="K16" s="281"/>
      <c r="L16" s="276"/>
      <c r="M16" s="374"/>
      <c r="N16" s="370"/>
      <c r="O16" s="42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.75" hidden="1" customHeight="1">
      <c r="B17" s="33"/>
      <c r="C17" s="366"/>
      <c r="D17" s="279"/>
      <c r="E17" s="279"/>
      <c r="F17" s="278"/>
      <c r="G17" s="279"/>
      <c r="H17" s="396"/>
      <c r="I17" s="420"/>
      <c r="J17" s="420"/>
      <c r="K17" s="281"/>
      <c r="L17" s="276"/>
      <c r="M17" s="374"/>
      <c r="N17" s="370"/>
      <c r="O17" s="42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.75" hidden="1" customHeight="1">
      <c r="B18" s="33"/>
      <c r="C18" s="366"/>
      <c r="D18" s="279"/>
      <c r="E18" s="279"/>
      <c r="F18" s="278"/>
      <c r="G18" s="279"/>
      <c r="H18" s="396"/>
      <c r="I18" s="420"/>
      <c r="J18" s="420"/>
      <c r="K18" s="281"/>
      <c r="L18" s="276"/>
      <c r="M18" s="374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.75" hidden="1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.75" hidden="1" customHeight="1">
      <c r="B20" s="33"/>
      <c r="C20" s="366"/>
      <c r="D20" s="279"/>
      <c r="E20" s="279"/>
      <c r="F20" s="278"/>
      <c r="G20" s="279"/>
      <c r="H20" s="396"/>
      <c r="I20" s="420"/>
      <c r="J20" s="420"/>
      <c r="K20" s="281"/>
      <c r="L20" s="276"/>
      <c r="M20" s="374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hidden="1" customHeight="1">
      <c r="B21" s="33"/>
      <c r="C21" s="366"/>
      <c r="D21" s="279"/>
      <c r="E21" s="279"/>
      <c r="F21" s="278"/>
      <c r="G21" s="279"/>
      <c r="H21" s="396"/>
      <c r="I21" s="420"/>
      <c r="J21" s="420"/>
      <c r="K21" s="281"/>
      <c r="L21" s="276"/>
      <c r="M21" s="374"/>
      <c r="N21" s="370"/>
      <c r="O21" s="42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12"/>
      <c r="J23" s="512"/>
      <c r="K23" s="512"/>
      <c r="L23" s="512"/>
      <c r="M23" s="512"/>
      <c r="N23" s="512"/>
      <c r="O23" s="1"/>
      <c r="P23" s="12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customHeight="1" thickBot="1">
      <c r="B24" s="388" t="s">
        <v>162</v>
      </c>
      <c r="C24" s="388"/>
      <c r="D24" s="490" t="s">
        <v>35</v>
      </c>
      <c r="E24" s="491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0"/>
        <v xml:space="preserve">BRAND 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" customHeight="1">
      <c r="A25" s="28"/>
      <c r="B25" s="589" t="s">
        <v>131</v>
      </c>
      <c r="C25" s="362"/>
      <c r="D25" s="516"/>
      <c r="E25" s="517"/>
      <c r="F25" s="294"/>
      <c r="G25" s="294"/>
      <c r="H25" s="348"/>
      <c r="I25" s="29" t="s">
        <v>6</v>
      </c>
      <c r="J25" s="280"/>
      <c r="K25" s="284">
        <f>COUNTA([24]Brewhouse!$A$914:$A$967)</f>
        <v>54</v>
      </c>
      <c r="L25" s="305">
        <f>AVERAGE([24]Brewhouse!$AU$914:$AU$967)</f>
        <v>98.016515774569797</v>
      </c>
      <c r="M25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$967)</f>
        <v>97.735477458281252</v>
      </c>
      <c r="N25" s="30">
        <v>98</v>
      </c>
      <c r="O25" s="11"/>
      <c r="P25" s="31"/>
      <c r="R25" s="277" t="str">
        <f t="shared" si="0"/>
        <v>CARIBE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" customHeight="1">
      <c r="A26" s="28"/>
      <c r="B26" s="514"/>
      <c r="C26" s="362"/>
      <c r="D26" s="518"/>
      <c r="E26" s="519"/>
      <c r="F26" s="294"/>
      <c r="G26" s="294"/>
      <c r="H26" s="348"/>
      <c r="I26" s="33" t="s">
        <v>9</v>
      </c>
      <c r="J26" s="280"/>
      <c r="K26" s="284">
        <f>COUNTA([25]Brewhouse!$A$449:$A$472)</f>
        <v>24</v>
      </c>
      <c r="L26" s="302">
        <f>AVERAGE([25]Brewhouse!$AS$449:$AS$472)</f>
        <v>97.303445320396108</v>
      </c>
      <c r="M26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$472)</f>
        <v>97.892654819970858</v>
      </c>
      <c r="N26" s="30">
        <v>98</v>
      </c>
      <c r="O26" s="11"/>
      <c r="P26" s="31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4.65" customHeight="1">
      <c r="A27" s="28"/>
      <c r="B27" s="514"/>
      <c r="C27" s="362"/>
      <c r="D27" s="566"/>
      <c r="E27" s="567"/>
      <c r="F27" s="294"/>
      <c r="G27" s="294"/>
      <c r="H27" s="348"/>
      <c r="I27" s="34" t="s">
        <v>12</v>
      </c>
      <c r="J27" s="280"/>
      <c r="K27" s="284"/>
      <c r="L27" s="302"/>
      <c r="M27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27" s="30">
        <v>98</v>
      </c>
      <c r="O27" s="11"/>
      <c r="P27" s="31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14"/>
      <c r="C28" s="362"/>
      <c r="D28" s="531"/>
      <c r="E28" s="519"/>
      <c r="F28" s="294"/>
      <c r="G28" s="294"/>
      <c r="H28" s="348"/>
      <c r="I28" s="22" t="s">
        <v>33</v>
      </c>
      <c r="J28" s="280"/>
      <c r="K28" s="284">
        <f>COUNTA([23]Brewhouse!$A$97:$A$104)</f>
        <v>8</v>
      </c>
      <c r="L28" s="302">
        <f>AVERAGE([23]Brewhouse!$AV$97:$AV$104)</f>
        <v>98.419138016287462</v>
      </c>
      <c r="M28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28" s="30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14"/>
      <c r="C29" s="362"/>
      <c r="D29" s="566"/>
      <c r="E29" s="567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14"/>
      <c r="C30" s="362"/>
      <c r="D30" s="531"/>
      <c r="E30" s="519"/>
      <c r="F30" s="417"/>
      <c r="G30" s="294"/>
      <c r="H30" s="348"/>
      <c r="I30" s="36" t="s">
        <v>15</v>
      </c>
      <c r="J30" s="323"/>
      <c r="K30" s="284"/>
      <c r="L30" s="302"/>
      <c r="M30" s="302">
        <f>AVERAGE([27]Brewhouse!$AT$4:$AT$11,[27]Brewhouse!$AT$13:$AT$16,[27]Brewhouse!$AT$18:$AT$21,[27]Brewhouse!$AT$26,[27]Brewhouse!$AT$28:$AT$35)</f>
        <v>94.794664331624134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  <c r="AA30" s="296"/>
    </row>
    <row r="31" spans="1:27" ht="14.65" customHeight="1">
      <c r="A31" s="28"/>
      <c r="B31" s="514"/>
      <c r="C31" s="362"/>
      <c r="D31" s="566"/>
      <c r="E31" s="567"/>
      <c r="F31" s="417"/>
      <c r="G31" s="294"/>
      <c r="H31" s="348"/>
      <c r="I31" s="37" t="s">
        <v>16</v>
      </c>
      <c r="J31" s="323"/>
      <c r="K31" s="284">
        <f>COUNTA([22]Brewhouse!$A$94:$A$97)</f>
        <v>4</v>
      </c>
      <c r="L31" s="302">
        <f>AVERAGE([22]Brewhouse!$AY$94:$AY$97)</f>
        <v>95.326767995731288</v>
      </c>
      <c r="M31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1" s="30">
        <v>98</v>
      </c>
      <c r="O31" s="11"/>
      <c r="P31" s="31" t="s">
        <v>41</v>
      </c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4.65" customHeight="1">
      <c r="A32" s="28"/>
      <c r="B32" s="514"/>
      <c r="C32" s="362"/>
      <c r="D32" s="531"/>
      <c r="E32" s="519"/>
      <c r="F32" s="294"/>
      <c r="G32" s="294"/>
      <c r="H32" s="348"/>
      <c r="I32" s="411" t="s">
        <v>158</v>
      </c>
      <c r="J32" s="326"/>
      <c r="K32" s="284"/>
      <c r="L32" s="305"/>
      <c r="M32" s="305">
        <f>AVERAGE([28]Brewhouse!$AU$5:$AU$8,[28]Brewhouse!$AU$10:$AU$13,[22]Brewhouse!$AY$75:$AY$77)</f>
        <v>94.749192473706671</v>
      </c>
      <c r="N32" s="3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4.65" customHeight="1">
      <c r="A33" s="28"/>
      <c r="B33" s="514"/>
      <c r="C33" s="349"/>
      <c r="D33" s="566"/>
      <c r="E33" s="567"/>
      <c r="F33" s="294"/>
      <c r="G33" s="294"/>
      <c r="H33" s="348"/>
      <c r="I33" s="410" t="s">
        <v>157</v>
      </c>
      <c r="J33" s="326"/>
      <c r="K33" s="284"/>
      <c r="L33" s="305"/>
      <c r="M33" s="305">
        <f>AVERAGE([29]Brewhouse!$AW$26:$AW$27)</f>
        <v>95.310680905194914</v>
      </c>
      <c r="N33" s="3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5" customHeight="1" thickBot="1">
      <c r="A34" s="28"/>
      <c r="B34" s="514"/>
      <c r="C34" s="349"/>
      <c r="D34" s="531"/>
      <c r="E34" s="519"/>
      <c r="F34" s="294"/>
      <c r="G34" s="294"/>
      <c r="H34" s="348"/>
      <c r="I34" s="406" t="s">
        <v>156</v>
      </c>
      <c r="J34" s="327"/>
      <c r="K34" s="407"/>
      <c r="L34" s="408"/>
      <c r="M34" s="408">
        <f>AVERAGE([30]Brewhouse!$AU$13:$AU$14)</f>
        <v>97.110575243268045</v>
      </c>
      <c r="N34" s="409">
        <v>98</v>
      </c>
      <c r="O34" s="11"/>
      <c r="P34" s="31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5" customHeight="1" thickBot="1">
      <c r="A35" s="28"/>
      <c r="B35" s="514"/>
      <c r="C35" s="349"/>
      <c r="D35" s="516"/>
      <c r="E35" s="517"/>
      <c r="F35" s="294"/>
      <c r="G35" s="294"/>
      <c r="H35" s="348"/>
      <c r="I35" s="1"/>
      <c r="J35" s="39"/>
      <c r="K35" s="404">
        <f>SUM(K25:K34)</f>
        <v>90</v>
      </c>
      <c r="L35" s="405">
        <f>((L25*K25)+(L26*K26)+(L27*K27)+(L28*K28)+(L29*K29)+(K32*L32)+(L30*K30)+(L31*K31)+(L34*K34))/(K35)</f>
        <v>97.742607951438899</v>
      </c>
      <c r="M35" s="405">
        <f>AVERAGE('[31]Jan 31st'!$L$65,'[32]Feb 28th'!$L$35,'[33]Mar. 31st'!$L$35,'[34]Apr. 30th'!$L$45,'[35]May 30th'!$L$37,'[36]June 30th'!$L$57,'[37]July 29th '!$L$44,'[38]Aug 29th'!$L$29,'[39]Sept 30th'!$L$35,L35)</f>
        <v>97.592211034825681</v>
      </c>
      <c r="N35" s="40">
        <v>98</v>
      </c>
      <c r="O35" s="11"/>
      <c r="P35" s="31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5.75" thickBot="1">
      <c r="B36" s="588"/>
      <c r="C36" s="350"/>
      <c r="D36" s="518"/>
      <c r="E36" s="519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5.75" thickBot="1">
      <c r="B37" s="585" t="str">
        <f>I27</f>
        <v>GUINNESS</v>
      </c>
      <c r="C37" s="362" cm="1">
        <f t="array" ref="C37:C40">[26]Process!$D$119:$D$122</f>
        <v>17.2</v>
      </c>
      <c r="D37" s="529">
        <v>17.45</v>
      </c>
      <c r="E37" s="530"/>
      <c r="F37" s="294"/>
      <c r="G37" s="42"/>
      <c r="H37" s="41"/>
      <c r="I37" s="42"/>
      <c r="J37" s="565" t="s">
        <v>129</v>
      </c>
      <c r="K37" s="565"/>
      <c r="L37" s="294"/>
      <c r="M37" s="294"/>
      <c r="N37" s="294"/>
      <c r="O37" s="294"/>
      <c r="P37" s="12"/>
    </row>
    <row r="38" spans="1:56" ht="15.75" thickBot="1">
      <c r="B38" s="586"/>
      <c r="C38" s="362">
        <v>17.399999999999999</v>
      </c>
      <c r="D38" s="531"/>
      <c r="E38" s="519"/>
      <c r="F38" s="294"/>
      <c r="G38" s="42"/>
      <c r="H38" s="41"/>
      <c r="I38" s="41"/>
      <c r="J38" s="292" t="s">
        <v>17</v>
      </c>
      <c r="K38" s="293" t="s">
        <v>147</v>
      </c>
      <c r="L38" s="533" t="s">
        <v>136</v>
      </c>
      <c r="M38" s="533"/>
      <c r="N38" s="534"/>
      <c r="O38" s="294"/>
      <c r="P38" s="12"/>
    </row>
    <row r="39" spans="1:56" ht="15" customHeight="1" thickBot="1">
      <c r="B39" s="586"/>
      <c r="C39" s="349">
        <v>17.2</v>
      </c>
      <c r="D39" s="566">
        <v>17.62</v>
      </c>
      <c r="E39" s="567"/>
      <c r="F39" s="294"/>
      <c r="G39" s="42"/>
      <c r="H39" s="41"/>
      <c r="I39" s="41"/>
      <c r="J39" s="287" t="s">
        <v>6</v>
      </c>
      <c r="K39" s="324"/>
      <c r="L39" s="343" t="s">
        <v>37</v>
      </c>
      <c r="M39" s="307" t="s">
        <v>38</v>
      </c>
      <c r="N39" s="307" t="s">
        <v>84</v>
      </c>
      <c r="O39" s="294"/>
      <c r="P39" s="12"/>
    </row>
    <row r="40" spans="1:56" ht="15.75" customHeight="1" thickBot="1">
      <c r="B40" s="586"/>
      <c r="C40" s="349">
        <v>17</v>
      </c>
      <c r="D40" s="531"/>
      <c r="E40" s="519"/>
      <c r="F40" s="294"/>
      <c r="G40" s="42"/>
      <c r="H40" s="41"/>
      <c r="I40" s="41"/>
      <c r="J40" s="345" t="s">
        <v>9</v>
      </c>
      <c r="K40" s="324"/>
      <c r="L40" s="344">
        <f>AVERAGE('Nov 19th '!K49,'Nov 18th'!K58,'Nov 15th'!K53,'Nov 13th&amp; 14th'!J53,'Nov 13th&amp; 14th'!K53,'Nov 12th'!K47,'Nov 11th'!K51,'Nov 10th'!K53,'Nov 6th '!K52,'Nov 7th-8th'!J55,'Nov 7th-8th'!K55,'Nov 4th'!K52,'Nov 5th'!K51,Nov.3rd!K52)</f>
        <v>6.5714285714285712</v>
      </c>
      <c r="M40" s="325">
        <f>AVERAGE('[31]Jan 29th '!$M$70,'[32]Feb 28th'!$L$40,'[33]Mar. 31st'!$L$40,'[34]Apr. 30th'!$L$50,'[35]May 30th'!$L$42,'[36]June 30th'!$L$62,'[37]July 29th '!$L$49,'[38]Aug 29th'!$L$34,'[39]Sept 30th'!$L$40,[40]Oct.31st!$L$43,L40)</f>
        <v>7.0185577199307172</v>
      </c>
      <c r="N40" s="416">
        <v>9.1999999999999993</v>
      </c>
      <c r="O40" s="294"/>
      <c r="P40" s="12"/>
    </row>
    <row r="41" spans="1:56" ht="15" customHeight="1">
      <c r="B41" s="586"/>
      <c r="C41" s="349"/>
      <c r="D41" s="566"/>
      <c r="E41" s="567"/>
      <c r="F41" s="294"/>
      <c r="G41" s="42"/>
      <c r="H41" s="41"/>
      <c r="I41" s="41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86"/>
      <c r="C42" s="349"/>
      <c r="D42" s="531"/>
      <c r="E42" s="519"/>
      <c r="F42" s="294"/>
      <c r="G42" s="42"/>
      <c r="H42" s="41"/>
      <c r="I42" s="41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86"/>
      <c r="C43" s="349"/>
      <c r="D43" s="566"/>
      <c r="E43" s="567"/>
      <c r="F43" s="294"/>
      <c r="G43" s="42"/>
      <c r="H43" s="41"/>
      <c r="I43" s="41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86"/>
      <c r="C44" s="349"/>
      <c r="D44" s="531"/>
      <c r="E44" s="519"/>
      <c r="F44" s="294"/>
      <c r="G44" s="42"/>
      <c r="H44" s="41"/>
      <c r="I44" s="41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86"/>
      <c r="C45" s="349"/>
      <c r="D45" s="566"/>
      <c r="E45" s="567"/>
      <c r="F45" s="294"/>
      <c r="G45" s="42"/>
      <c r="H45" s="41"/>
      <c r="I45" s="41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90"/>
      <c r="C46" s="350"/>
      <c r="D46" s="568"/>
      <c r="E46" s="569"/>
      <c r="F46" s="294" t="s">
        <v>168</v>
      </c>
      <c r="G46" s="42"/>
      <c r="H46" s="41"/>
      <c r="I46" s="41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76"/>
      <c r="E47" s="577"/>
      <c r="F47" s="294"/>
      <c r="H47" s="41"/>
      <c r="I47" s="41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1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1"/>
      <c r="I49" s="41"/>
      <c r="J49" s="346" t="s">
        <v>130</v>
      </c>
      <c r="K49" s="324"/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41" t="s">
        <v>17</v>
      </c>
      <c r="C52" s="541" t="s">
        <v>44</v>
      </c>
      <c r="D52" s="543" t="s">
        <v>45</v>
      </c>
      <c r="E52" s="498" t="s">
        <v>46</v>
      </c>
      <c r="F52" s="558" t="s">
        <v>47</v>
      </c>
      <c r="G52" s="552" t="s">
        <v>48</v>
      </c>
      <c r="H52" s="541" t="s">
        <v>49</v>
      </c>
      <c r="I52" s="541" t="s">
        <v>50</v>
      </c>
      <c r="J52" s="546" t="s">
        <v>28</v>
      </c>
      <c r="K52" s="496" t="s">
        <v>51</v>
      </c>
      <c r="L52" s="508" t="s">
        <v>52</v>
      </c>
      <c r="M52" s="546" t="s">
        <v>53</v>
      </c>
      <c r="N52" s="13"/>
      <c r="O52" s="13"/>
      <c r="P52" s="50"/>
    </row>
    <row r="53" spans="2:57" ht="28.5" customHeight="1" thickTop="1" thickBot="1">
      <c r="B53" s="542"/>
      <c r="C53" s="542"/>
      <c r="D53" s="544"/>
      <c r="E53" s="545"/>
      <c r="F53" s="559"/>
      <c r="G53" s="553"/>
      <c r="H53" s="560"/>
      <c r="I53" s="560"/>
      <c r="J53" s="547"/>
      <c r="K53" s="556"/>
      <c r="L53" s="557"/>
      <c r="M53" s="547"/>
      <c r="N53" s="13"/>
      <c r="O53" s="13"/>
      <c r="P53" s="50"/>
      <c r="Q53" s="355"/>
      <c r="AB53" s="51">
        <v>43474</v>
      </c>
      <c r="AC53" s="51">
        <v>43475</v>
      </c>
      <c r="AD53" s="51">
        <v>43476</v>
      </c>
      <c r="AE53" s="51">
        <v>43477</v>
      </c>
      <c r="AF53" s="51">
        <v>43478</v>
      </c>
      <c r="AG53" s="51">
        <v>43479</v>
      </c>
      <c r="AH53" s="51">
        <v>43480</v>
      </c>
      <c r="AI53" s="51">
        <v>43481</v>
      </c>
      <c r="AJ53" s="51">
        <v>43482</v>
      </c>
      <c r="AK53" s="51">
        <v>43483</v>
      </c>
      <c r="AL53" s="51">
        <v>43484</v>
      </c>
      <c r="AM53" s="51">
        <v>43485</v>
      </c>
      <c r="AN53" s="51">
        <v>43486</v>
      </c>
      <c r="AO53" s="51">
        <v>43487</v>
      </c>
      <c r="AP53" s="51">
        <v>43488</v>
      </c>
      <c r="AQ53" s="51">
        <v>43489</v>
      </c>
      <c r="AR53" s="51">
        <v>43490</v>
      </c>
      <c r="AS53" s="51">
        <v>43491</v>
      </c>
      <c r="AT53" s="51">
        <v>43492</v>
      </c>
      <c r="AU53" s="51">
        <v>43493</v>
      </c>
      <c r="AV53" s="51">
        <v>43494</v>
      </c>
      <c r="AW53" s="51">
        <v>43495</v>
      </c>
      <c r="AX53" s="51">
        <v>43496</v>
      </c>
    </row>
    <row r="54" spans="2:57" s="54" customFormat="1" ht="43.15" customHeight="1" thickBot="1">
      <c r="B54" s="477" t="str">
        <f>I27</f>
        <v>GUINNESS</v>
      </c>
      <c r="C54" s="442">
        <v>45981</v>
      </c>
      <c r="D54" s="443">
        <f>[41]November_2025!$W$23</f>
        <v>221.2</v>
      </c>
      <c r="E54" s="444">
        <f>SUM([43]GUINNESS!$S$6)</f>
        <v>3.4000000000000004</v>
      </c>
      <c r="F54" s="445">
        <f>SUM([43]GUINNESS!$L$6:$L$9)</f>
        <v>200</v>
      </c>
      <c r="G54" s="445">
        <f>[41]November_2025!$W$28</f>
        <v>190</v>
      </c>
      <c r="H54" s="460">
        <f>(D54-F54)/D54*100</f>
        <v>9.584086799276669</v>
      </c>
      <c r="I54" s="460">
        <f>((F54+E54)-G54)/(F54+E54)*100</f>
        <v>6.5880039331366795</v>
      </c>
      <c r="J54" s="449" t="s">
        <v>172</v>
      </c>
      <c r="K54" s="450">
        <f>[42]November_2025!$W$32</f>
        <v>0.22222222222222224</v>
      </c>
      <c r="L54" s="459">
        <f>(((D54+E54)-G54)/(D54+E54))*100</f>
        <v>15.405164737310773</v>
      </c>
      <c r="M54" s="456" t="s">
        <v>167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[20]January_2019!L7</f>
        <v>285.8</v>
      </c>
      <c r="AC54" s="57">
        <f>[20]January_2019!M7</f>
        <v>508.1</v>
      </c>
      <c r="AD54" s="57">
        <f>[20]January_2019!N7</f>
        <v>0</v>
      </c>
      <c r="AE54" s="57">
        <f>[20]January_2019!O7</f>
        <v>0</v>
      </c>
      <c r="AF54" s="57">
        <f>[20]January_2019!P7</f>
        <v>109.56666666666666</v>
      </c>
      <c r="AG54" s="57">
        <f>[20]January_2019!Q7</f>
        <v>297.64999999999998</v>
      </c>
      <c r="AH54" s="57">
        <f>[20]January_2019!R7</f>
        <v>122.3</v>
      </c>
      <c r="AI54" s="57">
        <f>[20]January_2019!S7</f>
        <v>0</v>
      </c>
      <c r="AJ54" s="57">
        <f>[20]January_2019!T7</f>
        <v>294.7</v>
      </c>
      <c r="AK54" s="57">
        <f>[20]January_2019!U7</f>
        <v>280.5</v>
      </c>
      <c r="AL54" s="57">
        <f>[20]January_2019!V7</f>
        <v>0</v>
      </c>
      <c r="AM54" s="57">
        <f>[20]January_2019!W7</f>
        <v>0</v>
      </c>
      <c r="AN54" s="57">
        <f>[20]January_2019!X7</f>
        <v>188.25</v>
      </c>
      <c r="AO54" s="57">
        <f>[20]January_2019!Y7</f>
        <v>295.7</v>
      </c>
      <c r="AP54" s="57">
        <f>[20]January_2019!Z7</f>
        <v>257.8</v>
      </c>
      <c r="AQ54" s="57">
        <f>[20]January_2019!AA7</f>
        <v>291.2</v>
      </c>
      <c r="AR54" s="57">
        <f>[20]January_2019!AB7</f>
        <v>187</v>
      </c>
      <c r="AS54" s="57">
        <f>[20]January_2019!AC7</f>
        <v>0</v>
      </c>
      <c r="AT54" s="57">
        <f>[20]January_2019!AD7</f>
        <v>0</v>
      </c>
      <c r="AU54" s="57">
        <f>[20]January_2019!AE7</f>
        <v>485.1</v>
      </c>
      <c r="AV54" s="57">
        <f>[20]January_2019!AF7</f>
        <v>171.55</v>
      </c>
      <c r="AW54" s="57">
        <f>[20]January_2019!AG7</f>
        <v>423.8</v>
      </c>
      <c r="AX54" s="277">
        <f>[20]January_2019!AH7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20.45" hidden="1" customHeight="1" thickBot="1">
      <c r="B55" s="473"/>
      <c r="C55" s="431"/>
      <c r="D55" s="432"/>
      <c r="E55" s="433"/>
      <c r="F55" s="434"/>
      <c r="G55" s="435"/>
      <c r="H55" s="429"/>
      <c r="I55" s="429"/>
      <c r="J55" s="452"/>
      <c r="K55" s="437"/>
      <c r="L55" s="453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450000000000003" hidden="1" customHeight="1" thickBot="1">
      <c r="B56" s="458"/>
      <c r="C56" s="442"/>
      <c r="D56" s="443"/>
      <c r="E56" s="444"/>
      <c r="F56" s="445"/>
      <c r="G56" s="446"/>
      <c r="H56" s="460"/>
      <c r="I56" s="460"/>
      <c r="J56" s="449"/>
      <c r="K56" s="462"/>
      <c r="L56" s="459" t="e">
        <f>(((D56+E56)-G56)/(D56+E56))*100</f>
        <v>#DIV/0!</v>
      </c>
      <c r="M56" s="456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4"/>
      <c r="C57" s="431"/>
      <c r="D57" s="432"/>
      <c r="E57" s="433"/>
      <c r="F57" s="434"/>
      <c r="G57" s="435"/>
      <c r="H57" s="436"/>
      <c r="I57" s="451"/>
      <c r="J57" s="452"/>
      <c r="K57" s="437"/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61"/>
      <c r="C58" s="442"/>
      <c r="D58" s="443"/>
      <c r="E58" s="444"/>
      <c r="F58" s="445"/>
      <c r="G58" s="446"/>
      <c r="H58" s="447"/>
      <c r="I58" s="448"/>
      <c r="J58" s="449"/>
      <c r="K58" s="450"/>
      <c r="L58" s="459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customHeight="1" thickBot="1">
      <c r="B59" s="438"/>
      <c r="C59" s="424"/>
      <c r="D59" s="425"/>
      <c r="E59" s="426"/>
      <c r="F59" s="427"/>
      <c r="G59" s="428"/>
      <c r="H59" s="429"/>
      <c r="I59" s="439"/>
      <c r="J59" s="440"/>
      <c r="K59" s="430"/>
      <c r="L59" s="441"/>
      <c r="M59" s="423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61"/>
      <c r="C60" s="442"/>
      <c r="D60" s="443"/>
      <c r="E60" s="444"/>
      <c r="F60" s="445"/>
      <c r="G60" s="446"/>
      <c r="H60" s="447"/>
      <c r="I60" s="448"/>
      <c r="J60" s="449"/>
      <c r="K60" s="450"/>
      <c r="L60" s="459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70"/>
      <c r="C61" s="431"/>
      <c r="D61" s="464"/>
      <c r="E61" s="465"/>
      <c r="F61" s="466"/>
      <c r="G61" s="464"/>
      <c r="H61" s="467"/>
      <c r="I61" s="467"/>
      <c r="J61" s="467"/>
      <c r="K61" s="468"/>
      <c r="L61" s="469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48" t="s">
        <v>55</v>
      </c>
      <c r="C63" s="549"/>
      <c r="D63" s="549"/>
      <c r="E63" s="549"/>
      <c r="F63" s="550"/>
      <c r="G63" s="548" t="s">
        <v>56</v>
      </c>
      <c r="H63" s="549"/>
      <c r="I63" s="549"/>
      <c r="J63" s="550"/>
      <c r="K63" s="548" t="s">
        <v>51</v>
      </c>
      <c r="L63" s="549"/>
      <c r="M63" s="549"/>
      <c r="N63" s="551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282"/>
      <c r="D65" s="76">
        <v>7.1283576452815742</v>
      </c>
      <c r="E65" s="76">
        <v>6.1222938123378228</v>
      </c>
      <c r="F65" s="66">
        <v>4.8</v>
      </c>
      <c r="G65" s="65"/>
      <c r="H65" s="76">
        <v>7.387406767239832</v>
      </c>
      <c r="I65" s="76">
        <v>6.1206531213867956</v>
      </c>
      <c r="J65" s="66">
        <v>4.8</v>
      </c>
      <c r="K65" s="67"/>
      <c r="L65" s="194">
        <v>0.39490058479532164</v>
      </c>
      <c r="M65" s="194">
        <v>0.71715117150450269</v>
      </c>
      <c r="N65" s="68">
        <v>1</v>
      </c>
      <c r="O65" s="56"/>
      <c r="P65" s="69"/>
    </row>
    <row r="66" spans="2:16" ht="15">
      <c r="B66" s="33" t="s">
        <v>9</v>
      </c>
      <c r="C66" s="65"/>
      <c r="D66" s="76">
        <v>5.1853750213565721</v>
      </c>
      <c r="E66" s="76">
        <v>5.7200467929828971</v>
      </c>
      <c r="F66" s="66">
        <v>4.8</v>
      </c>
      <c r="G66" s="65"/>
      <c r="H66" s="76">
        <v>3.6096118625802744</v>
      </c>
      <c r="I66" s="76">
        <v>6.2674198164664059</v>
      </c>
      <c r="J66" s="66">
        <v>4.8</v>
      </c>
      <c r="K66" s="67"/>
      <c r="L66" s="194">
        <v>0.59464912280701754</v>
      </c>
      <c r="M66" s="194">
        <v>0.67381772220369407</v>
      </c>
      <c r="N66" s="68">
        <v>1</v>
      </c>
      <c r="P66" s="69"/>
    </row>
    <row r="67" spans="2:16" ht="15">
      <c r="B67" s="34" t="s">
        <v>40</v>
      </c>
      <c r="C67" s="65">
        <f>L54</f>
        <v>15.405164737310773</v>
      </c>
      <c r="D67" s="76">
        <v>11.223996129656527</v>
      </c>
      <c r="E67" s="76">
        <v>11.016453256230184</v>
      </c>
      <c r="F67" s="66">
        <v>5.5</v>
      </c>
      <c r="G67" s="65">
        <f>[41]November_2025!$W$32</f>
        <v>14.566136182756908</v>
      </c>
      <c r="H67" s="76">
        <v>10.76956909379566</v>
      </c>
      <c r="I67" s="76">
        <v>12.536311479158377</v>
      </c>
      <c r="J67" s="66">
        <v>5.5</v>
      </c>
      <c r="K67" s="67">
        <f>K54</f>
        <v>0.22222222222222224</v>
      </c>
      <c r="L67" s="194">
        <v>0.26637426900584799</v>
      </c>
      <c r="M67" s="194">
        <v>0.51633622959452352</v>
      </c>
      <c r="N67" s="68">
        <v>1</v>
      </c>
      <c r="P67" s="69"/>
    </row>
    <row r="68" spans="2:16" ht="15">
      <c r="B68" s="22" t="s">
        <v>33</v>
      </c>
      <c r="C68" s="65"/>
      <c r="D68" s="76">
        <v>3.7833827893175105</v>
      </c>
      <c r="E68" s="76">
        <v>4.6226456706805745</v>
      </c>
      <c r="F68" s="66">
        <v>3.3</v>
      </c>
      <c r="G68" s="65"/>
      <c r="H68" s="76">
        <v>3.7421885632627285</v>
      </c>
      <c r="I68" s="76">
        <v>4.4171317623593813</v>
      </c>
      <c r="J68" s="66">
        <v>3.3</v>
      </c>
      <c r="K68" s="67"/>
      <c r="L68" s="194">
        <v>0.68263157894736837</v>
      </c>
      <c r="M68" s="194">
        <v>0.83111215538847116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>
        <v>7.837301587301579</v>
      </c>
      <c r="F69" s="66">
        <v>3.3</v>
      </c>
      <c r="G69" s="282"/>
      <c r="H69" s="76"/>
      <c r="I69" s="76">
        <v>5.3377569154690221</v>
      </c>
      <c r="J69" s="66">
        <v>3</v>
      </c>
      <c r="K69" s="67"/>
      <c r="L69" s="194"/>
      <c r="M69" s="194">
        <v>0.32596491228070179</v>
      </c>
      <c r="N69" s="68">
        <v>1</v>
      </c>
      <c r="P69" s="69"/>
    </row>
    <row r="70" spans="2:16" ht="15">
      <c r="B70" s="36" t="s">
        <v>15</v>
      </c>
      <c r="C70" s="65"/>
      <c r="D70" s="76"/>
      <c r="E70" s="76">
        <v>6.8851328044153277</v>
      </c>
      <c r="F70" s="70">
        <f>[21]May_2022!$M$43</f>
        <v>3.4878406700073312</v>
      </c>
      <c r="G70" s="282"/>
      <c r="H70" s="76"/>
      <c r="I70" s="76">
        <v>8.6614709463340702</v>
      </c>
      <c r="J70" s="66">
        <v>5.5</v>
      </c>
      <c r="K70" s="67"/>
      <c r="L70" s="194"/>
      <c r="M70" s="194">
        <v>0.73160818713450293</v>
      </c>
      <c r="N70" s="68">
        <v>1</v>
      </c>
      <c r="P70" s="69"/>
    </row>
    <row r="71" spans="2:16" ht="15">
      <c r="B71" s="37" t="s">
        <v>16</v>
      </c>
      <c r="C71" s="65"/>
      <c r="D71" s="76">
        <v>2.6328862394436081</v>
      </c>
      <c r="E71" s="76">
        <v>2.9297033255778997</v>
      </c>
      <c r="F71" s="66">
        <v>3.3</v>
      </c>
      <c r="G71" s="282"/>
      <c r="H71" s="76">
        <v>2.6328862394435983</v>
      </c>
      <c r="I71" s="76">
        <v>4.2684292436723528</v>
      </c>
      <c r="J71" s="66">
        <v>3.3</v>
      </c>
      <c r="K71" s="67"/>
      <c r="L71" s="194">
        <v>0.68771929824561406</v>
      </c>
      <c r="M71" s="194">
        <v>0.84660147761842675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>
        <v>11.483253588516746</v>
      </c>
      <c r="F72" s="66">
        <v>7.5</v>
      </c>
      <c r="G72" s="282"/>
      <c r="H72" s="76"/>
      <c r="I72" s="76">
        <v>9.7934336121043764</v>
      </c>
      <c r="J72" s="66">
        <v>7.5</v>
      </c>
      <c r="K72" s="67"/>
      <c r="M72" s="194">
        <v>0.32456140350877194</v>
      </c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>
        <v>7.2653644592663174</v>
      </c>
      <c r="F73" s="66">
        <v>4.8</v>
      </c>
      <c r="G73" s="282"/>
      <c r="H73" s="76"/>
      <c r="I73" s="76">
        <v>8.1715311054411259</v>
      </c>
      <c r="J73" s="66">
        <v>4.8</v>
      </c>
      <c r="K73" s="67"/>
      <c r="L73" s="194"/>
      <c r="M73" s="194">
        <v>0.51368421052631585</v>
      </c>
      <c r="N73" s="71">
        <v>1</v>
      </c>
      <c r="O73" s="74"/>
      <c r="P73" s="75"/>
    </row>
    <row r="74" spans="2:16" ht="15">
      <c r="D74" s="76">
        <v>6.4693593314763289</v>
      </c>
      <c r="E74" s="76">
        <v>6.1412486438672405</v>
      </c>
      <c r="F74" s="341">
        <v>5.5</v>
      </c>
      <c r="H74" s="76">
        <v>6.0245701609844353</v>
      </c>
      <c r="I74" s="76">
        <v>6.620481887638455</v>
      </c>
      <c r="J74" s="341">
        <v>5.5</v>
      </c>
      <c r="L74" s="194">
        <v>0.47179580896686157</v>
      </c>
      <c r="M74" s="194">
        <v>0.69596333632019114</v>
      </c>
      <c r="N74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3:F63"/>
    <mergeCell ref="G63:J63"/>
    <mergeCell ref="K63:N63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1481" priority="45" operator="notBetween">
      <formula>#REF!</formula>
      <formula>#REF!</formula>
    </cfRule>
  </conditionalFormatting>
  <conditionalFormatting sqref="C51">
    <cfRule type="cellIs" dxfId="1480" priority="195" stopIfTrue="1" operator="greaterThan">
      <formula>100</formula>
    </cfRule>
    <cfRule type="cellIs" dxfId="1479" priority="194" stopIfTrue="1" operator="lessThan">
      <formula>96</formula>
    </cfRule>
  </conditionalFormatting>
  <conditionalFormatting sqref="C65:C69">
    <cfRule type="cellIs" dxfId="1478" priority="148" stopIfTrue="1" operator="lessThanOrEqual">
      <formula>0</formula>
    </cfRule>
  </conditionalFormatting>
  <conditionalFormatting sqref="C65:C73">
    <cfRule type="cellIs" dxfId="1477" priority="147" stopIfTrue="1" operator="greaterThan">
      <formula>$F65</formula>
    </cfRule>
  </conditionalFormatting>
  <conditionalFormatting sqref="C66">
    <cfRule type="cellIs" dxfId="1476" priority="198" stopIfTrue="1" operator="greaterThan">
      <formula>$F65</formula>
    </cfRule>
  </conditionalFormatting>
  <conditionalFormatting sqref="C70">
    <cfRule type="cellIs" dxfId="1475" priority="87" stopIfTrue="1" operator="lessThanOrEqual">
      <formula>0</formula>
    </cfRule>
    <cfRule type="cellIs" dxfId="1474" priority="88" stopIfTrue="1" operator="greaterThan">
      <formula>$F69</formula>
    </cfRule>
  </conditionalFormatting>
  <conditionalFormatting sqref="C76:C80">
    <cfRule type="cellIs" dxfId="1473" priority="186" stopIfTrue="1" operator="lessThanOrEqual">
      <formula>0</formula>
    </cfRule>
  </conditionalFormatting>
  <conditionalFormatting sqref="C77:C80">
    <cfRule type="cellIs" dxfId="1472" priority="185" stopIfTrue="1" operator="greaterThan">
      <formula>$F$76</formula>
    </cfRule>
  </conditionalFormatting>
  <conditionalFormatting sqref="C82">
    <cfRule type="cellIs" dxfId="1471" priority="188" stopIfTrue="1" operator="lessThanOrEqual">
      <formula>0</formula>
    </cfRule>
    <cfRule type="cellIs" dxfId="1470" priority="187" stopIfTrue="1" operator="greaterThan">
      <formula>$F$76</formula>
    </cfRule>
  </conditionalFormatting>
  <conditionalFormatting sqref="C76:D76 D78:D84">
    <cfRule type="cellIs" dxfId="1469" priority="180" stopIfTrue="1" operator="greaterThan">
      <formula>4.5</formula>
    </cfRule>
  </conditionalFormatting>
  <conditionalFormatting sqref="D47:D48">
    <cfRule type="cellIs" dxfId="1468" priority="46" operator="notBetween">
      <formula>#REF!</formula>
      <formula>#REF!</formula>
    </cfRule>
  </conditionalFormatting>
  <conditionalFormatting sqref="D65:D72">
    <cfRule type="cellIs" dxfId="1467" priority="160" stopIfTrue="1" operator="lessThanOrEqual">
      <formula>0</formula>
    </cfRule>
  </conditionalFormatting>
  <conditionalFormatting sqref="D73">
    <cfRule type="cellIs" dxfId="1466" priority="159" stopIfTrue="1" operator="lessThanOrEqual">
      <formula>0</formula>
    </cfRule>
  </conditionalFormatting>
  <conditionalFormatting sqref="D76 D78:D84">
    <cfRule type="cellIs" dxfId="1465" priority="181" stopIfTrue="1" operator="lessThanOrEqual">
      <formula>0</formula>
    </cfRule>
  </conditionalFormatting>
  <conditionalFormatting sqref="D77">
    <cfRule type="cellIs" dxfId="1464" priority="172" stopIfTrue="1" operator="greaterThan">
      <formula>$F$76</formula>
    </cfRule>
    <cfRule type="cellIs" dxfId="1463" priority="173" stopIfTrue="1" operator="lessThanOrEqual">
      <formula>0</formula>
    </cfRule>
  </conditionalFormatting>
  <conditionalFormatting sqref="D65:E74">
    <cfRule type="cellIs" dxfId="1462" priority="145" stopIfTrue="1" operator="greaterThan">
      <formula>$F65</formula>
    </cfRule>
  </conditionalFormatting>
  <conditionalFormatting sqref="D74:E74">
    <cfRule type="cellIs" dxfId="1461" priority="146" stopIfTrue="1" operator="lessThanOrEqual">
      <formula>0</formula>
    </cfRule>
  </conditionalFormatting>
  <conditionalFormatting sqref="E10:E22">
    <cfRule type="cellIs" dxfId="1460" priority="36" operator="lessThan">
      <formula>48</formula>
    </cfRule>
  </conditionalFormatting>
  <conditionalFormatting sqref="E50 E51:F51">
    <cfRule type="cellIs" dxfId="1459" priority="177" stopIfTrue="1" operator="greaterThan">
      <formula>100</formula>
    </cfRule>
  </conditionalFormatting>
  <conditionalFormatting sqref="E51">
    <cfRule type="cellIs" dxfId="1458" priority="174" stopIfTrue="1" operator="lessThan">
      <formula>96.8</formula>
    </cfRule>
    <cfRule type="cellIs" dxfId="1457" priority="175" stopIfTrue="1" operator="greaterThan">
      <formula>100</formula>
    </cfRule>
  </conditionalFormatting>
  <conditionalFormatting sqref="E65:E73">
    <cfRule type="cellIs" dxfId="1456" priority="156" stopIfTrue="1" operator="lessThanOrEqual">
      <formula>0</formula>
    </cfRule>
  </conditionalFormatting>
  <conditionalFormatting sqref="E76:E84">
    <cfRule type="cellIs" dxfId="1455" priority="167" stopIfTrue="1" operator="lessThanOrEqual">
      <formula>0</formula>
    </cfRule>
    <cfRule type="cellIs" dxfId="1454" priority="166" stopIfTrue="1" operator="greaterThan">
      <formula>4.5</formula>
    </cfRule>
  </conditionalFormatting>
  <conditionalFormatting sqref="E51:F51 E50">
    <cfRule type="cellIs" dxfId="1453" priority="176" stopIfTrue="1" operator="lessThan">
      <formula>96.5</formula>
    </cfRule>
  </conditionalFormatting>
  <conditionalFormatting sqref="F10:F22">
    <cfRule type="cellIs" dxfId="1452" priority="37" operator="greaterThan">
      <formula>60</formula>
    </cfRule>
  </conditionalFormatting>
  <conditionalFormatting sqref="F51">
    <cfRule type="cellIs" dxfId="1451" priority="192" stopIfTrue="1" operator="lessThan">
      <formula>96.8</formula>
    </cfRule>
    <cfRule type="cellIs" dxfId="1450" priority="193" stopIfTrue="1" operator="greaterThan">
      <formula>100</formula>
    </cfRule>
  </conditionalFormatting>
  <conditionalFormatting sqref="F74">
    <cfRule type="cellIs" dxfId="1449" priority="157" stopIfTrue="1" operator="greaterThan">
      <formula>$F74</formula>
    </cfRule>
    <cfRule type="cellIs" dxfId="1448" priority="158" stopIfTrue="1" operator="lessThanOrEqual">
      <formula>0</formula>
    </cfRule>
  </conditionalFormatting>
  <conditionalFormatting sqref="G10:G12">
    <cfRule type="expression" dxfId="1447" priority="16">
      <formula>IF(+(IF(G10&lt;S10,0,IF(G10&gt;T10,0,1)))=0,1)</formula>
    </cfRule>
  </conditionalFormatting>
  <conditionalFormatting sqref="G65:G66 C71:C73">
    <cfRule type="cellIs" dxfId="1446" priority="162" stopIfTrue="1" operator="lessThanOrEqual">
      <formula>0</formula>
    </cfRule>
  </conditionalFormatting>
  <conditionalFormatting sqref="G65:G66">
    <cfRule type="cellIs" dxfId="1445" priority="161" stopIfTrue="1" operator="greaterThan">
      <formula>$F65</formula>
    </cfRule>
    <cfRule type="cellIs" dxfId="1444" priority="150" stopIfTrue="1" operator="lessThanOrEqual">
      <formula>0</formula>
    </cfRule>
    <cfRule type="cellIs" dxfId="1443" priority="149" stopIfTrue="1" operator="greaterThan">
      <formula>$F65</formula>
    </cfRule>
  </conditionalFormatting>
  <conditionalFormatting sqref="G67">
    <cfRule type="cellIs" dxfId="1442" priority="196" stopIfTrue="1" operator="greaterThan">
      <formula>$F66</formula>
    </cfRule>
    <cfRule type="cellIs" dxfId="1441" priority="197" stopIfTrue="1" operator="lessThanOrEqual">
      <formula>0</formula>
    </cfRule>
  </conditionalFormatting>
  <conditionalFormatting sqref="G68">
    <cfRule type="cellIs" dxfId="1440" priority="41" stopIfTrue="1" operator="greaterThan">
      <formula>$F68</formula>
    </cfRule>
    <cfRule type="cellIs" dxfId="1439" priority="42" stopIfTrue="1" operator="lessThanOrEqual">
      <formula>0</formula>
    </cfRule>
    <cfRule type="cellIs" dxfId="1438" priority="43" stopIfTrue="1" operator="greaterThan">
      <formula>$F68</formula>
    </cfRule>
    <cfRule type="cellIs" dxfId="1437" priority="44" stopIfTrue="1" operator="lessThanOrEqual">
      <formula>0</formula>
    </cfRule>
  </conditionalFormatting>
  <conditionalFormatting sqref="G69:G73">
    <cfRule type="cellIs" dxfId="1436" priority="163" stopIfTrue="1" operator="greaterThan">
      <formula>$J69</formula>
    </cfRule>
    <cfRule type="cellIs" dxfId="1435" priority="164" stopIfTrue="1" operator="lessThanOrEqual">
      <formula>0</formula>
    </cfRule>
  </conditionalFormatting>
  <conditionalFormatting sqref="G78:G83 C81 C83">
    <cfRule type="cellIs" dxfId="1434" priority="189" stopIfTrue="1" operator="greaterThan">
      <formula>4.5</formula>
    </cfRule>
    <cfRule type="cellIs" dxfId="1433" priority="190" stopIfTrue="1" operator="lessThanOrEqual">
      <formula>0</formula>
    </cfRule>
  </conditionalFormatting>
  <conditionalFormatting sqref="G77:H77">
    <cfRule type="cellIs" dxfId="1432" priority="171" stopIfTrue="1" operator="lessThanOrEqual">
      <formula>0</formula>
    </cfRule>
    <cfRule type="cellIs" dxfId="1431" priority="170" stopIfTrue="1" operator="greaterThan">
      <formula>$F$76</formula>
    </cfRule>
  </conditionalFormatting>
  <conditionalFormatting sqref="H36:H50 I38:I49">
    <cfRule type="cellIs" dxfId="1430" priority="168" stopIfTrue="1" operator="greaterThan">
      <formula>0</formula>
    </cfRule>
  </conditionalFormatting>
  <conditionalFormatting sqref="H54">
    <cfRule type="cellIs" dxfId="1429" priority="2" stopIfTrue="1" operator="lessThanOrEqual">
      <formula>0</formula>
    </cfRule>
    <cfRule type="cellIs" dxfId="1428" priority="3" stopIfTrue="1" operator="greaterThan">
      <formula>$F$69</formula>
    </cfRule>
    <cfRule type="cellIs" dxfId="1427" priority="11" stopIfTrue="1" operator="greaterThan">
      <formula>$F$72</formula>
    </cfRule>
    <cfRule type="cellIs" dxfId="1426" priority="13" stopIfTrue="1" operator="greaterThan">
      <formula>$F$70</formula>
    </cfRule>
    <cfRule type="cellIs" dxfId="1425" priority="14" stopIfTrue="1" operator="lessThanOrEqual">
      <formula>0</formula>
    </cfRule>
    <cfRule type="cellIs" dxfId="1424" priority="12" stopIfTrue="1" operator="lessThanOrEqual">
      <formula>0</formula>
    </cfRule>
  </conditionalFormatting>
  <conditionalFormatting sqref="H55">
    <cfRule type="cellIs" dxfId="1423" priority="105" stopIfTrue="1" operator="greaterThan">
      <formula>#REF!</formula>
    </cfRule>
    <cfRule type="cellIs" dxfId="1422" priority="104" stopIfTrue="1" operator="lessThanOrEqual">
      <formula>0</formula>
    </cfRule>
    <cfRule type="cellIs" dxfId="1421" priority="113" stopIfTrue="1" operator="greaterThan">
      <formula>$F$23</formula>
    </cfRule>
    <cfRule type="cellIs" dxfId="1420" priority="116" stopIfTrue="1" operator="lessThanOrEqual">
      <formula>0</formula>
    </cfRule>
    <cfRule type="cellIs" dxfId="1419" priority="115" stopIfTrue="1" operator="greaterThan">
      <formula>#REF!</formula>
    </cfRule>
    <cfRule type="cellIs" dxfId="1418" priority="114" stopIfTrue="1" operator="lessThanOrEqual">
      <formula>0</formula>
    </cfRule>
  </conditionalFormatting>
  <conditionalFormatting sqref="H56">
    <cfRule type="cellIs" dxfId="1417" priority="73" stopIfTrue="1" operator="greaterThan">
      <formula>$F$66</formula>
    </cfRule>
    <cfRule type="cellIs" dxfId="1416" priority="81" stopIfTrue="1" operator="greaterThan">
      <formula>$F$69</formula>
    </cfRule>
    <cfRule type="cellIs" dxfId="1415" priority="83" stopIfTrue="1" operator="greaterThan">
      <formula>$F$67</formula>
    </cfRule>
    <cfRule type="cellIs" dxfId="1414" priority="84" stopIfTrue="1" operator="lessThanOrEqual">
      <formula>0</formula>
    </cfRule>
    <cfRule type="cellIs" dxfId="1413" priority="72" stopIfTrue="1" operator="lessThanOrEqual">
      <formula>0</formula>
    </cfRule>
    <cfRule type="cellIs" dxfId="1412" priority="82" stopIfTrue="1" operator="lessThanOrEqual">
      <formula>0</formula>
    </cfRule>
  </conditionalFormatting>
  <conditionalFormatting sqref="H57:H58">
    <cfRule type="cellIs" dxfId="1411" priority="90" stopIfTrue="1" operator="lessThanOrEqual">
      <formula>0</formula>
    </cfRule>
    <cfRule type="cellIs" dxfId="1410" priority="91" stopIfTrue="1" operator="greaterThan">
      <formula>#REF!</formula>
    </cfRule>
    <cfRule type="cellIs" dxfId="1409" priority="99" stopIfTrue="1" operator="greaterThan">
      <formula>$F$22</formula>
    </cfRule>
    <cfRule type="cellIs" dxfId="1408" priority="100" stopIfTrue="1" operator="lessThanOrEqual">
      <formula>0</formula>
    </cfRule>
    <cfRule type="cellIs" dxfId="1407" priority="101" stopIfTrue="1" operator="greaterThan">
      <formula>#REF!</formula>
    </cfRule>
    <cfRule type="cellIs" dxfId="1406" priority="102" stopIfTrue="1" operator="lessThanOrEqual">
      <formula>0</formula>
    </cfRule>
  </conditionalFormatting>
  <conditionalFormatting sqref="H59">
    <cfRule type="cellIs" dxfId="1405" priority="130" stopIfTrue="1" operator="greaterThan">
      <formula>$F$36</formula>
    </cfRule>
    <cfRule type="cellIs" dxfId="1404" priority="131" stopIfTrue="1" operator="lessThanOrEqual">
      <formula>0</formula>
    </cfRule>
    <cfRule type="cellIs" dxfId="1403" priority="128" stopIfTrue="1" operator="greaterThan">
      <formula>$F$38</formula>
    </cfRule>
    <cfRule type="cellIs" dxfId="1402" priority="120" stopIfTrue="1" operator="greaterThan">
      <formula>$F$35</formula>
    </cfRule>
    <cfRule type="cellIs" dxfId="1401" priority="119" stopIfTrue="1" operator="lessThanOrEqual">
      <formula>0</formula>
    </cfRule>
    <cfRule type="cellIs" dxfId="1400" priority="129" stopIfTrue="1" operator="lessThanOrEqual">
      <formula>0</formula>
    </cfRule>
  </conditionalFormatting>
  <conditionalFormatting sqref="H60:H61">
    <cfRule type="cellIs" dxfId="1399" priority="65" stopIfTrue="1" operator="greaterThan">
      <formula>$F$22</formula>
    </cfRule>
    <cfRule type="cellIs" dxfId="1398" priority="66" stopIfTrue="1" operator="lessThanOrEqual">
      <formula>0</formula>
    </cfRule>
    <cfRule type="cellIs" dxfId="1397" priority="67" stopIfTrue="1" operator="greaterThan">
      <formula>#REF!</formula>
    </cfRule>
    <cfRule type="cellIs" dxfId="1396" priority="68" stopIfTrue="1" operator="lessThanOrEqual">
      <formula>0</formula>
    </cfRule>
    <cfRule type="cellIs" dxfId="1395" priority="57" stopIfTrue="1" operator="greaterThan">
      <formula>#REF!</formula>
    </cfRule>
    <cfRule type="cellIs" dxfId="1394" priority="56" stopIfTrue="1" operator="lessThanOrEqual">
      <formula>0</formula>
    </cfRule>
  </conditionalFormatting>
  <conditionalFormatting sqref="H65:H72">
    <cfRule type="cellIs" dxfId="1393" priority="152" stopIfTrue="1" operator="lessThanOrEqual">
      <formula>0</formula>
    </cfRule>
    <cfRule type="cellIs" dxfId="1392" priority="151" stopIfTrue="1" operator="greaterThan">
      <formula>$J65</formula>
    </cfRule>
  </conditionalFormatting>
  <conditionalFormatting sqref="H73">
    <cfRule type="cellIs" dxfId="1391" priority="153" operator="greaterThan">
      <formula>5.3</formula>
    </cfRule>
  </conditionalFormatting>
  <conditionalFormatting sqref="H76 H78:H84">
    <cfRule type="cellIs" dxfId="1390" priority="182" stopIfTrue="1" operator="greaterThan">
      <formula>4.5</formula>
    </cfRule>
    <cfRule type="cellIs" dxfId="1389" priority="183" stopIfTrue="1" operator="lessThanOrEqual">
      <formula>0</formula>
    </cfRule>
  </conditionalFormatting>
  <conditionalFormatting sqref="H54:I54">
    <cfRule type="cellIs" dxfId="1388" priority="1" stopIfTrue="1" operator="greaterThan">
      <formula>$F$71</formula>
    </cfRule>
    <cfRule type="cellIs" dxfId="1387" priority="4" stopIfTrue="1" operator="lessThanOrEqual">
      <formula>0</formula>
    </cfRule>
  </conditionalFormatting>
  <conditionalFormatting sqref="H55:I55">
    <cfRule type="cellIs" dxfId="1386" priority="106" stopIfTrue="1" operator="lessThanOrEqual">
      <formula>0</formula>
    </cfRule>
    <cfRule type="cellIs" dxfId="1385" priority="103" stopIfTrue="1" operator="greaterThan">
      <formula>$F$22</formula>
    </cfRule>
  </conditionalFormatting>
  <conditionalFormatting sqref="H56:I56">
    <cfRule type="cellIs" dxfId="1384" priority="71" stopIfTrue="1" operator="greaterThan">
      <formula>$F$68</formula>
    </cfRule>
    <cfRule type="cellIs" dxfId="1383" priority="74" stopIfTrue="1" operator="lessThanOrEqual">
      <formula>0</formula>
    </cfRule>
  </conditionalFormatting>
  <conditionalFormatting sqref="H57:I58">
    <cfRule type="cellIs" dxfId="1382" priority="92" stopIfTrue="1" operator="lessThanOrEqual">
      <formula>0</formula>
    </cfRule>
    <cfRule type="cellIs" dxfId="1381" priority="89" stopIfTrue="1" operator="greaterThan">
      <formula>#REF!</formula>
    </cfRule>
  </conditionalFormatting>
  <conditionalFormatting sqref="H59:I59">
    <cfRule type="cellIs" dxfId="1380" priority="118" stopIfTrue="1" operator="greaterThan">
      <formula>$F$37</formula>
    </cfRule>
    <cfRule type="cellIs" dxfId="1379" priority="121" stopIfTrue="1" operator="lessThanOrEqual">
      <formula>0</formula>
    </cfRule>
  </conditionalFormatting>
  <conditionalFormatting sqref="H60:I61">
    <cfRule type="cellIs" dxfId="1378" priority="58" stopIfTrue="1" operator="lessThanOrEqual">
      <formula>0</formula>
    </cfRule>
    <cfRule type="cellIs" dxfId="1377" priority="55" stopIfTrue="1" operator="greaterThan">
      <formula>#REF!</formula>
    </cfRule>
  </conditionalFormatting>
  <conditionalFormatting sqref="H74:I74">
    <cfRule type="cellIs" dxfId="1376" priority="143" stopIfTrue="1" operator="greaterThan">
      <formula>$J74</formula>
    </cfRule>
    <cfRule type="cellIs" dxfId="1375" priority="144" stopIfTrue="1" operator="lessThanOrEqual">
      <formula>0</formula>
    </cfRule>
  </conditionalFormatting>
  <conditionalFormatting sqref="I54">
    <cfRule type="cellIs" dxfId="1374" priority="8" stopIfTrue="1" operator="lessThanOrEqual">
      <formula>0</formula>
    </cfRule>
    <cfRule type="cellIs" dxfId="1373" priority="6" stopIfTrue="1" operator="lessThanOrEqual">
      <formula>0</formula>
    </cfRule>
    <cfRule type="cellIs" dxfId="1372" priority="5" stopIfTrue="1" operator="greaterThan">
      <formula>$F$69</formula>
    </cfRule>
    <cfRule type="cellIs" dxfId="1371" priority="10" stopIfTrue="1" operator="lessThanOrEqual">
      <formula>0</formula>
    </cfRule>
    <cfRule type="cellIs" dxfId="1370" priority="9" stopIfTrue="1" operator="greaterThan">
      <formula>$F$69</formula>
    </cfRule>
    <cfRule type="cellIs" dxfId="1369" priority="7" stopIfTrue="1" operator="greaterThan">
      <formula>$F$71</formula>
    </cfRule>
  </conditionalFormatting>
  <conditionalFormatting sqref="I55">
    <cfRule type="cellIs" dxfId="1368" priority="112" stopIfTrue="1" operator="lessThanOrEqual">
      <formula>0</formula>
    </cfRule>
    <cfRule type="cellIs" dxfId="1367" priority="111" stopIfTrue="1" operator="greaterThan">
      <formula>#REF!</formula>
    </cfRule>
    <cfRule type="cellIs" dxfId="1366" priority="107" stopIfTrue="1" operator="greaterThan">
      <formula>#REF!</formula>
    </cfRule>
    <cfRule type="cellIs" dxfId="1365" priority="108" stopIfTrue="1" operator="lessThanOrEqual">
      <formula>0</formula>
    </cfRule>
    <cfRule type="cellIs" dxfId="1364" priority="109" stopIfTrue="1" operator="greaterThan">
      <formula>$F$22</formula>
    </cfRule>
    <cfRule type="cellIs" dxfId="1363" priority="110" stopIfTrue="1" operator="lessThanOrEqual">
      <formula>0</formula>
    </cfRule>
  </conditionalFormatting>
  <conditionalFormatting sqref="I56">
    <cfRule type="cellIs" dxfId="1362" priority="75" stopIfTrue="1" operator="greaterThan">
      <formula>$F$66</formula>
    </cfRule>
    <cfRule type="cellIs" dxfId="1361" priority="76" stopIfTrue="1" operator="lessThanOrEqual">
      <formula>0</formula>
    </cfRule>
    <cfRule type="cellIs" dxfId="1360" priority="80" stopIfTrue="1" operator="lessThanOrEqual">
      <formula>0</formula>
    </cfRule>
    <cfRule type="cellIs" dxfId="1359" priority="79" stopIfTrue="1" operator="greaterThan">
      <formula>$F$66</formula>
    </cfRule>
    <cfRule type="cellIs" dxfId="1358" priority="78" stopIfTrue="1" operator="lessThanOrEqual">
      <formula>0</formula>
    </cfRule>
    <cfRule type="cellIs" dxfId="1357" priority="77" stopIfTrue="1" operator="greaterThan">
      <formula>$F$68</formula>
    </cfRule>
  </conditionalFormatting>
  <conditionalFormatting sqref="I57:I58">
    <cfRule type="cellIs" dxfId="1356" priority="95" stopIfTrue="1" operator="greaterThan">
      <formula>#REF!</formula>
    </cfRule>
    <cfRule type="cellIs" dxfId="1355" priority="96" stopIfTrue="1" operator="lessThanOrEqual">
      <formula>0</formula>
    </cfRule>
    <cfRule type="cellIs" dxfId="1354" priority="94" stopIfTrue="1" operator="lessThanOrEqual">
      <formula>0</formula>
    </cfRule>
    <cfRule type="cellIs" dxfId="1353" priority="97" stopIfTrue="1" operator="greaterThan">
      <formula>#REF!</formula>
    </cfRule>
    <cfRule type="cellIs" dxfId="1352" priority="98" stopIfTrue="1" operator="lessThanOrEqual">
      <formula>0</formula>
    </cfRule>
    <cfRule type="cellIs" dxfId="1351" priority="93" stopIfTrue="1" operator="greaterThan">
      <formula>#REF!</formula>
    </cfRule>
  </conditionalFormatting>
  <conditionalFormatting sqref="I59">
    <cfRule type="cellIs" dxfId="1350" priority="124" stopIfTrue="1" operator="greaterThan">
      <formula>$F$37</formula>
    </cfRule>
    <cfRule type="cellIs" dxfId="1349" priority="125" stopIfTrue="1" operator="lessThanOrEqual">
      <formula>0</formula>
    </cfRule>
    <cfRule type="cellIs" dxfId="1348" priority="123" stopIfTrue="1" operator="lessThanOrEqual">
      <formula>0</formula>
    </cfRule>
    <cfRule type="cellIs" dxfId="1347" priority="122" stopIfTrue="1" operator="greaterThan">
      <formula>$F$35</formula>
    </cfRule>
    <cfRule type="cellIs" dxfId="1346" priority="127" stopIfTrue="1" operator="lessThanOrEqual">
      <formula>0</formula>
    </cfRule>
    <cfRule type="cellIs" dxfId="1345" priority="126" stopIfTrue="1" operator="greaterThan">
      <formula>$F$35</formula>
    </cfRule>
  </conditionalFormatting>
  <conditionalFormatting sqref="I60:I61">
    <cfRule type="cellIs" dxfId="1344" priority="61" stopIfTrue="1" operator="greaterThan">
      <formula>#REF!</formula>
    </cfRule>
    <cfRule type="cellIs" dxfId="1343" priority="60" stopIfTrue="1" operator="lessThanOrEqual">
      <formula>0</formula>
    </cfRule>
    <cfRule type="cellIs" dxfId="1342" priority="64" stopIfTrue="1" operator="lessThanOrEqual">
      <formula>0</formula>
    </cfRule>
    <cfRule type="cellIs" dxfId="1341" priority="63" stopIfTrue="1" operator="greaterThan">
      <formula>#REF!</formula>
    </cfRule>
    <cfRule type="cellIs" dxfId="1340" priority="62" stopIfTrue="1" operator="lessThanOrEqual">
      <formula>0</formula>
    </cfRule>
    <cfRule type="cellIs" dxfId="1339" priority="59" stopIfTrue="1" operator="greaterThan">
      <formula>#REF!</formula>
    </cfRule>
  </conditionalFormatting>
  <conditionalFormatting sqref="I65:I73">
    <cfRule type="cellIs" dxfId="1338" priority="154" stopIfTrue="1" operator="greaterThan">
      <formula>$J65</formula>
    </cfRule>
    <cfRule type="cellIs" dxfId="1337" priority="155" stopIfTrue="1" operator="lessThanOrEqual">
      <formula>0</formula>
    </cfRule>
  </conditionalFormatting>
  <conditionalFormatting sqref="I76:I84">
    <cfRule type="cellIs" dxfId="1336" priority="179" stopIfTrue="1" operator="lessThanOrEqual">
      <formula>0</formula>
    </cfRule>
    <cfRule type="cellIs" dxfId="1335" priority="178" stopIfTrue="1" operator="greaterThan">
      <formula>4.5</formula>
    </cfRule>
  </conditionalFormatting>
  <conditionalFormatting sqref="I10:J22">
    <cfRule type="cellIs" dxfId="1334" priority="32" operator="lessThan">
      <formula>97.9</formula>
    </cfRule>
  </conditionalFormatting>
  <conditionalFormatting sqref="J26:J27">
    <cfRule type="cellIs" dxfId="1333" priority="133" stopIfTrue="1" operator="lessThan">
      <formula>96.8</formula>
    </cfRule>
    <cfRule type="cellIs" dxfId="1332" priority="134" stopIfTrue="1" operator="greaterThan">
      <formula>100</formula>
    </cfRule>
    <cfRule type="cellIs" dxfId="1331" priority="135" operator="lessThan">
      <formula>98</formula>
    </cfRule>
  </conditionalFormatting>
  <conditionalFormatting sqref="J26:J29">
    <cfRule type="cellIs" dxfId="1330" priority="132" operator="lessThan">
      <formula>97.4</formula>
    </cfRule>
  </conditionalFormatting>
  <conditionalFormatting sqref="J30:J31">
    <cfRule type="cellIs" dxfId="1329" priority="136" operator="lessThan">
      <formula>98</formula>
    </cfRule>
  </conditionalFormatting>
  <conditionalFormatting sqref="J32:J33">
    <cfRule type="cellIs" dxfId="1328" priority="137" stopIfTrue="1" operator="lessThan">
      <formula>96.8</formula>
    </cfRule>
    <cfRule type="cellIs" dxfId="1327" priority="138" stopIfTrue="1" operator="greaterThan">
      <formula>100</formula>
    </cfRule>
  </conditionalFormatting>
  <conditionalFormatting sqref="J32:J34">
    <cfRule type="cellIs" dxfId="1326" priority="139" operator="lessThan">
      <formula>98</formula>
    </cfRule>
  </conditionalFormatting>
  <conditionalFormatting sqref="J61">
    <cfRule type="cellIs" dxfId="1325" priority="50" stopIfTrue="1" operator="lessThanOrEqual">
      <formula>0</formula>
    </cfRule>
    <cfRule type="cellIs" dxfId="1324" priority="47" stopIfTrue="1" operator="greaterThan">
      <formula>#REF!</formula>
    </cfRule>
    <cfRule type="cellIs" dxfId="1323" priority="54" stopIfTrue="1" operator="lessThanOrEqual">
      <formula>0</formula>
    </cfRule>
    <cfRule type="cellIs" dxfId="1322" priority="53" stopIfTrue="1" operator="greaterThan">
      <formula>#REF!</formula>
    </cfRule>
    <cfRule type="cellIs" dxfId="1321" priority="52" stopIfTrue="1" operator="lessThanOrEqual">
      <formula>0</formula>
    </cfRule>
    <cfRule type="cellIs" dxfId="1320" priority="51" stopIfTrue="1" operator="greaterThan">
      <formula>#REF!</formula>
    </cfRule>
    <cfRule type="cellIs" dxfId="1319" priority="49" stopIfTrue="1" operator="greaterThan">
      <formula>#REF!</formula>
    </cfRule>
    <cfRule type="cellIs" dxfId="1318" priority="48" stopIfTrue="1" operator="lessThanOrEqual">
      <formula>0</formula>
    </cfRule>
  </conditionalFormatting>
  <conditionalFormatting sqref="J74">
    <cfRule type="cellIs" dxfId="1317" priority="140" stopIfTrue="1" operator="greaterThan">
      <formula>$F74</formula>
    </cfRule>
    <cfRule type="cellIs" dxfId="1316" priority="141" stopIfTrue="1" operator="lessThanOrEqual">
      <formula>0</formula>
    </cfRule>
  </conditionalFormatting>
  <conditionalFormatting sqref="K10:K22">
    <cfRule type="cellIs" dxfId="1315" priority="35" operator="greaterThan">
      <formula>6.4</formula>
    </cfRule>
    <cfRule type="cellIs" dxfId="1314" priority="34" operator="lessThan">
      <formula>4</formula>
    </cfRule>
    <cfRule type="cellIs" dxfId="1313" priority="33" operator="greaterThan">
      <formula>6</formula>
    </cfRule>
  </conditionalFormatting>
  <conditionalFormatting sqref="K54:K61 K65:N71 K72 M72:N72 K73:N73">
    <cfRule type="cellIs" dxfId="1312" priority="117" stopIfTrue="1" operator="lessThan">
      <formula>100%</formula>
    </cfRule>
  </conditionalFormatting>
  <conditionalFormatting sqref="K76:K81">
    <cfRule type="cellIs" dxfId="1311" priority="184" stopIfTrue="1" operator="lessThan">
      <formula>100%</formula>
    </cfRule>
  </conditionalFormatting>
  <conditionalFormatting sqref="K83:K84">
    <cfRule type="cellIs" dxfId="1310" priority="191" stopIfTrue="1" operator="lessThan">
      <formula>100%</formula>
    </cfRule>
  </conditionalFormatting>
  <conditionalFormatting sqref="L10:L12 L22">
    <cfRule type="cellIs" dxfId="1309" priority="70" operator="greaterThan">
      <formula>65</formula>
    </cfRule>
  </conditionalFormatting>
  <conditionalFormatting sqref="L13:M17 L10:L12 L22">
    <cfRule type="cellIs" dxfId="1308" priority="69" operator="between">
      <formula>61</formula>
      <formula>65</formula>
    </cfRule>
  </conditionalFormatting>
  <conditionalFormatting sqref="L13:M21">
    <cfRule type="cellIs" dxfId="1307" priority="39" operator="greaterThan">
      <formula>65</formula>
    </cfRule>
  </conditionalFormatting>
  <conditionalFormatting sqref="L18:M21">
    <cfRule type="cellIs" dxfId="1306" priority="38" operator="between">
      <formula>61</formula>
      <formula>65</formula>
    </cfRule>
  </conditionalFormatting>
  <conditionalFormatting sqref="L25:M36">
    <cfRule type="cellIs" dxfId="1305" priority="85" operator="lessThan">
      <formula>97.95</formula>
    </cfRule>
  </conditionalFormatting>
  <conditionalFormatting sqref="L40:N40">
    <cfRule type="cellIs" dxfId="1304" priority="86" operator="notEqual">
      <formula>#REF!</formula>
    </cfRule>
  </conditionalFormatting>
  <conditionalFormatting sqref="L74:N74">
    <cfRule type="cellIs" dxfId="1303" priority="142" stopIfTrue="1" operator="lessThan">
      <formula>100%</formula>
    </cfRule>
  </conditionalFormatting>
  <conditionalFormatting sqref="L76:N84">
    <cfRule type="cellIs" dxfId="1302" priority="169" stopIfTrue="1" operator="lessThan">
      <formula>100%</formula>
    </cfRule>
  </conditionalFormatting>
  <conditionalFormatting sqref="M10:M12">
    <cfRule type="expression" dxfId="1301" priority="15">
      <formula>IF(+(IF(M10&lt;U10,0,IF(M10&gt;V10,0,1)))=0,1)</formula>
    </cfRule>
  </conditionalFormatting>
  <conditionalFormatting sqref="M13:M21 H10 H12 G13:H22">
    <cfRule type="expression" dxfId="1300" priority="40">
      <formula>IF(+(IF(G10&lt;#REF!,0,IF(G10&gt;#REF!,0,1)))=0,1)</formula>
    </cfRule>
  </conditionalFormatting>
  <conditionalFormatting sqref="M22:N22">
    <cfRule type="expression" dxfId="1299" priority="199">
      <formula>IF(+(IF(M22&lt;#REF!,0,IF(M22&gt;#REF!,0,1)))=0,1)</formula>
    </cfRule>
  </conditionalFormatting>
  <conditionalFormatting sqref="N10:N21">
    <cfRule type="expression" dxfId="1298" priority="31">
      <formula>IF(+(IF(N10&lt;W10,0,IF(N10&gt;X10,0,1)))=0,1)</formula>
    </cfRule>
  </conditionalFormatting>
  <conditionalFormatting sqref="P6">
    <cfRule type="cellIs" dxfId="1297" priority="165" operator="greaterThanOrEqual">
      <formula>19</formula>
    </cfRule>
  </conditionalFormatting>
  <dataValidations count="1">
    <dataValidation type="list" allowBlank="1" showInputMessage="1" showErrorMessage="1" sqref="R8" xr:uid="{FF89BCE3-E9BE-4E2B-9EA7-353E4702B19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C761-5F9C-41D5-85F8-8AB7EBCC7144}">
  <sheetPr>
    <pageSetUpPr fitToPage="1"/>
  </sheetPr>
  <dimension ref="A1:BE72"/>
  <sheetViews>
    <sheetView topLeftCell="A7" zoomScale="80" zoomScaleNormal="80" workbookViewId="0">
      <selection activeCell="E10" sqref="E10:E14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45985</v>
      </c>
      <c r="J4" s="398" t="s">
        <v>194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193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[24]Brewhouse!$A970</f>
        <v>CA855</v>
      </c>
      <c r="D10" s="279">
        <f>[24]Brewhouse!$AF970</f>
        <v>50.7</v>
      </c>
      <c r="E10" s="279">
        <f>[24]Brewhouse!$AI970</f>
        <v>50.6</v>
      </c>
      <c r="F10" s="278">
        <f>[24]Brewhouse!$V970</f>
        <v>62</v>
      </c>
      <c r="G10" s="279">
        <f>[24]Brewhouse!AG970</f>
        <v>11.5</v>
      </c>
      <c r="H10" s="476">
        <v>11.5</v>
      </c>
      <c r="I10" s="368">
        <f>[24]Brewhouse!$AU970</f>
        <v>95.637713151333926</v>
      </c>
      <c r="J10" s="368">
        <f>[24]Brewhouse!$AV970</f>
        <v>96.133715720593074</v>
      </c>
      <c r="K10" s="281">
        <f>[24]Brewhouse!$Q970</f>
        <v>8.1355932203389845</v>
      </c>
      <c r="L10" s="276">
        <f>[24]Brewhouse!$P970</f>
        <v>60</v>
      </c>
      <c r="M10" s="397">
        <f>[24]Brewhouse!$U970-[24]Brewhouse!$T970</f>
        <v>0.1159722222222222</v>
      </c>
      <c r="N10" s="370">
        <f>[24]Brewhouse!$Z970</f>
        <v>0.25902777777777775</v>
      </c>
      <c r="O10" s="421" t="str">
        <f>[24]Brewhouse!$AX970</f>
        <v>R. Regis</v>
      </c>
      <c r="P10" s="418"/>
      <c r="R10" s="277" t="str">
        <f t="shared" ref="R10:R34" si="0">B10</f>
        <v>CARIB</v>
      </c>
      <c r="S10" s="296">
        <f t="shared" ref="S10:S34" si="1">VLOOKUP($B10,$R$3:$X$9,2,FALSE)</f>
        <v>11.6</v>
      </c>
      <c r="T10" s="296">
        <f t="shared" ref="T10:T34" si="2">VLOOKUP($B10,$R$3:$X$9,3,FALSE)</f>
        <v>12</v>
      </c>
      <c r="U10" s="297">
        <f t="shared" ref="U10:U34" si="3">VLOOKUP($B10,$R$3:$X$9,4,FALSE)</f>
        <v>0</v>
      </c>
      <c r="V10" s="297">
        <f t="shared" ref="V10:V34" si="4">VLOOKUP($B10,$R$3:$X$9,5,FALSE)</f>
        <v>0.118055555555556</v>
      </c>
      <c r="W10" s="297">
        <f t="shared" ref="W10:W34" si="5">VLOOKUP($B10,$R$3:$X$9,6,FALSE)</f>
        <v>0.22569444444444445</v>
      </c>
      <c r="X10" s="297">
        <f t="shared" ref="X10:X34" si="6">VLOOKUP($B10,$R$3:$X$9,7,FALSE)</f>
        <v>0.2638888888888889</v>
      </c>
      <c r="Y10" s="297">
        <f t="shared" ref="Y10:Y34" si="7">VLOOKUP($B10,$R$3:$Z$9,8,FALSE)</f>
        <v>0</v>
      </c>
      <c r="Z10" s="296">
        <f t="shared" ref="Z10:Z34" si="8">VLOOKUP($B10,$R$3:$Z$9,9,FALSE)</f>
        <v>60</v>
      </c>
    </row>
    <row r="11" spans="2:29" ht="15.75" customHeight="1">
      <c r="B11" s="29" t="s">
        <v>6</v>
      </c>
      <c r="C11" s="366" t="str">
        <f>[24]Brewhouse!$A971</f>
        <v>CA856</v>
      </c>
      <c r="D11" s="279">
        <f>[24]Brewhouse!$AF971</f>
        <v>51.7</v>
      </c>
      <c r="E11" s="279">
        <f>[24]Brewhouse!$AI971</f>
        <v>49.4</v>
      </c>
      <c r="F11" s="278">
        <f>[24]Brewhouse!$V971</f>
        <v>64</v>
      </c>
      <c r="G11" s="279">
        <f>[24]Brewhouse!AG971</f>
        <v>11.7</v>
      </c>
      <c r="H11" s="396">
        <v>11.9</v>
      </c>
      <c r="I11" s="368">
        <f>[24]Brewhouse!$AU971</f>
        <v>95.548696759691538</v>
      </c>
      <c r="J11" s="368">
        <f>[24]Brewhouse!$AV971</f>
        <v>96.044079304625868</v>
      </c>
      <c r="K11" s="281">
        <f>[24]Brewhouse!$Q971</f>
        <v>4.7457627118644128</v>
      </c>
      <c r="L11" s="276">
        <f>[24]Brewhouse!$P971</f>
        <v>60</v>
      </c>
      <c r="M11" s="397">
        <f>[24]Brewhouse!$U971-[24]Brewhouse!$T971</f>
        <v>0.10902777777777778</v>
      </c>
      <c r="N11" s="370">
        <f>[24]Brewhouse!$Z971</f>
        <v>0.24652777777777779</v>
      </c>
      <c r="O11" s="421" t="str">
        <f>[24]Brewhouse!$AX971</f>
        <v>R. Regis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[24]Brewhouse!$A972</f>
        <v>CA857</v>
      </c>
      <c r="D12" s="279">
        <f>[24]Brewhouse!$AF972</f>
        <v>52.3</v>
      </c>
      <c r="E12" s="279">
        <f>[24]Brewhouse!$AI972</f>
        <v>51.7</v>
      </c>
      <c r="F12" s="278">
        <f>[24]Brewhouse!$V972</f>
        <v>63</v>
      </c>
      <c r="G12" s="279">
        <f>[24]Brewhouse!AG972</f>
        <v>11.6</v>
      </c>
      <c r="H12" s="396">
        <v>11.7</v>
      </c>
      <c r="I12" s="368">
        <f>[24]Brewhouse!$AU972</f>
        <v>98.611785322966114</v>
      </c>
      <c r="J12" s="368">
        <f>[24]Brewhouse!$AV972</f>
        <v>99.123212220031562</v>
      </c>
      <c r="K12" s="281">
        <f>[24]Brewhouse!$Q972</f>
        <v>4.5574387947269335</v>
      </c>
      <c r="L12" s="276">
        <f>[24]Brewhouse!$P972</f>
        <v>50</v>
      </c>
      <c r="M12" s="397">
        <f>[24]Brewhouse!$U972-[24]Brewhouse!$T972</f>
        <v>0.11041666666666666</v>
      </c>
      <c r="N12" s="370">
        <f>[24]Brewhouse!$Z972</f>
        <v>0.25902777777777775</v>
      </c>
      <c r="O12" s="421" t="str">
        <f>[24]Brewhouse!$AX972</f>
        <v>R.Sookram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[24]Brewhouse!$A973</f>
        <v>CA858</v>
      </c>
      <c r="D13" s="279">
        <f>[24]Brewhouse!$AF973</f>
        <v>51.7</v>
      </c>
      <c r="E13" s="279">
        <f>[24]Brewhouse!$AI973</f>
        <v>50.8</v>
      </c>
      <c r="F13" s="278">
        <f>[24]Brewhouse!$V973</f>
        <v>62</v>
      </c>
      <c r="G13" s="279">
        <f>[24]Brewhouse!AG973</f>
        <v>11.9</v>
      </c>
      <c r="H13" s="396">
        <v>11.9</v>
      </c>
      <c r="I13" s="368">
        <f>[24]Brewhouse!$AU973</f>
        <v>100.14747327446725</v>
      </c>
      <c r="J13" s="368">
        <f>[24]Brewhouse!$AV973</f>
        <v>100.66665692141186</v>
      </c>
      <c r="K13" s="281">
        <f>[24]Brewhouse!$Q973</f>
        <v>3.992467043314496</v>
      </c>
      <c r="L13" s="276">
        <f>[24]Brewhouse!$P973</f>
        <v>0</v>
      </c>
      <c r="M13" s="397">
        <f>[24]Brewhouse!$U973-[24]Brewhouse!$T973</f>
        <v>0.10069444444444442</v>
      </c>
      <c r="N13" s="370">
        <f>[24]Brewhouse!$Z973</f>
        <v>0.25416666666666665</v>
      </c>
      <c r="O13" s="421" t="str">
        <f>[24]Brewhouse!$AX973</f>
        <v>R.Sookram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[24]Brewhouse!$A974</f>
        <v>CA859</v>
      </c>
      <c r="D14" s="279">
        <f>[24]Brewhouse!$AF974</f>
        <v>50.6</v>
      </c>
      <c r="E14" s="279">
        <f>[24]Brewhouse!$AI974</f>
        <v>50.7</v>
      </c>
      <c r="F14" s="278">
        <f>[24]Brewhouse!$V974</f>
        <v>62</v>
      </c>
      <c r="G14" s="279">
        <f>[24]Brewhouse!AG974</f>
        <v>12</v>
      </c>
      <c r="H14" s="476">
        <v>11.5</v>
      </c>
      <c r="I14" s="368">
        <f>[24]Brewhouse!$AU974</f>
        <v>100.58519203350723</v>
      </c>
      <c r="J14" s="368">
        <f>[24]Brewhouse!$AV974</f>
        <v>101.10672866365277</v>
      </c>
      <c r="K14" s="281">
        <f>[24]Brewhouse!$Q974</f>
        <v>7.5706214689265598</v>
      </c>
      <c r="L14" s="276">
        <f>[24]Brewhouse!$P974</f>
        <v>60</v>
      </c>
      <c r="M14" s="397">
        <f>[24]Brewhouse!$U974-[24]Brewhouse!$T974</f>
        <v>0.12083333333333335</v>
      </c>
      <c r="N14" s="370">
        <f>[24]Brewhouse!$Z974</f>
        <v>0.2548611111111112</v>
      </c>
      <c r="O14" s="421" t="str">
        <f>[24]Brewhouse!$AX974</f>
        <v>R. Regis</v>
      </c>
      <c r="P14" s="418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1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.7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.75" hidden="1" customHeight="1">
      <c r="B18" s="33"/>
      <c r="C18" s="366"/>
      <c r="D18" s="279"/>
      <c r="E18" s="279"/>
      <c r="F18" s="278"/>
      <c r="G18" s="279"/>
      <c r="H18" s="396"/>
      <c r="I18" s="420"/>
      <c r="J18" s="420"/>
      <c r="K18" s="281"/>
      <c r="L18" s="276"/>
      <c r="M18" s="374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.75" hidden="1" customHeight="1">
      <c r="B19" s="33"/>
      <c r="C19" s="366"/>
      <c r="D19" s="279"/>
      <c r="E19" s="279"/>
      <c r="F19" s="278"/>
      <c r="G19" s="279"/>
      <c r="H19" s="396"/>
      <c r="I19" s="420"/>
      <c r="J19" s="420"/>
      <c r="K19" s="281"/>
      <c r="L19" s="276"/>
      <c r="M19" s="374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12"/>
      <c r="J21" s="512"/>
      <c r="K21" s="512"/>
      <c r="L21" s="512"/>
      <c r="M21" s="512"/>
      <c r="N21" s="512"/>
      <c r="O21" s="1"/>
      <c r="P21" s="12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customHeight="1" thickBot="1">
      <c r="B22" s="388" t="s">
        <v>162</v>
      </c>
      <c r="C22" s="388"/>
      <c r="D22" s="490" t="s">
        <v>35</v>
      </c>
      <c r="E22" s="491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0"/>
        <v xml:space="preserve">BRAND 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" customHeight="1">
      <c r="A23" s="28"/>
      <c r="B23" s="563" t="str">
        <f>I23</f>
        <v>CARIB</v>
      </c>
      <c r="C23" s="362" cm="1">
        <f t="array" ref="C23:C30">[24]Process!$D$889:$D$896</f>
        <v>11.7</v>
      </c>
      <c r="D23" s="516">
        <v>11.9</v>
      </c>
      <c r="E23" s="517"/>
      <c r="F23" s="294"/>
      <c r="G23" s="294"/>
      <c r="H23" s="348"/>
      <c r="I23" s="29" t="s">
        <v>6</v>
      </c>
      <c r="J23" s="280">
        <f>AVERAGE(I10:I14)</f>
        <v>98.10617210839321</v>
      </c>
      <c r="K23" s="284">
        <f>COUNTA([24]Brewhouse!$A$914:$A$974)</f>
        <v>61</v>
      </c>
      <c r="L23" s="305">
        <f>AVERAGE([24]Brewhouse!$AU$914:$AU$974)</f>
        <v>98.05586413980987</v>
      </c>
      <c r="M23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$974)</f>
        <v>97.741084028876458</v>
      </c>
      <c r="N23" s="30">
        <v>98</v>
      </c>
      <c r="O23" s="11"/>
      <c r="P23" s="31"/>
      <c r="R23" s="277" t="str">
        <f t="shared" si="0"/>
        <v>CARIB</v>
      </c>
      <c r="S23" s="296">
        <f t="shared" si="1"/>
        <v>11.6</v>
      </c>
      <c r="T23" s="296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296">
        <f t="shared" si="8"/>
        <v>60</v>
      </c>
    </row>
    <row r="24" spans="1:27" ht="15" customHeight="1">
      <c r="A24" s="28"/>
      <c r="B24" s="564"/>
      <c r="C24" s="362">
        <v>11.8</v>
      </c>
      <c r="D24" s="518"/>
      <c r="E24" s="519"/>
      <c r="F24" s="294"/>
      <c r="G24" s="294"/>
      <c r="H24" s="348"/>
      <c r="I24" s="33" t="s">
        <v>9</v>
      </c>
      <c r="J24" s="280"/>
      <c r="K24" s="284">
        <f>COUNTA([25]Brewhouse!$A$449:$A$472)</f>
        <v>24</v>
      </c>
      <c r="L24" s="302">
        <f>AVERAGE([25]Brewhouse!$AS$449:$AS$472)</f>
        <v>97.303445320396108</v>
      </c>
      <c r="M24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$472)</f>
        <v>97.892654819970858</v>
      </c>
      <c r="N24" s="30">
        <v>98</v>
      </c>
      <c r="O24" s="11"/>
      <c r="P24" s="31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4.65" customHeight="1">
      <c r="A25" s="28"/>
      <c r="B25" s="564"/>
      <c r="C25" s="362">
        <v>11.5</v>
      </c>
      <c r="D25" s="566">
        <v>11.82</v>
      </c>
      <c r="E25" s="567"/>
      <c r="F25" s="294"/>
      <c r="G25" s="294"/>
      <c r="H25" s="348"/>
      <c r="I25" s="34" t="s">
        <v>12</v>
      </c>
      <c r="J25" s="280"/>
      <c r="K25" s="284"/>
      <c r="L25" s="302"/>
      <c r="M25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25" s="30">
        <v>98</v>
      </c>
      <c r="O25" s="11"/>
      <c r="P25" s="31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4.65" customHeight="1">
      <c r="A26" s="28"/>
      <c r="B26" s="564"/>
      <c r="C26" s="362">
        <v>11.8</v>
      </c>
      <c r="D26" s="531"/>
      <c r="E26" s="519"/>
      <c r="F26" s="294"/>
      <c r="G26" s="294"/>
      <c r="H26" s="348"/>
      <c r="I26" s="22" t="s">
        <v>33</v>
      </c>
      <c r="J26" s="280"/>
      <c r="K26" s="284">
        <f>COUNTA([23]Brewhouse!$A$97:$A$104)</f>
        <v>8</v>
      </c>
      <c r="L26" s="302">
        <f>AVERAGE([23]Brewhouse!$AV$97:$AV$104)</f>
        <v>98.419138016287462</v>
      </c>
      <c r="M26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26" s="30">
        <v>98</v>
      </c>
      <c r="O26" s="11"/>
      <c r="P26" s="31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4.65" customHeight="1">
      <c r="A27" s="28"/>
      <c r="B27" s="564"/>
      <c r="C27" s="362">
        <v>11.6</v>
      </c>
      <c r="D27" s="566">
        <v>11.89</v>
      </c>
      <c r="E27" s="567"/>
      <c r="F27" s="417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64"/>
      <c r="C28" s="362">
        <v>11.9</v>
      </c>
      <c r="D28" s="531"/>
      <c r="E28" s="519"/>
      <c r="F28" s="417"/>
      <c r="G28" s="294"/>
      <c r="H28" s="348"/>
      <c r="I28" s="36" t="s">
        <v>15</v>
      </c>
      <c r="J28" s="323"/>
      <c r="K28" s="284"/>
      <c r="L28" s="302"/>
      <c r="M28" s="302">
        <f>AVERAGE([27]Brewhouse!$AT$4:$AT$11,[27]Brewhouse!$AT$13:$AT$16,[27]Brewhouse!$AT$18:$AT$21,[27]Brewhouse!$AT$26,[27]Brewhouse!$AT$28:$AT$35)</f>
        <v>94.794664331624134</v>
      </c>
      <c r="N28" s="30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  <c r="AA28" s="296"/>
    </row>
    <row r="29" spans="1:27" ht="14.65" customHeight="1">
      <c r="A29" s="28"/>
      <c r="B29" s="564"/>
      <c r="C29" s="362">
        <v>11.7</v>
      </c>
      <c r="D29" s="566">
        <v>11.85</v>
      </c>
      <c r="E29" s="567"/>
      <c r="F29" s="417"/>
      <c r="G29" s="294"/>
      <c r="H29" s="348"/>
      <c r="I29" s="37" t="s">
        <v>16</v>
      </c>
      <c r="J29" s="323"/>
      <c r="K29" s="284">
        <f>COUNTA([22]Brewhouse!$A$94:$A$97)</f>
        <v>4</v>
      </c>
      <c r="L29" s="302">
        <f>AVERAGE([22]Brewhouse!$AY$94:$AY$97)</f>
        <v>95.326767995731288</v>
      </c>
      <c r="M29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29" s="30">
        <v>98</v>
      </c>
      <c r="O29" s="11"/>
      <c r="P29" s="31" t="s">
        <v>41</v>
      </c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  <c r="AA29" s="296"/>
    </row>
    <row r="30" spans="1:27" ht="14.65" customHeight="1">
      <c r="A30" s="28"/>
      <c r="B30" s="564"/>
      <c r="C30" s="362">
        <v>11.7</v>
      </c>
      <c r="D30" s="531"/>
      <c r="E30" s="519"/>
      <c r="F30" s="294"/>
      <c r="G30" s="294"/>
      <c r="H30" s="348"/>
      <c r="I30" s="411" t="s">
        <v>158</v>
      </c>
      <c r="J30" s="326"/>
      <c r="K30" s="284"/>
      <c r="L30" s="305"/>
      <c r="M30" s="305">
        <f>AVERAGE([28]Brewhouse!$AU$5:$AU$8,[28]Brewhouse!$AU$10:$AU$13,[22]Brewhouse!$AY$75:$AY$77)</f>
        <v>94.749192473706671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  <c r="AA30" s="296"/>
    </row>
    <row r="31" spans="1:27" ht="14.65" customHeight="1">
      <c r="A31" s="28"/>
      <c r="B31" s="564"/>
      <c r="C31" s="349" cm="1">
        <f t="array" ref="C31:C35">[24]Process!$D$905:$D$909</f>
        <v>11.7</v>
      </c>
      <c r="D31" s="566">
        <v>11.75</v>
      </c>
      <c r="E31" s="567"/>
      <c r="F31" s="294"/>
      <c r="G31" s="294"/>
      <c r="H31" s="348"/>
      <c r="I31" s="410" t="s">
        <v>157</v>
      </c>
      <c r="J31" s="326"/>
      <c r="K31" s="284"/>
      <c r="L31" s="305"/>
      <c r="M31" s="305">
        <f>AVERAGE([29]Brewhouse!$AW$26:$AW$27)</f>
        <v>95.310680905194914</v>
      </c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5" customHeight="1" thickBot="1">
      <c r="A32" s="28"/>
      <c r="B32" s="564"/>
      <c r="C32" s="349">
        <v>11.8</v>
      </c>
      <c r="D32" s="531"/>
      <c r="E32" s="519"/>
      <c r="F32" s="294"/>
      <c r="G32" s="294"/>
      <c r="H32" s="348"/>
      <c r="I32" s="406" t="s">
        <v>156</v>
      </c>
      <c r="J32" s="327"/>
      <c r="K32" s="407"/>
      <c r="L32" s="408"/>
      <c r="M32" s="408">
        <f>AVERAGE([30]Brewhouse!$AU$13:$AU$14)</f>
        <v>97.110575243268045</v>
      </c>
      <c r="N32" s="409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5" customHeight="1" thickBot="1">
      <c r="A33" s="28"/>
      <c r="B33" s="564"/>
      <c r="C33" s="349">
        <v>11.6</v>
      </c>
      <c r="D33" s="516">
        <v>11.73</v>
      </c>
      <c r="E33" s="517"/>
      <c r="F33" s="294"/>
      <c r="G33" s="294"/>
      <c r="H33" s="348"/>
      <c r="I33" s="1"/>
      <c r="J33" s="39"/>
      <c r="K33" s="404">
        <f>SUM(K23:K32)</f>
        <v>97</v>
      </c>
      <c r="L33" s="405">
        <f>((L23*K23)+(L24*K24)+(L25*K25)+(L26*K26)+(L27*K27)+(K30*L30)+(L28*K28)+(L29*K29)+(L32*K32))/(K33)</f>
        <v>97.787119343619935</v>
      </c>
      <c r="M33" s="405">
        <f>AVERAGE('[31]Jan 31st'!$L$65,'[32]Feb 28th'!$L$35,'[33]Mar. 31st'!$L$35,'[34]Apr. 30th'!$L$45,'[35]May 30th'!$L$37,'[36]June 30th'!$L$57,'[37]July 29th '!$L$44,'[38]Aug 29th'!$L$29,'[39]Sept 30th'!$L$35,L33)</f>
        <v>97.596662174043786</v>
      </c>
      <c r="N33" s="4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5.75" thickBot="1">
      <c r="B34" s="570"/>
      <c r="C34" s="350">
        <v>11.9</v>
      </c>
      <c r="D34" s="518"/>
      <c r="E34" s="519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5.75" thickBot="1">
      <c r="B35" s="585"/>
      <c r="C35" s="362">
        <v>11.7</v>
      </c>
      <c r="D35" s="529">
        <v>11.82</v>
      </c>
      <c r="E35" s="530"/>
      <c r="F35" s="294"/>
      <c r="G35" s="42"/>
      <c r="H35" s="41"/>
      <c r="I35" s="42"/>
      <c r="J35" s="565" t="s">
        <v>129</v>
      </c>
      <c r="K35" s="565"/>
      <c r="L35" s="294"/>
      <c r="M35" s="294"/>
      <c r="N35" s="294"/>
      <c r="O35" s="294"/>
      <c r="P35" s="12"/>
    </row>
    <row r="36" spans="1:56" ht="15.75" thickBot="1">
      <c r="B36" s="586"/>
      <c r="C36" s="362"/>
      <c r="D36" s="531"/>
      <c r="E36" s="519"/>
      <c r="F36" s="294"/>
      <c r="G36" s="42"/>
      <c r="H36" s="41"/>
      <c r="I36" s="41"/>
      <c r="J36" s="292" t="s">
        <v>17</v>
      </c>
      <c r="K36" s="293" t="s">
        <v>147</v>
      </c>
      <c r="L36" s="533" t="s">
        <v>136</v>
      </c>
      <c r="M36" s="533"/>
      <c r="N36" s="534"/>
      <c r="O36" s="294"/>
      <c r="P36" s="12"/>
    </row>
    <row r="37" spans="1:56" ht="15" customHeight="1" thickBot="1">
      <c r="B37" s="586"/>
      <c r="C37" s="349"/>
      <c r="D37" s="566"/>
      <c r="E37" s="567"/>
      <c r="F37" s="294"/>
      <c r="G37" s="42"/>
      <c r="H37" s="41"/>
      <c r="I37" s="41"/>
      <c r="J37" s="287" t="s">
        <v>6</v>
      </c>
      <c r="K37" s="324">
        <v>5</v>
      </c>
      <c r="L37" s="343" t="s">
        <v>37</v>
      </c>
      <c r="M37" s="307" t="s">
        <v>38</v>
      </c>
      <c r="N37" s="307" t="s">
        <v>84</v>
      </c>
      <c r="O37" s="294"/>
      <c r="P37" s="12"/>
    </row>
    <row r="38" spans="1:56" ht="15.75" customHeight="1" thickBot="1">
      <c r="B38" s="586"/>
      <c r="C38" s="349"/>
      <c r="D38" s="531"/>
      <c r="E38" s="519"/>
      <c r="F38" s="294"/>
      <c r="G38" s="42"/>
      <c r="H38" s="41"/>
      <c r="I38" s="41"/>
      <c r="J38" s="345" t="s">
        <v>9</v>
      </c>
      <c r="K38" s="324"/>
      <c r="L38" s="344">
        <f>AVERAGE(K47,'Nov 19th '!K49,'Nov 18th'!K58,'Nov 15th'!K53,'Nov 13th&amp; 14th'!J53,'Nov 13th&amp; 14th'!K53,'Nov 12th'!K47,'Nov 11th'!K51,'Nov 10th'!K53,'Nov 6th '!K52,'Nov 7th-8th'!J55,'Nov 7th-8th'!K55,'Nov 4th'!K52,'Nov 5th'!K51,Nov.3rd!K52)</f>
        <v>6.4666666666666668</v>
      </c>
      <c r="M38" s="325">
        <f>AVERAGE('[31]Jan 29th '!$M$70,'[32]Feb 28th'!$L$40,'[33]Mar. 31st'!$L$40,'[34]Apr. 30th'!$L$50,'[35]May 30th'!$L$42,'[36]June 30th'!$L$62,'[37]July 29th '!$L$49,'[38]Aug 29th'!$L$34,'[39]Sept 30th'!$L$40,[40]Oct.31st!$L$43,L38)</f>
        <v>7.0090339104069077</v>
      </c>
      <c r="N38" s="416">
        <v>9.1999999999999993</v>
      </c>
      <c r="O38" s="294"/>
      <c r="P38" s="12"/>
    </row>
    <row r="39" spans="1:56" ht="15" customHeight="1">
      <c r="B39" s="586"/>
      <c r="C39" s="349"/>
      <c r="D39" s="566"/>
      <c r="E39" s="567"/>
      <c r="F39" s="294"/>
      <c r="G39" s="42"/>
      <c r="H39" s="41"/>
      <c r="I39" s="41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86"/>
      <c r="C40" s="349"/>
      <c r="D40" s="531"/>
      <c r="E40" s="519"/>
      <c r="F40" s="294"/>
      <c r="G40" s="42"/>
      <c r="H40" s="41"/>
      <c r="I40" s="41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86"/>
      <c r="C41" s="349"/>
      <c r="D41" s="566"/>
      <c r="E41" s="567"/>
      <c r="F41" s="294"/>
      <c r="G41" s="42"/>
      <c r="H41" s="41"/>
      <c r="I41" s="41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5">
      <c r="B42" s="586"/>
      <c r="C42" s="349"/>
      <c r="D42" s="531"/>
      <c r="E42" s="519"/>
      <c r="F42" s="294"/>
      <c r="G42" s="42"/>
      <c r="H42" s="41"/>
      <c r="I42" s="41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86"/>
      <c r="C43" s="349"/>
      <c r="D43" s="566"/>
      <c r="E43" s="567"/>
      <c r="F43" s="294"/>
      <c r="G43" s="42"/>
      <c r="H43" s="41"/>
      <c r="I43" s="41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90"/>
      <c r="C44" s="350"/>
      <c r="D44" s="568"/>
      <c r="E44" s="569"/>
      <c r="F44" s="294" t="s">
        <v>168</v>
      </c>
      <c r="G44" s="42"/>
      <c r="H44" s="41"/>
      <c r="I44" s="41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76"/>
      <c r="E45" s="577"/>
      <c r="F45" s="294"/>
      <c r="H45" s="41"/>
      <c r="I45" s="41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1"/>
      <c r="I46" s="41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1"/>
      <c r="I47" s="41"/>
      <c r="J47" s="346" t="s">
        <v>130</v>
      </c>
      <c r="K47" s="324">
        <f>SUM(K37:K46)</f>
        <v>5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294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41" t="s">
        <v>17</v>
      </c>
      <c r="C50" s="541" t="s">
        <v>44</v>
      </c>
      <c r="D50" s="543" t="s">
        <v>45</v>
      </c>
      <c r="E50" s="498" t="s">
        <v>46</v>
      </c>
      <c r="F50" s="558" t="s">
        <v>47</v>
      </c>
      <c r="G50" s="552" t="s">
        <v>48</v>
      </c>
      <c r="H50" s="541" t="s">
        <v>49</v>
      </c>
      <c r="I50" s="541" t="s">
        <v>50</v>
      </c>
      <c r="J50" s="546" t="s">
        <v>28</v>
      </c>
      <c r="K50" s="496" t="s">
        <v>51</v>
      </c>
      <c r="L50" s="508" t="s">
        <v>52</v>
      </c>
      <c r="M50" s="546" t="s">
        <v>53</v>
      </c>
      <c r="N50" s="13"/>
      <c r="O50" s="13"/>
      <c r="P50" s="50"/>
    </row>
    <row r="51" spans="2:57" ht="28.5" customHeight="1" thickTop="1" thickBot="1">
      <c r="B51" s="542"/>
      <c r="C51" s="542"/>
      <c r="D51" s="544"/>
      <c r="E51" s="545"/>
      <c r="F51" s="559"/>
      <c r="G51" s="553"/>
      <c r="H51" s="560"/>
      <c r="I51" s="560"/>
      <c r="J51" s="547"/>
      <c r="K51" s="556"/>
      <c r="L51" s="557"/>
      <c r="M51" s="547"/>
      <c r="N51" s="13"/>
      <c r="O51" s="13"/>
      <c r="P51" s="50"/>
      <c r="Q51" s="355"/>
      <c r="AB51" s="51">
        <v>43474</v>
      </c>
      <c r="AC51" s="51">
        <v>43475</v>
      </c>
      <c r="AD51" s="51">
        <v>43476</v>
      </c>
      <c r="AE51" s="51">
        <v>43477</v>
      </c>
      <c r="AF51" s="51">
        <v>43478</v>
      </c>
      <c r="AG51" s="51">
        <v>43479</v>
      </c>
      <c r="AH51" s="51">
        <v>43480</v>
      </c>
      <c r="AI51" s="51">
        <v>43481</v>
      </c>
      <c r="AJ51" s="51">
        <v>43482</v>
      </c>
      <c r="AK51" s="51">
        <v>43483</v>
      </c>
      <c r="AL51" s="51">
        <v>43484</v>
      </c>
      <c r="AM51" s="51">
        <v>43485</v>
      </c>
      <c r="AN51" s="51">
        <v>43486</v>
      </c>
      <c r="AO51" s="51">
        <v>43487</v>
      </c>
      <c r="AP51" s="51">
        <v>43488</v>
      </c>
      <c r="AQ51" s="51">
        <v>43489</v>
      </c>
      <c r="AR51" s="51">
        <v>43490</v>
      </c>
      <c r="AS51" s="51">
        <v>43491</v>
      </c>
      <c r="AT51" s="51">
        <v>43492</v>
      </c>
      <c r="AU51" s="51">
        <v>43493</v>
      </c>
      <c r="AV51" s="51">
        <v>43494</v>
      </c>
      <c r="AW51" s="51">
        <v>43495</v>
      </c>
      <c r="AX51" s="51">
        <v>43496</v>
      </c>
    </row>
    <row r="52" spans="2:57" s="54" customFormat="1" ht="43.15" customHeight="1" thickBot="1">
      <c r="B52" s="458" t="str">
        <f>I23</f>
        <v>CARIB</v>
      </c>
      <c r="C52" s="442">
        <v>45982</v>
      </c>
      <c r="D52" s="443">
        <f>[41]November_2025!$X$3</f>
        <v>673.6</v>
      </c>
      <c r="E52" s="444"/>
      <c r="F52" s="445"/>
      <c r="G52" s="445">
        <f>[41]November_2025!$X$7</f>
        <v>641</v>
      </c>
      <c r="H52" s="460"/>
      <c r="I52" s="460"/>
      <c r="J52" s="449" t="s">
        <v>173</v>
      </c>
      <c r="K52" s="450">
        <f>[42]November_2025!$X$18</f>
        <v>0.56228070175438594</v>
      </c>
      <c r="L52" s="459">
        <f>(((D52+E52)-G52)/(D52+E52))*100</f>
        <v>4.8396674584323067</v>
      </c>
      <c r="M52" s="456" t="s">
        <v>167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[20]January_2019!L7</f>
        <v>285.8</v>
      </c>
      <c r="AC52" s="57">
        <f>[20]January_2019!M7</f>
        <v>508.1</v>
      </c>
      <c r="AD52" s="57">
        <f>[20]January_2019!N7</f>
        <v>0</v>
      </c>
      <c r="AE52" s="57">
        <f>[20]January_2019!O7</f>
        <v>0</v>
      </c>
      <c r="AF52" s="57">
        <f>[20]January_2019!P7</f>
        <v>109.56666666666666</v>
      </c>
      <c r="AG52" s="57">
        <f>[20]January_2019!Q7</f>
        <v>297.64999999999998</v>
      </c>
      <c r="AH52" s="57">
        <f>[20]January_2019!R7</f>
        <v>122.3</v>
      </c>
      <c r="AI52" s="57">
        <f>[20]January_2019!S7</f>
        <v>0</v>
      </c>
      <c r="AJ52" s="57">
        <f>[20]January_2019!T7</f>
        <v>294.7</v>
      </c>
      <c r="AK52" s="57">
        <f>[20]January_2019!U7</f>
        <v>280.5</v>
      </c>
      <c r="AL52" s="57">
        <f>[20]January_2019!V7</f>
        <v>0</v>
      </c>
      <c r="AM52" s="57">
        <f>[20]January_2019!W7</f>
        <v>0</v>
      </c>
      <c r="AN52" s="57">
        <f>[20]January_2019!X7</f>
        <v>188.25</v>
      </c>
      <c r="AO52" s="57">
        <f>[20]January_2019!Y7</f>
        <v>295.7</v>
      </c>
      <c r="AP52" s="57">
        <f>[20]January_2019!Z7</f>
        <v>257.8</v>
      </c>
      <c r="AQ52" s="57">
        <f>[20]January_2019!AA7</f>
        <v>291.2</v>
      </c>
      <c r="AR52" s="57">
        <f>[20]January_2019!AB7</f>
        <v>187</v>
      </c>
      <c r="AS52" s="57">
        <f>[20]January_2019!AC7</f>
        <v>0</v>
      </c>
      <c r="AT52" s="57">
        <f>[20]January_2019!AD7</f>
        <v>0</v>
      </c>
      <c r="AU52" s="57">
        <f>[20]January_2019!AE7</f>
        <v>485.1</v>
      </c>
      <c r="AV52" s="57">
        <f>[20]January_2019!AF7</f>
        <v>171.55</v>
      </c>
      <c r="AW52" s="57">
        <f>[20]January_2019!AG7</f>
        <v>423.8</v>
      </c>
      <c r="AX52" s="277">
        <f>[20]January_2019!AH7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20.45" hidden="1" customHeight="1" thickBot="1">
      <c r="B53" s="473"/>
      <c r="C53" s="431"/>
      <c r="D53" s="432"/>
      <c r="E53" s="433"/>
      <c r="F53" s="434"/>
      <c r="G53" s="435"/>
      <c r="H53" s="429"/>
      <c r="I53" s="429"/>
      <c r="J53" s="452"/>
      <c r="K53" s="437"/>
      <c r="L53" s="453"/>
      <c r="M53" s="422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8.450000000000003" hidden="1" customHeight="1" thickBot="1">
      <c r="B54" s="458"/>
      <c r="C54" s="442"/>
      <c r="D54" s="443"/>
      <c r="E54" s="444"/>
      <c r="F54" s="445"/>
      <c r="G54" s="446"/>
      <c r="H54" s="460"/>
      <c r="I54" s="460"/>
      <c r="J54" s="449"/>
      <c r="K54" s="462"/>
      <c r="L54" s="459" t="e">
        <f>(((D54+E54)-G54)/(D54+E54))*100</f>
        <v>#DIV/0!</v>
      </c>
      <c r="M54" s="456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5" hidden="1">
      <c r="B55" s="454"/>
      <c r="C55" s="431"/>
      <c r="D55" s="432"/>
      <c r="E55" s="433"/>
      <c r="F55" s="434"/>
      <c r="G55" s="435"/>
      <c r="H55" s="436"/>
      <c r="I55" s="451"/>
      <c r="J55" s="452"/>
      <c r="K55" s="437"/>
      <c r="L55" s="453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hidden="1" customHeight="1" thickBot="1">
      <c r="B56" s="461"/>
      <c r="C56" s="442"/>
      <c r="D56" s="443"/>
      <c r="E56" s="444"/>
      <c r="F56" s="445"/>
      <c r="G56" s="446"/>
      <c r="H56" s="447"/>
      <c r="I56" s="448"/>
      <c r="J56" s="449"/>
      <c r="K56" s="450"/>
      <c r="L56" s="459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6.5" customHeight="1" thickBot="1">
      <c r="B57" s="438"/>
      <c r="C57" s="424"/>
      <c r="D57" s="425"/>
      <c r="E57" s="426"/>
      <c r="F57" s="427"/>
      <c r="G57" s="428"/>
      <c r="H57" s="429"/>
      <c r="I57" s="439"/>
      <c r="J57" s="440"/>
      <c r="K57" s="430"/>
      <c r="L57" s="441"/>
      <c r="M57" s="423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5"/>
      <c r="AC57" s="415"/>
      <c r="AD57" s="415"/>
      <c r="AE57" s="415"/>
      <c r="AF57" s="415"/>
      <c r="AG57" s="415"/>
      <c r="AH57" s="415"/>
      <c r="AI57" s="415"/>
      <c r="AJ57" s="415"/>
      <c r="AK57" s="415"/>
      <c r="AL57" s="415"/>
      <c r="AM57" s="415"/>
      <c r="AN57" s="415"/>
      <c r="AO57" s="415"/>
      <c r="AP57" s="415"/>
      <c r="AQ57" s="415"/>
      <c r="AR57" s="415"/>
      <c r="AS57" s="415"/>
      <c r="AT57" s="415"/>
      <c r="AU57" s="415"/>
      <c r="AV57" s="415"/>
      <c r="AW57" s="415"/>
    </row>
    <row r="58" spans="2:57" s="54" customFormat="1" ht="37.15" hidden="1" customHeight="1" thickBot="1">
      <c r="B58" s="461"/>
      <c r="C58" s="442"/>
      <c r="D58" s="443"/>
      <c r="E58" s="444"/>
      <c r="F58" s="445"/>
      <c r="G58" s="446"/>
      <c r="H58" s="447"/>
      <c r="I58" s="448"/>
      <c r="J58" s="449"/>
      <c r="K58" s="450"/>
      <c r="L58" s="459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>
      <c r="B59" s="470"/>
      <c r="C59" s="431"/>
      <c r="D59" s="464"/>
      <c r="E59" s="465"/>
      <c r="F59" s="466"/>
      <c r="G59" s="464"/>
      <c r="H59" s="467"/>
      <c r="I59" s="467"/>
      <c r="J59" s="467"/>
      <c r="K59" s="468"/>
      <c r="L59" s="469"/>
      <c r="M59" s="5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548" t="s">
        <v>55</v>
      </c>
      <c r="C61" s="549"/>
      <c r="D61" s="549"/>
      <c r="E61" s="549"/>
      <c r="F61" s="550"/>
      <c r="G61" s="548" t="s">
        <v>56</v>
      </c>
      <c r="H61" s="549"/>
      <c r="I61" s="549"/>
      <c r="J61" s="550"/>
      <c r="K61" s="548" t="s">
        <v>51</v>
      </c>
      <c r="L61" s="549"/>
      <c r="M61" s="549"/>
      <c r="N61" s="551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282">
        <f>L52</f>
        <v>4.8396674584323067</v>
      </c>
      <c r="D63" s="76">
        <v>7.1283576452815742</v>
      </c>
      <c r="E63" s="76">
        <v>6.1222938123378228</v>
      </c>
      <c r="F63" s="66">
        <v>4.8</v>
      </c>
      <c r="G63" s="65">
        <f>[41]November_2025!$X$11</f>
        <v>3.8298027049299472</v>
      </c>
      <c r="H63" s="76">
        <v>7.387406767239832</v>
      </c>
      <c r="I63" s="76">
        <v>6.1206531213867956</v>
      </c>
      <c r="J63" s="66">
        <v>4.8</v>
      </c>
      <c r="K63" s="67">
        <f>K52</f>
        <v>0.56228070175438594</v>
      </c>
      <c r="L63" s="194">
        <v>0.39490058479532164</v>
      </c>
      <c r="M63" s="194">
        <v>0.71715117150450269</v>
      </c>
      <c r="N63" s="68">
        <v>1</v>
      </c>
      <c r="O63" s="56"/>
      <c r="P63" s="69"/>
    </row>
    <row r="64" spans="2:57" ht="15">
      <c r="B64" s="33" t="s">
        <v>9</v>
      </c>
      <c r="C64" s="65"/>
      <c r="D64" s="76">
        <v>5.1853750213565721</v>
      </c>
      <c r="E64" s="76">
        <v>5.7200467929828971</v>
      </c>
      <c r="F64" s="66">
        <v>4.8</v>
      </c>
      <c r="G64" s="65"/>
      <c r="H64" s="76">
        <v>3.6096118625802744</v>
      </c>
      <c r="I64" s="76">
        <v>6.2674198164664059</v>
      </c>
      <c r="J64" s="66">
        <v>4.8</v>
      </c>
      <c r="K64" s="67"/>
      <c r="L64" s="194">
        <v>0.59464912280701754</v>
      </c>
      <c r="M64" s="194">
        <v>0.67381772220369407</v>
      </c>
      <c r="N64" s="68">
        <v>1</v>
      </c>
      <c r="P64" s="69"/>
    </row>
    <row r="65" spans="2:16" ht="15">
      <c r="B65" s="34" t="s">
        <v>40</v>
      </c>
      <c r="C65" s="65"/>
      <c r="D65" s="76">
        <v>11.223996129656527</v>
      </c>
      <c r="E65" s="76">
        <v>11.016453256230184</v>
      </c>
      <c r="F65" s="66">
        <v>5.5</v>
      </c>
      <c r="G65" s="65"/>
      <c r="H65" s="76">
        <v>10.76956909379566</v>
      </c>
      <c r="I65" s="76">
        <v>12.536311479158377</v>
      </c>
      <c r="J65" s="66">
        <v>5.5</v>
      </c>
      <c r="K65" s="67"/>
      <c r="L65" s="194">
        <v>0.26637426900584799</v>
      </c>
      <c r="M65" s="194">
        <v>0.51633622959452352</v>
      </c>
      <c r="N65" s="68">
        <v>1</v>
      </c>
      <c r="P65" s="69"/>
    </row>
    <row r="66" spans="2:16" ht="15">
      <c r="B66" s="22" t="s">
        <v>33</v>
      </c>
      <c r="C66" s="65"/>
      <c r="D66" s="76">
        <v>3.7833827893175105</v>
      </c>
      <c r="E66" s="76">
        <v>4.6226456706805745</v>
      </c>
      <c r="F66" s="66">
        <v>3.3</v>
      </c>
      <c r="G66" s="65"/>
      <c r="H66" s="76">
        <v>3.7421885632627285</v>
      </c>
      <c r="I66" s="76">
        <v>4.4171317623593813</v>
      </c>
      <c r="J66" s="66">
        <v>3.3</v>
      </c>
      <c r="K66" s="67"/>
      <c r="L66" s="194">
        <v>0.68263157894736837</v>
      </c>
      <c r="M66" s="194">
        <v>0.83111215538847116</v>
      </c>
      <c r="N66" s="68">
        <v>1</v>
      </c>
      <c r="P66" s="69"/>
    </row>
    <row r="67" spans="2:16" ht="15">
      <c r="B67" s="35" t="s">
        <v>164</v>
      </c>
      <c r="C67" s="65"/>
      <c r="D67" s="76"/>
      <c r="E67" s="76">
        <v>7.837301587301579</v>
      </c>
      <c r="F67" s="66">
        <v>3.3</v>
      </c>
      <c r="G67" s="282"/>
      <c r="H67" s="76"/>
      <c r="I67" s="76">
        <v>5.3377569154690221</v>
      </c>
      <c r="J67" s="66">
        <v>3</v>
      </c>
      <c r="K67" s="67"/>
      <c r="L67" s="194"/>
      <c r="M67" s="194">
        <v>0.32596491228070179</v>
      </c>
      <c r="N67" s="68">
        <v>1</v>
      </c>
      <c r="P67" s="69"/>
    </row>
    <row r="68" spans="2:16" ht="15">
      <c r="B68" s="36" t="s">
        <v>15</v>
      </c>
      <c r="C68" s="65"/>
      <c r="D68" s="76"/>
      <c r="E68" s="76">
        <v>6.8851328044153277</v>
      </c>
      <c r="F68" s="70">
        <f>[21]May_2022!$M$43</f>
        <v>3.4878406700073312</v>
      </c>
      <c r="G68" s="282"/>
      <c r="H68" s="76"/>
      <c r="I68" s="76">
        <v>8.6614709463340702</v>
      </c>
      <c r="J68" s="66">
        <v>5.5</v>
      </c>
      <c r="K68" s="67"/>
      <c r="L68" s="194"/>
      <c r="M68" s="194">
        <v>0.73160818713450293</v>
      </c>
      <c r="N68" s="68">
        <v>1</v>
      </c>
      <c r="P68" s="69"/>
    </row>
    <row r="69" spans="2:16" ht="15">
      <c r="B69" s="37" t="s">
        <v>16</v>
      </c>
      <c r="C69" s="65"/>
      <c r="D69" s="76">
        <v>2.6328862394436081</v>
      </c>
      <c r="E69" s="76">
        <v>2.9297033255778997</v>
      </c>
      <c r="F69" s="66">
        <v>3.3</v>
      </c>
      <c r="G69" s="282"/>
      <c r="H69" s="76">
        <v>2.6328862394435983</v>
      </c>
      <c r="I69" s="76">
        <v>4.2684292436723528</v>
      </c>
      <c r="J69" s="66">
        <v>3.3</v>
      </c>
      <c r="K69" s="67"/>
      <c r="L69" s="194">
        <v>0.68771929824561406</v>
      </c>
      <c r="M69" s="194">
        <v>0.84660147761842675</v>
      </c>
      <c r="N69" s="71">
        <v>1</v>
      </c>
      <c r="P69" s="69"/>
    </row>
    <row r="70" spans="2:16" ht="15.75" thickBot="1">
      <c r="B70" s="38" t="s">
        <v>163</v>
      </c>
      <c r="C70" s="65"/>
      <c r="D70" s="76"/>
      <c r="E70" s="76">
        <v>11.483253588516746</v>
      </c>
      <c r="F70" s="66">
        <v>7.5</v>
      </c>
      <c r="G70" s="282"/>
      <c r="H70" s="76"/>
      <c r="I70" s="76">
        <v>9.7934336121043764</v>
      </c>
      <c r="J70" s="66">
        <v>7.5</v>
      </c>
      <c r="K70" s="67"/>
      <c r="M70" s="194">
        <v>0.32456140350877194</v>
      </c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>
        <v>7.2653644592663174</v>
      </c>
      <c r="F71" s="66">
        <v>4.8</v>
      </c>
      <c r="G71" s="282"/>
      <c r="H71" s="76"/>
      <c r="I71" s="76">
        <v>8.1715311054411259</v>
      </c>
      <c r="J71" s="66">
        <v>4.8</v>
      </c>
      <c r="K71" s="67"/>
      <c r="L71" s="194"/>
      <c r="M71" s="194">
        <v>0.51368421052631585</v>
      </c>
      <c r="N71" s="71">
        <v>1</v>
      </c>
      <c r="O71" s="74"/>
      <c r="P71" s="75"/>
    </row>
    <row r="72" spans="2:16" ht="15">
      <c r="D72" s="76">
        <v>6.4693593314763289</v>
      </c>
      <c r="E72" s="76">
        <v>6.1412486438672405</v>
      </c>
      <c r="F72" s="341">
        <v>5.5</v>
      </c>
      <c r="H72" s="76">
        <v>6.0245701609844353</v>
      </c>
      <c r="I72" s="76">
        <v>6.620481887638455</v>
      </c>
      <c r="J72" s="341">
        <v>5.5</v>
      </c>
      <c r="L72" s="194">
        <v>0.47179580896686157</v>
      </c>
      <c r="M72" s="194">
        <v>0.69596333632019114</v>
      </c>
      <c r="N7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B35:B44"/>
    <mergeCell ref="D35:E36"/>
    <mergeCell ref="J35:K35"/>
    <mergeCell ref="L36:N36"/>
    <mergeCell ref="D37:E38"/>
    <mergeCell ref="D39:E40"/>
    <mergeCell ref="D41:E42"/>
    <mergeCell ref="D43:E44"/>
    <mergeCell ref="D45:E45"/>
    <mergeCell ref="B50:B51"/>
    <mergeCell ref="C50:C51"/>
    <mergeCell ref="D50:D51"/>
    <mergeCell ref="E50:E51"/>
    <mergeCell ref="M50:M51"/>
    <mergeCell ref="B61:F61"/>
    <mergeCell ref="G61:J61"/>
    <mergeCell ref="K61:N61"/>
    <mergeCell ref="G50:G51"/>
    <mergeCell ref="H50:H51"/>
    <mergeCell ref="I50:I51"/>
    <mergeCell ref="J50:J51"/>
    <mergeCell ref="K50:K51"/>
    <mergeCell ref="L50:L51"/>
    <mergeCell ref="F50:F51"/>
  </mergeCells>
  <conditionalFormatting sqref="B45:B46">
    <cfRule type="cellIs" dxfId="1296" priority="42" operator="notBetween">
      <formula>#REF!</formula>
      <formula>#REF!</formula>
    </cfRule>
  </conditionalFormatting>
  <conditionalFormatting sqref="C49">
    <cfRule type="cellIs" dxfId="1295" priority="192" stopIfTrue="1" operator="greaterThan">
      <formula>100</formula>
    </cfRule>
    <cfRule type="cellIs" dxfId="1294" priority="191" stopIfTrue="1" operator="lessThan">
      <formula>96</formula>
    </cfRule>
  </conditionalFormatting>
  <conditionalFormatting sqref="C63:C67">
    <cfRule type="cellIs" dxfId="1293" priority="145" stopIfTrue="1" operator="lessThanOrEqual">
      <formula>0</formula>
    </cfRule>
  </conditionalFormatting>
  <conditionalFormatting sqref="C63:C71">
    <cfRule type="cellIs" dxfId="1292" priority="144" stopIfTrue="1" operator="greaterThan">
      <formula>$F63</formula>
    </cfRule>
  </conditionalFormatting>
  <conditionalFormatting sqref="C64">
    <cfRule type="cellIs" dxfId="1291" priority="195" stopIfTrue="1" operator="greaterThan">
      <formula>$F63</formula>
    </cfRule>
  </conditionalFormatting>
  <conditionalFormatting sqref="C68">
    <cfRule type="cellIs" dxfId="1290" priority="85" stopIfTrue="1" operator="greaterThan">
      <formula>$F67</formula>
    </cfRule>
    <cfRule type="cellIs" dxfId="1289" priority="84" stopIfTrue="1" operator="lessThanOrEqual">
      <formula>0</formula>
    </cfRule>
  </conditionalFormatting>
  <conditionalFormatting sqref="C74:C78">
    <cfRule type="cellIs" dxfId="1288" priority="183" stopIfTrue="1" operator="lessThanOrEqual">
      <formula>0</formula>
    </cfRule>
  </conditionalFormatting>
  <conditionalFormatting sqref="C75:C78">
    <cfRule type="cellIs" dxfId="1287" priority="182" stopIfTrue="1" operator="greaterThan">
      <formula>$F$74</formula>
    </cfRule>
  </conditionalFormatting>
  <conditionalFormatting sqref="C80">
    <cfRule type="cellIs" dxfId="1286" priority="185" stopIfTrue="1" operator="lessThanOrEqual">
      <formula>0</formula>
    </cfRule>
    <cfRule type="cellIs" dxfId="1285" priority="184" stopIfTrue="1" operator="greaterThan">
      <formula>$F$74</formula>
    </cfRule>
  </conditionalFormatting>
  <conditionalFormatting sqref="C74:D74 D76:D82">
    <cfRule type="cellIs" dxfId="1284" priority="177" stopIfTrue="1" operator="greaterThan">
      <formula>4.5</formula>
    </cfRule>
  </conditionalFormatting>
  <conditionalFormatting sqref="D45:D46">
    <cfRule type="cellIs" dxfId="1283" priority="43" operator="notBetween">
      <formula>#REF!</formula>
      <formula>#REF!</formula>
    </cfRule>
  </conditionalFormatting>
  <conditionalFormatting sqref="D63:D70">
    <cfRule type="cellIs" dxfId="1282" priority="157" stopIfTrue="1" operator="lessThanOrEqual">
      <formula>0</formula>
    </cfRule>
  </conditionalFormatting>
  <conditionalFormatting sqref="D71">
    <cfRule type="cellIs" dxfId="1281" priority="156" stopIfTrue="1" operator="lessThanOrEqual">
      <formula>0</formula>
    </cfRule>
  </conditionalFormatting>
  <conditionalFormatting sqref="D74 D76:D82">
    <cfRule type="cellIs" dxfId="1280" priority="178" stopIfTrue="1" operator="lessThanOrEqual">
      <formula>0</formula>
    </cfRule>
  </conditionalFormatting>
  <conditionalFormatting sqref="D75">
    <cfRule type="cellIs" dxfId="1279" priority="170" stopIfTrue="1" operator="lessThanOrEqual">
      <formula>0</formula>
    </cfRule>
    <cfRule type="cellIs" dxfId="1278" priority="169" stopIfTrue="1" operator="greaterThan">
      <formula>$F$74</formula>
    </cfRule>
  </conditionalFormatting>
  <conditionalFormatting sqref="D63:E72">
    <cfRule type="cellIs" dxfId="1277" priority="142" stopIfTrue="1" operator="greaterThan">
      <formula>$F63</formula>
    </cfRule>
  </conditionalFormatting>
  <conditionalFormatting sqref="D72:E72">
    <cfRule type="cellIs" dxfId="1276" priority="143" stopIfTrue="1" operator="lessThanOrEqual">
      <formula>0</formula>
    </cfRule>
  </conditionalFormatting>
  <conditionalFormatting sqref="E10:E20">
    <cfRule type="cellIs" dxfId="1275" priority="33" operator="lessThan">
      <formula>48</formula>
    </cfRule>
  </conditionalFormatting>
  <conditionalFormatting sqref="E48 E49:F49">
    <cfRule type="cellIs" dxfId="1274" priority="174" stopIfTrue="1" operator="greaterThan">
      <formula>100</formula>
    </cfRule>
  </conditionalFormatting>
  <conditionalFormatting sqref="E49">
    <cfRule type="cellIs" dxfId="1273" priority="172" stopIfTrue="1" operator="greaterThan">
      <formula>100</formula>
    </cfRule>
    <cfRule type="cellIs" dxfId="1272" priority="171" stopIfTrue="1" operator="lessThan">
      <formula>96.8</formula>
    </cfRule>
  </conditionalFormatting>
  <conditionalFormatting sqref="E63:E71">
    <cfRule type="cellIs" dxfId="1271" priority="153" stopIfTrue="1" operator="lessThanOrEqual">
      <formula>0</formula>
    </cfRule>
  </conditionalFormatting>
  <conditionalFormatting sqref="E74:E82">
    <cfRule type="cellIs" dxfId="1270" priority="164" stopIfTrue="1" operator="lessThanOrEqual">
      <formula>0</formula>
    </cfRule>
    <cfRule type="cellIs" dxfId="1269" priority="163" stopIfTrue="1" operator="greaterThan">
      <formula>4.5</formula>
    </cfRule>
  </conditionalFormatting>
  <conditionalFormatting sqref="E49:F49 E48">
    <cfRule type="cellIs" dxfId="1268" priority="173" stopIfTrue="1" operator="lessThan">
      <formula>96.5</formula>
    </cfRule>
  </conditionalFormatting>
  <conditionalFormatting sqref="F10:F20">
    <cfRule type="cellIs" dxfId="1267" priority="34" operator="greaterThan">
      <formula>60</formula>
    </cfRule>
  </conditionalFormatting>
  <conditionalFormatting sqref="F49">
    <cfRule type="cellIs" dxfId="1266" priority="190" stopIfTrue="1" operator="greaterThan">
      <formula>100</formula>
    </cfRule>
    <cfRule type="cellIs" dxfId="1265" priority="189" stopIfTrue="1" operator="lessThan">
      <formula>96.8</formula>
    </cfRule>
  </conditionalFormatting>
  <conditionalFormatting sqref="F72">
    <cfRule type="cellIs" dxfId="1264" priority="155" stopIfTrue="1" operator="lessThanOrEqual">
      <formula>0</formula>
    </cfRule>
    <cfRule type="cellIs" dxfId="1263" priority="154" stopIfTrue="1" operator="greaterThan">
      <formula>$F72</formula>
    </cfRule>
  </conditionalFormatting>
  <conditionalFormatting sqref="G10:G17">
    <cfRule type="expression" dxfId="1262" priority="2">
      <formula>IF(+(IF(G10&lt;S10,0,IF(G10&gt;T10,0,1)))=0,1)</formula>
    </cfRule>
  </conditionalFormatting>
  <conditionalFormatting sqref="G63:G64 C69:C71">
    <cfRule type="cellIs" dxfId="1261" priority="159" stopIfTrue="1" operator="lessThanOrEqual">
      <formula>0</formula>
    </cfRule>
  </conditionalFormatting>
  <conditionalFormatting sqref="G63:G64">
    <cfRule type="cellIs" dxfId="1260" priority="158" stopIfTrue="1" operator="greaterThan">
      <formula>$F63</formula>
    </cfRule>
    <cfRule type="cellIs" dxfId="1259" priority="146" stopIfTrue="1" operator="greaterThan">
      <formula>$F63</formula>
    </cfRule>
    <cfRule type="cellIs" dxfId="1258" priority="147" stopIfTrue="1" operator="lessThanOrEqual">
      <formula>0</formula>
    </cfRule>
  </conditionalFormatting>
  <conditionalFormatting sqref="G65">
    <cfRule type="cellIs" dxfId="1257" priority="194" stopIfTrue="1" operator="lessThanOrEqual">
      <formula>0</formula>
    </cfRule>
    <cfRule type="cellIs" dxfId="1256" priority="193" stopIfTrue="1" operator="greaterThan">
      <formula>$F64</formula>
    </cfRule>
  </conditionalFormatting>
  <conditionalFormatting sqref="G66">
    <cfRule type="cellIs" dxfId="1255" priority="39" stopIfTrue="1" operator="lessThanOrEqual">
      <formula>0</formula>
    </cfRule>
    <cfRule type="cellIs" dxfId="1254" priority="40" stopIfTrue="1" operator="greaterThan">
      <formula>$F66</formula>
    </cfRule>
    <cfRule type="cellIs" dxfId="1253" priority="41" stopIfTrue="1" operator="lessThanOrEqual">
      <formula>0</formula>
    </cfRule>
    <cfRule type="cellIs" dxfId="1252" priority="38" stopIfTrue="1" operator="greaterThan">
      <formula>$F66</formula>
    </cfRule>
  </conditionalFormatting>
  <conditionalFormatting sqref="G67:G71">
    <cfRule type="cellIs" dxfId="1251" priority="160" stopIfTrue="1" operator="greaterThan">
      <formula>$J67</formula>
    </cfRule>
    <cfRule type="cellIs" dxfId="1250" priority="161" stopIfTrue="1" operator="lessThanOrEqual">
      <formula>0</formula>
    </cfRule>
  </conditionalFormatting>
  <conditionalFormatting sqref="G76:G81 C79 C81">
    <cfRule type="cellIs" dxfId="1249" priority="187" stopIfTrue="1" operator="lessThanOrEqual">
      <formula>0</formula>
    </cfRule>
    <cfRule type="cellIs" dxfId="1248" priority="186" stopIfTrue="1" operator="greaterThan">
      <formula>4.5</formula>
    </cfRule>
  </conditionalFormatting>
  <conditionalFormatting sqref="G75:H75">
    <cfRule type="cellIs" dxfId="1247" priority="168" stopIfTrue="1" operator="lessThanOrEqual">
      <formula>0</formula>
    </cfRule>
    <cfRule type="cellIs" dxfId="1246" priority="167" stopIfTrue="1" operator="greaterThan">
      <formula>$F$74</formula>
    </cfRule>
  </conditionalFormatting>
  <conditionalFormatting sqref="H34:H48 I36:I47">
    <cfRule type="cellIs" dxfId="1245" priority="165" stopIfTrue="1" operator="greaterThan">
      <formula>0</formula>
    </cfRule>
  </conditionalFormatting>
  <conditionalFormatting sqref="H52">
    <cfRule type="cellIs" dxfId="1244" priority="13" stopIfTrue="1" operator="lessThanOrEqual">
      <formula>0</formula>
    </cfRule>
    <cfRule type="cellIs" dxfId="1243" priority="14" stopIfTrue="1" operator="greaterThan">
      <formula>$F$67</formula>
    </cfRule>
    <cfRule type="cellIs" dxfId="1242" priority="22" stopIfTrue="1" operator="greaterThan">
      <formula>$F$70</formula>
    </cfRule>
    <cfRule type="cellIs" dxfId="1241" priority="24" stopIfTrue="1" operator="greaterThan">
      <formula>$F$68</formula>
    </cfRule>
    <cfRule type="cellIs" dxfId="1240" priority="25" stopIfTrue="1" operator="lessThanOrEqual">
      <formula>0</formula>
    </cfRule>
    <cfRule type="cellIs" dxfId="1239" priority="23" stopIfTrue="1" operator="lessThanOrEqual">
      <formula>0</formula>
    </cfRule>
  </conditionalFormatting>
  <conditionalFormatting sqref="H53">
    <cfRule type="cellIs" dxfId="1238" priority="110" stopIfTrue="1" operator="greaterThan">
      <formula>$F$21</formula>
    </cfRule>
    <cfRule type="cellIs" dxfId="1237" priority="102" stopIfTrue="1" operator="greaterThan">
      <formula>#REF!</formula>
    </cfRule>
    <cfRule type="cellIs" dxfId="1236" priority="101" stopIfTrue="1" operator="lessThanOrEqual">
      <formula>0</formula>
    </cfRule>
    <cfRule type="cellIs" dxfId="1235" priority="113" stopIfTrue="1" operator="lessThanOrEqual">
      <formula>0</formula>
    </cfRule>
    <cfRule type="cellIs" dxfId="1234" priority="112" stopIfTrue="1" operator="greaterThan">
      <formula>#REF!</formula>
    </cfRule>
    <cfRule type="cellIs" dxfId="1233" priority="111" stopIfTrue="1" operator="lessThanOrEqual">
      <formula>0</formula>
    </cfRule>
  </conditionalFormatting>
  <conditionalFormatting sqref="H54">
    <cfRule type="cellIs" dxfId="1232" priority="80" stopIfTrue="1" operator="greaterThan">
      <formula>$F$65</formula>
    </cfRule>
    <cfRule type="cellIs" dxfId="1231" priority="69" stopIfTrue="1" operator="lessThanOrEqual">
      <formula>0</formula>
    </cfRule>
    <cfRule type="cellIs" dxfId="1230" priority="70" stopIfTrue="1" operator="greaterThan">
      <formula>$F$64</formula>
    </cfRule>
    <cfRule type="cellIs" dxfId="1229" priority="79" stopIfTrue="1" operator="lessThanOrEqual">
      <formula>0</formula>
    </cfRule>
    <cfRule type="cellIs" dxfId="1228" priority="81" stopIfTrue="1" operator="lessThanOrEqual">
      <formula>0</formula>
    </cfRule>
    <cfRule type="cellIs" dxfId="1227" priority="78" stopIfTrue="1" operator="greaterThan">
      <formula>$F$67</formula>
    </cfRule>
  </conditionalFormatting>
  <conditionalFormatting sqref="H55:H56">
    <cfRule type="cellIs" dxfId="1226" priority="88" stopIfTrue="1" operator="greaterThan">
      <formula>#REF!</formula>
    </cfRule>
    <cfRule type="cellIs" dxfId="1225" priority="87" stopIfTrue="1" operator="lessThanOrEqual">
      <formula>0</formula>
    </cfRule>
    <cfRule type="cellIs" dxfId="1224" priority="96" stopIfTrue="1" operator="greaterThan">
      <formula>$F$20</formula>
    </cfRule>
    <cfRule type="cellIs" dxfId="1223" priority="97" stopIfTrue="1" operator="lessThanOrEqual">
      <formula>0</formula>
    </cfRule>
    <cfRule type="cellIs" dxfId="1222" priority="98" stopIfTrue="1" operator="greaterThan">
      <formula>#REF!</formula>
    </cfRule>
    <cfRule type="cellIs" dxfId="1221" priority="99" stopIfTrue="1" operator="lessThanOrEqual">
      <formula>0</formula>
    </cfRule>
  </conditionalFormatting>
  <conditionalFormatting sqref="H57">
    <cfRule type="cellIs" dxfId="1220" priority="127" stopIfTrue="1" operator="greaterThan">
      <formula>$F$34</formula>
    </cfRule>
    <cfRule type="cellIs" dxfId="1219" priority="128" stopIfTrue="1" operator="lessThanOrEqual">
      <formula>0</formula>
    </cfRule>
    <cfRule type="cellIs" dxfId="1218" priority="125" stopIfTrue="1" operator="greaterThan">
      <formula>$F$36</formula>
    </cfRule>
    <cfRule type="cellIs" dxfId="1217" priority="117" stopIfTrue="1" operator="greaterThan">
      <formula>$F$33</formula>
    </cfRule>
    <cfRule type="cellIs" dxfId="1216" priority="116" stopIfTrue="1" operator="lessThanOrEqual">
      <formula>0</formula>
    </cfRule>
    <cfRule type="cellIs" dxfId="1215" priority="126" stopIfTrue="1" operator="lessThanOrEqual">
      <formula>0</formula>
    </cfRule>
  </conditionalFormatting>
  <conditionalFormatting sqref="H58:H59">
    <cfRule type="cellIs" dxfId="1214" priority="63" stopIfTrue="1" operator="lessThanOrEqual">
      <formula>0</formula>
    </cfRule>
    <cfRule type="cellIs" dxfId="1213" priority="62" stopIfTrue="1" operator="greaterThan">
      <formula>$F$20</formula>
    </cfRule>
    <cfRule type="cellIs" dxfId="1212" priority="54" stopIfTrue="1" operator="greaterThan">
      <formula>#REF!</formula>
    </cfRule>
    <cfRule type="cellIs" dxfId="1211" priority="65" stopIfTrue="1" operator="lessThanOrEqual">
      <formula>0</formula>
    </cfRule>
    <cfRule type="cellIs" dxfId="1210" priority="64" stopIfTrue="1" operator="greaterThan">
      <formula>#REF!</formula>
    </cfRule>
    <cfRule type="cellIs" dxfId="1209" priority="53" stopIfTrue="1" operator="lessThanOrEqual">
      <formula>0</formula>
    </cfRule>
  </conditionalFormatting>
  <conditionalFormatting sqref="H63:H70">
    <cfRule type="cellIs" dxfId="1208" priority="149" stopIfTrue="1" operator="lessThanOrEqual">
      <formula>0</formula>
    </cfRule>
    <cfRule type="cellIs" dxfId="1207" priority="148" stopIfTrue="1" operator="greaterThan">
      <formula>$J63</formula>
    </cfRule>
  </conditionalFormatting>
  <conditionalFormatting sqref="H71">
    <cfRule type="cellIs" dxfId="1206" priority="150" operator="greaterThan">
      <formula>5.3</formula>
    </cfRule>
  </conditionalFormatting>
  <conditionalFormatting sqref="H74 H76:H82">
    <cfRule type="cellIs" dxfId="1205" priority="180" stopIfTrue="1" operator="lessThanOrEqual">
      <formula>0</formula>
    </cfRule>
    <cfRule type="cellIs" dxfId="1204" priority="179" stopIfTrue="1" operator="greaterThan">
      <formula>4.5</formula>
    </cfRule>
  </conditionalFormatting>
  <conditionalFormatting sqref="H52:I52">
    <cfRule type="cellIs" dxfId="1203" priority="12" stopIfTrue="1" operator="greaterThan">
      <formula>$F$69</formula>
    </cfRule>
    <cfRule type="cellIs" dxfId="1202" priority="15" stopIfTrue="1" operator="lessThanOrEqual">
      <formula>0</formula>
    </cfRule>
  </conditionalFormatting>
  <conditionalFormatting sqref="H53:I53">
    <cfRule type="cellIs" dxfId="1201" priority="103" stopIfTrue="1" operator="lessThanOrEqual">
      <formula>0</formula>
    </cfRule>
    <cfRule type="cellIs" dxfId="1200" priority="100" stopIfTrue="1" operator="greaterThan">
      <formula>$F$20</formula>
    </cfRule>
  </conditionalFormatting>
  <conditionalFormatting sqref="H54:I54">
    <cfRule type="cellIs" dxfId="1199" priority="68" stopIfTrue="1" operator="greaterThan">
      <formula>$F$66</formula>
    </cfRule>
    <cfRule type="cellIs" dxfId="1198" priority="71" stopIfTrue="1" operator="lessThanOrEqual">
      <formula>0</formula>
    </cfRule>
  </conditionalFormatting>
  <conditionalFormatting sqref="H55:I56">
    <cfRule type="cellIs" dxfId="1197" priority="89" stopIfTrue="1" operator="lessThanOrEqual">
      <formula>0</formula>
    </cfRule>
    <cfRule type="cellIs" dxfId="1196" priority="86" stopIfTrue="1" operator="greaterThan">
      <formula>#REF!</formula>
    </cfRule>
  </conditionalFormatting>
  <conditionalFormatting sqref="H57:I57">
    <cfRule type="cellIs" dxfId="1195" priority="115" stopIfTrue="1" operator="greaterThan">
      <formula>$F$35</formula>
    </cfRule>
    <cfRule type="cellIs" dxfId="1194" priority="118" stopIfTrue="1" operator="lessThanOrEqual">
      <formula>0</formula>
    </cfRule>
  </conditionalFormatting>
  <conditionalFormatting sqref="H58:I59">
    <cfRule type="cellIs" dxfId="1193" priority="55" stopIfTrue="1" operator="lessThanOrEqual">
      <formula>0</formula>
    </cfRule>
    <cfRule type="cellIs" dxfId="1192" priority="52" stopIfTrue="1" operator="greaterThan">
      <formula>#REF!</formula>
    </cfRule>
  </conditionalFormatting>
  <conditionalFormatting sqref="H72:I72">
    <cfRule type="cellIs" dxfId="1191" priority="140" stopIfTrue="1" operator="greaterThan">
      <formula>$J72</formula>
    </cfRule>
    <cfRule type="cellIs" dxfId="1190" priority="141" stopIfTrue="1" operator="lessThanOrEqual">
      <formula>0</formula>
    </cfRule>
  </conditionalFormatting>
  <conditionalFormatting sqref="I52">
    <cfRule type="cellIs" dxfId="1189" priority="17" stopIfTrue="1" operator="lessThanOrEqual">
      <formula>0</formula>
    </cfRule>
    <cfRule type="cellIs" dxfId="1188" priority="19" stopIfTrue="1" operator="lessThanOrEqual">
      <formula>0</formula>
    </cfRule>
    <cfRule type="cellIs" dxfId="1187" priority="16" stopIfTrue="1" operator="greaterThan">
      <formula>$F$67</formula>
    </cfRule>
    <cfRule type="cellIs" dxfId="1186" priority="18" stopIfTrue="1" operator="greaterThan">
      <formula>$F$69</formula>
    </cfRule>
    <cfRule type="cellIs" dxfId="1185" priority="20" stopIfTrue="1" operator="greaterThan">
      <formula>$F$67</formula>
    </cfRule>
    <cfRule type="cellIs" dxfId="1184" priority="21" stopIfTrue="1" operator="lessThanOrEqual">
      <formula>0</formula>
    </cfRule>
  </conditionalFormatting>
  <conditionalFormatting sqref="I53">
    <cfRule type="cellIs" dxfId="1183" priority="104" stopIfTrue="1" operator="greaterThan">
      <formula>#REF!</formula>
    </cfRule>
    <cfRule type="cellIs" dxfId="1182" priority="108" stopIfTrue="1" operator="greaterThan">
      <formula>#REF!</formula>
    </cfRule>
    <cfRule type="cellIs" dxfId="1181" priority="105" stopIfTrue="1" operator="lessThanOrEqual">
      <formula>0</formula>
    </cfRule>
    <cfRule type="cellIs" dxfId="1180" priority="106" stopIfTrue="1" operator="greaterThan">
      <formula>$F$20</formula>
    </cfRule>
    <cfRule type="cellIs" dxfId="1179" priority="107" stopIfTrue="1" operator="lessThanOrEqual">
      <formula>0</formula>
    </cfRule>
    <cfRule type="cellIs" dxfId="1178" priority="109" stopIfTrue="1" operator="lessThanOrEqual">
      <formula>0</formula>
    </cfRule>
  </conditionalFormatting>
  <conditionalFormatting sqref="I54">
    <cfRule type="cellIs" dxfId="1177" priority="73" stopIfTrue="1" operator="lessThanOrEqual">
      <formula>0</formula>
    </cfRule>
    <cfRule type="cellIs" dxfId="1176" priority="72" stopIfTrue="1" operator="greaterThan">
      <formula>$F$64</formula>
    </cfRule>
    <cfRule type="cellIs" dxfId="1175" priority="77" stopIfTrue="1" operator="lessThanOrEqual">
      <formula>0</formula>
    </cfRule>
    <cfRule type="cellIs" dxfId="1174" priority="76" stopIfTrue="1" operator="greaterThan">
      <formula>$F$64</formula>
    </cfRule>
    <cfRule type="cellIs" dxfId="1173" priority="75" stopIfTrue="1" operator="lessThanOrEqual">
      <formula>0</formula>
    </cfRule>
    <cfRule type="cellIs" dxfId="1172" priority="74" stopIfTrue="1" operator="greaterThan">
      <formula>$F$66</formula>
    </cfRule>
  </conditionalFormatting>
  <conditionalFormatting sqref="I55:I56">
    <cfRule type="cellIs" dxfId="1171" priority="90" stopIfTrue="1" operator="greaterThan">
      <formula>#REF!</formula>
    </cfRule>
    <cfRule type="cellIs" dxfId="1170" priority="95" stopIfTrue="1" operator="lessThanOrEqual">
      <formula>0</formula>
    </cfRule>
    <cfRule type="cellIs" dxfId="1169" priority="94" stopIfTrue="1" operator="greaterThan">
      <formula>#REF!</formula>
    </cfRule>
    <cfRule type="cellIs" dxfId="1168" priority="93" stopIfTrue="1" operator="lessThanOrEqual">
      <formula>0</formula>
    </cfRule>
    <cfRule type="cellIs" dxfId="1167" priority="92" stopIfTrue="1" operator="greaterThan">
      <formula>#REF!</formula>
    </cfRule>
    <cfRule type="cellIs" dxfId="1166" priority="91" stopIfTrue="1" operator="lessThanOrEqual">
      <formula>0</formula>
    </cfRule>
  </conditionalFormatting>
  <conditionalFormatting sqref="I57">
    <cfRule type="cellIs" dxfId="1165" priority="121" stopIfTrue="1" operator="greaterThan">
      <formula>$F$35</formula>
    </cfRule>
    <cfRule type="cellIs" dxfId="1164" priority="119" stopIfTrue="1" operator="greaterThan">
      <formula>$F$33</formula>
    </cfRule>
    <cfRule type="cellIs" dxfId="1163" priority="124" stopIfTrue="1" operator="lessThanOrEqual">
      <formula>0</formula>
    </cfRule>
    <cfRule type="cellIs" dxfId="1162" priority="123" stopIfTrue="1" operator="greaterThan">
      <formula>$F$33</formula>
    </cfRule>
    <cfRule type="cellIs" dxfId="1161" priority="122" stopIfTrue="1" operator="lessThanOrEqual">
      <formula>0</formula>
    </cfRule>
    <cfRule type="cellIs" dxfId="1160" priority="120" stopIfTrue="1" operator="lessThanOrEqual">
      <formula>0</formula>
    </cfRule>
  </conditionalFormatting>
  <conditionalFormatting sqref="I58:I59">
    <cfRule type="cellIs" dxfId="1159" priority="58" stopIfTrue="1" operator="greaterThan">
      <formula>#REF!</formula>
    </cfRule>
    <cfRule type="cellIs" dxfId="1158" priority="57" stopIfTrue="1" operator="lessThanOrEqual">
      <formula>0</formula>
    </cfRule>
    <cfRule type="cellIs" dxfId="1157" priority="61" stopIfTrue="1" operator="lessThanOrEqual">
      <formula>0</formula>
    </cfRule>
    <cfRule type="cellIs" dxfId="1156" priority="60" stopIfTrue="1" operator="greaterThan">
      <formula>#REF!</formula>
    </cfRule>
    <cfRule type="cellIs" dxfId="1155" priority="59" stopIfTrue="1" operator="lessThanOrEqual">
      <formula>0</formula>
    </cfRule>
    <cfRule type="cellIs" dxfId="1154" priority="56" stopIfTrue="1" operator="greaterThan">
      <formula>#REF!</formula>
    </cfRule>
  </conditionalFormatting>
  <conditionalFormatting sqref="I63:I71">
    <cfRule type="cellIs" dxfId="1153" priority="151" stopIfTrue="1" operator="greaterThan">
      <formula>$J63</formula>
    </cfRule>
    <cfRule type="cellIs" dxfId="1152" priority="152" stopIfTrue="1" operator="lessThanOrEqual">
      <formula>0</formula>
    </cfRule>
  </conditionalFormatting>
  <conditionalFormatting sqref="I74:I82">
    <cfRule type="cellIs" dxfId="1151" priority="176" stopIfTrue="1" operator="lessThanOrEqual">
      <formula>0</formula>
    </cfRule>
    <cfRule type="cellIs" dxfId="1150" priority="175" stopIfTrue="1" operator="greaterThan">
      <formula>4.5</formula>
    </cfRule>
  </conditionalFormatting>
  <conditionalFormatting sqref="I10:J20">
    <cfRule type="cellIs" dxfId="1149" priority="29" operator="lessThan">
      <formula>97.9</formula>
    </cfRule>
  </conditionalFormatting>
  <conditionalFormatting sqref="J24:J25">
    <cfRule type="cellIs" dxfId="1148" priority="132" operator="lessThan">
      <formula>98</formula>
    </cfRule>
    <cfRule type="cellIs" dxfId="1147" priority="130" stopIfTrue="1" operator="lessThan">
      <formula>96.8</formula>
    </cfRule>
    <cfRule type="cellIs" dxfId="1146" priority="131" stopIfTrue="1" operator="greaterThan">
      <formula>100</formula>
    </cfRule>
  </conditionalFormatting>
  <conditionalFormatting sqref="J24:J27">
    <cfRule type="cellIs" dxfId="1145" priority="129" operator="lessThan">
      <formula>97.4</formula>
    </cfRule>
  </conditionalFormatting>
  <conditionalFormatting sqref="J28:J29">
    <cfRule type="cellIs" dxfId="1144" priority="133" operator="lessThan">
      <formula>98</formula>
    </cfRule>
  </conditionalFormatting>
  <conditionalFormatting sqref="J30:J31">
    <cfRule type="cellIs" dxfId="1143" priority="134" stopIfTrue="1" operator="lessThan">
      <formula>96.8</formula>
    </cfRule>
    <cfRule type="cellIs" dxfId="1142" priority="135" stopIfTrue="1" operator="greaterThan">
      <formula>100</formula>
    </cfRule>
  </conditionalFormatting>
  <conditionalFormatting sqref="J30:J32">
    <cfRule type="cellIs" dxfId="1141" priority="136" operator="lessThan">
      <formula>98</formula>
    </cfRule>
  </conditionalFormatting>
  <conditionalFormatting sqref="J59">
    <cfRule type="cellIs" dxfId="1140" priority="47" stopIfTrue="1" operator="lessThanOrEqual">
      <formula>0</formula>
    </cfRule>
    <cfRule type="cellIs" dxfId="1139" priority="44" stopIfTrue="1" operator="greaterThan">
      <formula>#REF!</formula>
    </cfRule>
    <cfRule type="cellIs" dxfId="1138" priority="51" stopIfTrue="1" operator="lessThanOrEqual">
      <formula>0</formula>
    </cfRule>
    <cfRule type="cellIs" dxfId="1137" priority="50" stopIfTrue="1" operator="greaterThan">
      <formula>#REF!</formula>
    </cfRule>
    <cfRule type="cellIs" dxfId="1136" priority="49" stopIfTrue="1" operator="lessThanOrEqual">
      <formula>0</formula>
    </cfRule>
    <cfRule type="cellIs" dxfId="1135" priority="48" stopIfTrue="1" operator="greaterThan">
      <formula>#REF!</formula>
    </cfRule>
    <cfRule type="cellIs" dxfId="1134" priority="46" stopIfTrue="1" operator="greaterThan">
      <formula>#REF!</formula>
    </cfRule>
    <cfRule type="cellIs" dxfId="1133" priority="45" stopIfTrue="1" operator="lessThanOrEqual">
      <formula>0</formula>
    </cfRule>
  </conditionalFormatting>
  <conditionalFormatting sqref="J72">
    <cfRule type="cellIs" dxfId="1132" priority="137" stopIfTrue="1" operator="greaterThan">
      <formula>$F72</formula>
    </cfRule>
    <cfRule type="cellIs" dxfId="1131" priority="138" stopIfTrue="1" operator="lessThanOrEqual">
      <formula>0</formula>
    </cfRule>
  </conditionalFormatting>
  <conditionalFormatting sqref="K10:K20">
    <cfRule type="cellIs" dxfId="1130" priority="32" operator="greaterThan">
      <formula>6.4</formula>
    </cfRule>
    <cfRule type="cellIs" dxfId="1129" priority="31" operator="lessThan">
      <formula>4</formula>
    </cfRule>
    <cfRule type="cellIs" dxfId="1128" priority="30" operator="greaterThan">
      <formula>6</formula>
    </cfRule>
  </conditionalFormatting>
  <conditionalFormatting sqref="K52:K59 K63:N69 K70 M70:N70 K71:N71">
    <cfRule type="cellIs" dxfId="1127" priority="114" stopIfTrue="1" operator="lessThan">
      <formula>100%</formula>
    </cfRule>
  </conditionalFormatting>
  <conditionalFormatting sqref="K74:K79">
    <cfRule type="cellIs" dxfId="1126" priority="181" stopIfTrue="1" operator="lessThan">
      <formula>100%</formula>
    </cfRule>
  </conditionalFormatting>
  <conditionalFormatting sqref="K81:K82">
    <cfRule type="cellIs" dxfId="1125" priority="188" stopIfTrue="1" operator="lessThan">
      <formula>100%</formula>
    </cfRule>
  </conditionalFormatting>
  <conditionalFormatting sqref="L10:L17 L20">
    <cfRule type="cellIs" dxfId="1124" priority="66" operator="between">
      <formula>61</formula>
      <formula>65</formula>
    </cfRule>
    <cfRule type="cellIs" dxfId="1123" priority="67" operator="greaterThan">
      <formula>65</formula>
    </cfRule>
  </conditionalFormatting>
  <conditionalFormatting sqref="L18:M19">
    <cfRule type="cellIs" dxfId="1122" priority="35" operator="between">
      <formula>61</formula>
      <formula>65</formula>
    </cfRule>
    <cfRule type="cellIs" dxfId="1121" priority="36" operator="greaterThan">
      <formula>65</formula>
    </cfRule>
  </conditionalFormatting>
  <conditionalFormatting sqref="L23:M34">
    <cfRule type="cellIs" dxfId="1120" priority="82" operator="lessThan">
      <formula>97.95</formula>
    </cfRule>
  </conditionalFormatting>
  <conditionalFormatting sqref="L38:N38">
    <cfRule type="cellIs" dxfId="1119" priority="83" operator="notEqual">
      <formula>#REF!</formula>
    </cfRule>
  </conditionalFormatting>
  <conditionalFormatting sqref="L72:N72">
    <cfRule type="cellIs" dxfId="1118" priority="139" stopIfTrue="1" operator="lessThan">
      <formula>100%</formula>
    </cfRule>
  </conditionalFormatting>
  <conditionalFormatting sqref="L74:N82">
    <cfRule type="cellIs" dxfId="1117" priority="166" stopIfTrue="1" operator="lessThan">
      <formula>100%</formula>
    </cfRule>
  </conditionalFormatting>
  <conditionalFormatting sqref="M10:M17">
    <cfRule type="expression" dxfId="1116" priority="1">
      <formula>IF(+(IF(M10&lt;U10,0,IF(M10&gt;V10,0,1)))=0,1)</formula>
    </cfRule>
  </conditionalFormatting>
  <conditionalFormatting sqref="M18:M19 G18:H20">
    <cfRule type="expression" dxfId="1115" priority="37">
      <formula>IF(+(IF(G18&lt;#REF!,0,IF(G18&gt;#REF!,0,1)))=0,1)</formula>
    </cfRule>
  </conditionalFormatting>
  <conditionalFormatting sqref="M20:N20">
    <cfRule type="expression" dxfId="1114" priority="196">
      <formula>IF(+(IF(M20&lt;#REF!,0,IF(M20&gt;#REF!,0,1)))=0,1)</formula>
    </cfRule>
  </conditionalFormatting>
  <conditionalFormatting sqref="N10:N19">
    <cfRule type="expression" dxfId="1113" priority="28">
      <formula>IF(+(IF(N10&lt;W10,0,IF(N10&gt;X10,0,1)))=0,1)</formula>
    </cfRule>
  </conditionalFormatting>
  <conditionalFormatting sqref="P6">
    <cfRule type="cellIs" dxfId="1112" priority="162" operator="greaterThanOrEqual">
      <formula>19</formula>
    </cfRule>
  </conditionalFormatting>
  <dataValidations count="1">
    <dataValidation type="list" allowBlank="1" showInputMessage="1" showErrorMessage="1" sqref="R8" xr:uid="{56F55C4C-F280-408B-AAE1-730C350D31B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041C-A3B7-4810-BE36-E129F8BC8BB6}">
  <sheetPr>
    <pageSetUpPr fitToPage="1"/>
  </sheetPr>
  <dimension ref="A1:BE86"/>
  <sheetViews>
    <sheetView topLeftCell="A44" zoomScale="80" zoomScaleNormal="80" workbookViewId="0">
      <selection activeCell="L66" sqref="L66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45985</v>
      </c>
      <c r="J4" s="398" t="s">
        <v>194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193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[24]Brewhouse!$A975</f>
        <v>CA860</v>
      </c>
      <c r="D10" s="279">
        <f>[24]Brewhouse!$AF975</f>
        <v>50.9</v>
      </c>
      <c r="E10" s="279">
        <f>[24]Brewhouse!$AI975</f>
        <v>49.6</v>
      </c>
      <c r="F10" s="278">
        <f>[24]Brewhouse!$V975</f>
        <v>62</v>
      </c>
      <c r="G10" s="279">
        <f>[24]Brewhouse!AG975</f>
        <v>11.8</v>
      </c>
      <c r="H10" s="396">
        <v>11.9</v>
      </c>
      <c r="I10" s="368">
        <f>[24]Brewhouse!$AU975</f>
        <v>96.441828722524065</v>
      </c>
      <c r="J10" s="368">
        <f>[24]Brewhouse!$AV975</f>
        <v>96.941961835266881</v>
      </c>
      <c r="K10" s="281">
        <f>[24]Brewhouse!$Q975</f>
        <v>5.4990583804143158</v>
      </c>
      <c r="L10" s="276">
        <f>[24]Brewhouse!$P975</f>
        <v>61</v>
      </c>
      <c r="M10" s="397">
        <f>[24]Brewhouse!$U975-[24]Brewhouse!$T975</f>
        <v>0.10694444444444451</v>
      </c>
      <c r="N10" s="370">
        <f>[24]Brewhouse!$Z975</f>
        <v>0.24652777777777768</v>
      </c>
      <c r="O10" s="421" t="str">
        <f>[24]Brewhouse!$AX975</f>
        <v>R. Regis</v>
      </c>
      <c r="P10" s="418"/>
      <c r="R10" s="277" t="str">
        <f t="shared" ref="R10:R48" si="0">B10</f>
        <v>CARIB</v>
      </c>
      <c r="S10" s="296">
        <f t="shared" ref="S10:S48" si="1">VLOOKUP($B10,$R$3:$X$9,2,FALSE)</f>
        <v>11.6</v>
      </c>
      <c r="T10" s="296">
        <f t="shared" ref="T10:T48" si="2">VLOOKUP($B10,$R$3:$X$9,3,FALSE)</f>
        <v>12</v>
      </c>
      <c r="U10" s="297">
        <f t="shared" ref="U10:U48" si="3">VLOOKUP($B10,$R$3:$X$9,4,FALSE)</f>
        <v>0</v>
      </c>
      <c r="V10" s="297">
        <f t="shared" ref="V10:V48" si="4">VLOOKUP($B10,$R$3:$X$9,5,FALSE)</f>
        <v>0.118055555555556</v>
      </c>
      <c r="W10" s="297">
        <f t="shared" ref="W10:W48" si="5">VLOOKUP($B10,$R$3:$X$9,6,FALSE)</f>
        <v>0.22569444444444445</v>
      </c>
      <c r="X10" s="297">
        <f t="shared" ref="X10:X48" si="6">VLOOKUP($B10,$R$3:$X$9,7,FALSE)</f>
        <v>0.2638888888888889</v>
      </c>
      <c r="Y10" s="297">
        <f t="shared" ref="Y10:Y48" si="7">VLOOKUP($B10,$R$3:$Z$9,8,FALSE)</f>
        <v>0</v>
      </c>
      <c r="Z10" s="296">
        <f t="shared" ref="Z10:Z48" si="8">VLOOKUP($B10,$R$3:$Z$9,9,FALSE)</f>
        <v>60</v>
      </c>
    </row>
    <row r="11" spans="2:29" ht="15.75" customHeight="1">
      <c r="B11" s="29" t="s">
        <v>6</v>
      </c>
      <c r="C11" s="366" t="str">
        <f>[24]Brewhouse!$A976</f>
        <v>CA861</v>
      </c>
      <c r="D11" s="279">
        <f>[24]Brewhouse!$AF976</f>
        <v>51.5</v>
      </c>
      <c r="E11" s="279">
        <f>[24]Brewhouse!$AI976</f>
        <v>50.6</v>
      </c>
      <c r="F11" s="278">
        <f>[24]Brewhouse!$V976</f>
        <v>60</v>
      </c>
      <c r="G11" s="279">
        <f>[24]Brewhouse!AG976</f>
        <v>11.9</v>
      </c>
      <c r="H11" s="396">
        <v>12</v>
      </c>
      <c r="I11" s="368">
        <f>[24]Brewhouse!$AU976</f>
        <v>99.385280027354156</v>
      </c>
      <c r="J11" s="368">
        <f>[24]Brewhouse!$AV976</f>
        <v>99.900636315530704</v>
      </c>
      <c r="K11" s="281">
        <f>[24]Brewhouse!$Q976</f>
        <v>5.8757062146892611</v>
      </c>
      <c r="L11" s="276">
        <f>[24]Brewhouse!$P976</f>
        <v>60</v>
      </c>
      <c r="M11" s="397">
        <f>[24]Brewhouse!$U976-[24]Brewhouse!$T976</f>
        <v>0.11041666666666666</v>
      </c>
      <c r="N11" s="370">
        <f>[24]Brewhouse!$Z976</f>
        <v>0.24513888888888888</v>
      </c>
      <c r="O11" s="421" t="str">
        <f>[24]Brewhouse!$AX976</f>
        <v>R. Regis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[24]Brewhouse!$A977</f>
        <v>CA862</v>
      </c>
      <c r="D12" s="279">
        <f>[24]Brewhouse!$AF977</f>
        <v>51.4</v>
      </c>
      <c r="E12" s="279">
        <f>[24]Brewhouse!$AI977</f>
        <v>49.3</v>
      </c>
      <c r="F12" s="278">
        <f>[24]Brewhouse!$V977</f>
        <v>61</v>
      </c>
      <c r="G12" s="279">
        <f>[24]Brewhouse!AG977</f>
        <v>12</v>
      </c>
      <c r="H12" s="396">
        <v>12</v>
      </c>
      <c r="I12" s="368">
        <f>[24]Brewhouse!$AU977</f>
        <v>97.807691661773291</v>
      </c>
      <c r="J12" s="368">
        <f>[24]Brewhouse!$AV977</f>
        <v>98.314826885958212</v>
      </c>
      <c r="K12" s="281">
        <f>[24]Brewhouse!$Q977</f>
        <v>4.5574387947269335</v>
      </c>
      <c r="L12" s="276">
        <f>[24]Brewhouse!$P977</f>
        <v>57</v>
      </c>
      <c r="M12" s="397">
        <f>[24]Brewhouse!$U977-[24]Brewhouse!$T977</f>
        <v>0.11041666666666666</v>
      </c>
      <c r="N12" s="370">
        <f>[24]Brewhouse!$Z977</f>
        <v>0.2472222222222222</v>
      </c>
      <c r="O12" s="421" t="str">
        <f>[24]Brewhouse!$AX977</f>
        <v>R.Sookram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[24]Brewhouse!$A978</f>
        <v>CA863</v>
      </c>
      <c r="D13" s="279">
        <f>[24]Brewhouse!$AF978</f>
        <v>52.8</v>
      </c>
      <c r="E13" s="279">
        <f>[24]Brewhouse!$AI978</f>
        <v>51.3</v>
      </c>
      <c r="F13" s="278">
        <f>[24]Brewhouse!$V978</f>
        <v>64</v>
      </c>
      <c r="G13" s="279">
        <f>[24]Brewhouse!AG978</f>
        <v>11.6</v>
      </c>
      <c r="H13" s="396">
        <v>11.6</v>
      </c>
      <c r="I13" s="368">
        <f>[24]Brewhouse!$AU978</f>
        <v>98.331201734830657</v>
      </c>
      <c r="J13" s="368">
        <f>[24]Brewhouse!$AV978</f>
        <v>98.84101047753245</v>
      </c>
      <c r="K13" s="281">
        <f>[24]Brewhouse!$Q978</f>
        <v>3.4274952919020718</v>
      </c>
      <c r="L13" s="276">
        <f>[24]Brewhouse!$P978</f>
        <v>57</v>
      </c>
      <c r="M13" s="397">
        <f>[24]Brewhouse!$U978-[24]Brewhouse!$T978</f>
        <v>0.10555555555555551</v>
      </c>
      <c r="N13" s="370">
        <f>[24]Brewhouse!$Z978</f>
        <v>0.24236111111111108</v>
      </c>
      <c r="O13" s="421" t="str">
        <f>[24]Brewhouse!$AX978</f>
        <v>R.Sookram</v>
      </c>
      <c r="P13" s="418"/>
      <c r="R13" s="277" t="str">
        <f t="shared" ref="R13:R16" si="9">B13</f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[24]Brewhouse!$A979</f>
        <v>CA864</v>
      </c>
      <c r="D14" s="279">
        <f>[24]Brewhouse!$AF979</f>
        <v>52.4</v>
      </c>
      <c r="E14" s="279">
        <f>[24]Brewhouse!$AI979</f>
        <v>50.8</v>
      </c>
      <c r="F14" s="278">
        <f>[24]Brewhouse!$V979</f>
        <v>64</v>
      </c>
      <c r="G14" s="279">
        <f>[24]Brewhouse!AG979</f>
        <v>11.7</v>
      </c>
      <c r="H14" s="396">
        <v>11.8</v>
      </c>
      <c r="I14" s="368">
        <f>[24]Brewhouse!$AU979</f>
        <v>98.256554562597771</v>
      </c>
      <c r="J14" s="368">
        <f>[24]Brewhouse!$AV979</f>
        <v>98.765976288967479</v>
      </c>
      <c r="K14" s="281">
        <f>[24]Brewhouse!$Q979</f>
        <v>3.4274952919020718</v>
      </c>
      <c r="L14" s="276">
        <f>[24]Brewhouse!$P979</f>
        <v>57</v>
      </c>
      <c r="M14" s="397">
        <f>[24]Brewhouse!$U979-[24]Brewhouse!$T979</f>
        <v>0.1069444444444444</v>
      </c>
      <c r="N14" s="370">
        <f>[24]Brewhouse!$Z979</f>
        <v>0.26041666666666663</v>
      </c>
      <c r="O14" s="421" t="str">
        <f>[24]Brewhouse!$AX979</f>
        <v>R.Sookram</v>
      </c>
      <c r="P14" s="418"/>
      <c r="R14" s="277" t="str">
        <f t="shared" si="9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[24]Brewhouse!$A980</f>
        <v>CA865</v>
      </c>
      <c r="D15" s="279">
        <f>[24]Brewhouse!$AF980</f>
        <v>52.5</v>
      </c>
      <c r="E15" s="279">
        <f>[24]Brewhouse!$AI980</f>
        <v>50.4</v>
      </c>
      <c r="F15" s="278">
        <f>[24]Brewhouse!$V980</f>
        <v>59</v>
      </c>
      <c r="G15" s="279">
        <f>[24]Brewhouse!AG980</f>
        <v>11.8</v>
      </c>
      <c r="H15" s="396">
        <v>11.7</v>
      </c>
      <c r="I15" s="368">
        <f>[24]Brewhouse!$AU980</f>
        <v>98.481040600874451</v>
      </c>
      <c r="J15" s="368">
        <f>[24]Brewhouse!$AV980</f>
        <v>98.991585142262295</v>
      </c>
      <c r="K15" s="281">
        <f>[24]Brewhouse!$Q980</f>
        <v>2.4858757062146899</v>
      </c>
      <c r="L15" s="276">
        <f>[24]Brewhouse!$P980</f>
        <v>57</v>
      </c>
      <c r="M15" s="397">
        <f>[24]Brewhouse!$U980-[24]Brewhouse!$T980</f>
        <v>0.10555555555555551</v>
      </c>
      <c r="N15" s="370">
        <f>[24]Brewhouse!$Z980</f>
        <v>0.25694444444444442</v>
      </c>
      <c r="O15" s="421" t="str">
        <f>[24]Brewhouse!$AX980</f>
        <v>R.Sookram</v>
      </c>
      <c r="P15" s="418"/>
      <c r="R15" s="277" t="str">
        <f t="shared" si="9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[24]Brewhouse!$A981</f>
        <v>CA866</v>
      </c>
      <c r="D16" s="279">
        <f>[24]Brewhouse!$AF981</f>
        <v>51.3</v>
      </c>
      <c r="E16" s="279">
        <f>[24]Brewhouse!$AI981</f>
        <v>49.7</v>
      </c>
      <c r="F16" s="278">
        <f>[24]Brewhouse!$V981</f>
        <v>64</v>
      </c>
      <c r="G16" s="279">
        <f>[24]Brewhouse!AG981</f>
        <v>11.6</v>
      </c>
      <c r="H16" s="396">
        <v>11.8</v>
      </c>
      <c r="I16" s="368">
        <f>[24]Brewhouse!$AU981</f>
        <v>96.247571115790251</v>
      </c>
      <c r="J16" s="368">
        <f>[24]Brewhouse!$AV981</f>
        <v>96.746536924388423</v>
      </c>
      <c r="K16" s="281">
        <f>[24]Brewhouse!$Q981</f>
        <v>4.7457627118644128</v>
      </c>
      <c r="L16" s="276">
        <f>[24]Brewhouse!$P981</f>
        <v>58</v>
      </c>
      <c r="M16" s="397">
        <f>[24]Brewhouse!$U981-[24]Brewhouse!$T981</f>
        <v>0.11111111111111116</v>
      </c>
      <c r="N16" s="370">
        <f>[24]Brewhouse!$Z981</f>
        <v>0.2729166666666667</v>
      </c>
      <c r="O16" s="421" t="str">
        <f>[24]Brewhouse!$AX981</f>
        <v>R.Sookram</v>
      </c>
      <c r="P16" s="418"/>
      <c r="R16" s="277" t="str">
        <f t="shared" si="9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1"/>
      <c r="P17" s="418"/>
      <c r="R17" s="277">
        <f t="shared" ref="R17:R41" si="10">B17</f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customHeight="1">
      <c r="B18" s="475">
        <v>45984</v>
      </c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1"/>
      <c r="P18" s="418"/>
      <c r="R18" s="277">
        <f t="shared" si="10"/>
        <v>45984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customHeight="1">
      <c r="B19" s="33" t="s">
        <v>9</v>
      </c>
      <c r="C19" s="366" t="str">
        <f>[25]Brewhouse!$A473</f>
        <v>ST449</v>
      </c>
      <c r="D19" s="279">
        <f>[25]Brewhouse!$AD473</f>
        <v>48.1</v>
      </c>
      <c r="E19" s="279">
        <f>[25]Brewhouse!$AG473</f>
        <v>48</v>
      </c>
      <c r="F19" s="278">
        <f>[25]Brewhouse!$V473</f>
        <v>46</v>
      </c>
      <c r="G19" s="279">
        <f>[25]Brewhouse!$AE473</f>
        <v>12</v>
      </c>
      <c r="H19" s="396">
        <v>12</v>
      </c>
      <c r="I19" s="420">
        <f>[25]Brewhouse!$AS473</f>
        <v>96.92710466931149</v>
      </c>
      <c r="J19" s="420">
        <f>[25]Brewhouse!$AT473</f>
        <v>97.351140823992907</v>
      </c>
      <c r="K19" s="281">
        <f>[25]Brewhouse!$Q473</f>
        <v>15.336538461538465</v>
      </c>
      <c r="L19" s="276">
        <f>[25]Brewhouse!$P473</f>
        <v>63</v>
      </c>
      <c r="M19" s="374">
        <f>[25]Brewhouse!$U473-[25]Brewhouse!$T473</f>
        <v>0.11388888888888893</v>
      </c>
      <c r="N19" s="370">
        <f>[25]Brewhouse!$AW473</f>
        <v>0.24375000000000002</v>
      </c>
      <c r="O19" s="421" t="str">
        <f>[25]Brewhouse!$AV473</f>
        <v>K. Benjamin</v>
      </c>
      <c r="P19" s="418"/>
      <c r="R19" s="277" t="str">
        <f t="shared" si="10"/>
        <v>STAG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2:26" ht="15.75" customHeight="1">
      <c r="B20" s="33" t="s">
        <v>9</v>
      </c>
      <c r="C20" s="366" t="str">
        <f>[25]Brewhouse!$A474</f>
        <v>ST450</v>
      </c>
      <c r="D20" s="279">
        <f>[25]Brewhouse!$AD474</f>
        <v>48.5</v>
      </c>
      <c r="E20" s="279">
        <f>[25]Brewhouse!$AG474</f>
        <v>47</v>
      </c>
      <c r="F20" s="278">
        <f>[25]Brewhouse!$V474</f>
        <v>60</v>
      </c>
      <c r="G20" s="279">
        <f>[25]Brewhouse!$AE474</f>
        <v>11.8</v>
      </c>
      <c r="H20" s="396">
        <v>11.8</v>
      </c>
      <c r="I20" s="420">
        <f>[25]Brewhouse!$AS474</f>
        <v>93.597189250489166</v>
      </c>
      <c r="J20" s="420">
        <f>[25]Brewhouse!$AT474</f>
        <v>94.006252863237449</v>
      </c>
      <c r="K20" s="281">
        <f>[25]Brewhouse!$Q474</f>
        <v>12.644230769230761</v>
      </c>
      <c r="L20" s="276">
        <f>[25]Brewhouse!$P474</f>
        <v>64</v>
      </c>
      <c r="M20" s="374">
        <f>[25]Brewhouse!$U474-[25]Brewhouse!$T474</f>
        <v>0.11180555555555549</v>
      </c>
      <c r="N20" s="370">
        <f>[25]Brewhouse!$AW474</f>
        <v>0.2534722222222221</v>
      </c>
      <c r="O20" s="421" t="str">
        <f>[25]Brewhouse!$AV474</f>
        <v>K. Benjamin</v>
      </c>
      <c r="P20" s="418"/>
      <c r="R20" s="277" t="str">
        <f t="shared" si="10"/>
        <v>STAG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2:26" ht="15.75" customHeight="1">
      <c r="B21" s="33" t="s">
        <v>9</v>
      </c>
      <c r="C21" s="366" t="str">
        <f>[25]Brewhouse!$A475</f>
        <v>ST451</v>
      </c>
      <c r="D21" s="279">
        <f>[25]Brewhouse!$AD475</f>
        <v>49</v>
      </c>
      <c r="E21" s="279">
        <f>[25]Brewhouse!$AG475</f>
        <v>47.5</v>
      </c>
      <c r="F21" s="278">
        <f>[25]Brewhouse!$V475</f>
        <v>70</v>
      </c>
      <c r="G21" s="279">
        <f>[25]Brewhouse!$AE475</f>
        <v>11.9</v>
      </c>
      <c r="H21" s="396">
        <v>12</v>
      </c>
      <c r="I21" s="420">
        <f>[25]Brewhouse!$AS475</f>
        <v>95.316244753839001</v>
      </c>
      <c r="J21" s="420">
        <f>[25]Brewhouse!$AT475</f>
        <v>95.732959217589382</v>
      </c>
      <c r="K21" s="281">
        <f>[25]Brewhouse!$Q475</f>
        <v>7.2596153846153824</v>
      </c>
      <c r="L21" s="276">
        <f>[25]Brewhouse!$P475</f>
        <v>60</v>
      </c>
      <c r="M21" s="374">
        <f>[25]Brewhouse!$U475-[25]Brewhouse!$T475</f>
        <v>0.125</v>
      </c>
      <c r="N21" s="370">
        <f>[25]Brewhouse!$AW475</f>
        <v>0.27430555555555547</v>
      </c>
      <c r="O21" s="421" t="str">
        <f>[25]Brewhouse!$AV475</f>
        <v>K. Benjamin</v>
      </c>
      <c r="P21" s="418"/>
      <c r="R21" s="277" t="str">
        <f t="shared" si="10"/>
        <v>STAG</v>
      </c>
      <c r="S21" s="296">
        <f t="shared" si="1"/>
        <v>11.6</v>
      </c>
      <c r="T21" s="296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296">
        <f t="shared" si="8"/>
        <v>60</v>
      </c>
    </row>
    <row r="22" spans="2:26" ht="15.75" customHeight="1">
      <c r="B22" s="33" t="s">
        <v>9</v>
      </c>
      <c r="C22" s="366" t="str">
        <f>[25]Brewhouse!$A476</f>
        <v>ST452</v>
      </c>
      <c r="D22" s="279">
        <f>[25]Brewhouse!$AD476</f>
        <v>49.2</v>
      </c>
      <c r="E22" s="279">
        <f>[25]Brewhouse!$AG476</f>
        <v>48.2</v>
      </c>
      <c r="F22" s="278">
        <f>[25]Brewhouse!$V476</f>
        <v>60</v>
      </c>
      <c r="G22" s="279">
        <f>[25]Brewhouse!$AE476</f>
        <v>12</v>
      </c>
      <c r="H22" s="396">
        <v>11.7</v>
      </c>
      <c r="I22" s="420">
        <f>[25]Brewhouse!$AS476</f>
        <v>97.821198712349656</v>
      </c>
      <c r="J22" s="420">
        <f>[25]Brewhouse!$AT476</f>
        <v>98.248581478816817</v>
      </c>
      <c r="K22" s="281">
        <f>[25]Brewhouse!$Q476</f>
        <v>12.06730769230769</v>
      </c>
      <c r="L22" s="276">
        <f>[25]Brewhouse!$P476</f>
        <v>70</v>
      </c>
      <c r="M22" s="374">
        <f>[25]Brewhouse!$U476-[25]Brewhouse!$T476</f>
        <v>0.14652777777777781</v>
      </c>
      <c r="N22" s="370">
        <f>[25]Brewhouse!$AW476</f>
        <v>0.30000000000000004</v>
      </c>
      <c r="O22" s="421" t="str">
        <f>[25]Brewhouse!$AV476</f>
        <v>K. Benjamin</v>
      </c>
      <c r="P22" s="418"/>
      <c r="R22" s="277" t="str">
        <f t="shared" si="10"/>
        <v>STAG</v>
      </c>
      <c r="S22" s="296">
        <f t="shared" si="1"/>
        <v>11.6</v>
      </c>
      <c r="T22" s="296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296">
        <f t="shared" si="8"/>
        <v>60</v>
      </c>
    </row>
    <row r="23" spans="2:26" ht="15.75" customHeight="1">
      <c r="B23" s="33" t="s">
        <v>9</v>
      </c>
      <c r="C23" s="366" t="str">
        <f>[25]Brewhouse!$A477</f>
        <v>ST453</v>
      </c>
      <c r="D23" s="279">
        <f>[25]Brewhouse!$AD477</f>
        <v>46.8</v>
      </c>
      <c r="E23" s="279">
        <f>[25]Brewhouse!$AG477</f>
        <v>45.9</v>
      </c>
      <c r="F23" s="278">
        <f>[25]Brewhouse!$V477</f>
        <v>54</v>
      </c>
      <c r="G23" s="279">
        <f>[25]Brewhouse!$AE477</f>
        <v>12</v>
      </c>
      <c r="H23" s="396">
        <v>12</v>
      </c>
      <c r="I23" s="420">
        <f>[25]Brewhouse!$AS477</f>
        <v>94.461776426174509</v>
      </c>
      <c r="J23" s="420">
        <f>[25]Brewhouse!$AT477</f>
        <v>94.872953078812486</v>
      </c>
      <c r="K23" s="281">
        <f>[25]Brewhouse!$Q477</f>
        <v>17.644230769230766</v>
      </c>
      <c r="L23" s="276">
        <f>[25]Brewhouse!$P477</f>
        <v>62</v>
      </c>
      <c r="M23" s="374">
        <f>[25]Brewhouse!$U477-[25]Brewhouse!$T477</f>
        <v>0.10972222222222228</v>
      </c>
      <c r="N23" s="370">
        <f>[25]Brewhouse!$AW477</f>
        <v>0.23819444444444449</v>
      </c>
      <c r="O23" s="421" t="str">
        <f>[25]Brewhouse!$AV477</f>
        <v>K. Benjamin</v>
      </c>
      <c r="P23" s="418"/>
      <c r="R23" s="277" t="str">
        <f t="shared" si="10"/>
        <v>STAG</v>
      </c>
      <c r="S23" s="296">
        <f t="shared" si="1"/>
        <v>11.6</v>
      </c>
      <c r="T23" s="296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296">
        <f t="shared" si="8"/>
        <v>60</v>
      </c>
    </row>
    <row r="24" spans="2:26" ht="15.75" customHeight="1">
      <c r="B24" s="33" t="s">
        <v>9</v>
      </c>
      <c r="C24" s="366" t="str">
        <f>[25]Brewhouse!$A478</f>
        <v>ST454</v>
      </c>
      <c r="D24" s="279">
        <f>[25]Brewhouse!$AD478</f>
        <v>47.6</v>
      </c>
      <c r="E24" s="279">
        <f>[25]Brewhouse!$AG478</f>
        <v>48</v>
      </c>
      <c r="F24" s="278">
        <f>[25]Brewhouse!$V478</f>
        <v>51</v>
      </c>
      <c r="G24" s="279">
        <f>[25]Brewhouse!$AE478</f>
        <v>11.8</v>
      </c>
      <c r="H24" s="396">
        <v>11.8</v>
      </c>
      <c r="I24" s="420">
        <f>[25]Brewhouse!$AS478</f>
        <v>95.5886188090102</v>
      </c>
      <c r="J24" s="420">
        <f>[25]Brewhouse!$AT478</f>
        <v>96.00638590288078</v>
      </c>
      <c r="K24" s="281">
        <f>[25]Brewhouse!$Q478</f>
        <v>12.644230769230761</v>
      </c>
      <c r="L24" s="276">
        <f>[25]Brewhouse!$P478</f>
        <v>62</v>
      </c>
      <c r="M24" s="374">
        <f>[25]Brewhouse!$U478-[25]Brewhouse!$T478</f>
        <v>0.10763888888888884</v>
      </c>
      <c r="N24" s="370">
        <f>[25]Brewhouse!$AW478</f>
        <v>0.23819444444444438</v>
      </c>
      <c r="O24" s="421" t="str">
        <f>[25]Brewhouse!$AV478</f>
        <v>K. Benjamin</v>
      </c>
      <c r="P24" s="418"/>
      <c r="R24" s="277" t="str">
        <f t="shared" si="10"/>
        <v>STAG</v>
      </c>
      <c r="S24" s="296">
        <f t="shared" si="1"/>
        <v>11.6</v>
      </c>
      <c r="T24" s="296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296">
        <f t="shared" si="8"/>
        <v>60</v>
      </c>
    </row>
    <row r="25" spans="2:26" ht="15.75" customHeight="1">
      <c r="B25" s="33" t="s">
        <v>9</v>
      </c>
      <c r="C25" s="366" t="str">
        <f>[25]Brewhouse!$A479</f>
        <v>ST455</v>
      </c>
      <c r="D25" s="279">
        <f>[25]Brewhouse!$AD479</f>
        <v>48.7</v>
      </c>
      <c r="E25" s="279">
        <f>[25]Brewhouse!$AG479</f>
        <v>48.5</v>
      </c>
      <c r="F25" s="278">
        <f>[25]Brewhouse!$V479</f>
        <v>51</v>
      </c>
      <c r="G25" s="279">
        <f>[25]Brewhouse!$AE479</f>
        <v>11.8</v>
      </c>
      <c r="H25" s="396">
        <v>11.8</v>
      </c>
      <c r="I25" s="420">
        <f>[25]Brewhouse!$AS479</f>
        <v>96.342013714051987</v>
      </c>
      <c r="J25" s="420">
        <f>[25]Brewhouse!$AT479</f>
        <v>96.763351657832089</v>
      </c>
      <c r="K25" s="281">
        <f>[25]Brewhouse!$Q479</f>
        <v>12.259615384615383</v>
      </c>
      <c r="L25" s="276">
        <f>[25]Brewhouse!$P479</f>
        <v>60</v>
      </c>
      <c r="M25" s="374">
        <f>[25]Brewhouse!$U479-[25]Brewhouse!$T479</f>
        <v>0.10763888888888906</v>
      </c>
      <c r="N25" s="370">
        <f>[25]Brewhouse!$AW479</f>
        <v>0.23680555555555571</v>
      </c>
      <c r="O25" s="421" t="str">
        <f>[25]Brewhouse!$AV479</f>
        <v>K. Benjamin</v>
      </c>
      <c r="P25" s="418"/>
      <c r="R25" s="277" t="str">
        <f t="shared" si="10"/>
        <v>STAG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1"/>
      <c r="P26" s="418"/>
      <c r="R26" s="277">
        <f t="shared" si="1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1"/>
      <c r="P27" s="418"/>
      <c r="R27" s="277">
        <f t="shared" si="1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421"/>
      <c r="P28" s="418"/>
      <c r="R28" s="277">
        <f t="shared" si="1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421"/>
      <c r="P29" s="418"/>
      <c r="R29" s="277">
        <f t="shared" si="1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421"/>
      <c r="P30" s="418"/>
      <c r="R30" s="277">
        <f t="shared" si="1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421"/>
      <c r="P31" s="418"/>
      <c r="R31" s="277">
        <f t="shared" si="1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33"/>
      <c r="C32" s="366"/>
      <c r="D32" s="279"/>
      <c r="E32" s="279"/>
      <c r="F32" s="278"/>
      <c r="G32" s="279"/>
      <c r="H32" s="396"/>
      <c r="I32" s="420"/>
      <c r="J32" s="420"/>
      <c r="K32" s="281"/>
      <c r="L32" s="276"/>
      <c r="M32" s="374"/>
      <c r="N32" s="370"/>
      <c r="O32" s="421"/>
      <c r="P32" s="418"/>
      <c r="R32" s="277">
        <f t="shared" si="1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hidden="1" customHeight="1">
      <c r="B33" s="33"/>
      <c r="C33" s="366"/>
      <c r="D33" s="279"/>
      <c r="E33" s="279"/>
      <c r="F33" s="278"/>
      <c r="G33" s="279"/>
      <c r="H33" s="396"/>
      <c r="I33" s="420"/>
      <c r="J33" s="420"/>
      <c r="K33" s="281"/>
      <c r="L33" s="276"/>
      <c r="M33" s="374"/>
      <c r="N33" s="370"/>
      <c r="O33" s="421"/>
      <c r="P33" s="418"/>
      <c r="R33" s="277">
        <f t="shared" si="1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18"/>
      <c r="R34" s="277">
        <f t="shared" si="1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.75" customHeight="1" thickBot="1">
      <c r="B35" s="358"/>
      <c r="C35" s="358"/>
      <c r="D35" s="358"/>
      <c r="E35" s="358"/>
      <c r="F35" s="294"/>
      <c r="G35" s="294"/>
      <c r="H35" s="348"/>
      <c r="I35" s="512"/>
      <c r="J35" s="512"/>
      <c r="K35" s="512"/>
      <c r="L35" s="512"/>
      <c r="M35" s="512"/>
      <c r="N35" s="512"/>
      <c r="O35" s="1"/>
      <c r="P35" s="12"/>
      <c r="R35" s="277">
        <f t="shared" si="1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.75" customHeight="1" thickBot="1">
      <c r="B36" s="388" t="s">
        <v>162</v>
      </c>
      <c r="C36" s="388"/>
      <c r="D36" s="490" t="s">
        <v>35</v>
      </c>
      <c r="E36" s="491"/>
      <c r="F36" s="294"/>
      <c r="G36" s="294"/>
      <c r="H36" s="348"/>
      <c r="I36" s="24" t="s">
        <v>17</v>
      </c>
      <c r="J36" s="25"/>
      <c r="K36" s="26" t="s">
        <v>138</v>
      </c>
      <c r="L36" s="25" t="s">
        <v>37</v>
      </c>
      <c r="M36" s="25" t="s">
        <v>38</v>
      </c>
      <c r="N36" s="27" t="s">
        <v>39</v>
      </c>
      <c r="O36" s="294"/>
      <c r="P36" s="12"/>
      <c r="R36" s="277" t="str">
        <f t="shared" si="10"/>
        <v xml:space="preserve">BRAND 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7" ht="15" customHeight="1">
      <c r="A37" s="28"/>
      <c r="B37" s="563" t="str">
        <f>I37</f>
        <v>CARIB</v>
      </c>
      <c r="C37" s="362"/>
      <c r="D37" s="516"/>
      <c r="E37" s="517"/>
      <c r="F37" s="294"/>
      <c r="G37" s="294"/>
      <c r="H37" s="348"/>
      <c r="I37" s="29" t="s">
        <v>6</v>
      </c>
      <c r="J37" s="280">
        <f>AVERAGE(I10:I16)</f>
        <v>97.85016691796352</v>
      </c>
      <c r="K37" s="284">
        <f>COUNTA([24]Brewhouse!$A$914:$A$981)</f>
        <v>68</v>
      </c>
      <c r="L37" s="305">
        <f>AVERAGE([24]Brewhouse!$AU$914:$AU$981)</f>
        <v>98.034689425796273</v>
      </c>
      <c r="M37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$981)</f>
        <v>97.742055504987945</v>
      </c>
      <c r="N37" s="30">
        <v>98</v>
      </c>
      <c r="O37" s="11"/>
      <c r="P37" s="31"/>
      <c r="R37" s="277" t="str">
        <f t="shared" si="10"/>
        <v>CARIB</v>
      </c>
      <c r="S37" s="296">
        <f t="shared" si="1"/>
        <v>11.6</v>
      </c>
      <c r="T37" s="296">
        <f t="shared" si="2"/>
        <v>12</v>
      </c>
      <c r="U37" s="297">
        <f t="shared" si="3"/>
        <v>0</v>
      </c>
      <c r="V37" s="297">
        <f t="shared" si="4"/>
        <v>0.118055555555556</v>
      </c>
      <c r="W37" s="297">
        <f t="shared" si="5"/>
        <v>0.22569444444444445</v>
      </c>
      <c r="X37" s="297">
        <f t="shared" si="6"/>
        <v>0.2638888888888889</v>
      </c>
      <c r="Y37" s="297">
        <f t="shared" si="7"/>
        <v>0</v>
      </c>
      <c r="Z37" s="296">
        <f t="shared" si="8"/>
        <v>60</v>
      </c>
    </row>
    <row r="38" spans="1:27" ht="15" customHeight="1">
      <c r="A38" s="28"/>
      <c r="B38" s="564"/>
      <c r="C38" s="362"/>
      <c r="D38" s="518"/>
      <c r="E38" s="519"/>
      <c r="F38" s="294"/>
      <c r="G38" s="294"/>
      <c r="H38" s="348"/>
      <c r="I38" s="33" t="s">
        <v>9</v>
      </c>
      <c r="J38" s="280">
        <f>AVERAGE(I19:I25)</f>
        <v>95.722020905032281</v>
      </c>
      <c r="K38" s="284">
        <f>COUNTA([25]Brewhouse!$A$449:$A$480)</f>
        <v>32</v>
      </c>
      <c r="L38" s="302">
        <f>AVERAGE([25]Brewhouse!$AS$449:$AS$480)</f>
        <v>96.964387573165368</v>
      </c>
      <c r="M38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$480)</f>
        <v>97.858222244953183</v>
      </c>
      <c r="N38" s="30">
        <v>98</v>
      </c>
      <c r="O38" s="11"/>
      <c r="P38" s="31"/>
      <c r="R38" s="277">
        <f t="shared" si="1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7" ht="14.65" customHeight="1">
      <c r="A39" s="28"/>
      <c r="B39" s="564"/>
      <c r="C39" s="362"/>
      <c r="D39" s="566"/>
      <c r="E39" s="567"/>
      <c r="F39" s="294"/>
      <c r="G39" s="294"/>
      <c r="H39" s="348"/>
      <c r="I39" s="34" t="s">
        <v>12</v>
      </c>
      <c r="J39" s="280"/>
      <c r="K39" s="284"/>
      <c r="L39" s="302"/>
      <c r="M39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39" s="30">
        <v>98</v>
      </c>
      <c r="O39" s="11"/>
      <c r="P39" s="31"/>
      <c r="R39" s="277">
        <f t="shared" si="1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7" ht="14.65" customHeight="1">
      <c r="A40" s="28"/>
      <c r="B40" s="564"/>
      <c r="C40" s="362"/>
      <c r="D40" s="531"/>
      <c r="E40" s="519"/>
      <c r="F40" s="294"/>
      <c r="G40" s="294"/>
      <c r="H40" s="348"/>
      <c r="I40" s="22" t="s">
        <v>33</v>
      </c>
      <c r="J40" s="280"/>
      <c r="K40" s="284">
        <f>COUNTA([23]Brewhouse!$A$97:$A$104)</f>
        <v>8</v>
      </c>
      <c r="L40" s="302">
        <f>AVERAGE([23]Brewhouse!$AV$97:$AV$104)</f>
        <v>98.419138016287462</v>
      </c>
      <c r="M40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40" s="30">
        <v>98</v>
      </c>
      <c r="O40" s="11"/>
      <c r="P40" s="31"/>
      <c r="R40" s="277">
        <f t="shared" si="1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7" ht="14.65" customHeight="1">
      <c r="A41" s="28"/>
      <c r="B41" s="564"/>
      <c r="C41" s="362"/>
      <c r="D41" s="566"/>
      <c r="E41" s="567"/>
      <c r="F41" s="417"/>
      <c r="G41" s="294"/>
      <c r="H41" s="348"/>
      <c r="I41" s="35" t="s">
        <v>29</v>
      </c>
      <c r="J41" s="280"/>
      <c r="K41" s="284"/>
      <c r="L41" s="302"/>
      <c r="M41" s="302"/>
      <c r="N41" s="30">
        <v>98</v>
      </c>
      <c r="O41" s="11"/>
      <c r="P41" s="31"/>
      <c r="R41" s="277">
        <f t="shared" si="1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7" ht="14.65" customHeight="1">
      <c r="A42" s="28"/>
      <c r="B42" s="564"/>
      <c r="C42" s="362"/>
      <c r="D42" s="531"/>
      <c r="E42" s="519"/>
      <c r="F42" s="417"/>
      <c r="G42" s="294"/>
      <c r="H42" s="348"/>
      <c r="I42" s="36" t="s">
        <v>15</v>
      </c>
      <c r="J42" s="323"/>
      <c r="K42" s="284"/>
      <c r="L42" s="302"/>
      <c r="M42" s="302">
        <f>AVERAGE([27]Brewhouse!$AT$4:$AT$11,[27]Brewhouse!$AT$13:$AT$16,[27]Brewhouse!$AT$18:$AT$21,[27]Brewhouse!$AT$26,[27]Brewhouse!$AT$28:$AT$35)</f>
        <v>94.794664331624134</v>
      </c>
      <c r="N42" s="30">
        <v>98</v>
      </c>
      <c r="O42" s="11"/>
      <c r="P42" s="31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  <c r="AA42" s="296"/>
    </row>
    <row r="43" spans="1:27" ht="14.65" customHeight="1">
      <c r="A43" s="28"/>
      <c r="B43" s="564"/>
      <c r="C43" s="362"/>
      <c r="D43" s="566"/>
      <c r="E43" s="567"/>
      <c r="F43" s="417"/>
      <c r="G43" s="294"/>
      <c r="H43" s="348"/>
      <c r="I43" s="37" t="s">
        <v>16</v>
      </c>
      <c r="J43" s="323"/>
      <c r="K43" s="284">
        <f>COUNTA([22]Brewhouse!$A$94:$A$97)</f>
        <v>4</v>
      </c>
      <c r="L43" s="302">
        <f>AVERAGE([22]Brewhouse!$AY$94:$AY$97)</f>
        <v>95.326767995731288</v>
      </c>
      <c r="M43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43" s="30">
        <v>98</v>
      </c>
      <c r="O43" s="11"/>
      <c r="P43" s="31" t="s">
        <v>41</v>
      </c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  <c r="AA43" s="296"/>
    </row>
    <row r="44" spans="1:27" ht="14.65" customHeight="1">
      <c r="A44" s="28"/>
      <c r="B44" s="564"/>
      <c r="C44" s="362"/>
      <c r="D44" s="531"/>
      <c r="E44" s="519"/>
      <c r="F44" s="294"/>
      <c r="G44" s="294"/>
      <c r="H44" s="348"/>
      <c r="I44" s="411" t="s">
        <v>158</v>
      </c>
      <c r="J44" s="326"/>
      <c r="K44" s="284"/>
      <c r="L44" s="305"/>
      <c r="M44" s="305">
        <f>AVERAGE([28]Brewhouse!$AU$5:$AU$8,[28]Brewhouse!$AU$10:$AU$13,[22]Brewhouse!$AY$75:$AY$77)</f>
        <v>94.749192473706671</v>
      </c>
      <c r="N44" s="30">
        <v>98</v>
      </c>
      <c r="O44" s="11"/>
      <c r="P44" s="31"/>
      <c r="R44" s="277">
        <f t="shared" si="0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  <c r="AA44" s="296"/>
    </row>
    <row r="45" spans="1:27" ht="14.65" customHeight="1">
      <c r="A45" s="28"/>
      <c r="B45" s="564"/>
      <c r="C45" s="349"/>
      <c r="D45" s="566"/>
      <c r="E45" s="567"/>
      <c r="F45" s="294"/>
      <c r="G45" s="294"/>
      <c r="H45" s="348"/>
      <c r="I45" s="410" t="s">
        <v>157</v>
      </c>
      <c r="J45" s="326"/>
      <c r="K45" s="284"/>
      <c r="L45" s="305"/>
      <c r="M45" s="305">
        <f>AVERAGE([29]Brewhouse!$AW$26:$AW$27)</f>
        <v>95.310680905194914</v>
      </c>
      <c r="N45" s="30">
        <v>98</v>
      </c>
      <c r="O45" s="11"/>
      <c r="P45" s="31"/>
      <c r="R45" s="277">
        <f t="shared" si="0"/>
        <v>0</v>
      </c>
      <c r="S45" s="296" t="e">
        <f t="shared" si="1"/>
        <v>#N/A</v>
      </c>
      <c r="T45" s="296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296" t="e">
        <f t="shared" si="8"/>
        <v>#N/A</v>
      </c>
      <c r="AA45" s="296"/>
    </row>
    <row r="46" spans="1:27" ht="15" customHeight="1" thickBot="1">
      <c r="A46" s="28"/>
      <c r="B46" s="564"/>
      <c r="C46" s="349"/>
      <c r="D46" s="531"/>
      <c r="E46" s="519"/>
      <c r="F46" s="294"/>
      <c r="G46" s="294"/>
      <c r="H46" s="348"/>
      <c r="I46" s="406" t="s">
        <v>156</v>
      </c>
      <c r="J46" s="327"/>
      <c r="K46" s="407"/>
      <c r="L46" s="408"/>
      <c r="M46" s="408">
        <f>AVERAGE([30]Brewhouse!$AU$13:$AU$14)</f>
        <v>97.110575243268045</v>
      </c>
      <c r="N46" s="409">
        <v>98</v>
      </c>
      <c r="O46" s="11"/>
      <c r="P46" s="31"/>
      <c r="R46" s="277">
        <f t="shared" si="0"/>
        <v>0</v>
      </c>
      <c r="S46" s="296" t="e">
        <f t="shared" si="1"/>
        <v>#N/A</v>
      </c>
      <c r="T46" s="296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296" t="e">
        <f t="shared" si="8"/>
        <v>#N/A</v>
      </c>
      <c r="AA46" s="296"/>
    </row>
    <row r="47" spans="1:27" ht="15" customHeight="1" thickBot="1">
      <c r="A47" s="28"/>
      <c r="B47" s="564"/>
      <c r="C47" s="349"/>
      <c r="D47" s="516"/>
      <c r="E47" s="517"/>
      <c r="F47" s="294"/>
      <c r="G47" s="294"/>
      <c r="H47" s="348"/>
      <c r="I47" s="1"/>
      <c r="J47" s="39"/>
      <c r="K47" s="404">
        <f>SUM(K37:K46)</f>
        <v>112</v>
      </c>
      <c r="L47" s="405">
        <f>((L37*K37)+(L38*K38)+(L39*K39)+(L40*K40)+(L41*K41)+(K44*L44)+(L42*K42)+(L43*K43)+(L46*K46))/(K47)</f>
        <v>97.659638030434493</v>
      </c>
      <c r="M47" s="405">
        <f>AVERAGE('[31]Jan 31st'!$L$65,'[32]Feb 28th'!$L$35,'[33]Mar. 31st'!$L$35,'[34]Apr. 30th'!$L$45,'[35]May 30th'!$L$37,'[36]June 30th'!$L$57,'[37]July 29th '!$L$44,'[38]Aug 29th'!$L$29,'[39]Sept 30th'!$L$35,L47)</f>
        <v>97.58391404272524</v>
      </c>
      <c r="N47" s="40">
        <v>98</v>
      </c>
      <c r="O47" s="11"/>
      <c r="P47" s="31"/>
      <c r="R47" s="277">
        <f t="shared" si="0"/>
        <v>0</v>
      </c>
      <c r="S47" s="296" t="e">
        <f t="shared" si="1"/>
        <v>#N/A</v>
      </c>
      <c r="T47" s="296" t="e">
        <f t="shared" si="2"/>
        <v>#N/A</v>
      </c>
      <c r="U47" s="297" t="e">
        <f t="shared" si="3"/>
        <v>#N/A</v>
      </c>
      <c r="V47" s="297" t="e">
        <f t="shared" si="4"/>
        <v>#N/A</v>
      </c>
      <c r="W47" s="297" t="e">
        <f t="shared" si="5"/>
        <v>#N/A</v>
      </c>
      <c r="X47" s="297" t="e">
        <f t="shared" si="6"/>
        <v>#N/A</v>
      </c>
      <c r="Y47" s="297" t="e">
        <f t="shared" si="7"/>
        <v>#N/A</v>
      </c>
      <c r="Z47" s="296" t="e">
        <f t="shared" si="8"/>
        <v>#N/A</v>
      </c>
      <c r="AA47" s="296"/>
    </row>
    <row r="48" spans="1:27" ht="15.75" thickBot="1">
      <c r="B48" s="570"/>
      <c r="C48" s="350"/>
      <c r="D48" s="518"/>
      <c r="E48" s="519"/>
      <c r="F48" s="294"/>
      <c r="G48" s="42"/>
      <c r="H48" s="41"/>
      <c r="I48" s="42"/>
      <c r="J48" s="42"/>
      <c r="K48" s="351"/>
      <c r="L48" s="348"/>
      <c r="M48" s="348"/>
      <c r="N48" s="11"/>
      <c r="O48" s="294"/>
      <c r="P48" s="12"/>
      <c r="R48" s="277">
        <f t="shared" si="0"/>
        <v>0</v>
      </c>
      <c r="S48" s="296" t="e">
        <f t="shared" si="1"/>
        <v>#N/A</v>
      </c>
      <c r="T48" s="296" t="e">
        <f t="shared" si="2"/>
        <v>#N/A</v>
      </c>
      <c r="U48" s="297" t="e">
        <f t="shared" si="3"/>
        <v>#N/A</v>
      </c>
      <c r="V48" s="297" t="e">
        <f t="shared" si="4"/>
        <v>#N/A</v>
      </c>
      <c r="W48" s="297" t="e">
        <f t="shared" si="5"/>
        <v>#N/A</v>
      </c>
      <c r="X48" s="297" t="e">
        <f t="shared" si="6"/>
        <v>#N/A</v>
      </c>
      <c r="Y48" s="297" t="e">
        <f t="shared" si="7"/>
        <v>#N/A</v>
      </c>
      <c r="Z48" s="296" t="e">
        <f t="shared" si="8"/>
        <v>#N/A</v>
      </c>
      <c r="AA48" s="296"/>
    </row>
    <row r="49" spans="2:56" ht="15.75" thickBot="1">
      <c r="B49" s="585"/>
      <c r="C49" s="362"/>
      <c r="D49" s="529"/>
      <c r="E49" s="530"/>
      <c r="F49" s="294"/>
      <c r="G49" s="42"/>
      <c r="H49" s="41"/>
      <c r="I49" s="42"/>
      <c r="J49" s="565" t="s">
        <v>129</v>
      </c>
      <c r="K49" s="565"/>
      <c r="L49" s="294"/>
      <c r="M49" s="294"/>
      <c r="N49" s="294"/>
      <c r="O49" s="294"/>
      <c r="P49" s="12"/>
    </row>
    <row r="50" spans="2:56" ht="15.75" thickBot="1">
      <c r="B50" s="586"/>
      <c r="C50" s="362"/>
      <c r="D50" s="531"/>
      <c r="E50" s="519"/>
      <c r="F50" s="294"/>
      <c r="G50" s="42"/>
      <c r="H50" s="41"/>
      <c r="I50" s="292" t="s">
        <v>17</v>
      </c>
      <c r="J50" s="293" t="s">
        <v>147</v>
      </c>
      <c r="K50" s="293" t="s">
        <v>197</v>
      </c>
      <c r="L50" s="533" t="s">
        <v>136</v>
      </c>
      <c r="M50" s="533"/>
      <c r="N50" s="534"/>
      <c r="O50" s="294"/>
      <c r="P50" s="12"/>
    </row>
    <row r="51" spans="2:56" ht="15" customHeight="1" thickBot="1">
      <c r="B51" s="586"/>
      <c r="C51" s="349"/>
      <c r="D51" s="566"/>
      <c r="E51" s="567"/>
      <c r="F51" s="294"/>
      <c r="G51" s="42"/>
      <c r="H51" s="41"/>
      <c r="I51" s="287" t="s">
        <v>6</v>
      </c>
      <c r="J51" s="324">
        <v>7</v>
      </c>
      <c r="K51" s="324"/>
      <c r="L51" s="343" t="s">
        <v>37</v>
      </c>
      <c r="M51" s="307" t="s">
        <v>38</v>
      </c>
      <c r="N51" s="307" t="s">
        <v>84</v>
      </c>
      <c r="O51" s="294"/>
      <c r="P51" s="12"/>
    </row>
    <row r="52" spans="2:56" ht="15.75" customHeight="1" thickBot="1">
      <c r="B52" s="586"/>
      <c r="C52" s="349"/>
      <c r="D52" s="531"/>
      <c r="E52" s="519"/>
      <c r="F52" s="294"/>
      <c r="G52" s="42"/>
      <c r="H52" s="41"/>
      <c r="I52" s="345" t="s">
        <v>9</v>
      </c>
      <c r="J52" s="324"/>
      <c r="K52" s="324">
        <v>7</v>
      </c>
      <c r="L52" s="344">
        <f>AVERAGE('Nov 21st'!K47,'Nov 22nd-23rd'!J61,'Nov 22nd-23rd'!K61,'Nov 19th '!K49,'Nov 18th'!K58,'Nov 15th'!K53,'Nov 13th&amp; 14th'!J53,'Nov 13th&amp; 14th'!K53,'Nov 12th'!K47,'Nov 11th'!K51,'Nov 10th'!K53,'Nov 6th '!K52,'Nov 7th-8th'!J55,'Nov 7th-8th'!K55,'Nov 4th'!K52,'Nov 5th'!K51,Nov.3rd!K52)</f>
        <v>6.5294117647058822</v>
      </c>
      <c r="M52" s="325">
        <f>AVERAGE('[31]Jan 29th '!$M$70,'[32]Feb 28th'!$L$40,'[33]Mar. 31st'!$L$40,'[34]Apr. 30th'!$L$50,'[35]May 30th'!$L$42,'[36]June 30th'!$L$62,'[37]July 29th '!$L$49,'[38]Aug 29th'!$L$34,'[39]Sept 30th'!$L$40,[40]Oct.31st!$L$43,L52)</f>
        <v>7.0147380102286547</v>
      </c>
      <c r="N52" s="416">
        <v>9.1999999999999993</v>
      </c>
      <c r="O52" s="294"/>
      <c r="P52" s="12"/>
    </row>
    <row r="53" spans="2:56" ht="15" customHeight="1">
      <c r="B53" s="586"/>
      <c r="C53" s="349"/>
      <c r="D53" s="566"/>
      <c r="E53" s="567"/>
      <c r="F53" s="294"/>
      <c r="G53" s="42"/>
      <c r="H53" s="41"/>
      <c r="I53" s="288" t="s">
        <v>40</v>
      </c>
      <c r="J53" s="324"/>
      <c r="K53" s="324"/>
      <c r="L53" s="294"/>
      <c r="M53" s="294"/>
      <c r="N53" s="294"/>
      <c r="O53" s="294"/>
      <c r="P53" s="12"/>
    </row>
    <row r="54" spans="2:56" ht="15" customHeight="1">
      <c r="B54" s="586"/>
      <c r="C54" s="349"/>
      <c r="D54" s="531"/>
      <c r="E54" s="519"/>
      <c r="F54" s="294"/>
      <c r="G54" s="42"/>
      <c r="H54" s="41"/>
      <c r="I54" s="289" t="s">
        <v>33</v>
      </c>
      <c r="J54" s="324"/>
      <c r="K54" s="324"/>
      <c r="L54" s="294"/>
      <c r="M54" s="294"/>
      <c r="N54" s="294"/>
      <c r="O54" s="294"/>
      <c r="P54" s="12"/>
    </row>
    <row r="55" spans="2:56" ht="15">
      <c r="B55" s="586"/>
      <c r="C55" s="349"/>
      <c r="D55" s="566"/>
      <c r="E55" s="567"/>
      <c r="F55" s="294"/>
      <c r="G55" s="42"/>
      <c r="H55" s="41"/>
      <c r="I55" s="290" t="s">
        <v>16</v>
      </c>
      <c r="J55" s="324"/>
      <c r="K55" s="324"/>
      <c r="L55" s="294"/>
      <c r="M55" s="294"/>
      <c r="N55" s="294"/>
      <c r="O55" s="294"/>
      <c r="P55" s="12"/>
      <c r="BC55" s="44"/>
      <c r="BD55" s="44"/>
    </row>
    <row r="56" spans="2:56" ht="15">
      <c r="B56" s="586"/>
      <c r="C56" s="349"/>
      <c r="D56" s="531"/>
      <c r="E56" s="519"/>
      <c r="F56" s="294"/>
      <c r="G56" s="42"/>
      <c r="H56" s="41"/>
      <c r="I56" s="291" t="s">
        <v>15</v>
      </c>
      <c r="J56" s="324"/>
      <c r="K56" s="324"/>
      <c r="L56" s="294"/>
      <c r="M56" s="294"/>
      <c r="N56" s="294"/>
      <c r="O56" s="294"/>
      <c r="P56" s="12"/>
      <c r="BC56" s="44"/>
      <c r="BD56" s="44"/>
    </row>
    <row r="57" spans="2:56" ht="15">
      <c r="B57" s="586"/>
      <c r="C57" s="349"/>
      <c r="D57" s="566"/>
      <c r="E57" s="567"/>
      <c r="F57" s="294"/>
      <c r="G57" s="42"/>
      <c r="H57" s="41"/>
      <c r="I57" s="291" t="s">
        <v>149</v>
      </c>
      <c r="J57" s="324"/>
      <c r="K57" s="324"/>
      <c r="L57" s="294"/>
      <c r="M57" s="294"/>
      <c r="N57" s="294"/>
      <c r="O57" s="294"/>
      <c r="P57" s="12"/>
      <c r="BC57" s="44"/>
      <c r="BD57" s="44"/>
    </row>
    <row r="58" spans="2:56" ht="15.75" thickBot="1">
      <c r="B58" s="590"/>
      <c r="C58" s="350"/>
      <c r="D58" s="568"/>
      <c r="E58" s="569"/>
      <c r="F58" s="294" t="s">
        <v>168</v>
      </c>
      <c r="G58" s="42"/>
      <c r="H58" s="41"/>
      <c r="I58" s="291" t="s">
        <v>148</v>
      </c>
      <c r="J58" s="324"/>
      <c r="K58" s="324"/>
      <c r="L58" s="294"/>
      <c r="M58" s="294"/>
      <c r="N58" s="294" t="s">
        <v>41</v>
      </c>
      <c r="O58" s="294"/>
      <c r="P58" s="12"/>
      <c r="BC58" s="44"/>
      <c r="BD58" s="44"/>
    </row>
    <row r="59" spans="2:56" ht="17.649999999999999" customHeight="1" thickBot="1">
      <c r="B59" s="312" t="s">
        <v>139</v>
      </c>
      <c r="C59" s="313"/>
      <c r="D59" s="576"/>
      <c r="E59" s="577"/>
      <c r="F59" s="294"/>
      <c r="H59" s="41"/>
      <c r="I59" s="295" t="s">
        <v>134</v>
      </c>
      <c r="J59" s="324"/>
      <c r="K59" s="324"/>
      <c r="L59" s="294"/>
      <c r="M59" s="294"/>
      <c r="N59" s="294"/>
      <c r="O59" s="294"/>
      <c r="P59" s="12"/>
      <c r="BC59" s="44"/>
      <c r="BD59" s="44"/>
    </row>
    <row r="60" spans="2:56" ht="17.649999999999999" customHeight="1">
      <c r="B60" s="363"/>
      <c r="C60" s="364"/>
      <c r="D60" s="365"/>
      <c r="E60" s="365"/>
      <c r="F60" s="294"/>
      <c r="G60" s="42"/>
      <c r="H60" s="41"/>
      <c r="I60" s="295" t="s">
        <v>131</v>
      </c>
      <c r="J60" s="324"/>
      <c r="K60" s="324"/>
      <c r="L60" s="294"/>
      <c r="M60" s="294"/>
      <c r="N60" s="294"/>
      <c r="O60" s="294"/>
      <c r="P60" s="12"/>
      <c r="BC60" s="44"/>
      <c r="BD60" s="44"/>
    </row>
    <row r="61" spans="2:56" ht="15.6" customHeight="1">
      <c r="B61" s="45"/>
      <c r="C61" s="11"/>
      <c r="D61" s="11"/>
      <c r="E61" s="46"/>
      <c r="F61" s="294"/>
      <c r="G61" s="42"/>
      <c r="H61" s="41"/>
      <c r="I61" s="346" t="s">
        <v>130</v>
      </c>
      <c r="J61" s="324">
        <f>SUM(J51:J60)</f>
        <v>7</v>
      </c>
      <c r="K61" s="324">
        <f>SUM(K51:K60)</f>
        <v>7</v>
      </c>
      <c r="L61" s="294"/>
      <c r="M61" s="294"/>
      <c r="N61" s="294"/>
      <c r="O61" s="294"/>
      <c r="P61" s="12"/>
    </row>
    <row r="62" spans="2:56" ht="20.25" customHeight="1">
      <c r="B62" s="15" t="s">
        <v>42</v>
      </c>
      <c r="C62" s="1" t="s">
        <v>43</v>
      </c>
      <c r="D62" s="1"/>
      <c r="E62" s="1"/>
      <c r="F62" s="294"/>
      <c r="G62" s="42"/>
      <c r="H62" s="41"/>
      <c r="I62" s="42"/>
      <c r="L62" s="294"/>
      <c r="N62" s="315"/>
      <c r="P62" s="334"/>
    </row>
    <row r="63" spans="2:56" ht="15" customHeight="1" thickBot="1"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1"/>
      <c r="O63" s="48"/>
      <c r="P63" s="49"/>
    </row>
    <row r="64" spans="2:56" ht="15" customHeight="1" thickBot="1">
      <c r="B64" s="541" t="s">
        <v>17</v>
      </c>
      <c r="C64" s="541" t="s">
        <v>44</v>
      </c>
      <c r="D64" s="543" t="s">
        <v>45</v>
      </c>
      <c r="E64" s="498" t="s">
        <v>46</v>
      </c>
      <c r="F64" s="558" t="s">
        <v>47</v>
      </c>
      <c r="G64" s="552" t="s">
        <v>48</v>
      </c>
      <c r="H64" s="541" t="s">
        <v>49</v>
      </c>
      <c r="I64" s="541" t="s">
        <v>50</v>
      </c>
      <c r="J64" s="546" t="s">
        <v>28</v>
      </c>
      <c r="K64" s="496" t="s">
        <v>51</v>
      </c>
      <c r="L64" s="508" t="s">
        <v>52</v>
      </c>
      <c r="M64" s="546" t="s">
        <v>53</v>
      </c>
      <c r="N64" s="13"/>
      <c r="O64" s="13"/>
      <c r="P64" s="50"/>
    </row>
    <row r="65" spans="2:57" ht="28.5" customHeight="1" thickTop="1" thickBot="1">
      <c r="B65" s="542"/>
      <c r="C65" s="542"/>
      <c r="D65" s="544"/>
      <c r="E65" s="545"/>
      <c r="F65" s="559"/>
      <c r="G65" s="553"/>
      <c r="H65" s="560"/>
      <c r="I65" s="560"/>
      <c r="J65" s="547"/>
      <c r="K65" s="556"/>
      <c r="L65" s="557"/>
      <c r="M65" s="547"/>
      <c r="N65" s="13"/>
      <c r="O65" s="13"/>
      <c r="P65" s="50"/>
      <c r="Q65" s="355"/>
      <c r="AB65" s="51">
        <v>43474</v>
      </c>
      <c r="AC65" s="51">
        <v>43475</v>
      </c>
      <c r="AD65" s="51">
        <v>43476</v>
      </c>
      <c r="AE65" s="51">
        <v>43477</v>
      </c>
      <c r="AF65" s="51">
        <v>43478</v>
      </c>
      <c r="AG65" s="51">
        <v>43479</v>
      </c>
      <c r="AH65" s="51">
        <v>43480</v>
      </c>
      <c r="AI65" s="51">
        <v>43481</v>
      </c>
      <c r="AJ65" s="51">
        <v>43482</v>
      </c>
      <c r="AK65" s="51">
        <v>43483</v>
      </c>
      <c r="AL65" s="51">
        <v>43484</v>
      </c>
      <c r="AM65" s="51">
        <v>43485</v>
      </c>
      <c r="AN65" s="51">
        <v>43486</v>
      </c>
      <c r="AO65" s="51">
        <v>43487</v>
      </c>
      <c r="AP65" s="51">
        <v>43488</v>
      </c>
      <c r="AQ65" s="51">
        <v>43489</v>
      </c>
      <c r="AR65" s="51">
        <v>43490</v>
      </c>
      <c r="AS65" s="51">
        <v>43491</v>
      </c>
      <c r="AT65" s="51">
        <v>43492</v>
      </c>
      <c r="AU65" s="51">
        <v>43493</v>
      </c>
      <c r="AV65" s="51">
        <v>43494</v>
      </c>
      <c r="AW65" s="51">
        <v>43495</v>
      </c>
      <c r="AX65" s="51">
        <v>43496</v>
      </c>
    </row>
    <row r="66" spans="2:57" s="54" customFormat="1" ht="43.15" customHeight="1" thickBot="1">
      <c r="B66" s="458" t="str">
        <f>I37</f>
        <v>CARIB</v>
      </c>
      <c r="C66" s="442">
        <v>45983</v>
      </c>
      <c r="D66" s="443">
        <f>[41]November_2025!$Y$3</f>
        <v>494.26</v>
      </c>
      <c r="E66" s="444"/>
      <c r="F66" s="445"/>
      <c r="G66" s="445">
        <f>[41]November_2025!$Y$7</f>
        <v>474.2</v>
      </c>
      <c r="H66" s="460"/>
      <c r="I66" s="460"/>
      <c r="J66" s="449" t="s">
        <v>172</v>
      </c>
      <c r="K66" s="450">
        <f>[42]November_2025!$Y$18</f>
        <v>0.55461988304093568</v>
      </c>
      <c r="L66" s="459">
        <f>(((D66+E66)-G66)/(D66+E66))*100</f>
        <v>4.0585926435479305</v>
      </c>
      <c r="M66" s="456" t="s">
        <v>178</v>
      </c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>
        <f>[20]January_2019!L7</f>
        <v>285.8</v>
      </c>
      <c r="AC66" s="57">
        <f>[20]January_2019!M7</f>
        <v>508.1</v>
      </c>
      <c r="AD66" s="57">
        <f>[20]January_2019!N7</f>
        <v>0</v>
      </c>
      <c r="AE66" s="57">
        <f>[20]January_2019!O7</f>
        <v>0</v>
      </c>
      <c r="AF66" s="57">
        <f>[20]January_2019!P7</f>
        <v>109.56666666666666</v>
      </c>
      <c r="AG66" s="57">
        <f>[20]January_2019!Q7</f>
        <v>297.64999999999998</v>
      </c>
      <c r="AH66" s="57">
        <f>[20]January_2019!R7</f>
        <v>122.3</v>
      </c>
      <c r="AI66" s="57">
        <f>[20]January_2019!S7</f>
        <v>0</v>
      </c>
      <c r="AJ66" s="57">
        <f>[20]January_2019!T7</f>
        <v>294.7</v>
      </c>
      <c r="AK66" s="57">
        <f>[20]January_2019!U7</f>
        <v>280.5</v>
      </c>
      <c r="AL66" s="57">
        <f>[20]January_2019!V7</f>
        <v>0</v>
      </c>
      <c r="AM66" s="57">
        <f>[20]January_2019!W7</f>
        <v>0</v>
      </c>
      <c r="AN66" s="57">
        <f>[20]January_2019!X7</f>
        <v>188.25</v>
      </c>
      <c r="AO66" s="57">
        <f>[20]January_2019!Y7</f>
        <v>295.7</v>
      </c>
      <c r="AP66" s="57">
        <f>[20]January_2019!Z7</f>
        <v>257.8</v>
      </c>
      <c r="AQ66" s="57">
        <f>[20]January_2019!AA7</f>
        <v>291.2</v>
      </c>
      <c r="AR66" s="57">
        <f>[20]January_2019!AB7</f>
        <v>187</v>
      </c>
      <c r="AS66" s="57">
        <f>[20]January_2019!AC7</f>
        <v>0</v>
      </c>
      <c r="AT66" s="57">
        <f>[20]January_2019!AD7</f>
        <v>0</v>
      </c>
      <c r="AU66" s="57">
        <f>[20]January_2019!AE7</f>
        <v>485.1</v>
      </c>
      <c r="AV66" s="57">
        <f>[20]January_2019!AF7</f>
        <v>171.55</v>
      </c>
      <c r="AW66" s="57">
        <f>[20]January_2019!AG7</f>
        <v>423.8</v>
      </c>
      <c r="AX66" s="277">
        <f>[20]January_2019!AH7</f>
        <v>0</v>
      </c>
      <c r="AY66" s="277"/>
      <c r="AZ66" s="277"/>
      <c r="BA66" s="277"/>
      <c r="BB66" s="277"/>
      <c r="BC66" s="277"/>
      <c r="BD66" s="277"/>
      <c r="BE66" s="277"/>
    </row>
    <row r="67" spans="2:57" s="54" customFormat="1" ht="20.45" hidden="1" customHeight="1" thickBot="1">
      <c r="B67" s="473"/>
      <c r="C67" s="431"/>
      <c r="D67" s="432"/>
      <c r="E67" s="433"/>
      <c r="F67" s="434"/>
      <c r="G67" s="435"/>
      <c r="H67" s="429"/>
      <c r="I67" s="429"/>
      <c r="J67" s="452"/>
      <c r="K67" s="437"/>
      <c r="L67" s="453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8.450000000000003" hidden="1" customHeight="1" thickBot="1">
      <c r="B68" s="458"/>
      <c r="C68" s="442"/>
      <c r="D68" s="443"/>
      <c r="E68" s="444"/>
      <c r="F68" s="445"/>
      <c r="G68" s="446"/>
      <c r="H68" s="460"/>
      <c r="I68" s="460"/>
      <c r="J68" s="449"/>
      <c r="K68" s="462"/>
      <c r="L68" s="459" t="e">
        <f>(((D68+E68)-G68)/(D68+E68))*100</f>
        <v>#DIV/0!</v>
      </c>
      <c r="M68" s="456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15" hidden="1">
      <c r="B69" s="454"/>
      <c r="C69" s="431"/>
      <c r="D69" s="432"/>
      <c r="E69" s="433"/>
      <c r="F69" s="434"/>
      <c r="G69" s="435"/>
      <c r="H69" s="436"/>
      <c r="I69" s="451"/>
      <c r="J69" s="452"/>
      <c r="K69" s="437"/>
      <c r="L69" s="453"/>
      <c r="M69" s="422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s="54" customFormat="1" ht="37.15" hidden="1" customHeight="1" thickBot="1">
      <c r="B70" s="461"/>
      <c r="C70" s="442"/>
      <c r="D70" s="443"/>
      <c r="E70" s="444"/>
      <c r="F70" s="445"/>
      <c r="G70" s="446"/>
      <c r="H70" s="447"/>
      <c r="I70" s="448"/>
      <c r="J70" s="449"/>
      <c r="K70" s="450"/>
      <c r="L70" s="459"/>
      <c r="M70" s="455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s="54" customFormat="1" ht="16.5" customHeight="1" thickBot="1">
      <c r="B71" s="438"/>
      <c r="C71" s="424"/>
      <c r="D71" s="425"/>
      <c r="E71" s="426"/>
      <c r="F71" s="427"/>
      <c r="G71" s="428"/>
      <c r="H71" s="429"/>
      <c r="I71" s="439"/>
      <c r="J71" s="440"/>
      <c r="K71" s="430"/>
      <c r="L71" s="441"/>
      <c r="M71" s="423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415"/>
      <c r="AC71" s="415"/>
      <c r="AD71" s="415"/>
      <c r="AE71" s="415"/>
      <c r="AF71" s="415"/>
      <c r="AG71" s="415"/>
      <c r="AH71" s="415"/>
      <c r="AI71" s="415"/>
      <c r="AJ71" s="415"/>
      <c r="AK71" s="415"/>
      <c r="AL71" s="415"/>
      <c r="AM71" s="415"/>
      <c r="AN71" s="415"/>
      <c r="AO71" s="415"/>
      <c r="AP71" s="415"/>
      <c r="AQ71" s="415"/>
      <c r="AR71" s="415"/>
      <c r="AS71" s="415"/>
      <c r="AT71" s="415"/>
      <c r="AU71" s="415"/>
      <c r="AV71" s="415"/>
      <c r="AW71" s="415"/>
    </row>
    <row r="72" spans="2:57" s="54" customFormat="1" ht="37.15" customHeight="1" thickBot="1">
      <c r="B72" s="458" t="str">
        <f>I37</f>
        <v>CARIB</v>
      </c>
      <c r="C72" s="442">
        <v>45984</v>
      </c>
      <c r="D72" s="443">
        <f>[41]November_2025!$Z$3</f>
        <v>417.2</v>
      </c>
      <c r="E72" s="444"/>
      <c r="F72" s="445"/>
      <c r="G72" s="446">
        <f>[41]November_2025!$Z$7</f>
        <v>394.6</v>
      </c>
      <c r="H72" s="447"/>
      <c r="I72" s="448"/>
      <c r="J72" s="449" t="s">
        <v>172</v>
      </c>
      <c r="K72" s="450">
        <f>[42]November_2025!$Z$18</f>
        <v>0.46152046783625733</v>
      </c>
      <c r="L72" s="459">
        <f>(((D72+E72)-G72)/(D72+E72))*100</f>
        <v>5.417066155321181</v>
      </c>
      <c r="M72" s="455" t="s">
        <v>198</v>
      </c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277"/>
      <c r="AY72" s="277"/>
      <c r="AZ72" s="277"/>
      <c r="BA72" s="277"/>
      <c r="BB72" s="277"/>
      <c r="BC72" s="277"/>
      <c r="BD72" s="277"/>
      <c r="BE72" s="277"/>
    </row>
    <row r="73" spans="2:57" s="54" customFormat="1" ht="37.15" customHeight="1">
      <c r="B73" s="470"/>
      <c r="C73" s="431"/>
      <c r="D73" s="464"/>
      <c r="E73" s="465"/>
      <c r="F73" s="466"/>
      <c r="G73" s="464"/>
      <c r="H73" s="467"/>
      <c r="I73" s="467"/>
      <c r="J73" s="467"/>
      <c r="K73" s="468"/>
      <c r="L73" s="469"/>
      <c r="M73" s="50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277"/>
      <c r="AY73" s="277"/>
      <c r="AZ73" s="277"/>
      <c r="BA73" s="277"/>
      <c r="BB73" s="277"/>
      <c r="BC73" s="277"/>
      <c r="BD73" s="277"/>
      <c r="BE73" s="277"/>
    </row>
    <row r="74" spans="2:57" ht="18" customHeight="1" thickBot="1">
      <c r="B74" s="59"/>
      <c r="C74" s="30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 t="s">
        <v>41</v>
      </c>
      <c r="O74" s="56"/>
      <c r="P74" s="60"/>
    </row>
    <row r="75" spans="2:57" ht="15.75" thickBot="1">
      <c r="B75" s="548" t="s">
        <v>55</v>
      </c>
      <c r="C75" s="549"/>
      <c r="D75" s="549"/>
      <c r="E75" s="549"/>
      <c r="F75" s="550"/>
      <c r="G75" s="548" t="s">
        <v>56</v>
      </c>
      <c r="H75" s="549"/>
      <c r="I75" s="549"/>
      <c r="J75" s="550"/>
      <c r="K75" s="548" t="s">
        <v>51</v>
      </c>
      <c r="L75" s="549"/>
      <c r="M75" s="549"/>
      <c r="N75" s="551"/>
      <c r="O75" s="56"/>
      <c r="P75" s="50"/>
    </row>
    <row r="76" spans="2:57" ht="15">
      <c r="B76" s="61" t="s">
        <v>17</v>
      </c>
      <c r="C76" s="62" t="s">
        <v>36</v>
      </c>
      <c r="D76" s="62" t="s">
        <v>37</v>
      </c>
      <c r="E76" s="62" t="s">
        <v>38</v>
      </c>
      <c r="F76" s="63" t="s">
        <v>39</v>
      </c>
      <c r="G76" s="62" t="s">
        <v>36</v>
      </c>
      <c r="H76" s="62" t="s">
        <v>37</v>
      </c>
      <c r="I76" s="62" t="s">
        <v>38</v>
      </c>
      <c r="J76" s="63" t="s">
        <v>39</v>
      </c>
      <c r="K76" s="62" t="s">
        <v>36</v>
      </c>
      <c r="L76" s="62" t="s">
        <v>37</v>
      </c>
      <c r="M76" s="62" t="s">
        <v>38</v>
      </c>
      <c r="N76" s="63" t="s">
        <v>39</v>
      </c>
      <c r="O76" s="56"/>
      <c r="P76" s="64"/>
    </row>
    <row r="77" spans="2:57" ht="15">
      <c r="B77" s="29" t="s">
        <v>6</v>
      </c>
      <c r="C77" s="282">
        <f>AVERAGE(L66,L72)</f>
        <v>4.7378293994345562</v>
      </c>
      <c r="D77" s="76">
        <v>6.109586969670791</v>
      </c>
      <c r="E77" s="76">
        <v>6.0721158785687495</v>
      </c>
      <c r="F77" s="66">
        <v>4.8</v>
      </c>
      <c r="G77" s="65">
        <f>AVERAGE([41]November_2025!$Y$11:$Z$11)</f>
        <v>3.9958955492322676</v>
      </c>
      <c r="H77" s="76">
        <v>5.6702706098840654</v>
      </c>
      <c r="I77" s="76">
        <v>6.0394344516504415</v>
      </c>
      <c r="J77" s="66">
        <v>4.8</v>
      </c>
      <c r="K77" s="67">
        <f>AVERAGE(K66,K72)</f>
        <v>0.50807017543859656</v>
      </c>
      <c r="L77" s="194">
        <v>0.44411549707602338</v>
      </c>
      <c r="M77" s="194">
        <v>0.73127050670791238</v>
      </c>
      <c r="N77" s="68">
        <v>1</v>
      </c>
      <c r="O77" s="56"/>
      <c r="P77" s="69"/>
    </row>
    <row r="78" spans="2:57" ht="15">
      <c r="B78" s="33" t="s">
        <v>9</v>
      </c>
      <c r="C78" s="65"/>
      <c r="D78" s="76">
        <v>5.1853750213565721</v>
      </c>
      <c r="E78" s="76">
        <v>5.7200467929828971</v>
      </c>
      <c r="F78" s="66">
        <v>4.8</v>
      </c>
      <c r="G78" s="65"/>
      <c r="H78" s="76">
        <v>3.6096118625802744</v>
      </c>
      <c r="I78" s="76">
        <v>6.2674198164664059</v>
      </c>
      <c r="J78" s="66">
        <v>4.8</v>
      </c>
      <c r="K78" s="67"/>
      <c r="L78" s="194">
        <v>0.59464912280701754</v>
      </c>
      <c r="M78" s="194">
        <v>0.67381772220369407</v>
      </c>
      <c r="N78" s="68">
        <v>1</v>
      </c>
      <c r="P78" s="69"/>
    </row>
    <row r="79" spans="2:57" ht="15">
      <c r="B79" s="34" t="s">
        <v>40</v>
      </c>
      <c r="C79" s="65"/>
      <c r="D79" s="76">
        <v>11.223996129656527</v>
      </c>
      <c r="E79" s="76">
        <v>11.016453256230184</v>
      </c>
      <c r="F79" s="66">
        <v>5.5</v>
      </c>
      <c r="G79" s="65"/>
      <c r="H79" s="76">
        <v>10.76956909379566</v>
      </c>
      <c r="I79" s="76">
        <v>12.536311479158377</v>
      </c>
      <c r="J79" s="66">
        <v>5.5</v>
      </c>
      <c r="K79" s="67"/>
      <c r="L79" s="194">
        <v>0.26637426900584799</v>
      </c>
      <c r="M79" s="194">
        <v>0.51633622959452352</v>
      </c>
      <c r="N79" s="68">
        <v>1</v>
      </c>
      <c r="P79" s="69"/>
    </row>
    <row r="80" spans="2:57" ht="15">
      <c r="B80" s="22" t="s">
        <v>33</v>
      </c>
      <c r="C80" s="65"/>
      <c r="D80" s="76">
        <v>3.7833827893175105</v>
      </c>
      <c r="E80" s="76">
        <v>4.6226456706805745</v>
      </c>
      <c r="F80" s="66">
        <v>3.3</v>
      </c>
      <c r="G80" s="65"/>
      <c r="H80" s="76">
        <v>3.7421885632627285</v>
      </c>
      <c r="I80" s="76">
        <v>4.4171317623593813</v>
      </c>
      <c r="J80" s="66">
        <v>3.3</v>
      </c>
      <c r="K80" s="67"/>
      <c r="L80" s="194">
        <v>0.68263157894736837</v>
      </c>
      <c r="M80" s="194">
        <v>0.83111215538847116</v>
      </c>
      <c r="N80" s="68">
        <v>1</v>
      </c>
      <c r="P80" s="69"/>
    </row>
    <row r="81" spans="2:16" ht="15">
      <c r="B81" s="35" t="s">
        <v>164</v>
      </c>
      <c r="C81" s="65"/>
      <c r="D81" s="76"/>
      <c r="E81" s="76">
        <v>7.837301587301579</v>
      </c>
      <c r="F81" s="66">
        <v>3.3</v>
      </c>
      <c r="G81" s="282"/>
      <c r="H81" s="76"/>
      <c r="I81" s="76">
        <v>5.3377569154690221</v>
      </c>
      <c r="J81" s="66">
        <v>3</v>
      </c>
      <c r="K81" s="67"/>
      <c r="L81" s="194"/>
      <c r="M81" s="194">
        <v>0.32596491228070179</v>
      </c>
      <c r="N81" s="68">
        <v>1</v>
      </c>
      <c r="P81" s="69"/>
    </row>
    <row r="82" spans="2:16" ht="15">
      <c r="B82" s="36" t="s">
        <v>15</v>
      </c>
      <c r="C82" s="65"/>
      <c r="D82" s="76"/>
      <c r="E82" s="76">
        <v>6.8851328044153277</v>
      </c>
      <c r="F82" s="70">
        <f>[21]May_2022!$M$43</f>
        <v>3.4878406700073312</v>
      </c>
      <c r="G82" s="282"/>
      <c r="H82" s="76"/>
      <c r="I82" s="76">
        <v>8.6614709463340702</v>
      </c>
      <c r="J82" s="66">
        <v>5.5</v>
      </c>
      <c r="K82" s="67"/>
      <c r="L82" s="194"/>
      <c r="M82" s="194">
        <v>0.73160818713450293</v>
      </c>
      <c r="N82" s="68">
        <v>1</v>
      </c>
      <c r="P82" s="69"/>
    </row>
    <row r="83" spans="2:16" ht="15">
      <c r="B83" s="37" t="s">
        <v>16</v>
      </c>
      <c r="C83" s="65"/>
      <c r="D83" s="76">
        <v>2.6328862394436081</v>
      </c>
      <c r="E83" s="76">
        <v>2.9297033255778997</v>
      </c>
      <c r="F83" s="66">
        <v>3.3</v>
      </c>
      <c r="G83" s="282"/>
      <c r="H83" s="76">
        <v>2.6328862394435983</v>
      </c>
      <c r="I83" s="76">
        <v>4.2684292436723528</v>
      </c>
      <c r="J83" s="66">
        <v>3.3</v>
      </c>
      <c r="K83" s="67"/>
      <c r="L83" s="194">
        <v>0.68771929824561406</v>
      </c>
      <c r="M83" s="194">
        <v>0.84660147761842675</v>
      </c>
      <c r="N83" s="71">
        <v>1</v>
      </c>
      <c r="P83" s="69"/>
    </row>
    <row r="84" spans="2:16" ht="15.75" thickBot="1">
      <c r="B84" s="38" t="s">
        <v>163</v>
      </c>
      <c r="C84" s="65"/>
      <c r="D84" s="76"/>
      <c r="E84" s="76">
        <v>11.483253588516746</v>
      </c>
      <c r="F84" s="66">
        <v>7.5</v>
      </c>
      <c r="G84" s="282"/>
      <c r="H84" s="76"/>
      <c r="I84" s="76">
        <v>9.7934336121043764</v>
      </c>
      <c r="J84" s="66">
        <v>7.5</v>
      </c>
      <c r="K84" s="67"/>
      <c r="M84" s="194">
        <v>0.32456140350877194</v>
      </c>
      <c r="N84" s="71">
        <v>1</v>
      </c>
      <c r="P84" s="69"/>
    </row>
    <row r="85" spans="2:16" ht="15.75" thickBot="1">
      <c r="B85" s="414" t="s">
        <v>161</v>
      </c>
      <c r="C85" s="65"/>
      <c r="D85" s="76"/>
      <c r="E85" s="76">
        <v>7.2653644592663174</v>
      </c>
      <c r="F85" s="66">
        <v>4.8</v>
      </c>
      <c r="G85" s="282"/>
      <c r="H85" s="76"/>
      <c r="I85" s="76">
        <v>8.1715311054411259</v>
      </c>
      <c r="J85" s="66">
        <v>4.8</v>
      </c>
      <c r="K85" s="67"/>
      <c r="L85" s="194"/>
      <c r="M85" s="194">
        <v>0.51368421052631585</v>
      </c>
      <c r="N85" s="71">
        <v>1</v>
      </c>
      <c r="O85" s="74"/>
      <c r="P85" s="75"/>
    </row>
    <row r="86" spans="2:16" ht="15">
      <c r="D86" s="76">
        <v>6.0063871740657655</v>
      </c>
      <c r="E86" s="76">
        <v>6.1142024572037208</v>
      </c>
      <c r="F86" s="341">
        <v>5.5</v>
      </c>
      <c r="H86" s="76">
        <v>5.4561447499452154</v>
      </c>
      <c r="I86" s="76">
        <v>6.5724479259788264</v>
      </c>
      <c r="J86" s="341">
        <v>5.5</v>
      </c>
      <c r="L86" s="194">
        <v>0.4826647173489278</v>
      </c>
      <c r="M86" s="194">
        <v>0.70268152628434888</v>
      </c>
      <c r="N86" s="386">
        <v>1</v>
      </c>
    </row>
  </sheetData>
  <mergeCells count="51">
    <mergeCell ref="M64:M65"/>
    <mergeCell ref="B75:F75"/>
    <mergeCell ref="G75:J75"/>
    <mergeCell ref="K75:N75"/>
    <mergeCell ref="G64:G65"/>
    <mergeCell ref="H64:H65"/>
    <mergeCell ref="I64:I65"/>
    <mergeCell ref="J64:J65"/>
    <mergeCell ref="K64:K65"/>
    <mergeCell ref="L64:L65"/>
    <mergeCell ref="F64:F65"/>
    <mergeCell ref="D59:E59"/>
    <mergeCell ref="B64:B65"/>
    <mergeCell ref="C64:C65"/>
    <mergeCell ref="D64:D65"/>
    <mergeCell ref="E64:E65"/>
    <mergeCell ref="B49:B58"/>
    <mergeCell ref="D49:E50"/>
    <mergeCell ref="J49:K49"/>
    <mergeCell ref="L50:N50"/>
    <mergeCell ref="D51:E52"/>
    <mergeCell ref="D53:E54"/>
    <mergeCell ref="D55:E56"/>
    <mergeCell ref="D57:E58"/>
    <mergeCell ref="I35:N35"/>
    <mergeCell ref="D36:E36"/>
    <mergeCell ref="B37:B48"/>
    <mergeCell ref="D37:E38"/>
    <mergeCell ref="D39:E40"/>
    <mergeCell ref="D41:E42"/>
    <mergeCell ref="D43:E44"/>
    <mergeCell ref="D45:E46"/>
    <mergeCell ref="D47:E4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9:B60">
    <cfRule type="cellIs" dxfId="1111" priority="41" operator="notBetween">
      <formula>#REF!</formula>
      <formula>#REF!</formula>
    </cfRule>
  </conditionalFormatting>
  <conditionalFormatting sqref="C63">
    <cfRule type="cellIs" dxfId="1110" priority="190" stopIfTrue="1" operator="lessThan">
      <formula>96</formula>
    </cfRule>
    <cfRule type="cellIs" dxfId="1109" priority="191" stopIfTrue="1" operator="greaterThan">
      <formula>100</formula>
    </cfRule>
  </conditionalFormatting>
  <conditionalFormatting sqref="C77:C81">
    <cfRule type="cellIs" dxfId="1108" priority="144" stopIfTrue="1" operator="lessThanOrEqual">
      <formula>0</formula>
    </cfRule>
  </conditionalFormatting>
  <conditionalFormatting sqref="C77:C85">
    <cfRule type="cellIs" dxfId="1107" priority="143" stopIfTrue="1" operator="greaterThan">
      <formula>$F77</formula>
    </cfRule>
  </conditionalFormatting>
  <conditionalFormatting sqref="C78">
    <cfRule type="cellIs" dxfId="1106" priority="194" stopIfTrue="1" operator="greaterThan">
      <formula>$F77</formula>
    </cfRule>
  </conditionalFormatting>
  <conditionalFormatting sqref="C82">
    <cfRule type="cellIs" dxfId="1105" priority="84" stopIfTrue="1" operator="greaterThan">
      <formula>$F81</formula>
    </cfRule>
    <cfRule type="cellIs" dxfId="1104" priority="83" stopIfTrue="1" operator="lessThanOrEqual">
      <formula>0</formula>
    </cfRule>
  </conditionalFormatting>
  <conditionalFormatting sqref="C88:C92">
    <cfRule type="cellIs" dxfId="1103" priority="182" stopIfTrue="1" operator="lessThanOrEqual">
      <formula>0</formula>
    </cfRule>
  </conditionalFormatting>
  <conditionalFormatting sqref="C89:C92">
    <cfRule type="cellIs" dxfId="1102" priority="181" stopIfTrue="1" operator="greaterThan">
      <formula>$F$88</formula>
    </cfRule>
  </conditionalFormatting>
  <conditionalFormatting sqref="C94">
    <cfRule type="cellIs" dxfId="1101" priority="184" stopIfTrue="1" operator="lessThanOrEqual">
      <formula>0</formula>
    </cfRule>
    <cfRule type="cellIs" dxfId="1100" priority="183" stopIfTrue="1" operator="greaterThan">
      <formula>$F$88</formula>
    </cfRule>
  </conditionalFormatting>
  <conditionalFormatting sqref="C88:D88 D90:D96">
    <cfRule type="cellIs" dxfId="1099" priority="176" stopIfTrue="1" operator="greaterThan">
      <formula>4.5</formula>
    </cfRule>
  </conditionalFormatting>
  <conditionalFormatting sqref="D59:D60">
    <cfRule type="cellIs" dxfId="1098" priority="42" operator="notBetween">
      <formula>#REF!</formula>
      <formula>#REF!</formula>
    </cfRule>
  </conditionalFormatting>
  <conditionalFormatting sqref="D77:D84">
    <cfRule type="cellIs" dxfId="1097" priority="156" stopIfTrue="1" operator="lessThanOrEqual">
      <formula>0</formula>
    </cfRule>
  </conditionalFormatting>
  <conditionalFormatting sqref="D85">
    <cfRule type="cellIs" dxfId="1096" priority="155" stopIfTrue="1" operator="lessThanOrEqual">
      <formula>0</formula>
    </cfRule>
  </conditionalFormatting>
  <conditionalFormatting sqref="D88 D90:D96">
    <cfRule type="cellIs" dxfId="1095" priority="177" stopIfTrue="1" operator="lessThanOrEqual">
      <formula>0</formula>
    </cfRule>
  </conditionalFormatting>
  <conditionalFormatting sqref="D89">
    <cfRule type="cellIs" dxfId="1094" priority="169" stopIfTrue="1" operator="lessThanOrEqual">
      <formula>0</formula>
    </cfRule>
    <cfRule type="cellIs" dxfId="1093" priority="168" stopIfTrue="1" operator="greaterThan">
      <formula>$F$88</formula>
    </cfRule>
  </conditionalFormatting>
  <conditionalFormatting sqref="D77:E86">
    <cfRule type="cellIs" dxfId="1092" priority="141" stopIfTrue="1" operator="greaterThan">
      <formula>$F77</formula>
    </cfRule>
  </conditionalFormatting>
  <conditionalFormatting sqref="D86:E86">
    <cfRule type="cellIs" dxfId="1091" priority="142" stopIfTrue="1" operator="lessThanOrEqual">
      <formula>0</formula>
    </cfRule>
  </conditionalFormatting>
  <conditionalFormatting sqref="E10:E34">
    <cfRule type="cellIs" dxfId="1090" priority="32" operator="lessThan">
      <formula>48</formula>
    </cfRule>
  </conditionalFormatting>
  <conditionalFormatting sqref="E62 E63:F63">
    <cfRule type="cellIs" dxfId="1089" priority="173" stopIfTrue="1" operator="greaterThan">
      <formula>100</formula>
    </cfRule>
  </conditionalFormatting>
  <conditionalFormatting sqref="E63">
    <cfRule type="cellIs" dxfId="1088" priority="171" stopIfTrue="1" operator="greaterThan">
      <formula>100</formula>
    </cfRule>
    <cfRule type="cellIs" dxfId="1087" priority="170" stopIfTrue="1" operator="lessThan">
      <formula>96.8</formula>
    </cfRule>
  </conditionalFormatting>
  <conditionalFormatting sqref="E77:E85">
    <cfRule type="cellIs" dxfId="1086" priority="152" stopIfTrue="1" operator="lessThanOrEqual">
      <formula>0</formula>
    </cfRule>
  </conditionalFormatting>
  <conditionalFormatting sqref="E88:E96">
    <cfRule type="cellIs" dxfId="1085" priority="163" stopIfTrue="1" operator="lessThanOrEqual">
      <formula>0</formula>
    </cfRule>
    <cfRule type="cellIs" dxfId="1084" priority="162" stopIfTrue="1" operator="greaterThan">
      <formula>4.5</formula>
    </cfRule>
  </conditionalFormatting>
  <conditionalFormatting sqref="E63:F63 E62">
    <cfRule type="cellIs" dxfId="1083" priority="172" stopIfTrue="1" operator="lessThan">
      <formula>96.5</formula>
    </cfRule>
  </conditionalFormatting>
  <conditionalFormatting sqref="F10:F34">
    <cfRule type="cellIs" dxfId="1082" priority="33" operator="greaterThan">
      <formula>60</formula>
    </cfRule>
  </conditionalFormatting>
  <conditionalFormatting sqref="F63">
    <cfRule type="cellIs" dxfId="1081" priority="189" stopIfTrue="1" operator="greaterThan">
      <formula>100</formula>
    </cfRule>
    <cfRule type="cellIs" dxfId="1080" priority="188" stopIfTrue="1" operator="lessThan">
      <formula>96.8</formula>
    </cfRule>
  </conditionalFormatting>
  <conditionalFormatting sqref="F86">
    <cfRule type="cellIs" dxfId="1079" priority="153" stopIfTrue="1" operator="greaterThan">
      <formula>$F86</formula>
    </cfRule>
    <cfRule type="cellIs" dxfId="1078" priority="154" stopIfTrue="1" operator="lessThanOrEqual">
      <formula>0</formula>
    </cfRule>
  </conditionalFormatting>
  <conditionalFormatting sqref="G10:G18 G26:G31">
    <cfRule type="expression" dxfId="1077" priority="12">
      <formula>IF(+(IF(G10&lt;S10,0,IF(G10&gt;T10,0,1)))=0,1)</formula>
    </cfRule>
  </conditionalFormatting>
  <conditionalFormatting sqref="G77:G78 C83:C85">
    <cfRule type="cellIs" dxfId="1076" priority="158" stopIfTrue="1" operator="lessThanOrEqual">
      <formula>0</formula>
    </cfRule>
  </conditionalFormatting>
  <conditionalFormatting sqref="G77:G78">
    <cfRule type="cellIs" dxfId="1075" priority="146" stopIfTrue="1" operator="lessThanOrEqual">
      <formula>0</formula>
    </cfRule>
    <cfRule type="cellIs" dxfId="1074" priority="145" stopIfTrue="1" operator="greaterThan">
      <formula>$F77</formula>
    </cfRule>
    <cfRule type="cellIs" dxfId="1073" priority="157" stopIfTrue="1" operator="greaterThan">
      <formula>$F77</formula>
    </cfRule>
  </conditionalFormatting>
  <conditionalFormatting sqref="G79">
    <cfRule type="cellIs" dxfId="1072" priority="192" stopIfTrue="1" operator="greaterThan">
      <formula>$F78</formula>
    </cfRule>
    <cfRule type="cellIs" dxfId="1071" priority="193" stopIfTrue="1" operator="lessThanOrEqual">
      <formula>0</formula>
    </cfRule>
  </conditionalFormatting>
  <conditionalFormatting sqref="G80">
    <cfRule type="cellIs" dxfId="1070" priority="37" stopIfTrue="1" operator="greaterThan">
      <formula>$F80</formula>
    </cfRule>
    <cfRule type="cellIs" dxfId="1069" priority="38" stopIfTrue="1" operator="lessThanOrEqual">
      <formula>0</formula>
    </cfRule>
    <cfRule type="cellIs" dxfId="1068" priority="40" stopIfTrue="1" operator="lessThanOrEqual">
      <formula>0</formula>
    </cfRule>
    <cfRule type="cellIs" dxfId="1067" priority="39" stopIfTrue="1" operator="greaterThan">
      <formula>$F80</formula>
    </cfRule>
  </conditionalFormatting>
  <conditionalFormatting sqref="G81:G85">
    <cfRule type="cellIs" dxfId="1066" priority="159" stopIfTrue="1" operator="greaterThan">
      <formula>$J81</formula>
    </cfRule>
    <cfRule type="cellIs" dxfId="1065" priority="160" stopIfTrue="1" operator="lessThanOrEqual">
      <formula>0</formula>
    </cfRule>
  </conditionalFormatting>
  <conditionalFormatting sqref="G90:G95 C93 C95">
    <cfRule type="cellIs" dxfId="1064" priority="185" stopIfTrue="1" operator="greaterThan">
      <formula>4.5</formula>
    </cfRule>
    <cfRule type="cellIs" dxfId="1063" priority="186" stopIfTrue="1" operator="lessThanOrEqual">
      <formula>0</formula>
    </cfRule>
  </conditionalFormatting>
  <conditionalFormatting sqref="G89:H89">
    <cfRule type="cellIs" dxfId="1062" priority="167" stopIfTrue="1" operator="lessThanOrEqual">
      <formula>0</formula>
    </cfRule>
    <cfRule type="cellIs" dxfId="1061" priority="166" stopIfTrue="1" operator="greaterThan">
      <formula>$F$88</formula>
    </cfRule>
  </conditionalFormatting>
  <conditionalFormatting sqref="H48:H62">
    <cfRule type="cellIs" dxfId="1060" priority="164" stopIfTrue="1" operator="greaterThan">
      <formula>0</formula>
    </cfRule>
  </conditionalFormatting>
  <conditionalFormatting sqref="H66">
    <cfRule type="cellIs" dxfId="1059" priority="26" stopIfTrue="1" operator="lessThanOrEqual">
      <formula>0</formula>
    </cfRule>
    <cfRule type="cellIs" dxfId="1058" priority="25" stopIfTrue="1" operator="greaterThan">
      <formula>$F$82</formula>
    </cfRule>
    <cfRule type="cellIs" dxfId="1057" priority="24" stopIfTrue="1" operator="lessThanOrEqual">
      <formula>0</formula>
    </cfRule>
    <cfRule type="cellIs" dxfId="1056" priority="23" stopIfTrue="1" operator="greaterThan">
      <formula>$F$84</formula>
    </cfRule>
    <cfRule type="cellIs" dxfId="1055" priority="15" stopIfTrue="1" operator="greaterThan">
      <formula>$F$81</formula>
    </cfRule>
    <cfRule type="cellIs" dxfId="1054" priority="14" stopIfTrue="1" operator="lessThanOrEqual">
      <formula>0</formula>
    </cfRule>
  </conditionalFormatting>
  <conditionalFormatting sqref="H67">
    <cfRule type="cellIs" dxfId="1053" priority="100" stopIfTrue="1" operator="lessThanOrEqual">
      <formula>0</formula>
    </cfRule>
    <cfRule type="cellIs" dxfId="1052" priority="109" stopIfTrue="1" operator="greaterThan">
      <formula>$F$35</formula>
    </cfRule>
    <cfRule type="cellIs" dxfId="1051" priority="101" stopIfTrue="1" operator="greaterThan">
      <formula>#REF!</formula>
    </cfRule>
    <cfRule type="cellIs" dxfId="1050" priority="112" stopIfTrue="1" operator="lessThanOrEqual">
      <formula>0</formula>
    </cfRule>
    <cfRule type="cellIs" dxfId="1049" priority="111" stopIfTrue="1" operator="greaterThan">
      <formula>#REF!</formula>
    </cfRule>
    <cfRule type="cellIs" dxfId="1048" priority="110" stopIfTrue="1" operator="lessThanOrEqual">
      <formula>0</formula>
    </cfRule>
  </conditionalFormatting>
  <conditionalFormatting sqref="H68">
    <cfRule type="cellIs" dxfId="1047" priority="80" stopIfTrue="1" operator="lessThanOrEqual">
      <formula>0</formula>
    </cfRule>
    <cfRule type="cellIs" dxfId="1046" priority="68" stopIfTrue="1" operator="lessThanOrEqual">
      <formula>0</formula>
    </cfRule>
    <cfRule type="cellIs" dxfId="1045" priority="69" stopIfTrue="1" operator="greaterThan">
      <formula>$F$78</formula>
    </cfRule>
    <cfRule type="cellIs" dxfId="1044" priority="77" stopIfTrue="1" operator="greaterThan">
      <formula>$F$81</formula>
    </cfRule>
    <cfRule type="cellIs" dxfId="1043" priority="78" stopIfTrue="1" operator="lessThanOrEqual">
      <formula>0</formula>
    </cfRule>
    <cfRule type="cellIs" dxfId="1042" priority="79" stopIfTrue="1" operator="greaterThan">
      <formula>$F$79</formula>
    </cfRule>
  </conditionalFormatting>
  <conditionalFormatting sqref="H69:H70">
    <cfRule type="cellIs" dxfId="1041" priority="86" stopIfTrue="1" operator="lessThanOrEqual">
      <formula>0</formula>
    </cfRule>
    <cfRule type="cellIs" dxfId="1040" priority="87" stopIfTrue="1" operator="greaterThan">
      <formula>#REF!</formula>
    </cfRule>
    <cfRule type="cellIs" dxfId="1039" priority="98" stopIfTrue="1" operator="lessThanOrEqual">
      <formula>0</formula>
    </cfRule>
    <cfRule type="cellIs" dxfId="1038" priority="95" stopIfTrue="1" operator="greaterThan">
      <formula>$F$34</formula>
    </cfRule>
    <cfRule type="cellIs" dxfId="1037" priority="96" stopIfTrue="1" operator="lessThanOrEqual">
      <formula>0</formula>
    </cfRule>
    <cfRule type="cellIs" dxfId="1036" priority="97" stopIfTrue="1" operator="greaterThan">
      <formula>#REF!</formula>
    </cfRule>
  </conditionalFormatting>
  <conditionalFormatting sqref="H71">
    <cfRule type="cellIs" dxfId="1035" priority="125" stopIfTrue="1" operator="lessThanOrEqual">
      <formula>0</formula>
    </cfRule>
    <cfRule type="cellIs" dxfId="1034" priority="127" stopIfTrue="1" operator="lessThanOrEqual">
      <formula>0</formula>
    </cfRule>
    <cfRule type="cellIs" dxfId="1033" priority="126" stopIfTrue="1" operator="greaterThan">
      <formula>$F$48</formula>
    </cfRule>
    <cfRule type="cellIs" dxfId="1032" priority="124" stopIfTrue="1" operator="greaterThan">
      <formula>$F$50</formula>
    </cfRule>
    <cfRule type="cellIs" dxfId="1031" priority="116" stopIfTrue="1" operator="greaterThan">
      <formula>$F$47</formula>
    </cfRule>
    <cfRule type="cellIs" dxfId="1030" priority="115" stopIfTrue="1" operator="lessThanOrEqual">
      <formula>0</formula>
    </cfRule>
  </conditionalFormatting>
  <conditionalFormatting sqref="H72:H73">
    <cfRule type="cellIs" dxfId="1029" priority="63" stopIfTrue="1" operator="greaterThan">
      <formula>#REF!</formula>
    </cfRule>
    <cfRule type="cellIs" dxfId="1028" priority="53" stopIfTrue="1" operator="greaterThan">
      <formula>#REF!</formula>
    </cfRule>
    <cfRule type="cellIs" dxfId="1027" priority="62" stopIfTrue="1" operator="lessThanOrEqual">
      <formula>0</formula>
    </cfRule>
    <cfRule type="cellIs" dxfId="1026" priority="61" stopIfTrue="1" operator="greaterThan">
      <formula>$F$34</formula>
    </cfRule>
    <cfRule type="cellIs" dxfId="1025" priority="52" stopIfTrue="1" operator="lessThanOrEqual">
      <formula>0</formula>
    </cfRule>
    <cfRule type="cellIs" dxfId="1024" priority="64" stopIfTrue="1" operator="lessThanOrEqual">
      <formula>0</formula>
    </cfRule>
  </conditionalFormatting>
  <conditionalFormatting sqref="H77:H84">
    <cfRule type="cellIs" dxfId="1023" priority="147" stopIfTrue="1" operator="greaterThan">
      <formula>$J77</formula>
    </cfRule>
    <cfRule type="cellIs" dxfId="1022" priority="148" stopIfTrue="1" operator="lessThanOrEqual">
      <formula>0</formula>
    </cfRule>
  </conditionalFormatting>
  <conditionalFormatting sqref="H85">
    <cfRule type="cellIs" dxfId="1021" priority="149" operator="greaterThan">
      <formula>5.3</formula>
    </cfRule>
  </conditionalFormatting>
  <conditionalFormatting sqref="H88 H90:H96">
    <cfRule type="cellIs" dxfId="1020" priority="179" stopIfTrue="1" operator="lessThanOrEqual">
      <formula>0</formula>
    </cfRule>
    <cfRule type="cellIs" dxfId="1019" priority="178" stopIfTrue="1" operator="greaterThan">
      <formula>4.5</formula>
    </cfRule>
  </conditionalFormatting>
  <conditionalFormatting sqref="H66:I66">
    <cfRule type="cellIs" dxfId="1018" priority="13" stopIfTrue="1" operator="greaterThan">
      <formula>$F$83</formula>
    </cfRule>
    <cfRule type="cellIs" dxfId="1017" priority="16" stopIfTrue="1" operator="lessThanOrEqual">
      <formula>0</formula>
    </cfRule>
  </conditionalFormatting>
  <conditionalFormatting sqref="H67:I67">
    <cfRule type="cellIs" dxfId="1016" priority="99" stopIfTrue="1" operator="greaterThan">
      <formula>$F$34</formula>
    </cfRule>
    <cfRule type="cellIs" dxfId="1015" priority="102" stopIfTrue="1" operator="lessThanOrEqual">
      <formula>0</formula>
    </cfRule>
  </conditionalFormatting>
  <conditionalFormatting sqref="H68:I68">
    <cfRule type="cellIs" dxfId="1014" priority="70" stopIfTrue="1" operator="lessThanOrEqual">
      <formula>0</formula>
    </cfRule>
    <cfRule type="cellIs" dxfId="1013" priority="67" stopIfTrue="1" operator="greaterThan">
      <formula>$F$80</formula>
    </cfRule>
  </conditionalFormatting>
  <conditionalFormatting sqref="H69:I70">
    <cfRule type="cellIs" dxfId="1012" priority="88" stopIfTrue="1" operator="lessThanOrEqual">
      <formula>0</formula>
    </cfRule>
    <cfRule type="cellIs" dxfId="1011" priority="85" stopIfTrue="1" operator="greaterThan">
      <formula>#REF!</formula>
    </cfRule>
  </conditionalFormatting>
  <conditionalFormatting sqref="H71:I71">
    <cfRule type="cellIs" dxfId="1010" priority="114" stopIfTrue="1" operator="greaterThan">
      <formula>$F$49</formula>
    </cfRule>
    <cfRule type="cellIs" dxfId="1009" priority="117" stopIfTrue="1" operator="lessThanOrEqual">
      <formula>0</formula>
    </cfRule>
  </conditionalFormatting>
  <conditionalFormatting sqref="H72:I73">
    <cfRule type="cellIs" dxfId="1008" priority="51" stopIfTrue="1" operator="greaterThan">
      <formula>#REF!</formula>
    </cfRule>
    <cfRule type="cellIs" dxfId="1007" priority="54" stopIfTrue="1" operator="lessThanOrEqual">
      <formula>0</formula>
    </cfRule>
  </conditionalFormatting>
  <conditionalFormatting sqref="H86:I86">
    <cfRule type="cellIs" dxfId="1006" priority="140" stopIfTrue="1" operator="lessThanOrEqual">
      <formula>0</formula>
    </cfRule>
    <cfRule type="cellIs" dxfId="1005" priority="139" stopIfTrue="1" operator="greaterThan">
      <formula>$J86</formula>
    </cfRule>
  </conditionalFormatting>
  <conditionalFormatting sqref="I66">
    <cfRule type="cellIs" dxfId="1004" priority="22" stopIfTrue="1" operator="lessThanOrEqual">
      <formula>0</formula>
    </cfRule>
    <cfRule type="cellIs" dxfId="1003" priority="17" stopIfTrue="1" operator="greaterThan">
      <formula>$F$81</formula>
    </cfRule>
    <cfRule type="cellIs" dxfId="1002" priority="18" stopIfTrue="1" operator="lessThanOrEqual">
      <formula>0</formula>
    </cfRule>
    <cfRule type="cellIs" dxfId="1001" priority="19" stopIfTrue="1" operator="greaterThan">
      <formula>$F$83</formula>
    </cfRule>
    <cfRule type="cellIs" dxfId="1000" priority="20" stopIfTrue="1" operator="lessThanOrEqual">
      <formula>0</formula>
    </cfRule>
    <cfRule type="cellIs" dxfId="999" priority="21" stopIfTrue="1" operator="greaterThan">
      <formula>$F$81</formula>
    </cfRule>
  </conditionalFormatting>
  <conditionalFormatting sqref="I67">
    <cfRule type="cellIs" dxfId="998" priority="103" stopIfTrue="1" operator="greaterThan">
      <formula>#REF!</formula>
    </cfRule>
    <cfRule type="cellIs" dxfId="997" priority="104" stopIfTrue="1" operator="lessThanOrEqual">
      <formula>0</formula>
    </cfRule>
    <cfRule type="cellIs" dxfId="996" priority="105" stopIfTrue="1" operator="greaterThan">
      <formula>$F$34</formula>
    </cfRule>
    <cfRule type="cellIs" dxfId="995" priority="106" stopIfTrue="1" operator="lessThanOrEqual">
      <formula>0</formula>
    </cfRule>
    <cfRule type="cellIs" dxfId="994" priority="107" stopIfTrue="1" operator="greaterThan">
      <formula>#REF!</formula>
    </cfRule>
    <cfRule type="cellIs" dxfId="993" priority="108" stopIfTrue="1" operator="lessThanOrEqual">
      <formula>0</formula>
    </cfRule>
  </conditionalFormatting>
  <conditionalFormatting sqref="I68">
    <cfRule type="cellIs" dxfId="992" priority="74" stopIfTrue="1" operator="lessThanOrEqual">
      <formula>0</formula>
    </cfRule>
    <cfRule type="cellIs" dxfId="991" priority="73" stopIfTrue="1" operator="greaterThan">
      <formula>$F$80</formula>
    </cfRule>
    <cfRule type="cellIs" dxfId="990" priority="71" stopIfTrue="1" operator="greaterThan">
      <formula>$F$78</formula>
    </cfRule>
    <cfRule type="cellIs" dxfId="989" priority="72" stopIfTrue="1" operator="lessThanOrEqual">
      <formula>0</formula>
    </cfRule>
    <cfRule type="cellIs" dxfId="988" priority="76" stopIfTrue="1" operator="lessThanOrEqual">
      <formula>0</formula>
    </cfRule>
    <cfRule type="cellIs" dxfId="987" priority="75" stopIfTrue="1" operator="greaterThan">
      <formula>$F$78</formula>
    </cfRule>
  </conditionalFormatting>
  <conditionalFormatting sqref="I69:I70">
    <cfRule type="cellIs" dxfId="986" priority="94" stopIfTrue="1" operator="lessThanOrEqual">
      <formula>0</formula>
    </cfRule>
    <cfRule type="cellIs" dxfId="985" priority="93" stopIfTrue="1" operator="greaterThan">
      <formula>#REF!</formula>
    </cfRule>
    <cfRule type="cellIs" dxfId="984" priority="89" stopIfTrue="1" operator="greaterThan">
      <formula>#REF!</formula>
    </cfRule>
    <cfRule type="cellIs" dxfId="983" priority="91" stopIfTrue="1" operator="greaterThan">
      <formula>#REF!</formula>
    </cfRule>
    <cfRule type="cellIs" dxfId="982" priority="90" stopIfTrue="1" operator="lessThanOrEqual">
      <formula>0</formula>
    </cfRule>
    <cfRule type="cellIs" dxfId="981" priority="92" stopIfTrue="1" operator="lessThanOrEqual">
      <formula>0</formula>
    </cfRule>
  </conditionalFormatting>
  <conditionalFormatting sqref="I71">
    <cfRule type="cellIs" dxfId="980" priority="118" stopIfTrue="1" operator="greaterThan">
      <formula>$F$47</formula>
    </cfRule>
    <cfRule type="cellIs" dxfId="979" priority="123" stopIfTrue="1" operator="lessThanOrEqual">
      <formula>0</formula>
    </cfRule>
    <cfRule type="cellIs" dxfId="978" priority="122" stopIfTrue="1" operator="greaterThan">
      <formula>$F$47</formula>
    </cfRule>
    <cfRule type="cellIs" dxfId="977" priority="121" stopIfTrue="1" operator="lessThanOrEqual">
      <formula>0</formula>
    </cfRule>
    <cfRule type="cellIs" dxfId="976" priority="120" stopIfTrue="1" operator="greaterThan">
      <formula>$F$49</formula>
    </cfRule>
    <cfRule type="cellIs" dxfId="975" priority="119" stopIfTrue="1" operator="lessThanOrEqual">
      <formula>0</formula>
    </cfRule>
  </conditionalFormatting>
  <conditionalFormatting sqref="I72:I73">
    <cfRule type="cellIs" dxfId="974" priority="59" stopIfTrue="1" operator="greaterThan">
      <formula>#REF!</formula>
    </cfRule>
    <cfRule type="cellIs" dxfId="973" priority="60" stopIfTrue="1" operator="lessThanOrEqual">
      <formula>0</formula>
    </cfRule>
    <cfRule type="cellIs" dxfId="972" priority="58" stopIfTrue="1" operator="lessThanOrEqual">
      <formula>0</formula>
    </cfRule>
    <cfRule type="cellIs" dxfId="971" priority="57" stopIfTrue="1" operator="greaterThan">
      <formula>#REF!</formula>
    </cfRule>
    <cfRule type="cellIs" dxfId="970" priority="56" stopIfTrue="1" operator="lessThanOrEqual">
      <formula>0</formula>
    </cfRule>
    <cfRule type="cellIs" dxfId="969" priority="55" stopIfTrue="1" operator="greaterThan">
      <formula>#REF!</formula>
    </cfRule>
  </conditionalFormatting>
  <conditionalFormatting sqref="I77:I85">
    <cfRule type="cellIs" dxfId="968" priority="151" stopIfTrue="1" operator="lessThanOrEqual">
      <formula>0</formula>
    </cfRule>
    <cfRule type="cellIs" dxfId="967" priority="150" stopIfTrue="1" operator="greaterThan">
      <formula>$J77</formula>
    </cfRule>
  </conditionalFormatting>
  <conditionalFormatting sqref="I88:I96">
    <cfRule type="cellIs" dxfId="966" priority="174" stopIfTrue="1" operator="greaterThan">
      <formula>4.5</formula>
    </cfRule>
    <cfRule type="cellIs" dxfId="965" priority="175" stopIfTrue="1" operator="lessThanOrEqual">
      <formula>0</formula>
    </cfRule>
  </conditionalFormatting>
  <conditionalFormatting sqref="I10:J34">
    <cfRule type="cellIs" dxfId="964" priority="28" operator="lessThan">
      <formula>97.9</formula>
    </cfRule>
  </conditionalFormatting>
  <conditionalFormatting sqref="J38:J39">
    <cfRule type="cellIs" dxfId="963" priority="131" operator="lessThan">
      <formula>98</formula>
    </cfRule>
    <cfRule type="cellIs" dxfId="962" priority="130" stopIfTrue="1" operator="greaterThan">
      <formula>100</formula>
    </cfRule>
    <cfRule type="cellIs" dxfId="961" priority="129" stopIfTrue="1" operator="lessThan">
      <formula>96.8</formula>
    </cfRule>
  </conditionalFormatting>
  <conditionalFormatting sqref="J38:J41">
    <cfRule type="cellIs" dxfId="960" priority="128" operator="lessThan">
      <formula>97.4</formula>
    </cfRule>
  </conditionalFormatting>
  <conditionalFormatting sqref="J42:J43">
    <cfRule type="cellIs" dxfId="959" priority="132" operator="lessThan">
      <formula>98</formula>
    </cfRule>
  </conditionalFormatting>
  <conditionalFormatting sqref="J44:J45">
    <cfRule type="cellIs" dxfId="958" priority="133" stopIfTrue="1" operator="lessThan">
      <formula>96.8</formula>
    </cfRule>
    <cfRule type="cellIs" dxfId="957" priority="134" stopIfTrue="1" operator="greaterThan">
      <formula>100</formula>
    </cfRule>
  </conditionalFormatting>
  <conditionalFormatting sqref="J44:J46">
    <cfRule type="cellIs" dxfId="956" priority="135" operator="lessThan">
      <formula>98</formula>
    </cfRule>
  </conditionalFormatting>
  <conditionalFormatting sqref="J73">
    <cfRule type="cellIs" dxfId="955" priority="44" stopIfTrue="1" operator="lessThanOrEqual">
      <formula>0</formula>
    </cfRule>
    <cfRule type="cellIs" dxfId="954" priority="49" stopIfTrue="1" operator="greaterThan">
      <formula>#REF!</formula>
    </cfRule>
    <cfRule type="cellIs" dxfId="953" priority="43" stopIfTrue="1" operator="greaterThan">
      <formula>#REF!</formula>
    </cfRule>
    <cfRule type="cellIs" dxfId="952" priority="50" stopIfTrue="1" operator="lessThanOrEqual">
      <formula>0</formula>
    </cfRule>
    <cfRule type="cellIs" dxfId="951" priority="47" stopIfTrue="1" operator="greaterThan">
      <formula>#REF!</formula>
    </cfRule>
    <cfRule type="cellIs" dxfId="950" priority="46" stopIfTrue="1" operator="lessThanOrEqual">
      <formula>0</formula>
    </cfRule>
    <cfRule type="cellIs" dxfId="949" priority="45" stopIfTrue="1" operator="greaterThan">
      <formula>#REF!</formula>
    </cfRule>
    <cfRule type="cellIs" dxfId="948" priority="48" stopIfTrue="1" operator="lessThanOrEqual">
      <formula>0</formula>
    </cfRule>
  </conditionalFormatting>
  <conditionalFormatting sqref="J86">
    <cfRule type="cellIs" dxfId="947" priority="137" stopIfTrue="1" operator="lessThanOrEqual">
      <formula>0</formula>
    </cfRule>
    <cfRule type="cellIs" dxfId="946" priority="136" stopIfTrue="1" operator="greaterThan">
      <formula>$F86</formula>
    </cfRule>
  </conditionalFormatting>
  <conditionalFormatting sqref="K10:K34">
    <cfRule type="cellIs" dxfId="945" priority="31" operator="greaterThan">
      <formula>6.4</formula>
    </cfRule>
    <cfRule type="cellIs" dxfId="944" priority="30" operator="lessThan">
      <formula>4</formula>
    </cfRule>
    <cfRule type="cellIs" dxfId="943" priority="29" operator="greaterThan">
      <formula>6</formula>
    </cfRule>
  </conditionalFormatting>
  <conditionalFormatting sqref="K66:K73 K77:N83 K84 M84:N84 K85:N85">
    <cfRule type="cellIs" dxfId="942" priority="113" stopIfTrue="1" operator="lessThan">
      <formula>100%</formula>
    </cfRule>
  </conditionalFormatting>
  <conditionalFormatting sqref="K88:K93">
    <cfRule type="cellIs" dxfId="941" priority="180" stopIfTrue="1" operator="lessThan">
      <formula>100%</formula>
    </cfRule>
  </conditionalFormatting>
  <conditionalFormatting sqref="K95:K96">
    <cfRule type="cellIs" dxfId="940" priority="187" stopIfTrue="1" operator="lessThan">
      <formula>100%</formula>
    </cfRule>
  </conditionalFormatting>
  <conditionalFormatting sqref="L10:L18 L26:L31 L34">
    <cfRule type="cellIs" dxfId="939" priority="65" operator="between">
      <formula>61</formula>
      <formula>65</formula>
    </cfRule>
    <cfRule type="cellIs" dxfId="938" priority="66" operator="greaterThan">
      <formula>65</formula>
    </cfRule>
  </conditionalFormatting>
  <conditionalFormatting sqref="L19:M25">
    <cfRule type="cellIs" dxfId="937" priority="8" operator="greaterThan">
      <formula>65</formula>
    </cfRule>
    <cfRule type="cellIs" dxfId="936" priority="10" operator="between">
      <formula>61</formula>
      <formula>65</formula>
    </cfRule>
  </conditionalFormatting>
  <conditionalFormatting sqref="L32:M33">
    <cfRule type="cellIs" dxfId="935" priority="35" operator="greaterThan">
      <formula>65</formula>
    </cfRule>
    <cfRule type="cellIs" dxfId="934" priority="34" operator="between">
      <formula>61</formula>
      <formula>65</formula>
    </cfRule>
  </conditionalFormatting>
  <conditionalFormatting sqref="L37:M48">
    <cfRule type="cellIs" dxfId="933" priority="81" operator="lessThan">
      <formula>97.95</formula>
    </cfRule>
  </conditionalFormatting>
  <conditionalFormatting sqref="L52:N52">
    <cfRule type="cellIs" dxfId="932" priority="82" operator="notEqual">
      <formula>#REF!</formula>
    </cfRule>
  </conditionalFormatting>
  <conditionalFormatting sqref="L86:N86">
    <cfRule type="cellIs" dxfId="931" priority="138" stopIfTrue="1" operator="lessThan">
      <formula>100%</formula>
    </cfRule>
  </conditionalFormatting>
  <conditionalFormatting sqref="L88:N96">
    <cfRule type="cellIs" dxfId="930" priority="165" stopIfTrue="1" operator="lessThan">
      <formula>100%</formula>
    </cfRule>
  </conditionalFormatting>
  <conditionalFormatting sqref="M10:M18 M26:M31">
    <cfRule type="expression" dxfId="929" priority="11">
      <formula>IF(+(IF(M10&lt;U10,0,IF(M10&gt;V10,0,1)))=0,1)</formula>
    </cfRule>
  </conditionalFormatting>
  <conditionalFormatting sqref="M32:M33 M19:M25 G19:H25 G32:H34">
    <cfRule type="expression" dxfId="928" priority="36">
      <formula>IF(+(IF(G19&lt;#REF!,0,IF(G19&gt;#REF!,0,1)))=0,1)</formula>
    </cfRule>
  </conditionalFormatting>
  <conditionalFormatting sqref="M34:N34">
    <cfRule type="expression" dxfId="927" priority="195">
      <formula>IF(+(IF(M34&lt;#REF!,0,IF(M34&gt;#REF!,0,1)))=0,1)</formula>
    </cfRule>
  </conditionalFormatting>
  <conditionalFormatting sqref="N10:N33">
    <cfRule type="expression" dxfId="926" priority="27">
      <formula>IF(+(IF(N10&lt;W10,0,IF(N10&gt;X10,0,1)))=0,1)</formula>
    </cfRule>
  </conditionalFormatting>
  <conditionalFormatting sqref="P6">
    <cfRule type="cellIs" dxfId="925" priority="161" operator="greaterThanOrEqual">
      <formula>19</formula>
    </cfRule>
  </conditionalFormatting>
  <dataValidations count="1">
    <dataValidation type="list" allowBlank="1" showInputMessage="1" showErrorMessage="1" sqref="R8" xr:uid="{28827752-5CB6-4FE4-BEC3-F71C14FACEC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90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EE45-F363-4788-82C6-5A8D038DA0F9}">
  <sheetPr>
    <pageSetUpPr fitToPage="1"/>
  </sheetPr>
  <dimension ref="A1:BE78"/>
  <sheetViews>
    <sheetView topLeftCell="A30" zoomScale="80" zoomScaleNormal="80" workbookViewId="0">
      <selection activeCell="D10" sqref="D10:D18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45986</v>
      </c>
      <c r="J4" s="398" t="s">
        <v>194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193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3" t="s">
        <v>9</v>
      </c>
      <c r="C10" s="366" t="str">
        <f>[25]Brewhouse!$A480</f>
        <v>ST456</v>
      </c>
      <c r="D10" s="279">
        <f>[25]Brewhouse!$AD480</f>
        <v>48.5</v>
      </c>
      <c r="E10" s="279">
        <f>[25]Brewhouse!$AG480</f>
        <v>48.6</v>
      </c>
      <c r="F10" s="278">
        <f>[25]Brewhouse!$V480</f>
        <v>60</v>
      </c>
      <c r="G10" s="279">
        <f>[25]Brewhouse!$AE480</f>
        <v>11.9</v>
      </c>
      <c r="H10" s="396">
        <v>11.9</v>
      </c>
      <c r="I10" s="420">
        <f>[25]Brewhouse!$AS480</f>
        <v>97.523568316559476</v>
      </c>
      <c r="J10" s="420">
        <f>[25]Brewhouse!$AT480</f>
        <v>97.949933009996698</v>
      </c>
      <c r="K10" s="281">
        <f>[25]Brewhouse!$Q480</f>
        <v>12.644230769230761</v>
      </c>
      <c r="L10" s="276">
        <f>[25]Brewhouse!$P480</f>
        <v>60</v>
      </c>
      <c r="M10" s="374">
        <f>[25]Brewhouse!$U480-[25]Brewhouse!$T480</f>
        <v>0.11388888888888871</v>
      </c>
      <c r="N10" s="370">
        <f>[25]Brewhouse!$AW480</f>
        <v>0.24930555555555545</v>
      </c>
      <c r="O10" s="421" t="str">
        <f>[25]Brewhouse!$AV480</f>
        <v>K. Benjamin</v>
      </c>
      <c r="P10" s="418"/>
      <c r="R10" s="277" t="str">
        <f t="shared" ref="R10:R40" si="0">B10</f>
        <v>STAG</v>
      </c>
      <c r="S10" s="296">
        <f t="shared" ref="S10:S40" si="1">VLOOKUP($B10,$R$3:$X$9,2,FALSE)</f>
        <v>11.6</v>
      </c>
      <c r="T10" s="296">
        <f t="shared" ref="T10:T40" si="2">VLOOKUP($B10,$R$3:$X$9,3,FALSE)</f>
        <v>12</v>
      </c>
      <c r="U10" s="297">
        <f t="shared" ref="U10:U40" si="3">VLOOKUP($B10,$R$3:$X$9,4,FALSE)</f>
        <v>0</v>
      </c>
      <c r="V10" s="297">
        <f t="shared" ref="V10:V40" si="4">VLOOKUP($B10,$R$3:$X$9,5,FALSE)</f>
        <v>0.118055555555556</v>
      </c>
      <c r="W10" s="297">
        <f t="shared" ref="W10:W40" si="5">VLOOKUP($B10,$R$3:$X$9,6,FALSE)</f>
        <v>0.22569444444444445</v>
      </c>
      <c r="X10" s="297">
        <f t="shared" ref="X10:X40" si="6">VLOOKUP($B10,$R$3:$X$9,7,FALSE)</f>
        <v>0.2638888888888889</v>
      </c>
      <c r="Y10" s="297">
        <f t="shared" ref="Y10:Y40" si="7">VLOOKUP($B10,$R$3:$Z$9,8,FALSE)</f>
        <v>0</v>
      </c>
      <c r="Z10" s="296">
        <f t="shared" ref="Z10:Z40" si="8">VLOOKUP($B10,$R$3:$Z$9,9,FALSE)</f>
        <v>60</v>
      </c>
    </row>
    <row r="11" spans="2:29" ht="15.75" customHeight="1">
      <c r="B11" s="33" t="s">
        <v>9</v>
      </c>
      <c r="C11" s="366" t="str">
        <f>[25]Brewhouse!$A481</f>
        <v>ST457</v>
      </c>
      <c r="D11" s="279">
        <f>[25]Brewhouse!$AD481</f>
        <v>48</v>
      </c>
      <c r="E11" s="279">
        <f>[25]Brewhouse!$AG481</f>
        <v>49</v>
      </c>
      <c r="F11" s="278">
        <f>[25]Brewhouse!$V481</f>
        <v>53</v>
      </c>
      <c r="G11" s="279">
        <f>[25]Brewhouse!$AE481</f>
        <v>12</v>
      </c>
      <c r="H11" s="396">
        <v>11.9</v>
      </c>
      <c r="I11" s="420">
        <f>[25]Brewhouse!$AS481</f>
        <v>99.070542398663576</v>
      </c>
      <c r="J11" s="420">
        <f>[25]Brewhouse!$AT481</f>
        <v>99.503813170305577</v>
      </c>
      <c r="K11" s="281">
        <f>[25]Brewhouse!$Q481</f>
        <v>12.236084452975048</v>
      </c>
      <c r="L11" s="276">
        <f>[25]Brewhouse!$P481</f>
        <v>60</v>
      </c>
      <c r="M11" s="374">
        <f>[25]Brewhouse!$U481-[25]Brewhouse!$T481</f>
        <v>0.11527777777777781</v>
      </c>
      <c r="N11" s="370">
        <f>[25]Brewhouse!$AW481</f>
        <v>0.25208333333333338</v>
      </c>
      <c r="O11" s="421" t="str">
        <f>[25]Brewhouse!$AV481</f>
        <v>R. Regis</v>
      </c>
      <c r="P11" s="418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33" t="s">
        <v>9</v>
      </c>
      <c r="C12" s="366" t="str">
        <f>[25]Brewhouse!$A482</f>
        <v>ST458</v>
      </c>
      <c r="D12" s="279">
        <f>[25]Brewhouse!$AD482</f>
        <v>49.2</v>
      </c>
      <c r="E12" s="279">
        <f>[25]Brewhouse!$AG482</f>
        <v>49.8</v>
      </c>
      <c r="F12" s="278">
        <f>[25]Brewhouse!$V482</f>
        <v>62</v>
      </c>
      <c r="G12" s="279">
        <f>[25]Brewhouse!$AE482</f>
        <v>11.9</v>
      </c>
      <c r="H12" s="396">
        <v>11.8</v>
      </c>
      <c r="I12" s="420">
        <f>[25]Brewhouse!$AS482</f>
        <v>99.432002244689329</v>
      </c>
      <c r="J12" s="420">
        <f>[25]Brewhouse!$AT482</f>
        <v>99.86728174470349</v>
      </c>
      <c r="K12" s="281">
        <f>[25]Brewhouse!$Q482</f>
        <v>10.892514395393468</v>
      </c>
      <c r="L12" s="276">
        <f>[25]Brewhouse!$P482</f>
        <v>60</v>
      </c>
      <c r="M12" s="374">
        <f>[25]Brewhouse!$U482-[25]Brewhouse!$T482</f>
        <v>0.1118055555555556</v>
      </c>
      <c r="N12" s="370">
        <f>[25]Brewhouse!$AW482</f>
        <v>0.2458333333333334</v>
      </c>
      <c r="O12" s="421" t="str">
        <f>[25]Brewhouse!$AV482</f>
        <v>R. Regis</v>
      </c>
      <c r="P12" s="418"/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33" t="s">
        <v>9</v>
      </c>
      <c r="C13" s="366" t="str">
        <f>[25]Brewhouse!$A483</f>
        <v>ST459</v>
      </c>
      <c r="D13" s="279">
        <f>[25]Brewhouse!$AD483</f>
        <v>49.3</v>
      </c>
      <c r="E13" s="279">
        <f>[25]Brewhouse!$AG483</f>
        <v>47.6</v>
      </c>
      <c r="F13" s="278">
        <f>[25]Brewhouse!$V483</f>
        <v>62</v>
      </c>
      <c r="G13" s="279">
        <f>[25]Brewhouse!$AE483</f>
        <v>11.8</v>
      </c>
      <c r="H13" s="396">
        <v>11.8</v>
      </c>
      <c r="I13" s="420">
        <f>[25]Brewhouse!$AS483</f>
        <v>94.082139500864798</v>
      </c>
      <c r="J13" s="420">
        <f>[25]Brewhouse!$AT483</f>
        <v>94.494133417896663</v>
      </c>
      <c r="K13" s="281">
        <f>[25]Brewhouse!$Q483</f>
        <v>12.044145873320534</v>
      </c>
      <c r="L13" s="276">
        <f>[25]Brewhouse!$P483</f>
        <v>60</v>
      </c>
      <c r="M13" s="374">
        <f>[25]Brewhouse!$U483-[25]Brewhouse!$T483</f>
        <v>0.11527777777777781</v>
      </c>
      <c r="N13" s="370">
        <f>[25]Brewhouse!$AW483</f>
        <v>0.25</v>
      </c>
      <c r="O13" s="421" t="str">
        <f>[25]Brewhouse!$AV483</f>
        <v>R. Regis</v>
      </c>
      <c r="P13" s="418"/>
      <c r="R13" s="277" t="str">
        <f t="shared" ref="R13:R25" si="9">B13</f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33" t="s">
        <v>9</v>
      </c>
      <c r="C14" s="366" t="str">
        <f>[25]Brewhouse!$A484</f>
        <v>ST460</v>
      </c>
      <c r="D14" s="279">
        <f>[25]Brewhouse!$AD484</f>
        <v>48.3</v>
      </c>
      <c r="E14" s="279">
        <f>[25]Brewhouse!$AG484</f>
        <v>47.4</v>
      </c>
      <c r="F14" s="278">
        <f>[25]Brewhouse!$V484</f>
        <v>62</v>
      </c>
      <c r="G14" s="279">
        <f>[25]Brewhouse!$AE484</f>
        <v>11.9</v>
      </c>
      <c r="H14" s="396">
        <v>11.9</v>
      </c>
      <c r="I14" s="420">
        <f>[25]Brewhouse!$AS484</f>
        <v>94.169348252940196</v>
      </c>
      <c r="J14" s="420">
        <f>[25]Brewhouse!$AT484</f>
        <v>94.582125326212392</v>
      </c>
      <c r="K14" s="281">
        <f>[25]Brewhouse!$Q484</f>
        <v>12.428023032629561</v>
      </c>
      <c r="L14" s="276">
        <f>[25]Brewhouse!$P484</f>
        <v>63</v>
      </c>
      <c r="M14" s="374">
        <f>[25]Brewhouse!$U484-[25]Brewhouse!$T484</f>
        <v>0.11458333333333337</v>
      </c>
      <c r="N14" s="370">
        <f>[25]Brewhouse!$AW484</f>
        <v>0.24861111111111112</v>
      </c>
      <c r="O14" s="421" t="str">
        <f>[25]Brewhouse!$AV484</f>
        <v>R.Sookram</v>
      </c>
      <c r="P14" s="418"/>
      <c r="R14" s="277" t="str">
        <f t="shared" si="9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33"/>
      <c r="C15" s="366"/>
      <c r="D15" s="279"/>
      <c r="E15" s="279"/>
      <c r="F15" s="278"/>
      <c r="G15" s="279"/>
      <c r="H15" s="396"/>
      <c r="I15" s="420"/>
      <c r="J15" s="420"/>
      <c r="K15" s="281"/>
      <c r="L15" s="276"/>
      <c r="M15" s="374"/>
      <c r="N15" s="370"/>
      <c r="O15" s="421"/>
      <c r="P15" s="418"/>
      <c r="R15" s="277">
        <f t="shared" si="9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29" t="s">
        <v>6</v>
      </c>
      <c r="C16" s="366" t="str">
        <f>[24]Brewhouse!$A982</f>
        <v>CA867</v>
      </c>
      <c r="D16" s="279">
        <f>[24]Brewhouse!$AF982</f>
        <v>50.1</v>
      </c>
      <c r="E16" s="279">
        <f>[24]Brewhouse!$AI982</f>
        <v>51.1</v>
      </c>
      <c r="F16" s="278">
        <f>[24]Brewhouse!$V982</f>
        <v>68</v>
      </c>
      <c r="G16" s="279">
        <f>[24]Brewhouse!AG982</f>
        <v>11.6</v>
      </c>
      <c r="H16" s="396">
        <v>11.4</v>
      </c>
      <c r="I16" s="368">
        <f>[24]Brewhouse!$AU982</f>
        <v>97.947844223193897</v>
      </c>
      <c r="J16" s="368">
        <f>[24]Brewhouse!$AV982</f>
        <v>98.455665407444599</v>
      </c>
      <c r="K16" s="281">
        <f>[24]Brewhouse!$Q982</f>
        <v>7.0056497175141219</v>
      </c>
      <c r="L16" s="276">
        <f>[24]Brewhouse!$P982</f>
        <v>58</v>
      </c>
      <c r="M16" s="397">
        <f>[24]Brewhouse!$U982-[24]Brewhouse!$T982</f>
        <v>0.11805555555555558</v>
      </c>
      <c r="N16" s="370">
        <f>[24]Brewhouse!$Z982</f>
        <v>0.24861111111111112</v>
      </c>
      <c r="O16" s="421" t="str">
        <f>[24]Brewhouse!$AX982</f>
        <v>R.Sookram</v>
      </c>
      <c r="P16" s="418"/>
      <c r="R16" s="277" t="str">
        <f t="shared" si="9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.75" customHeight="1">
      <c r="B17" s="29" t="s">
        <v>6</v>
      </c>
      <c r="C17" s="366" t="str">
        <f>[24]Brewhouse!$A983</f>
        <v>CA868</v>
      </c>
      <c r="D17" s="279">
        <f>[24]Brewhouse!$AF983</f>
        <v>50.1</v>
      </c>
      <c r="E17" s="279">
        <f>[24]Brewhouse!$AI983</f>
        <v>49.5</v>
      </c>
      <c r="F17" s="278">
        <f>[24]Brewhouse!$V983</f>
        <v>54</v>
      </c>
      <c r="G17" s="279">
        <f>[24]Brewhouse!AG983</f>
        <v>11.9</v>
      </c>
      <c r="H17" s="396">
        <v>11.9</v>
      </c>
      <c r="I17" s="368">
        <f>[24]Brewhouse!$AU983</f>
        <v>97.584644233978906</v>
      </c>
      <c r="J17" s="368">
        <f>[24]Brewhouse!$AV983</f>
        <v>98.090541685234015</v>
      </c>
      <c r="K17" s="281">
        <f>[24]Brewhouse!$Q983</f>
        <v>6.8301886792452775</v>
      </c>
      <c r="L17" s="276">
        <f>[24]Brewhouse!$P983</f>
        <v>60</v>
      </c>
      <c r="M17" s="397">
        <f>[24]Brewhouse!$U983-[24]Brewhouse!$T983</f>
        <v>0.10624999999999996</v>
      </c>
      <c r="N17" s="370">
        <f>[24]Brewhouse!$Z983</f>
        <v>0.24861111111111112</v>
      </c>
      <c r="O17" s="421" t="str">
        <f>[24]Brewhouse!$AX983</f>
        <v>R.Sookram</v>
      </c>
      <c r="P17" s="418"/>
      <c r="R17" s="277" t="str">
        <f t="shared" si="9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.75" customHeight="1">
      <c r="B18" s="29" t="s">
        <v>6</v>
      </c>
      <c r="C18" s="366" t="str">
        <f>[24]Brewhouse!$A984</f>
        <v>CA869</v>
      </c>
      <c r="D18" s="279">
        <f>[24]Brewhouse!$AF984</f>
        <v>51.6</v>
      </c>
      <c r="E18" s="279">
        <f>[24]Brewhouse!$AI984</f>
        <v>51</v>
      </c>
      <c r="F18" s="278">
        <f>[24]Brewhouse!$V984</f>
        <v>58</v>
      </c>
      <c r="G18" s="279">
        <f>[24]Brewhouse!AG984</f>
        <v>11.8</v>
      </c>
      <c r="H18" s="396">
        <v>11.8</v>
      </c>
      <c r="I18" s="368">
        <f>[24]Brewhouse!$AU984</f>
        <v>99.776554042579932</v>
      </c>
      <c r="J18" s="368">
        <f>[24]Brewhouse!$AV984</f>
        <v>100.2937730733527</v>
      </c>
      <c r="K18" s="281">
        <f>[24]Brewhouse!$Q984</f>
        <v>3.9999999999999951</v>
      </c>
      <c r="L18" s="276">
        <f>[24]Brewhouse!$P984</f>
        <v>60</v>
      </c>
      <c r="M18" s="397">
        <f>[24]Brewhouse!$U984-[24]Brewhouse!$T984</f>
        <v>0.1166666666666667</v>
      </c>
      <c r="N18" s="370">
        <f>[24]Brewhouse!$Z984</f>
        <v>0.25555555555555554</v>
      </c>
      <c r="O18" s="421" t="str">
        <f>[24]Brewhouse!$AX984</f>
        <v>K. Benjamin</v>
      </c>
      <c r="P18" s="418"/>
      <c r="R18" s="277" t="str">
        <f t="shared" si="9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.75" customHeight="1">
      <c r="B19" s="482">
        <v>45986</v>
      </c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1"/>
      <c r="P19" s="418"/>
      <c r="R19" s="277"/>
      <c r="S19" s="296"/>
      <c r="T19" s="296"/>
      <c r="U19" s="297"/>
      <c r="V19" s="297"/>
      <c r="W19" s="297"/>
      <c r="X19" s="297"/>
      <c r="Y19" s="297"/>
      <c r="Z19" s="296"/>
    </row>
    <row r="20" spans="1:26" ht="15.75" customHeight="1">
      <c r="B20" s="29" t="s">
        <v>6</v>
      </c>
      <c r="C20" s="366" t="str">
        <f>[24]Brewhouse!$A985</f>
        <v>CA870</v>
      </c>
      <c r="D20" s="279">
        <f>[24]Brewhouse!$AF985</f>
        <v>50.4</v>
      </c>
      <c r="E20" s="279">
        <f>[24]Brewhouse!$AI985</f>
        <v>50.1</v>
      </c>
      <c r="F20" s="278">
        <f>[24]Brewhouse!$V985</f>
        <v>58</v>
      </c>
      <c r="G20" s="279">
        <f>[24]Brewhouse!AG985</f>
        <v>11.9</v>
      </c>
      <c r="H20" s="396">
        <v>11.9</v>
      </c>
      <c r="I20" s="368">
        <f>[24]Brewhouse!$AU985</f>
        <v>98.718507491195496</v>
      </c>
      <c r="J20" s="368">
        <f>[24]Brewhouse!$AV985</f>
        <v>99.035189622844044</v>
      </c>
      <c r="K20" s="281">
        <f>[24]Brewhouse!$Q985</f>
        <v>6.2641509433962268</v>
      </c>
      <c r="L20" s="276">
        <f>[24]Brewhouse!$P985</f>
        <v>60</v>
      </c>
      <c r="M20" s="397">
        <f>[24]Brewhouse!$U985-[24]Brewhouse!$T985</f>
        <v>0.12361111111111112</v>
      </c>
      <c r="N20" s="370">
        <f>[24]Brewhouse!$Z985</f>
        <v>0.25972222222222219</v>
      </c>
      <c r="O20" s="421" t="str">
        <f>[24]Brewhouse!$AX985</f>
        <v>K. Benjamin</v>
      </c>
      <c r="P20" s="418"/>
      <c r="R20" s="277" t="str">
        <f t="shared" si="9"/>
        <v>CARIB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1:26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1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1"/>
      <c r="P23" s="418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hidden="1" customHeight="1">
      <c r="B24" s="33"/>
      <c r="C24" s="366"/>
      <c r="D24" s="279"/>
      <c r="E24" s="279"/>
      <c r="F24" s="278"/>
      <c r="G24" s="279"/>
      <c r="H24" s="396"/>
      <c r="I24" s="420"/>
      <c r="J24" s="420"/>
      <c r="K24" s="281"/>
      <c r="L24" s="276"/>
      <c r="M24" s="374"/>
      <c r="N24" s="370"/>
      <c r="O24" s="421"/>
      <c r="P24" s="418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hidden="1" customHeight="1">
      <c r="B25" s="33"/>
      <c r="C25" s="366"/>
      <c r="D25" s="279"/>
      <c r="E25" s="279"/>
      <c r="F25" s="278"/>
      <c r="G25" s="279"/>
      <c r="H25" s="396"/>
      <c r="I25" s="420"/>
      <c r="J25" s="420"/>
      <c r="K25" s="281"/>
      <c r="L25" s="276"/>
      <c r="M25" s="374"/>
      <c r="N25" s="370"/>
      <c r="O25" s="421"/>
      <c r="P25" s="418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12"/>
      <c r="J27" s="512"/>
      <c r="K27" s="512"/>
      <c r="L27" s="512"/>
      <c r="M27" s="512"/>
      <c r="N27" s="512"/>
      <c r="O27" s="1"/>
      <c r="P27" s="12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.75" customHeight="1" thickBot="1">
      <c r="B28" s="388" t="s">
        <v>162</v>
      </c>
      <c r="C28" s="388"/>
      <c r="D28" s="490" t="s">
        <v>35</v>
      </c>
      <c r="E28" s="491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 xml:space="preserve">BRAND 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customHeight="1">
      <c r="A29" s="28"/>
      <c r="B29" s="563"/>
      <c r="C29" s="362"/>
      <c r="D29" s="516"/>
      <c r="E29" s="517"/>
      <c r="F29" s="294"/>
      <c r="G29" s="294"/>
      <c r="H29" s="348"/>
      <c r="I29" s="29" t="s">
        <v>6</v>
      </c>
      <c r="J29" s="280">
        <f>AVERAGE(I16:I20)</f>
        <v>98.506887497737068</v>
      </c>
      <c r="K29" s="284">
        <f>COUNTA([24]Brewhouse!$A$914:$A$985)</f>
        <v>72</v>
      </c>
      <c r="L29" s="305">
        <f>AVERAGE([24]Brewhouse!$AU$914:$AU$985)</f>
        <v>98.060922652015222</v>
      </c>
      <c r="M29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$985)</f>
        <v>97.745928072039831</v>
      </c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5" customHeight="1">
      <c r="A30" s="28"/>
      <c r="B30" s="564"/>
      <c r="C30" s="362"/>
      <c r="D30" s="518"/>
      <c r="E30" s="519"/>
      <c r="F30" s="294"/>
      <c r="G30" s="294"/>
      <c r="H30" s="348"/>
      <c r="I30" s="33" t="s">
        <v>9</v>
      </c>
      <c r="J30" s="280">
        <f>AVERAGE(I10:I14)</f>
        <v>96.855520142743472</v>
      </c>
      <c r="K30" s="284">
        <f>COUNTA([25]Brewhouse!$A$449:$A$484)</f>
        <v>36</v>
      </c>
      <c r="L30" s="302">
        <f>AVERAGE([25]Brewhouse!$AS$449:$AS$484)</f>
        <v>96.933734298290275</v>
      </c>
      <c r="M30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$484)</f>
        <v>97.847961594552643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64"/>
      <c r="C31" s="362"/>
      <c r="D31" s="566"/>
      <c r="E31" s="567"/>
      <c r="F31" s="294"/>
      <c r="G31" s="294"/>
      <c r="H31" s="348"/>
      <c r="I31" s="34" t="s">
        <v>12</v>
      </c>
      <c r="J31" s="280"/>
      <c r="K31" s="284"/>
      <c r="L31" s="302"/>
      <c r="M31" s="302">
        <f>AVERAGE([26]Brewhouse!$AU$4:$AU$7,[26]Brewhouse!$AU$9:$AU$22,[26]Brewhouse!$AU$24:$AU$35,[26]Brewhouse!$AU$37:$AU$45,[26]Brewhouse!$AU$47:$AU$62,[26]Brewhouse!$AU$64:$AU$79,[26]Brewhouse!$AU$81:$AU$92,[26]Brewhouse!$AU$94:$AU$97,[26]Brewhouse!$AU$99:$AU$106)</f>
        <v>96.648781372410795</v>
      </c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64"/>
      <c r="C32" s="362"/>
      <c r="D32" s="531"/>
      <c r="E32" s="519"/>
      <c r="F32" s="294"/>
      <c r="G32" s="294"/>
      <c r="H32" s="348"/>
      <c r="I32" s="22" t="s">
        <v>33</v>
      </c>
      <c r="J32" s="280"/>
      <c r="K32" s="284">
        <f>COUNTA([23]Brewhouse!$A$97:$A$104)</f>
        <v>8</v>
      </c>
      <c r="L32" s="302">
        <f>AVERAGE([23]Brewhouse!$AV$97:$AV$104)</f>
        <v>98.419138016287462</v>
      </c>
      <c r="M32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32" s="3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56" ht="14.65" customHeight="1">
      <c r="A33" s="28"/>
      <c r="B33" s="564"/>
      <c r="C33" s="362"/>
      <c r="D33" s="566"/>
      <c r="E33" s="567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56" ht="14.65" customHeight="1">
      <c r="A34" s="28"/>
      <c r="B34" s="564"/>
      <c r="C34" s="362"/>
      <c r="D34" s="531"/>
      <c r="E34" s="519"/>
      <c r="F34" s="417"/>
      <c r="G34" s="294"/>
      <c r="H34" s="348"/>
      <c r="I34" s="36" t="s">
        <v>15</v>
      </c>
      <c r="J34" s="323"/>
      <c r="K34" s="284"/>
      <c r="L34" s="302"/>
      <c r="M34" s="302">
        <f>AVERAGE([27]Brewhouse!$AT$4:$AT$11,[27]Brewhouse!$AT$13:$AT$16,[27]Brewhouse!$AT$18:$AT$21,[27]Brewhouse!$AT$26,[27]Brewhouse!$AT$28:$AT$35)</f>
        <v>94.794664331624134</v>
      </c>
      <c r="N34" s="30">
        <v>98</v>
      </c>
      <c r="O34" s="11"/>
      <c r="P34" s="31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4.65" customHeight="1">
      <c r="A35" s="28"/>
      <c r="B35" s="564"/>
      <c r="C35" s="362"/>
      <c r="D35" s="566"/>
      <c r="E35" s="567"/>
      <c r="F35" s="417"/>
      <c r="G35" s="294"/>
      <c r="H35" s="348"/>
      <c r="I35" s="37" t="s">
        <v>16</v>
      </c>
      <c r="J35" s="323"/>
      <c r="K35" s="284">
        <f>COUNTA([22]Brewhouse!$A$94:$A$97)</f>
        <v>4</v>
      </c>
      <c r="L35" s="302">
        <f>AVERAGE([22]Brewhouse!$AY$94:$AY$97)</f>
        <v>95.326767995731288</v>
      </c>
      <c r="M35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5" s="30">
        <v>98</v>
      </c>
      <c r="O35" s="11"/>
      <c r="P35" s="31" t="s">
        <v>41</v>
      </c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4.65" customHeight="1">
      <c r="A36" s="28"/>
      <c r="B36" s="564"/>
      <c r="C36" s="362"/>
      <c r="D36" s="531"/>
      <c r="E36" s="519"/>
      <c r="F36" s="294"/>
      <c r="G36" s="294"/>
      <c r="H36" s="348"/>
      <c r="I36" s="411" t="s">
        <v>158</v>
      </c>
      <c r="J36" s="326"/>
      <c r="K36" s="284"/>
      <c r="L36" s="305"/>
      <c r="M36" s="305">
        <f>AVERAGE([28]Brewhouse!$AU$5:$AU$8,[28]Brewhouse!$AU$10:$AU$13,[22]Brewhouse!$AY$75:$AY$77)</f>
        <v>94.749192473706671</v>
      </c>
      <c r="N36" s="30">
        <v>98</v>
      </c>
      <c r="O36" s="11"/>
      <c r="P36" s="31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4.65" customHeight="1">
      <c r="A37" s="28"/>
      <c r="B37" s="564"/>
      <c r="C37" s="349"/>
      <c r="D37" s="566"/>
      <c r="E37" s="567"/>
      <c r="F37" s="294"/>
      <c r="G37" s="294"/>
      <c r="H37" s="348"/>
      <c r="I37" s="410" t="s">
        <v>157</v>
      </c>
      <c r="J37" s="326"/>
      <c r="K37" s="284"/>
      <c r="L37" s="305"/>
      <c r="M37" s="305">
        <f>AVERAGE([29]Brewhouse!$AW$26:$AW$27)</f>
        <v>95.310680905194914</v>
      </c>
      <c r="N37" s="30">
        <v>98</v>
      </c>
      <c r="O37" s="11"/>
      <c r="P37" s="31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AA37" s="296"/>
    </row>
    <row r="38" spans="1:56" ht="15" customHeight="1" thickBot="1">
      <c r="A38" s="28"/>
      <c r="B38" s="564"/>
      <c r="C38" s="349"/>
      <c r="D38" s="531"/>
      <c r="E38" s="519"/>
      <c r="F38" s="294"/>
      <c r="G38" s="294"/>
      <c r="H38" s="348"/>
      <c r="I38" s="406" t="s">
        <v>156</v>
      </c>
      <c r="J38" s="327"/>
      <c r="K38" s="407"/>
      <c r="L38" s="408"/>
      <c r="M38" s="408">
        <f>AVERAGE([30]Brewhouse!$AU$13:$AU$14)</f>
        <v>97.110575243268045</v>
      </c>
      <c r="N38" s="409">
        <v>98</v>
      </c>
      <c r="O38" s="11"/>
      <c r="P38" s="31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  <c r="AA38" s="296"/>
    </row>
    <row r="39" spans="1:56" ht="15" customHeight="1" thickBot="1">
      <c r="A39" s="28"/>
      <c r="B39" s="564"/>
      <c r="C39" s="349"/>
      <c r="D39" s="516"/>
      <c r="E39" s="517"/>
      <c r="F39" s="294"/>
      <c r="G39" s="294"/>
      <c r="H39" s="348"/>
      <c r="I39" s="1"/>
      <c r="J39" s="39"/>
      <c r="K39" s="404">
        <f>SUM(K29:K38)</f>
        <v>120</v>
      </c>
      <c r="L39" s="405">
        <f>((L29*K29)+(L30*K30)+(L31*K31)+(L32*K32)+(L33*K33)+(K36*L36)+(L34*K34)+(L35*K35)+(L38*K38))/(K39)</f>
        <v>97.655508681639745</v>
      </c>
      <c r="M39" s="405">
        <f>AVERAGE('[31]Jan 31st'!$L$65,'[32]Feb 28th'!$L$35,'[33]Mar. 31st'!$L$35,'[34]Apr. 30th'!$L$45,'[35]May 30th'!$L$37,'[36]June 30th'!$L$57,'[37]July 29th '!$L$44,'[38]Aug 29th'!$L$29,'[39]Sept 30th'!$L$35,L39)</f>
        <v>97.583501107845763</v>
      </c>
      <c r="N39" s="40">
        <v>98</v>
      </c>
      <c r="O39" s="11"/>
      <c r="P39" s="31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  <c r="AA39" s="296"/>
    </row>
    <row r="40" spans="1:56" ht="15.75" thickBot="1">
      <c r="B40" s="570"/>
      <c r="C40" s="350"/>
      <c r="D40" s="518"/>
      <c r="E40" s="519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  <c r="AA40" s="296"/>
    </row>
    <row r="41" spans="1:56" ht="15.75" thickBot="1">
      <c r="B41" s="585"/>
      <c r="C41" s="362"/>
      <c r="D41" s="529"/>
      <c r="E41" s="530"/>
      <c r="F41" s="294"/>
      <c r="G41" s="42"/>
      <c r="H41" s="41"/>
      <c r="I41" s="42"/>
      <c r="J41" s="565" t="s">
        <v>129</v>
      </c>
      <c r="K41" s="565"/>
      <c r="L41" s="294"/>
      <c r="M41" s="294"/>
      <c r="N41" s="294"/>
      <c r="O41" s="294"/>
      <c r="P41" s="12"/>
    </row>
    <row r="42" spans="1:56" ht="15.75" thickBot="1">
      <c r="B42" s="586"/>
      <c r="C42" s="362"/>
      <c r="D42" s="531"/>
      <c r="E42" s="519"/>
      <c r="F42" s="294"/>
      <c r="G42" s="42"/>
      <c r="H42" s="41"/>
      <c r="I42" s="42"/>
      <c r="J42" s="292" t="s">
        <v>17</v>
      </c>
      <c r="K42" s="293" t="s">
        <v>199</v>
      </c>
      <c r="L42" s="533" t="s">
        <v>136</v>
      </c>
      <c r="M42" s="533"/>
      <c r="N42" s="534"/>
      <c r="O42" s="294"/>
      <c r="P42" s="12"/>
    </row>
    <row r="43" spans="1:56" ht="15" customHeight="1" thickBot="1">
      <c r="B43" s="586"/>
      <c r="C43" s="349"/>
      <c r="D43" s="566"/>
      <c r="E43" s="567"/>
      <c r="F43" s="294"/>
      <c r="G43" s="42"/>
      <c r="H43" s="41"/>
      <c r="I43" s="42"/>
      <c r="J43" s="287" t="s">
        <v>6</v>
      </c>
      <c r="K43" s="324">
        <f>COUNTA(C16:C18)</f>
        <v>3</v>
      </c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86"/>
      <c r="C44" s="349"/>
      <c r="D44" s="531"/>
      <c r="E44" s="519"/>
      <c r="F44" s="294"/>
      <c r="G44" s="42"/>
      <c r="H44" s="41"/>
      <c r="I44" s="42"/>
      <c r="J44" s="345" t="s">
        <v>9</v>
      </c>
      <c r="K44" s="324">
        <f>COUNTA(B10:B14)</f>
        <v>5</v>
      </c>
      <c r="L44" s="344">
        <f>AVERAGE('Nov 21st'!K47,'Nov 22nd-23rd'!J61,'Nov 22nd-23rd'!K61,'Nov 24th'!K53,'Nov 19th '!K49,'Nov 18th'!K58,'Nov 15th'!K53,'Nov 13th&amp; 14th'!J53,'Nov 13th&amp; 14th'!K53,'Nov 12th'!K47,'Nov 11th'!K51,'Nov 10th'!K53,'Nov 6th '!K52,'Nov 7th-8th'!J55,'Nov 7th-8th'!K55,'Nov 4th'!K52,'Nov 5th'!K51,Nov.3rd!K52)</f>
        <v>6.6111111111111107</v>
      </c>
      <c r="M44" s="325">
        <f>AVERAGE('[31]Jan 29th '!$M$70,'[32]Feb 28th'!$L$40,'[33]Mar. 31st'!$L$40,'[34]Apr. 30th'!$L$50,'[35]May 30th'!$L$42,'[36]June 30th'!$L$62,'[37]July 29th '!$L$49,'[38]Aug 29th'!$L$34,'[39]Sept 30th'!$L$40,[40]Oct.31st!$L$43,L44)</f>
        <v>7.022165223538221</v>
      </c>
      <c r="N44" s="416">
        <v>9.1999999999999993</v>
      </c>
      <c r="O44" s="294"/>
      <c r="P44" s="12"/>
    </row>
    <row r="45" spans="1:56" ht="15" customHeight="1">
      <c r="B45" s="586"/>
      <c r="C45" s="349"/>
      <c r="D45" s="566"/>
      <c r="E45" s="567"/>
      <c r="F45" s="294"/>
      <c r="G45" s="42"/>
      <c r="H45" s="41"/>
      <c r="I45" s="42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86"/>
      <c r="C46" s="349"/>
      <c r="D46" s="531"/>
      <c r="E46" s="519"/>
      <c r="F46" s="294"/>
      <c r="G46" s="42"/>
      <c r="H46" s="41"/>
      <c r="I46" s="42"/>
      <c r="J46" s="289" t="s">
        <v>33</v>
      </c>
      <c r="K46" s="324"/>
      <c r="L46" s="294"/>
      <c r="M46" s="294"/>
      <c r="N46" s="294"/>
      <c r="O46" s="294"/>
      <c r="P46" s="12"/>
    </row>
    <row r="47" spans="1:56" ht="15">
      <c r="B47" s="586"/>
      <c r="C47" s="349"/>
      <c r="D47" s="566"/>
      <c r="E47" s="567"/>
      <c r="F47" s="294"/>
      <c r="G47" s="42"/>
      <c r="H47" s="41"/>
      <c r="I47" s="42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86"/>
      <c r="C48" s="349"/>
      <c r="D48" s="531"/>
      <c r="E48" s="519"/>
      <c r="F48" s="294"/>
      <c r="G48" s="42"/>
      <c r="H48" s="41"/>
      <c r="I48" s="42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86"/>
      <c r="C49" s="349"/>
      <c r="D49" s="566"/>
      <c r="E49" s="567"/>
      <c r="F49" s="294"/>
      <c r="G49" s="42"/>
      <c r="H49" s="41"/>
      <c r="I49" s="42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.75" thickBot="1">
      <c r="B50" s="590"/>
      <c r="C50" s="350"/>
      <c r="D50" s="568"/>
      <c r="E50" s="569"/>
      <c r="F50" s="294" t="s">
        <v>168</v>
      </c>
      <c r="G50" s="42"/>
      <c r="H50" s="41"/>
      <c r="I50" s="42"/>
      <c r="J50" s="291" t="s">
        <v>148</v>
      </c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2:57" ht="17.649999999999999" customHeight="1" thickBot="1">
      <c r="B51" s="312" t="s">
        <v>139</v>
      </c>
      <c r="C51" s="313"/>
      <c r="D51" s="576"/>
      <c r="E51" s="577"/>
      <c r="F51" s="294"/>
      <c r="H51" s="41"/>
      <c r="I51" s="42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>
      <c r="B52" s="363"/>
      <c r="C52" s="364"/>
      <c r="D52" s="365"/>
      <c r="E52" s="365"/>
      <c r="F52" s="294"/>
      <c r="G52" s="42"/>
      <c r="H52" s="41"/>
      <c r="I52" s="42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1"/>
      <c r="I53" s="42"/>
      <c r="J53" s="346" t="s">
        <v>130</v>
      </c>
      <c r="K53" s="324">
        <f>SUM(K43:K52)</f>
        <v>8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J54" s="42"/>
      <c r="L54" s="294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541" t="s">
        <v>17</v>
      </c>
      <c r="C56" s="541" t="s">
        <v>44</v>
      </c>
      <c r="D56" s="543" t="s">
        <v>45</v>
      </c>
      <c r="E56" s="498" t="s">
        <v>46</v>
      </c>
      <c r="F56" s="558" t="s">
        <v>47</v>
      </c>
      <c r="G56" s="552" t="s">
        <v>48</v>
      </c>
      <c r="H56" s="541" t="s">
        <v>49</v>
      </c>
      <c r="I56" s="541" t="s">
        <v>50</v>
      </c>
      <c r="J56" s="546" t="s">
        <v>28</v>
      </c>
      <c r="K56" s="496" t="s">
        <v>51</v>
      </c>
      <c r="L56" s="508" t="s">
        <v>52</v>
      </c>
      <c r="M56" s="546" t="s">
        <v>53</v>
      </c>
      <c r="N56" s="13"/>
      <c r="O56" s="13"/>
      <c r="P56" s="50"/>
    </row>
    <row r="57" spans="2:57" ht="28.5" customHeight="1" thickTop="1" thickBot="1">
      <c r="B57" s="542"/>
      <c r="C57" s="542"/>
      <c r="D57" s="544"/>
      <c r="E57" s="545"/>
      <c r="F57" s="559"/>
      <c r="G57" s="553"/>
      <c r="H57" s="560"/>
      <c r="I57" s="560"/>
      <c r="J57" s="547"/>
      <c r="K57" s="556"/>
      <c r="L57" s="557"/>
      <c r="M57" s="547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43.15" customHeight="1" thickBot="1">
      <c r="B58" s="458"/>
      <c r="C58" s="442"/>
      <c r="D58" s="443"/>
      <c r="E58" s="444"/>
      <c r="F58" s="445"/>
      <c r="G58" s="445"/>
      <c r="H58" s="460"/>
      <c r="I58" s="460"/>
      <c r="J58" s="449"/>
      <c r="K58" s="450"/>
      <c r="L58" s="459"/>
      <c r="M58" s="456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[20]January_2019!L7</f>
        <v>285.8</v>
      </c>
      <c r="AC58" s="57">
        <f>[20]January_2019!M7</f>
        <v>508.1</v>
      </c>
      <c r="AD58" s="57">
        <f>[20]January_2019!N7</f>
        <v>0</v>
      </c>
      <c r="AE58" s="57">
        <f>[20]January_2019!O7</f>
        <v>0</v>
      </c>
      <c r="AF58" s="57">
        <f>[20]January_2019!P7</f>
        <v>109.56666666666666</v>
      </c>
      <c r="AG58" s="57">
        <f>[20]January_2019!Q7</f>
        <v>297.64999999999998</v>
      </c>
      <c r="AH58" s="57">
        <f>[20]January_2019!R7</f>
        <v>122.3</v>
      </c>
      <c r="AI58" s="57">
        <f>[20]January_2019!S7</f>
        <v>0</v>
      </c>
      <c r="AJ58" s="57">
        <f>[20]January_2019!T7</f>
        <v>294.7</v>
      </c>
      <c r="AK58" s="57">
        <f>[20]January_2019!U7</f>
        <v>280.5</v>
      </c>
      <c r="AL58" s="57">
        <f>[20]January_2019!V7</f>
        <v>0</v>
      </c>
      <c r="AM58" s="57">
        <f>[20]January_2019!W7</f>
        <v>0</v>
      </c>
      <c r="AN58" s="57">
        <f>[20]January_2019!X7</f>
        <v>188.25</v>
      </c>
      <c r="AO58" s="57">
        <f>[20]January_2019!Y7</f>
        <v>295.7</v>
      </c>
      <c r="AP58" s="57">
        <f>[20]January_2019!Z7</f>
        <v>257.8</v>
      </c>
      <c r="AQ58" s="57">
        <f>[20]January_2019!AA7</f>
        <v>291.2</v>
      </c>
      <c r="AR58" s="57">
        <f>[20]January_2019!AB7</f>
        <v>187</v>
      </c>
      <c r="AS58" s="57">
        <f>[20]January_2019!AC7</f>
        <v>0</v>
      </c>
      <c r="AT58" s="57">
        <f>[20]January_2019!AD7</f>
        <v>0</v>
      </c>
      <c r="AU58" s="57">
        <f>[20]January_2019!AE7</f>
        <v>485.1</v>
      </c>
      <c r="AV58" s="57">
        <f>[20]January_2019!AF7</f>
        <v>171.55</v>
      </c>
      <c r="AW58" s="57">
        <f>[20]January_2019!AG7</f>
        <v>423.8</v>
      </c>
      <c r="AX58" s="277">
        <f>[20]January_2019!AH7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20.45" hidden="1" customHeight="1" thickBot="1">
      <c r="B59" s="473"/>
      <c r="C59" s="431"/>
      <c r="D59" s="432"/>
      <c r="E59" s="433"/>
      <c r="F59" s="434"/>
      <c r="G59" s="435"/>
      <c r="H59" s="429"/>
      <c r="I59" s="429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450000000000003" hidden="1" customHeight="1" thickBot="1">
      <c r="B60" s="458"/>
      <c r="C60" s="442"/>
      <c r="D60" s="443"/>
      <c r="E60" s="444"/>
      <c r="F60" s="445"/>
      <c r="G60" s="446"/>
      <c r="H60" s="460"/>
      <c r="I60" s="460"/>
      <c r="J60" s="449"/>
      <c r="K60" s="462"/>
      <c r="L60" s="459" t="e">
        <f>(((D60+E60)-G60)/(D60+E60))*100</f>
        <v>#DIV/0!</v>
      </c>
      <c r="M60" s="456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4"/>
      <c r="C61" s="431"/>
      <c r="D61" s="432"/>
      <c r="E61" s="433"/>
      <c r="F61" s="434"/>
      <c r="G61" s="435"/>
      <c r="H61" s="436"/>
      <c r="I61" s="451"/>
      <c r="J61" s="452"/>
      <c r="K61" s="437"/>
      <c r="L61" s="453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61"/>
      <c r="C62" s="442"/>
      <c r="D62" s="443"/>
      <c r="E62" s="444"/>
      <c r="F62" s="445"/>
      <c r="G62" s="446"/>
      <c r="H62" s="447"/>
      <c r="I62" s="448"/>
      <c r="J62" s="449"/>
      <c r="K62" s="450"/>
      <c r="L62" s="459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customHeight="1" thickBot="1">
      <c r="B63" s="438"/>
      <c r="C63" s="424"/>
      <c r="D63" s="425"/>
      <c r="E63" s="426"/>
      <c r="F63" s="427"/>
      <c r="G63" s="428"/>
      <c r="H63" s="429"/>
      <c r="I63" s="439"/>
      <c r="J63" s="440"/>
      <c r="K63" s="430"/>
      <c r="L63" s="441"/>
      <c r="M63" s="423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58"/>
      <c r="C64" s="442"/>
      <c r="D64" s="443"/>
      <c r="E64" s="444"/>
      <c r="F64" s="445"/>
      <c r="G64" s="446"/>
      <c r="H64" s="447"/>
      <c r="I64" s="448"/>
      <c r="J64" s="449"/>
      <c r="K64" s="450"/>
      <c r="L64" s="459" t="e">
        <f>(((D64+E64)-G64)/(D64+E64))*100</f>
        <v>#DIV/0!</v>
      </c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70"/>
      <c r="C65" s="431"/>
      <c r="D65" s="464"/>
      <c r="E65" s="465"/>
      <c r="F65" s="466"/>
      <c r="G65" s="464"/>
      <c r="H65" s="467"/>
      <c r="I65" s="467"/>
      <c r="J65" s="467"/>
      <c r="K65" s="468"/>
      <c r="L65" s="469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48" t="s">
        <v>55</v>
      </c>
      <c r="C67" s="549"/>
      <c r="D67" s="549"/>
      <c r="E67" s="549"/>
      <c r="F67" s="550"/>
      <c r="G67" s="548" t="s">
        <v>56</v>
      </c>
      <c r="H67" s="549"/>
      <c r="I67" s="549"/>
      <c r="J67" s="550"/>
      <c r="K67" s="548" t="s">
        <v>51</v>
      </c>
      <c r="L67" s="549"/>
      <c r="M67" s="549"/>
      <c r="N67" s="551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/>
      <c r="D69" s="76">
        <v>6.109586969670791</v>
      </c>
      <c r="E69" s="76">
        <v>6.0721158785687495</v>
      </c>
      <c r="F69" s="66">
        <v>4.8</v>
      </c>
      <c r="G69" s="65"/>
      <c r="H69" s="76">
        <v>5.6702706098840654</v>
      </c>
      <c r="I69" s="76">
        <v>6.0394344516504415</v>
      </c>
      <c r="J69" s="66">
        <v>4.8</v>
      </c>
      <c r="K69" s="67"/>
      <c r="L69" s="194">
        <v>0.44411549707602338</v>
      </c>
      <c r="M69" s="194">
        <v>0.73127050670791238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5.1853750213565721</v>
      </c>
      <c r="E70" s="76">
        <v>5.7200467929828971</v>
      </c>
      <c r="F70" s="66">
        <v>4.8</v>
      </c>
      <c r="G70" s="65"/>
      <c r="H70" s="76">
        <v>3.6096118625802744</v>
      </c>
      <c r="I70" s="76">
        <v>6.2674198164664059</v>
      </c>
      <c r="J70" s="66">
        <v>4.8</v>
      </c>
      <c r="K70" s="67"/>
      <c r="L70" s="194">
        <v>0.59464912280701754</v>
      </c>
      <c r="M70" s="194">
        <v>0.67381772220369407</v>
      </c>
      <c r="N70" s="68">
        <v>1</v>
      </c>
      <c r="P70" s="69"/>
    </row>
    <row r="71" spans="2:57" ht="15">
      <c r="B71" s="34" t="s">
        <v>40</v>
      </c>
      <c r="C71" s="65"/>
      <c r="D71" s="76">
        <v>11.223996129656527</v>
      </c>
      <c r="E71" s="76">
        <v>11.016453256230184</v>
      </c>
      <c r="F71" s="66">
        <v>5.5</v>
      </c>
      <c r="G71" s="65"/>
      <c r="H71" s="76">
        <v>10.76956909379566</v>
      </c>
      <c r="I71" s="76">
        <v>12.536311479158377</v>
      </c>
      <c r="J71" s="66">
        <v>5.5</v>
      </c>
      <c r="K71" s="67"/>
      <c r="L71" s="194">
        <v>0.26637426900584799</v>
      </c>
      <c r="M71" s="194">
        <v>0.51633622959452352</v>
      </c>
      <c r="N71" s="68">
        <v>1</v>
      </c>
      <c r="P71" s="69"/>
    </row>
    <row r="72" spans="2:57" ht="15">
      <c r="B72" s="22" t="s">
        <v>33</v>
      </c>
      <c r="C72" s="65"/>
      <c r="D72" s="76">
        <v>3.7833827893175105</v>
      </c>
      <c r="E72" s="76">
        <v>4.6226456706805745</v>
      </c>
      <c r="F72" s="66">
        <v>3.3</v>
      </c>
      <c r="G72" s="65"/>
      <c r="H72" s="76">
        <v>3.7421885632627285</v>
      </c>
      <c r="I72" s="76">
        <v>4.4171317623593813</v>
      </c>
      <c r="J72" s="66">
        <v>3.3</v>
      </c>
      <c r="K72" s="67"/>
      <c r="L72" s="194">
        <v>0.68263157894736837</v>
      </c>
      <c r="M72" s="194">
        <v>0.83111215538847116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>
        <v>7.837301587301579</v>
      </c>
      <c r="F73" s="66">
        <v>3.3</v>
      </c>
      <c r="G73" s="282"/>
      <c r="H73" s="76"/>
      <c r="I73" s="76">
        <v>5.3377569154690221</v>
      </c>
      <c r="J73" s="66">
        <v>3</v>
      </c>
      <c r="K73" s="67"/>
      <c r="L73" s="194"/>
      <c r="M73" s="194">
        <v>0.32596491228070179</v>
      </c>
      <c r="N73" s="68">
        <v>1</v>
      </c>
      <c r="P73" s="69"/>
    </row>
    <row r="74" spans="2:57" ht="15">
      <c r="B74" s="36" t="s">
        <v>15</v>
      </c>
      <c r="C74" s="65"/>
      <c r="D74" s="76"/>
      <c r="E74" s="76">
        <v>6.8851328044153277</v>
      </c>
      <c r="F74" s="70">
        <f>[21]May_2022!$M$43</f>
        <v>3.4878406700073312</v>
      </c>
      <c r="G74" s="282"/>
      <c r="H74" s="76"/>
      <c r="I74" s="76">
        <v>8.6614709463340702</v>
      </c>
      <c r="J74" s="66">
        <v>5.5</v>
      </c>
      <c r="K74" s="67"/>
      <c r="L74" s="194"/>
      <c r="M74" s="194">
        <v>0.73160818713450293</v>
      </c>
      <c r="N74" s="68">
        <v>1</v>
      </c>
      <c r="P74" s="69"/>
    </row>
    <row r="75" spans="2:57" ht="15">
      <c r="B75" s="37" t="s">
        <v>16</v>
      </c>
      <c r="C75" s="65"/>
      <c r="D75" s="76">
        <v>2.6328862394436081</v>
      </c>
      <c r="E75" s="76">
        <v>2.9297033255778997</v>
      </c>
      <c r="F75" s="66">
        <v>3.3</v>
      </c>
      <c r="G75" s="282"/>
      <c r="H75" s="76">
        <v>2.6328862394435983</v>
      </c>
      <c r="I75" s="76">
        <v>4.2684292436723528</v>
      </c>
      <c r="J75" s="66">
        <v>3.3</v>
      </c>
      <c r="K75" s="67"/>
      <c r="L75" s="194">
        <v>0.68771929824561406</v>
      </c>
      <c r="M75" s="194">
        <v>0.84660147761842675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>
        <v>11.483253588516746</v>
      </c>
      <c r="F76" s="66">
        <v>7.5</v>
      </c>
      <c r="G76" s="282"/>
      <c r="H76" s="76"/>
      <c r="I76" s="76">
        <v>9.7934336121043764</v>
      </c>
      <c r="J76" s="66">
        <v>7.5</v>
      </c>
      <c r="K76" s="67"/>
      <c r="M76" s="194">
        <v>0.32456140350877194</v>
      </c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>
        <v>7.2653644592663174</v>
      </c>
      <c r="F77" s="66">
        <v>4.8</v>
      </c>
      <c r="G77" s="282"/>
      <c r="H77" s="76"/>
      <c r="I77" s="76">
        <v>8.1715311054411259</v>
      </c>
      <c r="J77" s="66">
        <v>4.8</v>
      </c>
      <c r="K77" s="67"/>
      <c r="L77" s="194"/>
      <c r="M77" s="194">
        <v>0.51368421052631585</v>
      </c>
      <c r="N77" s="71">
        <v>1</v>
      </c>
      <c r="O77" s="74"/>
      <c r="P77" s="75"/>
    </row>
    <row r="78" spans="2:57" ht="15">
      <c r="D78" s="76">
        <v>6.0063871740657655</v>
      </c>
      <c r="E78" s="76">
        <v>6.1142024572037208</v>
      </c>
      <c r="F78" s="341">
        <v>5.5</v>
      </c>
      <c r="H78" s="76">
        <v>5.4561447499452154</v>
      </c>
      <c r="I78" s="76">
        <v>6.5724479259788264</v>
      </c>
      <c r="J78" s="341">
        <v>5.5</v>
      </c>
      <c r="L78" s="194">
        <v>0.4826647173489278</v>
      </c>
      <c r="M78" s="194">
        <v>0.70268152628434888</v>
      </c>
      <c r="N78" s="386">
        <v>1</v>
      </c>
    </row>
  </sheetData>
  <mergeCells count="51">
    <mergeCell ref="M56:M57"/>
    <mergeCell ref="B67:F67"/>
    <mergeCell ref="G67:J67"/>
    <mergeCell ref="K67:N67"/>
    <mergeCell ref="G56:G57"/>
    <mergeCell ref="H56:H57"/>
    <mergeCell ref="I56:I57"/>
    <mergeCell ref="J56:J57"/>
    <mergeCell ref="K56:K57"/>
    <mergeCell ref="L56:L57"/>
    <mergeCell ref="F56:F57"/>
    <mergeCell ref="D51:E51"/>
    <mergeCell ref="B56:B57"/>
    <mergeCell ref="C56:C57"/>
    <mergeCell ref="D56:D57"/>
    <mergeCell ref="E56:E57"/>
    <mergeCell ref="B41:B50"/>
    <mergeCell ref="D41:E42"/>
    <mergeCell ref="J41:K41"/>
    <mergeCell ref="L42:N42"/>
    <mergeCell ref="D43:E44"/>
    <mergeCell ref="D45:E46"/>
    <mergeCell ref="D47:E48"/>
    <mergeCell ref="D49:E50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1:B52">
    <cfRule type="cellIs" dxfId="924" priority="44" operator="notBetween">
      <formula>#REF!</formula>
      <formula>#REF!</formula>
    </cfRule>
  </conditionalFormatting>
  <conditionalFormatting sqref="C55">
    <cfRule type="cellIs" dxfId="923" priority="193" stopIfTrue="1" operator="lessThan">
      <formula>96</formula>
    </cfRule>
    <cfRule type="cellIs" dxfId="922" priority="194" stopIfTrue="1" operator="greaterThan">
      <formula>100</formula>
    </cfRule>
  </conditionalFormatting>
  <conditionalFormatting sqref="C69:C73">
    <cfRule type="cellIs" dxfId="921" priority="147" stopIfTrue="1" operator="lessThanOrEqual">
      <formula>0</formula>
    </cfRule>
  </conditionalFormatting>
  <conditionalFormatting sqref="C69:C77">
    <cfRule type="cellIs" dxfId="920" priority="146" stopIfTrue="1" operator="greaterThan">
      <formula>$F69</formula>
    </cfRule>
  </conditionalFormatting>
  <conditionalFormatting sqref="C70">
    <cfRule type="cellIs" dxfId="919" priority="197" stopIfTrue="1" operator="greaterThan">
      <formula>$F69</formula>
    </cfRule>
  </conditionalFormatting>
  <conditionalFormatting sqref="C74">
    <cfRule type="cellIs" dxfId="918" priority="87" stopIfTrue="1" operator="greaterThan">
      <formula>$F73</formula>
    </cfRule>
    <cfRule type="cellIs" dxfId="917" priority="86" stopIfTrue="1" operator="lessThanOrEqual">
      <formula>0</formula>
    </cfRule>
  </conditionalFormatting>
  <conditionalFormatting sqref="C80:C84">
    <cfRule type="cellIs" dxfId="916" priority="185" stopIfTrue="1" operator="lessThanOrEqual">
      <formula>0</formula>
    </cfRule>
  </conditionalFormatting>
  <conditionalFormatting sqref="C81:C84">
    <cfRule type="cellIs" dxfId="915" priority="184" stopIfTrue="1" operator="greaterThan">
      <formula>$F$80</formula>
    </cfRule>
  </conditionalFormatting>
  <conditionalFormatting sqref="C86">
    <cfRule type="cellIs" dxfId="914" priority="187" stopIfTrue="1" operator="lessThanOrEqual">
      <formula>0</formula>
    </cfRule>
    <cfRule type="cellIs" dxfId="913" priority="186" stopIfTrue="1" operator="greaterThan">
      <formula>$F$80</formula>
    </cfRule>
  </conditionalFormatting>
  <conditionalFormatting sqref="C80:D80 D82:D88">
    <cfRule type="cellIs" dxfId="912" priority="179" stopIfTrue="1" operator="greaterThan">
      <formula>4.5</formula>
    </cfRule>
  </conditionalFormatting>
  <conditionalFormatting sqref="D51:D52">
    <cfRule type="cellIs" dxfId="911" priority="45" operator="notBetween">
      <formula>#REF!</formula>
      <formula>#REF!</formula>
    </cfRule>
  </conditionalFormatting>
  <conditionalFormatting sqref="D69:D76">
    <cfRule type="cellIs" dxfId="910" priority="159" stopIfTrue="1" operator="lessThanOrEqual">
      <formula>0</formula>
    </cfRule>
  </conditionalFormatting>
  <conditionalFormatting sqref="D77">
    <cfRule type="cellIs" dxfId="909" priority="158" stopIfTrue="1" operator="lessThanOrEqual">
      <formula>0</formula>
    </cfRule>
  </conditionalFormatting>
  <conditionalFormatting sqref="D80 D82:D88">
    <cfRule type="cellIs" dxfId="908" priority="180" stopIfTrue="1" operator="lessThanOrEqual">
      <formula>0</formula>
    </cfRule>
  </conditionalFormatting>
  <conditionalFormatting sqref="D81">
    <cfRule type="cellIs" dxfId="907" priority="172" stopIfTrue="1" operator="lessThanOrEqual">
      <formula>0</formula>
    </cfRule>
    <cfRule type="cellIs" dxfId="906" priority="171" stopIfTrue="1" operator="greaterThan">
      <formula>$F$80</formula>
    </cfRule>
  </conditionalFormatting>
  <conditionalFormatting sqref="D69:E78">
    <cfRule type="cellIs" dxfId="905" priority="144" stopIfTrue="1" operator="greaterThan">
      <formula>$F69</formula>
    </cfRule>
  </conditionalFormatting>
  <conditionalFormatting sqref="D78:E78">
    <cfRule type="cellIs" dxfId="904" priority="145" stopIfTrue="1" operator="lessThanOrEqual">
      <formula>0</formula>
    </cfRule>
  </conditionalFormatting>
  <conditionalFormatting sqref="E10:E26">
    <cfRule type="cellIs" dxfId="903" priority="35" operator="lessThan">
      <formula>48</formula>
    </cfRule>
  </conditionalFormatting>
  <conditionalFormatting sqref="E54 E55:F55">
    <cfRule type="cellIs" dxfId="902" priority="176" stopIfTrue="1" operator="greaterThan">
      <formula>100</formula>
    </cfRule>
  </conditionalFormatting>
  <conditionalFormatting sqref="E55">
    <cfRule type="cellIs" dxfId="901" priority="174" stopIfTrue="1" operator="greaterThan">
      <formula>100</formula>
    </cfRule>
    <cfRule type="cellIs" dxfId="900" priority="173" stopIfTrue="1" operator="lessThan">
      <formula>96.8</formula>
    </cfRule>
  </conditionalFormatting>
  <conditionalFormatting sqref="E69:E77">
    <cfRule type="cellIs" dxfId="899" priority="155" stopIfTrue="1" operator="lessThanOrEqual">
      <formula>0</formula>
    </cfRule>
  </conditionalFormatting>
  <conditionalFormatting sqref="E80:E88">
    <cfRule type="cellIs" dxfId="898" priority="166" stopIfTrue="1" operator="lessThanOrEqual">
      <formula>0</formula>
    </cfRule>
    <cfRule type="cellIs" dxfId="897" priority="165" stopIfTrue="1" operator="greaterThan">
      <formula>4.5</formula>
    </cfRule>
  </conditionalFormatting>
  <conditionalFormatting sqref="E55:F55 E54">
    <cfRule type="cellIs" dxfId="896" priority="175" stopIfTrue="1" operator="lessThan">
      <formula>96.5</formula>
    </cfRule>
  </conditionalFormatting>
  <conditionalFormatting sqref="F10:F26">
    <cfRule type="cellIs" dxfId="895" priority="36" operator="greaterThan">
      <formula>60</formula>
    </cfRule>
  </conditionalFormatting>
  <conditionalFormatting sqref="F55">
    <cfRule type="cellIs" dxfId="894" priority="192" stopIfTrue="1" operator="greaterThan">
      <formula>100</formula>
    </cfRule>
    <cfRule type="cellIs" dxfId="893" priority="191" stopIfTrue="1" operator="lessThan">
      <formula>96.8</formula>
    </cfRule>
  </conditionalFormatting>
  <conditionalFormatting sqref="F78">
    <cfRule type="cellIs" dxfId="892" priority="156" stopIfTrue="1" operator="greaterThan">
      <formula>$F78</formula>
    </cfRule>
    <cfRule type="cellIs" dxfId="891" priority="157" stopIfTrue="1" operator="lessThanOrEqual">
      <formula>0</formula>
    </cfRule>
  </conditionalFormatting>
  <conditionalFormatting sqref="G16:G23">
    <cfRule type="expression" dxfId="890" priority="2">
      <formula>IF(+(IF(G16&lt;S16,0,IF(G16&gt;T16,0,1)))=0,1)</formula>
    </cfRule>
  </conditionalFormatting>
  <conditionalFormatting sqref="G69:G70 C75:C77">
    <cfRule type="cellIs" dxfId="889" priority="161" stopIfTrue="1" operator="lessThanOrEqual">
      <formula>0</formula>
    </cfRule>
  </conditionalFormatting>
  <conditionalFormatting sqref="G69:G70">
    <cfRule type="cellIs" dxfId="888" priority="149" stopIfTrue="1" operator="lessThanOrEqual">
      <formula>0</formula>
    </cfRule>
    <cfRule type="cellIs" dxfId="887" priority="148" stopIfTrue="1" operator="greaterThan">
      <formula>$F69</formula>
    </cfRule>
    <cfRule type="cellIs" dxfId="886" priority="160" stopIfTrue="1" operator="greaterThan">
      <formula>$F69</formula>
    </cfRule>
  </conditionalFormatting>
  <conditionalFormatting sqref="G71">
    <cfRule type="cellIs" dxfId="885" priority="196" stopIfTrue="1" operator="lessThanOrEqual">
      <formula>0</formula>
    </cfRule>
    <cfRule type="cellIs" dxfId="884" priority="195" stopIfTrue="1" operator="greaterThan">
      <formula>$F70</formula>
    </cfRule>
  </conditionalFormatting>
  <conditionalFormatting sqref="G72">
    <cfRule type="cellIs" dxfId="883" priority="40" stopIfTrue="1" operator="greaterThan">
      <formula>$F72</formula>
    </cfRule>
    <cfRule type="cellIs" dxfId="882" priority="41" stopIfTrue="1" operator="lessThanOrEqual">
      <formula>0</formula>
    </cfRule>
    <cfRule type="cellIs" dxfId="881" priority="43" stopIfTrue="1" operator="lessThanOrEqual">
      <formula>0</formula>
    </cfRule>
    <cfRule type="cellIs" dxfId="880" priority="42" stopIfTrue="1" operator="greaterThan">
      <formula>$F72</formula>
    </cfRule>
  </conditionalFormatting>
  <conditionalFormatting sqref="G73:G77">
    <cfRule type="cellIs" dxfId="879" priority="162" stopIfTrue="1" operator="greaterThan">
      <formula>$J73</formula>
    </cfRule>
    <cfRule type="cellIs" dxfId="878" priority="163" stopIfTrue="1" operator="lessThanOrEqual">
      <formula>0</formula>
    </cfRule>
  </conditionalFormatting>
  <conditionalFormatting sqref="G82:G87 C85 C87">
    <cfRule type="cellIs" dxfId="877" priority="188" stopIfTrue="1" operator="greaterThan">
      <formula>4.5</formula>
    </cfRule>
    <cfRule type="cellIs" dxfId="876" priority="189" stopIfTrue="1" operator="lessThanOrEqual">
      <formula>0</formula>
    </cfRule>
  </conditionalFormatting>
  <conditionalFormatting sqref="G81:H81">
    <cfRule type="cellIs" dxfId="875" priority="170" stopIfTrue="1" operator="lessThanOrEqual">
      <formula>0</formula>
    </cfRule>
    <cfRule type="cellIs" dxfId="874" priority="169" stopIfTrue="1" operator="greaterThan">
      <formula>$F$80</formula>
    </cfRule>
  </conditionalFormatting>
  <conditionalFormatting sqref="H40:H54">
    <cfRule type="cellIs" dxfId="873" priority="167" stopIfTrue="1" operator="greaterThan">
      <formula>0</formula>
    </cfRule>
  </conditionalFormatting>
  <conditionalFormatting sqref="H58">
    <cfRule type="cellIs" dxfId="872" priority="29" stopIfTrue="1" operator="lessThanOrEqual">
      <formula>0</formula>
    </cfRule>
    <cfRule type="cellIs" dxfId="871" priority="28" stopIfTrue="1" operator="greaterThan">
      <formula>$F$74</formula>
    </cfRule>
    <cfRule type="cellIs" dxfId="870" priority="27" stopIfTrue="1" operator="lessThanOrEqual">
      <formula>0</formula>
    </cfRule>
    <cfRule type="cellIs" dxfId="869" priority="26" stopIfTrue="1" operator="greaterThan">
      <formula>$F$76</formula>
    </cfRule>
    <cfRule type="cellIs" dxfId="868" priority="18" stopIfTrue="1" operator="greaterThan">
      <formula>$F$73</formula>
    </cfRule>
    <cfRule type="cellIs" dxfId="867" priority="17" stopIfTrue="1" operator="lessThanOrEqual">
      <formula>0</formula>
    </cfRule>
  </conditionalFormatting>
  <conditionalFormatting sqref="H59">
    <cfRule type="cellIs" dxfId="866" priority="112" stopIfTrue="1" operator="greaterThan">
      <formula>$F$27</formula>
    </cfRule>
    <cfRule type="cellIs" dxfId="865" priority="104" stopIfTrue="1" operator="greaterThan">
      <formula>#REF!</formula>
    </cfRule>
    <cfRule type="cellIs" dxfId="864" priority="103" stopIfTrue="1" operator="lessThanOrEqual">
      <formula>0</formula>
    </cfRule>
    <cfRule type="cellIs" dxfId="863" priority="115" stopIfTrue="1" operator="lessThanOrEqual">
      <formula>0</formula>
    </cfRule>
    <cfRule type="cellIs" dxfId="862" priority="114" stopIfTrue="1" operator="greaterThan">
      <formula>#REF!</formula>
    </cfRule>
    <cfRule type="cellIs" dxfId="861" priority="113" stopIfTrue="1" operator="lessThanOrEqual">
      <formula>0</formula>
    </cfRule>
  </conditionalFormatting>
  <conditionalFormatting sqref="H60">
    <cfRule type="cellIs" dxfId="860" priority="83" stopIfTrue="1" operator="lessThanOrEqual">
      <formula>0</formula>
    </cfRule>
    <cfRule type="cellIs" dxfId="859" priority="71" stopIfTrue="1" operator="lessThanOrEqual">
      <formula>0</formula>
    </cfRule>
    <cfRule type="cellIs" dxfId="858" priority="72" stopIfTrue="1" operator="greaterThan">
      <formula>$F$70</formula>
    </cfRule>
    <cfRule type="cellIs" dxfId="857" priority="80" stopIfTrue="1" operator="greaterThan">
      <formula>$F$73</formula>
    </cfRule>
    <cfRule type="cellIs" dxfId="856" priority="81" stopIfTrue="1" operator="lessThanOrEqual">
      <formula>0</formula>
    </cfRule>
    <cfRule type="cellIs" dxfId="855" priority="82" stopIfTrue="1" operator="greaterThan">
      <formula>$F$71</formula>
    </cfRule>
  </conditionalFormatting>
  <conditionalFormatting sqref="H61:H62">
    <cfRule type="cellIs" dxfId="854" priority="89" stopIfTrue="1" operator="lessThanOrEqual">
      <formula>0</formula>
    </cfRule>
    <cfRule type="cellIs" dxfId="853" priority="90" stopIfTrue="1" operator="greaterThan">
      <formula>#REF!</formula>
    </cfRule>
    <cfRule type="cellIs" dxfId="852" priority="101" stopIfTrue="1" operator="lessThanOrEqual">
      <formula>0</formula>
    </cfRule>
    <cfRule type="cellIs" dxfId="851" priority="98" stopIfTrue="1" operator="greaterThan">
      <formula>$F$26</formula>
    </cfRule>
    <cfRule type="cellIs" dxfId="850" priority="99" stopIfTrue="1" operator="lessThanOrEqual">
      <formula>0</formula>
    </cfRule>
    <cfRule type="cellIs" dxfId="849" priority="100" stopIfTrue="1" operator="greaterThan">
      <formula>#REF!</formula>
    </cfRule>
  </conditionalFormatting>
  <conditionalFormatting sqref="H63">
    <cfRule type="cellIs" dxfId="848" priority="128" stopIfTrue="1" operator="lessThanOrEqual">
      <formula>0</formula>
    </cfRule>
    <cfRule type="cellIs" dxfId="847" priority="130" stopIfTrue="1" operator="lessThanOrEqual">
      <formula>0</formula>
    </cfRule>
    <cfRule type="cellIs" dxfId="846" priority="129" stopIfTrue="1" operator="greaterThan">
      <formula>$F$40</formula>
    </cfRule>
    <cfRule type="cellIs" dxfId="845" priority="127" stopIfTrue="1" operator="greaterThan">
      <formula>$F$42</formula>
    </cfRule>
    <cfRule type="cellIs" dxfId="844" priority="119" stopIfTrue="1" operator="greaterThan">
      <formula>$F$39</formula>
    </cfRule>
    <cfRule type="cellIs" dxfId="843" priority="118" stopIfTrue="1" operator="lessThanOrEqual">
      <formula>0</formula>
    </cfRule>
  </conditionalFormatting>
  <conditionalFormatting sqref="H64:H65">
    <cfRule type="cellIs" dxfId="842" priority="66" stopIfTrue="1" operator="greaterThan">
      <formula>#REF!</formula>
    </cfRule>
    <cfRule type="cellIs" dxfId="841" priority="56" stopIfTrue="1" operator="greaterThan">
      <formula>#REF!</formula>
    </cfRule>
    <cfRule type="cellIs" dxfId="840" priority="65" stopIfTrue="1" operator="lessThanOrEqual">
      <formula>0</formula>
    </cfRule>
    <cfRule type="cellIs" dxfId="839" priority="64" stopIfTrue="1" operator="greaterThan">
      <formula>$F$26</formula>
    </cfRule>
    <cfRule type="cellIs" dxfId="838" priority="55" stopIfTrue="1" operator="lessThanOrEqual">
      <formula>0</formula>
    </cfRule>
    <cfRule type="cellIs" dxfId="837" priority="67" stopIfTrue="1" operator="lessThanOrEqual">
      <formula>0</formula>
    </cfRule>
  </conditionalFormatting>
  <conditionalFormatting sqref="H69:H76">
    <cfRule type="cellIs" dxfId="836" priority="150" stopIfTrue="1" operator="greaterThan">
      <formula>$J69</formula>
    </cfRule>
    <cfRule type="cellIs" dxfId="835" priority="151" stopIfTrue="1" operator="lessThanOrEqual">
      <formula>0</formula>
    </cfRule>
  </conditionalFormatting>
  <conditionalFormatting sqref="H77">
    <cfRule type="cellIs" dxfId="834" priority="152" operator="greaterThan">
      <formula>5.3</formula>
    </cfRule>
  </conditionalFormatting>
  <conditionalFormatting sqref="H80 H82:H88">
    <cfRule type="cellIs" dxfId="833" priority="182" stopIfTrue="1" operator="lessThanOrEqual">
      <formula>0</formula>
    </cfRule>
    <cfRule type="cellIs" dxfId="832" priority="181" stopIfTrue="1" operator="greaterThan">
      <formula>4.5</formula>
    </cfRule>
  </conditionalFormatting>
  <conditionalFormatting sqref="H58:I58">
    <cfRule type="cellIs" dxfId="831" priority="16" stopIfTrue="1" operator="greaterThan">
      <formula>$F$75</formula>
    </cfRule>
    <cfRule type="cellIs" dxfId="830" priority="19" stopIfTrue="1" operator="lessThanOrEqual">
      <formula>0</formula>
    </cfRule>
  </conditionalFormatting>
  <conditionalFormatting sqref="H59:I59">
    <cfRule type="cellIs" dxfId="829" priority="102" stopIfTrue="1" operator="greaterThan">
      <formula>$F$26</formula>
    </cfRule>
    <cfRule type="cellIs" dxfId="828" priority="105" stopIfTrue="1" operator="lessThanOrEqual">
      <formula>0</formula>
    </cfRule>
  </conditionalFormatting>
  <conditionalFormatting sqref="H60:I60">
    <cfRule type="cellIs" dxfId="827" priority="73" stopIfTrue="1" operator="lessThanOrEqual">
      <formula>0</formula>
    </cfRule>
    <cfRule type="cellIs" dxfId="826" priority="70" stopIfTrue="1" operator="greaterThan">
      <formula>$F$72</formula>
    </cfRule>
  </conditionalFormatting>
  <conditionalFormatting sqref="H61:I62">
    <cfRule type="cellIs" dxfId="825" priority="91" stopIfTrue="1" operator="lessThanOrEqual">
      <formula>0</formula>
    </cfRule>
    <cfRule type="cellIs" dxfId="824" priority="88" stopIfTrue="1" operator="greaterThan">
      <formula>#REF!</formula>
    </cfRule>
  </conditionalFormatting>
  <conditionalFormatting sqref="H63:I63">
    <cfRule type="cellIs" dxfId="823" priority="117" stopIfTrue="1" operator="greaterThan">
      <formula>$F$41</formula>
    </cfRule>
    <cfRule type="cellIs" dxfId="822" priority="120" stopIfTrue="1" operator="lessThanOrEqual">
      <formula>0</formula>
    </cfRule>
  </conditionalFormatting>
  <conditionalFormatting sqref="H64:I65">
    <cfRule type="cellIs" dxfId="821" priority="54" stopIfTrue="1" operator="greaterThan">
      <formula>#REF!</formula>
    </cfRule>
    <cfRule type="cellIs" dxfId="820" priority="57" stopIfTrue="1" operator="lessThanOrEqual">
      <formula>0</formula>
    </cfRule>
  </conditionalFormatting>
  <conditionalFormatting sqref="H78:I78">
    <cfRule type="cellIs" dxfId="819" priority="143" stopIfTrue="1" operator="lessThanOrEqual">
      <formula>0</formula>
    </cfRule>
    <cfRule type="cellIs" dxfId="818" priority="142" stopIfTrue="1" operator="greaterThan">
      <formula>$J78</formula>
    </cfRule>
  </conditionalFormatting>
  <conditionalFormatting sqref="I58">
    <cfRule type="cellIs" dxfId="817" priority="25" stopIfTrue="1" operator="lessThanOrEqual">
      <formula>0</formula>
    </cfRule>
    <cfRule type="cellIs" dxfId="816" priority="20" stopIfTrue="1" operator="greaterThan">
      <formula>$F$73</formula>
    </cfRule>
    <cfRule type="cellIs" dxfId="815" priority="21" stopIfTrue="1" operator="lessThanOrEqual">
      <formula>0</formula>
    </cfRule>
    <cfRule type="cellIs" dxfId="814" priority="22" stopIfTrue="1" operator="greaterThan">
      <formula>$F$75</formula>
    </cfRule>
    <cfRule type="cellIs" dxfId="813" priority="23" stopIfTrue="1" operator="lessThanOrEqual">
      <formula>0</formula>
    </cfRule>
    <cfRule type="cellIs" dxfId="812" priority="24" stopIfTrue="1" operator="greaterThan">
      <formula>$F$73</formula>
    </cfRule>
  </conditionalFormatting>
  <conditionalFormatting sqref="I59">
    <cfRule type="cellIs" dxfId="811" priority="106" stopIfTrue="1" operator="greaterThan">
      <formula>#REF!</formula>
    </cfRule>
    <cfRule type="cellIs" dxfId="810" priority="107" stopIfTrue="1" operator="lessThanOrEqual">
      <formula>0</formula>
    </cfRule>
    <cfRule type="cellIs" dxfId="809" priority="108" stopIfTrue="1" operator="greaterThan">
      <formula>$F$26</formula>
    </cfRule>
    <cfRule type="cellIs" dxfId="808" priority="109" stopIfTrue="1" operator="lessThanOrEqual">
      <formula>0</formula>
    </cfRule>
    <cfRule type="cellIs" dxfId="807" priority="110" stopIfTrue="1" operator="greaterThan">
      <formula>#REF!</formula>
    </cfRule>
    <cfRule type="cellIs" dxfId="806" priority="111" stopIfTrue="1" operator="lessThanOrEqual">
      <formula>0</formula>
    </cfRule>
  </conditionalFormatting>
  <conditionalFormatting sqref="I60">
    <cfRule type="cellIs" dxfId="805" priority="77" stopIfTrue="1" operator="lessThanOrEqual">
      <formula>0</formula>
    </cfRule>
    <cfRule type="cellIs" dxfId="804" priority="76" stopIfTrue="1" operator="greaterThan">
      <formula>$F$72</formula>
    </cfRule>
    <cfRule type="cellIs" dxfId="803" priority="74" stopIfTrue="1" operator="greaterThan">
      <formula>$F$70</formula>
    </cfRule>
    <cfRule type="cellIs" dxfId="802" priority="75" stopIfTrue="1" operator="lessThanOrEqual">
      <formula>0</formula>
    </cfRule>
    <cfRule type="cellIs" dxfId="801" priority="79" stopIfTrue="1" operator="lessThanOrEqual">
      <formula>0</formula>
    </cfRule>
    <cfRule type="cellIs" dxfId="800" priority="78" stopIfTrue="1" operator="greaterThan">
      <formula>$F$70</formula>
    </cfRule>
  </conditionalFormatting>
  <conditionalFormatting sqref="I61:I62">
    <cfRule type="cellIs" dxfId="799" priority="97" stopIfTrue="1" operator="lessThanOrEqual">
      <formula>0</formula>
    </cfRule>
    <cfRule type="cellIs" dxfId="798" priority="96" stopIfTrue="1" operator="greaterThan">
      <formula>#REF!</formula>
    </cfRule>
    <cfRule type="cellIs" dxfId="797" priority="92" stopIfTrue="1" operator="greaterThan">
      <formula>#REF!</formula>
    </cfRule>
    <cfRule type="cellIs" dxfId="796" priority="94" stopIfTrue="1" operator="greaterThan">
      <formula>#REF!</formula>
    </cfRule>
    <cfRule type="cellIs" dxfId="795" priority="93" stopIfTrue="1" operator="lessThanOrEqual">
      <formula>0</formula>
    </cfRule>
    <cfRule type="cellIs" dxfId="794" priority="95" stopIfTrue="1" operator="lessThanOrEqual">
      <formula>0</formula>
    </cfRule>
  </conditionalFormatting>
  <conditionalFormatting sqref="I63">
    <cfRule type="cellIs" dxfId="793" priority="121" stopIfTrue="1" operator="greaterThan">
      <formula>$F$39</formula>
    </cfRule>
    <cfRule type="cellIs" dxfId="792" priority="126" stopIfTrue="1" operator="lessThanOrEqual">
      <formula>0</formula>
    </cfRule>
    <cfRule type="cellIs" dxfId="791" priority="125" stopIfTrue="1" operator="greaterThan">
      <formula>$F$39</formula>
    </cfRule>
    <cfRule type="cellIs" dxfId="790" priority="124" stopIfTrue="1" operator="lessThanOrEqual">
      <formula>0</formula>
    </cfRule>
    <cfRule type="cellIs" dxfId="789" priority="123" stopIfTrue="1" operator="greaterThan">
      <formula>$F$41</formula>
    </cfRule>
    <cfRule type="cellIs" dxfId="788" priority="122" stopIfTrue="1" operator="lessThanOrEqual">
      <formula>0</formula>
    </cfRule>
  </conditionalFormatting>
  <conditionalFormatting sqref="I64:I65">
    <cfRule type="cellIs" dxfId="787" priority="62" stopIfTrue="1" operator="greaterThan">
      <formula>#REF!</formula>
    </cfRule>
    <cfRule type="cellIs" dxfId="786" priority="63" stopIfTrue="1" operator="lessThanOrEqual">
      <formula>0</formula>
    </cfRule>
    <cfRule type="cellIs" dxfId="785" priority="61" stopIfTrue="1" operator="lessThanOrEqual">
      <formula>0</formula>
    </cfRule>
    <cfRule type="cellIs" dxfId="784" priority="60" stopIfTrue="1" operator="greaterThan">
      <formula>#REF!</formula>
    </cfRule>
    <cfRule type="cellIs" dxfId="783" priority="59" stopIfTrue="1" operator="lessThanOrEqual">
      <formula>0</formula>
    </cfRule>
    <cfRule type="cellIs" dxfId="782" priority="58" stopIfTrue="1" operator="greaterThan">
      <formula>#REF!</formula>
    </cfRule>
  </conditionalFormatting>
  <conditionalFormatting sqref="I69:I77">
    <cfRule type="cellIs" dxfId="781" priority="154" stopIfTrue="1" operator="lessThanOrEqual">
      <formula>0</formula>
    </cfRule>
    <cfRule type="cellIs" dxfId="780" priority="153" stopIfTrue="1" operator="greaterThan">
      <formula>$J69</formula>
    </cfRule>
  </conditionalFormatting>
  <conditionalFormatting sqref="I80:I88">
    <cfRule type="cellIs" dxfId="779" priority="177" stopIfTrue="1" operator="greaterThan">
      <formula>4.5</formula>
    </cfRule>
    <cfRule type="cellIs" dxfId="778" priority="178" stopIfTrue="1" operator="lessThanOrEqual">
      <formula>0</formula>
    </cfRule>
  </conditionalFormatting>
  <conditionalFormatting sqref="I10:J26">
    <cfRule type="cellIs" dxfId="777" priority="31" operator="lessThan">
      <formula>97.9</formula>
    </cfRule>
  </conditionalFormatting>
  <conditionalFormatting sqref="J30:J31">
    <cfRule type="cellIs" dxfId="776" priority="134" operator="lessThan">
      <formula>98</formula>
    </cfRule>
    <cfRule type="cellIs" dxfId="775" priority="133" stopIfTrue="1" operator="greaterThan">
      <formula>100</formula>
    </cfRule>
    <cfRule type="cellIs" dxfId="774" priority="132" stopIfTrue="1" operator="lessThan">
      <formula>96.8</formula>
    </cfRule>
  </conditionalFormatting>
  <conditionalFormatting sqref="J30:J33">
    <cfRule type="cellIs" dxfId="773" priority="131" operator="lessThan">
      <formula>97.4</formula>
    </cfRule>
  </conditionalFormatting>
  <conditionalFormatting sqref="J34:J35">
    <cfRule type="cellIs" dxfId="772" priority="135" operator="lessThan">
      <formula>98</formula>
    </cfRule>
  </conditionalFormatting>
  <conditionalFormatting sqref="J36:J37">
    <cfRule type="cellIs" dxfId="771" priority="136" stopIfTrue="1" operator="lessThan">
      <formula>96.8</formula>
    </cfRule>
    <cfRule type="cellIs" dxfId="770" priority="137" stopIfTrue="1" operator="greaterThan">
      <formula>100</formula>
    </cfRule>
  </conditionalFormatting>
  <conditionalFormatting sqref="J36:J38">
    <cfRule type="cellIs" dxfId="769" priority="138" operator="lessThan">
      <formula>98</formula>
    </cfRule>
  </conditionalFormatting>
  <conditionalFormatting sqref="J65">
    <cfRule type="cellIs" dxfId="768" priority="47" stopIfTrue="1" operator="lessThanOrEqual">
      <formula>0</formula>
    </cfRule>
    <cfRule type="cellIs" dxfId="767" priority="52" stopIfTrue="1" operator="greaterThan">
      <formula>#REF!</formula>
    </cfRule>
    <cfRule type="cellIs" dxfId="766" priority="46" stopIfTrue="1" operator="greaterThan">
      <formula>#REF!</formula>
    </cfRule>
    <cfRule type="cellIs" dxfId="765" priority="53" stopIfTrue="1" operator="lessThanOrEqual">
      <formula>0</formula>
    </cfRule>
    <cfRule type="cellIs" dxfId="764" priority="50" stopIfTrue="1" operator="greaterThan">
      <formula>#REF!</formula>
    </cfRule>
    <cfRule type="cellIs" dxfId="763" priority="49" stopIfTrue="1" operator="lessThanOrEqual">
      <formula>0</formula>
    </cfRule>
    <cfRule type="cellIs" dxfId="762" priority="48" stopIfTrue="1" operator="greaterThan">
      <formula>#REF!</formula>
    </cfRule>
    <cfRule type="cellIs" dxfId="761" priority="51" stopIfTrue="1" operator="lessThanOrEqual">
      <formula>0</formula>
    </cfRule>
  </conditionalFormatting>
  <conditionalFormatting sqref="J78">
    <cfRule type="cellIs" dxfId="760" priority="140" stopIfTrue="1" operator="lessThanOrEqual">
      <formula>0</formula>
    </cfRule>
    <cfRule type="cellIs" dxfId="759" priority="139" stopIfTrue="1" operator="greaterThan">
      <formula>$F78</formula>
    </cfRule>
  </conditionalFormatting>
  <conditionalFormatting sqref="K10:K26">
    <cfRule type="cellIs" dxfId="758" priority="34" operator="greaterThan">
      <formula>6.4</formula>
    </cfRule>
    <cfRule type="cellIs" dxfId="757" priority="33" operator="lessThan">
      <formula>4</formula>
    </cfRule>
    <cfRule type="cellIs" dxfId="756" priority="32" operator="greaterThan">
      <formula>6</formula>
    </cfRule>
  </conditionalFormatting>
  <conditionalFormatting sqref="K58:K65 K69:N75 K76 M76:N76 K77:N77">
    <cfRule type="cellIs" dxfId="755" priority="116" stopIfTrue="1" operator="lessThan">
      <formula>100%</formula>
    </cfRule>
  </conditionalFormatting>
  <conditionalFormatting sqref="K80:K85">
    <cfRule type="cellIs" dxfId="754" priority="183" stopIfTrue="1" operator="lessThan">
      <formula>100%</formula>
    </cfRule>
  </conditionalFormatting>
  <conditionalFormatting sqref="K87:K88">
    <cfRule type="cellIs" dxfId="753" priority="190" stopIfTrue="1" operator="lessThan">
      <formula>100%</formula>
    </cfRule>
  </conditionalFormatting>
  <conditionalFormatting sqref="L16:L23 L26">
    <cfRule type="cellIs" dxfId="752" priority="68" operator="between">
      <formula>61</formula>
      <formula>65</formula>
    </cfRule>
    <cfRule type="cellIs" dxfId="751" priority="69" operator="greaterThan">
      <formula>65</formula>
    </cfRule>
  </conditionalFormatting>
  <conditionalFormatting sqref="L10:M15">
    <cfRule type="cellIs" dxfId="750" priority="13" operator="between">
      <formula>61</formula>
      <formula>65</formula>
    </cfRule>
    <cfRule type="cellIs" dxfId="749" priority="12" operator="greaterThan">
      <formula>65</formula>
    </cfRule>
  </conditionalFormatting>
  <conditionalFormatting sqref="L24:M25">
    <cfRule type="cellIs" dxfId="748" priority="38" operator="greaterThan">
      <formula>65</formula>
    </cfRule>
    <cfRule type="cellIs" dxfId="747" priority="37" operator="between">
      <formula>61</formula>
      <formula>65</formula>
    </cfRule>
  </conditionalFormatting>
  <conditionalFormatting sqref="L29:M40">
    <cfRule type="cellIs" dxfId="746" priority="84" operator="lessThan">
      <formula>97.95</formula>
    </cfRule>
  </conditionalFormatting>
  <conditionalFormatting sqref="L44:N44">
    <cfRule type="cellIs" dxfId="745" priority="85" operator="notEqual">
      <formula>#REF!</formula>
    </cfRule>
  </conditionalFormatting>
  <conditionalFormatting sqref="L78:N78">
    <cfRule type="cellIs" dxfId="744" priority="141" stopIfTrue="1" operator="lessThan">
      <formula>100%</formula>
    </cfRule>
  </conditionalFormatting>
  <conditionalFormatting sqref="L80:N88">
    <cfRule type="cellIs" dxfId="743" priority="168" stopIfTrue="1" operator="lessThan">
      <formula>100%</formula>
    </cfRule>
  </conditionalFormatting>
  <conditionalFormatting sqref="M16:M23">
    <cfRule type="expression" dxfId="742" priority="1">
      <formula>IF(+(IF(M16&lt;U16,0,IF(M16&gt;V16,0,1)))=0,1)</formula>
    </cfRule>
  </conditionalFormatting>
  <conditionalFormatting sqref="M24:M25 M10:M15 G10:H10 G11:G15 G24:H26">
    <cfRule type="expression" dxfId="741" priority="39">
      <formula>IF(+(IF(G10&lt;#REF!,0,IF(G10&gt;#REF!,0,1)))=0,1)</formula>
    </cfRule>
  </conditionalFormatting>
  <conditionalFormatting sqref="M26:N26">
    <cfRule type="expression" dxfId="740" priority="198">
      <formula>IF(+(IF(M26&lt;#REF!,0,IF(M26&gt;#REF!,0,1)))=0,1)</formula>
    </cfRule>
  </conditionalFormatting>
  <conditionalFormatting sqref="N10:N25">
    <cfRule type="expression" dxfId="739" priority="30">
      <formula>IF(+(IF(N10&lt;W10,0,IF(N10&gt;X10,0,1)))=0,1)</formula>
    </cfRule>
  </conditionalFormatting>
  <conditionalFormatting sqref="P6">
    <cfRule type="cellIs" dxfId="738" priority="164" operator="greaterThanOrEqual">
      <formula>19</formula>
    </cfRule>
  </conditionalFormatting>
  <dataValidations count="1">
    <dataValidation type="list" allowBlank="1" showInputMessage="1" showErrorMessage="1" sqref="R8" xr:uid="{C766FC00-6BEE-4DC1-8362-48DB6F68225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50B2-D364-4D52-9380-2B8CEF128214}">
  <sheetPr>
    <pageSetUpPr fitToPage="1"/>
  </sheetPr>
  <dimension ref="A1:BE78"/>
  <sheetViews>
    <sheetView topLeftCell="B20" zoomScale="80" zoomScaleNormal="80" workbookViewId="0">
      <selection activeCell="B13" sqref="B13:O1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45987</v>
      </c>
      <c r="J4" s="398" t="s">
        <v>194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193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[24]Brewhouse!$A986</f>
        <v>CA871</v>
      </c>
      <c r="D10" s="279">
        <f>[24]Brewhouse!$AF986</f>
        <v>52.6</v>
      </c>
      <c r="E10" s="279">
        <f>[24]Brewhouse!$AI986</f>
        <v>52.2</v>
      </c>
      <c r="F10" s="278">
        <f>[24]Brewhouse!$V986</f>
        <v>57</v>
      </c>
      <c r="G10" s="279">
        <f>[24]Brewhouse!AG986</f>
        <v>11.8</v>
      </c>
      <c r="H10" s="396">
        <v>11.9</v>
      </c>
      <c r="I10" s="368">
        <f>[24]Brewhouse!$AU986</f>
        <v>102.27480968331855</v>
      </c>
      <c r="J10" s="368">
        <f>[24]Brewhouse!$AV986</f>
        <v>102.40068325369047</v>
      </c>
      <c r="K10" s="281">
        <f>[24]Brewhouse!$Q986</f>
        <v>2.1132075471698064</v>
      </c>
      <c r="L10" s="276">
        <f>[24]Brewhouse!$P986</f>
        <v>60</v>
      </c>
      <c r="M10" s="397">
        <f>[24]Brewhouse!$U986-[24]Brewhouse!$T986</f>
        <v>0.12361111111111112</v>
      </c>
      <c r="N10" s="370">
        <f>[24]Brewhouse!$Z986</f>
        <v>0.25208333333333333</v>
      </c>
      <c r="O10" s="421" t="str">
        <f>[24]Brewhouse!$AX986</f>
        <v>K. Benjamin</v>
      </c>
      <c r="P10" s="418"/>
      <c r="R10" s="277" t="str">
        <f t="shared" ref="R10:R13" si="0">B10</f>
        <v>CARIB</v>
      </c>
      <c r="S10" s="296">
        <f t="shared" ref="S10:S40" si="1">VLOOKUP($B10,$R$3:$X$9,2,FALSE)</f>
        <v>11.6</v>
      </c>
      <c r="T10" s="296">
        <f t="shared" ref="T10:T40" si="2">VLOOKUP($B10,$R$3:$X$9,3,FALSE)</f>
        <v>12</v>
      </c>
      <c r="U10" s="297">
        <f t="shared" ref="U10:U40" si="3">VLOOKUP($B10,$R$3:$X$9,4,FALSE)</f>
        <v>0</v>
      </c>
      <c r="V10" s="297">
        <f t="shared" ref="V10:V40" si="4">VLOOKUP($B10,$R$3:$X$9,5,FALSE)</f>
        <v>0.118055555555556</v>
      </c>
      <c r="W10" s="297">
        <f t="shared" ref="W10:W40" si="5">VLOOKUP($B10,$R$3:$X$9,6,FALSE)</f>
        <v>0.22569444444444445</v>
      </c>
      <c r="X10" s="297">
        <f t="shared" ref="X10:X40" si="6">VLOOKUP($B10,$R$3:$X$9,7,FALSE)</f>
        <v>0.2638888888888889</v>
      </c>
      <c r="Y10" s="297">
        <f t="shared" ref="Y10:Y40" si="7">VLOOKUP($B10,$R$3:$Z$9,8,FALSE)</f>
        <v>0</v>
      </c>
      <c r="Z10" s="296">
        <f t="shared" ref="Z10:Z40" si="8">VLOOKUP($B10,$R$3:$Z$9,9,FALSE)</f>
        <v>60</v>
      </c>
    </row>
    <row r="11" spans="2:29" ht="15.75" customHeight="1">
      <c r="B11" s="29" t="s">
        <v>6</v>
      </c>
      <c r="C11" s="366" t="str">
        <f>[24]Brewhouse!$A987</f>
        <v>CA872</v>
      </c>
      <c r="D11" s="279">
        <f>[24]Brewhouse!$AF987</f>
        <v>52.8</v>
      </c>
      <c r="E11" s="279">
        <f>[24]Brewhouse!$AI987</f>
        <v>50.5</v>
      </c>
      <c r="F11" s="278">
        <f>[24]Brewhouse!$V987</f>
        <v>66</v>
      </c>
      <c r="G11" s="279">
        <f>[24]Brewhouse!AG987</f>
        <v>11.7</v>
      </c>
      <c r="H11" s="476">
        <v>11.4</v>
      </c>
      <c r="I11" s="368">
        <f>[24]Brewhouse!$AU987</f>
        <v>97.941348233182893</v>
      </c>
      <c r="J11" s="368">
        <f>[24]Brewhouse!$AV987</f>
        <v>98.061898113672768</v>
      </c>
      <c r="K11" s="281">
        <f>[24]Brewhouse!$Q987</f>
        <v>1.9209039548022655</v>
      </c>
      <c r="L11" s="480"/>
      <c r="M11" s="397">
        <f>[24]Brewhouse!$U987-[24]Brewhouse!$T987</f>
        <v>0.48819444444444443</v>
      </c>
      <c r="N11" s="370">
        <f>[24]Brewhouse!$Z987</f>
        <v>0.26944444444444443</v>
      </c>
      <c r="O11" s="421" t="str">
        <f>[24]Brewhouse!$AX987</f>
        <v>R. Regis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[24]Brewhouse!$A988</f>
        <v>CA873</v>
      </c>
      <c r="D12" s="279">
        <f>[24]Brewhouse!$AF988</f>
        <v>53.3</v>
      </c>
      <c r="E12" s="279">
        <f>[24]Brewhouse!$AI988</f>
        <v>51.4</v>
      </c>
      <c r="F12" s="278">
        <f>[24]Brewhouse!$V988</f>
        <v>68</v>
      </c>
      <c r="G12" s="279">
        <f>[24]Brewhouse!AG988</f>
        <v>11.4</v>
      </c>
      <c r="H12" s="396">
        <v>11.6</v>
      </c>
      <c r="I12" s="368">
        <f>[24]Brewhouse!$AU988</f>
        <v>97.116516842245275</v>
      </c>
      <c r="J12" s="368">
        <f>[24]Brewhouse!$AV988</f>
        <v>97.236041901787033</v>
      </c>
      <c r="K12" s="281">
        <f>[24]Brewhouse!$Q988</f>
        <v>0.97928436911488348</v>
      </c>
      <c r="L12" s="276">
        <f>[24]Brewhouse!$P988</f>
        <v>61</v>
      </c>
      <c r="M12" s="397">
        <f>[24]Brewhouse!$U988-[24]Brewhouse!$T988</f>
        <v>0.11874999999999997</v>
      </c>
      <c r="N12" s="370">
        <f>[24]Brewhouse!$Z988</f>
        <v>0.29652777777777772</v>
      </c>
      <c r="O12" s="421" t="str">
        <f>[24]Brewhouse!$AX988</f>
        <v>R. Regis</v>
      </c>
      <c r="P12" s="418" t="s">
        <v>200</v>
      </c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[24]Brewhouse!$A989</f>
        <v>CA874</v>
      </c>
      <c r="D13" s="279">
        <f>[24]Brewhouse!$AF989</f>
        <v>53.1</v>
      </c>
      <c r="E13" s="279">
        <f>[24]Brewhouse!$AI989</f>
        <v>51.5</v>
      </c>
      <c r="F13" s="278">
        <f>[24]Brewhouse!$V989</f>
        <v>63</v>
      </c>
      <c r="G13" s="279">
        <f>[24]Brewhouse!AG989</f>
        <v>11.6</v>
      </c>
      <c r="H13" s="476">
        <v>11</v>
      </c>
      <c r="I13" s="368">
        <f>[24]Brewhouse!$AU989</f>
        <v>98.860766902080456</v>
      </c>
      <c r="J13" s="368">
        <f>[24]Brewhouse!$AV989</f>
        <v>98.982458173290695</v>
      </c>
      <c r="K13" s="281">
        <f>[24]Brewhouse!$Q989</f>
        <v>1.3559322033898284</v>
      </c>
      <c r="L13" s="276">
        <f>[24]Brewhouse!$P989</f>
        <v>60</v>
      </c>
      <c r="M13" s="397">
        <f>[24]Brewhouse!$U989-[24]Brewhouse!$T989</f>
        <v>0.11319444444444449</v>
      </c>
      <c r="N13" s="370">
        <f>[24]Brewhouse!$Z989</f>
        <v>0.2680555555555556</v>
      </c>
      <c r="O13" s="421" t="str">
        <f>[24]Brewhouse!$AX989</f>
        <v>R. Regis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1"/>
      <c r="P14" s="418"/>
      <c r="R14" s="277">
        <f t="shared" ref="R14:R27" si="9">B14</f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6.5" customHeight="1">
      <c r="B15" s="34" t="s">
        <v>12</v>
      </c>
      <c r="C15" s="366" t="str">
        <f>[26]Brewhouse!$A116</f>
        <v>GU104</v>
      </c>
      <c r="D15" s="279">
        <f>[26]Brewhouse!$AF116</f>
        <v>53.3</v>
      </c>
      <c r="E15" s="279">
        <f>[26]Brewhouse!$AI116</f>
        <v>50.1</v>
      </c>
      <c r="F15" s="278">
        <f>[26]Brewhouse!$V116</f>
        <v>60</v>
      </c>
      <c r="G15" s="279">
        <f>[26]Brewhouse!$AG116</f>
        <v>17.100000000000001</v>
      </c>
      <c r="H15" s="396">
        <v>17.100000000000001</v>
      </c>
      <c r="I15" s="420">
        <f>[26]Brewhouse!$AU116</f>
        <v>93.22172476918908</v>
      </c>
      <c r="J15" s="420">
        <f>[26]Brewhouse!$AV116</f>
        <v>93.3221522697729</v>
      </c>
      <c r="K15" s="463">
        <f>[26]Brewhouse!$R116</f>
        <v>6.9162210338680978</v>
      </c>
      <c r="L15" s="276">
        <f>[26]Brewhouse!$O116</f>
        <v>56</v>
      </c>
      <c r="M15" s="374">
        <f>[26]Brewhouse!$U116-[26]Brewhouse!$T116</f>
        <v>0.11527777777777781</v>
      </c>
      <c r="N15" s="370">
        <f>[26]Brewhouse!$Z116</f>
        <v>0.26111111111111107</v>
      </c>
      <c r="O15" s="421" t="str">
        <f>[26]Brewhouse!$AW116</f>
        <v>R. Sookram</v>
      </c>
      <c r="P15" s="418"/>
      <c r="R15" s="277" t="str">
        <f t="shared" si="9"/>
        <v>GUINNESS</v>
      </c>
      <c r="S15" s="296">
        <f t="shared" si="1"/>
        <v>17</v>
      </c>
      <c r="T15" s="296">
        <f t="shared" si="2"/>
        <v>17.5</v>
      </c>
      <c r="U15" s="297">
        <f t="shared" si="3"/>
        <v>0</v>
      </c>
      <c r="V15" s="297">
        <f t="shared" si="4"/>
        <v>0.1076388888888889</v>
      </c>
      <c r="W15" s="297">
        <f t="shared" si="5"/>
        <v>0.24652777777777779</v>
      </c>
      <c r="X15" s="297">
        <f t="shared" si="6"/>
        <v>0.28472222222222221</v>
      </c>
      <c r="Y15" s="297">
        <f t="shared" si="7"/>
        <v>0</v>
      </c>
      <c r="Z15" s="296">
        <f t="shared" si="8"/>
        <v>60</v>
      </c>
    </row>
    <row r="16" spans="2:29" ht="16.5" customHeight="1">
      <c r="B16" s="34" t="s">
        <v>12</v>
      </c>
      <c r="C16" s="366" t="str">
        <f>[26]Brewhouse!$A117</f>
        <v>GU105</v>
      </c>
      <c r="D16" s="279">
        <f>[26]Brewhouse!$AF117</f>
        <v>53.8</v>
      </c>
      <c r="E16" s="279">
        <f>[26]Brewhouse!$AI117</f>
        <v>50.6</v>
      </c>
      <c r="F16" s="278">
        <f>[26]Brewhouse!$V117</f>
        <v>60</v>
      </c>
      <c r="G16" s="279">
        <f>[26]Brewhouse!$AG117</f>
        <v>17.2</v>
      </c>
      <c r="H16" s="396">
        <v>17.2</v>
      </c>
      <c r="I16" s="420">
        <f>[26]Brewhouse!$AU117</f>
        <v>95.321640749841322</v>
      </c>
      <c r="J16" s="420">
        <f>[26]Brewhouse!$AV117</f>
        <v>95.424188790560464</v>
      </c>
      <c r="K16" s="463">
        <f>[26]Brewhouse!$R117</f>
        <v>6.0249554367201466</v>
      </c>
      <c r="L16" s="276">
        <f>[26]Brewhouse!$O117</f>
        <v>56</v>
      </c>
      <c r="M16" s="374">
        <f>[26]Brewhouse!$U117-[26]Brewhouse!$T117</f>
        <v>0.11527777777777781</v>
      </c>
      <c r="N16" s="370">
        <f>[26]Brewhouse!$Z117</f>
        <v>0.27083333333333337</v>
      </c>
      <c r="O16" s="421" t="str">
        <f>[26]Brewhouse!$AW117</f>
        <v>R. Sookram</v>
      </c>
      <c r="P16" s="418"/>
      <c r="R16" s="277" t="str">
        <f t="shared" si="9"/>
        <v>GUINNESS</v>
      </c>
      <c r="S16" s="296">
        <f t="shared" si="1"/>
        <v>17</v>
      </c>
      <c r="T16" s="296">
        <f t="shared" si="2"/>
        <v>17.5</v>
      </c>
      <c r="U16" s="297">
        <f t="shared" si="3"/>
        <v>0</v>
      </c>
      <c r="V16" s="297">
        <f t="shared" si="4"/>
        <v>0.1076388888888889</v>
      </c>
      <c r="W16" s="297">
        <f t="shared" si="5"/>
        <v>0.24652777777777779</v>
      </c>
      <c r="X16" s="297">
        <f t="shared" si="6"/>
        <v>0.28472222222222221</v>
      </c>
      <c r="Y16" s="297">
        <f t="shared" si="7"/>
        <v>0</v>
      </c>
      <c r="Z16" s="296">
        <f t="shared" si="8"/>
        <v>60</v>
      </c>
    </row>
    <row r="17" spans="1:26" ht="16.5" customHeight="1">
      <c r="B17" s="34" t="s">
        <v>12</v>
      </c>
      <c r="C17" s="366" t="str">
        <f>[26]Brewhouse!$A118</f>
        <v>GU106</v>
      </c>
      <c r="D17" s="279">
        <f>[26]Brewhouse!$AF118</f>
        <v>55.1</v>
      </c>
      <c r="E17" s="279">
        <f>[26]Brewhouse!$AI118</f>
        <v>51.9</v>
      </c>
      <c r="F17" s="278">
        <f>[26]Brewhouse!$V118</f>
        <v>62</v>
      </c>
      <c r="G17" s="279">
        <f>[26]Brewhouse!$AG118</f>
        <v>17.2</v>
      </c>
      <c r="H17" s="396">
        <v>17.2</v>
      </c>
      <c r="I17" s="420">
        <f>[26]Brewhouse!$AU118</f>
        <v>97.926390043262359</v>
      </c>
      <c r="J17" s="420">
        <f>[26]Brewhouse!$AV118</f>
        <v>98.031703619967615</v>
      </c>
      <c r="K17" s="463">
        <f>[26]Brewhouse!$R118</f>
        <v>3.5357142857142803</v>
      </c>
      <c r="L17" s="276">
        <f>[26]Brewhouse!$O118</f>
        <v>60</v>
      </c>
      <c r="M17" s="374">
        <f>[26]Brewhouse!$U118-[26]Brewhouse!$T118</f>
        <v>0.11736111111111125</v>
      </c>
      <c r="N17" s="370">
        <f>[26]Brewhouse!$Z118</f>
        <v>0.27986111111111123</v>
      </c>
      <c r="O17" s="421" t="str">
        <f>[26]Brewhouse!$AW118</f>
        <v>K. Benjamin</v>
      </c>
      <c r="P17" s="418"/>
      <c r="R17" s="277" t="str">
        <f t="shared" si="9"/>
        <v>GUINNESS</v>
      </c>
      <c r="S17" s="296">
        <f t="shared" si="1"/>
        <v>17</v>
      </c>
      <c r="T17" s="296">
        <f t="shared" si="2"/>
        <v>17.5</v>
      </c>
      <c r="U17" s="297">
        <f t="shared" si="3"/>
        <v>0</v>
      </c>
      <c r="V17" s="297">
        <f t="shared" si="4"/>
        <v>0.1076388888888889</v>
      </c>
      <c r="W17" s="297">
        <f t="shared" si="5"/>
        <v>0.24652777777777779</v>
      </c>
      <c r="X17" s="297">
        <f t="shared" si="6"/>
        <v>0.28472222222222221</v>
      </c>
      <c r="Y17" s="297">
        <f t="shared" si="7"/>
        <v>0</v>
      </c>
      <c r="Z17" s="296">
        <f t="shared" si="8"/>
        <v>60</v>
      </c>
    </row>
    <row r="18" spans="1:26" ht="16.5" customHeight="1">
      <c r="B18" s="34" t="s">
        <v>12</v>
      </c>
      <c r="C18" s="366" t="str">
        <f>[26]Brewhouse!$A119</f>
        <v>GU107</v>
      </c>
      <c r="D18" s="279">
        <f>[26]Brewhouse!$AF119</f>
        <v>52</v>
      </c>
      <c r="E18" s="279">
        <f>[26]Brewhouse!$AI119</f>
        <v>48.8</v>
      </c>
      <c r="F18" s="278">
        <f>[26]Brewhouse!$V119</f>
        <v>53</v>
      </c>
      <c r="G18" s="279">
        <f>[26]Brewhouse!$AG119</f>
        <v>17.399999999999999</v>
      </c>
      <c r="H18" s="396">
        <v>17.399999999999999</v>
      </c>
      <c r="I18" s="420">
        <f>[26]Brewhouse!$AU119</f>
        <v>93.229439925706174</v>
      </c>
      <c r="J18" s="420">
        <f>[26]Brewhouse!$AV119</f>
        <v>93.329702232613087</v>
      </c>
      <c r="K18" s="463">
        <f>[26]Brewhouse!$R119</f>
        <v>5.7037037037037006</v>
      </c>
      <c r="L18" s="276">
        <f>[26]Brewhouse!$O119</f>
        <v>58</v>
      </c>
      <c r="M18" s="374">
        <f>[26]Brewhouse!$U119-[26]Brewhouse!$T119</f>
        <v>0.12291666666666679</v>
      </c>
      <c r="N18" s="370">
        <f>[26]Brewhouse!$Z119</f>
        <v>0.2729166666666667</v>
      </c>
      <c r="O18" s="421" t="str">
        <f>[26]Brewhouse!$AW119</f>
        <v>K. Benjamin</v>
      </c>
      <c r="P18" s="418"/>
      <c r="R18" s="277" t="str">
        <f t="shared" si="9"/>
        <v>GUINNESS</v>
      </c>
      <c r="S18" s="296">
        <f t="shared" si="1"/>
        <v>17</v>
      </c>
      <c r="T18" s="296">
        <f t="shared" si="2"/>
        <v>17.5</v>
      </c>
      <c r="U18" s="297">
        <f t="shared" si="3"/>
        <v>0</v>
      </c>
      <c r="V18" s="297">
        <f t="shared" si="4"/>
        <v>0.1076388888888889</v>
      </c>
      <c r="W18" s="297">
        <f t="shared" si="5"/>
        <v>0.24652777777777779</v>
      </c>
      <c r="X18" s="297">
        <f t="shared" si="6"/>
        <v>0.28472222222222221</v>
      </c>
      <c r="Y18" s="297">
        <f t="shared" si="7"/>
        <v>0</v>
      </c>
      <c r="Z18" s="296">
        <f t="shared" si="8"/>
        <v>60</v>
      </c>
    </row>
    <row r="19" spans="1:26" ht="16.5" customHeight="1">
      <c r="B19" s="34"/>
      <c r="C19" s="366"/>
      <c r="D19" s="279"/>
      <c r="E19" s="279"/>
      <c r="F19" s="278"/>
      <c r="G19" s="279"/>
      <c r="H19" s="396"/>
      <c r="I19" s="420"/>
      <c r="J19" s="420"/>
      <c r="K19" s="463"/>
      <c r="L19" s="276"/>
      <c r="M19" s="374"/>
      <c r="N19" s="370"/>
      <c r="O19" s="421"/>
      <c r="P19" s="418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6.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1"/>
      <c r="P20" s="418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6.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6.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1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6.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1"/>
      <c r="P23" s="418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6.5" hidden="1" customHeight="1">
      <c r="B24" s="33"/>
      <c r="C24" s="366"/>
      <c r="D24" s="279"/>
      <c r="E24" s="279"/>
      <c r="F24" s="278"/>
      <c r="G24" s="279"/>
      <c r="H24" s="396"/>
      <c r="I24" s="420"/>
      <c r="J24" s="420"/>
      <c r="K24" s="281"/>
      <c r="L24" s="276"/>
      <c r="M24" s="374"/>
      <c r="N24" s="370"/>
      <c r="O24" s="421"/>
      <c r="P24" s="418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6.5" hidden="1" customHeight="1">
      <c r="B25" s="33"/>
      <c r="C25" s="366"/>
      <c r="D25" s="279"/>
      <c r="E25" s="279"/>
      <c r="F25" s="278"/>
      <c r="G25" s="279"/>
      <c r="H25" s="396"/>
      <c r="I25" s="420"/>
      <c r="J25" s="420"/>
      <c r="K25" s="281"/>
      <c r="L25" s="276"/>
      <c r="M25" s="374"/>
      <c r="N25" s="370"/>
      <c r="O25" s="421"/>
      <c r="P25" s="418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6.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12"/>
      <c r="J27" s="512"/>
      <c r="K27" s="512"/>
      <c r="L27" s="512"/>
      <c r="M27" s="512"/>
      <c r="N27" s="512"/>
      <c r="O27" s="1"/>
      <c r="P27" s="12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.75" customHeight="1" thickBot="1">
      <c r="B28" s="388" t="s">
        <v>162</v>
      </c>
      <c r="C28" s="388"/>
      <c r="D28" s="490" t="s">
        <v>35</v>
      </c>
      <c r="E28" s="491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ref="R28:R40" si="10">B28</f>
        <v xml:space="preserve">BRAND 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customHeight="1">
      <c r="A29" s="28"/>
      <c r="B29" s="589" t="str">
        <f>J52</f>
        <v>CARIBE</v>
      </c>
      <c r="C29" s="362"/>
      <c r="D29" s="516"/>
      <c r="E29" s="517"/>
      <c r="F29" s="294"/>
      <c r="G29" s="294"/>
      <c r="H29" s="348"/>
      <c r="I29" s="29" t="s">
        <v>6</v>
      </c>
      <c r="J29" s="280">
        <f>AVERAGE(I10:I13)</f>
        <v>99.048360415206801</v>
      </c>
      <c r="K29" s="284">
        <f>COUNTA([24]Brewhouse!$A$914:$A$989)</f>
        <v>76</v>
      </c>
      <c r="L29" s="305">
        <f>AVERAGE([24]Brewhouse!$AU$914:$AU$989)</f>
        <v>98.112893060604236</v>
      </c>
      <c r="M29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$989)</f>
        <v>97.752489444045736</v>
      </c>
      <c r="N29" s="30">
        <v>98</v>
      </c>
      <c r="O29" s="11"/>
      <c r="P29" s="31"/>
      <c r="R29" s="277" t="str">
        <f t="shared" si="10"/>
        <v>CARIBE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5" customHeight="1">
      <c r="A30" s="28"/>
      <c r="B30" s="591"/>
      <c r="C30" s="362"/>
      <c r="D30" s="518"/>
      <c r="E30" s="519"/>
      <c r="F30" s="294"/>
      <c r="G30" s="294"/>
      <c r="H30" s="348"/>
      <c r="I30" s="33" t="s">
        <v>9</v>
      </c>
      <c r="J30" s="280"/>
      <c r="K30" s="284">
        <f>COUNTA([25]Brewhouse!$A$449:$A$484)</f>
        <v>36</v>
      </c>
      <c r="L30" s="302">
        <f>AVERAGE([25]Brewhouse!$AS$449:$AS$484)</f>
        <v>96.933734298290275</v>
      </c>
      <c r="M30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$484)</f>
        <v>97.847961594552643</v>
      </c>
      <c r="N30" s="30">
        <v>98</v>
      </c>
      <c r="O30" s="11"/>
      <c r="P30" s="31"/>
      <c r="R30" s="277">
        <f t="shared" si="1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91"/>
      <c r="C31" s="362"/>
      <c r="D31" s="566"/>
      <c r="E31" s="567"/>
      <c r="F31" s="294"/>
      <c r="G31" s="294"/>
      <c r="H31" s="348"/>
      <c r="I31" s="34" t="s">
        <v>12</v>
      </c>
      <c r="J31" s="280">
        <f>AVERAGE(I15:I18)</f>
        <v>94.924798871999741</v>
      </c>
      <c r="K31" s="284">
        <f>COUNTA([26]Brewhouse!$A$116:$A$119)</f>
        <v>4</v>
      </c>
      <c r="L31" s="302">
        <f>AVERAGE([26]Brewhouse!$AU$116:$AU$119)</f>
        <v>94.924798871999741</v>
      </c>
      <c r="M31" s="302">
        <f>AVERAGE([26]Brewhouse!$AU$4:$AU$7,[26]Brewhouse!$AU$9:$AU$22,[26]Brewhouse!$AU$24:$AU$35,[26]Brewhouse!$AU$37:$AU$45,[26]Brewhouse!$AU$47:$AU$62,[26]Brewhouse!$AU$64:$AU$79,[26]Brewhouse!$AU$81:$AU$92,[26]Brewhouse!$AU$94:$AU$97,[26]Brewhouse!$AU$99:$AU$106,[26]Brewhouse!$AU$116:$AU$119)</f>
        <v>96.579125513808336</v>
      </c>
      <c r="N31" s="30">
        <v>98</v>
      </c>
      <c r="O31" s="11"/>
      <c r="P31" s="31"/>
      <c r="R31" s="277">
        <f t="shared" si="1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4.65" customHeight="1">
      <c r="A32" s="28"/>
      <c r="B32" s="591"/>
      <c r="C32" s="362"/>
      <c r="D32" s="531"/>
      <c r="E32" s="519"/>
      <c r="F32" s="294"/>
      <c r="G32" s="294"/>
      <c r="H32" s="348"/>
      <c r="I32" s="22" t="s">
        <v>33</v>
      </c>
      <c r="J32" s="280"/>
      <c r="K32" s="284">
        <f>COUNTA([23]Brewhouse!$A$97:$A$104)</f>
        <v>8</v>
      </c>
      <c r="L32" s="302">
        <f>AVERAGE([23]Brewhouse!$AV$97:$AV$104)</f>
        <v>98.419138016287462</v>
      </c>
      <c r="M32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32" s="30">
        <v>98</v>
      </c>
      <c r="O32" s="11"/>
      <c r="P32" s="31"/>
      <c r="R32" s="277">
        <f t="shared" si="1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56" ht="14.65" customHeight="1">
      <c r="A33" s="28"/>
      <c r="B33" s="591"/>
      <c r="C33" s="362"/>
      <c r="D33" s="566"/>
      <c r="E33" s="567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1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56" ht="14.65" customHeight="1">
      <c r="A34" s="28"/>
      <c r="B34" s="591"/>
      <c r="C34" s="362"/>
      <c r="D34" s="531"/>
      <c r="E34" s="519"/>
      <c r="F34" s="417"/>
      <c r="G34" s="294"/>
      <c r="H34" s="348"/>
      <c r="I34" s="36" t="s">
        <v>15</v>
      </c>
      <c r="J34" s="323"/>
      <c r="K34" s="284"/>
      <c r="L34" s="302"/>
      <c r="M34" s="302">
        <f>AVERAGE([27]Brewhouse!$AT$4:$AT$11,[27]Brewhouse!$AT$13:$AT$16,[27]Brewhouse!$AT$18:$AT$21,[27]Brewhouse!$AT$26,[27]Brewhouse!$AT$28:$AT$35)</f>
        <v>94.794664331624134</v>
      </c>
      <c r="N34" s="30">
        <v>98</v>
      </c>
      <c r="O34" s="11"/>
      <c r="P34" s="31"/>
      <c r="R34" s="277">
        <f t="shared" si="1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4.65" customHeight="1">
      <c r="A35" s="28"/>
      <c r="B35" s="591"/>
      <c r="C35" s="362"/>
      <c r="D35" s="566"/>
      <c r="E35" s="567"/>
      <c r="F35" s="417"/>
      <c r="G35" s="294"/>
      <c r="H35" s="348"/>
      <c r="I35" s="37" t="s">
        <v>16</v>
      </c>
      <c r="J35" s="323"/>
      <c r="K35" s="284">
        <f>COUNTA([22]Brewhouse!$A$94:$A$97)</f>
        <v>4</v>
      </c>
      <c r="L35" s="302">
        <f>AVERAGE([22]Brewhouse!$AY$94:$AY$97)</f>
        <v>95.326767995731288</v>
      </c>
      <c r="M35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5" s="30">
        <v>98</v>
      </c>
      <c r="O35" s="11"/>
      <c r="P35" s="31" t="s">
        <v>41</v>
      </c>
      <c r="R35" s="277">
        <f t="shared" si="1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4.65" customHeight="1">
      <c r="A36" s="28"/>
      <c r="B36" s="591"/>
      <c r="C36" s="362"/>
      <c r="D36" s="531"/>
      <c r="E36" s="519"/>
      <c r="F36" s="294"/>
      <c r="G36" s="294"/>
      <c r="H36" s="348"/>
      <c r="I36" s="411" t="s">
        <v>158</v>
      </c>
      <c r="J36" s="326"/>
      <c r="K36" s="284"/>
      <c r="L36" s="305"/>
      <c r="M36" s="305">
        <f>AVERAGE([28]Brewhouse!$AU$5:$AU$8,[28]Brewhouse!$AU$10:$AU$13,[22]Brewhouse!$AY$75:$AY$77)</f>
        <v>94.749192473706671</v>
      </c>
      <c r="N36" s="30">
        <v>98</v>
      </c>
      <c r="O36" s="11"/>
      <c r="P36" s="31"/>
      <c r="R36" s="277">
        <f t="shared" si="1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4.65" customHeight="1">
      <c r="A37" s="28"/>
      <c r="B37" s="591"/>
      <c r="C37" s="349"/>
      <c r="D37" s="566"/>
      <c r="E37" s="567"/>
      <c r="F37" s="294"/>
      <c r="G37" s="294"/>
      <c r="H37" s="348"/>
      <c r="I37" s="410" t="s">
        <v>157</v>
      </c>
      <c r="J37" s="326"/>
      <c r="K37" s="284"/>
      <c r="L37" s="305"/>
      <c r="M37" s="305">
        <f>AVERAGE([29]Brewhouse!$AW$26:$AW$27)</f>
        <v>95.310680905194914</v>
      </c>
      <c r="N37" s="30">
        <v>98</v>
      </c>
      <c r="O37" s="11"/>
      <c r="P37" s="31"/>
      <c r="R37" s="277">
        <f t="shared" si="1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AA37" s="296"/>
    </row>
    <row r="38" spans="1:56" ht="15" customHeight="1" thickBot="1">
      <c r="A38" s="28"/>
      <c r="B38" s="591"/>
      <c r="C38" s="349"/>
      <c r="D38" s="531"/>
      <c r="E38" s="519"/>
      <c r="F38" s="294"/>
      <c r="G38" s="294"/>
      <c r="H38" s="348"/>
      <c r="I38" s="406" t="s">
        <v>156</v>
      </c>
      <c r="J38" s="327"/>
      <c r="K38" s="407"/>
      <c r="L38" s="408"/>
      <c r="M38" s="408">
        <f>AVERAGE([30]Brewhouse!$AU$13:$AU$14)</f>
        <v>97.110575243268045</v>
      </c>
      <c r="N38" s="409">
        <v>98</v>
      </c>
      <c r="O38" s="11"/>
      <c r="P38" s="31"/>
      <c r="R38" s="277">
        <f t="shared" si="1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  <c r="AA38" s="296"/>
    </row>
    <row r="39" spans="1:56" ht="15" customHeight="1" thickBot="1">
      <c r="A39" s="28"/>
      <c r="B39" s="591"/>
      <c r="C39" s="349"/>
      <c r="D39" s="516"/>
      <c r="E39" s="517"/>
      <c r="F39" s="294"/>
      <c r="G39" s="294"/>
      <c r="H39" s="348"/>
      <c r="I39" s="1"/>
      <c r="J39" s="39"/>
      <c r="K39" s="404">
        <f>SUM(K29:K38)</f>
        <v>128</v>
      </c>
      <c r="L39" s="405">
        <f>((L29*K29)+(L30*K30)+(L31*K31)+(L32*K32)+(L33*K33)+(K36*L36)+(L34*K34)+(L35*K35)+(L38*K38))/(K39)</f>
        <v>97.613700616762472</v>
      </c>
      <c r="M39" s="405">
        <f>AVERAGE('[31]Jan 31st'!$L$65,'[32]Feb 28th'!$L$35,'[33]Mar. 31st'!$L$35,'[34]Apr. 30th'!$L$45,'[35]May 30th'!$L$37,'[36]June 30th'!$L$57,'[37]July 29th '!$L$44,'[38]Aug 29th'!$L$29,'[39]Sept 30th'!$L$35,L39)</f>
        <v>97.579320301358038</v>
      </c>
      <c r="N39" s="40">
        <v>98</v>
      </c>
      <c r="O39" s="11"/>
      <c r="P39" s="31"/>
      <c r="R39" s="277">
        <f t="shared" si="1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  <c r="AA39" s="296"/>
    </row>
    <row r="40" spans="1:56" ht="15.75" thickBot="1">
      <c r="B40" s="592"/>
      <c r="C40" s="350"/>
      <c r="D40" s="518"/>
      <c r="E40" s="519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1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  <c r="AA40" s="296"/>
    </row>
    <row r="41" spans="1:56" ht="15.75" thickBot="1">
      <c r="B41" s="585"/>
      <c r="C41" s="362"/>
      <c r="D41" s="529"/>
      <c r="E41" s="530"/>
      <c r="F41" s="294"/>
      <c r="G41" s="42"/>
      <c r="H41" s="41"/>
      <c r="I41" s="42"/>
      <c r="J41" s="565" t="s">
        <v>129</v>
      </c>
      <c r="K41" s="565"/>
      <c r="L41" s="294"/>
      <c r="M41" s="294"/>
      <c r="N41" s="294"/>
      <c r="O41" s="294"/>
      <c r="P41" s="12"/>
    </row>
    <row r="42" spans="1:56" ht="15.75" thickBot="1">
      <c r="B42" s="586"/>
      <c r="C42" s="362"/>
      <c r="D42" s="531"/>
      <c r="E42" s="519"/>
      <c r="F42" s="294"/>
      <c r="G42" s="42"/>
      <c r="H42" s="41"/>
      <c r="I42" s="42"/>
      <c r="J42" s="292" t="s">
        <v>17</v>
      </c>
      <c r="K42" s="293" t="s">
        <v>199</v>
      </c>
      <c r="L42" s="533" t="s">
        <v>136</v>
      </c>
      <c r="M42" s="533"/>
      <c r="N42" s="534"/>
      <c r="O42" s="294"/>
      <c r="P42" s="12"/>
    </row>
    <row r="43" spans="1:56" ht="15" customHeight="1" thickBot="1">
      <c r="B43" s="586"/>
      <c r="C43" s="349"/>
      <c r="D43" s="566"/>
      <c r="E43" s="567"/>
      <c r="F43" s="294"/>
      <c r="G43" s="42"/>
      <c r="H43" s="41"/>
      <c r="I43" s="42"/>
      <c r="J43" s="287" t="s">
        <v>6</v>
      </c>
      <c r="K43" s="324">
        <v>4</v>
      </c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86"/>
      <c r="C44" s="349"/>
      <c r="D44" s="531"/>
      <c r="E44" s="519"/>
      <c r="F44" s="294"/>
      <c r="G44" s="42"/>
      <c r="H44" s="41"/>
      <c r="I44" s="42"/>
      <c r="J44" s="345" t="s">
        <v>9</v>
      </c>
      <c r="K44" s="324"/>
      <c r="L44" s="344">
        <f>AVERAGE('Nov 24th'!K53,'Nov 21st'!K47,'Nov 22nd-23rd'!J61,'Nov 22nd-23rd'!K61,'Nov 25th'!K53,'Nov 19th '!K49,'Nov 18th'!K58,'Nov 15th'!K53,'Nov 13th&amp; 14th'!J53,'Nov 13th&amp; 14th'!K53,'Nov 12th'!K47,'Nov 11th'!K51,'Nov 10th'!K53,'Nov 6th '!K52,'Nov 7th-8th'!J55,'Nov 7th-8th'!K55,'Nov 4th'!K52,'Nov 5th'!K51,Nov.3rd!K52)</f>
        <v>6.6842105263157894</v>
      </c>
      <c r="M44" s="325">
        <f>AVERAGE('[31]Jan 29th '!$M$70,'[32]Feb 28th'!$L$40,'[33]Mar. 31st'!$L$40,'[34]Apr. 30th'!$L$50,'[35]May 30th'!$L$42,'[36]June 30th'!$L$62,'[37]July 29th '!$L$49,'[38]Aug 29th'!$L$34,'[39]Sept 30th'!$L$40,[40]Oct.31st!$L$43,L44)</f>
        <v>7.0288106249204647</v>
      </c>
      <c r="N44" s="416">
        <v>9.1999999999999993</v>
      </c>
      <c r="O44" s="294"/>
      <c r="P44" s="12"/>
    </row>
    <row r="45" spans="1:56" ht="15" customHeight="1">
      <c r="B45" s="586"/>
      <c r="C45" s="349"/>
      <c r="D45" s="566"/>
      <c r="E45" s="567"/>
      <c r="F45" s="294"/>
      <c r="G45" s="42"/>
      <c r="H45" s="41"/>
      <c r="I45" s="42"/>
      <c r="J45" s="288" t="s">
        <v>40</v>
      </c>
      <c r="K45" s="324">
        <v>4</v>
      </c>
      <c r="L45" s="294"/>
      <c r="M45" s="294"/>
      <c r="N45" s="294"/>
      <c r="O45" s="294"/>
      <c r="P45" s="12"/>
    </row>
    <row r="46" spans="1:56" ht="15" customHeight="1">
      <c r="B46" s="586"/>
      <c r="C46" s="349"/>
      <c r="D46" s="531"/>
      <c r="E46" s="519"/>
      <c r="F46" s="294"/>
      <c r="G46" s="42"/>
      <c r="H46" s="41"/>
      <c r="I46" s="42"/>
      <c r="J46" s="289" t="s">
        <v>33</v>
      </c>
      <c r="K46" s="324"/>
      <c r="L46" s="294"/>
      <c r="M46" s="294"/>
      <c r="N46" s="294"/>
      <c r="O46" s="294"/>
      <c r="P46" s="12"/>
    </row>
    <row r="47" spans="1:56" ht="15">
      <c r="B47" s="586"/>
      <c r="C47" s="349"/>
      <c r="D47" s="566"/>
      <c r="E47" s="567"/>
      <c r="F47" s="294"/>
      <c r="G47" s="42"/>
      <c r="H47" s="41"/>
      <c r="I47" s="42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86"/>
      <c r="C48" s="349"/>
      <c r="D48" s="531"/>
      <c r="E48" s="519"/>
      <c r="F48" s="294"/>
      <c r="G48" s="42"/>
      <c r="H48" s="41"/>
      <c r="I48" s="42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86"/>
      <c r="C49" s="349"/>
      <c r="D49" s="566"/>
      <c r="E49" s="567"/>
      <c r="F49" s="294"/>
      <c r="G49" s="42"/>
      <c r="H49" s="41"/>
      <c r="I49" s="42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.75" thickBot="1">
      <c r="B50" s="590"/>
      <c r="C50" s="350"/>
      <c r="D50" s="568"/>
      <c r="E50" s="569"/>
      <c r="F50" s="294" t="s">
        <v>168</v>
      </c>
      <c r="G50" s="42"/>
      <c r="H50" s="41"/>
      <c r="I50" s="42"/>
      <c r="J50" s="291" t="s">
        <v>148</v>
      </c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2:57" ht="17.649999999999999" customHeight="1" thickBot="1">
      <c r="B51" s="312" t="s">
        <v>139</v>
      </c>
      <c r="C51" s="313"/>
      <c r="D51" s="576"/>
      <c r="E51" s="577"/>
      <c r="F51" s="294"/>
      <c r="H51" s="41"/>
      <c r="I51" s="42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>
      <c r="B52" s="363"/>
      <c r="C52" s="364"/>
      <c r="D52" s="365"/>
      <c r="E52" s="365"/>
      <c r="F52" s="294"/>
      <c r="G52" s="42"/>
      <c r="H52" s="41"/>
      <c r="I52" s="42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1"/>
      <c r="I53" s="42"/>
      <c r="J53" s="346" t="s">
        <v>130</v>
      </c>
      <c r="K53" s="324">
        <f>SUM(K43:K52)</f>
        <v>8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J54" s="42"/>
      <c r="L54" s="294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541" t="s">
        <v>17</v>
      </c>
      <c r="C56" s="541" t="s">
        <v>44</v>
      </c>
      <c r="D56" s="543" t="s">
        <v>45</v>
      </c>
      <c r="E56" s="498" t="s">
        <v>46</v>
      </c>
      <c r="F56" s="558" t="s">
        <v>47</v>
      </c>
      <c r="G56" s="552" t="s">
        <v>48</v>
      </c>
      <c r="H56" s="541" t="s">
        <v>49</v>
      </c>
      <c r="I56" s="541" t="s">
        <v>50</v>
      </c>
      <c r="J56" s="546" t="s">
        <v>28</v>
      </c>
      <c r="K56" s="496" t="s">
        <v>51</v>
      </c>
      <c r="L56" s="508" t="s">
        <v>52</v>
      </c>
      <c r="M56" s="546" t="s">
        <v>53</v>
      </c>
      <c r="N56" s="13"/>
      <c r="O56" s="13"/>
      <c r="P56" s="50"/>
    </row>
    <row r="57" spans="2:57" ht="28.5" customHeight="1" thickTop="1" thickBot="1">
      <c r="B57" s="542"/>
      <c r="C57" s="542"/>
      <c r="D57" s="544"/>
      <c r="E57" s="545"/>
      <c r="F57" s="559"/>
      <c r="G57" s="553"/>
      <c r="H57" s="560"/>
      <c r="I57" s="560"/>
      <c r="J57" s="547"/>
      <c r="K57" s="556"/>
      <c r="L57" s="557"/>
      <c r="M57" s="547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43.15" customHeight="1" thickBot="1">
      <c r="B58" s="458"/>
      <c r="C58" s="442"/>
      <c r="D58" s="443"/>
      <c r="E58" s="444"/>
      <c r="F58" s="445"/>
      <c r="G58" s="445"/>
      <c r="H58" s="460"/>
      <c r="I58" s="460"/>
      <c r="J58" s="449"/>
      <c r="K58" s="450"/>
      <c r="L58" s="459"/>
      <c r="M58" s="456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[20]January_2019!L7</f>
        <v>285.8</v>
      </c>
      <c r="AC58" s="57">
        <f>[20]January_2019!M7</f>
        <v>508.1</v>
      </c>
      <c r="AD58" s="57">
        <f>[20]January_2019!N7</f>
        <v>0</v>
      </c>
      <c r="AE58" s="57">
        <f>[20]January_2019!O7</f>
        <v>0</v>
      </c>
      <c r="AF58" s="57">
        <f>[20]January_2019!P7</f>
        <v>109.56666666666666</v>
      </c>
      <c r="AG58" s="57">
        <f>[20]January_2019!Q7</f>
        <v>297.64999999999998</v>
      </c>
      <c r="AH58" s="57">
        <f>[20]January_2019!R7</f>
        <v>122.3</v>
      </c>
      <c r="AI58" s="57">
        <f>[20]January_2019!S7</f>
        <v>0</v>
      </c>
      <c r="AJ58" s="57">
        <f>[20]January_2019!T7</f>
        <v>294.7</v>
      </c>
      <c r="AK58" s="57">
        <f>[20]January_2019!U7</f>
        <v>280.5</v>
      </c>
      <c r="AL58" s="57">
        <f>[20]January_2019!V7</f>
        <v>0</v>
      </c>
      <c r="AM58" s="57">
        <f>[20]January_2019!W7</f>
        <v>0</v>
      </c>
      <c r="AN58" s="57">
        <f>[20]January_2019!X7</f>
        <v>188.25</v>
      </c>
      <c r="AO58" s="57">
        <f>[20]January_2019!Y7</f>
        <v>295.7</v>
      </c>
      <c r="AP58" s="57">
        <f>[20]January_2019!Z7</f>
        <v>257.8</v>
      </c>
      <c r="AQ58" s="57">
        <f>[20]January_2019!AA7</f>
        <v>291.2</v>
      </c>
      <c r="AR58" s="57">
        <f>[20]January_2019!AB7</f>
        <v>187</v>
      </c>
      <c r="AS58" s="57">
        <f>[20]January_2019!AC7</f>
        <v>0</v>
      </c>
      <c r="AT58" s="57">
        <f>[20]January_2019!AD7</f>
        <v>0</v>
      </c>
      <c r="AU58" s="57">
        <f>[20]January_2019!AE7</f>
        <v>485.1</v>
      </c>
      <c r="AV58" s="57">
        <f>[20]January_2019!AF7</f>
        <v>171.55</v>
      </c>
      <c r="AW58" s="57">
        <f>[20]January_2019!AG7</f>
        <v>423.8</v>
      </c>
      <c r="AX58" s="277">
        <f>[20]January_2019!AH7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20.45" hidden="1" customHeight="1" thickBot="1">
      <c r="B59" s="473"/>
      <c r="C59" s="431"/>
      <c r="D59" s="432"/>
      <c r="E59" s="433"/>
      <c r="F59" s="434"/>
      <c r="G59" s="435"/>
      <c r="H59" s="429"/>
      <c r="I59" s="429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450000000000003" hidden="1" customHeight="1" thickBot="1">
      <c r="B60" s="458"/>
      <c r="C60" s="442"/>
      <c r="D60" s="443"/>
      <c r="E60" s="444"/>
      <c r="F60" s="445"/>
      <c r="G60" s="446"/>
      <c r="H60" s="460"/>
      <c r="I60" s="460"/>
      <c r="J60" s="449"/>
      <c r="K60" s="462"/>
      <c r="L60" s="459" t="e">
        <f>(((D60+E60)-G60)/(D60+E60))*100</f>
        <v>#DIV/0!</v>
      </c>
      <c r="M60" s="456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4"/>
      <c r="C61" s="431"/>
      <c r="D61" s="432"/>
      <c r="E61" s="433"/>
      <c r="F61" s="434"/>
      <c r="G61" s="435"/>
      <c r="H61" s="436"/>
      <c r="I61" s="451"/>
      <c r="J61" s="452"/>
      <c r="K61" s="437"/>
      <c r="L61" s="453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61"/>
      <c r="C62" s="442"/>
      <c r="D62" s="443"/>
      <c r="E62" s="444"/>
      <c r="F62" s="445"/>
      <c r="G62" s="446"/>
      <c r="H62" s="447"/>
      <c r="I62" s="448"/>
      <c r="J62" s="449"/>
      <c r="K62" s="450"/>
      <c r="L62" s="459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customHeight="1" thickBot="1">
      <c r="B63" s="438"/>
      <c r="C63" s="424"/>
      <c r="D63" s="425"/>
      <c r="E63" s="426"/>
      <c r="F63" s="427"/>
      <c r="G63" s="428"/>
      <c r="H63" s="429"/>
      <c r="I63" s="439"/>
      <c r="J63" s="440"/>
      <c r="K63" s="430"/>
      <c r="L63" s="441"/>
      <c r="M63" s="423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s="54" customFormat="1" ht="37.15" hidden="1" customHeight="1" thickBot="1">
      <c r="B64" s="458"/>
      <c r="C64" s="442"/>
      <c r="D64" s="443"/>
      <c r="E64" s="444"/>
      <c r="F64" s="445"/>
      <c r="G64" s="446"/>
      <c r="H64" s="447"/>
      <c r="I64" s="448"/>
      <c r="J64" s="449"/>
      <c r="K64" s="450"/>
      <c r="L64" s="459" t="e">
        <f>(((D64+E64)-G64)/(D64+E64))*100</f>
        <v>#DIV/0!</v>
      </c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70"/>
      <c r="C65" s="431"/>
      <c r="D65" s="464"/>
      <c r="E65" s="465"/>
      <c r="F65" s="466"/>
      <c r="G65" s="464"/>
      <c r="H65" s="467"/>
      <c r="I65" s="467"/>
      <c r="J65" s="467"/>
      <c r="K65" s="468"/>
      <c r="L65" s="469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48" t="s">
        <v>55</v>
      </c>
      <c r="C67" s="549"/>
      <c r="D67" s="549"/>
      <c r="E67" s="549"/>
      <c r="F67" s="550"/>
      <c r="G67" s="548" t="s">
        <v>56</v>
      </c>
      <c r="H67" s="549"/>
      <c r="I67" s="549"/>
      <c r="J67" s="550"/>
      <c r="K67" s="548" t="s">
        <v>51</v>
      </c>
      <c r="L67" s="549"/>
      <c r="M67" s="549"/>
      <c r="N67" s="551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/>
      <c r="D69" s="76">
        <v>6.109586969670791</v>
      </c>
      <c r="E69" s="76">
        <v>6.0721158785687495</v>
      </c>
      <c r="F69" s="66">
        <v>4.8</v>
      </c>
      <c r="G69" s="65"/>
      <c r="H69" s="76">
        <v>5.6702706098840654</v>
      </c>
      <c r="I69" s="76">
        <v>6.0394344516504415</v>
      </c>
      <c r="J69" s="66">
        <v>4.8</v>
      </c>
      <c r="K69" s="67"/>
      <c r="L69" s="194">
        <v>0.44411549707602338</v>
      </c>
      <c r="M69" s="194">
        <v>0.73127050670791238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5.1853750213565721</v>
      </c>
      <c r="E70" s="76">
        <v>5.7200467929828971</v>
      </c>
      <c r="F70" s="66">
        <v>4.8</v>
      </c>
      <c r="G70" s="65"/>
      <c r="H70" s="76">
        <v>3.6096118625802744</v>
      </c>
      <c r="I70" s="76">
        <v>6.2674198164664059</v>
      </c>
      <c r="J70" s="66">
        <v>4.8</v>
      </c>
      <c r="K70" s="67"/>
      <c r="L70" s="194">
        <v>0.59464912280701754</v>
      </c>
      <c r="M70" s="194">
        <v>0.67381772220369407</v>
      </c>
      <c r="N70" s="68">
        <v>1</v>
      </c>
      <c r="P70" s="69"/>
    </row>
    <row r="71" spans="2:57" ht="15">
      <c r="B71" s="34" t="s">
        <v>40</v>
      </c>
      <c r="C71" s="65"/>
      <c r="D71" s="76">
        <v>11.223996129656527</v>
      </c>
      <c r="E71" s="76">
        <v>11.016453256230184</v>
      </c>
      <c r="F71" s="66">
        <v>5.5</v>
      </c>
      <c r="G71" s="65"/>
      <c r="H71" s="76">
        <v>10.76956909379566</v>
      </c>
      <c r="I71" s="76">
        <v>12.536311479158377</v>
      </c>
      <c r="J71" s="66">
        <v>5.5</v>
      </c>
      <c r="K71" s="67"/>
      <c r="L71" s="194">
        <v>0.26637426900584799</v>
      </c>
      <c r="M71" s="194">
        <v>0.51633622959452352</v>
      </c>
      <c r="N71" s="68">
        <v>1</v>
      </c>
      <c r="P71" s="69"/>
    </row>
    <row r="72" spans="2:57" ht="15">
      <c r="B72" s="22" t="s">
        <v>33</v>
      </c>
      <c r="C72" s="65"/>
      <c r="D72" s="76">
        <v>3.7833827893175105</v>
      </c>
      <c r="E72" s="76">
        <v>4.6226456706805745</v>
      </c>
      <c r="F72" s="66">
        <v>3.3</v>
      </c>
      <c r="G72" s="65"/>
      <c r="H72" s="76">
        <v>3.7421885632627285</v>
      </c>
      <c r="I72" s="76">
        <v>4.4171317623593813</v>
      </c>
      <c r="J72" s="66">
        <v>3.3</v>
      </c>
      <c r="K72" s="67"/>
      <c r="L72" s="194">
        <v>0.68263157894736837</v>
      </c>
      <c r="M72" s="194">
        <v>0.83111215538847116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>
        <v>7.837301587301579</v>
      </c>
      <c r="F73" s="66">
        <v>3.3</v>
      </c>
      <c r="G73" s="282"/>
      <c r="H73" s="76"/>
      <c r="I73" s="76">
        <v>5.3377569154690221</v>
      </c>
      <c r="J73" s="66">
        <v>3</v>
      </c>
      <c r="K73" s="67"/>
      <c r="L73" s="194"/>
      <c r="M73" s="194">
        <v>0.32596491228070179</v>
      </c>
      <c r="N73" s="68">
        <v>1</v>
      </c>
      <c r="P73" s="69"/>
    </row>
    <row r="74" spans="2:57" ht="15">
      <c r="B74" s="36" t="s">
        <v>15</v>
      </c>
      <c r="C74" s="65"/>
      <c r="D74" s="76"/>
      <c r="E74" s="76">
        <v>6.8851328044153277</v>
      </c>
      <c r="F74" s="70">
        <f>[21]May_2022!$M$43</f>
        <v>3.4878406700073312</v>
      </c>
      <c r="G74" s="282"/>
      <c r="H74" s="76"/>
      <c r="I74" s="76">
        <v>8.6614709463340702</v>
      </c>
      <c r="J74" s="66">
        <v>5.5</v>
      </c>
      <c r="K74" s="67"/>
      <c r="L74" s="194"/>
      <c r="M74" s="194">
        <v>0.73160818713450293</v>
      </c>
      <c r="N74" s="68">
        <v>1</v>
      </c>
      <c r="P74" s="69"/>
    </row>
    <row r="75" spans="2:57" ht="15">
      <c r="B75" s="37" t="s">
        <v>16</v>
      </c>
      <c r="C75" s="65"/>
      <c r="D75" s="76">
        <v>2.6328862394436081</v>
      </c>
      <c r="E75" s="76">
        <v>2.9297033255778997</v>
      </c>
      <c r="F75" s="66">
        <v>3.3</v>
      </c>
      <c r="G75" s="282"/>
      <c r="H75" s="76">
        <v>2.6328862394435983</v>
      </c>
      <c r="I75" s="76">
        <v>4.2684292436723528</v>
      </c>
      <c r="J75" s="66">
        <v>3.3</v>
      </c>
      <c r="K75" s="67"/>
      <c r="L75" s="194">
        <v>0.68771929824561406</v>
      </c>
      <c r="M75" s="194">
        <v>0.84660147761842675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>
        <v>11.483253588516746</v>
      </c>
      <c r="F76" s="66">
        <v>7.5</v>
      </c>
      <c r="G76" s="282"/>
      <c r="H76" s="76"/>
      <c r="I76" s="76">
        <v>9.7934336121043764</v>
      </c>
      <c r="J76" s="66">
        <v>7.5</v>
      </c>
      <c r="K76" s="67"/>
      <c r="M76" s="194">
        <v>0.32456140350877194</v>
      </c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>
        <v>7.2653644592663174</v>
      </c>
      <c r="F77" s="66">
        <v>4.8</v>
      </c>
      <c r="G77" s="282"/>
      <c r="H77" s="76"/>
      <c r="I77" s="76">
        <v>8.1715311054411259</v>
      </c>
      <c r="J77" s="66">
        <v>4.8</v>
      </c>
      <c r="K77" s="67"/>
      <c r="L77" s="194"/>
      <c r="M77" s="194">
        <v>0.51368421052631585</v>
      </c>
      <c r="N77" s="71">
        <v>1</v>
      </c>
      <c r="O77" s="74"/>
      <c r="P77" s="75"/>
    </row>
    <row r="78" spans="2:57" ht="15">
      <c r="D78" s="76">
        <v>6.0063871740657655</v>
      </c>
      <c r="E78" s="76">
        <v>6.1142024572037208</v>
      </c>
      <c r="F78" s="341">
        <v>5.5</v>
      </c>
      <c r="H78" s="76">
        <v>5.4561447499452154</v>
      </c>
      <c r="I78" s="76">
        <v>6.5724479259788264</v>
      </c>
      <c r="J78" s="341">
        <v>5.5</v>
      </c>
      <c r="L78" s="194">
        <v>0.4826647173489278</v>
      </c>
      <c r="M78" s="194">
        <v>0.70268152628434888</v>
      </c>
      <c r="N78" s="386">
        <v>1</v>
      </c>
    </row>
  </sheetData>
  <mergeCells count="51">
    <mergeCell ref="M56:M57"/>
    <mergeCell ref="B67:F67"/>
    <mergeCell ref="G67:J67"/>
    <mergeCell ref="K67:N67"/>
    <mergeCell ref="G56:G57"/>
    <mergeCell ref="H56:H57"/>
    <mergeCell ref="I56:I57"/>
    <mergeCell ref="J56:J57"/>
    <mergeCell ref="K56:K57"/>
    <mergeCell ref="L56:L57"/>
    <mergeCell ref="F56:F57"/>
    <mergeCell ref="D51:E51"/>
    <mergeCell ref="B56:B57"/>
    <mergeCell ref="C56:C57"/>
    <mergeCell ref="D56:D57"/>
    <mergeCell ref="E56:E57"/>
    <mergeCell ref="B41:B50"/>
    <mergeCell ref="D41:E42"/>
    <mergeCell ref="J41:K41"/>
    <mergeCell ref="L42:N42"/>
    <mergeCell ref="D43:E44"/>
    <mergeCell ref="D45:E46"/>
    <mergeCell ref="D47:E48"/>
    <mergeCell ref="D49:E50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1:B52">
    <cfRule type="cellIs" dxfId="737" priority="45" operator="notBetween">
      <formula>#REF!</formula>
      <formula>#REF!</formula>
    </cfRule>
  </conditionalFormatting>
  <conditionalFormatting sqref="C55">
    <cfRule type="cellIs" dxfId="736" priority="195" stopIfTrue="1" operator="greaterThan">
      <formula>100</formula>
    </cfRule>
    <cfRule type="cellIs" dxfId="735" priority="194" stopIfTrue="1" operator="lessThan">
      <formula>96</formula>
    </cfRule>
  </conditionalFormatting>
  <conditionalFormatting sqref="C69:C73">
    <cfRule type="cellIs" dxfId="734" priority="148" stopIfTrue="1" operator="lessThanOrEqual">
      <formula>0</formula>
    </cfRule>
  </conditionalFormatting>
  <conditionalFormatting sqref="C69:C77">
    <cfRule type="cellIs" dxfId="733" priority="147" stopIfTrue="1" operator="greaterThan">
      <formula>$F69</formula>
    </cfRule>
  </conditionalFormatting>
  <conditionalFormatting sqref="C70">
    <cfRule type="cellIs" dxfId="732" priority="198" stopIfTrue="1" operator="greaterThan">
      <formula>$F69</formula>
    </cfRule>
  </conditionalFormatting>
  <conditionalFormatting sqref="C74">
    <cfRule type="cellIs" dxfId="731" priority="88" stopIfTrue="1" operator="greaterThan">
      <formula>$F73</formula>
    </cfRule>
    <cfRule type="cellIs" dxfId="730" priority="87" stopIfTrue="1" operator="lessThanOrEqual">
      <formula>0</formula>
    </cfRule>
  </conditionalFormatting>
  <conditionalFormatting sqref="C80:C84">
    <cfRule type="cellIs" dxfId="729" priority="186" stopIfTrue="1" operator="lessThanOrEqual">
      <formula>0</formula>
    </cfRule>
  </conditionalFormatting>
  <conditionalFormatting sqref="C81:C84">
    <cfRule type="cellIs" dxfId="728" priority="185" stopIfTrue="1" operator="greaterThan">
      <formula>$F$80</formula>
    </cfRule>
  </conditionalFormatting>
  <conditionalFormatting sqref="C86">
    <cfRule type="cellIs" dxfId="727" priority="188" stopIfTrue="1" operator="lessThanOrEqual">
      <formula>0</formula>
    </cfRule>
    <cfRule type="cellIs" dxfId="726" priority="187" stopIfTrue="1" operator="greaterThan">
      <formula>$F$80</formula>
    </cfRule>
  </conditionalFormatting>
  <conditionalFormatting sqref="C80:D80 D82:D88">
    <cfRule type="cellIs" dxfId="725" priority="180" stopIfTrue="1" operator="greaterThan">
      <formula>4.5</formula>
    </cfRule>
  </conditionalFormatting>
  <conditionalFormatting sqref="D51:D52">
    <cfRule type="cellIs" dxfId="724" priority="46" operator="notBetween">
      <formula>#REF!</formula>
      <formula>#REF!</formula>
    </cfRule>
  </conditionalFormatting>
  <conditionalFormatting sqref="D69:D76">
    <cfRule type="cellIs" dxfId="723" priority="160" stopIfTrue="1" operator="lessThanOrEqual">
      <formula>0</formula>
    </cfRule>
  </conditionalFormatting>
  <conditionalFormatting sqref="D77">
    <cfRule type="cellIs" dxfId="722" priority="159" stopIfTrue="1" operator="lessThanOrEqual">
      <formula>0</formula>
    </cfRule>
  </conditionalFormatting>
  <conditionalFormatting sqref="D80 D82:D88">
    <cfRule type="cellIs" dxfId="721" priority="181" stopIfTrue="1" operator="lessThanOrEqual">
      <formula>0</formula>
    </cfRule>
  </conditionalFormatting>
  <conditionalFormatting sqref="D81">
    <cfRule type="cellIs" dxfId="720" priority="173" stopIfTrue="1" operator="lessThanOrEqual">
      <formula>0</formula>
    </cfRule>
    <cfRule type="cellIs" dxfId="719" priority="172" stopIfTrue="1" operator="greaterThan">
      <formula>$F$80</formula>
    </cfRule>
  </conditionalFormatting>
  <conditionalFormatting sqref="D69:E78">
    <cfRule type="cellIs" dxfId="718" priority="145" stopIfTrue="1" operator="greaterThan">
      <formula>$F69</formula>
    </cfRule>
  </conditionalFormatting>
  <conditionalFormatting sqref="D78:E78">
    <cfRule type="cellIs" dxfId="717" priority="146" stopIfTrue="1" operator="lessThanOrEqual">
      <formula>0</formula>
    </cfRule>
  </conditionalFormatting>
  <conditionalFormatting sqref="E10:E26">
    <cfRule type="cellIs" dxfId="716" priority="36" operator="lessThan">
      <formula>48</formula>
    </cfRule>
  </conditionalFormatting>
  <conditionalFormatting sqref="E54 E55:F55">
    <cfRule type="cellIs" dxfId="715" priority="177" stopIfTrue="1" operator="greaterThan">
      <formula>100</formula>
    </cfRule>
  </conditionalFormatting>
  <conditionalFormatting sqref="E55">
    <cfRule type="cellIs" dxfId="714" priority="175" stopIfTrue="1" operator="greaterThan">
      <formula>100</formula>
    </cfRule>
    <cfRule type="cellIs" dxfId="713" priority="174" stopIfTrue="1" operator="lessThan">
      <formula>96.8</formula>
    </cfRule>
  </conditionalFormatting>
  <conditionalFormatting sqref="E69:E77">
    <cfRule type="cellIs" dxfId="712" priority="156" stopIfTrue="1" operator="lessThanOrEqual">
      <formula>0</formula>
    </cfRule>
  </conditionalFormatting>
  <conditionalFormatting sqref="E80:E88">
    <cfRule type="cellIs" dxfId="711" priority="167" stopIfTrue="1" operator="lessThanOrEqual">
      <formula>0</formula>
    </cfRule>
    <cfRule type="cellIs" dxfId="710" priority="166" stopIfTrue="1" operator="greaterThan">
      <formula>4.5</formula>
    </cfRule>
  </conditionalFormatting>
  <conditionalFormatting sqref="E55:F55 E54">
    <cfRule type="cellIs" dxfId="709" priority="176" stopIfTrue="1" operator="lessThan">
      <formula>96.5</formula>
    </cfRule>
  </conditionalFormatting>
  <conditionalFormatting sqref="F10:F26">
    <cfRule type="cellIs" dxfId="708" priority="37" operator="greaterThan">
      <formula>60</formula>
    </cfRule>
  </conditionalFormatting>
  <conditionalFormatting sqref="F55">
    <cfRule type="cellIs" dxfId="707" priority="193" stopIfTrue="1" operator="greaterThan">
      <formula>100</formula>
    </cfRule>
    <cfRule type="cellIs" dxfId="706" priority="192" stopIfTrue="1" operator="lessThan">
      <formula>96.8</formula>
    </cfRule>
  </conditionalFormatting>
  <conditionalFormatting sqref="F78">
    <cfRule type="cellIs" dxfId="705" priority="158" stopIfTrue="1" operator="lessThanOrEqual">
      <formula>0</formula>
    </cfRule>
    <cfRule type="cellIs" dxfId="704" priority="157" stopIfTrue="1" operator="greaterThan">
      <formula>$F78</formula>
    </cfRule>
  </conditionalFormatting>
  <conditionalFormatting sqref="G10:G23">
    <cfRule type="expression" dxfId="703" priority="14">
      <formula>IF(+(IF(G10&lt;S10,0,IF(G10&gt;T10,0,1)))=0,1)</formula>
    </cfRule>
  </conditionalFormatting>
  <conditionalFormatting sqref="G69:G70 C75:C77">
    <cfRule type="cellIs" dxfId="702" priority="162" stopIfTrue="1" operator="lessThanOrEqual">
      <formula>0</formula>
    </cfRule>
  </conditionalFormatting>
  <conditionalFormatting sqref="G69:G70">
    <cfRule type="cellIs" dxfId="701" priority="161" stopIfTrue="1" operator="greaterThan">
      <formula>$F69</formula>
    </cfRule>
    <cfRule type="cellIs" dxfId="700" priority="149" stopIfTrue="1" operator="greaterThan">
      <formula>$F69</formula>
    </cfRule>
    <cfRule type="cellIs" dxfId="699" priority="150" stopIfTrue="1" operator="lessThanOrEqual">
      <formula>0</formula>
    </cfRule>
  </conditionalFormatting>
  <conditionalFormatting sqref="G71">
    <cfRule type="cellIs" dxfId="698" priority="197" stopIfTrue="1" operator="lessThanOrEqual">
      <formula>0</formula>
    </cfRule>
    <cfRule type="cellIs" dxfId="697" priority="196" stopIfTrue="1" operator="greaterThan">
      <formula>$F70</formula>
    </cfRule>
  </conditionalFormatting>
  <conditionalFormatting sqref="G72">
    <cfRule type="cellIs" dxfId="696" priority="42" stopIfTrue="1" operator="lessThanOrEqual">
      <formula>0</formula>
    </cfRule>
    <cfRule type="cellIs" dxfId="695" priority="43" stopIfTrue="1" operator="greaterThan">
      <formula>$F72</formula>
    </cfRule>
    <cfRule type="cellIs" dxfId="694" priority="44" stopIfTrue="1" operator="lessThanOrEqual">
      <formula>0</formula>
    </cfRule>
    <cfRule type="cellIs" dxfId="693" priority="41" stopIfTrue="1" operator="greaterThan">
      <formula>$F72</formula>
    </cfRule>
  </conditionalFormatting>
  <conditionalFormatting sqref="G73:G77">
    <cfRule type="cellIs" dxfId="692" priority="163" stopIfTrue="1" operator="greaterThan">
      <formula>$J73</formula>
    </cfRule>
    <cfRule type="cellIs" dxfId="691" priority="164" stopIfTrue="1" operator="lessThanOrEqual">
      <formula>0</formula>
    </cfRule>
  </conditionalFormatting>
  <conditionalFormatting sqref="G82:G87 C85 C87">
    <cfRule type="cellIs" dxfId="690" priority="190" stopIfTrue="1" operator="lessThanOrEqual">
      <formula>0</formula>
    </cfRule>
    <cfRule type="cellIs" dxfId="689" priority="189" stopIfTrue="1" operator="greaterThan">
      <formula>4.5</formula>
    </cfRule>
  </conditionalFormatting>
  <conditionalFormatting sqref="G81:H81">
    <cfRule type="cellIs" dxfId="688" priority="171" stopIfTrue="1" operator="lessThanOrEqual">
      <formula>0</formula>
    </cfRule>
    <cfRule type="cellIs" dxfId="687" priority="170" stopIfTrue="1" operator="greaterThan">
      <formula>$F$80</formula>
    </cfRule>
  </conditionalFormatting>
  <conditionalFormatting sqref="H40:H54">
    <cfRule type="cellIs" dxfId="686" priority="168" stopIfTrue="1" operator="greaterThan">
      <formula>0</formula>
    </cfRule>
  </conditionalFormatting>
  <conditionalFormatting sqref="H58">
    <cfRule type="cellIs" dxfId="685" priority="18" stopIfTrue="1" operator="lessThanOrEqual">
      <formula>0</formula>
    </cfRule>
    <cfRule type="cellIs" dxfId="684" priority="19" stopIfTrue="1" operator="greaterThan">
      <formula>$F$73</formula>
    </cfRule>
    <cfRule type="cellIs" dxfId="683" priority="27" stopIfTrue="1" operator="greaterThan">
      <formula>$F$76</formula>
    </cfRule>
    <cfRule type="cellIs" dxfId="682" priority="29" stopIfTrue="1" operator="greaterThan">
      <formula>$F$74</formula>
    </cfRule>
    <cfRule type="cellIs" dxfId="681" priority="30" stopIfTrue="1" operator="lessThanOrEqual">
      <formula>0</formula>
    </cfRule>
    <cfRule type="cellIs" dxfId="680" priority="28" stopIfTrue="1" operator="lessThanOrEqual">
      <formula>0</formula>
    </cfRule>
  </conditionalFormatting>
  <conditionalFormatting sqref="H59">
    <cfRule type="cellIs" dxfId="679" priority="113" stopIfTrue="1" operator="greaterThan">
      <formula>$F$27</formula>
    </cfRule>
    <cfRule type="cellIs" dxfId="678" priority="105" stopIfTrue="1" operator="greaterThan">
      <formula>#REF!</formula>
    </cfRule>
    <cfRule type="cellIs" dxfId="677" priority="104" stopIfTrue="1" operator="lessThanOrEqual">
      <formula>0</formula>
    </cfRule>
    <cfRule type="cellIs" dxfId="676" priority="116" stopIfTrue="1" operator="lessThanOrEqual">
      <formula>0</formula>
    </cfRule>
    <cfRule type="cellIs" dxfId="675" priority="115" stopIfTrue="1" operator="greaterThan">
      <formula>#REF!</formula>
    </cfRule>
    <cfRule type="cellIs" dxfId="674" priority="114" stopIfTrue="1" operator="lessThanOrEqual">
      <formula>0</formula>
    </cfRule>
  </conditionalFormatting>
  <conditionalFormatting sqref="H60">
    <cfRule type="cellIs" dxfId="673" priority="83" stopIfTrue="1" operator="greaterThan">
      <formula>$F$71</formula>
    </cfRule>
    <cfRule type="cellIs" dxfId="672" priority="72" stopIfTrue="1" operator="lessThanOrEqual">
      <formula>0</formula>
    </cfRule>
    <cfRule type="cellIs" dxfId="671" priority="73" stopIfTrue="1" operator="greaterThan">
      <formula>$F$70</formula>
    </cfRule>
    <cfRule type="cellIs" dxfId="670" priority="82" stopIfTrue="1" operator="lessThanOrEqual">
      <formula>0</formula>
    </cfRule>
    <cfRule type="cellIs" dxfId="669" priority="84" stopIfTrue="1" operator="lessThanOrEqual">
      <formula>0</formula>
    </cfRule>
    <cfRule type="cellIs" dxfId="668" priority="81" stopIfTrue="1" operator="greaterThan">
      <formula>$F$73</formula>
    </cfRule>
  </conditionalFormatting>
  <conditionalFormatting sqref="H61:H62">
    <cfRule type="cellIs" dxfId="667" priority="91" stopIfTrue="1" operator="greaterThan">
      <formula>#REF!</formula>
    </cfRule>
    <cfRule type="cellIs" dxfId="666" priority="90" stopIfTrue="1" operator="lessThanOrEqual">
      <formula>0</formula>
    </cfRule>
    <cfRule type="cellIs" dxfId="665" priority="99" stopIfTrue="1" operator="greaterThan">
      <formula>$F$26</formula>
    </cfRule>
    <cfRule type="cellIs" dxfId="664" priority="100" stopIfTrue="1" operator="lessThanOrEqual">
      <formula>0</formula>
    </cfRule>
    <cfRule type="cellIs" dxfId="663" priority="101" stopIfTrue="1" operator="greaterThan">
      <formula>#REF!</formula>
    </cfRule>
    <cfRule type="cellIs" dxfId="662" priority="102" stopIfTrue="1" operator="lessThanOrEqual">
      <formula>0</formula>
    </cfRule>
  </conditionalFormatting>
  <conditionalFormatting sqref="H63">
    <cfRule type="cellIs" dxfId="661" priority="130" stopIfTrue="1" operator="greaterThan">
      <formula>$F$40</formula>
    </cfRule>
    <cfRule type="cellIs" dxfId="660" priority="131" stopIfTrue="1" operator="lessThanOrEqual">
      <formula>0</formula>
    </cfRule>
    <cfRule type="cellIs" dxfId="659" priority="128" stopIfTrue="1" operator="greaterThan">
      <formula>$F$42</formula>
    </cfRule>
    <cfRule type="cellIs" dxfId="658" priority="120" stopIfTrue="1" operator="greaterThan">
      <formula>$F$39</formula>
    </cfRule>
    <cfRule type="cellIs" dxfId="657" priority="119" stopIfTrue="1" operator="lessThanOrEqual">
      <formula>0</formula>
    </cfRule>
    <cfRule type="cellIs" dxfId="656" priority="129" stopIfTrue="1" operator="lessThanOrEqual">
      <formula>0</formula>
    </cfRule>
  </conditionalFormatting>
  <conditionalFormatting sqref="H64:H65">
    <cfRule type="cellIs" dxfId="655" priority="66" stopIfTrue="1" operator="lessThanOrEqual">
      <formula>0</formula>
    </cfRule>
    <cfRule type="cellIs" dxfId="654" priority="65" stopIfTrue="1" operator="greaterThan">
      <formula>$F$26</formula>
    </cfRule>
    <cfRule type="cellIs" dxfId="653" priority="57" stopIfTrue="1" operator="greaterThan">
      <formula>#REF!</formula>
    </cfRule>
    <cfRule type="cellIs" dxfId="652" priority="68" stopIfTrue="1" operator="lessThanOrEqual">
      <formula>0</formula>
    </cfRule>
    <cfRule type="cellIs" dxfId="651" priority="67" stopIfTrue="1" operator="greaterThan">
      <formula>#REF!</formula>
    </cfRule>
    <cfRule type="cellIs" dxfId="650" priority="56" stopIfTrue="1" operator="lessThanOrEqual">
      <formula>0</formula>
    </cfRule>
  </conditionalFormatting>
  <conditionalFormatting sqref="H69:H76">
    <cfRule type="cellIs" dxfId="649" priority="152" stopIfTrue="1" operator="lessThanOrEqual">
      <formula>0</formula>
    </cfRule>
    <cfRule type="cellIs" dxfId="648" priority="151" stopIfTrue="1" operator="greaterThan">
      <formula>$J69</formula>
    </cfRule>
  </conditionalFormatting>
  <conditionalFormatting sqref="H77">
    <cfRule type="cellIs" dxfId="647" priority="153" operator="greaterThan">
      <formula>5.3</formula>
    </cfRule>
  </conditionalFormatting>
  <conditionalFormatting sqref="H80 H82:H88">
    <cfRule type="cellIs" dxfId="646" priority="183" stopIfTrue="1" operator="lessThanOrEqual">
      <formula>0</formula>
    </cfRule>
    <cfRule type="cellIs" dxfId="645" priority="182" stopIfTrue="1" operator="greaterThan">
      <formula>4.5</formula>
    </cfRule>
  </conditionalFormatting>
  <conditionalFormatting sqref="H58:I58">
    <cfRule type="cellIs" dxfId="644" priority="17" stopIfTrue="1" operator="greaterThan">
      <formula>$F$75</formula>
    </cfRule>
    <cfRule type="cellIs" dxfId="643" priority="20" stopIfTrue="1" operator="lessThanOrEqual">
      <formula>0</formula>
    </cfRule>
  </conditionalFormatting>
  <conditionalFormatting sqref="H59:I59">
    <cfRule type="cellIs" dxfId="642" priority="106" stopIfTrue="1" operator="lessThanOrEqual">
      <formula>0</formula>
    </cfRule>
    <cfRule type="cellIs" dxfId="641" priority="103" stopIfTrue="1" operator="greaterThan">
      <formula>$F$26</formula>
    </cfRule>
  </conditionalFormatting>
  <conditionalFormatting sqref="H60:I60">
    <cfRule type="cellIs" dxfId="640" priority="71" stopIfTrue="1" operator="greaterThan">
      <formula>$F$72</formula>
    </cfRule>
    <cfRule type="cellIs" dxfId="639" priority="74" stopIfTrue="1" operator="lessThanOrEqual">
      <formula>0</formula>
    </cfRule>
  </conditionalFormatting>
  <conditionalFormatting sqref="H61:I62">
    <cfRule type="cellIs" dxfId="638" priority="92" stopIfTrue="1" operator="lessThanOrEqual">
      <formula>0</formula>
    </cfRule>
    <cfRule type="cellIs" dxfId="637" priority="89" stopIfTrue="1" operator="greaterThan">
      <formula>#REF!</formula>
    </cfRule>
  </conditionalFormatting>
  <conditionalFormatting sqref="H63:I63">
    <cfRule type="cellIs" dxfId="636" priority="118" stopIfTrue="1" operator="greaterThan">
      <formula>$F$41</formula>
    </cfRule>
    <cfRule type="cellIs" dxfId="635" priority="121" stopIfTrue="1" operator="lessThanOrEqual">
      <formula>0</formula>
    </cfRule>
  </conditionalFormatting>
  <conditionalFormatting sqref="H64:I65">
    <cfRule type="cellIs" dxfId="634" priority="58" stopIfTrue="1" operator="lessThanOrEqual">
      <formula>0</formula>
    </cfRule>
    <cfRule type="cellIs" dxfId="633" priority="55" stopIfTrue="1" operator="greaterThan">
      <formula>#REF!</formula>
    </cfRule>
  </conditionalFormatting>
  <conditionalFormatting sqref="H78:I78">
    <cfRule type="cellIs" dxfId="632" priority="143" stopIfTrue="1" operator="greaterThan">
      <formula>$J78</formula>
    </cfRule>
    <cfRule type="cellIs" dxfId="631" priority="144" stopIfTrue="1" operator="lessThanOrEqual">
      <formula>0</formula>
    </cfRule>
  </conditionalFormatting>
  <conditionalFormatting sqref="I58">
    <cfRule type="cellIs" dxfId="630" priority="22" stopIfTrue="1" operator="lessThanOrEqual">
      <formula>0</formula>
    </cfRule>
    <cfRule type="cellIs" dxfId="629" priority="24" stopIfTrue="1" operator="lessThanOrEqual">
      <formula>0</formula>
    </cfRule>
    <cfRule type="cellIs" dxfId="628" priority="21" stopIfTrue="1" operator="greaterThan">
      <formula>$F$73</formula>
    </cfRule>
    <cfRule type="cellIs" dxfId="627" priority="23" stopIfTrue="1" operator="greaterThan">
      <formula>$F$75</formula>
    </cfRule>
    <cfRule type="cellIs" dxfId="626" priority="25" stopIfTrue="1" operator="greaterThan">
      <formula>$F$73</formula>
    </cfRule>
    <cfRule type="cellIs" dxfId="625" priority="26" stopIfTrue="1" operator="lessThanOrEqual">
      <formula>0</formula>
    </cfRule>
  </conditionalFormatting>
  <conditionalFormatting sqref="I59">
    <cfRule type="cellIs" dxfId="624" priority="107" stopIfTrue="1" operator="greaterThan">
      <formula>#REF!</formula>
    </cfRule>
    <cfRule type="cellIs" dxfId="623" priority="111" stopIfTrue="1" operator="greaterThan">
      <formula>#REF!</formula>
    </cfRule>
    <cfRule type="cellIs" dxfId="622" priority="108" stopIfTrue="1" operator="lessThanOrEqual">
      <formula>0</formula>
    </cfRule>
    <cfRule type="cellIs" dxfId="621" priority="109" stopIfTrue="1" operator="greaterThan">
      <formula>$F$26</formula>
    </cfRule>
    <cfRule type="cellIs" dxfId="620" priority="110" stopIfTrue="1" operator="lessThanOrEqual">
      <formula>0</formula>
    </cfRule>
    <cfRule type="cellIs" dxfId="619" priority="112" stopIfTrue="1" operator="lessThanOrEqual">
      <formula>0</formula>
    </cfRule>
  </conditionalFormatting>
  <conditionalFormatting sqref="I60">
    <cfRule type="cellIs" dxfId="618" priority="76" stopIfTrue="1" operator="lessThanOrEqual">
      <formula>0</formula>
    </cfRule>
    <cfRule type="cellIs" dxfId="617" priority="75" stopIfTrue="1" operator="greaterThan">
      <formula>$F$70</formula>
    </cfRule>
    <cfRule type="cellIs" dxfId="616" priority="80" stopIfTrue="1" operator="lessThanOrEqual">
      <formula>0</formula>
    </cfRule>
    <cfRule type="cellIs" dxfId="615" priority="79" stopIfTrue="1" operator="greaterThan">
      <formula>$F$70</formula>
    </cfRule>
    <cfRule type="cellIs" dxfId="614" priority="78" stopIfTrue="1" operator="lessThanOrEqual">
      <formula>0</formula>
    </cfRule>
    <cfRule type="cellIs" dxfId="613" priority="77" stopIfTrue="1" operator="greaterThan">
      <formula>$F$72</formula>
    </cfRule>
  </conditionalFormatting>
  <conditionalFormatting sqref="I61:I62">
    <cfRule type="cellIs" dxfId="612" priority="93" stopIfTrue="1" operator="greaterThan">
      <formula>#REF!</formula>
    </cfRule>
    <cfRule type="cellIs" dxfId="611" priority="98" stopIfTrue="1" operator="lessThanOrEqual">
      <formula>0</formula>
    </cfRule>
    <cfRule type="cellIs" dxfId="610" priority="97" stopIfTrue="1" operator="greaterThan">
      <formula>#REF!</formula>
    </cfRule>
    <cfRule type="cellIs" dxfId="609" priority="96" stopIfTrue="1" operator="lessThanOrEqual">
      <formula>0</formula>
    </cfRule>
    <cfRule type="cellIs" dxfId="608" priority="95" stopIfTrue="1" operator="greaterThan">
      <formula>#REF!</formula>
    </cfRule>
    <cfRule type="cellIs" dxfId="607" priority="94" stopIfTrue="1" operator="lessThanOrEqual">
      <formula>0</formula>
    </cfRule>
  </conditionalFormatting>
  <conditionalFormatting sqref="I63">
    <cfRule type="cellIs" dxfId="606" priority="124" stopIfTrue="1" operator="greaterThan">
      <formula>$F$41</formula>
    </cfRule>
    <cfRule type="cellIs" dxfId="605" priority="122" stopIfTrue="1" operator="greaterThan">
      <formula>$F$39</formula>
    </cfRule>
    <cfRule type="cellIs" dxfId="604" priority="127" stopIfTrue="1" operator="lessThanOrEqual">
      <formula>0</formula>
    </cfRule>
    <cfRule type="cellIs" dxfId="603" priority="126" stopIfTrue="1" operator="greaterThan">
      <formula>$F$39</formula>
    </cfRule>
    <cfRule type="cellIs" dxfId="602" priority="125" stopIfTrue="1" operator="lessThanOrEqual">
      <formula>0</formula>
    </cfRule>
    <cfRule type="cellIs" dxfId="601" priority="123" stopIfTrue="1" operator="lessThanOrEqual">
      <formula>0</formula>
    </cfRule>
  </conditionalFormatting>
  <conditionalFormatting sqref="I64:I65">
    <cfRule type="cellIs" dxfId="600" priority="61" stopIfTrue="1" operator="greaterThan">
      <formula>#REF!</formula>
    </cfRule>
    <cfRule type="cellIs" dxfId="599" priority="60" stopIfTrue="1" operator="lessThanOrEqual">
      <formula>0</formula>
    </cfRule>
    <cfRule type="cellIs" dxfId="598" priority="64" stopIfTrue="1" operator="lessThanOrEqual">
      <formula>0</formula>
    </cfRule>
    <cfRule type="cellIs" dxfId="597" priority="63" stopIfTrue="1" operator="greaterThan">
      <formula>#REF!</formula>
    </cfRule>
    <cfRule type="cellIs" dxfId="596" priority="62" stopIfTrue="1" operator="lessThanOrEqual">
      <formula>0</formula>
    </cfRule>
    <cfRule type="cellIs" dxfId="595" priority="59" stopIfTrue="1" operator="greaterThan">
      <formula>#REF!</formula>
    </cfRule>
  </conditionalFormatting>
  <conditionalFormatting sqref="I69:I77">
    <cfRule type="cellIs" dxfId="594" priority="154" stopIfTrue="1" operator="greaterThan">
      <formula>$J69</formula>
    </cfRule>
    <cfRule type="cellIs" dxfId="593" priority="155" stopIfTrue="1" operator="lessThanOrEqual">
      <formula>0</formula>
    </cfRule>
  </conditionalFormatting>
  <conditionalFormatting sqref="I80:I88">
    <cfRule type="cellIs" dxfId="592" priority="179" stopIfTrue="1" operator="lessThanOrEqual">
      <formula>0</formula>
    </cfRule>
    <cfRule type="cellIs" dxfId="591" priority="178" stopIfTrue="1" operator="greaterThan">
      <formula>4.5</formula>
    </cfRule>
  </conditionalFormatting>
  <conditionalFormatting sqref="I10:J26">
    <cfRule type="cellIs" dxfId="590" priority="32" operator="lessThan">
      <formula>97.9</formula>
    </cfRule>
  </conditionalFormatting>
  <conditionalFormatting sqref="J30:J31">
    <cfRule type="cellIs" dxfId="589" priority="135" operator="lessThan">
      <formula>98</formula>
    </cfRule>
    <cfRule type="cellIs" dxfId="588" priority="133" stopIfTrue="1" operator="lessThan">
      <formula>96.8</formula>
    </cfRule>
    <cfRule type="cellIs" dxfId="587" priority="134" stopIfTrue="1" operator="greaterThan">
      <formula>100</formula>
    </cfRule>
  </conditionalFormatting>
  <conditionalFormatting sqref="J30:J33">
    <cfRule type="cellIs" dxfId="586" priority="132" operator="lessThan">
      <formula>97.4</formula>
    </cfRule>
  </conditionalFormatting>
  <conditionalFormatting sqref="J34:J35">
    <cfRule type="cellIs" dxfId="585" priority="136" operator="lessThan">
      <formula>98</formula>
    </cfRule>
  </conditionalFormatting>
  <conditionalFormatting sqref="J36:J37">
    <cfRule type="cellIs" dxfId="584" priority="137" stopIfTrue="1" operator="lessThan">
      <formula>96.8</formula>
    </cfRule>
    <cfRule type="cellIs" dxfId="583" priority="138" stopIfTrue="1" operator="greaterThan">
      <formula>100</formula>
    </cfRule>
  </conditionalFormatting>
  <conditionalFormatting sqref="J36:J38">
    <cfRule type="cellIs" dxfId="582" priority="139" operator="lessThan">
      <formula>98</formula>
    </cfRule>
  </conditionalFormatting>
  <conditionalFormatting sqref="J65">
    <cfRule type="cellIs" dxfId="581" priority="50" stopIfTrue="1" operator="lessThanOrEqual">
      <formula>0</formula>
    </cfRule>
    <cfRule type="cellIs" dxfId="580" priority="47" stopIfTrue="1" operator="greaterThan">
      <formula>#REF!</formula>
    </cfRule>
    <cfRule type="cellIs" dxfId="579" priority="54" stopIfTrue="1" operator="lessThanOrEqual">
      <formula>0</formula>
    </cfRule>
    <cfRule type="cellIs" dxfId="578" priority="53" stopIfTrue="1" operator="greaterThan">
      <formula>#REF!</formula>
    </cfRule>
    <cfRule type="cellIs" dxfId="577" priority="52" stopIfTrue="1" operator="lessThanOrEqual">
      <formula>0</formula>
    </cfRule>
    <cfRule type="cellIs" dxfId="576" priority="51" stopIfTrue="1" operator="greaterThan">
      <formula>#REF!</formula>
    </cfRule>
    <cfRule type="cellIs" dxfId="575" priority="49" stopIfTrue="1" operator="greaterThan">
      <formula>#REF!</formula>
    </cfRule>
    <cfRule type="cellIs" dxfId="574" priority="48" stopIfTrue="1" operator="lessThanOrEqual">
      <formula>0</formula>
    </cfRule>
  </conditionalFormatting>
  <conditionalFormatting sqref="J78">
    <cfRule type="cellIs" dxfId="573" priority="140" stopIfTrue="1" operator="greaterThan">
      <formula>$F78</formula>
    </cfRule>
    <cfRule type="cellIs" dxfId="572" priority="141" stopIfTrue="1" operator="lessThanOrEqual">
      <formula>0</formula>
    </cfRule>
  </conditionalFormatting>
  <conditionalFormatting sqref="K10:K26">
    <cfRule type="cellIs" dxfId="571" priority="35" operator="greaterThan">
      <formula>6.4</formula>
    </cfRule>
    <cfRule type="cellIs" dxfId="570" priority="34" operator="lessThan">
      <formula>4</formula>
    </cfRule>
    <cfRule type="cellIs" dxfId="569" priority="33" operator="greaterThan">
      <formula>6</formula>
    </cfRule>
  </conditionalFormatting>
  <conditionalFormatting sqref="K58:K65 K69:N75 K76 M76:N76 K77:N77">
    <cfRule type="cellIs" dxfId="568" priority="117" stopIfTrue="1" operator="lessThan">
      <formula>100%</formula>
    </cfRule>
  </conditionalFormatting>
  <conditionalFormatting sqref="K80:K85">
    <cfRule type="cellIs" dxfId="567" priority="184" stopIfTrue="1" operator="lessThan">
      <formula>100%</formula>
    </cfRule>
  </conditionalFormatting>
  <conditionalFormatting sqref="K87:K88">
    <cfRule type="cellIs" dxfId="566" priority="191" stopIfTrue="1" operator="lessThan">
      <formula>100%</formula>
    </cfRule>
  </conditionalFormatting>
  <conditionalFormatting sqref="L10:L23 L26">
    <cfRule type="cellIs" dxfId="565" priority="69" operator="between">
      <formula>61</formula>
      <formula>65</formula>
    </cfRule>
    <cfRule type="cellIs" dxfId="564" priority="70" operator="greaterThan">
      <formula>65</formula>
    </cfRule>
  </conditionalFormatting>
  <conditionalFormatting sqref="L24:M25">
    <cfRule type="cellIs" dxfId="563" priority="38" operator="between">
      <formula>61</formula>
      <formula>65</formula>
    </cfRule>
    <cfRule type="cellIs" dxfId="562" priority="39" operator="greaterThan">
      <formula>65</formula>
    </cfRule>
  </conditionalFormatting>
  <conditionalFormatting sqref="L29:M40">
    <cfRule type="cellIs" dxfId="561" priority="85" operator="lessThan">
      <formula>97.95</formula>
    </cfRule>
  </conditionalFormatting>
  <conditionalFormatting sqref="L44:N44">
    <cfRule type="cellIs" dxfId="560" priority="86" operator="notEqual">
      <formula>#REF!</formula>
    </cfRule>
  </conditionalFormatting>
  <conditionalFormatting sqref="L78:N78">
    <cfRule type="cellIs" dxfId="559" priority="142" stopIfTrue="1" operator="lessThan">
      <formula>100%</formula>
    </cfRule>
  </conditionalFormatting>
  <conditionalFormatting sqref="L80:N88">
    <cfRule type="cellIs" dxfId="558" priority="169" stopIfTrue="1" operator="lessThan">
      <formula>100%</formula>
    </cfRule>
  </conditionalFormatting>
  <conditionalFormatting sqref="M10:M23">
    <cfRule type="expression" dxfId="557" priority="13">
      <formula>IF(+(IF(M10&lt;U10,0,IF(M10&gt;V10,0,1)))=0,1)</formula>
    </cfRule>
  </conditionalFormatting>
  <conditionalFormatting sqref="M24:M25 H15:H19 G24:H26">
    <cfRule type="expression" dxfId="556" priority="40">
      <formula>IF(+(IF(G15&lt;#REF!,0,IF(G15&gt;#REF!,0,1)))=0,1)</formula>
    </cfRule>
  </conditionalFormatting>
  <conditionalFormatting sqref="M26:N26">
    <cfRule type="expression" dxfId="555" priority="199">
      <formula>IF(+(IF(M26&lt;#REF!,0,IF(M26&gt;#REF!,0,1)))=0,1)</formula>
    </cfRule>
  </conditionalFormatting>
  <conditionalFormatting sqref="N10:N25">
    <cfRule type="expression" dxfId="554" priority="31">
      <formula>IF(+(IF(N10&lt;W10,0,IF(N10&gt;X10,0,1)))=0,1)</formula>
    </cfRule>
  </conditionalFormatting>
  <conditionalFormatting sqref="P6">
    <cfRule type="cellIs" dxfId="553" priority="165" operator="greaterThanOrEqual">
      <formula>19</formula>
    </cfRule>
  </conditionalFormatting>
  <dataValidations count="1">
    <dataValidation type="list" allowBlank="1" showInputMessage="1" showErrorMessage="1" sqref="R8" xr:uid="{7080860D-3C8C-4984-AAF2-09E48873CB6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736D-D37B-417C-8E3B-EDFFC37B2551}">
  <sheetPr>
    <pageSetUpPr fitToPage="1"/>
  </sheetPr>
  <dimension ref="A1:BE76"/>
  <sheetViews>
    <sheetView topLeftCell="A25" zoomScale="80" zoomScaleNormal="80" workbookViewId="0">
      <selection activeCell="E10" sqref="E10:E11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45988</v>
      </c>
      <c r="J4" s="398" t="s">
        <v>194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193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6.5" customHeight="1">
      <c r="B10" s="34" t="s">
        <v>12</v>
      </c>
      <c r="C10" s="366" t="str">
        <f>[26]Brewhouse!$A120</f>
        <v>GU108</v>
      </c>
      <c r="D10" s="279">
        <f>[26]Brewhouse!$AF120</f>
        <v>54.8</v>
      </c>
      <c r="E10" s="279">
        <f>[26]Brewhouse!$AI120</f>
        <v>50.1</v>
      </c>
      <c r="F10" s="278">
        <f>[26]Brewhouse!$V120</f>
        <v>63</v>
      </c>
      <c r="G10" s="279">
        <f>[26]Brewhouse!$AG120</f>
        <v>17</v>
      </c>
      <c r="H10" s="396">
        <v>17</v>
      </c>
      <c r="I10" s="420">
        <f>[26]Brewhouse!$AU120</f>
        <v>93.272882916503036</v>
      </c>
      <c r="J10" s="420">
        <f>[26]Brewhouse!$AV120</f>
        <v>93.373209426503053</v>
      </c>
      <c r="K10" s="463">
        <f>[26]Brewhouse!$R120</f>
        <v>8.0136986301369859</v>
      </c>
      <c r="L10" s="276">
        <f>[26]Brewhouse!$O120</f>
        <v>60</v>
      </c>
      <c r="M10" s="374">
        <f>[26]Brewhouse!$U120-[26]Brewhouse!$T120</f>
        <v>0.11805555555555536</v>
      </c>
      <c r="N10" s="370">
        <f>[26]Brewhouse!$Z120</f>
        <v>0.25694444444444431</v>
      </c>
      <c r="O10" s="421" t="str">
        <f>[26]Brewhouse!$AW120</f>
        <v>K. Benjamin</v>
      </c>
      <c r="P10" s="418"/>
      <c r="R10" s="277" t="str">
        <f t="shared" ref="R10:R38" si="0">B10</f>
        <v>GUINNESS</v>
      </c>
      <c r="S10" s="296">
        <f t="shared" ref="S10:S38" si="1">VLOOKUP($B10,$R$3:$X$9,2,FALSE)</f>
        <v>17</v>
      </c>
      <c r="T10" s="296">
        <f t="shared" ref="T10:T38" si="2">VLOOKUP($B10,$R$3:$X$9,3,FALSE)</f>
        <v>17.5</v>
      </c>
      <c r="U10" s="297">
        <f t="shared" ref="U10:U38" si="3">VLOOKUP($B10,$R$3:$X$9,4,FALSE)</f>
        <v>0</v>
      </c>
      <c r="V10" s="297">
        <f t="shared" ref="V10:V38" si="4">VLOOKUP($B10,$R$3:$X$9,5,FALSE)</f>
        <v>0.1076388888888889</v>
      </c>
      <c r="W10" s="297">
        <f t="shared" ref="W10:W38" si="5">VLOOKUP($B10,$R$3:$X$9,6,FALSE)</f>
        <v>0.24652777777777779</v>
      </c>
      <c r="X10" s="297">
        <f t="shared" ref="X10:X38" si="6">VLOOKUP($B10,$R$3:$X$9,7,FALSE)</f>
        <v>0.28472222222222221</v>
      </c>
      <c r="Y10" s="297">
        <f t="shared" ref="Y10:Y38" si="7">VLOOKUP($B10,$R$3:$Z$9,8,FALSE)</f>
        <v>0</v>
      </c>
      <c r="Z10" s="296">
        <f t="shared" ref="Z10:Z38" si="8">VLOOKUP($B10,$R$3:$Z$9,9,FALSE)</f>
        <v>60</v>
      </c>
    </row>
    <row r="11" spans="2:29" ht="16.5" customHeight="1">
      <c r="B11" s="34" t="s">
        <v>12</v>
      </c>
      <c r="C11" s="366" t="str">
        <f>[26]Brewhouse!$A121</f>
        <v>GU109</v>
      </c>
      <c r="D11" s="279">
        <f>[26]Brewhouse!$AF121</f>
        <v>54.9</v>
      </c>
      <c r="E11" s="279">
        <f>[26]Brewhouse!$AI121</f>
        <v>51.3</v>
      </c>
      <c r="F11" s="278">
        <f>[26]Brewhouse!$V121</f>
        <v>62</v>
      </c>
      <c r="G11" s="279">
        <f>[26]Brewhouse!$AG121</f>
        <v>17.100000000000001</v>
      </c>
      <c r="H11" s="396">
        <v>17</v>
      </c>
      <c r="I11" s="420">
        <f>[26]Brewhouse!$AU121</f>
        <v>95.909384046964689</v>
      </c>
      <c r="J11" s="420">
        <f>[26]Brewhouse!$AV121</f>
        <v>96.012600199759262</v>
      </c>
      <c r="K11" s="463">
        <f>[26]Brewhouse!$R121</f>
        <v>8.4693877551020353</v>
      </c>
      <c r="L11" s="276">
        <f>[26]Brewhouse!$O121</f>
        <v>60</v>
      </c>
      <c r="M11" s="374">
        <f>[26]Brewhouse!$U121-[26]Brewhouse!$T121</f>
        <v>0.12708333333333344</v>
      </c>
      <c r="N11" s="370">
        <f>[26]Brewhouse!$Z121</f>
        <v>0.26458333333333339</v>
      </c>
      <c r="O11" s="421" t="str">
        <f>[26]Brewhouse!$AW121</f>
        <v>K. Benjamin</v>
      </c>
      <c r="P11" s="418" t="s">
        <v>183</v>
      </c>
      <c r="R11" s="277" t="str">
        <f t="shared" si="0"/>
        <v>GUINNESS</v>
      </c>
      <c r="S11" s="296">
        <f t="shared" si="1"/>
        <v>17</v>
      </c>
      <c r="T11" s="296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296">
        <f t="shared" si="8"/>
        <v>60</v>
      </c>
    </row>
    <row r="12" spans="2:29" ht="16.5" customHeight="1">
      <c r="B12" s="34"/>
      <c r="C12" s="366"/>
      <c r="D12" s="279"/>
      <c r="E12" s="279"/>
      <c r="F12" s="278"/>
      <c r="G12" s="279"/>
      <c r="H12" s="396"/>
      <c r="I12" s="420"/>
      <c r="J12" s="420"/>
      <c r="K12" s="463"/>
      <c r="L12" s="276"/>
      <c r="M12" s="374"/>
      <c r="N12" s="370"/>
      <c r="O12" s="421"/>
      <c r="P12" s="418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6.5" hidden="1" customHeight="1">
      <c r="B13" s="34"/>
      <c r="C13" s="366"/>
      <c r="D13" s="279"/>
      <c r="E13" s="279"/>
      <c r="F13" s="278"/>
      <c r="G13" s="279"/>
      <c r="H13" s="396"/>
      <c r="I13" s="420"/>
      <c r="J13" s="420"/>
      <c r="K13" s="463"/>
      <c r="L13" s="276"/>
      <c r="M13" s="374"/>
      <c r="N13" s="370"/>
      <c r="O13" s="421"/>
      <c r="P13" s="418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6.5" hidden="1" customHeight="1">
      <c r="B14" s="34"/>
      <c r="C14" s="366"/>
      <c r="D14" s="279"/>
      <c r="E14" s="279"/>
      <c r="F14" s="278"/>
      <c r="G14" s="279"/>
      <c r="H14" s="396"/>
      <c r="I14" s="420"/>
      <c r="J14" s="420"/>
      <c r="K14" s="463"/>
      <c r="L14" s="276"/>
      <c r="M14" s="374"/>
      <c r="N14" s="370"/>
      <c r="O14" s="421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6.5" hidden="1" customHeight="1">
      <c r="B15" s="29"/>
      <c r="C15" s="366"/>
      <c r="D15" s="279"/>
      <c r="E15" s="279"/>
      <c r="F15" s="278"/>
      <c r="G15" s="279"/>
      <c r="H15" s="476"/>
      <c r="I15" s="368"/>
      <c r="J15" s="368"/>
      <c r="K15" s="281"/>
      <c r="L15" s="276"/>
      <c r="M15" s="397"/>
      <c r="N15" s="370"/>
      <c r="O15" s="421"/>
      <c r="P15" s="418"/>
      <c r="R15" s="277">
        <f t="shared" ref="R15:R26" si="9">B15</f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6.5" hidden="1" customHeight="1">
      <c r="B16" s="29"/>
      <c r="C16" s="366"/>
      <c r="D16" s="279"/>
      <c r="E16" s="279"/>
      <c r="F16" s="278"/>
      <c r="G16" s="279"/>
      <c r="H16" s="476"/>
      <c r="I16" s="368"/>
      <c r="J16" s="368"/>
      <c r="K16" s="281"/>
      <c r="L16" s="276"/>
      <c r="M16" s="397"/>
      <c r="N16" s="370"/>
      <c r="O16" s="421"/>
      <c r="P16" s="418"/>
      <c r="R16" s="277">
        <f t="shared" si="9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6.5" hidden="1" customHeight="1">
      <c r="B17" s="29"/>
      <c r="C17" s="366"/>
      <c r="D17" s="279"/>
      <c r="E17" s="279"/>
      <c r="F17" s="278"/>
      <c r="G17" s="279"/>
      <c r="H17" s="476"/>
      <c r="I17" s="368"/>
      <c r="J17" s="368"/>
      <c r="K17" s="281"/>
      <c r="L17" s="276"/>
      <c r="M17" s="397"/>
      <c r="N17" s="370"/>
      <c r="O17" s="421"/>
      <c r="P17" s="418"/>
      <c r="R17" s="277">
        <f t="shared" si="9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6.5" hidden="1" customHeight="1">
      <c r="B18" s="29"/>
      <c r="C18" s="366"/>
      <c r="D18" s="279"/>
      <c r="E18" s="279"/>
      <c r="F18" s="278"/>
      <c r="G18" s="279"/>
      <c r="H18" s="476"/>
      <c r="I18" s="368"/>
      <c r="J18" s="368"/>
      <c r="K18" s="281"/>
      <c r="L18" s="276"/>
      <c r="M18" s="397"/>
      <c r="N18" s="370"/>
      <c r="O18" s="421"/>
      <c r="P18" s="418"/>
      <c r="R18" s="277">
        <f t="shared" si="9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6.5" hidden="1" customHeight="1">
      <c r="B19" s="29"/>
      <c r="C19" s="366"/>
      <c r="D19" s="279"/>
      <c r="E19" s="279"/>
      <c r="F19" s="278"/>
      <c r="G19" s="279"/>
      <c r="H19" s="476"/>
      <c r="I19" s="368"/>
      <c r="J19" s="368"/>
      <c r="K19" s="281"/>
      <c r="L19" s="276"/>
      <c r="M19" s="397"/>
      <c r="N19" s="370"/>
      <c r="O19" s="421"/>
      <c r="P19" s="418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6.5" hidden="1" customHeight="1">
      <c r="B20" s="29"/>
      <c r="C20" s="366"/>
      <c r="D20" s="279"/>
      <c r="E20" s="279"/>
      <c r="F20" s="278"/>
      <c r="G20" s="279"/>
      <c r="H20" s="476"/>
      <c r="I20" s="368"/>
      <c r="J20" s="368"/>
      <c r="K20" s="281"/>
      <c r="L20" s="276"/>
      <c r="M20" s="397"/>
      <c r="N20" s="370"/>
      <c r="O20" s="421"/>
      <c r="P20" s="418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6.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1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6.5" hidden="1" customHeight="1">
      <c r="B22" s="33"/>
      <c r="C22" s="366"/>
      <c r="D22" s="279"/>
      <c r="E22" s="279"/>
      <c r="F22" s="278"/>
      <c r="G22" s="279"/>
      <c r="H22" s="396"/>
      <c r="I22" s="420"/>
      <c r="J22" s="420"/>
      <c r="K22" s="281"/>
      <c r="L22" s="276"/>
      <c r="M22" s="374"/>
      <c r="N22" s="370"/>
      <c r="O22" s="421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6.5" hidden="1" customHeight="1">
      <c r="B23" s="33"/>
      <c r="C23" s="366"/>
      <c r="D23" s="279"/>
      <c r="E23" s="279"/>
      <c r="F23" s="278"/>
      <c r="G23" s="279"/>
      <c r="H23" s="396"/>
      <c r="I23" s="420"/>
      <c r="J23" s="420"/>
      <c r="K23" s="281"/>
      <c r="L23" s="276"/>
      <c r="M23" s="374"/>
      <c r="N23" s="370"/>
      <c r="O23" s="421"/>
      <c r="P23" s="418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6.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12"/>
      <c r="J25" s="512"/>
      <c r="K25" s="512"/>
      <c r="L25" s="512"/>
      <c r="M25" s="512"/>
      <c r="N25" s="512"/>
      <c r="O25" s="1"/>
      <c r="P25" s="12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.75" customHeight="1" thickBot="1">
      <c r="B26" s="388" t="s">
        <v>162</v>
      </c>
      <c r="C26" s="388"/>
      <c r="D26" s="490" t="s">
        <v>35</v>
      </c>
      <c r="E26" s="491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5" customHeight="1">
      <c r="A27" s="28"/>
      <c r="B27" s="589" t="str">
        <f>J50</f>
        <v>CARIBE</v>
      </c>
      <c r="C27" s="362"/>
      <c r="D27" s="516"/>
      <c r="E27" s="517"/>
      <c r="F27" s="294"/>
      <c r="G27" s="294"/>
      <c r="H27" s="348"/>
      <c r="I27" s="29" t="s">
        <v>6</v>
      </c>
      <c r="J27" s="280"/>
      <c r="K27" s="284">
        <f>COUNTA([24]Brewhouse!$A$914:$A$989)</f>
        <v>76</v>
      </c>
      <c r="L27" s="305">
        <f>AVERAGE([24]Brewhouse!$AU$914:$AU$989)</f>
        <v>98.112893060604236</v>
      </c>
      <c r="M27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$989)</f>
        <v>97.752489444045736</v>
      </c>
      <c r="N27" s="30">
        <v>98</v>
      </c>
      <c r="O27" s="11"/>
      <c r="P27" s="31"/>
      <c r="R27" s="277" t="str">
        <f t="shared" si="0"/>
        <v>CARIBE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5" customHeight="1">
      <c r="A28" s="28"/>
      <c r="B28" s="591"/>
      <c r="C28" s="362"/>
      <c r="D28" s="518"/>
      <c r="E28" s="519"/>
      <c r="F28" s="294"/>
      <c r="G28" s="294"/>
      <c r="H28" s="348"/>
      <c r="I28" s="33" t="s">
        <v>9</v>
      </c>
      <c r="J28" s="280"/>
      <c r="K28" s="284">
        <f>COUNTA([25]Brewhouse!$A$449:$A$484)</f>
        <v>36</v>
      </c>
      <c r="L28" s="302">
        <f>AVERAGE([25]Brewhouse!$AS$449:$AS$484)</f>
        <v>96.933734298290275</v>
      </c>
      <c r="M28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$484)</f>
        <v>97.847961594552643</v>
      </c>
      <c r="N28" s="30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91"/>
      <c r="C29" s="362"/>
      <c r="D29" s="566"/>
      <c r="E29" s="567"/>
      <c r="F29" s="294"/>
      <c r="G29" s="294"/>
      <c r="H29" s="348"/>
      <c r="I29" s="34" t="s">
        <v>12</v>
      </c>
      <c r="J29" s="280">
        <f>AVERAGE(I10:I11)</f>
        <v>94.591133481733863</v>
      </c>
      <c r="K29" s="284">
        <f>COUNTA([26]Brewhouse!$A$116:$A$121)</f>
        <v>6</v>
      </c>
      <c r="L29" s="302">
        <f>AVERAGE([26]Brewhouse!$AU$116:$AU$121)</f>
        <v>94.813577075244439</v>
      </c>
      <c r="M29" s="302">
        <f>AVERAGE([26]Brewhouse!$AU$4:$AU$7,[26]Brewhouse!$AU$9:$AU$22,[26]Brewhouse!$AU$24:$AU$35,[26]Brewhouse!$AU$37:$AU$45,[26]Brewhouse!$AU$47:$AU$62,[26]Brewhouse!$AU$64:$AU$79,[26]Brewhouse!$AU$81:$AU$92,[26]Brewhouse!$AU$94:$AU$97,[26]Brewhouse!$AU$99:$AU$106,[26]Brewhouse!$AU$116:$AU$121)</f>
        <v>96.539759334955377</v>
      </c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91"/>
      <c r="C30" s="362"/>
      <c r="D30" s="531"/>
      <c r="E30" s="519"/>
      <c r="F30" s="294"/>
      <c r="G30" s="294"/>
      <c r="H30" s="348"/>
      <c r="I30" s="22" t="s">
        <v>33</v>
      </c>
      <c r="J30" s="280"/>
      <c r="K30" s="284">
        <f>COUNTA([23]Brewhouse!$A$97:$A$104)</f>
        <v>8</v>
      </c>
      <c r="L30" s="302">
        <f>AVERAGE([23]Brewhouse!$AV$97:$AV$104)</f>
        <v>98.419138016287462</v>
      </c>
      <c r="M30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7" ht="14.65" customHeight="1">
      <c r="A31" s="28"/>
      <c r="B31" s="591"/>
      <c r="C31" s="362"/>
      <c r="D31" s="566"/>
      <c r="E31" s="567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7" ht="14.65" customHeight="1">
      <c r="A32" s="28"/>
      <c r="B32" s="591"/>
      <c r="C32" s="362"/>
      <c r="D32" s="531"/>
      <c r="E32" s="519"/>
      <c r="F32" s="417"/>
      <c r="G32" s="294"/>
      <c r="H32" s="348"/>
      <c r="I32" s="36" t="s">
        <v>15</v>
      </c>
      <c r="J32" s="323"/>
      <c r="K32" s="284"/>
      <c r="L32" s="302"/>
      <c r="M32" s="302">
        <f>AVERAGE([27]Brewhouse!$AT$4:$AT$11,[27]Brewhouse!$AT$13:$AT$16,[27]Brewhouse!$AT$18:$AT$21,[27]Brewhouse!$AT$26,[27]Brewhouse!$AT$28:$AT$35)</f>
        <v>94.794664331624134</v>
      </c>
      <c r="N32" s="3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4.65" customHeight="1">
      <c r="A33" s="28"/>
      <c r="B33" s="591"/>
      <c r="C33" s="362"/>
      <c r="D33" s="566"/>
      <c r="E33" s="567"/>
      <c r="F33" s="417"/>
      <c r="G33" s="294"/>
      <c r="H33" s="348"/>
      <c r="I33" s="37" t="s">
        <v>16</v>
      </c>
      <c r="J33" s="323"/>
      <c r="K33" s="284">
        <f>COUNTA([22]Brewhouse!$A$94:$A$97)</f>
        <v>4</v>
      </c>
      <c r="L33" s="302">
        <f>AVERAGE([22]Brewhouse!$AY$94:$AY$97)</f>
        <v>95.326767995731288</v>
      </c>
      <c r="M33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3" s="30">
        <v>98</v>
      </c>
      <c r="O33" s="11"/>
      <c r="P33" s="31" t="s">
        <v>41</v>
      </c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4.65" customHeight="1">
      <c r="A34" s="28"/>
      <c r="B34" s="591"/>
      <c r="C34" s="362"/>
      <c r="D34" s="531"/>
      <c r="E34" s="519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AVERAGE([28]Brewhouse!$AU$5:$AU$8,[28]Brewhouse!$AU$10:$AU$13,[22]Brewhouse!$AY$75:$AY$77)</f>
        <v>94.749192473706671</v>
      </c>
      <c r="N34" s="30">
        <v>98</v>
      </c>
      <c r="O34" s="11"/>
      <c r="P34" s="31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4.65" customHeight="1">
      <c r="A35" s="28"/>
      <c r="B35" s="591"/>
      <c r="C35" s="349"/>
      <c r="D35" s="566"/>
      <c r="E35" s="567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5" customHeight="1" thickBot="1">
      <c r="A36" s="28"/>
      <c r="B36" s="591"/>
      <c r="C36" s="349"/>
      <c r="D36" s="531"/>
      <c r="E36" s="519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  <c r="AA36" s="296"/>
    </row>
    <row r="37" spans="1:56" ht="15" customHeight="1" thickBot="1">
      <c r="A37" s="28"/>
      <c r="B37" s="591"/>
      <c r="C37" s="349"/>
      <c r="D37" s="516"/>
      <c r="E37" s="517"/>
      <c r="F37" s="294"/>
      <c r="G37" s="294"/>
      <c r="H37" s="348"/>
      <c r="I37" s="1"/>
      <c r="J37" s="39"/>
      <c r="K37" s="404">
        <f>SUM(K27:K36)</f>
        <v>130</v>
      </c>
      <c r="L37" s="405">
        <f>((L27*K27)+(L28*K28)+(L29*K29)+(L30*K30)+(L31*K31)+(K34*L34)+(L32*K32)+(L33*K33)+(L36*K36))/(K37)</f>
        <v>97.56719958391588</v>
      </c>
      <c r="M37" s="405">
        <f>AVERAGE('[31]Jan 31st'!$L$65,'[32]Feb 28th'!$L$35,'[33]Mar. 31st'!$L$35,'[34]Apr. 30th'!$L$45,'[35]May 30th'!$L$37,'[36]June 30th'!$L$57,'[37]July 29th '!$L$44,'[38]Aug 29th'!$L$29,'[39]Sept 30th'!$L$35,L37)</f>
        <v>97.574670198073392</v>
      </c>
      <c r="N37" s="40">
        <v>98</v>
      </c>
      <c r="O37" s="11"/>
      <c r="P37" s="31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  <c r="AA37" s="296"/>
    </row>
    <row r="38" spans="1:56" ht="15.75" thickBot="1">
      <c r="B38" s="592"/>
      <c r="C38" s="350"/>
      <c r="D38" s="518"/>
      <c r="E38" s="519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  <c r="AA38" s="296"/>
    </row>
    <row r="39" spans="1:56" ht="15.75" thickBot="1">
      <c r="B39" s="585"/>
      <c r="C39" s="362"/>
      <c r="D39" s="529"/>
      <c r="E39" s="530"/>
      <c r="F39" s="294"/>
      <c r="G39" s="42"/>
      <c r="H39" s="41"/>
      <c r="I39" s="42"/>
      <c r="J39" s="565" t="s">
        <v>129</v>
      </c>
      <c r="K39" s="565"/>
      <c r="L39" s="294"/>
      <c r="M39" s="294"/>
      <c r="N39" s="294"/>
      <c r="O39" s="294"/>
      <c r="P39" s="12"/>
    </row>
    <row r="40" spans="1:56" ht="15.75" thickBot="1">
      <c r="B40" s="586"/>
      <c r="C40" s="362"/>
      <c r="D40" s="531"/>
      <c r="E40" s="519"/>
      <c r="F40" s="294"/>
      <c r="G40" s="42"/>
      <c r="H40" s="41"/>
      <c r="I40" s="42"/>
      <c r="J40" s="292" t="s">
        <v>17</v>
      </c>
      <c r="K40" s="293" t="s">
        <v>199</v>
      </c>
      <c r="L40" s="533" t="s">
        <v>136</v>
      </c>
      <c r="M40" s="533"/>
      <c r="N40" s="534"/>
      <c r="O40" s="294"/>
      <c r="P40" s="12"/>
    </row>
    <row r="41" spans="1:56" ht="15" customHeight="1" thickBot="1">
      <c r="B41" s="586"/>
      <c r="C41" s="349"/>
      <c r="D41" s="566"/>
      <c r="E41" s="567"/>
      <c r="F41" s="294"/>
      <c r="G41" s="42"/>
      <c r="H41" s="41"/>
      <c r="I41" s="42"/>
      <c r="J41" s="287" t="s">
        <v>6</v>
      </c>
      <c r="K41" s="324"/>
      <c r="L41" s="343" t="s">
        <v>37</v>
      </c>
      <c r="M41" s="307" t="s">
        <v>38</v>
      </c>
      <c r="N41" s="307" t="s">
        <v>84</v>
      </c>
      <c r="O41" s="294"/>
      <c r="P41" s="12"/>
    </row>
    <row r="42" spans="1:56" ht="15.75" customHeight="1" thickBot="1">
      <c r="B42" s="586"/>
      <c r="C42" s="349"/>
      <c r="D42" s="531"/>
      <c r="E42" s="519"/>
      <c r="F42" s="294"/>
      <c r="G42" s="42"/>
      <c r="H42" s="41"/>
      <c r="I42" s="42"/>
      <c r="J42" s="345" t="s">
        <v>9</v>
      </c>
      <c r="K42" s="324"/>
      <c r="L42" s="344">
        <f>AVERAGE('Nov 24th'!K53,'Nov 25th'!K53,'Nov 21st'!K47,'Nov 22nd-23rd'!J61,'Nov 22nd-23rd'!K61,'Nov 26th'!K51,'Nov 19th '!K49,'Nov 18th'!K58,'Nov 15th'!K53,'Nov 13th&amp; 14th'!J53,'Nov 13th&amp; 14th'!K53,'Nov 12th'!K47,'Nov 11th'!K51,'Nov 10th'!K53,'Nov 6th '!K52,'Nov 7th-8th'!J55,'Nov 7th-8th'!K55,'Nov 4th'!K52,'Nov 5th'!K51,Nov.3rd!K52)</f>
        <v>6.45</v>
      </c>
      <c r="M42" s="325">
        <f>AVERAGE('[31]Jan 29th '!$M$70,'[32]Feb 28th'!$L$40,'[33]Mar. 31st'!$L$40,'[34]Apr. 30th'!$L$50,'[35]May 30th'!$L$42,'[36]June 30th'!$L$62,'[37]July 29th '!$L$49,'[38]Aug 29th'!$L$34,'[39]Sept 30th'!$L$40,[40]Oct.31st!$L$43,L42)</f>
        <v>7.0075187588917567</v>
      </c>
      <c r="N42" s="416">
        <v>9.1999999999999993</v>
      </c>
      <c r="O42" s="294"/>
      <c r="P42" s="12"/>
    </row>
    <row r="43" spans="1:56" ht="15" customHeight="1">
      <c r="B43" s="586"/>
      <c r="C43" s="349"/>
      <c r="D43" s="566"/>
      <c r="E43" s="567"/>
      <c r="F43" s="294"/>
      <c r="G43" s="42"/>
      <c r="H43" s="41"/>
      <c r="I43" s="42"/>
      <c r="J43" s="288" t="s">
        <v>40</v>
      </c>
      <c r="K43" s="324">
        <v>2</v>
      </c>
      <c r="L43" s="294"/>
      <c r="M43" s="294"/>
      <c r="N43" s="294"/>
      <c r="O43" s="294"/>
      <c r="P43" s="12"/>
    </row>
    <row r="44" spans="1:56" ht="15" customHeight="1">
      <c r="B44" s="586"/>
      <c r="C44" s="349"/>
      <c r="D44" s="531"/>
      <c r="E44" s="519"/>
      <c r="F44" s="294"/>
      <c r="G44" s="42"/>
      <c r="H44" s="41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86"/>
      <c r="C45" s="349"/>
      <c r="D45" s="566"/>
      <c r="E45" s="567"/>
      <c r="F45" s="294"/>
      <c r="G45" s="42"/>
      <c r="H45" s="41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86"/>
      <c r="C46" s="349"/>
      <c r="D46" s="531"/>
      <c r="E46" s="519"/>
      <c r="F46" s="294"/>
      <c r="G46" s="42"/>
      <c r="H46" s="41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86"/>
      <c r="C47" s="349"/>
      <c r="D47" s="566"/>
      <c r="E47" s="567"/>
      <c r="F47" s="294"/>
      <c r="G47" s="42"/>
      <c r="H47" s="41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90"/>
      <c r="C48" s="350"/>
      <c r="D48" s="568"/>
      <c r="E48" s="569"/>
      <c r="F48" s="294" t="s">
        <v>168</v>
      </c>
      <c r="G48" s="42"/>
      <c r="H48" s="41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76"/>
      <c r="E49" s="577"/>
      <c r="F49" s="294"/>
      <c r="H49" s="41"/>
      <c r="I49" s="42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1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1"/>
      <c r="I51" s="42"/>
      <c r="J51" s="346" t="s">
        <v>130</v>
      </c>
      <c r="K51" s="324">
        <f>SUM(K41:K50)</f>
        <v>2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J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41" t="s">
        <v>17</v>
      </c>
      <c r="C54" s="541" t="s">
        <v>44</v>
      </c>
      <c r="D54" s="543" t="s">
        <v>45</v>
      </c>
      <c r="E54" s="498" t="s">
        <v>46</v>
      </c>
      <c r="F54" s="558" t="s">
        <v>47</v>
      </c>
      <c r="G54" s="552" t="s">
        <v>48</v>
      </c>
      <c r="H54" s="541" t="s">
        <v>49</v>
      </c>
      <c r="I54" s="541" t="s">
        <v>50</v>
      </c>
      <c r="J54" s="546" t="s">
        <v>28</v>
      </c>
      <c r="K54" s="496" t="s">
        <v>51</v>
      </c>
      <c r="L54" s="508" t="s">
        <v>52</v>
      </c>
      <c r="M54" s="546" t="s">
        <v>53</v>
      </c>
      <c r="N54" s="13"/>
      <c r="O54" s="13"/>
      <c r="P54" s="50"/>
    </row>
    <row r="55" spans="2:57" ht="28.5" customHeight="1" thickTop="1" thickBot="1">
      <c r="B55" s="542"/>
      <c r="C55" s="542"/>
      <c r="D55" s="544"/>
      <c r="E55" s="545"/>
      <c r="F55" s="559"/>
      <c r="G55" s="553"/>
      <c r="H55" s="560"/>
      <c r="I55" s="560"/>
      <c r="J55" s="547"/>
      <c r="K55" s="556"/>
      <c r="L55" s="557"/>
      <c r="M55" s="547"/>
      <c r="N55" s="13"/>
      <c r="O55" s="13"/>
      <c r="P55" s="50"/>
      <c r="Q55" s="355"/>
      <c r="AB55" s="51">
        <v>43474</v>
      </c>
      <c r="AC55" s="51">
        <v>43475</v>
      </c>
      <c r="AD55" s="51">
        <v>43476</v>
      </c>
      <c r="AE55" s="51">
        <v>43477</v>
      </c>
      <c r="AF55" s="51">
        <v>43478</v>
      </c>
      <c r="AG55" s="51">
        <v>43479</v>
      </c>
      <c r="AH55" s="51">
        <v>43480</v>
      </c>
      <c r="AI55" s="51">
        <v>43481</v>
      </c>
      <c r="AJ55" s="51">
        <v>43482</v>
      </c>
      <c r="AK55" s="51">
        <v>43483</v>
      </c>
      <c r="AL55" s="51">
        <v>43484</v>
      </c>
      <c r="AM55" s="51">
        <v>43485</v>
      </c>
      <c r="AN55" s="51">
        <v>43486</v>
      </c>
      <c r="AO55" s="51">
        <v>43487</v>
      </c>
      <c r="AP55" s="51">
        <v>43488</v>
      </c>
      <c r="AQ55" s="51">
        <v>43489</v>
      </c>
      <c r="AR55" s="51">
        <v>43490</v>
      </c>
      <c r="AS55" s="51">
        <v>43491</v>
      </c>
      <c r="AT55" s="51">
        <v>43492</v>
      </c>
      <c r="AU55" s="51">
        <v>43493</v>
      </c>
      <c r="AV55" s="51">
        <v>43494</v>
      </c>
      <c r="AW55" s="51">
        <v>43495</v>
      </c>
      <c r="AX55" s="51">
        <v>43496</v>
      </c>
    </row>
    <row r="56" spans="2:57" s="54" customFormat="1" ht="43.15" customHeight="1" thickBot="1">
      <c r="B56" s="458"/>
      <c r="C56" s="442"/>
      <c r="D56" s="443"/>
      <c r="E56" s="444"/>
      <c r="F56" s="445"/>
      <c r="G56" s="445"/>
      <c r="H56" s="460"/>
      <c r="I56" s="460"/>
      <c r="J56" s="449"/>
      <c r="K56" s="450"/>
      <c r="L56" s="459"/>
      <c r="M56" s="456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20.45" hidden="1" customHeight="1" thickBot="1">
      <c r="B57" s="473"/>
      <c r="C57" s="431"/>
      <c r="D57" s="432"/>
      <c r="E57" s="433"/>
      <c r="F57" s="434"/>
      <c r="G57" s="435"/>
      <c r="H57" s="429"/>
      <c r="I57" s="429"/>
      <c r="J57" s="452"/>
      <c r="K57" s="437"/>
      <c r="L57" s="453"/>
      <c r="M57" s="422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8.450000000000003" hidden="1" customHeight="1" thickBot="1">
      <c r="B58" s="458"/>
      <c r="C58" s="442"/>
      <c r="D58" s="443"/>
      <c r="E58" s="444"/>
      <c r="F58" s="445"/>
      <c r="G58" s="446"/>
      <c r="H58" s="460"/>
      <c r="I58" s="460"/>
      <c r="J58" s="449"/>
      <c r="K58" s="462"/>
      <c r="L58" s="459" t="e">
        <f>(((D58+E58)-G58)/(D58+E58))*100</f>
        <v>#DIV/0!</v>
      </c>
      <c r="M58" s="456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4"/>
      <c r="C59" s="431"/>
      <c r="D59" s="432"/>
      <c r="E59" s="433"/>
      <c r="F59" s="434"/>
      <c r="G59" s="435"/>
      <c r="H59" s="436"/>
      <c r="I59" s="451"/>
      <c r="J59" s="452"/>
      <c r="K59" s="437"/>
      <c r="L59" s="453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 thickBot="1">
      <c r="B60" s="461"/>
      <c r="C60" s="442"/>
      <c r="D60" s="443"/>
      <c r="E60" s="444"/>
      <c r="F60" s="445"/>
      <c r="G60" s="446"/>
      <c r="H60" s="447"/>
      <c r="I60" s="448"/>
      <c r="J60" s="449"/>
      <c r="K60" s="450"/>
      <c r="L60" s="459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customHeight="1" thickBot="1">
      <c r="B61" s="438"/>
      <c r="C61" s="424"/>
      <c r="D61" s="425"/>
      <c r="E61" s="426"/>
      <c r="F61" s="427"/>
      <c r="G61" s="428"/>
      <c r="H61" s="429"/>
      <c r="I61" s="439"/>
      <c r="J61" s="440"/>
      <c r="K61" s="430"/>
      <c r="L61" s="441"/>
      <c r="M61" s="423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s="54" customFormat="1" ht="37.15" hidden="1" customHeight="1" thickBot="1">
      <c r="B62" s="458"/>
      <c r="C62" s="442"/>
      <c r="D62" s="443"/>
      <c r="E62" s="444"/>
      <c r="F62" s="445"/>
      <c r="G62" s="446"/>
      <c r="H62" s="447"/>
      <c r="I62" s="448"/>
      <c r="J62" s="449"/>
      <c r="K62" s="450"/>
      <c r="L62" s="459" t="e">
        <f>(((D62+E62)-G62)/(D62+E62))*100</f>
        <v>#DIV/0!</v>
      </c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customHeight="1">
      <c r="B63" s="470"/>
      <c r="C63" s="431"/>
      <c r="D63" s="464"/>
      <c r="E63" s="465"/>
      <c r="F63" s="466"/>
      <c r="G63" s="464"/>
      <c r="H63" s="467"/>
      <c r="I63" s="467"/>
      <c r="J63" s="467"/>
      <c r="K63" s="468"/>
      <c r="L63" s="469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48" t="s">
        <v>55</v>
      </c>
      <c r="C65" s="549"/>
      <c r="D65" s="549"/>
      <c r="E65" s="549"/>
      <c r="F65" s="550"/>
      <c r="G65" s="548" t="s">
        <v>56</v>
      </c>
      <c r="H65" s="549"/>
      <c r="I65" s="549"/>
      <c r="J65" s="550"/>
      <c r="K65" s="548" t="s">
        <v>51</v>
      </c>
      <c r="L65" s="549"/>
      <c r="M65" s="549"/>
      <c r="N65" s="551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282"/>
      <c r="D67" s="76">
        <v>6.109586969670791</v>
      </c>
      <c r="E67" s="76">
        <v>6.0721158785687495</v>
      </c>
      <c r="F67" s="66">
        <v>4.8</v>
      </c>
      <c r="G67" s="65"/>
      <c r="H67" s="76">
        <v>5.6702706098840654</v>
      </c>
      <c r="I67" s="76">
        <v>6.0394344516504415</v>
      </c>
      <c r="J67" s="66">
        <v>4.8</v>
      </c>
      <c r="K67" s="67"/>
      <c r="L67" s="194">
        <v>0.44411549707602338</v>
      </c>
      <c r="M67" s="194">
        <v>0.73127050670791238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5.1853750213565721</v>
      </c>
      <c r="E68" s="76">
        <v>5.7200467929828971</v>
      </c>
      <c r="F68" s="66">
        <v>4.8</v>
      </c>
      <c r="G68" s="65"/>
      <c r="H68" s="76">
        <v>3.6096118625802744</v>
      </c>
      <c r="I68" s="76">
        <v>6.2674198164664059</v>
      </c>
      <c r="J68" s="66">
        <v>4.8</v>
      </c>
      <c r="K68" s="67"/>
      <c r="L68" s="194">
        <v>0.59464912280701754</v>
      </c>
      <c r="M68" s="194">
        <v>0.67381772220369407</v>
      </c>
      <c r="N68" s="68">
        <v>1</v>
      </c>
      <c r="P68" s="69"/>
    </row>
    <row r="69" spans="2:16" ht="15">
      <c r="B69" s="34" t="s">
        <v>40</v>
      </c>
      <c r="C69" s="65"/>
      <c r="D69" s="76">
        <v>11.223996129656527</v>
      </c>
      <c r="E69" s="76">
        <v>11.016453256230184</v>
      </c>
      <c r="F69" s="66">
        <v>5.5</v>
      </c>
      <c r="G69" s="65"/>
      <c r="H69" s="76">
        <v>10.76956909379566</v>
      </c>
      <c r="I69" s="76">
        <v>12.536311479158377</v>
      </c>
      <c r="J69" s="66">
        <v>5.5</v>
      </c>
      <c r="K69" s="67"/>
      <c r="L69" s="194">
        <v>0.26637426900584799</v>
      </c>
      <c r="M69" s="194">
        <v>0.51633622959452352</v>
      </c>
      <c r="N69" s="68">
        <v>1</v>
      </c>
      <c r="P69" s="69"/>
    </row>
    <row r="70" spans="2:16" ht="15">
      <c r="B70" s="22" t="s">
        <v>33</v>
      </c>
      <c r="C70" s="65"/>
      <c r="D70" s="76">
        <v>3.7833827893175105</v>
      </c>
      <c r="E70" s="76">
        <v>4.6226456706805745</v>
      </c>
      <c r="F70" s="66">
        <v>3.3</v>
      </c>
      <c r="G70" s="65"/>
      <c r="H70" s="76">
        <v>3.7421885632627285</v>
      </c>
      <c r="I70" s="76">
        <v>4.4171317623593813</v>
      </c>
      <c r="J70" s="66">
        <v>3.3</v>
      </c>
      <c r="K70" s="67"/>
      <c r="L70" s="194">
        <v>0.68263157894736837</v>
      </c>
      <c r="M70" s="194">
        <v>0.83111215538847116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>
        <v>7.837301587301579</v>
      </c>
      <c r="F71" s="66">
        <v>3.3</v>
      </c>
      <c r="G71" s="282"/>
      <c r="H71" s="76"/>
      <c r="I71" s="76">
        <v>5.3377569154690221</v>
      </c>
      <c r="J71" s="66">
        <v>3</v>
      </c>
      <c r="K71" s="67"/>
      <c r="L71" s="194"/>
      <c r="M71" s="194">
        <v>0.32596491228070179</v>
      </c>
      <c r="N71" s="68">
        <v>1</v>
      </c>
      <c r="P71" s="69"/>
    </row>
    <row r="72" spans="2:16" ht="15">
      <c r="B72" s="36" t="s">
        <v>15</v>
      </c>
      <c r="C72" s="65"/>
      <c r="D72" s="76"/>
      <c r="E72" s="76">
        <v>6.8851328044153277</v>
      </c>
      <c r="F72" s="70">
        <f>[21]May_2022!$M$43</f>
        <v>3.4878406700073312</v>
      </c>
      <c r="G72" s="282"/>
      <c r="H72" s="76"/>
      <c r="I72" s="76">
        <v>8.6614709463340702</v>
      </c>
      <c r="J72" s="66">
        <v>5.5</v>
      </c>
      <c r="K72" s="67"/>
      <c r="L72" s="194"/>
      <c r="M72" s="194">
        <v>0.73160818713450293</v>
      </c>
      <c r="N72" s="68">
        <v>1</v>
      </c>
      <c r="P72" s="69"/>
    </row>
    <row r="73" spans="2:16" ht="15">
      <c r="B73" s="37" t="s">
        <v>16</v>
      </c>
      <c r="C73" s="65"/>
      <c r="D73" s="76">
        <v>2.6328862394436081</v>
      </c>
      <c r="E73" s="76">
        <v>2.9297033255778997</v>
      </c>
      <c r="F73" s="66">
        <v>3.3</v>
      </c>
      <c r="G73" s="282"/>
      <c r="H73" s="76">
        <v>2.6328862394435983</v>
      </c>
      <c r="I73" s="76">
        <v>4.2684292436723528</v>
      </c>
      <c r="J73" s="66">
        <v>3.3</v>
      </c>
      <c r="K73" s="67"/>
      <c r="L73" s="194">
        <v>0.68771929824561406</v>
      </c>
      <c r="M73" s="194">
        <v>0.84660147761842675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>
        <v>11.483253588516746</v>
      </c>
      <c r="F74" s="66">
        <v>7.5</v>
      </c>
      <c r="G74" s="282"/>
      <c r="H74" s="76"/>
      <c r="I74" s="76">
        <v>9.7934336121043764</v>
      </c>
      <c r="J74" s="66">
        <v>7.5</v>
      </c>
      <c r="K74" s="67"/>
      <c r="M74" s="194">
        <v>0.32456140350877194</v>
      </c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>
        <v>7.2653644592663174</v>
      </c>
      <c r="F75" s="66">
        <v>4.8</v>
      </c>
      <c r="G75" s="282"/>
      <c r="H75" s="76"/>
      <c r="I75" s="76">
        <v>8.1715311054411259</v>
      </c>
      <c r="J75" s="66">
        <v>4.8</v>
      </c>
      <c r="K75" s="67"/>
      <c r="L75" s="194"/>
      <c r="M75" s="194">
        <v>0.51368421052631585</v>
      </c>
      <c r="N75" s="71">
        <v>1</v>
      </c>
      <c r="O75" s="74"/>
      <c r="P75" s="75"/>
    </row>
    <row r="76" spans="2:16" ht="15">
      <c r="D76" s="76">
        <v>6.0063871740657655</v>
      </c>
      <c r="E76" s="76">
        <v>6.1142024572037208</v>
      </c>
      <c r="F76" s="341">
        <v>5.5</v>
      </c>
      <c r="H76" s="76">
        <v>5.4561447499452154</v>
      </c>
      <c r="I76" s="76">
        <v>6.5724479259788264</v>
      </c>
      <c r="J76" s="341">
        <v>5.5</v>
      </c>
      <c r="L76" s="194">
        <v>0.4826647173489278</v>
      </c>
      <c r="M76" s="194">
        <v>0.70268152628434888</v>
      </c>
      <c r="N76" s="386">
        <v>1</v>
      </c>
    </row>
  </sheetData>
  <mergeCells count="51">
    <mergeCell ref="M54:M55"/>
    <mergeCell ref="B65:F65"/>
    <mergeCell ref="G65:J65"/>
    <mergeCell ref="K65:N65"/>
    <mergeCell ref="G54:G55"/>
    <mergeCell ref="H54:H55"/>
    <mergeCell ref="I54:I55"/>
    <mergeCell ref="J54:J55"/>
    <mergeCell ref="K54:K55"/>
    <mergeCell ref="L54:L55"/>
    <mergeCell ref="F54:F55"/>
    <mergeCell ref="D49:E49"/>
    <mergeCell ref="B54:B55"/>
    <mergeCell ref="C54:C55"/>
    <mergeCell ref="D54:D55"/>
    <mergeCell ref="E54:E55"/>
    <mergeCell ref="B39:B48"/>
    <mergeCell ref="D39:E40"/>
    <mergeCell ref="J39:K39"/>
    <mergeCell ref="L40:N40"/>
    <mergeCell ref="D41:E42"/>
    <mergeCell ref="D43:E44"/>
    <mergeCell ref="D45:E46"/>
    <mergeCell ref="D47:E48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9:B50">
    <cfRule type="cellIs" dxfId="552" priority="42" operator="notBetween">
      <formula>#REF!</formula>
      <formula>#REF!</formula>
    </cfRule>
  </conditionalFormatting>
  <conditionalFormatting sqref="C53">
    <cfRule type="cellIs" dxfId="551" priority="192" stopIfTrue="1" operator="greaterThan">
      <formula>100</formula>
    </cfRule>
    <cfRule type="cellIs" dxfId="550" priority="191" stopIfTrue="1" operator="lessThan">
      <formula>96</formula>
    </cfRule>
  </conditionalFormatting>
  <conditionalFormatting sqref="C67:C71">
    <cfRule type="cellIs" dxfId="549" priority="145" stopIfTrue="1" operator="lessThanOrEqual">
      <formula>0</formula>
    </cfRule>
  </conditionalFormatting>
  <conditionalFormatting sqref="C67:C75">
    <cfRule type="cellIs" dxfId="548" priority="144" stopIfTrue="1" operator="greaterThan">
      <formula>$F67</formula>
    </cfRule>
  </conditionalFormatting>
  <conditionalFormatting sqref="C68">
    <cfRule type="cellIs" dxfId="547" priority="195" stopIfTrue="1" operator="greaterThan">
      <formula>$F67</formula>
    </cfRule>
  </conditionalFormatting>
  <conditionalFormatting sqref="C72">
    <cfRule type="cellIs" dxfId="546" priority="85" stopIfTrue="1" operator="greaterThan">
      <formula>$F71</formula>
    </cfRule>
    <cfRule type="cellIs" dxfId="545" priority="84" stopIfTrue="1" operator="lessThanOrEqual">
      <formula>0</formula>
    </cfRule>
  </conditionalFormatting>
  <conditionalFormatting sqref="C78:C82">
    <cfRule type="cellIs" dxfId="544" priority="183" stopIfTrue="1" operator="lessThanOrEqual">
      <formula>0</formula>
    </cfRule>
  </conditionalFormatting>
  <conditionalFormatting sqref="C79:C82">
    <cfRule type="cellIs" dxfId="543" priority="182" stopIfTrue="1" operator="greaterThan">
      <formula>$F$78</formula>
    </cfRule>
  </conditionalFormatting>
  <conditionalFormatting sqref="C84">
    <cfRule type="cellIs" dxfId="542" priority="185" stopIfTrue="1" operator="lessThanOrEqual">
      <formula>0</formula>
    </cfRule>
    <cfRule type="cellIs" dxfId="541" priority="184" stopIfTrue="1" operator="greaterThan">
      <formula>$F$78</formula>
    </cfRule>
  </conditionalFormatting>
  <conditionalFormatting sqref="C78:D78 D80:D86">
    <cfRule type="cellIs" dxfId="540" priority="177" stopIfTrue="1" operator="greaterThan">
      <formula>4.5</formula>
    </cfRule>
  </conditionalFormatting>
  <conditionalFormatting sqref="D49:D50">
    <cfRule type="cellIs" dxfId="539" priority="43" operator="notBetween">
      <formula>#REF!</formula>
      <formula>#REF!</formula>
    </cfRule>
  </conditionalFormatting>
  <conditionalFormatting sqref="D67:D74">
    <cfRule type="cellIs" dxfId="538" priority="157" stopIfTrue="1" operator="lessThanOrEqual">
      <formula>0</formula>
    </cfRule>
  </conditionalFormatting>
  <conditionalFormatting sqref="D75">
    <cfRule type="cellIs" dxfId="537" priority="156" stopIfTrue="1" operator="lessThanOrEqual">
      <formula>0</formula>
    </cfRule>
  </conditionalFormatting>
  <conditionalFormatting sqref="D78 D80:D86">
    <cfRule type="cellIs" dxfId="536" priority="178" stopIfTrue="1" operator="lessThanOrEqual">
      <formula>0</formula>
    </cfRule>
  </conditionalFormatting>
  <conditionalFormatting sqref="D79">
    <cfRule type="cellIs" dxfId="535" priority="169" stopIfTrue="1" operator="greaterThan">
      <formula>$F$78</formula>
    </cfRule>
    <cfRule type="cellIs" dxfId="534" priority="170" stopIfTrue="1" operator="lessThanOrEqual">
      <formula>0</formula>
    </cfRule>
  </conditionalFormatting>
  <conditionalFormatting sqref="D67:E76">
    <cfRule type="cellIs" dxfId="533" priority="142" stopIfTrue="1" operator="greaterThan">
      <formula>$F67</formula>
    </cfRule>
  </conditionalFormatting>
  <conditionalFormatting sqref="D76:E76">
    <cfRule type="cellIs" dxfId="532" priority="143" stopIfTrue="1" operator="lessThanOrEqual">
      <formula>0</formula>
    </cfRule>
  </conditionalFormatting>
  <conditionalFormatting sqref="E10:E24">
    <cfRule type="cellIs" dxfId="531" priority="33" operator="lessThan">
      <formula>48</formula>
    </cfRule>
  </conditionalFormatting>
  <conditionalFormatting sqref="E52 E53:F53">
    <cfRule type="cellIs" dxfId="530" priority="174" stopIfTrue="1" operator="greaterThan">
      <formula>100</formula>
    </cfRule>
  </conditionalFormatting>
  <conditionalFormatting sqref="E53">
    <cfRule type="cellIs" dxfId="529" priority="171" stopIfTrue="1" operator="lessThan">
      <formula>96.8</formula>
    </cfRule>
    <cfRule type="cellIs" dxfId="528" priority="172" stopIfTrue="1" operator="greaterThan">
      <formula>100</formula>
    </cfRule>
  </conditionalFormatting>
  <conditionalFormatting sqref="E67:E75">
    <cfRule type="cellIs" dxfId="527" priority="153" stopIfTrue="1" operator="lessThanOrEqual">
      <formula>0</formula>
    </cfRule>
  </conditionalFormatting>
  <conditionalFormatting sqref="E78:E86">
    <cfRule type="cellIs" dxfId="526" priority="163" stopIfTrue="1" operator="greaterThan">
      <formula>4.5</formula>
    </cfRule>
    <cfRule type="cellIs" dxfId="525" priority="164" stopIfTrue="1" operator="lessThanOrEqual">
      <formula>0</formula>
    </cfRule>
  </conditionalFormatting>
  <conditionalFormatting sqref="E53:F53 E52">
    <cfRule type="cellIs" dxfId="524" priority="173" stopIfTrue="1" operator="lessThan">
      <formula>96.5</formula>
    </cfRule>
  </conditionalFormatting>
  <conditionalFormatting sqref="F10:F24">
    <cfRule type="cellIs" dxfId="523" priority="34" operator="greaterThan">
      <formula>60</formula>
    </cfRule>
  </conditionalFormatting>
  <conditionalFormatting sqref="F53">
    <cfRule type="cellIs" dxfId="522" priority="190" stopIfTrue="1" operator="greaterThan">
      <formula>100</formula>
    </cfRule>
    <cfRule type="cellIs" dxfId="521" priority="189" stopIfTrue="1" operator="lessThan">
      <formula>96.8</formula>
    </cfRule>
  </conditionalFormatting>
  <conditionalFormatting sqref="F76">
    <cfRule type="cellIs" dxfId="520" priority="155" stopIfTrue="1" operator="lessThanOrEqual">
      <formula>0</formula>
    </cfRule>
    <cfRule type="cellIs" dxfId="519" priority="154" stopIfTrue="1" operator="greaterThan">
      <formula>$F76</formula>
    </cfRule>
  </conditionalFormatting>
  <conditionalFormatting sqref="G10:G21">
    <cfRule type="expression" dxfId="518" priority="13">
      <formula>IF(+(IF(G10&lt;S10,0,IF(G10&gt;T10,0,1)))=0,1)</formula>
    </cfRule>
  </conditionalFormatting>
  <conditionalFormatting sqref="G67:G68 C73:C75">
    <cfRule type="cellIs" dxfId="517" priority="159" stopIfTrue="1" operator="lessThanOrEqual">
      <formula>0</formula>
    </cfRule>
  </conditionalFormatting>
  <conditionalFormatting sqref="G67:G68">
    <cfRule type="cellIs" dxfId="516" priority="158" stopIfTrue="1" operator="greaterThan">
      <formula>$F67</formula>
    </cfRule>
    <cfRule type="cellIs" dxfId="515" priority="147" stopIfTrue="1" operator="lessThanOrEqual">
      <formula>0</formula>
    </cfRule>
    <cfRule type="cellIs" dxfId="514" priority="146" stopIfTrue="1" operator="greaterThan">
      <formula>$F67</formula>
    </cfRule>
  </conditionalFormatting>
  <conditionalFormatting sqref="G69">
    <cfRule type="cellIs" dxfId="513" priority="193" stopIfTrue="1" operator="greaterThan">
      <formula>$F68</formula>
    </cfRule>
    <cfRule type="cellIs" dxfId="512" priority="194" stopIfTrue="1" operator="lessThanOrEqual">
      <formula>0</formula>
    </cfRule>
  </conditionalFormatting>
  <conditionalFormatting sqref="G70">
    <cfRule type="cellIs" dxfId="511" priority="38" stopIfTrue="1" operator="greaterThan">
      <formula>$F70</formula>
    </cfRule>
    <cfRule type="cellIs" dxfId="510" priority="39" stopIfTrue="1" operator="lessThanOrEqual">
      <formula>0</formula>
    </cfRule>
    <cfRule type="cellIs" dxfId="509" priority="40" stopIfTrue="1" operator="greaterThan">
      <formula>$F70</formula>
    </cfRule>
    <cfRule type="cellIs" dxfId="508" priority="41" stopIfTrue="1" operator="lessThanOrEqual">
      <formula>0</formula>
    </cfRule>
  </conditionalFormatting>
  <conditionalFormatting sqref="G71:G75">
    <cfRule type="cellIs" dxfId="507" priority="161" stopIfTrue="1" operator="lessThanOrEqual">
      <formula>0</formula>
    </cfRule>
    <cfRule type="cellIs" dxfId="506" priority="160" stopIfTrue="1" operator="greaterThan">
      <formula>$J71</formula>
    </cfRule>
  </conditionalFormatting>
  <conditionalFormatting sqref="G80:G85 C83 C85">
    <cfRule type="cellIs" dxfId="505" priority="186" stopIfTrue="1" operator="greaterThan">
      <formula>4.5</formula>
    </cfRule>
    <cfRule type="cellIs" dxfId="504" priority="187" stopIfTrue="1" operator="lessThanOrEqual">
      <formula>0</formula>
    </cfRule>
  </conditionalFormatting>
  <conditionalFormatting sqref="G79:H79">
    <cfRule type="cellIs" dxfId="503" priority="167" stopIfTrue="1" operator="greaterThan">
      <formula>$F$78</formula>
    </cfRule>
    <cfRule type="cellIs" dxfId="502" priority="168" stopIfTrue="1" operator="lessThanOrEqual">
      <formula>0</formula>
    </cfRule>
  </conditionalFormatting>
  <conditionalFormatting sqref="H38:H52">
    <cfRule type="cellIs" dxfId="501" priority="165" stopIfTrue="1" operator="greaterThan">
      <formula>0</formula>
    </cfRule>
  </conditionalFormatting>
  <conditionalFormatting sqref="H56">
    <cfRule type="cellIs" dxfId="500" priority="15" stopIfTrue="1" operator="lessThanOrEqual">
      <formula>0</formula>
    </cfRule>
    <cfRule type="cellIs" dxfId="499" priority="24" stopIfTrue="1" operator="greaterThan">
      <formula>$F$74</formula>
    </cfRule>
    <cfRule type="cellIs" dxfId="498" priority="25" stopIfTrue="1" operator="lessThanOrEqual">
      <formula>0</formula>
    </cfRule>
    <cfRule type="cellIs" dxfId="497" priority="26" stopIfTrue="1" operator="greaterThan">
      <formula>$F$72</formula>
    </cfRule>
    <cfRule type="cellIs" dxfId="496" priority="27" stopIfTrue="1" operator="lessThanOrEqual">
      <formula>0</formula>
    </cfRule>
    <cfRule type="cellIs" dxfId="495" priority="16" stopIfTrue="1" operator="greaterThan">
      <formula>$F$71</formula>
    </cfRule>
  </conditionalFormatting>
  <conditionalFormatting sqref="H57">
    <cfRule type="cellIs" dxfId="494" priority="102" stopIfTrue="1" operator="greaterThan">
      <formula>#REF!</formula>
    </cfRule>
    <cfRule type="cellIs" dxfId="493" priority="101" stopIfTrue="1" operator="lessThanOrEqual">
      <formula>0</formula>
    </cfRule>
    <cfRule type="cellIs" dxfId="492" priority="110" stopIfTrue="1" operator="greaterThan">
      <formula>$F$25</formula>
    </cfRule>
    <cfRule type="cellIs" dxfId="491" priority="113" stopIfTrue="1" operator="lessThanOrEqual">
      <formula>0</formula>
    </cfRule>
    <cfRule type="cellIs" dxfId="490" priority="112" stopIfTrue="1" operator="greaterThan">
      <formula>#REF!</formula>
    </cfRule>
    <cfRule type="cellIs" dxfId="489" priority="111" stopIfTrue="1" operator="lessThanOrEqual">
      <formula>0</formula>
    </cfRule>
  </conditionalFormatting>
  <conditionalFormatting sqref="H58">
    <cfRule type="cellIs" dxfId="488" priority="69" stopIfTrue="1" operator="lessThanOrEqual">
      <formula>0</formula>
    </cfRule>
    <cfRule type="cellIs" dxfId="487" priority="70" stopIfTrue="1" operator="greaterThan">
      <formula>$F$68</formula>
    </cfRule>
    <cfRule type="cellIs" dxfId="486" priority="78" stopIfTrue="1" operator="greaterThan">
      <formula>$F$71</formula>
    </cfRule>
    <cfRule type="cellIs" dxfId="485" priority="79" stopIfTrue="1" operator="lessThanOrEqual">
      <formula>0</formula>
    </cfRule>
    <cfRule type="cellIs" dxfId="484" priority="80" stopIfTrue="1" operator="greaterThan">
      <formula>$F$69</formula>
    </cfRule>
    <cfRule type="cellIs" dxfId="483" priority="81" stopIfTrue="1" operator="lessThanOrEqual">
      <formula>0</formula>
    </cfRule>
  </conditionalFormatting>
  <conditionalFormatting sqref="H59:H60">
    <cfRule type="cellIs" dxfId="482" priority="87" stopIfTrue="1" operator="lessThanOrEqual">
      <formula>0</formula>
    </cfRule>
    <cfRule type="cellIs" dxfId="481" priority="88" stopIfTrue="1" operator="greaterThan">
      <formula>#REF!</formula>
    </cfRule>
    <cfRule type="cellIs" dxfId="480" priority="96" stopIfTrue="1" operator="greaterThan">
      <formula>$F$24</formula>
    </cfRule>
    <cfRule type="cellIs" dxfId="479" priority="97" stopIfTrue="1" operator="lessThanOrEqual">
      <formula>0</formula>
    </cfRule>
    <cfRule type="cellIs" dxfId="478" priority="98" stopIfTrue="1" operator="greaterThan">
      <formula>#REF!</formula>
    </cfRule>
    <cfRule type="cellIs" dxfId="477" priority="99" stopIfTrue="1" operator="lessThanOrEqual">
      <formula>0</formula>
    </cfRule>
  </conditionalFormatting>
  <conditionalFormatting sqref="H61">
    <cfRule type="cellIs" dxfId="476" priority="126" stopIfTrue="1" operator="lessThanOrEqual">
      <formula>0</formula>
    </cfRule>
    <cfRule type="cellIs" dxfId="475" priority="128" stopIfTrue="1" operator="lessThanOrEqual">
      <formula>0</formula>
    </cfRule>
    <cfRule type="cellIs" dxfId="474" priority="127" stopIfTrue="1" operator="greaterThan">
      <formula>$F$38</formula>
    </cfRule>
    <cfRule type="cellIs" dxfId="473" priority="125" stopIfTrue="1" operator="greaterThan">
      <formula>$F$40</formula>
    </cfRule>
    <cfRule type="cellIs" dxfId="472" priority="117" stopIfTrue="1" operator="greaterThan">
      <formula>$F$37</formula>
    </cfRule>
    <cfRule type="cellIs" dxfId="471" priority="116" stopIfTrue="1" operator="lessThanOrEqual">
      <formula>0</formula>
    </cfRule>
  </conditionalFormatting>
  <conditionalFormatting sqref="H62:H63">
    <cfRule type="cellIs" dxfId="470" priority="62" stopIfTrue="1" operator="greaterThan">
      <formula>$F$24</formula>
    </cfRule>
    <cfRule type="cellIs" dxfId="469" priority="63" stopIfTrue="1" operator="lessThanOrEqual">
      <formula>0</formula>
    </cfRule>
    <cfRule type="cellIs" dxfId="468" priority="64" stopIfTrue="1" operator="greaterThan">
      <formula>#REF!</formula>
    </cfRule>
    <cfRule type="cellIs" dxfId="467" priority="65" stopIfTrue="1" operator="lessThanOrEqual">
      <formula>0</formula>
    </cfRule>
    <cfRule type="cellIs" dxfId="466" priority="54" stopIfTrue="1" operator="greaterThan">
      <formula>#REF!</formula>
    </cfRule>
    <cfRule type="cellIs" dxfId="465" priority="53" stopIfTrue="1" operator="lessThanOrEqual">
      <formula>0</formula>
    </cfRule>
  </conditionalFormatting>
  <conditionalFormatting sqref="H67:H74">
    <cfRule type="cellIs" dxfId="464" priority="149" stopIfTrue="1" operator="lessThanOrEqual">
      <formula>0</formula>
    </cfRule>
    <cfRule type="cellIs" dxfId="463" priority="148" stopIfTrue="1" operator="greaterThan">
      <formula>$J67</formula>
    </cfRule>
  </conditionalFormatting>
  <conditionalFormatting sqref="H75">
    <cfRule type="cellIs" dxfId="462" priority="150" operator="greaterThan">
      <formula>5.3</formula>
    </cfRule>
  </conditionalFormatting>
  <conditionalFormatting sqref="H78 H80:H86">
    <cfRule type="cellIs" dxfId="461" priority="179" stopIfTrue="1" operator="greaterThan">
      <formula>4.5</formula>
    </cfRule>
    <cfRule type="cellIs" dxfId="460" priority="180" stopIfTrue="1" operator="lessThanOrEqual">
      <formula>0</formula>
    </cfRule>
  </conditionalFormatting>
  <conditionalFormatting sqref="H56:I56">
    <cfRule type="cellIs" dxfId="459" priority="17" stopIfTrue="1" operator="lessThanOrEqual">
      <formula>0</formula>
    </cfRule>
    <cfRule type="cellIs" dxfId="458" priority="14" stopIfTrue="1" operator="greaterThan">
      <formula>$F$73</formula>
    </cfRule>
  </conditionalFormatting>
  <conditionalFormatting sqref="H57:I57">
    <cfRule type="cellIs" dxfId="457" priority="103" stopIfTrue="1" operator="lessThanOrEqual">
      <formula>0</formula>
    </cfRule>
    <cfRule type="cellIs" dxfId="456" priority="100" stopIfTrue="1" operator="greaterThan">
      <formula>$F$24</formula>
    </cfRule>
  </conditionalFormatting>
  <conditionalFormatting sqref="H58:I58">
    <cfRule type="cellIs" dxfId="455" priority="71" stopIfTrue="1" operator="lessThanOrEqual">
      <formula>0</formula>
    </cfRule>
    <cfRule type="cellIs" dxfId="454" priority="68" stopIfTrue="1" operator="greaterThan">
      <formula>$F$70</formula>
    </cfRule>
  </conditionalFormatting>
  <conditionalFormatting sqref="H59:I60">
    <cfRule type="cellIs" dxfId="453" priority="86" stopIfTrue="1" operator="greaterThan">
      <formula>#REF!</formula>
    </cfRule>
    <cfRule type="cellIs" dxfId="452" priority="89" stopIfTrue="1" operator="lessThanOrEqual">
      <formula>0</formula>
    </cfRule>
  </conditionalFormatting>
  <conditionalFormatting sqref="H61:I61">
    <cfRule type="cellIs" dxfId="451" priority="115" stopIfTrue="1" operator="greaterThan">
      <formula>$F$39</formula>
    </cfRule>
    <cfRule type="cellIs" dxfId="450" priority="118" stopIfTrue="1" operator="lessThanOrEqual">
      <formula>0</formula>
    </cfRule>
  </conditionalFormatting>
  <conditionalFormatting sqref="H62:I63">
    <cfRule type="cellIs" dxfId="449" priority="52" stopIfTrue="1" operator="greaterThan">
      <formula>#REF!</formula>
    </cfRule>
    <cfRule type="cellIs" dxfId="448" priority="55" stopIfTrue="1" operator="lessThanOrEqual">
      <formula>0</formula>
    </cfRule>
  </conditionalFormatting>
  <conditionalFormatting sqref="H76:I76">
    <cfRule type="cellIs" dxfId="447" priority="141" stopIfTrue="1" operator="lessThanOrEqual">
      <formula>0</formula>
    </cfRule>
    <cfRule type="cellIs" dxfId="446" priority="140" stopIfTrue="1" operator="greaterThan">
      <formula>$J76</formula>
    </cfRule>
  </conditionalFormatting>
  <conditionalFormatting sqref="I56">
    <cfRule type="cellIs" dxfId="445" priority="22" stopIfTrue="1" operator="greaterThan">
      <formula>$F$71</formula>
    </cfRule>
    <cfRule type="cellIs" dxfId="444" priority="23" stopIfTrue="1" operator="lessThanOrEqual">
      <formula>0</formula>
    </cfRule>
    <cfRule type="cellIs" dxfId="443" priority="21" stopIfTrue="1" operator="lessThanOrEqual">
      <formula>0</formula>
    </cfRule>
    <cfRule type="cellIs" dxfId="442" priority="20" stopIfTrue="1" operator="greaterThan">
      <formula>$F$73</formula>
    </cfRule>
    <cfRule type="cellIs" dxfId="441" priority="19" stopIfTrue="1" operator="lessThanOrEqual">
      <formula>0</formula>
    </cfRule>
    <cfRule type="cellIs" dxfId="440" priority="18" stopIfTrue="1" operator="greaterThan">
      <formula>$F$71</formula>
    </cfRule>
  </conditionalFormatting>
  <conditionalFormatting sqref="I57">
    <cfRule type="cellIs" dxfId="439" priority="104" stopIfTrue="1" operator="greaterThan">
      <formula>#REF!</formula>
    </cfRule>
    <cfRule type="cellIs" dxfId="438" priority="105" stopIfTrue="1" operator="lessThanOrEqual">
      <formula>0</formula>
    </cfRule>
    <cfRule type="cellIs" dxfId="437" priority="106" stopIfTrue="1" operator="greaterThan">
      <formula>$F$24</formula>
    </cfRule>
    <cfRule type="cellIs" dxfId="436" priority="107" stopIfTrue="1" operator="lessThanOrEqual">
      <formula>0</formula>
    </cfRule>
    <cfRule type="cellIs" dxfId="435" priority="108" stopIfTrue="1" operator="greaterThan">
      <formula>#REF!</formula>
    </cfRule>
    <cfRule type="cellIs" dxfId="434" priority="109" stopIfTrue="1" operator="lessThanOrEqual">
      <formula>0</formula>
    </cfRule>
  </conditionalFormatting>
  <conditionalFormatting sqref="I58">
    <cfRule type="cellIs" dxfId="433" priority="72" stopIfTrue="1" operator="greaterThan">
      <formula>$F$68</formula>
    </cfRule>
    <cfRule type="cellIs" dxfId="432" priority="73" stopIfTrue="1" operator="lessThanOrEqual">
      <formula>0</formula>
    </cfRule>
    <cfRule type="cellIs" dxfId="431" priority="74" stopIfTrue="1" operator="greaterThan">
      <formula>$F$70</formula>
    </cfRule>
    <cfRule type="cellIs" dxfId="430" priority="75" stopIfTrue="1" operator="lessThanOrEqual">
      <formula>0</formula>
    </cfRule>
    <cfRule type="cellIs" dxfId="429" priority="76" stopIfTrue="1" operator="greaterThan">
      <formula>$F$68</formula>
    </cfRule>
    <cfRule type="cellIs" dxfId="428" priority="77" stopIfTrue="1" operator="lessThanOrEqual">
      <formula>0</formula>
    </cfRule>
  </conditionalFormatting>
  <conditionalFormatting sqref="I59:I60">
    <cfRule type="cellIs" dxfId="427" priority="94" stopIfTrue="1" operator="greaterThan">
      <formula>#REF!</formula>
    </cfRule>
    <cfRule type="cellIs" dxfId="426" priority="90" stopIfTrue="1" operator="greaterThan">
      <formula>#REF!</formula>
    </cfRule>
    <cfRule type="cellIs" dxfId="425" priority="92" stopIfTrue="1" operator="greaterThan">
      <formula>#REF!</formula>
    </cfRule>
    <cfRule type="cellIs" dxfId="424" priority="91" stopIfTrue="1" operator="lessThanOrEqual">
      <formula>0</formula>
    </cfRule>
    <cfRule type="cellIs" dxfId="423" priority="93" stopIfTrue="1" operator="lessThanOrEqual">
      <formula>0</formula>
    </cfRule>
    <cfRule type="cellIs" dxfId="422" priority="95" stopIfTrue="1" operator="lessThanOrEqual">
      <formula>0</formula>
    </cfRule>
  </conditionalFormatting>
  <conditionalFormatting sqref="I61">
    <cfRule type="cellIs" dxfId="421" priority="124" stopIfTrue="1" operator="lessThanOrEqual">
      <formula>0</formula>
    </cfRule>
    <cfRule type="cellIs" dxfId="420" priority="123" stopIfTrue="1" operator="greaterThan">
      <formula>$F$37</formula>
    </cfRule>
    <cfRule type="cellIs" dxfId="419" priority="122" stopIfTrue="1" operator="lessThanOrEqual">
      <formula>0</formula>
    </cfRule>
    <cfRule type="cellIs" dxfId="418" priority="121" stopIfTrue="1" operator="greaterThan">
      <formula>$F$39</formula>
    </cfRule>
    <cfRule type="cellIs" dxfId="417" priority="120" stopIfTrue="1" operator="lessThanOrEqual">
      <formula>0</formula>
    </cfRule>
    <cfRule type="cellIs" dxfId="416" priority="119" stopIfTrue="1" operator="greaterThan">
      <formula>$F$37</formula>
    </cfRule>
  </conditionalFormatting>
  <conditionalFormatting sqref="I62:I63">
    <cfRule type="cellIs" dxfId="415" priority="57" stopIfTrue="1" operator="lessThanOrEqual">
      <formula>0</formula>
    </cfRule>
    <cfRule type="cellIs" dxfId="414" priority="60" stopIfTrue="1" operator="greaterThan">
      <formula>#REF!</formula>
    </cfRule>
    <cfRule type="cellIs" dxfId="413" priority="59" stopIfTrue="1" operator="lessThanOrEqual">
      <formula>0</formula>
    </cfRule>
    <cfRule type="cellIs" dxfId="412" priority="56" stopIfTrue="1" operator="greaterThan">
      <formula>#REF!</formula>
    </cfRule>
    <cfRule type="cellIs" dxfId="411" priority="61" stopIfTrue="1" operator="lessThanOrEqual">
      <formula>0</formula>
    </cfRule>
    <cfRule type="cellIs" dxfId="410" priority="58" stopIfTrue="1" operator="greaterThan">
      <formula>#REF!</formula>
    </cfRule>
  </conditionalFormatting>
  <conditionalFormatting sqref="I67:I75">
    <cfRule type="cellIs" dxfId="409" priority="151" stopIfTrue="1" operator="greaterThan">
      <formula>$J67</formula>
    </cfRule>
    <cfRule type="cellIs" dxfId="408" priority="152" stopIfTrue="1" operator="lessThanOrEqual">
      <formula>0</formula>
    </cfRule>
  </conditionalFormatting>
  <conditionalFormatting sqref="I78:I86">
    <cfRule type="cellIs" dxfId="407" priority="175" stopIfTrue="1" operator="greaterThan">
      <formula>4.5</formula>
    </cfRule>
    <cfRule type="cellIs" dxfId="406" priority="176" stopIfTrue="1" operator="lessThanOrEqual">
      <formula>0</formula>
    </cfRule>
  </conditionalFormatting>
  <conditionalFormatting sqref="I10:J24">
    <cfRule type="cellIs" dxfId="405" priority="4" operator="lessThan">
      <formula>97.9</formula>
    </cfRule>
  </conditionalFormatting>
  <conditionalFormatting sqref="J28:J29">
    <cfRule type="cellIs" dxfId="404" priority="132" operator="lessThan">
      <formula>98</formula>
    </cfRule>
    <cfRule type="cellIs" dxfId="403" priority="131" stopIfTrue="1" operator="greaterThan">
      <formula>100</formula>
    </cfRule>
    <cfRule type="cellIs" dxfId="402" priority="130" stopIfTrue="1" operator="lessThan">
      <formula>96.8</formula>
    </cfRule>
  </conditionalFormatting>
  <conditionalFormatting sqref="J28:J31">
    <cfRule type="cellIs" dxfId="401" priority="129" operator="lessThan">
      <formula>97.4</formula>
    </cfRule>
  </conditionalFormatting>
  <conditionalFormatting sqref="J32:J33">
    <cfRule type="cellIs" dxfId="400" priority="133" operator="lessThan">
      <formula>98</formula>
    </cfRule>
  </conditionalFormatting>
  <conditionalFormatting sqref="J34:J35">
    <cfRule type="cellIs" dxfId="399" priority="134" stopIfTrue="1" operator="lessThan">
      <formula>96.8</formula>
    </cfRule>
    <cfRule type="cellIs" dxfId="398" priority="135" stopIfTrue="1" operator="greaterThan">
      <formula>100</formula>
    </cfRule>
  </conditionalFormatting>
  <conditionalFormatting sqref="J34:J36">
    <cfRule type="cellIs" dxfId="397" priority="136" operator="lessThan">
      <formula>98</formula>
    </cfRule>
  </conditionalFormatting>
  <conditionalFormatting sqref="J63">
    <cfRule type="cellIs" dxfId="396" priority="47" stopIfTrue="1" operator="lessThanOrEqual">
      <formula>0</formula>
    </cfRule>
    <cfRule type="cellIs" dxfId="395" priority="46" stopIfTrue="1" operator="greaterThan">
      <formula>#REF!</formula>
    </cfRule>
    <cfRule type="cellIs" dxfId="394" priority="45" stopIfTrue="1" operator="lessThanOrEqual">
      <formula>0</formula>
    </cfRule>
    <cfRule type="cellIs" dxfId="393" priority="51" stopIfTrue="1" operator="lessThanOrEqual">
      <formula>0</formula>
    </cfRule>
    <cfRule type="cellIs" dxfId="392" priority="44" stopIfTrue="1" operator="greaterThan">
      <formula>#REF!</formula>
    </cfRule>
    <cfRule type="cellIs" dxfId="391" priority="50" stopIfTrue="1" operator="greaterThan">
      <formula>#REF!</formula>
    </cfRule>
    <cfRule type="cellIs" dxfId="390" priority="49" stopIfTrue="1" operator="lessThanOrEqual">
      <formula>0</formula>
    </cfRule>
    <cfRule type="cellIs" dxfId="389" priority="48" stopIfTrue="1" operator="greaterThan">
      <formula>#REF!</formula>
    </cfRule>
  </conditionalFormatting>
  <conditionalFormatting sqref="J76">
    <cfRule type="cellIs" dxfId="388" priority="138" stopIfTrue="1" operator="lessThanOrEqual">
      <formula>0</formula>
    </cfRule>
    <cfRule type="cellIs" dxfId="387" priority="137" stopIfTrue="1" operator="greaterThan">
      <formula>$F76</formula>
    </cfRule>
  </conditionalFormatting>
  <conditionalFormatting sqref="K10:K24">
    <cfRule type="cellIs" dxfId="386" priority="5" operator="greaterThan">
      <formula>6</formula>
    </cfRule>
    <cfRule type="cellIs" dxfId="385" priority="7" operator="greaterThan">
      <formula>6.4</formula>
    </cfRule>
    <cfRule type="cellIs" dxfId="384" priority="6" operator="lessThan">
      <formula>4</formula>
    </cfRule>
  </conditionalFormatting>
  <conditionalFormatting sqref="K56:K63 K67:N73 K74 M74:N74 K75:N75">
    <cfRule type="cellIs" dxfId="383" priority="114" stopIfTrue="1" operator="lessThan">
      <formula>100%</formula>
    </cfRule>
  </conditionalFormatting>
  <conditionalFormatting sqref="K78:K83">
    <cfRule type="cellIs" dxfId="382" priority="181" stopIfTrue="1" operator="lessThan">
      <formula>100%</formula>
    </cfRule>
  </conditionalFormatting>
  <conditionalFormatting sqref="K85:K86">
    <cfRule type="cellIs" dxfId="381" priority="188" stopIfTrue="1" operator="lessThan">
      <formula>100%</formula>
    </cfRule>
  </conditionalFormatting>
  <conditionalFormatting sqref="L10:L21">
    <cfRule type="cellIs" dxfId="380" priority="11" operator="greaterThan">
      <formula>65</formula>
    </cfRule>
    <cfRule type="cellIs" dxfId="379" priority="10" operator="between">
      <formula>61</formula>
      <formula>65</formula>
    </cfRule>
  </conditionalFormatting>
  <conditionalFormatting sqref="L24">
    <cfRule type="cellIs" dxfId="378" priority="67" operator="greaterThan">
      <formula>65</formula>
    </cfRule>
    <cfRule type="cellIs" dxfId="377" priority="66" operator="between">
      <formula>61</formula>
      <formula>65</formula>
    </cfRule>
  </conditionalFormatting>
  <conditionalFormatting sqref="L22:M23">
    <cfRule type="cellIs" dxfId="376" priority="36" operator="greaterThan">
      <formula>65</formula>
    </cfRule>
    <cfRule type="cellIs" dxfId="375" priority="35" operator="between">
      <formula>61</formula>
      <formula>65</formula>
    </cfRule>
  </conditionalFormatting>
  <conditionalFormatting sqref="L27:M38">
    <cfRule type="cellIs" dxfId="374" priority="82" operator="lessThan">
      <formula>97.95</formula>
    </cfRule>
  </conditionalFormatting>
  <conditionalFormatting sqref="L42:N42">
    <cfRule type="cellIs" dxfId="373" priority="83" operator="notEqual">
      <formula>#REF!</formula>
    </cfRule>
  </conditionalFormatting>
  <conditionalFormatting sqref="L76:N76">
    <cfRule type="cellIs" dxfId="372" priority="139" stopIfTrue="1" operator="lessThan">
      <formula>100%</formula>
    </cfRule>
  </conditionalFormatting>
  <conditionalFormatting sqref="L78:N86">
    <cfRule type="cellIs" dxfId="371" priority="166" stopIfTrue="1" operator="lessThan">
      <formula>100%</formula>
    </cfRule>
  </conditionalFormatting>
  <conditionalFormatting sqref="M10:M21">
    <cfRule type="expression" dxfId="370" priority="1">
      <formula>IF(+(IF(M10&lt;U10,0,IF(M10&gt;V10,0,1)))=0,1)</formula>
    </cfRule>
  </conditionalFormatting>
  <conditionalFormatting sqref="M22:M23 H10 G22:H24">
    <cfRule type="expression" dxfId="369" priority="37">
      <formula>IF(+(IF(G10&lt;#REF!,0,IF(G10&gt;#REF!,0,1)))=0,1)</formula>
    </cfRule>
  </conditionalFormatting>
  <conditionalFormatting sqref="M24:N24">
    <cfRule type="expression" dxfId="368" priority="196">
      <formula>IF(+(IF(M24&lt;#REF!,0,IF(M24&gt;#REF!,0,1)))=0,1)</formula>
    </cfRule>
  </conditionalFormatting>
  <conditionalFormatting sqref="N10:N23">
    <cfRule type="expression" dxfId="367" priority="3">
      <formula>IF(+(IF(N10&lt;W10,0,IF(N10&gt;X10,0,1)))=0,1)</formula>
    </cfRule>
  </conditionalFormatting>
  <conditionalFormatting sqref="P6">
    <cfRule type="cellIs" dxfId="366" priority="162" operator="greaterThanOrEqual">
      <formula>19</formula>
    </cfRule>
  </conditionalFormatting>
  <dataValidations count="1">
    <dataValidation type="list" allowBlank="1" showInputMessage="1" showErrorMessage="1" sqref="R8" xr:uid="{C74F350D-C5A1-426D-9FBF-9AB6F2508EB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EA7E-4912-4603-AAE7-272253B93363}">
  <sheetPr>
    <pageSetUpPr fitToPage="1"/>
  </sheetPr>
  <dimension ref="A1:BE73"/>
  <sheetViews>
    <sheetView topLeftCell="A8" zoomScale="80" zoomScaleNormal="80" workbookViewId="0">
      <selection activeCell="G31" sqref="G31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45989</v>
      </c>
      <c r="J4" s="398" t="s">
        <v>194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193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6.5" customHeight="1">
      <c r="B10" s="34" t="s">
        <v>12</v>
      </c>
      <c r="C10" s="366" t="str">
        <f>[26]Brewhouse!$A122</f>
        <v>GU110</v>
      </c>
      <c r="D10" s="279">
        <f>[26]Brewhouse!$AF122</f>
        <v>56</v>
      </c>
      <c r="E10" s="279">
        <f>[26]Brewhouse!$AI122</f>
        <v>51</v>
      </c>
      <c r="F10" s="278">
        <f>[26]Brewhouse!$V122</f>
        <v>60</v>
      </c>
      <c r="G10" s="279">
        <f>[26]Brewhouse!$AG122</f>
        <v>16.7</v>
      </c>
      <c r="H10" s="396">
        <v>16.5</v>
      </c>
      <c r="I10" s="420">
        <f>[26]Brewhouse!$AU122</f>
        <v>93.095691215198215</v>
      </c>
      <c r="J10" s="420">
        <f>[26]Brewhouse!$AV122</f>
        <v>93.195844555598313</v>
      </c>
      <c r="K10" s="463">
        <f>[26]Brewhouse!$R122</f>
        <v>8.3138564273789601</v>
      </c>
      <c r="L10" s="276">
        <f>[26]Brewhouse!$O122</f>
        <v>59</v>
      </c>
      <c r="M10" s="374">
        <f>[26]Brewhouse!$U122-[26]Brewhouse!$T122</f>
        <v>0.12083333333333332</v>
      </c>
      <c r="N10" s="370">
        <f>[26]Brewhouse!$Z122</f>
        <v>0.2722222222222222</v>
      </c>
      <c r="O10" s="421" t="str">
        <f>[26]Brewhouse!$AW122</f>
        <v>R. Regis</v>
      </c>
      <c r="P10" s="418"/>
      <c r="R10" s="277" t="str">
        <f t="shared" ref="R10:R35" si="0">B10</f>
        <v>GUINNESS</v>
      </c>
      <c r="S10" s="296">
        <f t="shared" ref="S10:S35" si="1">VLOOKUP($B10,$R$3:$X$9,2,FALSE)</f>
        <v>17</v>
      </c>
      <c r="T10" s="296">
        <f t="shared" ref="T10:T35" si="2">VLOOKUP($B10,$R$3:$X$9,3,FALSE)</f>
        <v>17.5</v>
      </c>
      <c r="U10" s="297">
        <f t="shared" ref="U10:U35" si="3">VLOOKUP($B10,$R$3:$X$9,4,FALSE)</f>
        <v>0</v>
      </c>
      <c r="V10" s="297">
        <f t="shared" ref="V10:V35" si="4">VLOOKUP($B10,$R$3:$X$9,5,FALSE)</f>
        <v>0.1076388888888889</v>
      </c>
      <c r="W10" s="297">
        <f t="shared" ref="W10:W35" si="5">VLOOKUP($B10,$R$3:$X$9,6,FALSE)</f>
        <v>0.24652777777777779</v>
      </c>
      <c r="X10" s="297">
        <f t="shared" ref="X10:X35" si="6">VLOOKUP($B10,$R$3:$X$9,7,FALSE)</f>
        <v>0.28472222222222221</v>
      </c>
      <c r="Y10" s="297">
        <f t="shared" ref="Y10:Y35" si="7">VLOOKUP($B10,$R$3:$Z$9,8,FALSE)</f>
        <v>0</v>
      </c>
      <c r="Z10" s="296">
        <f t="shared" ref="Z10:Z35" si="8">VLOOKUP($B10,$R$3:$Z$9,9,FALSE)</f>
        <v>60</v>
      </c>
    </row>
    <row r="11" spans="2:29" ht="16.5" customHeight="1">
      <c r="B11" s="34" t="s">
        <v>12</v>
      </c>
      <c r="C11" s="366" t="str">
        <f>[26]Brewhouse!$A123</f>
        <v>GU111</v>
      </c>
      <c r="D11" s="279">
        <f>[26]Brewhouse!$AF123</f>
        <v>52.2</v>
      </c>
      <c r="E11" s="279">
        <f>[26]Brewhouse!$AI123</f>
        <v>49.3</v>
      </c>
      <c r="F11" s="278">
        <f>[26]Brewhouse!$V123</f>
        <v>63</v>
      </c>
      <c r="G11" s="279">
        <f>[26]Brewhouse!$AG123</f>
        <v>17.399999999999999</v>
      </c>
      <c r="H11" s="396">
        <v>17.5</v>
      </c>
      <c r="I11" s="420">
        <f>[26]Brewhouse!$AU123</f>
        <v>93.960104817624511</v>
      </c>
      <c r="J11" s="420">
        <f>[26]Brewhouse!$AV123</f>
        <v>94.061205659216711</v>
      </c>
      <c r="K11" s="463">
        <f>[26]Brewhouse!$R123</f>
        <v>0</v>
      </c>
      <c r="L11" s="276">
        <f>[26]Brewhouse!$O123</f>
        <v>88</v>
      </c>
      <c r="M11" s="374">
        <f>[26]Brewhouse!$U123-[26]Brewhouse!$T123</f>
        <v>0.15208333333333335</v>
      </c>
      <c r="N11" s="370">
        <f>[26]Brewhouse!$Z123</f>
        <v>0.29861111111111116</v>
      </c>
      <c r="O11" s="421" t="str">
        <f>[26]Brewhouse!$AW123</f>
        <v>R. Regis</v>
      </c>
      <c r="P11" s="418"/>
      <c r="R11" s="277" t="str">
        <f t="shared" si="0"/>
        <v>GUINNESS</v>
      </c>
      <c r="S11" s="296">
        <f t="shared" si="1"/>
        <v>17</v>
      </c>
      <c r="T11" s="296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296">
        <f t="shared" si="8"/>
        <v>60</v>
      </c>
    </row>
    <row r="12" spans="2:29" ht="16.5" customHeight="1">
      <c r="B12" s="34"/>
      <c r="C12" s="366"/>
      <c r="D12" s="279"/>
      <c r="E12" s="279"/>
      <c r="F12" s="278"/>
      <c r="G12" s="279"/>
      <c r="H12" s="396"/>
      <c r="I12" s="420"/>
      <c r="J12" s="420"/>
      <c r="K12" s="463"/>
      <c r="L12" s="276"/>
      <c r="M12" s="374"/>
      <c r="N12" s="370"/>
      <c r="O12" s="421"/>
      <c r="P12" s="418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6.5" customHeight="1">
      <c r="B13" s="29"/>
      <c r="C13" s="366"/>
      <c r="D13" s="279"/>
      <c r="E13" s="279"/>
      <c r="F13" s="278"/>
      <c r="G13" s="279"/>
      <c r="H13" s="476"/>
      <c r="I13" s="368"/>
      <c r="J13" s="368"/>
      <c r="K13" s="281"/>
      <c r="L13" s="276"/>
      <c r="M13" s="397"/>
      <c r="N13" s="370"/>
      <c r="O13" s="421"/>
      <c r="P13" s="418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6.5" hidden="1" customHeight="1">
      <c r="B14" s="29"/>
      <c r="C14" s="366"/>
      <c r="D14" s="279"/>
      <c r="E14" s="279"/>
      <c r="F14" s="278"/>
      <c r="G14" s="279"/>
      <c r="H14" s="476"/>
      <c r="I14" s="368"/>
      <c r="J14" s="368"/>
      <c r="K14" s="281"/>
      <c r="L14" s="276"/>
      <c r="M14" s="397"/>
      <c r="N14" s="370"/>
      <c r="O14" s="421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6.5" hidden="1" customHeight="1">
      <c r="B15" s="29"/>
      <c r="C15" s="366"/>
      <c r="D15" s="279"/>
      <c r="E15" s="279"/>
      <c r="F15" s="278"/>
      <c r="G15" s="279"/>
      <c r="H15" s="476"/>
      <c r="I15" s="368"/>
      <c r="J15" s="368"/>
      <c r="K15" s="281"/>
      <c r="L15" s="276"/>
      <c r="M15" s="397"/>
      <c r="N15" s="370"/>
      <c r="O15" s="421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6.5" hidden="1" customHeight="1">
      <c r="B16" s="29"/>
      <c r="C16" s="366"/>
      <c r="D16" s="279"/>
      <c r="E16" s="279"/>
      <c r="F16" s="278"/>
      <c r="G16" s="279"/>
      <c r="H16" s="476"/>
      <c r="I16" s="368"/>
      <c r="J16" s="368"/>
      <c r="K16" s="281"/>
      <c r="L16" s="276"/>
      <c r="M16" s="397"/>
      <c r="N16" s="370"/>
      <c r="O16" s="42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6.5" hidden="1" customHeight="1">
      <c r="B17" s="29"/>
      <c r="C17" s="366"/>
      <c r="D17" s="279"/>
      <c r="E17" s="279"/>
      <c r="F17" s="278"/>
      <c r="G17" s="279"/>
      <c r="H17" s="476"/>
      <c r="I17" s="368"/>
      <c r="J17" s="368"/>
      <c r="K17" s="281"/>
      <c r="L17" s="276"/>
      <c r="M17" s="397"/>
      <c r="N17" s="370"/>
      <c r="O17" s="42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6.5" hidden="1" customHeight="1">
      <c r="B18" s="29"/>
      <c r="C18" s="366"/>
      <c r="D18" s="279"/>
      <c r="E18" s="279"/>
      <c r="F18" s="278"/>
      <c r="G18" s="279"/>
      <c r="H18" s="476"/>
      <c r="I18" s="368"/>
      <c r="J18" s="368"/>
      <c r="K18" s="281"/>
      <c r="L18" s="276"/>
      <c r="M18" s="397"/>
      <c r="N18" s="370"/>
      <c r="O18" s="42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6.5" hidden="1" customHeight="1">
      <c r="B19" s="29"/>
      <c r="C19" s="366"/>
      <c r="D19" s="279"/>
      <c r="E19" s="279"/>
      <c r="F19" s="278"/>
      <c r="G19" s="279"/>
      <c r="H19" s="476"/>
      <c r="I19" s="368"/>
      <c r="J19" s="368"/>
      <c r="K19" s="281"/>
      <c r="L19" s="276"/>
      <c r="M19" s="397"/>
      <c r="N19" s="370"/>
      <c r="O19" s="42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6.5" hidden="1" customHeight="1">
      <c r="B20" s="29"/>
      <c r="C20" s="366"/>
      <c r="D20" s="279"/>
      <c r="E20" s="279"/>
      <c r="F20" s="278"/>
      <c r="G20" s="279"/>
      <c r="H20" s="476"/>
      <c r="I20" s="368"/>
      <c r="J20" s="368"/>
      <c r="K20" s="281"/>
      <c r="L20" s="276"/>
      <c r="M20" s="397"/>
      <c r="N20" s="370"/>
      <c r="O20" s="42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6.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12"/>
      <c r="J22" s="512"/>
      <c r="K22" s="512"/>
      <c r="L22" s="512"/>
      <c r="M22" s="512"/>
      <c r="N22" s="512"/>
      <c r="O22" s="1"/>
      <c r="P22" s="12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customHeight="1" thickBot="1">
      <c r="B23" s="388" t="s">
        <v>162</v>
      </c>
      <c r="C23" s="388"/>
      <c r="D23" s="490" t="s">
        <v>35</v>
      </c>
      <c r="E23" s="491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" customHeight="1">
      <c r="A24" s="28"/>
      <c r="B24" s="589"/>
      <c r="C24" s="362"/>
      <c r="D24" s="516"/>
      <c r="E24" s="517"/>
      <c r="F24" s="294"/>
      <c r="G24" s="294"/>
      <c r="H24" s="348"/>
      <c r="I24" s="29" t="s">
        <v>6</v>
      </c>
      <c r="J24" s="280"/>
      <c r="K24" s="284">
        <f>COUNTA([24]Brewhouse!$A$914:$A$989)</f>
        <v>76</v>
      </c>
      <c r="L24" s="305">
        <f>AVERAGE([24]Brewhouse!$AU$914:$AU$989)</f>
        <v>98.112893060604236</v>
      </c>
      <c r="M24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$989)</f>
        <v>97.752489444045736</v>
      </c>
      <c r="N24" s="30">
        <v>98</v>
      </c>
      <c r="O24" s="11"/>
      <c r="P24" s="31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" customHeight="1">
      <c r="A25" s="28"/>
      <c r="B25" s="591"/>
      <c r="C25" s="362"/>
      <c r="D25" s="518"/>
      <c r="E25" s="519"/>
      <c r="F25" s="294"/>
      <c r="G25" s="294"/>
      <c r="H25" s="348"/>
      <c r="I25" s="33" t="s">
        <v>9</v>
      </c>
      <c r="J25" s="280"/>
      <c r="K25" s="284">
        <f>COUNTA([25]Brewhouse!$A$449:$A$484)</f>
        <v>36</v>
      </c>
      <c r="L25" s="302">
        <f>AVERAGE([25]Brewhouse!$AS$449:$AS$484)</f>
        <v>96.933734298290275</v>
      </c>
      <c r="M25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$484)</f>
        <v>97.847961594552643</v>
      </c>
      <c r="N25" s="30">
        <v>98</v>
      </c>
      <c r="O25" s="11"/>
      <c r="P25" s="31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4.65" customHeight="1">
      <c r="A26" s="28"/>
      <c r="B26" s="591"/>
      <c r="C26" s="362"/>
      <c r="D26" s="566"/>
      <c r="E26" s="567"/>
      <c r="F26" s="294"/>
      <c r="G26" s="294"/>
      <c r="H26" s="348"/>
      <c r="I26" s="34" t="s">
        <v>12</v>
      </c>
      <c r="J26" s="280">
        <f>AVERAGE(I10:I11)</f>
        <v>93.52789801641137</v>
      </c>
      <c r="K26" s="284">
        <f>COUNTA([26]Brewhouse!$A$116:$A$123)</f>
        <v>8</v>
      </c>
      <c r="L26" s="302">
        <f>AVERAGE([26]Brewhouse!$AU$116:$AU$123)</f>
        <v>94.492157310536172</v>
      </c>
      <c r="M26" s="302">
        <f>AVERAGE([26]Brewhouse!$AU$4:$AU$7,[26]Brewhouse!$AU$9:$AU$22,[26]Brewhouse!$AU$24:$AU$35,[26]Brewhouse!$AU$37:$AU$45,[26]Brewhouse!$AU$47:$AU$62,[26]Brewhouse!$AU$64:$AU$79,[26]Brewhouse!$AU$81:$AU$92,[26]Brewhouse!$AU$94:$AU$97,[26]Brewhouse!$AU$99:$AU$106,[26]Brewhouse!$AU$116:$AU$123)</f>
        <v>96.481276590905978</v>
      </c>
      <c r="N26" s="30">
        <v>98</v>
      </c>
      <c r="O26" s="11"/>
      <c r="P26" s="31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4.65" customHeight="1">
      <c r="A27" s="28"/>
      <c r="B27" s="591"/>
      <c r="C27" s="362"/>
      <c r="D27" s="531"/>
      <c r="E27" s="519"/>
      <c r="F27" s="294"/>
      <c r="G27" s="294"/>
      <c r="H27" s="348"/>
      <c r="I27" s="22" t="s">
        <v>33</v>
      </c>
      <c r="J27" s="280"/>
      <c r="K27" s="284">
        <f>COUNTA([23]Brewhouse!$A$97:$A$104)</f>
        <v>8</v>
      </c>
      <c r="L27" s="302">
        <f>AVERAGE([23]Brewhouse!$AV$97:$AV$104)</f>
        <v>98.419138016287462</v>
      </c>
      <c r="M27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27" s="30">
        <v>98</v>
      </c>
      <c r="O27" s="11"/>
      <c r="P27" s="31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91"/>
      <c r="C28" s="362"/>
      <c r="D28" s="566"/>
      <c r="E28" s="567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91"/>
      <c r="C29" s="362"/>
      <c r="D29" s="531"/>
      <c r="E29" s="519"/>
      <c r="F29" s="417"/>
      <c r="G29" s="294"/>
      <c r="H29" s="348"/>
      <c r="I29" s="36" t="s">
        <v>15</v>
      </c>
      <c r="J29" s="323"/>
      <c r="K29" s="284"/>
      <c r="L29" s="302"/>
      <c r="M29" s="302">
        <f>AVERAGE([27]Brewhouse!$AT$4:$AT$11,[27]Brewhouse!$AT$13:$AT$16,[27]Brewhouse!$AT$18:$AT$21,[27]Brewhouse!$AT$26,[27]Brewhouse!$AT$28:$AT$35)</f>
        <v>94.794664331624134</v>
      </c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  <c r="AA29" s="296"/>
    </row>
    <row r="30" spans="1:27" ht="14.65" customHeight="1">
      <c r="A30" s="28"/>
      <c r="B30" s="591"/>
      <c r="C30" s="362"/>
      <c r="D30" s="566"/>
      <c r="E30" s="567"/>
      <c r="F30" s="417"/>
      <c r="G30" s="294"/>
      <c r="H30" s="348"/>
      <c r="I30" s="37" t="s">
        <v>16</v>
      </c>
      <c r="J30" s="323"/>
      <c r="K30" s="284">
        <f>COUNTA([22]Brewhouse!$A$94:$A$97)</f>
        <v>4</v>
      </c>
      <c r="L30" s="302">
        <f>AVERAGE([22]Brewhouse!$AY$94:$AY$97)</f>
        <v>95.326767995731288</v>
      </c>
      <c r="M30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0" s="30">
        <v>98</v>
      </c>
      <c r="O30" s="11"/>
      <c r="P30" s="31" t="s">
        <v>41</v>
      </c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  <c r="AA30" s="296"/>
    </row>
    <row r="31" spans="1:27" ht="14.65" customHeight="1">
      <c r="A31" s="28"/>
      <c r="B31" s="591"/>
      <c r="C31" s="362"/>
      <c r="D31" s="531"/>
      <c r="E31" s="519"/>
      <c r="F31" s="294"/>
      <c r="G31" s="294"/>
      <c r="H31" s="348"/>
      <c r="I31" s="411" t="s">
        <v>158</v>
      </c>
      <c r="J31" s="326"/>
      <c r="K31" s="284"/>
      <c r="L31" s="305"/>
      <c r="M31" s="305">
        <f>AVERAGE([28]Brewhouse!$AU$5:$AU$8,[28]Brewhouse!$AU$10:$AU$13,[22]Brewhouse!$AY$75:$AY$77)</f>
        <v>94.749192473706671</v>
      </c>
      <c r="N31" s="30">
        <v>98</v>
      </c>
      <c r="O31" s="11"/>
      <c r="P31" s="31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  <c r="AA31" s="296"/>
    </row>
    <row r="32" spans="1:27" ht="14.65" customHeight="1">
      <c r="A32" s="28"/>
      <c r="B32" s="591"/>
      <c r="C32" s="349"/>
      <c r="D32" s="566"/>
      <c r="E32" s="567"/>
      <c r="F32" s="294"/>
      <c r="G32" s="294"/>
      <c r="H32" s="348"/>
      <c r="I32" s="410" t="s">
        <v>157</v>
      </c>
      <c r="J32" s="326"/>
      <c r="K32" s="284"/>
      <c r="L32" s="305"/>
      <c r="M32" s="305">
        <f>AVERAGE([29]Brewhouse!$AW$26:$AW$27)</f>
        <v>95.310680905194914</v>
      </c>
      <c r="N32" s="30">
        <v>98</v>
      </c>
      <c r="O32" s="11"/>
      <c r="P32" s="31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  <c r="AA32" s="296"/>
    </row>
    <row r="33" spans="1:56" ht="15" customHeight="1" thickBot="1">
      <c r="A33" s="28"/>
      <c r="B33" s="591"/>
      <c r="C33" s="349"/>
      <c r="D33" s="531"/>
      <c r="E33" s="519"/>
      <c r="F33" s="294"/>
      <c r="G33" s="294"/>
      <c r="H33" s="348"/>
      <c r="I33" s="406" t="s">
        <v>156</v>
      </c>
      <c r="J33" s="327"/>
      <c r="K33" s="407"/>
      <c r="L33" s="408"/>
      <c r="M33" s="408">
        <f>AVERAGE([30]Brewhouse!$AU$13:$AU$14)</f>
        <v>97.110575243268045</v>
      </c>
      <c r="N33" s="409">
        <v>98</v>
      </c>
      <c r="O33" s="11"/>
      <c r="P33" s="31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  <c r="AA33" s="296"/>
    </row>
    <row r="34" spans="1:56" ht="15" customHeight="1" thickBot="1">
      <c r="A34" s="28"/>
      <c r="B34" s="591"/>
      <c r="C34" s="349"/>
      <c r="D34" s="516"/>
      <c r="E34" s="517"/>
      <c r="F34" s="294"/>
      <c r="G34" s="294"/>
      <c r="H34" s="348"/>
      <c r="I34" s="1"/>
      <c r="J34" s="39"/>
      <c r="K34" s="404">
        <f>SUM(K24:K33)</f>
        <v>132</v>
      </c>
      <c r="L34" s="405">
        <f>((L24*K24)+(L25*K25)+(L26*K26)+(L27*K27)+(L28*K28)+(K31*L31)+(L29*K29)+(L30*K30)+(L33*K33))/(K34)</f>
        <v>97.505998045014294</v>
      </c>
      <c r="M34" s="405">
        <f>AVERAGE('[31]Jan 31st'!$L$65,'[32]Feb 28th'!$L$35,'[33]Mar. 31st'!$L$35,'[34]Apr. 30th'!$L$45,'[35]May 30th'!$L$37,'[36]June 30th'!$L$57,'[37]July 29th '!$L$44,'[38]Aug 29th'!$L$29,'[39]Sept 30th'!$L$35,L34)</f>
        <v>97.568550044183226</v>
      </c>
      <c r="N34" s="40">
        <v>98</v>
      </c>
      <c r="O34" s="11"/>
      <c r="P34" s="31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  <c r="AA34" s="296"/>
    </row>
    <row r="35" spans="1:56" ht="15.75" thickBot="1">
      <c r="B35" s="592"/>
      <c r="C35" s="350"/>
      <c r="D35" s="518"/>
      <c r="E35" s="519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  <c r="AA35" s="296"/>
    </row>
    <row r="36" spans="1:56" ht="15.75" thickBot="1">
      <c r="B36" s="513"/>
      <c r="C36" s="362"/>
      <c r="D36" s="529"/>
      <c r="E36" s="530"/>
      <c r="F36" s="294"/>
      <c r="G36" s="42"/>
      <c r="H36" s="41"/>
      <c r="I36" s="42"/>
      <c r="J36" s="565" t="s">
        <v>129</v>
      </c>
      <c r="K36" s="565"/>
      <c r="L36" s="294"/>
      <c r="M36" s="294"/>
      <c r="N36" s="294"/>
      <c r="O36" s="294"/>
      <c r="P36" s="12"/>
    </row>
    <row r="37" spans="1:56" ht="15.75" thickBot="1">
      <c r="B37" s="514"/>
      <c r="C37" s="362"/>
      <c r="D37" s="531"/>
      <c r="E37" s="519"/>
      <c r="F37" s="294"/>
      <c r="G37" s="42"/>
      <c r="H37" s="41"/>
      <c r="I37" s="42"/>
      <c r="J37" s="292" t="s">
        <v>17</v>
      </c>
      <c r="K37" s="293" t="s">
        <v>199</v>
      </c>
      <c r="L37" s="533" t="s">
        <v>136</v>
      </c>
      <c r="M37" s="533"/>
      <c r="N37" s="534"/>
      <c r="O37" s="294"/>
      <c r="P37" s="12"/>
    </row>
    <row r="38" spans="1:56" ht="15" customHeight="1" thickBot="1">
      <c r="B38" s="514"/>
      <c r="C38" s="349"/>
      <c r="D38" s="566"/>
      <c r="E38" s="567"/>
      <c r="F38" s="294"/>
      <c r="G38" s="42"/>
      <c r="H38" s="41"/>
      <c r="I38" s="42"/>
      <c r="J38" s="287" t="s">
        <v>6</v>
      </c>
      <c r="K38" s="324"/>
      <c r="L38" s="343" t="s">
        <v>37</v>
      </c>
      <c r="M38" s="307" t="s">
        <v>38</v>
      </c>
      <c r="N38" s="307" t="s">
        <v>84</v>
      </c>
      <c r="O38" s="294"/>
      <c r="P38" s="12"/>
    </row>
    <row r="39" spans="1:56" ht="15.75" customHeight="1" thickBot="1">
      <c r="B39" s="514"/>
      <c r="C39" s="349"/>
      <c r="D39" s="531"/>
      <c r="E39" s="519"/>
      <c r="F39" s="294"/>
      <c r="G39" s="42"/>
      <c r="H39" s="41"/>
      <c r="I39" s="42"/>
      <c r="J39" s="345" t="s">
        <v>9</v>
      </c>
      <c r="K39" s="324"/>
      <c r="L39" s="344">
        <f>AVERAGE('Nov 26th'!K51,'Nov 24th'!K53,'Nov 25th'!K53,'Nov 21st'!K47,'Nov 22nd-23rd'!J61,'Nov 22nd-23rd'!K61,'Nov 27th'!K48,'Nov 19th '!K49,'Nov 18th'!K58,'Nov 15th'!K53,'Nov 13th&amp; 14th'!J53,'Nov 13th&amp; 14th'!K53,'Nov 12th'!K47,'Nov 11th'!K51,'Nov 10th'!K53,'Nov 6th '!K52,'Nov 7th-8th'!J55,'Nov 7th-8th'!K55,'Nov 4th'!K52,'Nov 5th'!K51,Nov.3rd!K52)</f>
        <v>6.2380952380952381</v>
      </c>
      <c r="M39" s="325">
        <f>AVERAGE('[31]Jan 29th '!$M$70,'[32]Feb 28th'!$L$40,'[33]Mar. 31st'!$L$40,'[34]Apr. 30th'!$L$50,'[35]May 30th'!$L$42,'[36]June 30th'!$L$62,'[37]July 29th '!$L$49,'[38]Aug 29th'!$L$34,'[39]Sept 30th'!$L$40,[40]Oct.31st!$L$43,L39)</f>
        <v>6.9882546896276869</v>
      </c>
      <c r="N39" s="416">
        <v>9.1999999999999993</v>
      </c>
      <c r="O39" s="294"/>
      <c r="P39" s="12"/>
    </row>
    <row r="40" spans="1:56" ht="15" customHeight="1">
      <c r="B40" s="514"/>
      <c r="C40" s="349"/>
      <c r="D40" s="566"/>
      <c r="E40" s="567"/>
      <c r="F40" s="294"/>
      <c r="G40" s="42"/>
      <c r="H40" s="41"/>
      <c r="I40" s="42"/>
      <c r="J40" s="288" t="s">
        <v>40</v>
      </c>
      <c r="K40" s="324">
        <v>2</v>
      </c>
      <c r="L40" s="294"/>
      <c r="M40" s="294"/>
      <c r="N40" s="294"/>
      <c r="O40" s="294"/>
      <c r="P40" s="12"/>
    </row>
    <row r="41" spans="1:56" ht="15" customHeight="1">
      <c r="B41" s="514"/>
      <c r="C41" s="349"/>
      <c r="D41" s="531"/>
      <c r="E41" s="519"/>
      <c r="F41" s="294"/>
      <c r="G41" s="42"/>
      <c r="H41" s="41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14"/>
      <c r="C42" s="349"/>
      <c r="D42" s="566"/>
      <c r="E42" s="567"/>
      <c r="F42" s="294"/>
      <c r="G42" s="42"/>
      <c r="H42" s="41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14"/>
      <c r="C43" s="349"/>
      <c r="D43" s="531"/>
      <c r="E43" s="519"/>
      <c r="F43" s="294"/>
      <c r="G43" s="42"/>
      <c r="H43" s="41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14"/>
      <c r="C44" s="349"/>
      <c r="D44" s="566"/>
      <c r="E44" s="567"/>
      <c r="F44" s="294"/>
      <c r="G44" s="42"/>
      <c r="H44" s="41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15"/>
      <c r="C45" s="350"/>
      <c r="D45" s="568"/>
      <c r="E45" s="569"/>
      <c r="F45" s="294" t="s">
        <v>168</v>
      </c>
      <c r="G45" s="42"/>
      <c r="H45" s="41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76"/>
      <c r="E46" s="577"/>
      <c r="F46" s="294"/>
      <c r="H46" s="41"/>
      <c r="I46" s="42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1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1"/>
      <c r="I48" s="42"/>
      <c r="J48" s="346" t="s">
        <v>130</v>
      </c>
      <c r="K48" s="324">
        <f>SUM(K38:K47)</f>
        <v>2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J49" s="42"/>
      <c r="L49" s="294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41" t="s">
        <v>17</v>
      </c>
      <c r="C51" s="541" t="s">
        <v>44</v>
      </c>
      <c r="D51" s="543" t="s">
        <v>45</v>
      </c>
      <c r="E51" s="498" t="s">
        <v>46</v>
      </c>
      <c r="F51" s="558" t="s">
        <v>47</v>
      </c>
      <c r="G51" s="552" t="s">
        <v>48</v>
      </c>
      <c r="H51" s="541" t="s">
        <v>49</v>
      </c>
      <c r="I51" s="541" t="s">
        <v>50</v>
      </c>
      <c r="J51" s="546" t="s">
        <v>28</v>
      </c>
      <c r="K51" s="496" t="s">
        <v>51</v>
      </c>
      <c r="L51" s="508" t="s">
        <v>52</v>
      </c>
      <c r="M51" s="546" t="s">
        <v>53</v>
      </c>
      <c r="N51" s="13"/>
      <c r="O51" s="13"/>
      <c r="P51" s="50"/>
    </row>
    <row r="52" spans="2:57" ht="28.5" customHeight="1" thickTop="1" thickBot="1">
      <c r="B52" s="542"/>
      <c r="C52" s="542"/>
      <c r="D52" s="544"/>
      <c r="E52" s="545"/>
      <c r="F52" s="559"/>
      <c r="G52" s="553"/>
      <c r="H52" s="560"/>
      <c r="I52" s="560"/>
      <c r="J52" s="547"/>
      <c r="K52" s="556"/>
      <c r="L52" s="557"/>
      <c r="M52" s="547"/>
      <c r="N52" s="13"/>
      <c r="O52" s="13"/>
      <c r="P52" s="50"/>
      <c r="Q52" s="355"/>
      <c r="AB52" s="51">
        <v>43474</v>
      </c>
      <c r="AC52" s="51">
        <v>43475</v>
      </c>
      <c r="AD52" s="51">
        <v>43476</v>
      </c>
      <c r="AE52" s="51">
        <v>43477</v>
      </c>
      <c r="AF52" s="51">
        <v>43478</v>
      </c>
      <c r="AG52" s="51">
        <v>43479</v>
      </c>
      <c r="AH52" s="51">
        <v>43480</v>
      </c>
      <c r="AI52" s="51">
        <v>43481</v>
      </c>
      <c r="AJ52" s="51">
        <v>43482</v>
      </c>
      <c r="AK52" s="51">
        <v>43483</v>
      </c>
      <c r="AL52" s="51">
        <v>43484</v>
      </c>
      <c r="AM52" s="51">
        <v>43485</v>
      </c>
      <c r="AN52" s="51">
        <v>43486</v>
      </c>
      <c r="AO52" s="51">
        <v>43487</v>
      </c>
      <c r="AP52" s="51">
        <v>43488</v>
      </c>
      <c r="AQ52" s="51">
        <v>43489</v>
      </c>
      <c r="AR52" s="51">
        <v>43490</v>
      </c>
      <c r="AS52" s="51">
        <v>43491</v>
      </c>
      <c r="AT52" s="51">
        <v>43492</v>
      </c>
      <c r="AU52" s="51">
        <v>43493</v>
      </c>
      <c r="AV52" s="51">
        <v>43494</v>
      </c>
      <c r="AW52" s="51">
        <v>43495</v>
      </c>
      <c r="AX52" s="51">
        <v>43496</v>
      </c>
    </row>
    <row r="53" spans="2:57" s="54" customFormat="1" ht="43.15" customHeight="1" thickBot="1">
      <c r="B53" s="458"/>
      <c r="C53" s="442"/>
      <c r="D53" s="443"/>
      <c r="E53" s="444"/>
      <c r="F53" s="445"/>
      <c r="G53" s="445"/>
      <c r="H53" s="460"/>
      <c r="I53" s="460"/>
      <c r="J53" s="449"/>
      <c r="K53" s="450"/>
      <c r="L53" s="459"/>
      <c r="M53" s="456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[20]January_2019!L7</f>
        <v>285.8</v>
      </c>
      <c r="AC53" s="57">
        <f>[20]January_2019!M7</f>
        <v>508.1</v>
      </c>
      <c r="AD53" s="57">
        <f>[20]January_2019!N7</f>
        <v>0</v>
      </c>
      <c r="AE53" s="57">
        <f>[20]January_2019!O7</f>
        <v>0</v>
      </c>
      <c r="AF53" s="57">
        <f>[20]January_2019!P7</f>
        <v>109.56666666666666</v>
      </c>
      <c r="AG53" s="57">
        <f>[20]January_2019!Q7</f>
        <v>297.64999999999998</v>
      </c>
      <c r="AH53" s="57">
        <f>[20]January_2019!R7</f>
        <v>122.3</v>
      </c>
      <c r="AI53" s="57">
        <f>[20]January_2019!S7</f>
        <v>0</v>
      </c>
      <c r="AJ53" s="57">
        <f>[20]January_2019!T7</f>
        <v>294.7</v>
      </c>
      <c r="AK53" s="57">
        <f>[20]January_2019!U7</f>
        <v>280.5</v>
      </c>
      <c r="AL53" s="57">
        <f>[20]January_2019!V7</f>
        <v>0</v>
      </c>
      <c r="AM53" s="57">
        <f>[20]January_2019!W7</f>
        <v>0</v>
      </c>
      <c r="AN53" s="57">
        <f>[20]January_2019!X7</f>
        <v>188.25</v>
      </c>
      <c r="AO53" s="57">
        <f>[20]January_2019!Y7</f>
        <v>295.7</v>
      </c>
      <c r="AP53" s="57">
        <f>[20]January_2019!Z7</f>
        <v>257.8</v>
      </c>
      <c r="AQ53" s="57">
        <f>[20]January_2019!AA7</f>
        <v>291.2</v>
      </c>
      <c r="AR53" s="57">
        <f>[20]January_2019!AB7</f>
        <v>187</v>
      </c>
      <c r="AS53" s="57">
        <f>[20]January_2019!AC7</f>
        <v>0</v>
      </c>
      <c r="AT53" s="57">
        <f>[20]January_2019!AD7</f>
        <v>0</v>
      </c>
      <c r="AU53" s="57">
        <f>[20]January_2019!AE7</f>
        <v>485.1</v>
      </c>
      <c r="AV53" s="57">
        <f>[20]January_2019!AF7</f>
        <v>171.55</v>
      </c>
      <c r="AW53" s="57">
        <f>[20]January_2019!AG7</f>
        <v>423.8</v>
      </c>
      <c r="AX53" s="277">
        <f>[20]January_2019!AH7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20.45" hidden="1" customHeight="1" thickBot="1">
      <c r="B54" s="473"/>
      <c r="C54" s="431"/>
      <c r="D54" s="432"/>
      <c r="E54" s="433"/>
      <c r="F54" s="434"/>
      <c r="G54" s="435"/>
      <c r="H54" s="429"/>
      <c r="I54" s="429"/>
      <c r="J54" s="452"/>
      <c r="K54" s="437"/>
      <c r="L54" s="453"/>
      <c r="M54" s="42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8.450000000000003" hidden="1" customHeight="1" thickBot="1">
      <c r="B55" s="458"/>
      <c r="C55" s="442"/>
      <c r="D55" s="443"/>
      <c r="E55" s="444"/>
      <c r="F55" s="445"/>
      <c r="G55" s="446"/>
      <c r="H55" s="460"/>
      <c r="I55" s="460"/>
      <c r="J55" s="449"/>
      <c r="K55" s="462"/>
      <c r="L55" s="459" t="e">
        <f>(((D55+E55)-G55)/(D55+E55))*100</f>
        <v>#DIV/0!</v>
      </c>
      <c r="M55" s="456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" hidden="1">
      <c r="B56" s="454"/>
      <c r="C56" s="431"/>
      <c r="D56" s="432"/>
      <c r="E56" s="433"/>
      <c r="F56" s="434"/>
      <c r="G56" s="435"/>
      <c r="H56" s="436"/>
      <c r="I56" s="451"/>
      <c r="J56" s="452"/>
      <c r="K56" s="437"/>
      <c r="L56" s="453"/>
      <c r="M56" s="422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61"/>
      <c r="C57" s="442"/>
      <c r="D57" s="443"/>
      <c r="E57" s="444"/>
      <c r="F57" s="445"/>
      <c r="G57" s="446"/>
      <c r="H57" s="447"/>
      <c r="I57" s="448"/>
      <c r="J57" s="449"/>
      <c r="K57" s="450"/>
      <c r="L57" s="459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customHeight="1" thickBot="1">
      <c r="B58" s="438"/>
      <c r="C58" s="424"/>
      <c r="D58" s="425"/>
      <c r="E58" s="426"/>
      <c r="F58" s="427"/>
      <c r="G58" s="428"/>
      <c r="H58" s="429"/>
      <c r="I58" s="439"/>
      <c r="J58" s="440"/>
      <c r="K58" s="430"/>
      <c r="L58" s="441"/>
      <c r="M58" s="423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s="54" customFormat="1" ht="37.15" hidden="1" customHeight="1" thickBot="1">
      <c r="B59" s="458"/>
      <c r="C59" s="442"/>
      <c r="D59" s="443"/>
      <c r="E59" s="444"/>
      <c r="F59" s="445"/>
      <c r="G59" s="446"/>
      <c r="H59" s="447"/>
      <c r="I59" s="448"/>
      <c r="J59" s="449"/>
      <c r="K59" s="450"/>
      <c r="L59" s="459" t="e">
        <f>(((D59+E59)-G59)/(D59+E59))*100</f>
        <v>#DIV/0!</v>
      </c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customHeight="1">
      <c r="B60" s="470"/>
      <c r="C60" s="431"/>
      <c r="D60" s="464"/>
      <c r="E60" s="465"/>
      <c r="F60" s="466"/>
      <c r="G60" s="464"/>
      <c r="H60" s="467"/>
      <c r="I60" s="467"/>
      <c r="J60" s="467"/>
      <c r="K60" s="468"/>
      <c r="L60" s="469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548" t="s">
        <v>55</v>
      </c>
      <c r="C62" s="549"/>
      <c r="D62" s="549"/>
      <c r="E62" s="549"/>
      <c r="F62" s="550"/>
      <c r="G62" s="548" t="s">
        <v>56</v>
      </c>
      <c r="H62" s="549"/>
      <c r="I62" s="549"/>
      <c r="J62" s="550"/>
      <c r="K62" s="548" t="s">
        <v>51</v>
      </c>
      <c r="L62" s="549"/>
      <c r="M62" s="549"/>
      <c r="N62" s="551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282"/>
      <c r="D64" s="76">
        <v>6.109586969670791</v>
      </c>
      <c r="E64" s="76">
        <v>6.0721158785687495</v>
      </c>
      <c r="F64" s="66">
        <v>4.8</v>
      </c>
      <c r="G64" s="65"/>
      <c r="H64" s="76">
        <v>5.6702706098840654</v>
      </c>
      <c r="I64" s="76">
        <v>6.0394344516504415</v>
      </c>
      <c r="J64" s="66">
        <v>4.8</v>
      </c>
      <c r="K64" s="67"/>
      <c r="L64" s="194">
        <v>0.44411549707602338</v>
      </c>
      <c r="M64" s="194">
        <v>0.73127050670791238</v>
      </c>
      <c r="N64" s="68">
        <v>1</v>
      </c>
      <c r="O64" s="56"/>
      <c r="P64" s="69"/>
    </row>
    <row r="65" spans="2:16" ht="15">
      <c r="B65" s="33" t="s">
        <v>9</v>
      </c>
      <c r="C65" s="65"/>
      <c r="D65" s="76">
        <v>5.1853750213565721</v>
      </c>
      <c r="E65" s="76">
        <v>5.7200467929828971</v>
      </c>
      <c r="F65" s="66">
        <v>4.8</v>
      </c>
      <c r="G65" s="65"/>
      <c r="H65" s="76">
        <v>3.6096118625802744</v>
      </c>
      <c r="I65" s="76">
        <v>6.2674198164664059</v>
      </c>
      <c r="J65" s="66">
        <v>4.8</v>
      </c>
      <c r="K65" s="67"/>
      <c r="L65" s="194">
        <v>0.59464912280701754</v>
      </c>
      <c r="M65" s="194">
        <v>0.67381772220369407</v>
      </c>
      <c r="N65" s="68">
        <v>1</v>
      </c>
      <c r="P65" s="69"/>
    </row>
    <row r="66" spans="2:16" ht="15">
      <c r="B66" s="34" t="s">
        <v>40</v>
      </c>
      <c r="C66" s="65"/>
      <c r="D66" s="76">
        <v>11.223996129656527</v>
      </c>
      <c r="E66" s="76">
        <v>11.016453256230184</v>
      </c>
      <c r="F66" s="66">
        <v>5.5</v>
      </c>
      <c r="G66" s="65"/>
      <c r="H66" s="76">
        <v>10.76956909379566</v>
      </c>
      <c r="I66" s="76">
        <v>12.536311479158377</v>
      </c>
      <c r="J66" s="66">
        <v>5.5</v>
      </c>
      <c r="K66" s="67"/>
      <c r="L66" s="194">
        <v>0.26637426900584799</v>
      </c>
      <c r="M66" s="194">
        <v>0.51633622959452352</v>
      </c>
      <c r="N66" s="68">
        <v>1</v>
      </c>
      <c r="P66" s="69"/>
    </row>
    <row r="67" spans="2:16" ht="15">
      <c r="B67" s="22" t="s">
        <v>33</v>
      </c>
      <c r="C67" s="65"/>
      <c r="D67" s="76">
        <v>3.7833827893175105</v>
      </c>
      <c r="E67" s="76">
        <v>4.6226456706805745</v>
      </c>
      <c r="F67" s="66">
        <v>3.3</v>
      </c>
      <c r="G67" s="65"/>
      <c r="H67" s="76">
        <v>3.7421885632627285</v>
      </c>
      <c r="I67" s="76">
        <v>4.4171317623593813</v>
      </c>
      <c r="J67" s="66">
        <v>3.3</v>
      </c>
      <c r="K67" s="67"/>
      <c r="L67" s="194">
        <v>0.68263157894736837</v>
      </c>
      <c r="M67" s="194">
        <v>0.83111215538847116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>
        <v>7.837301587301579</v>
      </c>
      <c r="F68" s="66">
        <v>3.3</v>
      </c>
      <c r="G68" s="282"/>
      <c r="H68" s="76"/>
      <c r="I68" s="76">
        <v>5.3377569154690221</v>
      </c>
      <c r="J68" s="66">
        <v>3</v>
      </c>
      <c r="K68" s="67"/>
      <c r="L68" s="194"/>
      <c r="M68" s="194">
        <v>0.32596491228070179</v>
      </c>
      <c r="N68" s="68">
        <v>1</v>
      </c>
      <c r="P68" s="69"/>
    </row>
    <row r="69" spans="2:16" ht="15">
      <c r="B69" s="36" t="s">
        <v>15</v>
      </c>
      <c r="C69" s="65"/>
      <c r="D69" s="76"/>
      <c r="E69" s="76">
        <v>6.8851328044153277</v>
      </c>
      <c r="F69" s="70">
        <f>[21]May_2022!$M$43</f>
        <v>3.4878406700073312</v>
      </c>
      <c r="G69" s="282"/>
      <c r="H69" s="76"/>
      <c r="I69" s="76">
        <v>8.6614709463340702</v>
      </c>
      <c r="J69" s="66">
        <v>5.5</v>
      </c>
      <c r="K69" s="67"/>
      <c r="L69" s="194"/>
      <c r="M69" s="194">
        <v>0.73160818713450293</v>
      </c>
      <c r="N69" s="68">
        <v>1</v>
      </c>
      <c r="P69" s="69"/>
    </row>
    <row r="70" spans="2:16" ht="15">
      <c r="B70" s="37" t="s">
        <v>16</v>
      </c>
      <c r="C70" s="65"/>
      <c r="D70" s="76">
        <v>2.6328862394436081</v>
      </c>
      <c r="E70" s="76">
        <v>2.9297033255778997</v>
      </c>
      <c r="F70" s="66">
        <v>3.3</v>
      </c>
      <c r="G70" s="282"/>
      <c r="H70" s="76">
        <v>2.6328862394435983</v>
      </c>
      <c r="I70" s="76">
        <v>4.2684292436723528</v>
      </c>
      <c r="J70" s="66">
        <v>3.3</v>
      </c>
      <c r="K70" s="67"/>
      <c r="L70" s="194">
        <v>0.68771929824561406</v>
      </c>
      <c r="M70" s="194">
        <v>0.84660147761842675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>
        <v>11.483253588516746</v>
      </c>
      <c r="F71" s="66">
        <v>7.5</v>
      </c>
      <c r="G71" s="282"/>
      <c r="H71" s="76"/>
      <c r="I71" s="76">
        <v>9.7934336121043764</v>
      </c>
      <c r="J71" s="66">
        <v>7.5</v>
      </c>
      <c r="K71" s="67"/>
      <c r="M71" s="194">
        <v>0.32456140350877194</v>
      </c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>
        <v>7.2653644592663174</v>
      </c>
      <c r="F72" s="66">
        <v>4.8</v>
      </c>
      <c r="G72" s="282"/>
      <c r="H72" s="76"/>
      <c r="I72" s="76">
        <v>8.1715311054411259</v>
      </c>
      <c r="J72" s="66">
        <v>4.8</v>
      </c>
      <c r="K72" s="67"/>
      <c r="L72" s="194"/>
      <c r="M72" s="194">
        <v>0.51368421052631585</v>
      </c>
      <c r="N72" s="71">
        <v>1</v>
      </c>
      <c r="O72" s="74"/>
      <c r="P72" s="75"/>
    </row>
    <row r="73" spans="2:16" ht="15">
      <c r="D73" s="76">
        <v>6.0063871740657655</v>
      </c>
      <c r="E73" s="76">
        <v>6.1142024572037208</v>
      </c>
      <c r="F73" s="341">
        <v>5.5</v>
      </c>
      <c r="H73" s="76">
        <v>5.4561447499452154</v>
      </c>
      <c r="I73" s="76">
        <v>6.5724479259788264</v>
      </c>
      <c r="J73" s="341">
        <v>5.5</v>
      </c>
      <c r="L73" s="194">
        <v>0.4826647173489278</v>
      </c>
      <c r="M73" s="194">
        <v>0.70268152628434888</v>
      </c>
      <c r="N73" s="386">
        <v>1</v>
      </c>
    </row>
  </sheetData>
  <mergeCells count="51">
    <mergeCell ref="M51:M52"/>
    <mergeCell ref="B62:F62"/>
    <mergeCell ref="G62:J62"/>
    <mergeCell ref="K62:N62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365" priority="44" operator="notBetween">
      <formula>#REF!</formula>
      <formula>#REF!</formula>
    </cfRule>
  </conditionalFormatting>
  <conditionalFormatting sqref="C50">
    <cfRule type="cellIs" dxfId="364" priority="194" stopIfTrue="1" operator="greaterThan">
      <formula>100</formula>
    </cfRule>
    <cfRule type="cellIs" dxfId="363" priority="193" stopIfTrue="1" operator="lessThan">
      <formula>96</formula>
    </cfRule>
  </conditionalFormatting>
  <conditionalFormatting sqref="C64:C68">
    <cfRule type="cellIs" dxfId="362" priority="147" stopIfTrue="1" operator="lessThanOrEqual">
      <formula>0</formula>
    </cfRule>
  </conditionalFormatting>
  <conditionalFormatting sqref="C64:C72">
    <cfRule type="cellIs" dxfId="361" priority="146" stopIfTrue="1" operator="greaterThan">
      <formula>$F64</formula>
    </cfRule>
  </conditionalFormatting>
  <conditionalFormatting sqref="C65">
    <cfRule type="cellIs" dxfId="360" priority="197" stopIfTrue="1" operator="greaterThan">
      <formula>$F64</formula>
    </cfRule>
  </conditionalFormatting>
  <conditionalFormatting sqref="C69">
    <cfRule type="cellIs" dxfId="359" priority="87" stopIfTrue="1" operator="greaterThan">
      <formula>$F68</formula>
    </cfRule>
    <cfRule type="cellIs" dxfId="358" priority="86" stopIfTrue="1" operator="lessThanOrEqual">
      <formula>0</formula>
    </cfRule>
  </conditionalFormatting>
  <conditionalFormatting sqref="C75:C79">
    <cfRule type="cellIs" dxfId="357" priority="185" stopIfTrue="1" operator="lessThanOrEqual">
      <formula>0</formula>
    </cfRule>
  </conditionalFormatting>
  <conditionalFormatting sqref="C76:C79">
    <cfRule type="cellIs" dxfId="356" priority="184" stopIfTrue="1" operator="greaterThan">
      <formula>$F$75</formula>
    </cfRule>
  </conditionalFormatting>
  <conditionalFormatting sqref="C81">
    <cfRule type="cellIs" dxfId="355" priority="187" stopIfTrue="1" operator="lessThanOrEqual">
      <formula>0</formula>
    </cfRule>
    <cfRule type="cellIs" dxfId="354" priority="186" stopIfTrue="1" operator="greaterThan">
      <formula>$F$75</formula>
    </cfRule>
  </conditionalFormatting>
  <conditionalFormatting sqref="C75:D75 D77:D83">
    <cfRule type="cellIs" dxfId="353" priority="179" stopIfTrue="1" operator="greaterThan">
      <formula>4.5</formula>
    </cfRule>
  </conditionalFormatting>
  <conditionalFormatting sqref="D46:D47">
    <cfRule type="cellIs" dxfId="352" priority="45" operator="notBetween">
      <formula>#REF!</formula>
      <formula>#REF!</formula>
    </cfRule>
  </conditionalFormatting>
  <conditionalFormatting sqref="D64:D71">
    <cfRule type="cellIs" dxfId="351" priority="159" stopIfTrue="1" operator="lessThanOrEqual">
      <formula>0</formula>
    </cfRule>
  </conditionalFormatting>
  <conditionalFormatting sqref="D72">
    <cfRule type="cellIs" dxfId="350" priority="158" stopIfTrue="1" operator="lessThanOrEqual">
      <formula>0</formula>
    </cfRule>
  </conditionalFormatting>
  <conditionalFormatting sqref="D75 D77:D83">
    <cfRule type="cellIs" dxfId="349" priority="180" stopIfTrue="1" operator="lessThanOrEqual">
      <formula>0</formula>
    </cfRule>
  </conditionalFormatting>
  <conditionalFormatting sqref="D76">
    <cfRule type="cellIs" dxfId="348" priority="172" stopIfTrue="1" operator="lessThanOrEqual">
      <formula>0</formula>
    </cfRule>
    <cfRule type="cellIs" dxfId="347" priority="171" stopIfTrue="1" operator="greaterThan">
      <formula>$F$75</formula>
    </cfRule>
  </conditionalFormatting>
  <conditionalFormatting sqref="D64:E73">
    <cfRule type="cellIs" dxfId="346" priority="144" stopIfTrue="1" operator="greaterThan">
      <formula>$F64</formula>
    </cfRule>
  </conditionalFormatting>
  <conditionalFormatting sqref="D73:E73">
    <cfRule type="cellIs" dxfId="345" priority="145" stopIfTrue="1" operator="lessThanOrEqual">
      <formula>0</formula>
    </cfRule>
  </conditionalFormatting>
  <conditionalFormatting sqref="E10:E21">
    <cfRule type="cellIs" dxfId="344" priority="35" operator="lessThan">
      <formula>48</formula>
    </cfRule>
  </conditionalFormatting>
  <conditionalFormatting sqref="E49 E50:F50">
    <cfRule type="cellIs" dxfId="343" priority="176" stopIfTrue="1" operator="greaterThan">
      <formula>100</formula>
    </cfRule>
  </conditionalFormatting>
  <conditionalFormatting sqref="E50">
    <cfRule type="cellIs" dxfId="342" priority="173" stopIfTrue="1" operator="lessThan">
      <formula>96.8</formula>
    </cfRule>
    <cfRule type="cellIs" dxfId="341" priority="174" stopIfTrue="1" operator="greaterThan">
      <formula>100</formula>
    </cfRule>
  </conditionalFormatting>
  <conditionalFormatting sqref="E64:E72">
    <cfRule type="cellIs" dxfId="340" priority="155" stopIfTrue="1" operator="lessThanOrEqual">
      <formula>0</formula>
    </cfRule>
  </conditionalFormatting>
  <conditionalFormatting sqref="E75:E83">
    <cfRule type="cellIs" dxfId="339" priority="166" stopIfTrue="1" operator="lessThanOrEqual">
      <formula>0</formula>
    </cfRule>
    <cfRule type="cellIs" dxfId="338" priority="165" stopIfTrue="1" operator="greaterThan">
      <formula>4.5</formula>
    </cfRule>
  </conditionalFormatting>
  <conditionalFormatting sqref="E50:F50 E49">
    <cfRule type="cellIs" dxfId="337" priority="175" stopIfTrue="1" operator="lessThan">
      <formula>96.5</formula>
    </cfRule>
  </conditionalFormatting>
  <conditionalFormatting sqref="F10:F21">
    <cfRule type="cellIs" dxfId="336" priority="36" operator="greaterThan">
      <formula>60</formula>
    </cfRule>
  </conditionalFormatting>
  <conditionalFormatting sqref="F50">
    <cfRule type="cellIs" dxfId="335" priority="191" stopIfTrue="1" operator="lessThan">
      <formula>96.8</formula>
    </cfRule>
    <cfRule type="cellIs" dxfId="334" priority="192" stopIfTrue="1" operator="greaterThan">
      <formula>100</formula>
    </cfRule>
  </conditionalFormatting>
  <conditionalFormatting sqref="F73">
    <cfRule type="cellIs" dxfId="333" priority="156" stopIfTrue="1" operator="greaterThan">
      <formula>$F73</formula>
    </cfRule>
    <cfRule type="cellIs" dxfId="332" priority="157" stopIfTrue="1" operator="lessThanOrEqual">
      <formula>0</formula>
    </cfRule>
  </conditionalFormatting>
  <conditionalFormatting sqref="G10:G20">
    <cfRule type="expression" dxfId="331" priority="20">
      <formula>IF(+(IF(G10&lt;S10,0,IF(G10&gt;T10,0,1)))=0,1)</formula>
    </cfRule>
  </conditionalFormatting>
  <conditionalFormatting sqref="G64:G65 C70:C72">
    <cfRule type="cellIs" dxfId="330" priority="161" stopIfTrue="1" operator="lessThanOrEqual">
      <formula>0</formula>
    </cfRule>
  </conditionalFormatting>
  <conditionalFormatting sqref="G64:G65">
    <cfRule type="cellIs" dxfId="329" priority="160" stopIfTrue="1" operator="greaterThan">
      <formula>$F64</formula>
    </cfRule>
    <cfRule type="cellIs" dxfId="328" priority="148" stopIfTrue="1" operator="greaterThan">
      <formula>$F64</formula>
    </cfRule>
    <cfRule type="cellIs" dxfId="327" priority="149" stopIfTrue="1" operator="lessThanOrEqual">
      <formula>0</formula>
    </cfRule>
  </conditionalFormatting>
  <conditionalFormatting sqref="G66">
    <cfRule type="cellIs" dxfId="326" priority="196" stopIfTrue="1" operator="lessThanOrEqual">
      <formula>0</formula>
    </cfRule>
    <cfRule type="cellIs" dxfId="325" priority="195" stopIfTrue="1" operator="greaterThan">
      <formula>$F65</formula>
    </cfRule>
  </conditionalFormatting>
  <conditionalFormatting sqref="G67">
    <cfRule type="cellIs" dxfId="324" priority="42" stopIfTrue="1" operator="greaterThan">
      <formula>$F67</formula>
    </cfRule>
    <cfRule type="cellIs" dxfId="323" priority="41" stopIfTrue="1" operator="lessThanOrEqual">
      <formula>0</formula>
    </cfRule>
    <cfRule type="cellIs" dxfId="322" priority="40" stopIfTrue="1" operator="greaterThan">
      <formula>$F67</formula>
    </cfRule>
    <cfRule type="cellIs" dxfId="321" priority="43" stopIfTrue="1" operator="lessThanOrEqual">
      <formula>0</formula>
    </cfRule>
  </conditionalFormatting>
  <conditionalFormatting sqref="G68:G72">
    <cfRule type="cellIs" dxfId="320" priority="163" stopIfTrue="1" operator="lessThanOrEqual">
      <formula>0</formula>
    </cfRule>
    <cfRule type="cellIs" dxfId="319" priority="162" stopIfTrue="1" operator="greaterThan">
      <formula>$J68</formula>
    </cfRule>
  </conditionalFormatting>
  <conditionalFormatting sqref="G77:G82 C80 C82">
    <cfRule type="cellIs" dxfId="318" priority="188" stopIfTrue="1" operator="greaterThan">
      <formula>4.5</formula>
    </cfRule>
    <cfRule type="cellIs" dxfId="317" priority="189" stopIfTrue="1" operator="lessThanOrEqual">
      <formula>0</formula>
    </cfRule>
  </conditionalFormatting>
  <conditionalFormatting sqref="G21:H21">
    <cfRule type="expression" dxfId="316" priority="39">
      <formula>IF(+(IF(G21&lt;#REF!,0,IF(G21&gt;#REF!,0,1)))=0,1)</formula>
    </cfRule>
  </conditionalFormatting>
  <conditionalFormatting sqref="G76:H76">
    <cfRule type="cellIs" dxfId="315" priority="169" stopIfTrue="1" operator="greaterThan">
      <formula>$F$75</formula>
    </cfRule>
    <cfRule type="cellIs" dxfId="314" priority="170" stopIfTrue="1" operator="lessThanOrEqual">
      <formula>0</formula>
    </cfRule>
  </conditionalFormatting>
  <conditionalFormatting sqref="H35:H49">
    <cfRule type="cellIs" dxfId="313" priority="167" stopIfTrue="1" operator="greaterThan">
      <formula>0</formula>
    </cfRule>
  </conditionalFormatting>
  <conditionalFormatting sqref="H53">
    <cfRule type="cellIs" dxfId="312" priority="23" stopIfTrue="1" operator="greaterThan">
      <formula>$F$68</formula>
    </cfRule>
    <cfRule type="cellIs" dxfId="311" priority="22" stopIfTrue="1" operator="lessThanOrEqual">
      <formula>0</formula>
    </cfRule>
    <cfRule type="cellIs" dxfId="310" priority="33" stopIfTrue="1" operator="greaterThan">
      <formula>$F$69</formula>
    </cfRule>
    <cfRule type="cellIs" dxfId="309" priority="32" stopIfTrue="1" operator="lessThanOrEqual">
      <formula>0</formula>
    </cfRule>
    <cfRule type="cellIs" dxfId="308" priority="31" stopIfTrue="1" operator="greaterThan">
      <formula>$F$71</formula>
    </cfRule>
    <cfRule type="cellIs" dxfId="307" priority="34" stopIfTrue="1" operator="lessThanOrEqual">
      <formula>0</formula>
    </cfRule>
  </conditionalFormatting>
  <conditionalFormatting sqref="H54">
    <cfRule type="cellIs" dxfId="306" priority="113" stopIfTrue="1" operator="lessThanOrEqual">
      <formula>0</formula>
    </cfRule>
    <cfRule type="cellIs" dxfId="305" priority="112" stopIfTrue="1" operator="greaterThan">
      <formula>$F$22</formula>
    </cfRule>
    <cfRule type="cellIs" dxfId="304" priority="103" stopIfTrue="1" operator="lessThanOrEqual">
      <formula>0</formula>
    </cfRule>
    <cfRule type="cellIs" dxfId="303" priority="104" stopIfTrue="1" operator="greaterThan">
      <formula>#REF!</formula>
    </cfRule>
    <cfRule type="cellIs" dxfId="302" priority="115" stopIfTrue="1" operator="lessThanOrEqual">
      <formula>0</formula>
    </cfRule>
    <cfRule type="cellIs" dxfId="301" priority="114" stopIfTrue="1" operator="greaterThan">
      <formula>#REF!</formula>
    </cfRule>
  </conditionalFormatting>
  <conditionalFormatting sqref="H55">
    <cfRule type="cellIs" dxfId="300" priority="83" stopIfTrue="1" operator="lessThanOrEqual">
      <formula>0</formula>
    </cfRule>
    <cfRule type="cellIs" dxfId="299" priority="71" stopIfTrue="1" operator="lessThanOrEqual">
      <formula>0</formula>
    </cfRule>
    <cfRule type="cellIs" dxfId="298" priority="82" stopIfTrue="1" operator="greaterThan">
      <formula>$F$66</formula>
    </cfRule>
    <cfRule type="cellIs" dxfId="297" priority="81" stopIfTrue="1" operator="lessThanOrEqual">
      <formula>0</formula>
    </cfRule>
    <cfRule type="cellIs" dxfId="296" priority="80" stopIfTrue="1" operator="greaterThan">
      <formula>$F$68</formula>
    </cfRule>
    <cfRule type="cellIs" dxfId="295" priority="72" stopIfTrue="1" operator="greaterThan">
      <formula>$F$65</formula>
    </cfRule>
  </conditionalFormatting>
  <conditionalFormatting sqref="H56:H57">
    <cfRule type="cellIs" dxfId="294" priority="90" stopIfTrue="1" operator="greaterThan">
      <formula>#REF!</formula>
    </cfRule>
    <cfRule type="cellIs" dxfId="293" priority="100" stopIfTrue="1" operator="greaterThan">
      <formula>#REF!</formula>
    </cfRule>
    <cfRule type="cellIs" dxfId="292" priority="101" stopIfTrue="1" operator="lessThanOrEqual">
      <formula>0</formula>
    </cfRule>
    <cfRule type="cellIs" dxfId="291" priority="89" stopIfTrue="1" operator="lessThanOrEqual">
      <formula>0</formula>
    </cfRule>
    <cfRule type="cellIs" dxfId="290" priority="99" stopIfTrue="1" operator="lessThanOrEqual">
      <formula>0</formula>
    </cfRule>
    <cfRule type="cellIs" dxfId="289" priority="98" stopIfTrue="1" operator="greaterThan">
      <formula>$F$21</formula>
    </cfRule>
  </conditionalFormatting>
  <conditionalFormatting sqref="H58">
    <cfRule type="cellIs" dxfId="288" priority="119" stopIfTrue="1" operator="greaterThan">
      <formula>$F$34</formula>
    </cfRule>
    <cfRule type="cellIs" dxfId="287" priority="118" stopIfTrue="1" operator="lessThanOrEqual">
      <formula>0</formula>
    </cfRule>
    <cfRule type="cellIs" dxfId="286" priority="127" stopIfTrue="1" operator="greaterThan">
      <formula>$F$37</formula>
    </cfRule>
    <cfRule type="cellIs" dxfId="285" priority="128" stopIfTrue="1" operator="lessThanOrEqual">
      <formula>0</formula>
    </cfRule>
    <cfRule type="cellIs" dxfId="284" priority="130" stopIfTrue="1" operator="lessThanOrEqual">
      <formula>0</formula>
    </cfRule>
    <cfRule type="cellIs" dxfId="283" priority="129" stopIfTrue="1" operator="greaterThan">
      <formula>$F$35</formula>
    </cfRule>
  </conditionalFormatting>
  <conditionalFormatting sqref="H59:H60">
    <cfRule type="cellIs" dxfId="282" priority="65" stopIfTrue="1" operator="lessThanOrEqual">
      <formula>0</formula>
    </cfRule>
    <cfRule type="cellIs" dxfId="281" priority="67" stopIfTrue="1" operator="lessThanOrEqual">
      <formula>0</formula>
    </cfRule>
    <cfRule type="cellIs" dxfId="280" priority="64" stopIfTrue="1" operator="greaterThan">
      <formula>$F$21</formula>
    </cfRule>
    <cfRule type="cellIs" dxfId="279" priority="56" stopIfTrue="1" operator="greaterThan">
      <formula>#REF!</formula>
    </cfRule>
    <cfRule type="cellIs" dxfId="278" priority="55" stopIfTrue="1" operator="lessThanOrEqual">
      <formula>0</formula>
    </cfRule>
    <cfRule type="cellIs" dxfId="277" priority="66" stopIfTrue="1" operator="greaterThan">
      <formula>#REF!</formula>
    </cfRule>
  </conditionalFormatting>
  <conditionalFormatting sqref="H64:H71">
    <cfRule type="cellIs" dxfId="276" priority="150" stopIfTrue="1" operator="greaterThan">
      <formula>$J64</formula>
    </cfRule>
    <cfRule type="cellIs" dxfId="275" priority="151" stopIfTrue="1" operator="lessThanOrEqual">
      <formula>0</formula>
    </cfRule>
  </conditionalFormatting>
  <conditionalFormatting sqref="H72">
    <cfRule type="cellIs" dxfId="274" priority="152" operator="greaterThan">
      <formula>5.3</formula>
    </cfRule>
  </conditionalFormatting>
  <conditionalFormatting sqref="H75 H77:H83">
    <cfRule type="cellIs" dxfId="273" priority="182" stopIfTrue="1" operator="lessThanOrEqual">
      <formula>0</formula>
    </cfRule>
    <cfRule type="cellIs" dxfId="272" priority="181" stopIfTrue="1" operator="greaterThan">
      <formula>4.5</formula>
    </cfRule>
  </conditionalFormatting>
  <conditionalFormatting sqref="H53:I53">
    <cfRule type="cellIs" dxfId="271" priority="21" stopIfTrue="1" operator="greaterThan">
      <formula>$F$70</formula>
    </cfRule>
    <cfRule type="cellIs" dxfId="270" priority="24" stopIfTrue="1" operator="lessThanOrEqual">
      <formula>0</formula>
    </cfRule>
  </conditionalFormatting>
  <conditionalFormatting sqref="H54:I54">
    <cfRule type="cellIs" dxfId="269" priority="102" stopIfTrue="1" operator="greaterThan">
      <formula>$F$21</formula>
    </cfRule>
    <cfRule type="cellIs" dxfId="268" priority="105" stopIfTrue="1" operator="lessThanOrEqual">
      <formula>0</formula>
    </cfRule>
  </conditionalFormatting>
  <conditionalFormatting sqref="H55:I55">
    <cfRule type="cellIs" dxfId="267" priority="73" stopIfTrue="1" operator="lessThanOrEqual">
      <formula>0</formula>
    </cfRule>
    <cfRule type="cellIs" dxfId="266" priority="70" stopIfTrue="1" operator="greaterThan">
      <formula>$F$67</formula>
    </cfRule>
  </conditionalFormatting>
  <conditionalFormatting sqref="H56:I57">
    <cfRule type="cellIs" dxfId="265" priority="91" stopIfTrue="1" operator="lessThanOrEqual">
      <formula>0</formula>
    </cfRule>
    <cfRule type="cellIs" dxfId="264" priority="88" stopIfTrue="1" operator="greaterThan">
      <formula>#REF!</formula>
    </cfRule>
  </conditionalFormatting>
  <conditionalFormatting sqref="H58:I58">
    <cfRule type="cellIs" dxfId="263" priority="117" stopIfTrue="1" operator="greaterThan">
      <formula>$F$36</formula>
    </cfRule>
    <cfRule type="cellIs" dxfId="262" priority="120" stopIfTrue="1" operator="lessThanOrEqual">
      <formula>0</formula>
    </cfRule>
  </conditionalFormatting>
  <conditionalFormatting sqref="H59:I60">
    <cfRule type="cellIs" dxfId="261" priority="57" stopIfTrue="1" operator="lessThanOrEqual">
      <formula>0</formula>
    </cfRule>
    <cfRule type="cellIs" dxfId="260" priority="54" stopIfTrue="1" operator="greaterThan">
      <formula>#REF!</formula>
    </cfRule>
  </conditionalFormatting>
  <conditionalFormatting sqref="H73:I73">
    <cfRule type="cellIs" dxfId="259" priority="142" stopIfTrue="1" operator="greaterThan">
      <formula>$J73</formula>
    </cfRule>
    <cfRule type="cellIs" dxfId="258" priority="143" stopIfTrue="1" operator="lessThanOrEqual">
      <formula>0</formula>
    </cfRule>
  </conditionalFormatting>
  <conditionalFormatting sqref="I53">
    <cfRule type="cellIs" dxfId="257" priority="29" stopIfTrue="1" operator="greaterThan">
      <formula>$F$68</formula>
    </cfRule>
    <cfRule type="cellIs" dxfId="256" priority="30" stopIfTrue="1" operator="lessThanOrEqual">
      <formula>0</formula>
    </cfRule>
    <cfRule type="cellIs" dxfId="255" priority="28" stopIfTrue="1" operator="lessThanOrEqual">
      <formula>0</formula>
    </cfRule>
    <cfRule type="cellIs" dxfId="254" priority="26" stopIfTrue="1" operator="lessThanOrEqual">
      <formula>0</formula>
    </cfRule>
    <cfRule type="cellIs" dxfId="253" priority="25" stopIfTrue="1" operator="greaterThan">
      <formula>$F$68</formula>
    </cfRule>
    <cfRule type="cellIs" dxfId="252" priority="27" stopIfTrue="1" operator="greaterThan">
      <formula>$F$70</formula>
    </cfRule>
  </conditionalFormatting>
  <conditionalFormatting sqref="I54">
    <cfRule type="cellIs" dxfId="251" priority="108" stopIfTrue="1" operator="greaterThan">
      <formula>$F$21</formula>
    </cfRule>
    <cfRule type="cellIs" dxfId="250" priority="110" stopIfTrue="1" operator="greaterThan">
      <formula>#REF!</formula>
    </cfRule>
    <cfRule type="cellIs" dxfId="249" priority="111" stopIfTrue="1" operator="lessThanOrEqual">
      <formula>0</formula>
    </cfRule>
    <cfRule type="cellIs" dxfId="248" priority="106" stopIfTrue="1" operator="greaterThan">
      <formula>#REF!</formula>
    </cfRule>
    <cfRule type="cellIs" dxfId="247" priority="109" stopIfTrue="1" operator="lessThanOrEqual">
      <formula>0</formula>
    </cfRule>
    <cfRule type="cellIs" dxfId="246" priority="107" stopIfTrue="1" operator="lessThanOrEqual">
      <formula>0</formula>
    </cfRule>
  </conditionalFormatting>
  <conditionalFormatting sqref="I55">
    <cfRule type="cellIs" dxfId="245" priority="79" stopIfTrue="1" operator="lessThanOrEqual">
      <formula>0</formula>
    </cfRule>
    <cfRule type="cellIs" dxfId="244" priority="77" stopIfTrue="1" operator="lessThanOrEqual">
      <formula>0</formula>
    </cfRule>
    <cfRule type="cellIs" dxfId="243" priority="74" stopIfTrue="1" operator="greaterThan">
      <formula>$F$65</formula>
    </cfRule>
    <cfRule type="cellIs" dxfId="242" priority="76" stopIfTrue="1" operator="greaterThan">
      <formula>$F$67</formula>
    </cfRule>
    <cfRule type="cellIs" dxfId="241" priority="75" stopIfTrue="1" operator="lessThanOrEqual">
      <formula>0</formula>
    </cfRule>
    <cfRule type="cellIs" dxfId="240" priority="78" stopIfTrue="1" operator="greaterThan">
      <formula>$F$65</formula>
    </cfRule>
  </conditionalFormatting>
  <conditionalFormatting sqref="I56:I57">
    <cfRule type="cellIs" dxfId="239" priority="92" stopIfTrue="1" operator="greaterThan">
      <formula>#REF!</formula>
    </cfRule>
    <cfRule type="cellIs" dxfId="238" priority="96" stopIfTrue="1" operator="greaterThan">
      <formula>#REF!</formula>
    </cfRule>
    <cfRule type="cellIs" dxfId="237" priority="95" stopIfTrue="1" operator="lessThanOrEqual">
      <formula>0</formula>
    </cfRule>
    <cfRule type="cellIs" dxfId="236" priority="97" stopIfTrue="1" operator="lessThanOrEqual">
      <formula>0</formula>
    </cfRule>
    <cfRule type="cellIs" dxfId="235" priority="94" stopIfTrue="1" operator="greaterThan">
      <formula>#REF!</formula>
    </cfRule>
    <cfRule type="cellIs" dxfId="234" priority="93" stopIfTrue="1" operator="lessThanOrEqual">
      <formula>0</formula>
    </cfRule>
  </conditionalFormatting>
  <conditionalFormatting sqref="I58">
    <cfRule type="cellIs" dxfId="233" priority="123" stopIfTrue="1" operator="greaterThan">
      <formula>$F$36</formula>
    </cfRule>
    <cfRule type="cellIs" dxfId="232" priority="122" stopIfTrue="1" operator="lessThanOrEqual">
      <formula>0</formula>
    </cfRule>
    <cfRule type="cellIs" dxfId="231" priority="121" stopIfTrue="1" operator="greaterThan">
      <formula>$F$34</formula>
    </cfRule>
    <cfRule type="cellIs" dxfId="230" priority="126" stopIfTrue="1" operator="lessThanOrEqual">
      <formula>0</formula>
    </cfRule>
    <cfRule type="cellIs" dxfId="229" priority="125" stopIfTrue="1" operator="greaterThan">
      <formula>$F$34</formula>
    </cfRule>
    <cfRule type="cellIs" dxfId="228" priority="124" stopIfTrue="1" operator="lessThanOrEqual">
      <formula>0</formula>
    </cfRule>
  </conditionalFormatting>
  <conditionalFormatting sqref="I59:I60">
    <cfRule type="cellIs" dxfId="227" priority="63" stopIfTrue="1" operator="lessThanOrEqual">
      <formula>0</formula>
    </cfRule>
    <cfRule type="cellIs" dxfId="226" priority="58" stopIfTrue="1" operator="greaterThan">
      <formula>#REF!</formula>
    </cfRule>
    <cfRule type="cellIs" dxfId="225" priority="59" stopIfTrue="1" operator="lessThanOrEqual">
      <formula>0</formula>
    </cfRule>
    <cfRule type="cellIs" dxfId="224" priority="60" stopIfTrue="1" operator="greaterThan">
      <formula>#REF!</formula>
    </cfRule>
    <cfRule type="cellIs" dxfId="223" priority="61" stopIfTrue="1" operator="lessThanOrEqual">
      <formula>0</formula>
    </cfRule>
    <cfRule type="cellIs" dxfId="222" priority="62" stopIfTrue="1" operator="greaterThan">
      <formula>#REF!</formula>
    </cfRule>
  </conditionalFormatting>
  <conditionalFormatting sqref="I64:I72">
    <cfRule type="cellIs" dxfId="221" priority="154" stopIfTrue="1" operator="lessThanOrEqual">
      <formula>0</formula>
    </cfRule>
    <cfRule type="cellIs" dxfId="220" priority="153" stopIfTrue="1" operator="greaterThan">
      <formula>$J64</formula>
    </cfRule>
  </conditionalFormatting>
  <conditionalFormatting sqref="I75:I83">
    <cfRule type="cellIs" dxfId="219" priority="177" stopIfTrue="1" operator="greaterThan">
      <formula>4.5</formula>
    </cfRule>
    <cfRule type="cellIs" dxfId="218" priority="178" stopIfTrue="1" operator="lessThanOrEqual">
      <formula>0</formula>
    </cfRule>
  </conditionalFormatting>
  <conditionalFormatting sqref="I10:J21">
    <cfRule type="cellIs" dxfId="217" priority="14" operator="lessThan">
      <formula>97.9</formula>
    </cfRule>
  </conditionalFormatting>
  <conditionalFormatting sqref="J25:J26">
    <cfRule type="cellIs" dxfId="216" priority="132" stopIfTrue="1" operator="lessThan">
      <formula>96.8</formula>
    </cfRule>
    <cfRule type="cellIs" dxfId="215" priority="133" stopIfTrue="1" operator="greaterThan">
      <formula>100</formula>
    </cfRule>
    <cfRule type="cellIs" dxfId="214" priority="134" operator="lessThan">
      <formula>98</formula>
    </cfRule>
  </conditionalFormatting>
  <conditionalFormatting sqref="J25:J28">
    <cfRule type="cellIs" dxfId="213" priority="131" operator="lessThan">
      <formula>97.4</formula>
    </cfRule>
  </conditionalFormatting>
  <conditionalFormatting sqref="J29:J30">
    <cfRule type="cellIs" dxfId="212" priority="135" operator="lessThan">
      <formula>98</formula>
    </cfRule>
  </conditionalFormatting>
  <conditionalFormatting sqref="J31:J32">
    <cfRule type="cellIs" dxfId="211" priority="136" stopIfTrue="1" operator="lessThan">
      <formula>96.8</formula>
    </cfRule>
    <cfRule type="cellIs" dxfId="210" priority="137" stopIfTrue="1" operator="greaterThan">
      <formula>100</formula>
    </cfRule>
  </conditionalFormatting>
  <conditionalFormatting sqref="J31:J33">
    <cfRule type="cellIs" dxfId="209" priority="138" operator="lessThan">
      <formula>98</formula>
    </cfRule>
  </conditionalFormatting>
  <conditionalFormatting sqref="J60">
    <cfRule type="cellIs" dxfId="208" priority="50" stopIfTrue="1" operator="greaterThan">
      <formula>#REF!</formula>
    </cfRule>
    <cfRule type="cellIs" dxfId="207" priority="52" stopIfTrue="1" operator="greaterThan">
      <formula>#REF!</formula>
    </cfRule>
    <cfRule type="cellIs" dxfId="206" priority="48" stopIfTrue="1" operator="greaterThan">
      <formula>#REF!</formula>
    </cfRule>
    <cfRule type="cellIs" dxfId="205" priority="49" stopIfTrue="1" operator="lessThanOrEqual">
      <formula>0</formula>
    </cfRule>
    <cfRule type="cellIs" dxfId="204" priority="51" stopIfTrue="1" operator="lessThanOrEqual">
      <formula>0</formula>
    </cfRule>
    <cfRule type="cellIs" dxfId="203" priority="47" stopIfTrue="1" operator="lessThanOrEqual">
      <formula>0</formula>
    </cfRule>
    <cfRule type="cellIs" dxfId="202" priority="46" stopIfTrue="1" operator="greaterThan">
      <formula>#REF!</formula>
    </cfRule>
    <cfRule type="cellIs" dxfId="201" priority="53" stopIfTrue="1" operator="lessThanOrEqual">
      <formula>0</formula>
    </cfRule>
  </conditionalFormatting>
  <conditionalFormatting sqref="J73">
    <cfRule type="cellIs" dxfId="200" priority="139" stopIfTrue="1" operator="greaterThan">
      <formula>$F73</formula>
    </cfRule>
    <cfRule type="cellIs" dxfId="199" priority="140" stopIfTrue="1" operator="lessThanOrEqual">
      <formula>0</formula>
    </cfRule>
  </conditionalFormatting>
  <conditionalFormatting sqref="K10:K21">
    <cfRule type="cellIs" dxfId="198" priority="17" operator="greaterThan">
      <formula>6.4</formula>
    </cfRule>
    <cfRule type="cellIs" dxfId="197" priority="16" operator="lessThan">
      <formula>4</formula>
    </cfRule>
    <cfRule type="cellIs" dxfId="196" priority="15" operator="greaterThan">
      <formula>6</formula>
    </cfRule>
  </conditionalFormatting>
  <conditionalFormatting sqref="K53:K60 K64:N70 K71 M71:N71 K72:N72">
    <cfRule type="cellIs" dxfId="195" priority="116" stopIfTrue="1" operator="lessThan">
      <formula>100%</formula>
    </cfRule>
  </conditionalFormatting>
  <conditionalFormatting sqref="K75:K80">
    <cfRule type="cellIs" dxfId="194" priority="183" stopIfTrue="1" operator="lessThan">
      <formula>100%</formula>
    </cfRule>
  </conditionalFormatting>
  <conditionalFormatting sqref="K82:K83">
    <cfRule type="cellIs" dxfId="193" priority="190" stopIfTrue="1" operator="lessThan">
      <formula>100%</formula>
    </cfRule>
  </conditionalFormatting>
  <conditionalFormatting sqref="L10:L21">
    <cfRule type="cellIs" dxfId="192" priority="19" operator="greaterThan">
      <formula>65</formula>
    </cfRule>
    <cfRule type="cellIs" dxfId="191" priority="18" operator="between">
      <formula>61</formula>
      <formula>65</formula>
    </cfRule>
  </conditionalFormatting>
  <conditionalFormatting sqref="L24:M35">
    <cfRule type="cellIs" dxfId="190" priority="84" operator="lessThan">
      <formula>97.95</formula>
    </cfRule>
  </conditionalFormatting>
  <conditionalFormatting sqref="L39:N39">
    <cfRule type="cellIs" dxfId="189" priority="85" operator="notEqual">
      <formula>#REF!</formula>
    </cfRule>
  </conditionalFormatting>
  <conditionalFormatting sqref="L73:N73">
    <cfRule type="cellIs" dxfId="188" priority="141" stopIfTrue="1" operator="lessThan">
      <formula>100%</formula>
    </cfRule>
  </conditionalFormatting>
  <conditionalFormatting sqref="L75:N83">
    <cfRule type="cellIs" dxfId="187" priority="168" stopIfTrue="1" operator="lessThan">
      <formula>100%</formula>
    </cfRule>
  </conditionalFormatting>
  <conditionalFormatting sqref="M10:M20">
    <cfRule type="expression" dxfId="186" priority="12">
      <formula>IF(+(IF(M10&lt;U10,0,IF(M10&gt;V10,0,1)))=0,1)</formula>
    </cfRule>
  </conditionalFormatting>
  <conditionalFormatting sqref="M21:N21">
    <cfRule type="expression" dxfId="185" priority="198">
      <formula>IF(+(IF(M21&lt;#REF!,0,IF(M21&gt;#REF!,0,1)))=0,1)</formula>
    </cfRule>
  </conditionalFormatting>
  <conditionalFormatting sqref="N10:N20">
    <cfRule type="expression" dxfId="184" priority="13">
      <formula>IF(+(IF(N10&lt;W10,0,IF(N10&gt;X10,0,1)))=0,1)</formula>
    </cfRule>
  </conditionalFormatting>
  <conditionalFormatting sqref="P6">
    <cfRule type="cellIs" dxfId="183" priority="164" operator="greaterThanOrEqual">
      <formula>19</formula>
    </cfRule>
  </conditionalFormatting>
  <dataValidations count="1">
    <dataValidation type="list" allowBlank="1" showInputMessage="1" showErrorMessage="1" sqref="R8" xr:uid="{CC74F1F3-4F5D-41F8-BFA4-297AA4C96EA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4BA7-0C54-40D3-BD91-4C4DCCDD0D62}">
  <sheetPr>
    <pageSetUpPr fitToPage="1"/>
  </sheetPr>
  <dimension ref="A1:BE79"/>
  <sheetViews>
    <sheetView topLeftCell="E23" zoomScale="80" zoomScaleNormal="80" workbookViewId="0">
      <selection activeCell="L40" sqref="L40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88" t="s">
        <v>0</v>
      </c>
      <c r="T1" s="488"/>
      <c r="U1" s="488" t="s">
        <v>1</v>
      </c>
      <c r="V1" s="488"/>
      <c r="W1" s="488" t="s">
        <v>2</v>
      </c>
      <c r="X1" s="488"/>
      <c r="Y1" s="488" t="s">
        <v>124</v>
      </c>
      <c r="Z1" s="488"/>
    </row>
    <row r="2" spans="2:29" ht="15">
      <c r="B2" s="489" t="s">
        <v>3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45992</v>
      </c>
      <c r="J4" s="398" t="s">
        <v>194</v>
      </c>
      <c r="K4" s="398"/>
      <c r="L4" s="11"/>
      <c r="M4" s="486" t="s">
        <v>8</v>
      </c>
      <c r="N4" s="487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83"/>
      <c r="D5" s="483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193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6" t="s">
        <v>17</v>
      </c>
      <c r="C8" s="498" t="s">
        <v>18</v>
      </c>
      <c r="D8" s="498" t="s">
        <v>19</v>
      </c>
      <c r="E8" s="356" t="s">
        <v>20</v>
      </c>
      <c r="F8" s="356" t="s">
        <v>21</v>
      </c>
      <c r="G8" s="498" t="s">
        <v>22</v>
      </c>
      <c r="H8" s="500" t="s">
        <v>144</v>
      </c>
      <c r="I8" s="498" t="s">
        <v>165</v>
      </c>
      <c r="J8" s="502" t="s">
        <v>23</v>
      </c>
      <c r="K8" s="504" t="s">
        <v>142</v>
      </c>
      <c r="L8" s="506" t="s">
        <v>24</v>
      </c>
      <c r="M8" s="359" t="s">
        <v>25</v>
      </c>
      <c r="N8" s="17" t="s">
        <v>26</v>
      </c>
      <c r="O8" s="558" t="s">
        <v>155</v>
      </c>
      <c r="P8" s="571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97"/>
      <c r="C9" s="499"/>
      <c r="D9" s="499"/>
      <c r="E9" s="357" t="s">
        <v>30</v>
      </c>
      <c r="F9" s="357" t="s">
        <v>31</v>
      </c>
      <c r="G9" s="499"/>
      <c r="H9" s="501"/>
      <c r="I9" s="499"/>
      <c r="J9" s="503"/>
      <c r="K9" s="505"/>
      <c r="L9" s="507"/>
      <c r="M9" s="20" t="s">
        <v>32</v>
      </c>
      <c r="N9" s="21" t="s">
        <v>41</v>
      </c>
      <c r="O9" s="572"/>
      <c r="P9" s="499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6.5" customHeight="1">
      <c r="B10" s="29" t="s">
        <v>6</v>
      </c>
      <c r="C10" s="366" t="str">
        <f>[24]Brewhouse!$A990</f>
        <v>CA875</v>
      </c>
      <c r="D10" s="279">
        <f>[24]Brewhouse!$AF990</f>
        <v>49.6</v>
      </c>
      <c r="E10" s="279">
        <f>[24]Brewhouse!$AI990</f>
        <v>48.3</v>
      </c>
      <c r="F10" s="278">
        <f>[24]Brewhouse!$V990</f>
        <v>55</v>
      </c>
      <c r="G10" s="279">
        <f>[24]Brewhouse!AG990</f>
        <v>11.8</v>
      </c>
      <c r="H10" s="396">
        <v>12</v>
      </c>
      <c r="I10" s="368">
        <f>[24]Brewhouse!$AU990</f>
        <v>94.51713163805627</v>
      </c>
      <c r="J10" s="368">
        <f>[24]Brewhouse!$AV990</f>
        <v>94.633466864482671</v>
      </c>
      <c r="K10" s="281">
        <f>[24]Brewhouse!$Q990</f>
        <v>7.9472693032015043</v>
      </c>
      <c r="L10" s="276">
        <f>[24]Brewhouse!$P990</f>
        <v>62</v>
      </c>
      <c r="M10" s="397">
        <f>[24]Brewhouse!$U990-[24]Brewhouse!$T990</f>
        <v>0.10069444444444453</v>
      </c>
      <c r="N10" s="370">
        <f>[24]Brewhouse!$Z990</f>
        <v>0.2284722222222223</v>
      </c>
      <c r="O10" s="421" t="str">
        <f>[24]Brewhouse!$AX990</f>
        <v>R.Sookram</v>
      </c>
      <c r="P10" s="418"/>
      <c r="R10" s="277" t="str">
        <f t="shared" ref="R10:R18" si="0">B10</f>
        <v>CARIB</v>
      </c>
      <c r="S10" s="296">
        <f t="shared" ref="S10:S18" si="1">VLOOKUP($B10,$R$3:$X$9,2,FALSE)</f>
        <v>11.6</v>
      </c>
      <c r="T10" s="296">
        <f t="shared" ref="T10:T18" si="2">VLOOKUP($B10,$R$3:$X$9,3,FALSE)</f>
        <v>12</v>
      </c>
      <c r="U10" s="297">
        <f t="shared" ref="U10:U18" si="3">VLOOKUP($B10,$R$3:$X$9,4,FALSE)</f>
        <v>0</v>
      </c>
      <c r="V10" s="297">
        <f t="shared" ref="V10:V18" si="4">VLOOKUP($B10,$R$3:$X$9,5,FALSE)</f>
        <v>0.118055555555556</v>
      </c>
      <c r="W10" s="297">
        <f t="shared" ref="W10:W18" si="5">VLOOKUP($B10,$R$3:$X$9,6,FALSE)</f>
        <v>0.22569444444444445</v>
      </c>
      <c r="X10" s="297">
        <f t="shared" ref="X10:X18" si="6">VLOOKUP($B10,$R$3:$X$9,7,FALSE)</f>
        <v>0.2638888888888889</v>
      </c>
      <c r="Y10" s="297">
        <f t="shared" ref="Y10:Y18" si="7">VLOOKUP($B10,$R$3:$Z$9,8,FALSE)</f>
        <v>0</v>
      </c>
      <c r="Z10" s="296">
        <f t="shared" ref="Z10:Z18" si="8">VLOOKUP($B10,$R$3:$Z$9,9,FALSE)</f>
        <v>60</v>
      </c>
    </row>
    <row r="11" spans="2:29" ht="16.5" customHeight="1">
      <c r="B11" s="29" t="s">
        <v>6</v>
      </c>
      <c r="C11" s="366" t="str">
        <f>[24]Brewhouse!$A991</f>
        <v>CA876</v>
      </c>
      <c r="D11" s="279">
        <f>[24]Brewhouse!$AF991</f>
        <v>51.5</v>
      </c>
      <c r="E11" s="279">
        <f>[24]Brewhouse!$AI991</f>
        <v>50.5</v>
      </c>
      <c r="F11" s="278">
        <f>[24]Brewhouse!$V991</f>
        <v>60</v>
      </c>
      <c r="G11" s="279">
        <f>[24]Brewhouse!AG991</f>
        <v>11.7</v>
      </c>
      <c r="H11" s="396">
        <v>11.8</v>
      </c>
      <c r="I11" s="368">
        <f>[24]Brewhouse!$AU991</f>
        <v>98.062023917737505</v>
      </c>
      <c r="J11" s="368">
        <f>[24]Brewhouse!$AV991</f>
        <v>98.182712649465714</v>
      </c>
      <c r="K11" s="281">
        <f>[24]Brewhouse!$Q991</f>
        <v>4.1886792452830166</v>
      </c>
      <c r="L11" s="276">
        <f>[24]Brewhouse!$P991</f>
        <v>60</v>
      </c>
      <c r="M11" s="397">
        <f>[24]Brewhouse!$U991-[24]Brewhouse!$T991</f>
        <v>0.11250000000000004</v>
      </c>
      <c r="N11" s="370">
        <f>[24]Brewhouse!$Z991</f>
        <v>0.24097222222222225</v>
      </c>
      <c r="O11" s="421" t="str">
        <f>[24]Brewhouse!$AX991</f>
        <v>K. Benjamin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6.5" customHeight="1">
      <c r="B12" s="29" t="s">
        <v>6</v>
      </c>
      <c r="C12" s="366" t="str">
        <f>[24]Brewhouse!$A992</f>
        <v>CA877</v>
      </c>
      <c r="D12" s="279">
        <f>[24]Brewhouse!$AF992</f>
        <v>51.5</v>
      </c>
      <c r="E12" s="279">
        <f>[24]Brewhouse!$AI992</f>
        <v>50.1</v>
      </c>
      <c r="F12" s="278">
        <f>[24]Brewhouse!$V992</f>
        <v>54</v>
      </c>
      <c r="G12" s="279">
        <f>[24]Brewhouse!AG992</f>
        <v>11.6</v>
      </c>
      <c r="H12" s="396">
        <v>11.8</v>
      </c>
      <c r="I12" s="368">
        <f>[24]Brewhouse!$AU992</f>
        <v>96.529219955667372</v>
      </c>
      <c r="J12" s="368">
        <f>[24]Brewhouse!$AV992</f>
        <v>96.648012653075838</v>
      </c>
      <c r="K12" s="281">
        <f>[24]Brewhouse!$Q992</f>
        <v>4.1886792452830166</v>
      </c>
      <c r="L12" s="276">
        <f>[24]Brewhouse!$P992</f>
        <v>60</v>
      </c>
      <c r="M12" s="397">
        <f>[24]Brewhouse!$U992-[24]Brewhouse!$T992</f>
        <v>0.11180555555555549</v>
      </c>
      <c r="N12" s="370">
        <f>[24]Brewhouse!$Z992</f>
        <v>0.24236111111111103</v>
      </c>
      <c r="O12" s="421" t="str">
        <f>[24]Brewhouse!$AX992</f>
        <v>K. Benjamin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6.5" customHeight="1">
      <c r="B13" s="29" t="s">
        <v>6</v>
      </c>
      <c r="C13" s="366" t="str">
        <f>[24]Brewhouse!$A993</f>
        <v>CA878</v>
      </c>
      <c r="D13" s="279">
        <f>[24]Brewhouse!$AF993</f>
        <v>53.2</v>
      </c>
      <c r="E13" s="279">
        <f>[24]Brewhouse!$AI993</f>
        <v>52.9</v>
      </c>
      <c r="F13" s="278">
        <f>[24]Brewhouse!$V993</f>
        <v>61</v>
      </c>
      <c r="G13" s="279">
        <f>[24]Brewhouse!AG993</f>
        <v>11.8</v>
      </c>
      <c r="H13" s="396">
        <v>11.9</v>
      </c>
      <c r="I13" s="368">
        <f>[24]Brewhouse!$AU993</f>
        <v>104.15966057723381</v>
      </c>
      <c r="J13" s="368">
        <f>[24]Brewhouse!$AV993</f>
        <v>104.28781252043704</v>
      </c>
      <c r="K13" s="281">
        <f>[24]Brewhouse!$Q993</f>
        <v>0.98113207547169057</v>
      </c>
      <c r="L13" s="276">
        <f>[24]Brewhouse!$P993</f>
        <v>60</v>
      </c>
      <c r="M13" s="397">
        <f>[24]Brewhouse!$U993-[24]Brewhouse!$T993</f>
        <v>0.14583333333333326</v>
      </c>
      <c r="N13" s="370">
        <f>[24]Brewhouse!$Z993</f>
        <v>0.28125</v>
      </c>
      <c r="O13" s="421" t="str">
        <f>[24]Brewhouse!$AX993</f>
        <v>K. Benjamin</v>
      </c>
      <c r="P13" s="418" t="s">
        <v>183</v>
      </c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7.25" customHeight="1">
      <c r="B14" s="29" t="s">
        <v>6</v>
      </c>
      <c r="C14" s="366" t="str">
        <f>[24]Brewhouse!$A994</f>
        <v>CA879</v>
      </c>
      <c r="D14" s="279">
        <f>[24]Brewhouse!$AF994</f>
        <v>53.3</v>
      </c>
      <c r="E14" s="279">
        <f>[24]Brewhouse!$AI994</f>
        <v>51.8</v>
      </c>
      <c r="F14" s="278">
        <f>[24]Brewhouse!$V994</f>
        <v>63</v>
      </c>
      <c r="G14" s="279">
        <f>[24]Brewhouse!AG994</f>
        <v>11.8</v>
      </c>
      <c r="H14" s="396">
        <v>11.8</v>
      </c>
      <c r="I14" s="368">
        <f>[24]Brewhouse!$AU994</f>
        <v>101.24161064598778</v>
      </c>
      <c r="J14" s="368">
        <f>[24]Brewhouse!$AV994</f>
        <v>101.36623258333412</v>
      </c>
      <c r="K14" s="281">
        <f>[24]Brewhouse!$Q994</f>
        <v>1.5471698113207553</v>
      </c>
      <c r="L14" s="276">
        <f>[24]Brewhouse!$P994</f>
        <v>59</v>
      </c>
      <c r="M14" s="397">
        <f>[24]Brewhouse!$U994-[24]Brewhouse!$T994</f>
        <v>0.11736111111111114</v>
      </c>
      <c r="N14" s="370">
        <f>[24]Brewhouse!$Z994</f>
        <v>0.30972222222222223</v>
      </c>
      <c r="O14" s="421" t="str">
        <f>[24]Brewhouse!$AX994</f>
        <v>K. Benjamin</v>
      </c>
      <c r="P14" s="418" t="s">
        <v>204</v>
      </c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7.25" customHeight="1">
      <c r="B15" s="475">
        <v>45990</v>
      </c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1"/>
      <c r="P15" s="418"/>
      <c r="R15" s="277"/>
      <c r="S15" s="296"/>
      <c r="T15" s="296"/>
      <c r="U15" s="297"/>
      <c r="V15" s="297"/>
      <c r="W15" s="297"/>
      <c r="X15" s="297"/>
      <c r="Y15" s="297"/>
      <c r="Z15" s="296"/>
    </row>
    <row r="16" spans="2:29" ht="16.5" customHeight="1">
      <c r="B16" s="29" t="s">
        <v>6</v>
      </c>
      <c r="C16" s="366" t="str">
        <f>[24]Brewhouse!$A995</f>
        <v>CA880</v>
      </c>
      <c r="D16" s="279">
        <f>[24]Brewhouse!$AF995</f>
        <v>0</v>
      </c>
      <c r="E16" s="279">
        <f>[24]Brewhouse!$AI995</f>
        <v>51.1</v>
      </c>
      <c r="F16" s="278">
        <f>[24]Brewhouse!$V995</f>
        <v>61</v>
      </c>
      <c r="G16" s="279">
        <f>[24]Brewhouse!AG995</f>
        <v>11.5</v>
      </c>
      <c r="H16" s="396">
        <v>11.7</v>
      </c>
      <c r="I16" s="368">
        <f>[24]Brewhouse!$AU995</f>
        <v>97.682879478085255</v>
      </c>
      <c r="J16" s="368">
        <f>[24]Brewhouse!$AV995</f>
        <v>97.803082223631677</v>
      </c>
      <c r="K16" s="392"/>
      <c r="L16" s="480"/>
      <c r="M16" s="397">
        <f>[24]Brewhouse!$U995-[24]Brewhouse!$T995</f>
        <v>0.11944444444444446</v>
      </c>
      <c r="N16" s="370">
        <f>[24]Brewhouse!$Z995</f>
        <v>0.26736111111111116</v>
      </c>
      <c r="O16" s="421" t="str">
        <f>[24]Brewhouse!$AX995</f>
        <v>R. Regis</v>
      </c>
      <c r="P16" s="418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6.5" customHeight="1">
      <c r="B17" s="29" t="s">
        <v>6</v>
      </c>
      <c r="C17" s="366" t="str">
        <f>[24]Brewhouse!$A996</f>
        <v>CA881</v>
      </c>
      <c r="D17" s="279">
        <f>[24]Brewhouse!$AF996</f>
        <v>51.3</v>
      </c>
      <c r="E17" s="279">
        <f>[24]Brewhouse!$AI996</f>
        <v>50.25</v>
      </c>
      <c r="F17" s="278">
        <f>[24]Brewhouse!$V996</f>
        <v>63</v>
      </c>
      <c r="G17" s="279">
        <f>[24]Brewhouse!AG996</f>
        <v>11.7</v>
      </c>
      <c r="H17" s="396">
        <v>11.8</v>
      </c>
      <c r="I17" s="368">
        <f>[24]Brewhouse!$AU996</f>
        <v>97.336706968222813</v>
      </c>
      <c r="J17" s="368">
        <f>[24]Brewhouse!$AV996</f>
        <v>97.456522219283073</v>
      </c>
      <c r="K17" s="281">
        <f>[24]Brewhouse!$Q996</f>
        <v>4.7457627118644128</v>
      </c>
      <c r="L17" s="276">
        <f>[24]Brewhouse!$P996</f>
        <v>59</v>
      </c>
      <c r="M17" s="397">
        <f>[24]Brewhouse!$U996-[24]Brewhouse!$T996</f>
        <v>0.11944444444444446</v>
      </c>
      <c r="N17" s="370">
        <f>[24]Brewhouse!$Z996</f>
        <v>0.2729166666666667</v>
      </c>
      <c r="O17" s="421" t="str">
        <f>[24]Brewhouse!$AX996</f>
        <v>R. Regis</v>
      </c>
      <c r="P17" s="418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6.5" customHeight="1">
      <c r="B18" s="29" t="s">
        <v>6</v>
      </c>
      <c r="C18" s="366" t="str">
        <f>[24]Brewhouse!$A997</f>
        <v>CA882</v>
      </c>
      <c r="D18" s="279">
        <f>[24]Brewhouse!$AF997</f>
        <v>53.3</v>
      </c>
      <c r="E18" s="279">
        <f>[24]Brewhouse!$AI997</f>
        <v>51.6</v>
      </c>
      <c r="F18" s="278">
        <f>[24]Brewhouse!$V997</f>
        <v>66</v>
      </c>
      <c r="G18" s="279">
        <f>[24]Brewhouse!AG997</f>
        <v>11.6</v>
      </c>
      <c r="H18" s="396">
        <v>11.8</v>
      </c>
      <c r="I18" s="368">
        <f>[24]Brewhouse!$AU997</f>
        <v>98.931133976134703</v>
      </c>
      <c r="J18" s="368">
        <f>[24]Brewhouse!$AV997</f>
        <v>99.052921583496527</v>
      </c>
      <c r="K18" s="281">
        <f>[24]Brewhouse!$Q997</f>
        <v>0.97928436911488348</v>
      </c>
      <c r="L18" s="276">
        <f>[24]Brewhouse!$P997</f>
        <v>62</v>
      </c>
      <c r="M18" s="397">
        <f>[24]Brewhouse!$U997-[24]Brewhouse!$T997</f>
        <v>0.11249999999999993</v>
      </c>
      <c r="N18" s="370">
        <f>[24]Brewhouse!$Z997</f>
        <v>0.26180555555555551</v>
      </c>
      <c r="O18" s="421" t="str">
        <f>[24]Brewhouse!$AX997</f>
        <v>R. Regis</v>
      </c>
      <c r="P18" s="418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6.5" customHeight="1">
      <c r="B19" s="29" t="s">
        <v>6</v>
      </c>
      <c r="C19" s="366" t="str">
        <f>[24]Brewhouse!$A998</f>
        <v>CA883</v>
      </c>
      <c r="D19" s="279">
        <f>[24]Brewhouse!$AF998</f>
        <v>51.2</v>
      </c>
      <c r="E19" s="279">
        <f>[24]Brewhouse!$AI998</f>
        <v>49.28</v>
      </c>
      <c r="F19" s="278">
        <f>[24]Brewhouse!$V998</f>
        <v>60</v>
      </c>
      <c r="G19" s="279">
        <f>[24]Brewhouse!AG998</f>
        <v>11.7</v>
      </c>
      <c r="H19" s="396">
        <v>11.7</v>
      </c>
      <c r="I19" s="368">
        <f>[24]Brewhouse!$AU998</f>
        <v>94.990759568616738</v>
      </c>
      <c r="J19" s="368">
        <f>[24]Brewhouse!$AV998</f>
        <v>95.107724298542223</v>
      </c>
      <c r="K19" s="281">
        <f>[24]Brewhouse!$Q998</f>
        <v>8.7005649717514082</v>
      </c>
      <c r="L19" s="276">
        <f>[24]Brewhouse!$P998</f>
        <v>57</v>
      </c>
      <c r="M19" s="397">
        <f>[24]Brewhouse!$U998-[24]Brewhouse!$T998</f>
        <v>0.11458333333333337</v>
      </c>
      <c r="N19" s="370">
        <f>[24]Brewhouse!$Z998</f>
        <v>0.25486111111111109</v>
      </c>
      <c r="O19" s="421" t="str">
        <f>[24]Brewhouse!$AX998</f>
        <v>G.Mason</v>
      </c>
      <c r="P19" s="418"/>
      <c r="R19" s="277" t="str">
        <f t="shared" ref="R19:R41" si="9">B19</f>
        <v>CARIB</v>
      </c>
      <c r="S19" s="296">
        <f t="shared" ref="S19:S41" si="10">VLOOKUP($B19,$R$3:$X$9,2,FALSE)</f>
        <v>11.6</v>
      </c>
      <c r="T19" s="296">
        <f t="shared" ref="T19:T41" si="11">VLOOKUP($B19,$R$3:$X$9,3,FALSE)</f>
        <v>12</v>
      </c>
      <c r="U19" s="297">
        <f t="shared" ref="U19:U41" si="12">VLOOKUP($B19,$R$3:$X$9,4,FALSE)</f>
        <v>0</v>
      </c>
      <c r="V19" s="297">
        <f t="shared" ref="V19:V41" si="13">VLOOKUP($B19,$R$3:$X$9,5,FALSE)</f>
        <v>0.118055555555556</v>
      </c>
      <c r="W19" s="297">
        <f t="shared" ref="W19:W41" si="14">VLOOKUP($B19,$R$3:$X$9,6,FALSE)</f>
        <v>0.22569444444444445</v>
      </c>
      <c r="X19" s="297">
        <f t="shared" ref="X19:X41" si="15">VLOOKUP($B19,$R$3:$X$9,7,FALSE)</f>
        <v>0.2638888888888889</v>
      </c>
      <c r="Y19" s="297">
        <f t="shared" ref="Y19:Y41" si="16">VLOOKUP($B19,$R$3:$Z$9,8,FALSE)</f>
        <v>0</v>
      </c>
      <c r="Z19" s="296">
        <f t="shared" ref="Z19:Z41" si="17">VLOOKUP($B19,$R$3:$Z$9,9,FALSE)</f>
        <v>60</v>
      </c>
    </row>
    <row r="20" spans="1:26" ht="16.5" customHeight="1">
      <c r="B20" s="29" t="s">
        <v>6</v>
      </c>
      <c r="C20" s="366" t="str">
        <f>[24]Brewhouse!$A999</f>
        <v>CA884</v>
      </c>
      <c r="D20" s="279">
        <f>[24]Brewhouse!$AF999</f>
        <v>51.2</v>
      </c>
      <c r="E20" s="279">
        <f>[24]Brewhouse!$AI999</f>
        <v>49.12</v>
      </c>
      <c r="F20" s="278">
        <f>[24]Brewhouse!$V999</f>
        <v>64</v>
      </c>
      <c r="G20" s="279">
        <f>[24]Brewhouse!AG999</f>
        <v>12</v>
      </c>
      <c r="H20" s="396">
        <v>12</v>
      </c>
      <c r="I20" s="368">
        <f>[24]Brewhouse!$AU999</f>
        <v>97.118362097080308</v>
      </c>
      <c r="J20" s="368">
        <f>[24]Brewhouse!$AV999</f>
        <v>97.237956050053768</v>
      </c>
      <c r="K20" s="281">
        <f>[24]Brewhouse!$Q999</f>
        <v>4.7547169811320682</v>
      </c>
      <c r="L20" s="276">
        <f>[24]Brewhouse!$P999</f>
        <v>58</v>
      </c>
      <c r="M20" s="397">
        <f>[24]Brewhouse!$U999-[24]Brewhouse!$T999</f>
        <v>0.10416666666666663</v>
      </c>
      <c r="N20" s="370">
        <f>[24]Brewhouse!$Z999</f>
        <v>0.24722222222222212</v>
      </c>
      <c r="O20" s="421" t="str">
        <f>[24]Brewhouse!$AX999</f>
        <v>G.Mason</v>
      </c>
      <c r="P20" s="418"/>
      <c r="R20" s="277" t="str">
        <f t="shared" si="9"/>
        <v>CARIB</v>
      </c>
      <c r="S20" s="296">
        <f t="shared" si="10"/>
        <v>11.6</v>
      </c>
      <c r="T20" s="296">
        <f t="shared" si="11"/>
        <v>12</v>
      </c>
      <c r="U20" s="297">
        <f t="shared" si="12"/>
        <v>0</v>
      </c>
      <c r="V20" s="297">
        <f t="shared" si="13"/>
        <v>0.118055555555556</v>
      </c>
      <c r="W20" s="297">
        <f t="shared" si="14"/>
        <v>0.22569444444444445</v>
      </c>
      <c r="X20" s="297">
        <f t="shared" si="15"/>
        <v>0.2638888888888889</v>
      </c>
      <c r="Y20" s="297">
        <f t="shared" si="16"/>
        <v>0</v>
      </c>
      <c r="Z20" s="296">
        <f t="shared" si="17"/>
        <v>60</v>
      </c>
    </row>
    <row r="21" spans="1:26" ht="16.5" customHeight="1">
      <c r="B21" s="29" t="s">
        <v>6</v>
      </c>
      <c r="C21" s="366" t="str">
        <f>[24]Brewhouse!$A1000</f>
        <v>CA885</v>
      </c>
      <c r="D21" s="279">
        <f>[24]Brewhouse!$AF1000</f>
        <v>49</v>
      </c>
      <c r="E21" s="279">
        <f>[24]Brewhouse!$AI1000</f>
        <v>48.76</v>
      </c>
      <c r="F21" s="278">
        <f>[24]Brewhouse!$V1000</f>
        <v>61</v>
      </c>
      <c r="G21" s="279">
        <f>[24]Brewhouse!AG1000</f>
        <v>12</v>
      </c>
      <c r="H21" s="396">
        <v>12</v>
      </c>
      <c r="I21" s="368">
        <f>[24]Brewhouse!$AU1000</f>
        <v>97.358032201078998</v>
      </c>
      <c r="J21" s="368">
        <f>[24]Brewhouse!$AV1000</f>
        <v>97.47784486780165</v>
      </c>
      <c r="K21" s="281">
        <f>[24]Brewhouse!$Q1000</f>
        <v>9.0772128060263668</v>
      </c>
      <c r="L21" s="276">
        <f>[24]Brewhouse!$P1000</f>
        <v>58</v>
      </c>
      <c r="M21" s="397">
        <f>[24]Brewhouse!$U1000-[24]Brewhouse!$T1000</f>
        <v>0.11180555555555549</v>
      </c>
      <c r="N21" s="370">
        <f>[24]Brewhouse!$Z1000</f>
        <v>0.24722222222222223</v>
      </c>
      <c r="O21" s="421" t="str">
        <f>[24]Brewhouse!$AX1000</f>
        <v>G.Mason</v>
      </c>
      <c r="P21" s="418"/>
      <c r="R21" s="277" t="str">
        <f t="shared" si="9"/>
        <v>CARIB</v>
      </c>
      <c r="S21" s="296">
        <f t="shared" si="10"/>
        <v>11.6</v>
      </c>
      <c r="T21" s="296">
        <f t="shared" si="11"/>
        <v>12</v>
      </c>
      <c r="U21" s="297">
        <f t="shared" si="12"/>
        <v>0</v>
      </c>
      <c r="V21" s="297">
        <f t="shared" si="13"/>
        <v>0.118055555555556</v>
      </c>
      <c r="W21" s="297">
        <f t="shared" si="14"/>
        <v>0.22569444444444445</v>
      </c>
      <c r="X21" s="297">
        <f t="shared" si="15"/>
        <v>0.2638888888888889</v>
      </c>
      <c r="Y21" s="297">
        <f t="shared" si="16"/>
        <v>0</v>
      </c>
      <c r="Z21" s="296">
        <f t="shared" si="17"/>
        <v>60</v>
      </c>
    </row>
    <row r="22" spans="1:26" ht="16.5" customHeight="1">
      <c r="B22" s="29" t="s">
        <v>6</v>
      </c>
      <c r="C22" s="366" t="str">
        <f>[24]Brewhouse!$A1001</f>
        <v>CA886</v>
      </c>
      <c r="D22" s="279">
        <f>[24]Brewhouse!$AF1001</f>
        <v>52.2</v>
      </c>
      <c r="E22" s="279">
        <f>[24]Brewhouse!$AI1001</f>
        <v>50.77</v>
      </c>
      <c r="F22" s="278">
        <f>[24]Brewhouse!$V1001</f>
        <v>64</v>
      </c>
      <c r="G22" s="279">
        <f>[24]Brewhouse!AG1001</f>
        <v>11.6</v>
      </c>
      <c r="H22" s="396">
        <v>11.6</v>
      </c>
      <c r="I22" s="368">
        <f>[24]Brewhouse!$AU1001</f>
        <v>97.220453537579601</v>
      </c>
      <c r="J22" s="368">
        <f>[24]Brewhouse!$AV1001</f>
        <v>97.340144766170255</v>
      </c>
      <c r="K22" s="281">
        <f>[24]Brewhouse!$Q1001</f>
        <v>3.0508474576271141</v>
      </c>
      <c r="L22" s="276">
        <f>[24]Brewhouse!$P1001</f>
        <v>58</v>
      </c>
      <c r="M22" s="397">
        <f>[24]Brewhouse!$U1001-[24]Brewhouse!$T1001</f>
        <v>0.1020833333333333</v>
      </c>
      <c r="N22" s="370">
        <f>[24]Brewhouse!$Z1001</f>
        <v>0.24236111111111114</v>
      </c>
      <c r="O22" s="421" t="str">
        <f>[24]Brewhouse!$AX1001</f>
        <v>G.Mason</v>
      </c>
      <c r="P22" s="418"/>
      <c r="R22" s="277" t="str">
        <f t="shared" si="9"/>
        <v>CARIB</v>
      </c>
      <c r="S22" s="296">
        <f t="shared" si="10"/>
        <v>11.6</v>
      </c>
      <c r="T22" s="296">
        <f t="shared" si="11"/>
        <v>12</v>
      </c>
      <c r="U22" s="297">
        <f t="shared" si="12"/>
        <v>0</v>
      </c>
      <c r="V22" s="297">
        <f t="shared" si="13"/>
        <v>0.118055555555556</v>
      </c>
      <c r="W22" s="297">
        <f t="shared" si="14"/>
        <v>0.22569444444444445</v>
      </c>
      <c r="X22" s="297">
        <f t="shared" si="15"/>
        <v>0.2638888888888889</v>
      </c>
      <c r="Y22" s="297">
        <f t="shared" si="16"/>
        <v>0</v>
      </c>
      <c r="Z22" s="296">
        <f t="shared" si="17"/>
        <v>60</v>
      </c>
    </row>
    <row r="23" spans="1:26" ht="16.5" customHeight="1">
      <c r="B23" s="475">
        <v>45991</v>
      </c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1"/>
      <c r="P23" s="418"/>
      <c r="R23" s="277"/>
      <c r="S23" s="296"/>
      <c r="T23" s="296"/>
      <c r="U23" s="297"/>
      <c r="V23" s="297"/>
      <c r="W23" s="297"/>
      <c r="X23" s="297"/>
      <c r="Y23" s="297"/>
      <c r="Z23" s="296"/>
    </row>
    <row r="24" spans="1:26" ht="16.5" customHeight="1">
      <c r="B24" s="29" t="s">
        <v>6</v>
      </c>
      <c r="C24" s="366" t="str">
        <f>[24]Brewhouse!$A1002</f>
        <v>CA887</v>
      </c>
      <c r="D24" s="279">
        <f>[24]Brewhouse!$AF1002</f>
        <v>52</v>
      </c>
      <c r="E24" s="279">
        <f>[24]Brewhouse!$AI1002</f>
        <v>48.93</v>
      </c>
      <c r="F24" s="278">
        <f>[24]Brewhouse!$V1002</f>
        <v>62</v>
      </c>
      <c r="G24" s="279">
        <f>[24]Brewhouse!AG1002</f>
        <v>11.8</v>
      </c>
      <c r="H24" s="396">
        <v>11.8</v>
      </c>
      <c r="I24" s="368">
        <f>[24]Brewhouse!$AU1002</f>
        <v>95.632278164250621</v>
      </c>
      <c r="J24" s="368">
        <f>[24]Brewhouse!$AV1002</f>
        <v>95.749995372635894</v>
      </c>
      <c r="K24" s="281">
        <f>[24]Brewhouse!$Q1002</f>
        <v>3.4274952919020718</v>
      </c>
      <c r="L24" s="276">
        <f>[24]Brewhouse!$P1002</f>
        <v>58</v>
      </c>
      <c r="M24" s="397">
        <f>[24]Brewhouse!$U1002-[24]Brewhouse!$T1002</f>
        <v>0.1166666666666667</v>
      </c>
      <c r="N24" s="370">
        <f>[24]Brewhouse!$Z1002</f>
        <v>0.26527777777777783</v>
      </c>
      <c r="O24" s="421" t="str">
        <f>[24]Brewhouse!$AX1002</f>
        <v>G.Mason</v>
      </c>
      <c r="P24" s="418" t="s">
        <v>205</v>
      </c>
      <c r="R24" s="277" t="str">
        <f t="shared" si="9"/>
        <v>CARIB</v>
      </c>
      <c r="S24" s="296">
        <f t="shared" si="10"/>
        <v>11.6</v>
      </c>
      <c r="T24" s="296">
        <f t="shared" si="11"/>
        <v>12</v>
      </c>
      <c r="U24" s="297">
        <f t="shared" si="12"/>
        <v>0</v>
      </c>
      <c r="V24" s="297">
        <f t="shared" si="13"/>
        <v>0.118055555555556</v>
      </c>
      <c r="W24" s="297">
        <f t="shared" si="14"/>
        <v>0.22569444444444445</v>
      </c>
      <c r="X24" s="297">
        <f t="shared" si="15"/>
        <v>0.2638888888888889</v>
      </c>
      <c r="Y24" s="297">
        <f t="shared" si="16"/>
        <v>0</v>
      </c>
      <c r="Z24" s="296">
        <f t="shared" si="17"/>
        <v>60</v>
      </c>
    </row>
    <row r="25" spans="1:26" ht="16.5" customHeight="1">
      <c r="B25" s="29" t="s">
        <v>6</v>
      </c>
      <c r="C25" s="366" t="str">
        <f>[24]Brewhouse!$A1003</f>
        <v>CA888</v>
      </c>
      <c r="D25" s="279">
        <f>[24]Brewhouse!$AF1003</f>
        <v>52.4</v>
      </c>
      <c r="E25" s="279">
        <f>[24]Brewhouse!$AI1003</f>
        <v>50.46</v>
      </c>
      <c r="F25" s="278">
        <f>[24]Brewhouse!$V1003</f>
        <v>60</v>
      </c>
      <c r="G25" s="279">
        <f>[24]Brewhouse!AG1003</f>
        <v>11.6</v>
      </c>
      <c r="H25" s="396">
        <v>11.6</v>
      </c>
      <c r="I25" s="368">
        <f>[24]Brewhouse!$AU1003</f>
        <v>97.222843093073379</v>
      </c>
      <c r="J25" s="368">
        <f>[24]Brewhouse!$AV1003</f>
        <v>97.342489390702738</v>
      </c>
      <c r="K25" s="281">
        <f>[24]Brewhouse!$Q1003</f>
        <v>2.4905660377358494</v>
      </c>
      <c r="L25" s="276">
        <f>[24]Brewhouse!$P1003</f>
        <v>58</v>
      </c>
      <c r="M25" s="397">
        <f>[24]Brewhouse!$U1003-[24]Brewhouse!$T1003</f>
        <v>0.10208333333333336</v>
      </c>
      <c r="N25" s="370">
        <f>[24]Brewhouse!$Z1003</f>
        <v>0.26041666666666663</v>
      </c>
      <c r="O25" s="421" t="str">
        <f>[24]Brewhouse!$AX1003</f>
        <v>G.Mason</v>
      </c>
      <c r="P25" s="418"/>
      <c r="R25" s="277" t="str">
        <f t="shared" si="9"/>
        <v>CARIB</v>
      </c>
      <c r="S25" s="296">
        <f t="shared" si="10"/>
        <v>11.6</v>
      </c>
      <c r="T25" s="296">
        <f t="shared" si="11"/>
        <v>12</v>
      </c>
      <c r="U25" s="297">
        <f t="shared" si="12"/>
        <v>0</v>
      </c>
      <c r="V25" s="297">
        <f t="shared" si="13"/>
        <v>0.118055555555556</v>
      </c>
      <c r="W25" s="297">
        <f t="shared" si="14"/>
        <v>0.22569444444444445</v>
      </c>
      <c r="X25" s="297">
        <f t="shared" si="15"/>
        <v>0.2638888888888889</v>
      </c>
      <c r="Y25" s="297">
        <f t="shared" si="16"/>
        <v>0</v>
      </c>
      <c r="Z25" s="296">
        <f t="shared" si="17"/>
        <v>60</v>
      </c>
    </row>
    <row r="26" spans="1:26" ht="16.5" customHeight="1">
      <c r="B26" s="29"/>
      <c r="C26" s="366"/>
      <c r="D26" s="279"/>
      <c r="E26" s="279"/>
      <c r="F26" s="278"/>
      <c r="G26" s="279"/>
      <c r="H26" s="476"/>
      <c r="I26" s="368"/>
      <c r="J26" s="368"/>
      <c r="K26" s="281"/>
      <c r="L26" s="276"/>
      <c r="M26" s="397"/>
      <c r="N26" s="370"/>
      <c r="O26" s="421"/>
      <c r="P26" s="418"/>
      <c r="R26" s="277">
        <f t="shared" si="9"/>
        <v>0</v>
      </c>
      <c r="S26" s="296" t="e">
        <f t="shared" si="10"/>
        <v>#N/A</v>
      </c>
      <c r="T26" s="296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296" t="e">
        <f t="shared" si="17"/>
        <v>#N/A</v>
      </c>
    </row>
    <row r="27" spans="1:26" ht="16.5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8"/>
      <c r="R27" s="277">
        <f t="shared" si="9"/>
        <v>0</v>
      </c>
      <c r="S27" s="296" t="e">
        <f t="shared" si="10"/>
        <v>#N/A</v>
      </c>
      <c r="T27" s="296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296" t="e">
        <f t="shared" si="17"/>
        <v>#N/A</v>
      </c>
    </row>
    <row r="28" spans="1:26" ht="15.75" customHeight="1" thickBot="1">
      <c r="B28" s="358"/>
      <c r="C28" s="358"/>
      <c r="D28" s="358"/>
      <c r="E28" s="358"/>
      <c r="F28" s="294"/>
      <c r="G28" s="294"/>
      <c r="H28" s="348"/>
      <c r="I28" s="512"/>
      <c r="J28" s="512"/>
      <c r="K28" s="512"/>
      <c r="L28" s="512"/>
      <c r="M28" s="512"/>
      <c r="N28" s="512"/>
      <c r="O28" s="1"/>
      <c r="P28" s="12"/>
      <c r="R28" s="277">
        <f t="shared" si="9"/>
        <v>0</v>
      </c>
      <c r="S28" s="296" t="e">
        <f t="shared" si="10"/>
        <v>#N/A</v>
      </c>
      <c r="T28" s="296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296" t="e">
        <f t="shared" si="17"/>
        <v>#N/A</v>
      </c>
    </row>
    <row r="29" spans="1:26" ht="15.75" customHeight="1" thickBot="1">
      <c r="B29" s="388" t="s">
        <v>162</v>
      </c>
      <c r="C29" s="388"/>
      <c r="D29" s="490" t="s">
        <v>35</v>
      </c>
      <c r="E29" s="491"/>
      <c r="F29" s="294"/>
      <c r="G29" s="294"/>
      <c r="H29" s="348"/>
      <c r="I29" s="24" t="s">
        <v>17</v>
      </c>
      <c r="J29" s="25"/>
      <c r="K29" s="26" t="s">
        <v>138</v>
      </c>
      <c r="L29" s="25" t="s">
        <v>37</v>
      </c>
      <c r="M29" s="25" t="s">
        <v>38</v>
      </c>
      <c r="N29" s="27" t="s">
        <v>39</v>
      </c>
      <c r="O29" s="294"/>
      <c r="P29" s="12"/>
      <c r="R29" s="277" t="str">
        <f t="shared" si="9"/>
        <v xml:space="preserve">BRAND </v>
      </c>
      <c r="S29" s="296" t="e">
        <f t="shared" si="10"/>
        <v>#N/A</v>
      </c>
      <c r="T29" s="296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296" t="e">
        <f t="shared" si="17"/>
        <v>#N/A</v>
      </c>
    </row>
    <row r="30" spans="1:26" ht="15" customHeight="1">
      <c r="A30" s="28"/>
      <c r="B30" s="513" t="str">
        <f>I31</f>
        <v>STAG</v>
      </c>
      <c r="C30" s="362" cm="1">
        <f t="array" ref="C30:C41">[25]Process!$D$449:$D$460</f>
        <v>12</v>
      </c>
      <c r="D30" s="516">
        <v>11.87</v>
      </c>
      <c r="E30" s="517"/>
      <c r="F30" s="294"/>
      <c r="G30" s="294"/>
      <c r="H30" s="348"/>
      <c r="I30" s="29" t="s">
        <v>6</v>
      </c>
      <c r="J30" s="280">
        <f>AVERAGE(I10:I25)</f>
        <v>97.714506844200372</v>
      </c>
      <c r="K30" s="284">
        <f>COUNTA([24]Brewhouse!$A$914:$A$1003)</f>
        <v>90</v>
      </c>
      <c r="L30" s="305">
        <f>AVERAGE([24]Brewhouse!$AU$914:$AU$1003)</f>
        <v>98.050921871385853</v>
      </c>
      <c r="M30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,[24]Brewhouse!$A$740:$A$821,[24]Brewhouse!$AU$823:$AU$862,[25]Brewhouse!$AS$420:$AS$423,[24]Brewhouse!$AU$867:$AU$912,[24]Brewhouse!$AU$914:$AU$1003)</f>
        <v>97.75183132969201</v>
      </c>
      <c r="N30" s="30">
        <v>98</v>
      </c>
      <c r="O30" s="11"/>
      <c r="P30" s="31"/>
      <c r="R30" s="277" t="str">
        <f t="shared" si="9"/>
        <v>STAG</v>
      </c>
      <c r="S30" s="296">
        <f t="shared" si="10"/>
        <v>11.6</v>
      </c>
      <c r="T30" s="296">
        <f t="shared" si="11"/>
        <v>12</v>
      </c>
      <c r="U30" s="297">
        <f t="shared" si="12"/>
        <v>0</v>
      </c>
      <c r="V30" s="297">
        <f t="shared" si="13"/>
        <v>0.118055555555556</v>
      </c>
      <c r="W30" s="297">
        <f t="shared" si="14"/>
        <v>0.22569444444444445</v>
      </c>
      <c r="X30" s="297">
        <f t="shared" si="15"/>
        <v>0.2638888888888889</v>
      </c>
      <c r="Y30" s="297">
        <f t="shared" si="16"/>
        <v>0</v>
      </c>
      <c r="Z30" s="296">
        <f t="shared" si="17"/>
        <v>60</v>
      </c>
    </row>
    <row r="31" spans="1:26" ht="15" customHeight="1">
      <c r="A31" s="28"/>
      <c r="B31" s="514"/>
      <c r="C31" s="362">
        <v>12</v>
      </c>
      <c r="D31" s="518"/>
      <c r="E31" s="519"/>
      <c r="F31" s="294"/>
      <c r="G31" s="294"/>
      <c r="H31" s="348"/>
      <c r="I31" s="33" t="s">
        <v>9</v>
      </c>
      <c r="J31" s="280"/>
      <c r="K31" s="284">
        <f>COUNTA([25]Brewhouse!$A$449:$A$484)</f>
        <v>36</v>
      </c>
      <c r="L31" s="302">
        <f>AVERAGE([25]Brewhouse!$AS$449:$AS$484)</f>
        <v>96.933734298290275</v>
      </c>
      <c r="M31" s="302">
        <f>AVERAGE([25]Brewhouse!$AS$15:$AS$64,[25]Brewhouse!$AS$66:$AS$103,[25]Brewhouse!$AS$105:$AS$140,[25]Brewhouse!$AS$142:$AS$193,[25]Brewhouse!$AS$195:$AS$240,[25]Brewhouse!$AS$242:$AS$273,[25]Brewhouse!$AS$275:$AS$322,[25]Brewhouse!$AS$324:$AS$359,[25]Brewhouse!$AS$361:$AS$397,[25]Brewhouse!$AS$399:$AS$419,[25]Brewhouse!$AS$424:$AS$447,[25]Brewhouse!$AS$449:$AS$484)</f>
        <v>97.847961594552643</v>
      </c>
      <c r="N31" s="30">
        <v>98</v>
      </c>
      <c r="O31" s="11"/>
      <c r="P31" s="31"/>
      <c r="R31" s="277">
        <f t="shared" si="9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</row>
    <row r="32" spans="1:26" ht="14.65" customHeight="1">
      <c r="A32" s="28"/>
      <c r="B32" s="514"/>
      <c r="C32" s="362">
        <v>12</v>
      </c>
      <c r="D32" s="566">
        <v>11.85</v>
      </c>
      <c r="E32" s="567"/>
      <c r="F32" s="294"/>
      <c r="G32" s="294"/>
      <c r="H32" s="348"/>
      <c r="I32" s="34" t="s">
        <v>12</v>
      </c>
      <c r="J32" s="280"/>
      <c r="K32" s="284">
        <f>COUNTA([26]Brewhouse!$A$116:$A$123)</f>
        <v>8</v>
      </c>
      <c r="L32" s="302">
        <f>AVERAGE([26]Brewhouse!$AU$116:$AU$123)</f>
        <v>94.492157310536172</v>
      </c>
      <c r="M32" s="302">
        <f>AVERAGE([26]Brewhouse!$AU$4:$AU$7,[26]Brewhouse!$AU$9:$AU$22,[26]Brewhouse!$AU$24:$AU$35,[26]Brewhouse!$AU$37:$AU$45,[26]Brewhouse!$AU$47:$AU$62,[26]Brewhouse!$AU$64:$AU$79,[26]Brewhouse!$AU$81:$AU$92,[26]Brewhouse!$AU$94:$AU$97,[26]Brewhouse!$AU$99:$AU$106,[26]Brewhouse!$AU$116:$AU$123)</f>
        <v>96.481276590905978</v>
      </c>
      <c r="N32" s="30">
        <v>98</v>
      </c>
      <c r="O32" s="11"/>
      <c r="P32" s="31"/>
      <c r="R32" s="277">
        <f t="shared" si="9"/>
        <v>0</v>
      </c>
      <c r="S32" s="296" t="e">
        <f t="shared" si="10"/>
        <v>#N/A</v>
      </c>
      <c r="T32" s="296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296" t="e">
        <f t="shared" si="17"/>
        <v>#N/A</v>
      </c>
    </row>
    <row r="33" spans="1:56" ht="14.65" customHeight="1">
      <c r="A33" s="28"/>
      <c r="B33" s="514"/>
      <c r="C33" s="362">
        <v>11.8</v>
      </c>
      <c r="D33" s="531"/>
      <c r="E33" s="519"/>
      <c r="F33" s="294"/>
      <c r="G33" s="294"/>
      <c r="H33" s="348"/>
      <c r="I33" s="22" t="s">
        <v>33</v>
      </c>
      <c r="J33" s="280"/>
      <c r="K33" s="284">
        <f>COUNTA([23]Brewhouse!$A$97:$A$104)</f>
        <v>8</v>
      </c>
      <c r="L33" s="302">
        <f>AVERAGE([23]Brewhouse!$AV$97:$AV$104)</f>
        <v>98.419138016287462</v>
      </c>
      <c r="M33" s="302">
        <f>AVERAGE([23]Brewhouse!$AV$5:$AV$14,[23]Brewhouse!$AV$16:$AV$19,[23]Brewhouse!$AV$21:$AV$24,[23]Brewhouse!$AV$26:$AV$33,[23]Brewhouse!$AV$35:$AV$46,[23]Brewhouse!$AV$48:$AV$53,[23]Brewhouse!$AV$55:$AV$62,[23]Brewhouse!$AV$64:$AV$77,[23]Brewhouse!$AV$79:$AV$86,[23]Brewhouse!$AV$88:$AV$95,[23]Brewhouse!$AV$97:$AV$104)</f>
        <v>98.270381341021618</v>
      </c>
      <c r="N33" s="30">
        <v>98</v>
      </c>
      <c r="O33" s="11"/>
      <c r="P33" s="31"/>
      <c r="R33" s="277">
        <f t="shared" si="9"/>
        <v>0</v>
      </c>
      <c r="S33" s="296" t="e">
        <f t="shared" si="10"/>
        <v>#N/A</v>
      </c>
      <c r="T33" s="296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296" t="e">
        <f t="shared" si="17"/>
        <v>#N/A</v>
      </c>
    </row>
    <row r="34" spans="1:56" ht="14.65" customHeight="1">
      <c r="A34" s="28"/>
      <c r="B34" s="514"/>
      <c r="C34" s="362">
        <v>11.8</v>
      </c>
      <c r="D34" s="566">
        <v>12.07</v>
      </c>
      <c r="E34" s="567"/>
      <c r="F34" s="417"/>
      <c r="G34" s="294"/>
      <c r="H34" s="348"/>
      <c r="I34" s="35" t="s">
        <v>29</v>
      </c>
      <c r="J34" s="280"/>
      <c r="K34" s="284"/>
      <c r="L34" s="302"/>
      <c r="M34" s="302"/>
      <c r="N34" s="30">
        <v>98</v>
      </c>
      <c r="O34" s="11"/>
      <c r="P34" s="31"/>
      <c r="R34" s="277">
        <f t="shared" si="9"/>
        <v>0</v>
      </c>
      <c r="S34" s="296" t="e">
        <f t="shared" si="10"/>
        <v>#N/A</v>
      </c>
      <c r="T34" s="296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296" t="e">
        <f t="shared" si="17"/>
        <v>#N/A</v>
      </c>
    </row>
    <row r="35" spans="1:56" ht="14.65" customHeight="1">
      <c r="A35" s="28"/>
      <c r="B35" s="514"/>
      <c r="C35" s="362">
        <v>12</v>
      </c>
      <c r="D35" s="531"/>
      <c r="E35" s="519"/>
      <c r="F35" s="417"/>
      <c r="G35" s="294"/>
      <c r="H35" s="348"/>
      <c r="I35" s="36" t="s">
        <v>15</v>
      </c>
      <c r="J35" s="323"/>
      <c r="K35" s="284"/>
      <c r="L35" s="302"/>
      <c r="M35" s="302">
        <f>AVERAGE([27]Brewhouse!$AT$4:$AT$11,[27]Brewhouse!$AT$13:$AT$16,[27]Brewhouse!$AT$18:$AT$21,[27]Brewhouse!$AT$26,[27]Brewhouse!$AT$28:$AT$35)</f>
        <v>94.794664331624134</v>
      </c>
      <c r="N35" s="30">
        <v>98</v>
      </c>
      <c r="O35" s="11"/>
      <c r="P35" s="31"/>
      <c r="R35" s="277">
        <f t="shared" si="9"/>
        <v>0</v>
      </c>
      <c r="S35" s="296" t="e">
        <f t="shared" si="10"/>
        <v>#N/A</v>
      </c>
      <c r="T35" s="296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296" t="e">
        <f t="shared" si="17"/>
        <v>#N/A</v>
      </c>
      <c r="AA35" s="296"/>
    </row>
    <row r="36" spans="1:56" ht="14.65" customHeight="1">
      <c r="A36" s="28"/>
      <c r="B36" s="514"/>
      <c r="C36" s="362">
        <v>11.8</v>
      </c>
      <c r="D36" s="566">
        <v>12.06</v>
      </c>
      <c r="E36" s="567"/>
      <c r="F36" s="417"/>
      <c r="G36" s="294"/>
      <c r="H36" s="348"/>
      <c r="I36" s="37" t="s">
        <v>16</v>
      </c>
      <c r="J36" s="323"/>
      <c r="K36" s="284">
        <f>COUNTA([22]Brewhouse!$A$94:$A$97)</f>
        <v>4</v>
      </c>
      <c r="L36" s="302">
        <f>AVERAGE([22]Brewhouse!$AY$94:$AY$97)</f>
        <v>95.326767995731288</v>
      </c>
      <c r="M36" s="302">
        <f>AVERAGE([22]Brewhouse!$AY$6:$AY$13,[22]Brewhouse!$AY$15:$AY$20,[22]Brewhouse!$AY$22:$AY$29,[22]Brewhouse!$AY$31:$AY$34,[22]Brewhouse!$AY$36:$AY$43,[22]Brewhouse!$AY$45:$AY$50, [22]Brewhouse!$AY$56:$AY$73,[22]Brewhouse!$AY$75:$AY$92,[22]Brewhouse!$AY$94:$AY$97)</f>
        <v>97.370192538913813</v>
      </c>
      <c r="N36" s="30">
        <v>98</v>
      </c>
      <c r="O36" s="11"/>
      <c r="P36" s="31" t="s">
        <v>41</v>
      </c>
      <c r="R36" s="277">
        <f t="shared" si="9"/>
        <v>0</v>
      </c>
      <c r="S36" s="296" t="e">
        <f t="shared" si="10"/>
        <v>#N/A</v>
      </c>
      <c r="T36" s="296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296" t="e">
        <f t="shared" si="17"/>
        <v>#N/A</v>
      </c>
      <c r="AA36" s="296"/>
    </row>
    <row r="37" spans="1:56" ht="14.65" customHeight="1">
      <c r="A37" s="28"/>
      <c r="B37" s="514"/>
      <c r="C37" s="362">
        <v>11.9</v>
      </c>
      <c r="D37" s="531"/>
      <c r="E37" s="519"/>
      <c r="F37" s="294"/>
      <c r="G37" s="294"/>
      <c r="H37" s="348"/>
      <c r="I37" s="411" t="s">
        <v>158</v>
      </c>
      <c r="J37" s="326"/>
      <c r="K37" s="284"/>
      <c r="L37" s="305"/>
      <c r="M37" s="305">
        <f>AVERAGE([28]Brewhouse!$AU$5:$AU$8,[28]Brewhouse!$AU$10:$AU$13,[22]Brewhouse!$AY$75:$AY$77)</f>
        <v>94.749192473706671</v>
      </c>
      <c r="N37" s="30">
        <v>98</v>
      </c>
      <c r="O37" s="11"/>
      <c r="P37" s="31"/>
      <c r="R37" s="277">
        <f t="shared" si="9"/>
        <v>0</v>
      </c>
      <c r="S37" s="296" t="e">
        <f t="shared" si="10"/>
        <v>#N/A</v>
      </c>
      <c r="T37" s="296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296" t="e">
        <f t="shared" si="17"/>
        <v>#N/A</v>
      </c>
      <c r="AA37" s="296"/>
    </row>
    <row r="38" spans="1:56" ht="14.65" customHeight="1">
      <c r="A38" s="28"/>
      <c r="B38" s="514"/>
      <c r="C38" s="349">
        <v>12</v>
      </c>
      <c r="D38" s="566">
        <v>11.86</v>
      </c>
      <c r="E38" s="567"/>
      <c r="F38" s="294"/>
      <c r="G38" s="294"/>
      <c r="H38" s="348"/>
      <c r="I38" s="410" t="s">
        <v>157</v>
      </c>
      <c r="J38" s="326"/>
      <c r="K38" s="284"/>
      <c r="L38" s="305"/>
      <c r="M38" s="305">
        <f>AVERAGE([29]Brewhouse!$AW$26:$AW$27)</f>
        <v>95.310680905194914</v>
      </c>
      <c r="N38" s="30">
        <v>98</v>
      </c>
      <c r="O38" s="11"/>
      <c r="P38" s="31"/>
      <c r="R38" s="277">
        <f t="shared" si="9"/>
        <v>0</v>
      </c>
      <c r="S38" s="296" t="e">
        <f t="shared" si="10"/>
        <v>#N/A</v>
      </c>
      <c r="T38" s="296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296" t="e">
        <f t="shared" si="17"/>
        <v>#N/A</v>
      </c>
      <c r="AA38" s="296"/>
    </row>
    <row r="39" spans="1:56" ht="15" customHeight="1" thickBot="1">
      <c r="A39" s="28"/>
      <c r="B39" s="514"/>
      <c r="C39" s="349">
        <v>11.7</v>
      </c>
      <c r="D39" s="531"/>
      <c r="E39" s="519"/>
      <c r="F39" s="294"/>
      <c r="G39" s="294"/>
      <c r="H39" s="348"/>
      <c r="I39" s="406" t="s">
        <v>156</v>
      </c>
      <c r="J39" s="327"/>
      <c r="K39" s="407"/>
      <c r="L39" s="408"/>
      <c r="M39" s="408">
        <f>AVERAGE([30]Brewhouse!$AU$13:$AU$14)</f>
        <v>97.110575243268045</v>
      </c>
      <c r="N39" s="409">
        <v>98</v>
      </c>
      <c r="O39" s="11"/>
      <c r="P39" s="31"/>
      <c r="R39" s="277">
        <f t="shared" si="9"/>
        <v>0</v>
      </c>
      <c r="S39" s="296" t="e">
        <f t="shared" si="10"/>
        <v>#N/A</v>
      </c>
      <c r="T39" s="296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296" t="e">
        <f t="shared" si="17"/>
        <v>#N/A</v>
      </c>
      <c r="AA39" s="296"/>
    </row>
    <row r="40" spans="1:56" ht="15" customHeight="1" thickBot="1">
      <c r="A40" s="28"/>
      <c r="B40" s="514"/>
      <c r="C40" s="349">
        <v>11.9</v>
      </c>
      <c r="D40" s="516">
        <v>11.8</v>
      </c>
      <c r="E40" s="517"/>
      <c r="F40" s="294"/>
      <c r="G40" s="294"/>
      <c r="H40" s="348"/>
      <c r="I40" s="1"/>
      <c r="J40" s="39"/>
      <c r="K40" s="404">
        <f>SUM(K30:K39)</f>
        <v>146</v>
      </c>
      <c r="L40" s="405">
        <f>((L30*K30)+(L31*K31)+(L32*K32)+(L33*K33)+(L34*K34)+(K37*L37)+(L35*K35)+(L36*K36)+(L39*K39))/(K40)</f>
        <v>97.525992039456781</v>
      </c>
      <c r="M40" s="405">
        <f>AVERAGE('[31]Jan 31st'!$L$65,'[32]Feb 28th'!$L$35,'[33]Mar. 31st'!$L$35,'[34]Apr. 30th'!$L$45,'[35]May 30th'!$L$37,'[36]June 30th'!$L$57,'[37]July 29th '!$L$44,'[38]Aug 29th'!$L$29,'[39]Sept 30th'!$L$35,L40)</f>
        <v>97.570549443627471</v>
      </c>
      <c r="N40" s="40">
        <v>98</v>
      </c>
      <c r="O40" s="11"/>
      <c r="P40" s="31"/>
      <c r="R40" s="277">
        <f t="shared" si="9"/>
        <v>0</v>
      </c>
      <c r="S40" s="296" t="e">
        <f t="shared" si="10"/>
        <v>#N/A</v>
      </c>
      <c r="T40" s="296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296" t="e">
        <f t="shared" si="17"/>
        <v>#N/A</v>
      </c>
      <c r="AA40" s="296"/>
    </row>
    <row r="41" spans="1:56" ht="15.75" thickBot="1">
      <c r="B41" s="588"/>
      <c r="C41" s="350">
        <v>11.8</v>
      </c>
      <c r="D41" s="518"/>
      <c r="E41" s="519"/>
      <c r="F41" s="294"/>
      <c r="G41" s="42"/>
      <c r="H41" s="41"/>
      <c r="I41" s="42"/>
      <c r="J41" s="42"/>
      <c r="K41" s="351"/>
      <c r="L41" s="348"/>
      <c r="M41" s="348"/>
      <c r="N41" s="11"/>
      <c r="O41" s="294"/>
      <c r="P41" s="12"/>
      <c r="R41" s="277">
        <f t="shared" si="9"/>
        <v>0</v>
      </c>
      <c r="S41" s="296" t="e">
        <f t="shared" si="10"/>
        <v>#N/A</v>
      </c>
      <c r="T41" s="296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296" t="e">
        <f t="shared" si="17"/>
        <v>#N/A</v>
      </c>
      <c r="AA41" s="296"/>
    </row>
    <row r="42" spans="1:56" ht="15.75" thickBot="1">
      <c r="B42" s="513"/>
      <c r="C42" s="362"/>
      <c r="D42" s="529"/>
      <c r="E42" s="530"/>
      <c r="F42" s="294"/>
      <c r="G42" s="42"/>
      <c r="H42" s="41"/>
      <c r="I42" s="42"/>
      <c r="J42" s="565" t="s">
        <v>129</v>
      </c>
      <c r="K42" s="565"/>
      <c r="L42" s="294"/>
      <c r="M42" s="294"/>
      <c r="N42" s="294"/>
      <c r="O42" s="294"/>
      <c r="P42" s="12"/>
    </row>
    <row r="43" spans="1:56" ht="15.75" thickBot="1">
      <c r="B43" s="514"/>
      <c r="C43" s="362"/>
      <c r="D43" s="531"/>
      <c r="E43" s="519"/>
      <c r="F43" s="294"/>
      <c r="G43" s="42"/>
      <c r="H43" s="292" t="s">
        <v>17</v>
      </c>
      <c r="I43" s="293" t="s">
        <v>201</v>
      </c>
      <c r="J43" s="293" t="s">
        <v>202</v>
      </c>
      <c r="K43" s="293" t="s">
        <v>203</v>
      </c>
      <c r="L43" s="533" t="s">
        <v>136</v>
      </c>
      <c r="M43" s="533"/>
      <c r="N43" s="534"/>
      <c r="O43" s="294"/>
      <c r="P43" s="12"/>
    </row>
    <row r="44" spans="1:56" ht="15" customHeight="1" thickBot="1">
      <c r="B44" s="514"/>
      <c r="C44" s="349"/>
      <c r="D44" s="566"/>
      <c r="E44" s="567"/>
      <c r="F44" s="294"/>
      <c r="G44" s="42"/>
      <c r="H44" s="287" t="s">
        <v>6</v>
      </c>
      <c r="I44" s="324">
        <f>COUNTA(C10:C14)</f>
        <v>5</v>
      </c>
      <c r="J44" s="324">
        <f>COUNTA(C16:C22)</f>
        <v>7</v>
      </c>
      <c r="K44" s="324">
        <f>COUNTA(C24:C25)</f>
        <v>2</v>
      </c>
      <c r="L44" s="343" t="s">
        <v>37</v>
      </c>
      <c r="M44" s="307" t="s">
        <v>38</v>
      </c>
      <c r="N44" s="307" t="s">
        <v>84</v>
      </c>
      <c r="O44" s="294"/>
      <c r="P44" s="12"/>
    </row>
    <row r="45" spans="1:56" ht="15.75" customHeight="1" thickBot="1">
      <c r="B45" s="514"/>
      <c r="C45" s="349"/>
      <c r="D45" s="531"/>
      <c r="E45" s="519"/>
      <c r="F45" s="294"/>
      <c r="G45" s="42"/>
      <c r="H45" s="345" t="s">
        <v>9</v>
      </c>
      <c r="I45" s="324"/>
      <c r="J45" s="324"/>
      <c r="K45" s="324"/>
      <c r="L45" s="344">
        <f>AVERAGE('Nov 26th'!K51,'Nov 27th'!K48,'Nov 28th-30th'!I54,'Nov 28th-30th'!J54,'Nov 28th-30th'!K54,'Nov 24th'!K53,'Nov 25th'!K53,'Nov 21st'!K47,'Nov 22nd-23rd'!J61,'Nov 22nd-23rd'!K61,'Nov 19th '!K49,'Nov 18th'!K58,'Nov 15th'!K53,'Nov 13th&amp; 14th'!J53,'Nov 13th&amp; 14th'!K53,'Nov 12th'!K47,'Nov 11th'!K51,'Nov 10th'!K53,'Nov 6th '!K52,'Nov 7th-8th'!J55,'Nov 7th-8th'!K55,'Nov 4th'!K52,'Nov 5th'!K51,Nov.3rd!K52)</f>
        <v>6.041666666666667</v>
      </c>
      <c r="M45" s="325">
        <f>AVERAGE('[31]Jan 29th '!$M$70,'[32]Feb 28th'!$L$40,'[33]Mar. 31st'!$L$40,'[34]Apr. 30th'!$L$50,'[35]May 30th'!$L$42,'[36]June 30th'!$L$62,'[37]July 29th '!$L$49,'[38]Aug 29th'!$L$34,'[39]Sept 30th'!$L$40,[40]Oct.31st!$L$43,L45)</f>
        <v>6.9703975467705446</v>
      </c>
      <c r="N45" s="416">
        <v>9.1999999999999993</v>
      </c>
      <c r="O45" s="294"/>
      <c r="P45" s="12"/>
    </row>
    <row r="46" spans="1:56" ht="15" customHeight="1">
      <c r="B46" s="514"/>
      <c r="C46" s="349"/>
      <c r="D46" s="566"/>
      <c r="E46" s="567"/>
      <c r="F46" s="294"/>
      <c r="G46" s="42"/>
      <c r="H46" s="288" t="s">
        <v>40</v>
      </c>
      <c r="I46" s="324"/>
      <c r="J46" s="324"/>
      <c r="K46" s="324"/>
      <c r="L46" s="294"/>
      <c r="M46" s="294"/>
      <c r="N46" s="294"/>
      <c r="O46" s="294"/>
      <c r="P46" s="12"/>
    </row>
    <row r="47" spans="1:56" ht="15" customHeight="1">
      <c r="B47" s="514"/>
      <c r="C47" s="349"/>
      <c r="D47" s="531"/>
      <c r="E47" s="519"/>
      <c r="F47" s="294"/>
      <c r="G47" s="42"/>
      <c r="H47" s="289" t="s">
        <v>33</v>
      </c>
      <c r="I47" s="324"/>
      <c r="J47" s="324"/>
      <c r="K47" s="324"/>
      <c r="L47" s="294"/>
      <c r="M47" s="294"/>
      <c r="N47" s="294"/>
      <c r="O47" s="294"/>
      <c r="P47" s="12"/>
    </row>
    <row r="48" spans="1:56" ht="15">
      <c r="B48" s="514"/>
      <c r="C48" s="349"/>
      <c r="D48" s="566"/>
      <c r="E48" s="567"/>
      <c r="F48" s="294"/>
      <c r="G48" s="42"/>
      <c r="H48" s="290" t="s">
        <v>16</v>
      </c>
      <c r="I48" s="324"/>
      <c r="J48" s="324"/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14"/>
      <c r="C49" s="349"/>
      <c r="D49" s="531"/>
      <c r="E49" s="519"/>
      <c r="F49" s="294"/>
      <c r="G49" s="42"/>
      <c r="H49" s="291" t="s">
        <v>15</v>
      </c>
      <c r="I49" s="324"/>
      <c r="J49" s="324"/>
      <c r="K49" s="324"/>
      <c r="L49" s="294"/>
      <c r="M49" s="294"/>
      <c r="N49" s="294"/>
      <c r="O49" s="294"/>
      <c r="P49" s="12"/>
      <c r="BC49" s="44"/>
      <c r="BD49" s="44"/>
    </row>
    <row r="50" spans="2:57" ht="15">
      <c r="B50" s="514"/>
      <c r="C50" s="349"/>
      <c r="D50" s="566"/>
      <c r="E50" s="567"/>
      <c r="F50" s="294"/>
      <c r="G50" s="42"/>
      <c r="H50" s="291" t="s">
        <v>149</v>
      </c>
      <c r="I50" s="324"/>
      <c r="J50" s="324"/>
      <c r="K50" s="324"/>
      <c r="L50" s="294"/>
      <c r="M50" s="294"/>
      <c r="N50" s="294"/>
      <c r="O50" s="294"/>
      <c r="P50" s="12"/>
      <c r="BC50" s="44"/>
      <c r="BD50" s="44"/>
    </row>
    <row r="51" spans="2:57" ht="15.75" thickBot="1">
      <c r="B51" s="515"/>
      <c r="C51" s="350"/>
      <c r="D51" s="568"/>
      <c r="E51" s="569"/>
      <c r="F51" s="294" t="s">
        <v>168</v>
      </c>
      <c r="G51" s="42"/>
      <c r="H51" s="291" t="s">
        <v>148</v>
      </c>
      <c r="I51" s="324"/>
      <c r="J51" s="324"/>
      <c r="K51" s="324"/>
      <c r="L51" s="294"/>
      <c r="M51" s="294"/>
      <c r="N51" s="294" t="s">
        <v>41</v>
      </c>
      <c r="O51" s="294"/>
      <c r="P51" s="12"/>
      <c r="BC51" s="44"/>
      <c r="BD51" s="44"/>
    </row>
    <row r="52" spans="2:57" ht="17.649999999999999" customHeight="1" thickBot="1">
      <c r="B52" s="312" t="s">
        <v>139</v>
      </c>
      <c r="C52" s="313"/>
      <c r="D52" s="576"/>
      <c r="E52" s="577"/>
      <c r="F52" s="294"/>
      <c r="H52" s="295" t="s">
        <v>134</v>
      </c>
      <c r="I52" s="324"/>
      <c r="J52" s="324"/>
      <c r="K52" s="324"/>
      <c r="L52" s="294"/>
      <c r="M52" s="294"/>
      <c r="N52" s="294"/>
      <c r="O52" s="294"/>
      <c r="P52" s="12"/>
      <c r="BC52" s="44"/>
      <c r="BD52" s="44"/>
    </row>
    <row r="53" spans="2:57" ht="17.649999999999999" customHeight="1">
      <c r="B53" s="363"/>
      <c r="C53" s="364"/>
      <c r="D53" s="365"/>
      <c r="E53" s="365"/>
      <c r="F53" s="294"/>
      <c r="G53" s="42"/>
      <c r="H53" s="295" t="s">
        <v>131</v>
      </c>
      <c r="I53" s="324"/>
      <c r="J53" s="324"/>
      <c r="K53" s="324"/>
      <c r="L53" s="294"/>
      <c r="M53" s="294"/>
      <c r="N53" s="294"/>
      <c r="O53" s="294"/>
      <c r="P53" s="12"/>
      <c r="BC53" s="44"/>
      <c r="BD53" s="44"/>
    </row>
    <row r="54" spans="2:57" ht="15.6" customHeight="1">
      <c r="B54" s="45"/>
      <c r="C54" s="11"/>
      <c r="D54" s="11"/>
      <c r="E54" s="46"/>
      <c r="F54" s="294"/>
      <c r="G54" s="42"/>
      <c r="H54" s="346" t="s">
        <v>130</v>
      </c>
      <c r="I54" s="324">
        <f t="shared" ref="I54:J54" si="18">SUM(I44:I53)</f>
        <v>5</v>
      </c>
      <c r="J54" s="324">
        <f t="shared" si="18"/>
        <v>7</v>
      </c>
      <c r="K54" s="324">
        <f>SUM(K44:K53)</f>
        <v>2</v>
      </c>
      <c r="L54" s="294"/>
      <c r="M54" s="294"/>
      <c r="N54" s="294"/>
      <c r="O54" s="294"/>
      <c r="P54" s="12"/>
    </row>
    <row r="55" spans="2:57" ht="20.25" customHeight="1">
      <c r="B55" s="15" t="s">
        <v>42</v>
      </c>
      <c r="C55" s="1" t="s">
        <v>43</v>
      </c>
      <c r="D55" s="1"/>
      <c r="E55" s="1"/>
      <c r="F55" s="294"/>
      <c r="G55" s="42"/>
      <c r="H55" s="41"/>
      <c r="I55" s="42"/>
      <c r="J55" s="42"/>
      <c r="L55" s="294"/>
      <c r="N55" s="315"/>
      <c r="P55" s="334"/>
    </row>
    <row r="56" spans="2:57" ht="15" customHeight="1" thickBot="1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1"/>
      <c r="O56" s="48"/>
      <c r="P56" s="49"/>
    </row>
    <row r="57" spans="2:57" ht="15" customHeight="1" thickBot="1">
      <c r="B57" s="541" t="s">
        <v>17</v>
      </c>
      <c r="C57" s="541" t="s">
        <v>44</v>
      </c>
      <c r="D57" s="543" t="s">
        <v>45</v>
      </c>
      <c r="E57" s="498" t="s">
        <v>46</v>
      </c>
      <c r="F57" s="558" t="s">
        <v>47</v>
      </c>
      <c r="G57" s="552" t="s">
        <v>48</v>
      </c>
      <c r="H57" s="541" t="s">
        <v>49</v>
      </c>
      <c r="I57" s="541" t="s">
        <v>50</v>
      </c>
      <c r="J57" s="546" t="s">
        <v>28</v>
      </c>
      <c r="K57" s="496" t="s">
        <v>51</v>
      </c>
      <c r="L57" s="508" t="s">
        <v>52</v>
      </c>
      <c r="M57" s="546" t="s">
        <v>53</v>
      </c>
      <c r="N57" s="13"/>
      <c r="O57" s="13"/>
      <c r="P57" s="50"/>
    </row>
    <row r="58" spans="2:57" ht="28.5" customHeight="1" thickTop="1" thickBot="1">
      <c r="B58" s="542"/>
      <c r="C58" s="542"/>
      <c r="D58" s="544"/>
      <c r="E58" s="545"/>
      <c r="F58" s="559"/>
      <c r="G58" s="553"/>
      <c r="H58" s="560"/>
      <c r="I58" s="560"/>
      <c r="J58" s="547"/>
      <c r="K58" s="556"/>
      <c r="L58" s="557"/>
      <c r="M58" s="547"/>
      <c r="N58" s="13"/>
      <c r="O58" s="13"/>
      <c r="P58" s="50"/>
      <c r="Q58" s="355"/>
      <c r="AB58" s="51">
        <v>43474</v>
      </c>
      <c r="AC58" s="51">
        <v>43475</v>
      </c>
      <c r="AD58" s="51">
        <v>43476</v>
      </c>
      <c r="AE58" s="51">
        <v>43477</v>
      </c>
      <c r="AF58" s="51">
        <v>43478</v>
      </c>
      <c r="AG58" s="51">
        <v>43479</v>
      </c>
      <c r="AH58" s="51">
        <v>43480</v>
      </c>
      <c r="AI58" s="51">
        <v>43481</v>
      </c>
      <c r="AJ58" s="51">
        <v>43482</v>
      </c>
      <c r="AK58" s="51">
        <v>43483</v>
      </c>
      <c r="AL58" s="51">
        <v>43484</v>
      </c>
      <c r="AM58" s="51">
        <v>43485</v>
      </c>
      <c r="AN58" s="51">
        <v>43486</v>
      </c>
      <c r="AO58" s="51">
        <v>43487</v>
      </c>
      <c r="AP58" s="51">
        <v>43488</v>
      </c>
      <c r="AQ58" s="51">
        <v>43489</v>
      </c>
      <c r="AR58" s="51">
        <v>43490</v>
      </c>
      <c r="AS58" s="51">
        <v>43491</v>
      </c>
      <c r="AT58" s="51">
        <v>43492</v>
      </c>
      <c r="AU58" s="51">
        <v>43493</v>
      </c>
      <c r="AV58" s="51">
        <v>43494</v>
      </c>
      <c r="AW58" s="51">
        <v>43495</v>
      </c>
      <c r="AX58" s="51">
        <v>43496</v>
      </c>
    </row>
    <row r="59" spans="2:57" s="54" customFormat="1" ht="43.15" customHeight="1" thickBot="1">
      <c r="B59" s="473" t="str">
        <f>I31</f>
        <v>STAG</v>
      </c>
      <c r="C59" s="442">
        <v>45989</v>
      </c>
      <c r="D59" s="443">
        <f>[41]November_2025!$AE$13</f>
        <v>590.92999999999995</v>
      </c>
      <c r="E59" s="444"/>
      <c r="F59" s="445"/>
      <c r="G59" s="445">
        <f>[41]November_2025!$AE$17</f>
        <v>561</v>
      </c>
      <c r="H59" s="460"/>
      <c r="I59" s="460"/>
      <c r="J59" s="449" t="s">
        <v>172</v>
      </c>
      <c r="K59" s="450"/>
      <c r="L59" s="459">
        <f>(((D59+E59)-G59)/(D59+E59))*100</f>
        <v>5.0648977036197103</v>
      </c>
      <c r="M59" s="456" t="s">
        <v>195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[20]January_2019!L7</f>
        <v>285.8</v>
      </c>
      <c r="AC59" s="57">
        <f>[20]January_2019!M7</f>
        <v>508.1</v>
      </c>
      <c r="AD59" s="57">
        <f>[20]January_2019!N7</f>
        <v>0</v>
      </c>
      <c r="AE59" s="57">
        <f>[20]January_2019!O7</f>
        <v>0</v>
      </c>
      <c r="AF59" s="57">
        <f>[20]January_2019!P7</f>
        <v>109.56666666666666</v>
      </c>
      <c r="AG59" s="57">
        <f>[20]January_2019!Q7</f>
        <v>297.64999999999998</v>
      </c>
      <c r="AH59" s="57">
        <f>[20]January_2019!R7</f>
        <v>122.3</v>
      </c>
      <c r="AI59" s="57">
        <f>[20]January_2019!S7</f>
        <v>0</v>
      </c>
      <c r="AJ59" s="57">
        <f>[20]January_2019!T7</f>
        <v>294.7</v>
      </c>
      <c r="AK59" s="57">
        <f>[20]January_2019!U7</f>
        <v>280.5</v>
      </c>
      <c r="AL59" s="57">
        <f>[20]January_2019!V7</f>
        <v>0</v>
      </c>
      <c r="AM59" s="57">
        <f>[20]January_2019!W7</f>
        <v>0</v>
      </c>
      <c r="AN59" s="57">
        <f>[20]January_2019!X7</f>
        <v>188.25</v>
      </c>
      <c r="AO59" s="57">
        <f>[20]January_2019!Y7</f>
        <v>295.7</v>
      </c>
      <c r="AP59" s="57">
        <f>[20]January_2019!Z7</f>
        <v>257.8</v>
      </c>
      <c r="AQ59" s="57">
        <f>[20]January_2019!AA7</f>
        <v>291.2</v>
      </c>
      <c r="AR59" s="57">
        <f>[20]January_2019!AB7</f>
        <v>187</v>
      </c>
      <c r="AS59" s="57">
        <f>[20]January_2019!AC7</f>
        <v>0</v>
      </c>
      <c r="AT59" s="57">
        <f>[20]January_2019!AD7</f>
        <v>0</v>
      </c>
      <c r="AU59" s="57">
        <f>[20]January_2019!AE7</f>
        <v>485.1</v>
      </c>
      <c r="AV59" s="57">
        <f>[20]January_2019!AF7</f>
        <v>171.55</v>
      </c>
      <c r="AW59" s="57">
        <f>[20]January_2019!AG7</f>
        <v>423.8</v>
      </c>
      <c r="AX59" s="277">
        <f>[20]January_2019!AH7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20.45" hidden="1" customHeight="1" thickBot="1">
      <c r="B60" s="473"/>
      <c r="C60" s="431"/>
      <c r="D60" s="432"/>
      <c r="E60" s="433"/>
      <c r="F60" s="434"/>
      <c r="G60" s="435"/>
      <c r="H60" s="429"/>
      <c r="I60" s="429"/>
      <c r="J60" s="452"/>
      <c r="K60" s="437"/>
      <c r="L60" s="453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8.450000000000003" hidden="1" customHeight="1" thickBot="1">
      <c r="B61" s="458"/>
      <c r="C61" s="442"/>
      <c r="D61" s="443"/>
      <c r="E61" s="444"/>
      <c r="F61" s="445"/>
      <c r="G61" s="446"/>
      <c r="H61" s="460"/>
      <c r="I61" s="460"/>
      <c r="J61" s="449"/>
      <c r="K61" s="462"/>
      <c r="L61" s="459" t="e">
        <f>(((D61+E61)-G61)/(D61+E61))*100</f>
        <v>#DIV/0!</v>
      </c>
      <c r="M61" s="456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5" hidden="1">
      <c r="B62" s="454"/>
      <c r="C62" s="431"/>
      <c r="D62" s="432"/>
      <c r="E62" s="433"/>
      <c r="F62" s="434"/>
      <c r="G62" s="435"/>
      <c r="H62" s="436"/>
      <c r="I62" s="451"/>
      <c r="J62" s="452"/>
      <c r="K62" s="437"/>
      <c r="L62" s="453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hidden="1" customHeight="1" thickBot="1">
      <c r="B63" s="461"/>
      <c r="C63" s="442"/>
      <c r="D63" s="443"/>
      <c r="E63" s="444"/>
      <c r="F63" s="445"/>
      <c r="G63" s="446"/>
      <c r="H63" s="447"/>
      <c r="I63" s="448"/>
      <c r="J63" s="449"/>
      <c r="K63" s="450"/>
      <c r="L63" s="459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6.5" customHeight="1" thickBot="1">
      <c r="B64" s="438"/>
      <c r="C64" s="424"/>
      <c r="D64" s="425"/>
      <c r="E64" s="426"/>
      <c r="F64" s="427"/>
      <c r="G64" s="428"/>
      <c r="H64" s="429"/>
      <c r="I64" s="439"/>
      <c r="J64" s="440"/>
      <c r="K64" s="430"/>
      <c r="L64" s="441"/>
      <c r="M64" s="423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57" s="54" customFormat="1" ht="37.15" hidden="1" customHeight="1" thickBot="1">
      <c r="B65" s="458"/>
      <c r="C65" s="442"/>
      <c r="D65" s="443"/>
      <c r="E65" s="444"/>
      <c r="F65" s="445"/>
      <c r="G65" s="446"/>
      <c r="H65" s="447"/>
      <c r="I65" s="448"/>
      <c r="J65" s="449"/>
      <c r="K65" s="450"/>
      <c r="L65" s="459" t="e">
        <f>(((D65+E65)-G65)/(D65+E65))*100</f>
        <v>#DIV/0!</v>
      </c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customHeight="1">
      <c r="B66" s="470"/>
      <c r="C66" s="431"/>
      <c r="D66" s="464"/>
      <c r="E66" s="465"/>
      <c r="F66" s="466"/>
      <c r="G66" s="464"/>
      <c r="H66" s="467"/>
      <c r="I66" s="467"/>
      <c r="J66" s="467"/>
      <c r="K66" s="468"/>
      <c r="L66" s="469"/>
      <c r="M66" s="5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5.75" thickBot="1">
      <c r="B68" s="548" t="s">
        <v>55</v>
      </c>
      <c r="C68" s="549"/>
      <c r="D68" s="549"/>
      <c r="E68" s="549"/>
      <c r="F68" s="550"/>
      <c r="G68" s="548" t="s">
        <v>56</v>
      </c>
      <c r="H68" s="549"/>
      <c r="I68" s="549"/>
      <c r="J68" s="550"/>
      <c r="K68" s="548" t="s">
        <v>51</v>
      </c>
      <c r="L68" s="549"/>
      <c r="M68" s="549"/>
      <c r="N68" s="551"/>
      <c r="O68" s="56"/>
      <c r="P68" s="50"/>
    </row>
    <row r="69" spans="2:57" ht="15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 t="s">
        <v>36</v>
      </c>
      <c r="L69" s="62" t="s">
        <v>37</v>
      </c>
      <c r="M69" s="62" t="s">
        <v>38</v>
      </c>
      <c r="N69" s="63" t="s">
        <v>39</v>
      </c>
      <c r="O69" s="56"/>
      <c r="P69" s="64"/>
    </row>
    <row r="70" spans="2:57" ht="15">
      <c r="B70" s="29" t="s">
        <v>6</v>
      </c>
      <c r="C70" s="282"/>
      <c r="D70" s="76">
        <v>6.109586969670791</v>
      </c>
      <c r="E70" s="76">
        <v>6.0721158785687495</v>
      </c>
      <c r="F70" s="66">
        <v>4.8</v>
      </c>
      <c r="G70" s="65"/>
      <c r="H70" s="76">
        <v>5.6702706098840654</v>
      </c>
      <c r="I70" s="76">
        <v>6.0394344516504415</v>
      </c>
      <c r="J70" s="66">
        <v>4.8</v>
      </c>
      <c r="K70" s="67"/>
      <c r="L70" s="194">
        <v>0.44411549707602338</v>
      </c>
      <c r="M70" s="194">
        <v>0.73127050670791238</v>
      </c>
      <c r="N70" s="68">
        <v>1</v>
      </c>
      <c r="O70" s="56"/>
      <c r="P70" s="69"/>
    </row>
    <row r="71" spans="2:57" ht="15">
      <c r="B71" s="33" t="s">
        <v>9</v>
      </c>
      <c r="C71" s="65">
        <f>L59</f>
        <v>5.0648977036197103</v>
      </c>
      <c r="D71" s="76">
        <v>5.1449592115944593</v>
      </c>
      <c r="E71" s="76">
        <v>5.7025207923266077</v>
      </c>
      <c r="F71" s="66">
        <v>4.8</v>
      </c>
      <c r="G71" s="65">
        <f>[41]November_2025!$AE$21</f>
        <v>4.6070113581387764</v>
      </c>
      <c r="H71" s="76">
        <v>3.9444720315936288</v>
      </c>
      <c r="I71" s="76">
        <v>6.2228279500853976</v>
      </c>
      <c r="J71" s="66">
        <v>4.8</v>
      </c>
      <c r="K71" s="67">
        <f>[42]November_2025!$AE$25</f>
        <v>0.65614035087719302</v>
      </c>
      <c r="L71" s="194">
        <v>0.61002192982456138</v>
      </c>
      <c r="M71" s="194">
        <v>0.68415239152009877</v>
      </c>
      <c r="N71" s="68">
        <v>1</v>
      </c>
      <c r="P71" s="69"/>
    </row>
    <row r="72" spans="2:57" ht="15">
      <c r="B72" s="34" t="s">
        <v>40</v>
      </c>
      <c r="C72" s="65"/>
      <c r="D72" s="76">
        <v>11.223996129656527</v>
      </c>
      <c r="E72" s="76">
        <v>11.016453256230184</v>
      </c>
      <c r="F72" s="66">
        <v>5.5</v>
      </c>
      <c r="G72" s="65"/>
      <c r="H72" s="76">
        <v>10.76956909379566</v>
      </c>
      <c r="I72" s="76">
        <v>12.536311479158377</v>
      </c>
      <c r="J72" s="66">
        <v>5.5</v>
      </c>
      <c r="K72" s="67"/>
      <c r="L72" s="194">
        <v>0.26637426900584799</v>
      </c>
      <c r="M72" s="194">
        <v>0.51633622959452352</v>
      </c>
      <c r="N72" s="68">
        <v>1</v>
      </c>
      <c r="P72" s="69"/>
    </row>
    <row r="73" spans="2:57" ht="15">
      <c r="B73" s="22" t="s">
        <v>33</v>
      </c>
      <c r="C73" s="65"/>
      <c r="D73" s="76">
        <v>3.7833827893175105</v>
      </c>
      <c r="E73" s="76">
        <v>4.6226456706805745</v>
      </c>
      <c r="F73" s="66">
        <v>3.3</v>
      </c>
      <c r="G73" s="65"/>
      <c r="H73" s="76">
        <v>3.7421885632627285</v>
      </c>
      <c r="I73" s="76">
        <v>4.4171317623593813</v>
      </c>
      <c r="J73" s="66">
        <v>3.3</v>
      </c>
      <c r="K73" s="67"/>
      <c r="L73" s="194">
        <v>0.68263157894736837</v>
      </c>
      <c r="M73" s="194">
        <v>0.83111215538847116</v>
      </c>
      <c r="N73" s="68">
        <v>1</v>
      </c>
      <c r="P73" s="69"/>
    </row>
    <row r="74" spans="2:57" ht="15">
      <c r="B74" s="35" t="s">
        <v>164</v>
      </c>
      <c r="C74" s="65"/>
      <c r="D74" s="76" t="e">
        <v>#DIV/0!</v>
      </c>
      <c r="E74" s="76">
        <v>7.837301587301579</v>
      </c>
      <c r="F74" s="66">
        <v>3.3</v>
      </c>
      <c r="G74" s="282"/>
      <c r="H74" s="76" t="e">
        <v>#DIV/0!</v>
      </c>
      <c r="I74" s="76">
        <v>5.3377569154690221</v>
      </c>
      <c r="J74" s="66">
        <v>3</v>
      </c>
      <c r="K74" s="67"/>
      <c r="L74" s="194" t="e">
        <v>#DIV/0!</v>
      </c>
      <c r="M74" s="194">
        <v>0.32596491228070179</v>
      </c>
      <c r="N74" s="68">
        <v>1</v>
      </c>
      <c r="P74" s="69"/>
    </row>
    <row r="75" spans="2:57" ht="15">
      <c r="B75" s="36" t="s">
        <v>15</v>
      </c>
      <c r="C75" s="65"/>
      <c r="D75" s="76" t="e">
        <v>#DIV/0!</v>
      </c>
      <c r="E75" s="76">
        <v>6.8851328044153277</v>
      </c>
      <c r="F75" s="70">
        <f>[21]May_2022!$M$43</f>
        <v>3.4878406700073312</v>
      </c>
      <c r="G75" s="282"/>
      <c r="H75" s="76" t="e">
        <v>#DIV/0!</v>
      </c>
      <c r="I75" s="76">
        <v>8.6614709463340702</v>
      </c>
      <c r="J75" s="66">
        <v>5.5</v>
      </c>
      <c r="K75" s="67"/>
      <c r="L75" s="194" t="e">
        <v>#DIV/0!</v>
      </c>
      <c r="M75" s="194">
        <v>0.73160818713450293</v>
      </c>
      <c r="N75" s="68">
        <v>1</v>
      </c>
      <c r="P75" s="69"/>
    </row>
    <row r="76" spans="2:57" ht="15">
      <c r="B76" s="37" t="s">
        <v>16</v>
      </c>
      <c r="C76" s="65"/>
      <c r="D76" s="76">
        <v>2.6328862394436081</v>
      </c>
      <c r="E76" s="76">
        <v>2.9297033255778997</v>
      </c>
      <c r="F76" s="66">
        <v>3.3</v>
      </c>
      <c r="G76" s="282"/>
      <c r="H76" s="76">
        <v>2.6328862394435983</v>
      </c>
      <c r="I76" s="76">
        <v>4.2684292436723528</v>
      </c>
      <c r="J76" s="66">
        <v>3.3</v>
      </c>
      <c r="K76" s="67"/>
      <c r="L76" s="194">
        <v>0.68771929824561406</v>
      </c>
      <c r="M76" s="194">
        <v>0.84660147761842675</v>
      </c>
      <c r="N76" s="71">
        <v>1</v>
      </c>
      <c r="P76" s="69"/>
    </row>
    <row r="77" spans="2:57" ht="15.75" thickBot="1">
      <c r="B77" s="38" t="s">
        <v>163</v>
      </c>
      <c r="C77" s="65"/>
      <c r="D77" s="76" t="e">
        <v>#DIV/0!</v>
      </c>
      <c r="E77" s="76">
        <v>11.483253588516746</v>
      </c>
      <c r="F77" s="66">
        <v>7.5</v>
      </c>
      <c r="G77" s="282"/>
      <c r="H77" s="76" t="e">
        <v>#DIV/0!</v>
      </c>
      <c r="I77" s="76">
        <v>9.7934336121043764</v>
      </c>
      <c r="J77" s="66">
        <v>7.5</v>
      </c>
      <c r="K77" s="67"/>
      <c r="L77" s="275" t="e">
        <v>#DIV/0!</v>
      </c>
      <c r="M77" s="194">
        <v>0.32456140350877194</v>
      </c>
      <c r="N77" s="71">
        <v>1</v>
      </c>
      <c r="P77" s="69"/>
    </row>
    <row r="78" spans="2:57" ht="15.75" thickBot="1">
      <c r="B78" s="414" t="s">
        <v>161</v>
      </c>
      <c r="C78" s="65"/>
      <c r="D78" s="76" t="e">
        <v>#DIV/0!</v>
      </c>
      <c r="E78" s="76">
        <v>7.2653644592663174</v>
      </c>
      <c r="F78" s="66">
        <v>4.8</v>
      </c>
      <c r="G78" s="282"/>
      <c r="H78" s="76" t="e">
        <v>#DIV/0!</v>
      </c>
      <c r="I78" s="76">
        <v>8.1715311054411259</v>
      </c>
      <c r="J78" s="66">
        <v>4.8</v>
      </c>
      <c r="K78" s="67"/>
      <c r="L78" s="194">
        <v>0</v>
      </c>
      <c r="M78" s="194">
        <v>0.51368421052631585</v>
      </c>
      <c r="N78" s="71">
        <v>1</v>
      </c>
      <c r="O78" s="74"/>
      <c r="P78" s="75"/>
    </row>
    <row r="79" spans="2:57" ht="15">
      <c r="D79" s="76">
        <v>5.9205828509914467</v>
      </c>
      <c r="E79" s="76">
        <v>6.1066625842172497</v>
      </c>
      <c r="F79" s="341">
        <v>5.5</v>
      </c>
      <c r="H79" s="76">
        <v>5.3777843434183144</v>
      </c>
      <c r="I79" s="76">
        <v>6.5593506135464414</v>
      </c>
      <c r="J79" s="341">
        <v>5.5</v>
      </c>
      <c r="L79" s="194">
        <v>0.49350694444444437</v>
      </c>
      <c r="M79" s="194">
        <v>0.70547423835125445</v>
      </c>
      <c r="N79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8:N28"/>
    <mergeCell ref="D29:E29"/>
    <mergeCell ref="B30:B41"/>
    <mergeCell ref="D30:E31"/>
    <mergeCell ref="D32:E33"/>
    <mergeCell ref="D34:E35"/>
    <mergeCell ref="D36:E37"/>
    <mergeCell ref="D38:E39"/>
    <mergeCell ref="D40:E41"/>
    <mergeCell ref="B42:B51"/>
    <mergeCell ref="D42:E43"/>
    <mergeCell ref="J42:K42"/>
    <mergeCell ref="L43:N43"/>
    <mergeCell ref="D44:E45"/>
    <mergeCell ref="D46:E47"/>
    <mergeCell ref="D48:E49"/>
    <mergeCell ref="D50:E51"/>
    <mergeCell ref="D52:E52"/>
    <mergeCell ref="B57:B58"/>
    <mergeCell ref="C57:C58"/>
    <mergeCell ref="D57:D58"/>
    <mergeCell ref="E57:E58"/>
    <mergeCell ref="M57:M58"/>
    <mergeCell ref="B68:F68"/>
    <mergeCell ref="G68:J68"/>
    <mergeCell ref="K68:N68"/>
    <mergeCell ref="G57:G58"/>
    <mergeCell ref="H57:H58"/>
    <mergeCell ref="I57:I58"/>
    <mergeCell ref="J57:J58"/>
    <mergeCell ref="K57:K58"/>
    <mergeCell ref="L57:L58"/>
    <mergeCell ref="F57:F58"/>
  </mergeCells>
  <conditionalFormatting sqref="B52:B53">
    <cfRule type="cellIs" dxfId="182" priority="42" operator="notBetween">
      <formula>#REF!</formula>
      <formula>#REF!</formula>
    </cfRule>
  </conditionalFormatting>
  <conditionalFormatting sqref="C56">
    <cfRule type="cellIs" dxfId="181" priority="190" stopIfTrue="1" operator="greaterThan">
      <formula>100</formula>
    </cfRule>
    <cfRule type="cellIs" dxfId="180" priority="189" stopIfTrue="1" operator="lessThan">
      <formula>96</formula>
    </cfRule>
  </conditionalFormatting>
  <conditionalFormatting sqref="C70:C74">
    <cfRule type="cellIs" dxfId="179" priority="143" stopIfTrue="1" operator="lessThanOrEqual">
      <formula>0</formula>
    </cfRule>
  </conditionalFormatting>
  <conditionalFormatting sqref="C70:C78">
    <cfRule type="cellIs" dxfId="178" priority="142" stopIfTrue="1" operator="greaterThan">
      <formula>$F70</formula>
    </cfRule>
  </conditionalFormatting>
  <conditionalFormatting sqref="C71">
    <cfRule type="cellIs" dxfId="177" priority="193" stopIfTrue="1" operator="greaterThan">
      <formula>$F70</formula>
    </cfRule>
  </conditionalFormatting>
  <conditionalFormatting sqref="C75">
    <cfRule type="cellIs" dxfId="176" priority="82" stopIfTrue="1" operator="lessThanOrEqual">
      <formula>0</formula>
    </cfRule>
    <cfRule type="cellIs" dxfId="175" priority="83" stopIfTrue="1" operator="greaterThan">
      <formula>$F74</formula>
    </cfRule>
  </conditionalFormatting>
  <conditionalFormatting sqref="C81:C85">
    <cfRule type="cellIs" dxfId="174" priority="181" stopIfTrue="1" operator="lessThanOrEqual">
      <formula>0</formula>
    </cfRule>
  </conditionalFormatting>
  <conditionalFormatting sqref="C82:C85">
    <cfRule type="cellIs" dxfId="173" priority="180" stopIfTrue="1" operator="greaterThan">
      <formula>$F$81</formula>
    </cfRule>
  </conditionalFormatting>
  <conditionalFormatting sqref="C87">
    <cfRule type="cellIs" dxfId="172" priority="183" stopIfTrue="1" operator="lessThanOrEqual">
      <formula>0</formula>
    </cfRule>
    <cfRule type="cellIs" dxfId="171" priority="182" stopIfTrue="1" operator="greaterThan">
      <formula>$F$81</formula>
    </cfRule>
  </conditionalFormatting>
  <conditionalFormatting sqref="C81:D81 D83:D89">
    <cfRule type="cellIs" dxfId="170" priority="175" stopIfTrue="1" operator="greaterThan">
      <formula>4.5</formula>
    </cfRule>
  </conditionalFormatting>
  <conditionalFormatting sqref="D52:D53">
    <cfRule type="cellIs" dxfId="169" priority="43" operator="notBetween">
      <formula>#REF!</formula>
      <formula>#REF!</formula>
    </cfRule>
  </conditionalFormatting>
  <conditionalFormatting sqref="D70:D77">
    <cfRule type="cellIs" dxfId="168" priority="155" stopIfTrue="1" operator="lessThanOrEqual">
      <formula>0</formula>
    </cfRule>
  </conditionalFormatting>
  <conditionalFormatting sqref="D78">
    <cfRule type="cellIs" dxfId="167" priority="154" stopIfTrue="1" operator="lessThanOrEqual">
      <formula>0</formula>
    </cfRule>
  </conditionalFormatting>
  <conditionalFormatting sqref="D81 D83:D89">
    <cfRule type="cellIs" dxfId="166" priority="176" stopIfTrue="1" operator="lessThanOrEqual">
      <formula>0</formula>
    </cfRule>
  </conditionalFormatting>
  <conditionalFormatting sqref="D82">
    <cfRule type="cellIs" dxfId="165" priority="167" stopIfTrue="1" operator="greaterThan">
      <formula>$F$81</formula>
    </cfRule>
    <cfRule type="cellIs" dxfId="164" priority="168" stopIfTrue="1" operator="lessThanOrEqual">
      <formula>0</formula>
    </cfRule>
  </conditionalFormatting>
  <conditionalFormatting sqref="D70:E79">
    <cfRule type="cellIs" dxfId="163" priority="140" stopIfTrue="1" operator="greaterThan">
      <formula>$F70</formula>
    </cfRule>
  </conditionalFormatting>
  <conditionalFormatting sqref="D79:E79">
    <cfRule type="cellIs" dxfId="162" priority="141" stopIfTrue="1" operator="lessThanOrEqual">
      <formula>0</formula>
    </cfRule>
  </conditionalFormatting>
  <conditionalFormatting sqref="E10:E27">
    <cfRule type="cellIs" dxfId="161" priority="35" operator="lessThan">
      <formula>48</formula>
    </cfRule>
  </conditionalFormatting>
  <conditionalFormatting sqref="E55 E56:F56">
    <cfRule type="cellIs" dxfId="160" priority="172" stopIfTrue="1" operator="greaterThan">
      <formula>100</formula>
    </cfRule>
  </conditionalFormatting>
  <conditionalFormatting sqref="E56">
    <cfRule type="cellIs" dxfId="159" priority="169" stopIfTrue="1" operator="lessThan">
      <formula>96.8</formula>
    </cfRule>
    <cfRule type="cellIs" dxfId="158" priority="170" stopIfTrue="1" operator="greaterThan">
      <formula>100</formula>
    </cfRule>
  </conditionalFormatting>
  <conditionalFormatting sqref="E70:E78">
    <cfRule type="cellIs" dxfId="157" priority="151" stopIfTrue="1" operator="lessThanOrEqual">
      <formula>0</formula>
    </cfRule>
  </conditionalFormatting>
  <conditionalFormatting sqref="E81:E89">
    <cfRule type="cellIs" dxfId="156" priority="162" stopIfTrue="1" operator="lessThanOrEqual">
      <formula>0</formula>
    </cfRule>
    <cfRule type="cellIs" dxfId="155" priority="161" stopIfTrue="1" operator="greaterThan">
      <formula>4.5</formula>
    </cfRule>
  </conditionalFormatting>
  <conditionalFormatting sqref="E56:F56 E55">
    <cfRule type="cellIs" dxfId="154" priority="171" stopIfTrue="1" operator="lessThan">
      <formula>96.5</formula>
    </cfRule>
  </conditionalFormatting>
  <conditionalFormatting sqref="F10:F27">
    <cfRule type="cellIs" dxfId="153" priority="36" operator="greaterThan">
      <formula>60</formula>
    </cfRule>
  </conditionalFormatting>
  <conditionalFormatting sqref="F56">
    <cfRule type="cellIs" dxfId="152" priority="188" stopIfTrue="1" operator="greaterThan">
      <formula>100</formula>
    </cfRule>
    <cfRule type="cellIs" dxfId="151" priority="187" stopIfTrue="1" operator="lessThan">
      <formula>96.8</formula>
    </cfRule>
  </conditionalFormatting>
  <conditionalFormatting sqref="F79">
    <cfRule type="cellIs" dxfId="150" priority="152" stopIfTrue="1" operator="greaterThan">
      <formula>$F79</formula>
    </cfRule>
    <cfRule type="cellIs" dxfId="149" priority="153" stopIfTrue="1" operator="lessThanOrEqual">
      <formula>0</formula>
    </cfRule>
  </conditionalFormatting>
  <conditionalFormatting sqref="G10:G26">
    <cfRule type="expression" dxfId="148" priority="2">
      <formula>IF(+(IF(G10&lt;S10,0,IF(G10&gt;T10,0,1)))=0,1)</formula>
    </cfRule>
  </conditionalFormatting>
  <conditionalFormatting sqref="G70:G71 C76:C78">
    <cfRule type="cellIs" dxfId="147" priority="157" stopIfTrue="1" operator="lessThanOrEqual">
      <formula>0</formula>
    </cfRule>
  </conditionalFormatting>
  <conditionalFormatting sqref="G70:G71">
    <cfRule type="cellIs" dxfId="146" priority="144" stopIfTrue="1" operator="greaterThan">
      <formula>$F70</formula>
    </cfRule>
    <cfRule type="cellIs" dxfId="145" priority="145" stopIfTrue="1" operator="lessThanOrEqual">
      <formula>0</formula>
    </cfRule>
    <cfRule type="cellIs" dxfId="144" priority="156" stopIfTrue="1" operator="greaterThan">
      <formula>$F70</formula>
    </cfRule>
  </conditionalFormatting>
  <conditionalFormatting sqref="G72">
    <cfRule type="cellIs" dxfId="143" priority="191" stopIfTrue="1" operator="greaterThan">
      <formula>$F71</formula>
    </cfRule>
    <cfRule type="cellIs" dxfId="142" priority="192" stopIfTrue="1" operator="lessThanOrEqual">
      <formula>0</formula>
    </cfRule>
  </conditionalFormatting>
  <conditionalFormatting sqref="G73">
    <cfRule type="cellIs" dxfId="141" priority="41" stopIfTrue="1" operator="lessThanOrEqual">
      <formula>0</formula>
    </cfRule>
    <cfRule type="cellIs" dxfId="140" priority="40" stopIfTrue="1" operator="greaterThan">
      <formula>$F73</formula>
    </cfRule>
    <cfRule type="cellIs" dxfId="139" priority="39" stopIfTrue="1" operator="lessThanOrEqual">
      <formula>0</formula>
    </cfRule>
    <cfRule type="cellIs" dxfId="138" priority="38" stopIfTrue="1" operator="greaterThan">
      <formula>$F73</formula>
    </cfRule>
  </conditionalFormatting>
  <conditionalFormatting sqref="G74:G78">
    <cfRule type="cellIs" dxfId="137" priority="159" stopIfTrue="1" operator="lessThanOrEqual">
      <formula>0</formula>
    </cfRule>
    <cfRule type="cellIs" dxfId="136" priority="158" stopIfTrue="1" operator="greaterThan">
      <formula>$J74</formula>
    </cfRule>
  </conditionalFormatting>
  <conditionalFormatting sqref="G83:G88 C86 C88">
    <cfRule type="cellIs" dxfId="135" priority="184" stopIfTrue="1" operator="greaterThan">
      <formula>4.5</formula>
    </cfRule>
    <cfRule type="cellIs" dxfId="134" priority="185" stopIfTrue="1" operator="lessThanOrEqual">
      <formula>0</formula>
    </cfRule>
  </conditionalFormatting>
  <conditionalFormatting sqref="G27:H27">
    <cfRule type="expression" dxfId="133" priority="37">
      <formula>IF(+(IF(G27&lt;#REF!,0,IF(G27&gt;#REF!,0,1)))=0,1)</formula>
    </cfRule>
  </conditionalFormatting>
  <conditionalFormatting sqref="G82:H82">
    <cfRule type="cellIs" dxfId="132" priority="165" stopIfTrue="1" operator="greaterThan">
      <formula>$F$81</formula>
    </cfRule>
    <cfRule type="cellIs" dxfId="131" priority="166" stopIfTrue="1" operator="lessThanOrEqual">
      <formula>0</formula>
    </cfRule>
  </conditionalFormatting>
  <conditionalFormatting sqref="H41:H42 H55">
    <cfRule type="cellIs" dxfId="130" priority="163" stopIfTrue="1" operator="greaterThan">
      <formula>0</formula>
    </cfRule>
  </conditionalFormatting>
  <conditionalFormatting sqref="H59">
    <cfRule type="cellIs" dxfId="129" priority="33" stopIfTrue="1" operator="greaterThan">
      <formula>$F$75</formula>
    </cfRule>
    <cfRule type="cellIs" dxfId="128" priority="32" stopIfTrue="1" operator="lessThanOrEqual">
      <formula>0</formula>
    </cfRule>
    <cfRule type="cellIs" dxfId="127" priority="31" stopIfTrue="1" operator="greaterThan">
      <formula>$F$77</formula>
    </cfRule>
    <cfRule type="cellIs" dxfId="126" priority="34" stopIfTrue="1" operator="lessThanOrEqual">
      <formula>0</formula>
    </cfRule>
    <cfRule type="cellIs" dxfId="125" priority="23" stopIfTrue="1" operator="greaterThan">
      <formula>$F$74</formula>
    </cfRule>
    <cfRule type="cellIs" dxfId="124" priority="22" stopIfTrue="1" operator="lessThanOrEqual">
      <formula>0</formula>
    </cfRule>
  </conditionalFormatting>
  <conditionalFormatting sqref="H60">
    <cfRule type="cellIs" dxfId="123" priority="109" stopIfTrue="1" operator="lessThanOrEqual">
      <formula>0</formula>
    </cfRule>
    <cfRule type="cellIs" dxfId="122" priority="108" stopIfTrue="1" operator="greaterThan">
      <formula>$F$28</formula>
    </cfRule>
    <cfRule type="cellIs" dxfId="121" priority="99" stopIfTrue="1" operator="lessThanOrEqual">
      <formula>0</formula>
    </cfRule>
    <cfRule type="cellIs" dxfId="120" priority="100" stopIfTrue="1" operator="greaterThan">
      <formula>#REF!</formula>
    </cfRule>
    <cfRule type="cellIs" dxfId="119" priority="111" stopIfTrue="1" operator="lessThanOrEqual">
      <formula>0</formula>
    </cfRule>
    <cfRule type="cellIs" dxfId="118" priority="110" stopIfTrue="1" operator="greaterThan">
      <formula>#REF!</formula>
    </cfRule>
  </conditionalFormatting>
  <conditionalFormatting sqref="H61">
    <cfRule type="cellIs" dxfId="117" priority="79" stopIfTrue="1" operator="lessThanOrEqual">
      <formula>0</formula>
    </cfRule>
    <cfRule type="cellIs" dxfId="116" priority="67" stopIfTrue="1" operator="lessThanOrEqual">
      <formula>0</formula>
    </cfRule>
    <cfRule type="cellIs" dxfId="115" priority="78" stopIfTrue="1" operator="greaterThan">
      <formula>$F$72</formula>
    </cfRule>
    <cfRule type="cellIs" dxfId="114" priority="77" stopIfTrue="1" operator="lessThanOrEqual">
      <formula>0</formula>
    </cfRule>
    <cfRule type="cellIs" dxfId="113" priority="76" stopIfTrue="1" operator="greaterThan">
      <formula>$F$74</formula>
    </cfRule>
    <cfRule type="cellIs" dxfId="112" priority="68" stopIfTrue="1" operator="greaterThan">
      <formula>$F$71</formula>
    </cfRule>
  </conditionalFormatting>
  <conditionalFormatting sqref="H62:H63">
    <cfRule type="cellIs" dxfId="111" priority="86" stopIfTrue="1" operator="greaterThan">
      <formula>#REF!</formula>
    </cfRule>
    <cfRule type="cellIs" dxfId="110" priority="96" stopIfTrue="1" operator="greaterThan">
      <formula>#REF!</formula>
    </cfRule>
    <cfRule type="cellIs" dxfId="109" priority="97" stopIfTrue="1" operator="lessThanOrEqual">
      <formula>0</formula>
    </cfRule>
    <cfRule type="cellIs" dxfId="108" priority="85" stopIfTrue="1" operator="lessThanOrEqual">
      <formula>0</formula>
    </cfRule>
    <cfRule type="cellIs" dxfId="107" priority="95" stopIfTrue="1" operator="lessThanOrEqual">
      <formula>0</formula>
    </cfRule>
    <cfRule type="cellIs" dxfId="106" priority="94" stopIfTrue="1" operator="greaterThan">
      <formula>$F$27</formula>
    </cfRule>
  </conditionalFormatting>
  <conditionalFormatting sqref="H64">
    <cfRule type="cellIs" dxfId="105" priority="115" stopIfTrue="1" operator="greaterThan">
      <formula>$F$40</formula>
    </cfRule>
    <cfRule type="cellIs" dxfId="104" priority="114" stopIfTrue="1" operator="lessThanOrEqual">
      <formula>0</formula>
    </cfRule>
    <cfRule type="cellIs" dxfId="103" priority="123" stopIfTrue="1" operator="greaterThan">
      <formula>$F$43</formula>
    </cfRule>
    <cfRule type="cellIs" dxfId="102" priority="124" stopIfTrue="1" operator="lessThanOrEqual">
      <formula>0</formula>
    </cfRule>
    <cfRule type="cellIs" dxfId="101" priority="126" stopIfTrue="1" operator="lessThanOrEqual">
      <formula>0</formula>
    </cfRule>
    <cfRule type="cellIs" dxfId="100" priority="125" stopIfTrue="1" operator="greaterThan">
      <formula>$F$41</formula>
    </cfRule>
  </conditionalFormatting>
  <conditionalFormatting sqref="H65:H66">
    <cfRule type="cellIs" dxfId="99" priority="63" stopIfTrue="1" operator="lessThanOrEqual">
      <formula>0</formula>
    </cfRule>
    <cfRule type="cellIs" dxfId="98" priority="65" stopIfTrue="1" operator="lessThanOrEqual">
      <formula>0</formula>
    </cfRule>
    <cfRule type="cellIs" dxfId="97" priority="62" stopIfTrue="1" operator="greaterThan">
      <formula>$F$27</formula>
    </cfRule>
    <cfRule type="cellIs" dxfId="96" priority="54" stopIfTrue="1" operator="greaterThan">
      <formula>#REF!</formula>
    </cfRule>
    <cfRule type="cellIs" dxfId="95" priority="53" stopIfTrue="1" operator="lessThanOrEqual">
      <formula>0</formula>
    </cfRule>
    <cfRule type="cellIs" dxfId="94" priority="64" stopIfTrue="1" operator="greaterThan">
      <formula>#REF!</formula>
    </cfRule>
  </conditionalFormatting>
  <conditionalFormatting sqref="H70:H77">
    <cfRule type="cellIs" dxfId="93" priority="146" stopIfTrue="1" operator="greaterThan">
      <formula>$J70</formula>
    </cfRule>
    <cfRule type="cellIs" dxfId="92" priority="147" stopIfTrue="1" operator="lessThanOrEqual">
      <formula>0</formula>
    </cfRule>
  </conditionalFormatting>
  <conditionalFormatting sqref="H78">
    <cfRule type="cellIs" dxfId="91" priority="148" operator="greaterThan">
      <formula>5.3</formula>
    </cfRule>
  </conditionalFormatting>
  <conditionalFormatting sqref="H81 H83:H89">
    <cfRule type="cellIs" dxfId="90" priority="178" stopIfTrue="1" operator="lessThanOrEqual">
      <formula>0</formula>
    </cfRule>
    <cfRule type="cellIs" dxfId="89" priority="177" stopIfTrue="1" operator="greaterThan">
      <formula>4.5</formula>
    </cfRule>
  </conditionalFormatting>
  <conditionalFormatting sqref="H59:I59">
    <cfRule type="cellIs" dxfId="88" priority="21" stopIfTrue="1" operator="greaterThan">
      <formula>$F$76</formula>
    </cfRule>
    <cfRule type="cellIs" dxfId="87" priority="24" stopIfTrue="1" operator="lessThanOrEqual">
      <formula>0</formula>
    </cfRule>
  </conditionalFormatting>
  <conditionalFormatting sqref="H60:I60">
    <cfRule type="cellIs" dxfId="86" priority="98" stopIfTrue="1" operator="greaterThan">
      <formula>$F$27</formula>
    </cfRule>
    <cfRule type="cellIs" dxfId="85" priority="101" stopIfTrue="1" operator="lessThanOrEqual">
      <formula>0</formula>
    </cfRule>
  </conditionalFormatting>
  <conditionalFormatting sqref="H61:I61">
    <cfRule type="cellIs" dxfId="84" priority="69" stopIfTrue="1" operator="lessThanOrEqual">
      <formula>0</formula>
    </cfRule>
    <cfRule type="cellIs" dxfId="83" priority="66" stopIfTrue="1" operator="greaterThan">
      <formula>$F$73</formula>
    </cfRule>
  </conditionalFormatting>
  <conditionalFormatting sqref="H62:I63">
    <cfRule type="cellIs" dxfId="82" priority="87" stopIfTrue="1" operator="lessThanOrEqual">
      <formula>0</formula>
    </cfRule>
    <cfRule type="cellIs" dxfId="81" priority="84" stopIfTrue="1" operator="greaterThan">
      <formula>#REF!</formula>
    </cfRule>
  </conditionalFormatting>
  <conditionalFormatting sqref="H64:I64">
    <cfRule type="cellIs" dxfId="80" priority="113" stopIfTrue="1" operator="greaterThan">
      <formula>$F$42</formula>
    </cfRule>
    <cfRule type="cellIs" dxfId="79" priority="116" stopIfTrue="1" operator="lessThanOrEqual">
      <formula>0</formula>
    </cfRule>
  </conditionalFormatting>
  <conditionalFormatting sqref="H65:I66">
    <cfRule type="cellIs" dxfId="78" priority="55" stopIfTrue="1" operator="lessThanOrEqual">
      <formula>0</formula>
    </cfRule>
    <cfRule type="cellIs" dxfId="77" priority="52" stopIfTrue="1" operator="greaterThan">
      <formula>#REF!</formula>
    </cfRule>
  </conditionalFormatting>
  <conditionalFormatting sqref="H79:I79">
    <cfRule type="cellIs" dxfId="76" priority="138" stopIfTrue="1" operator="greaterThan">
      <formula>$J79</formula>
    </cfRule>
    <cfRule type="cellIs" dxfId="75" priority="139" stopIfTrue="1" operator="lessThanOrEqual">
      <formula>0</formula>
    </cfRule>
  </conditionalFormatting>
  <conditionalFormatting sqref="I59">
    <cfRule type="cellIs" dxfId="74" priority="29" stopIfTrue="1" operator="greaterThan">
      <formula>$F$74</formula>
    </cfRule>
    <cfRule type="cellIs" dxfId="73" priority="30" stopIfTrue="1" operator="lessThanOrEqual">
      <formula>0</formula>
    </cfRule>
    <cfRule type="cellIs" dxfId="72" priority="28" stopIfTrue="1" operator="lessThanOrEqual">
      <formula>0</formula>
    </cfRule>
    <cfRule type="cellIs" dxfId="71" priority="26" stopIfTrue="1" operator="lessThanOrEqual">
      <formula>0</formula>
    </cfRule>
    <cfRule type="cellIs" dxfId="70" priority="25" stopIfTrue="1" operator="greaterThan">
      <formula>$F$74</formula>
    </cfRule>
    <cfRule type="cellIs" dxfId="69" priority="27" stopIfTrue="1" operator="greaterThan">
      <formula>$F$76</formula>
    </cfRule>
  </conditionalFormatting>
  <conditionalFormatting sqref="I60">
    <cfRule type="cellIs" dxfId="68" priority="104" stopIfTrue="1" operator="greaterThan">
      <formula>$F$27</formula>
    </cfRule>
    <cfRule type="cellIs" dxfId="67" priority="106" stopIfTrue="1" operator="greaterThan">
      <formula>#REF!</formula>
    </cfRule>
    <cfRule type="cellIs" dxfId="66" priority="107" stopIfTrue="1" operator="lessThanOrEqual">
      <formula>0</formula>
    </cfRule>
    <cfRule type="cellIs" dxfId="65" priority="102" stopIfTrue="1" operator="greaterThan">
      <formula>#REF!</formula>
    </cfRule>
    <cfRule type="cellIs" dxfId="64" priority="105" stopIfTrue="1" operator="lessThanOrEqual">
      <formula>0</formula>
    </cfRule>
    <cfRule type="cellIs" dxfId="63" priority="103" stopIfTrue="1" operator="lessThanOrEqual">
      <formula>0</formula>
    </cfRule>
  </conditionalFormatting>
  <conditionalFormatting sqref="I61">
    <cfRule type="cellIs" dxfId="62" priority="75" stopIfTrue="1" operator="lessThanOrEqual">
      <formula>0</formula>
    </cfRule>
    <cfRule type="cellIs" dxfId="61" priority="73" stopIfTrue="1" operator="lessThanOrEqual">
      <formula>0</formula>
    </cfRule>
    <cfRule type="cellIs" dxfId="60" priority="70" stopIfTrue="1" operator="greaterThan">
      <formula>$F$71</formula>
    </cfRule>
    <cfRule type="cellIs" dxfId="59" priority="72" stopIfTrue="1" operator="greaterThan">
      <formula>$F$73</formula>
    </cfRule>
    <cfRule type="cellIs" dxfId="58" priority="71" stopIfTrue="1" operator="lessThanOrEqual">
      <formula>0</formula>
    </cfRule>
    <cfRule type="cellIs" dxfId="57" priority="74" stopIfTrue="1" operator="greaterThan">
      <formula>$F$71</formula>
    </cfRule>
  </conditionalFormatting>
  <conditionalFormatting sqref="I62:I63">
    <cfRule type="cellIs" dxfId="56" priority="88" stopIfTrue="1" operator="greaterThan">
      <formula>#REF!</formula>
    </cfRule>
    <cfRule type="cellIs" dxfId="55" priority="92" stopIfTrue="1" operator="greaterThan">
      <formula>#REF!</formula>
    </cfRule>
    <cfRule type="cellIs" dxfId="54" priority="91" stopIfTrue="1" operator="lessThanOrEqual">
      <formula>0</formula>
    </cfRule>
    <cfRule type="cellIs" dxfId="53" priority="93" stopIfTrue="1" operator="lessThanOrEqual">
      <formula>0</formula>
    </cfRule>
    <cfRule type="cellIs" dxfId="52" priority="90" stopIfTrue="1" operator="greaterThan">
      <formula>#REF!</formula>
    </cfRule>
    <cfRule type="cellIs" dxfId="51" priority="89" stopIfTrue="1" operator="lessThanOrEqual">
      <formula>0</formula>
    </cfRule>
  </conditionalFormatting>
  <conditionalFormatting sqref="I64">
    <cfRule type="cellIs" dxfId="50" priority="119" stopIfTrue="1" operator="greaterThan">
      <formula>$F$42</formula>
    </cfRule>
    <cfRule type="cellIs" dxfId="49" priority="118" stopIfTrue="1" operator="lessThanOrEqual">
      <formula>0</formula>
    </cfRule>
    <cfRule type="cellIs" dxfId="48" priority="117" stopIfTrue="1" operator="greaterThan">
      <formula>$F$40</formula>
    </cfRule>
    <cfRule type="cellIs" dxfId="47" priority="122" stopIfTrue="1" operator="lessThanOrEqual">
      <formula>0</formula>
    </cfRule>
    <cfRule type="cellIs" dxfId="46" priority="121" stopIfTrue="1" operator="greaterThan">
      <formula>$F$40</formula>
    </cfRule>
    <cfRule type="cellIs" dxfId="45" priority="120" stopIfTrue="1" operator="lessThanOrEqual">
      <formula>0</formula>
    </cfRule>
  </conditionalFormatting>
  <conditionalFormatting sqref="I65:I66">
    <cfRule type="cellIs" dxfId="44" priority="61" stopIfTrue="1" operator="lessThanOrEqual">
      <formula>0</formula>
    </cfRule>
    <cfRule type="cellIs" dxfId="43" priority="56" stopIfTrue="1" operator="greaterThan">
      <formula>#REF!</formula>
    </cfRule>
    <cfRule type="cellIs" dxfId="42" priority="57" stopIfTrue="1" operator="lessThanOrEqual">
      <formula>0</formula>
    </cfRule>
    <cfRule type="cellIs" dxfId="41" priority="58" stopIfTrue="1" operator="greaterThan">
      <formula>#REF!</formula>
    </cfRule>
    <cfRule type="cellIs" dxfId="40" priority="59" stopIfTrue="1" operator="lessThanOrEqual">
      <formula>0</formula>
    </cfRule>
    <cfRule type="cellIs" dxfId="39" priority="60" stopIfTrue="1" operator="greaterThan">
      <formula>#REF!</formula>
    </cfRule>
  </conditionalFormatting>
  <conditionalFormatting sqref="I70:I78">
    <cfRule type="cellIs" dxfId="38" priority="150" stopIfTrue="1" operator="lessThanOrEqual">
      <formula>0</formula>
    </cfRule>
    <cfRule type="cellIs" dxfId="37" priority="149" stopIfTrue="1" operator="greaterThan">
      <formula>$J70</formula>
    </cfRule>
  </conditionalFormatting>
  <conditionalFormatting sqref="I81:I89">
    <cfRule type="cellIs" dxfId="36" priority="173" stopIfTrue="1" operator="greaterThan">
      <formula>4.5</formula>
    </cfRule>
    <cfRule type="cellIs" dxfId="35" priority="174" stopIfTrue="1" operator="lessThanOrEqual">
      <formula>0</formula>
    </cfRule>
  </conditionalFormatting>
  <conditionalFormatting sqref="I10:J27">
    <cfRule type="cellIs" dxfId="34" priority="14" operator="lessThan">
      <formula>97.9</formula>
    </cfRule>
  </conditionalFormatting>
  <conditionalFormatting sqref="J31:J32">
    <cfRule type="cellIs" dxfId="33" priority="128" stopIfTrue="1" operator="lessThan">
      <formula>96.8</formula>
    </cfRule>
    <cfRule type="cellIs" dxfId="32" priority="129" stopIfTrue="1" operator="greaterThan">
      <formula>100</formula>
    </cfRule>
    <cfRule type="cellIs" dxfId="31" priority="130" operator="lessThan">
      <formula>98</formula>
    </cfRule>
  </conditionalFormatting>
  <conditionalFormatting sqref="J31:J34">
    <cfRule type="cellIs" dxfId="30" priority="127" operator="lessThan">
      <formula>97.4</formula>
    </cfRule>
  </conditionalFormatting>
  <conditionalFormatting sqref="J35:J36">
    <cfRule type="cellIs" dxfId="29" priority="131" operator="lessThan">
      <formula>98</formula>
    </cfRule>
  </conditionalFormatting>
  <conditionalFormatting sqref="J37:J38">
    <cfRule type="cellIs" dxfId="28" priority="132" stopIfTrue="1" operator="lessThan">
      <formula>96.8</formula>
    </cfRule>
    <cfRule type="cellIs" dxfId="27" priority="133" stopIfTrue="1" operator="greaterThan">
      <formula>100</formula>
    </cfRule>
  </conditionalFormatting>
  <conditionalFormatting sqref="J37:J39">
    <cfRule type="cellIs" dxfId="26" priority="134" operator="lessThan">
      <formula>98</formula>
    </cfRule>
  </conditionalFormatting>
  <conditionalFormatting sqref="J66">
    <cfRule type="cellIs" dxfId="25" priority="48" stopIfTrue="1" operator="greaterThan">
      <formula>#REF!</formula>
    </cfRule>
    <cfRule type="cellIs" dxfId="24" priority="50" stopIfTrue="1" operator="greaterThan">
      <formula>#REF!</formula>
    </cfRule>
    <cfRule type="cellIs" dxfId="23" priority="46" stopIfTrue="1" operator="greaterThan">
      <formula>#REF!</formula>
    </cfRule>
    <cfRule type="cellIs" dxfId="22" priority="47" stopIfTrue="1" operator="lessThanOrEqual">
      <formula>0</formula>
    </cfRule>
    <cfRule type="cellIs" dxfId="21" priority="49" stopIfTrue="1" operator="lessThanOrEqual">
      <formula>0</formula>
    </cfRule>
    <cfRule type="cellIs" dxfId="20" priority="45" stopIfTrue="1" operator="lessThanOrEqual">
      <formula>0</formula>
    </cfRule>
    <cfRule type="cellIs" dxfId="19" priority="44" stopIfTrue="1" operator="greaterThan">
      <formula>#REF!</formula>
    </cfRule>
    <cfRule type="cellIs" dxfId="18" priority="51" stopIfTrue="1" operator="lessThanOrEqual">
      <formula>0</formula>
    </cfRule>
  </conditionalFormatting>
  <conditionalFormatting sqref="J79">
    <cfRule type="cellIs" dxfId="17" priority="135" stopIfTrue="1" operator="greaterThan">
      <formula>$F79</formula>
    </cfRule>
    <cfRule type="cellIs" dxfId="16" priority="136" stopIfTrue="1" operator="lessThanOrEqual">
      <formula>0</formula>
    </cfRule>
  </conditionalFormatting>
  <conditionalFormatting sqref="K10:K27">
    <cfRule type="cellIs" dxfId="15" priority="17" operator="greaterThan">
      <formula>6.4</formula>
    </cfRule>
    <cfRule type="cellIs" dxfId="14" priority="16" operator="lessThan">
      <formula>4</formula>
    </cfRule>
    <cfRule type="cellIs" dxfId="13" priority="15" operator="greaterThan">
      <formula>6</formula>
    </cfRule>
  </conditionalFormatting>
  <conditionalFormatting sqref="K59:K66 K70:N76 K77 M77:N77 K78:N78">
    <cfRule type="cellIs" dxfId="12" priority="112" stopIfTrue="1" operator="lessThan">
      <formula>100%</formula>
    </cfRule>
  </conditionalFormatting>
  <conditionalFormatting sqref="K81:K86">
    <cfRule type="cellIs" dxfId="11" priority="179" stopIfTrue="1" operator="lessThan">
      <formula>100%</formula>
    </cfRule>
  </conditionalFormatting>
  <conditionalFormatting sqref="K88:K89">
    <cfRule type="cellIs" dxfId="10" priority="186" stopIfTrue="1" operator="lessThan">
      <formula>100%</formula>
    </cfRule>
  </conditionalFormatting>
  <conditionalFormatting sqref="L10:L27">
    <cfRule type="cellIs" dxfId="9" priority="19" operator="greaterThan">
      <formula>65</formula>
    </cfRule>
    <cfRule type="cellIs" dxfId="8" priority="18" operator="between">
      <formula>61</formula>
      <formula>65</formula>
    </cfRule>
  </conditionalFormatting>
  <conditionalFormatting sqref="L30:M41">
    <cfRule type="cellIs" dxfId="7" priority="80" operator="lessThan">
      <formula>97.95</formula>
    </cfRule>
  </conditionalFormatting>
  <conditionalFormatting sqref="L45:N45">
    <cfRule type="cellIs" dxfId="6" priority="81" operator="notEqual">
      <formula>#REF!</formula>
    </cfRule>
  </conditionalFormatting>
  <conditionalFormatting sqref="L79:N79">
    <cfRule type="cellIs" dxfId="5" priority="137" stopIfTrue="1" operator="lessThan">
      <formula>100%</formula>
    </cfRule>
  </conditionalFormatting>
  <conditionalFormatting sqref="L81:N89">
    <cfRule type="cellIs" dxfId="4" priority="164" stopIfTrue="1" operator="lessThan">
      <formula>100%</formula>
    </cfRule>
  </conditionalFormatting>
  <conditionalFormatting sqref="M10:M26">
    <cfRule type="expression" dxfId="3" priority="1">
      <formula>IF(+(IF(M10&lt;U10,0,IF(M10&gt;V10,0,1)))=0,1)</formula>
    </cfRule>
  </conditionalFormatting>
  <conditionalFormatting sqref="M27:N27">
    <cfRule type="expression" dxfId="2" priority="194">
      <formula>IF(+(IF(M27&lt;#REF!,0,IF(M27&gt;#REF!,0,1)))=0,1)</formula>
    </cfRule>
  </conditionalFormatting>
  <conditionalFormatting sqref="N10:N26">
    <cfRule type="expression" dxfId="1" priority="3">
      <formula>IF(+(IF(N10&lt;W10,0,IF(N10&gt;X10,0,1)))=0,1)</formula>
    </cfRule>
  </conditionalFormatting>
  <conditionalFormatting sqref="P6">
    <cfRule type="cellIs" dxfId="0" priority="160" operator="greaterThanOrEqual">
      <formula>19</formula>
    </cfRule>
  </conditionalFormatting>
  <dataValidations count="1">
    <dataValidation type="list" allowBlank="1" showInputMessage="1" showErrorMessage="1" sqref="R8" xr:uid="{ACCD38C1-AFE7-4E23-9290-73D44D3BBB1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J56" sqref="J56:J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1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593" t="s">
        <v>58</v>
      </c>
      <c r="C2" s="593"/>
      <c r="D2" s="593"/>
      <c r="E2" s="593"/>
      <c r="F2" s="593"/>
      <c r="G2" s="593"/>
      <c r="H2" s="593"/>
      <c r="I2" s="593"/>
      <c r="J2" s="593"/>
      <c r="K2" s="593"/>
    </row>
    <row r="3" spans="2:14" ht="15.75" hidden="1" thickBot="1">
      <c r="B3" s="79"/>
    </row>
    <row r="4" spans="2:14" ht="13.5" hidden="1" thickBot="1">
      <c r="B4" s="78" t="s">
        <v>7</v>
      </c>
      <c r="C4" s="594">
        <v>41431</v>
      </c>
      <c r="D4" s="594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595" t="s">
        <v>17</v>
      </c>
      <c r="C8" s="597" t="s">
        <v>18</v>
      </c>
      <c r="D8" s="597" t="s">
        <v>59</v>
      </c>
      <c r="E8" s="80" t="s">
        <v>20</v>
      </c>
      <c r="F8" s="81" t="s">
        <v>21</v>
      </c>
      <c r="G8" s="597" t="s">
        <v>60</v>
      </c>
      <c r="H8" s="597" t="s">
        <v>61</v>
      </c>
      <c r="I8" s="599" t="s">
        <v>62</v>
      </c>
      <c r="J8" s="82" t="s">
        <v>25</v>
      </c>
      <c r="K8" s="601" t="s">
        <v>28</v>
      </c>
    </row>
    <row r="9" spans="2:14" ht="26.25" hidden="1" thickBot="1">
      <c r="B9" s="596"/>
      <c r="C9" s="598"/>
      <c r="D9" s="598"/>
      <c r="E9" s="83" t="s">
        <v>30</v>
      </c>
      <c r="F9" s="84" t="s">
        <v>63</v>
      </c>
      <c r="G9" s="598"/>
      <c r="H9" s="598"/>
      <c r="I9" s="600"/>
      <c r="J9" s="85" t="s">
        <v>32</v>
      </c>
      <c r="K9" s="602"/>
      <c r="L9" s="86"/>
      <c r="M9" s="86"/>
      <c r="N9" s="86"/>
    </row>
    <row r="10" spans="2:14" ht="13.5" hidden="1" thickBot="1">
      <c r="B10" s="87" t="s">
        <v>64</v>
      </c>
      <c r="C10" s="88" t="str">
        <f>[44]Brewhouse!A5359</f>
        <v>CA236</v>
      </c>
      <c r="D10" s="88">
        <f>[44]Brewhouse!B5359</f>
        <v>41437</v>
      </c>
      <c r="E10" s="89">
        <f>[44]Brewhouse!AG5359</f>
        <v>49.011000000000003</v>
      </c>
      <c r="F10" s="90">
        <f>[44]Brewhouse!T5359</f>
        <v>60</v>
      </c>
      <c r="G10" s="91">
        <f>[44]Brewhouse!I5359</f>
        <v>19.79</v>
      </c>
      <c r="H10" s="92">
        <f>[44]Brewhouse!AS5359</f>
        <v>94.981545664755075</v>
      </c>
      <c r="I10" s="92">
        <f>[44]Brewhouse!AT5359</f>
        <v>97.074072469002047</v>
      </c>
      <c r="J10" s="93">
        <f>[44]Brewhouse!S5359-[44]Brewhouse!R5359</f>
        <v>0.10694444444444451</v>
      </c>
      <c r="K10" s="94"/>
      <c r="N10" s="95"/>
    </row>
    <row r="11" spans="2:14" ht="13.5" hidden="1" thickBot="1">
      <c r="B11" s="96"/>
      <c r="C11" s="88" t="str">
        <f>[44]Brewhouse!A5360</f>
        <v>CA237</v>
      </c>
      <c r="D11" s="88">
        <f>[44]Brewhouse!B5360</f>
        <v>41437</v>
      </c>
      <c r="E11" s="89">
        <f>[44]Brewhouse!AG5360</f>
        <v>48.531999999999996</v>
      </c>
      <c r="F11" s="90">
        <f>[44]Brewhouse!T5360</f>
        <v>68</v>
      </c>
      <c r="G11" s="91">
        <f>[44]Brewhouse!I5360</f>
        <v>17.7</v>
      </c>
      <c r="H11" s="92">
        <f>[44]Brewhouse!AS5360</f>
        <v>94.053260986347809</v>
      </c>
      <c r="I11" s="92">
        <f>[44]Brewhouse!AT5360</f>
        <v>96.1253368644918</v>
      </c>
      <c r="J11" s="93">
        <f>[44]Brewhouse!S5360-[44]Brewhouse!R5360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[44]Brewhouse!A5361</f>
        <v>CA238</v>
      </c>
      <c r="D12" s="88">
        <f>[44]Brewhouse!B5361</f>
        <v>41437</v>
      </c>
      <c r="E12" s="89">
        <f>[44]Brewhouse!AG5361</f>
        <v>50.466999999999999</v>
      </c>
      <c r="F12" s="90">
        <f>[44]Brewhouse!T5361</f>
        <v>61</v>
      </c>
      <c r="G12" s="91">
        <f>[44]Brewhouse!I5361</f>
        <v>19.7</v>
      </c>
      <c r="H12" s="92">
        <f>[44]Brewhouse!AS5361</f>
        <v>96.931393272913695</v>
      </c>
      <c r="I12" s="92">
        <f>[44]Brewhouse!AT5361</f>
        <v>99.066876931102286</v>
      </c>
      <c r="J12" s="93">
        <f>[44]Brewhouse!S5361-[44]Brewhouse!R5361</f>
        <v>0.10208333333333341</v>
      </c>
      <c r="K12" s="98"/>
    </row>
    <row r="13" spans="2:14" ht="13.5" hidden="1" thickBot="1">
      <c r="B13" s="99"/>
      <c r="C13" s="88" t="str">
        <f>[44]Brewhouse!A5362</f>
        <v>CA239</v>
      </c>
      <c r="D13" s="88">
        <f>[44]Brewhouse!B5362</f>
        <v>41437</v>
      </c>
      <c r="E13" s="89">
        <f>[44]Brewhouse!AG5362</f>
        <v>49.374000000000002</v>
      </c>
      <c r="F13" s="90">
        <f>[44]Brewhouse!T5362</f>
        <v>62</v>
      </c>
      <c r="G13" s="91">
        <f>[44]Brewhouse!I5362</f>
        <v>19</v>
      </c>
      <c r="H13" s="92">
        <f>[44]Brewhouse!AS5362</f>
        <v>95.68502653795305</v>
      </c>
      <c r="I13" s="92">
        <f>[44]Brewhouse!AT5362</f>
        <v>97.793051643192499</v>
      </c>
      <c r="J13" s="93">
        <f>[44]Brewhouse!S5362-[44]Brewhouse!R5362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03" t="s">
        <v>69</v>
      </c>
      <c r="G21" s="604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[44]Brewhouse!N5359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[44]Brewhouse!N5360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[44]Brewhouse!N5361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[44]Brewhouse!N5362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AVERAGE([44]Brewhouse!$AS$5347:$AS$5362)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AVERAGE([45]Brewhouse!$AQ$641:$AQ$644)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AVERAGE([46]Brewhouse!$AU$708:$AU$711)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AVERAGE([47]Brewhouse!$AY$943:$AY$946)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595" t="s">
        <v>17</v>
      </c>
      <c r="C43" s="597" t="s">
        <v>18</v>
      </c>
      <c r="D43" s="597" t="s">
        <v>44</v>
      </c>
      <c r="E43" s="597" t="s">
        <v>79</v>
      </c>
      <c r="F43" s="597" t="s">
        <v>51</v>
      </c>
      <c r="G43" s="597" t="s">
        <v>48</v>
      </c>
      <c r="H43" s="612" t="s">
        <v>28</v>
      </c>
      <c r="I43" s="613"/>
      <c r="J43" s="613"/>
      <c r="K43" s="601" t="s">
        <v>27</v>
      </c>
    </row>
    <row r="44" spans="2:15" ht="15.75" hidden="1" customHeight="1" thickBot="1">
      <c r="B44" s="608"/>
      <c r="C44" s="609"/>
      <c r="D44" s="609"/>
      <c r="E44" s="609"/>
      <c r="F44" s="609"/>
      <c r="G44" s="609"/>
      <c r="H44" s="614"/>
      <c r="I44" s="615"/>
      <c r="J44" s="615"/>
      <c r="K44" s="605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6"/>
      <c r="I45" s="607"/>
      <c r="J45" s="607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6"/>
      <c r="I46" s="617"/>
      <c r="J46" s="617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6"/>
      <c r="I47" s="617"/>
      <c r="J47" s="617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6"/>
      <c r="I48" s="617"/>
      <c r="J48" s="617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10"/>
      <c r="I49" s="611"/>
      <c r="J49" s="611"/>
      <c r="K49" s="172"/>
    </row>
    <row r="50" spans="2:11" ht="13.5" hidden="1" thickBot="1">
      <c r="B50" s="173"/>
      <c r="C50" s="160"/>
      <c r="E50" s="168"/>
      <c r="F50" s="168"/>
      <c r="G50" s="145"/>
      <c r="H50" s="610"/>
      <c r="I50" s="611"/>
      <c r="J50" s="611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10"/>
      <c r="I51" s="611"/>
      <c r="J51" s="611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18"/>
      <c r="I52" s="619"/>
      <c r="J52" s="619"/>
      <c r="K52" s="183"/>
    </row>
    <row r="53" spans="2:11" ht="13.5" thickBot="1">
      <c r="B53" s="184"/>
      <c r="C53" s="117"/>
      <c r="D53" s="620" t="s">
        <v>80</v>
      </c>
      <c r="E53" s="620"/>
      <c r="F53" s="620"/>
      <c r="G53" s="620"/>
      <c r="H53" s="620"/>
      <c r="I53" s="620"/>
      <c r="J53" s="620"/>
      <c r="K53" s="185"/>
    </row>
    <row r="54" spans="2:11" ht="13.5" thickBot="1">
      <c r="B54" s="621" t="s">
        <v>55</v>
      </c>
      <c r="C54" s="622"/>
      <c r="D54" s="622"/>
      <c r="E54" s="623"/>
      <c r="F54" s="621" t="s">
        <v>56</v>
      </c>
      <c r="G54" s="622"/>
      <c r="H54" s="623"/>
      <c r="I54" s="624" t="s">
        <v>81</v>
      </c>
      <c r="J54" s="625"/>
      <c r="K54" s="626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>
        <f>[43]MTD!$E5</f>
        <v>6.109586969670791</v>
      </c>
      <c r="E56" s="192">
        <v>5</v>
      </c>
      <c r="F56" s="191"/>
      <c r="G56" s="76">
        <f>[41]November_2025!$AM3</f>
        <v>5.2902842747784167</v>
      </c>
      <c r="H56" s="192">
        <v>5</v>
      </c>
      <c r="I56" s="193"/>
      <c r="J56" s="194">
        <f>[42]November_2025!AN13</f>
        <v>0.44411549707602338</v>
      </c>
      <c r="K56" s="195">
        <v>1</v>
      </c>
    </row>
    <row r="57" spans="2:11" ht="15">
      <c r="B57" s="33" t="s">
        <v>72</v>
      </c>
      <c r="C57" s="191"/>
      <c r="D57" s="76">
        <f>[43]MTD!$E6</f>
        <v>5.1449592115944593</v>
      </c>
      <c r="E57" s="192">
        <v>5</v>
      </c>
      <c r="F57" s="191"/>
      <c r="G57" s="76">
        <f>[41]November_2025!$AM4</f>
        <v>3.9444720315936288</v>
      </c>
      <c r="H57" s="192">
        <v>5</v>
      </c>
      <c r="I57" s="196"/>
      <c r="J57" s="194">
        <f>[42]November_2025!AN14</f>
        <v>0.61002192982456138</v>
      </c>
      <c r="K57" s="195">
        <v>1</v>
      </c>
    </row>
    <row r="58" spans="2:11" ht="15">
      <c r="B58" s="34" t="s">
        <v>73</v>
      </c>
      <c r="C58" s="191"/>
      <c r="D58" s="76">
        <f>[43]MTD!$E7</f>
        <v>11.223996129656527</v>
      </c>
      <c r="E58" s="192">
        <v>5</v>
      </c>
      <c r="F58" s="191"/>
      <c r="G58" s="76">
        <f>[41]November_2025!$AM5</f>
        <v>10.76956909379566</v>
      </c>
      <c r="H58" s="192">
        <v>5</v>
      </c>
      <c r="I58" s="196"/>
      <c r="J58" s="194">
        <f>[42]November_2025!AN15</f>
        <v>0.26637426900584799</v>
      </c>
      <c r="K58" s="195">
        <v>1</v>
      </c>
    </row>
    <row r="59" spans="2:11" ht="15">
      <c r="B59" s="197" t="s">
        <v>74</v>
      </c>
      <c r="C59" s="191"/>
      <c r="D59" s="76">
        <f>[43]MTD!$E8</f>
        <v>3.7833827893175105</v>
      </c>
      <c r="E59" s="192">
        <v>3.5</v>
      </c>
      <c r="F59" s="191"/>
      <c r="G59" s="76">
        <f>[41]November_2025!$AM6</f>
        <v>3.7421885632627285</v>
      </c>
      <c r="H59" s="192">
        <v>3.5</v>
      </c>
      <c r="I59" s="196"/>
      <c r="J59" s="194">
        <f>[42]November_2025!AN16</f>
        <v>0.68263157894736837</v>
      </c>
      <c r="K59" s="195">
        <v>1</v>
      </c>
    </row>
    <row r="60" spans="2:11" ht="15.75" thickBot="1">
      <c r="B60" s="38" t="s">
        <v>160</v>
      </c>
      <c r="C60" s="191"/>
      <c r="D60" s="76" t="e">
        <f>[43]MTD!$E9</f>
        <v>#DIV/0!</v>
      </c>
      <c r="E60" s="192">
        <v>3.5</v>
      </c>
      <c r="F60" s="198"/>
      <c r="G60" s="76" t="e">
        <f>[41]November_2025!$AM7</f>
        <v>#DIV/0!</v>
      </c>
      <c r="H60" s="192">
        <v>3.5</v>
      </c>
      <c r="I60" s="196"/>
      <c r="J60" s="194" t="e">
        <f>[42]November_2025!AN17</f>
        <v>#DIV/0!</v>
      </c>
      <c r="K60" s="195">
        <v>1</v>
      </c>
    </row>
    <row r="61" spans="2:11" ht="15">
      <c r="B61" s="199" t="s">
        <v>76</v>
      </c>
      <c r="C61" s="191"/>
      <c r="D61" s="76" t="e">
        <f>[43]MTD!$E10</f>
        <v>#DIV/0!</v>
      </c>
      <c r="E61" s="200">
        <v>5</v>
      </c>
      <c r="F61" s="191"/>
      <c r="G61" s="76" t="e">
        <f>[41]November_2025!$AM8</f>
        <v>#DIV/0!</v>
      </c>
      <c r="H61" s="200">
        <v>5</v>
      </c>
      <c r="I61" s="196"/>
      <c r="J61" s="194" t="e">
        <f>[42]November_2025!AN18</f>
        <v>#DIV/0!</v>
      </c>
      <c r="K61" s="195">
        <v>1</v>
      </c>
    </row>
    <row r="62" spans="2:11" ht="15">
      <c r="B62" s="201" t="s">
        <v>82</v>
      </c>
      <c r="C62" s="202"/>
      <c r="D62" s="76">
        <f>[43]MTD!$E11</f>
        <v>2.6328862394436081</v>
      </c>
      <c r="E62" s="200">
        <v>3.3</v>
      </c>
      <c r="F62" s="202"/>
      <c r="G62" s="76" t="e">
        <f>[41]November_2025!$AM9</f>
        <v>#REF!</v>
      </c>
      <c r="H62" s="200">
        <v>3.3</v>
      </c>
      <c r="I62" s="203"/>
      <c r="J62" s="194" t="e">
        <f>[42]November_2025!AN19</f>
        <v>#REF!</v>
      </c>
      <c r="K62" s="204">
        <v>1</v>
      </c>
    </row>
    <row r="63" spans="2:11" ht="15.75" thickBot="1">
      <c r="B63" s="38" t="s">
        <v>128</v>
      </c>
      <c r="C63" s="205"/>
      <c r="D63" s="76" t="e">
        <f>[43]MTD!$E12</f>
        <v>#DIV/0!</v>
      </c>
      <c r="E63" s="206">
        <v>3.5</v>
      </c>
      <c r="F63" s="205"/>
      <c r="G63" s="76" t="e">
        <f>[41]November_2025!$AM10</f>
        <v>#DIV/0!</v>
      </c>
      <c r="H63" s="206">
        <v>3.5</v>
      </c>
      <c r="I63" s="207"/>
      <c r="J63" s="194" t="e">
        <f>[42]November_2025!AN20</f>
        <v>#DIV/0!</v>
      </c>
      <c r="K63" s="208">
        <v>1</v>
      </c>
    </row>
    <row r="64" spans="2:11" ht="15.75" thickBot="1">
      <c r="B64" s="413" t="s">
        <v>159</v>
      </c>
      <c r="C64" s="198"/>
      <c r="D64" s="76" t="e">
        <f>[43]MTD!$E13</f>
        <v>#DIV/0!</v>
      </c>
      <c r="E64" s="192">
        <v>5</v>
      </c>
      <c r="F64" s="198"/>
      <c r="G64" s="76" t="e">
        <f>[41]November_2025!$AM11</f>
        <v>#DIV/0!</v>
      </c>
      <c r="H64" s="192">
        <v>5</v>
      </c>
      <c r="I64" s="412"/>
      <c r="J64" s="194">
        <f>[42]November_2025!AN21</f>
        <v>0</v>
      </c>
      <c r="K64" s="208">
        <v>1</v>
      </c>
    </row>
    <row r="65" spans="2:11">
      <c r="B65" s="209"/>
      <c r="C65" s="210"/>
      <c r="D65" s="76">
        <f>[43]MTD!$E14</f>
        <v>5.9205828509914467</v>
      </c>
      <c r="E65" s="210"/>
      <c r="F65" s="210"/>
      <c r="G65" s="76" t="e">
        <f>[41]November_2025!$AM12</f>
        <v>#REF!</v>
      </c>
      <c r="H65" s="211"/>
      <c r="I65" s="212"/>
      <c r="J65" s="194" t="e">
        <f>[42]November_2025!AN22</f>
        <v>#REF!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4" zoomScale="115" zoomScaleNormal="115" workbookViewId="0">
      <selection activeCell="J56" sqref="J56:J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593" t="s">
        <v>58</v>
      </c>
      <c r="C2" s="593"/>
      <c r="D2" s="593"/>
      <c r="E2" s="593"/>
      <c r="F2" s="593"/>
      <c r="G2" s="593"/>
      <c r="H2" s="593"/>
      <c r="I2" s="593"/>
      <c r="J2" s="593"/>
      <c r="K2" s="593"/>
    </row>
    <row r="3" spans="2:14" ht="15.75" hidden="1" thickBot="1">
      <c r="B3" s="79"/>
    </row>
    <row r="4" spans="2:14" ht="13.5" hidden="1" thickBot="1">
      <c r="B4" s="78" t="s">
        <v>7</v>
      </c>
      <c r="C4" s="594">
        <v>41431</v>
      </c>
      <c r="D4" s="594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595" t="s">
        <v>17</v>
      </c>
      <c r="C8" s="597" t="s">
        <v>18</v>
      </c>
      <c r="D8" s="597" t="s">
        <v>59</v>
      </c>
      <c r="E8" s="80" t="s">
        <v>20</v>
      </c>
      <c r="F8" s="81" t="s">
        <v>21</v>
      </c>
      <c r="G8" s="597" t="s">
        <v>60</v>
      </c>
      <c r="H8" s="597" t="s">
        <v>61</v>
      </c>
      <c r="I8" s="599" t="s">
        <v>62</v>
      </c>
      <c r="J8" s="82" t="s">
        <v>25</v>
      </c>
      <c r="K8" s="601" t="s">
        <v>28</v>
      </c>
    </row>
    <row r="9" spans="2:14" ht="26.25" hidden="1" thickBot="1">
      <c r="B9" s="596"/>
      <c r="C9" s="598"/>
      <c r="D9" s="598"/>
      <c r="E9" s="83" t="s">
        <v>30</v>
      </c>
      <c r="F9" s="84" t="s">
        <v>63</v>
      </c>
      <c r="G9" s="598"/>
      <c r="H9" s="598"/>
      <c r="I9" s="600"/>
      <c r="J9" s="85" t="s">
        <v>32</v>
      </c>
      <c r="K9" s="602"/>
      <c r="L9" s="86"/>
      <c r="M9" s="86"/>
      <c r="N9" s="86"/>
    </row>
    <row r="10" spans="2:14" ht="13.5" hidden="1" thickBot="1">
      <c r="B10" s="87" t="s">
        <v>64</v>
      </c>
      <c r="C10" s="88" t="str">
        <f>[44]Brewhouse!A5359</f>
        <v>CA236</v>
      </c>
      <c r="D10" s="88">
        <f>[44]Brewhouse!B5359</f>
        <v>41437</v>
      </c>
      <c r="E10" s="89">
        <f>[44]Brewhouse!AG5359</f>
        <v>49.011000000000003</v>
      </c>
      <c r="F10" s="90">
        <f>[44]Brewhouse!T5359</f>
        <v>60</v>
      </c>
      <c r="G10" s="91">
        <f>[44]Brewhouse!I5359</f>
        <v>19.79</v>
      </c>
      <c r="H10" s="92">
        <f>[44]Brewhouse!AS5359</f>
        <v>94.981545664755075</v>
      </c>
      <c r="I10" s="92">
        <f>[44]Brewhouse!AT5359</f>
        <v>97.074072469002047</v>
      </c>
      <c r="J10" s="93">
        <f>[44]Brewhouse!S5359-[44]Brewhouse!R5359</f>
        <v>0.10694444444444451</v>
      </c>
      <c r="K10" s="94"/>
      <c r="N10" s="95"/>
    </row>
    <row r="11" spans="2:14" ht="13.5" hidden="1" thickBot="1">
      <c r="B11" s="96"/>
      <c r="C11" s="88" t="str">
        <f>[44]Brewhouse!A5360</f>
        <v>CA237</v>
      </c>
      <c r="D11" s="88">
        <f>[44]Brewhouse!B5360</f>
        <v>41437</v>
      </c>
      <c r="E11" s="89">
        <f>[44]Brewhouse!AG5360</f>
        <v>48.531999999999996</v>
      </c>
      <c r="F11" s="90">
        <f>[44]Brewhouse!T5360</f>
        <v>68</v>
      </c>
      <c r="G11" s="91">
        <f>[44]Brewhouse!I5360</f>
        <v>17.7</v>
      </c>
      <c r="H11" s="92">
        <f>[44]Brewhouse!AS5360</f>
        <v>94.053260986347809</v>
      </c>
      <c r="I11" s="92">
        <f>[44]Brewhouse!AT5360</f>
        <v>96.1253368644918</v>
      </c>
      <c r="J11" s="93">
        <f>[44]Brewhouse!S5360-[44]Brewhouse!R5360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[44]Brewhouse!A5361</f>
        <v>CA238</v>
      </c>
      <c r="D12" s="88">
        <f>[44]Brewhouse!B5361</f>
        <v>41437</v>
      </c>
      <c r="E12" s="89">
        <f>[44]Brewhouse!AG5361</f>
        <v>50.466999999999999</v>
      </c>
      <c r="F12" s="90">
        <f>[44]Brewhouse!T5361</f>
        <v>61</v>
      </c>
      <c r="G12" s="91">
        <f>[44]Brewhouse!I5361</f>
        <v>19.7</v>
      </c>
      <c r="H12" s="92">
        <f>[44]Brewhouse!AS5361</f>
        <v>96.931393272913695</v>
      </c>
      <c r="I12" s="92">
        <f>[44]Brewhouse!AT5361</f>
        <v>99.066876931102286</v>
      </c>
      <c r="J12" s="93">
        <f>[44]Brewhouse!S5361-[44]Brewhouse!R5361</f>
        <v>0.10208333333333341</v>
      </c>
      <c r="K12" s="98"/>
    </row>
    <row r="13" spans="2:14" ht="13.5" hidden="1" thickBot="1">
      <c r="B13" s="99"/>
      <c r="C13" s="88" t="str">
        <f>[44]Brewhouse!A5362</f>
        <v>CA239</v>
      </c>
      <c r="D13" s="88">
        <f>[44]Brewhouse!B5362</f>
        <v>41437</v>
      </c>
      <c r="E13" s="89">
        <f>[44]Brewhouse!AG5362</f>
        <v>49.374000000000002</v>
      </c>
      <c r="F13" s="90">
        <f>[44]Brewhouse!T5362</f>
        <v>62</v>
      </c>
      <c r="G13" s="91">
        <f>[44]Brewhouse!I5362</f>
        <v>19</v>
      </c>
      <c r="H13" s="92">
        <f>[44]Brewhouse!AS5362</f>
        <v>95.68502653795305</v>
      </c>
      <c r="I13" s="92">
        <f>[44]Brewhouse!AT5362</f>
        <v>97.793051643192499</v>
      </c>
      <c r="J13" s="93">
        <f>[44]Brewhouse!S5362-[44]Brewhouse!R5362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03" t="s">
        <v>69</v>
      </c>
      <c r="G21" s="604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[44]Brewhouse!N5359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[44]Brewhouse!N5360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[44]Brewhouse!N5361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[44]Brewhouse!N5362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AVERAGE([44]Brewhouse!$AS$5347:$AS$5362)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AVERAGE([45]Brewhouse!$AQ$641:$AQ$644)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AVERAGE([46]Brewhouse!$AU$708:$AU$711)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AVERAGE([47]Brewhouse!$AY$943:$AY$946)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595" t="s">
        <v>17</v>
      </c>
      <c r="C43" s="597" t="s">
        <v>18</v>
      </c>
      <c r="D43" s="597" t="s">
        <v>44</v>
      </c>
      <c r="E43" s="597" t="s">
        <v>79</v>
      </c>
      <c r="F43" s="597" t="s">
        <v>51</v>
      </c>
      <c r="G43" s="597" t="s">
        <v>48</v>
      </c>
      <c r="H43" s="612" t="s">
        <v>28</v>
      </c>
      <c r="I43" s="613"/>
      <c r="J43" s="613"/>
      <c r="K43" s="601" t="s">
        <v>27</v>
      </c>
    </row>
    <row r="44" spans="2:15" ht="15.75" hidden="1" customHeight="1" thickBot="1">
      <c r="B44" s="608"/>
      <c r="C44" s="609"/>
      <c r="D44" s="609"/>
      <c r="E44" s="609"/>
      <c r="F44" s="609"/>
      <c r="G44" s="609"/>
      <c r="H44" s="614"/>
      <c r="I44" s="615"/>
      <c r="J44" s="615"/>
      <c r="K44" s="605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6"/>
      <c r="I45" s="607"/>
      <c r="J45" s="607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6"/>
      <c r="I46" s="617"/>
      <c r="J46" s="617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6"/>
      <c r="I47" s="617"/>
      <c r="J47" s="617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6"/>
      <c r="I48" s="617"/>
      <c r="J48" s="617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10"/>
      <c r="I49" s="611"/>
      <c r="J49" s="611"/>
      <c r="K49" s="172"/>
    </row>
    <row r="50" spans="2:11" ht="13.5" hidden="1" thickBot="1">
      <c r="B50" s="173"/>
      <c r="C50" s="160"/>
      <c r="E50" s="168"/>
      <c r="F50" s="168"/>
      <c r="G50" s="145"/>
      <c r="H50" s="610"/>
      <c r="I50" s="611"/>
      <c r="J50" s="611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10"/>
      <c r="I51" s="611"/>
      <c r="J51" s="611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18"/>
      <c r="I52" s="619"/>
      <c r="J52" s="619"/>
      <c r="K52" s="183"/>
    </row>
    <row r="53" spans="2:11" ht="13.5" thickBot="1">
      <c r="B53" s="184"/>
      <c r="C53" s="117"/>
      <c r="D53" s="620" t="s">
        <v>80</v>
      </c>
      <c r="E53" s="620"/>
      <c r="F53" s="620"/>
      <c r="G53" s="620"/>
      <c r="H53" s="620"/>
      <c r="I53" s="620"/>
      <c r="J53" s="620"/>
      <c r="K53" s="185"/>
    </row>
    <row r="54" spans="2:11" ht="13.5" thickBot="1">
      <c r="B54" s="621" t="s">
        <v>55</v>
      </c>
      <c r="C54" s="622"/>
      <c r="D54" s="622"/>
      <c r="E54" s="623"/>
      <c r="F54" s="621" t="s">
        <v>56</v>
      </c>
      <c r="G54" s="622"/>
      <c r="H54" s="623"/>
      <c r="I54" s="624" t="s">
        <v>81</v>
      </c>
      <c r="J54" s="625"/>
      <c r="K54" s="626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'[43]YTD 2025'!$E5</f>
        <v>6.0721158785687495</v>
      </c>
      <c r="E56" s="192">
        <v>5</v>
      </c>
      <c r="F56" s="191"/>
      <c r="G56" s="76">
        <f>[41]November_2025!AP3</f>
        <v>6.0031253872166133</v>
      </c>
      <c r="H56" s="192">
        <v>5</v>
      </c>
      <c r="I56" s="193"/>
      <c r="J56" s="194">
        <f>[42]November_2025!AQ13</f>
        <v>0.73127050670791238</v>
      </c>
      <c r="K56" s="195">
        <v>1</v>
      </c>
    </row>
    <row r="57" spans="2:11" ht="15">
      <c r="B57" s="33" t="s">
        <v>72</v>
      </c>
      <c r="C57" s="191"/>
      <c r="D57" s="76">
        <f>'[43]YTD 2025'!$E6</f>
        <v>5.7025207923266077</v>
      </c>
      <c r="E57" s="192">
        <v>5</v>
      </c>
      <c r="F57" s="191"/>
      <c r="G57" s="76">
        <f>[41]November_2025!AP4</f>
        <v>6.2228279500853976</v>
      </c>
      <c r="H57" s="192">
        <v>5</v>
      </c>
      <c r="I57" s="196"/>
      <c r="J57" s="194">
        <f>[42]November_2025!AQ14</f>
        <v>0.68415239152009877</v>
      </c>
      <c r="K57" s="195">
        <v>1</v>
      </c>
    </row>
    <row r="58" spans="2:11" ht="15">
      <c r="B58" s="34" t="s">
        <v>73</v>
      </c>
      <c r="C58" s="191"/>
      <c r="D58" s="76">
        <f>'[43]YTD 2025'!$E7</f>
        <v>11.016453256230184</v>
      </c>
      <c r="E58" s="192">
        <v>5</v>
      </c>
      <c r="F58" s="191"/>
      <c r="G58" s="76">
        <f>[41]November_2025!AP5</f>
        <v>12.536311479158377</v>
      </c>
      <c r="H58" s="192">
        <v>5</v>
      </c>
      <c r="I58" s="196"/>
      <c r="J58" s="194">
        <f>[42]November_2025!AQ15</f>
        <v>0.51633622959452352</v>
      </c>
      <c r="K58" s="195">
        <v>1</v>
      </c>
    </row>
    <row r="59" spans="2:11" ht="15">
      <c r="B59" s="197" t="s">
        <v>74</v>
      </c>
      <c r="C59" s="191"/>
      <c r="D59" s="76">
        <f>'[43]YTD 2025'!$E8</f>
        <v>4.6226456706805745</v>
      </c>
      <c r="E59" s="192">
        <v>3.5</v>
      </c>
      <c r="F59" s="191"/>
      <c r="G59" s="76">
        <f>[41]November_2025!AP6</f>
        <v>4.4171317623593813</v>
      </c>
      <c r="H59" s="192">
        <v>3.5</v>
      </c>
      <c r="I59" s="196"/>
      <c r="J59" s="194">
        <f>[42]November_2025!AQ16</f>
        <v>0.83111215538847116</v>
      </c>
      <c r="K59" s="195">
        <v>1</v>
      </c>
    </row>
    <row r="60" spans="2:11" ht="15.75" thickBot="1">
      <c r="B60" s="38" t="s">
        <v>160</v>
      </c>
      <c r="C60" s="191"/>
      <c r="D60" s="76">
        <f>'[43]YTD 2025'!$E9</f>
        <v>7.837301587301579</v>
      </c>
      <c r="E60" s="192">
        <v>3.5</v>
      </c>
      <c r="F60" s="198"/>
      <c r="G60" s="76">
        <f>[41]November_2025!AP7</f>
        <v>5.3377569154690221</v>
      </c>
      <c r="H60" s="192">
        <v>3.5</v>
      </c>
      <c r="I60" s="196"/>
      <c r="J60" s="194">
        <f>[42]November_2025!AQ17</f>
        <v>0.32596491228070179</v>
      </c>
      <c r="K60" s="195">
        <v>1</v>
      </c>
    </row>
    <row r="61" spans="2:11" ht="15">
      <c r="B61" s="199" t="s">
        <v>76</v>
      </c>
      <c r="C61" s="191"/>
      <c r="D61" s="76">
        <f>'[43]YTD 2025'!$E10</f>
        <v>6.8851328044153277</v>
      </c>
      <c r="E61" s="200">
        <v>5</v>
      </c>
      <c r="F61" s="191"/>
      <c r="G61" s="76">
        <f>[41]November_2025!AP8</f>
        <v>8.6614709463340702</v>
      </c>
      <c r="H61" s="200">
        <v>5</v>
      </c>
      <c r="I61" s="196"/>
      <c r="J61" s="194">
        <f>[42]November_2025!AQ18</f>
        <v>0.73160818713450293</v>
      </c>
      <c r="K61" s="195">
        <v>1</v>
      </c>
    </row>
    <row r="62" spans="2:11" ht="15">
      <c r="B62" s="201" t="s">
        <v>82</v>
      </c>
      <c r="C62" s="202"/>
      <c r="D62" s="76">
        <f>'[43]YTD 2025'!$E11</f>
        <v>2.9297033255778997</v>
      </c>
      <c r="E62" s="200">
        <v>3.3</v>
      </c>
      <c r="F62" s="202"/>
      <c r="G62" s="76" t="e">
        <f>[41]November_2025!AP9</f>
        <v>#REF!</v>
      </c>
      <c r="H62" s="200">
        <v>3.3</v>
      </c>
      <c r="I62" s="203"/>
      <c r="J62" s="194" t="e">
        <f>[42]November_2025!AQ19</f>
        <v>#REF!</v>
      </c>
      <c r="K62" s="204">
        <v>1</v>
      </c>
    </row>
    <row r="63" spans="2:11" ht="15.75" thickBot="1">
      <c r="B63" s="38" t="s">
        <v>128</v>
      </c>
      <c r="C63" s="205"/>
      <c r="D63" s="76">
        <f>'[43]YTD 2025'!$E12</f>
        <v>11.483253588516746</v>
      </c>
      <c r="E63" s="206">
        <v>3.5</v>
      </c>
      <c r="F63" s="205"/>
      <c r="G63" s="76">
        <f>[41]November_2025!AP10</f>
        <v>9.7934336121043764</v>
      </c>
      <c r="H63" s="206">
        <v>3.5</v>
      </c>
      <c r="I63" s="207"/>
      <c r="J63" s="194">
        <f>[42]November_2025!AQ20</f>
        <v>0.32456140350877194</v>
      </c>
      <c r="K63" s="208">
        <v>1</v>
      </c>
    </row>
    <row r="64" spans="2:11" ht="15.75" thickBot="1">
      <c r="B64" s="413" t="s">
        <v>159</v>
      </c>
      <c r="C64" s="205"/>
      <c r="D64" s="76">
        <f>'[43]YTD 2025'!$E13</f>
        <v>7.2653644592663174</v>
      </c>
      <c r="E64" s="206">
        <v>5</v>
      </c>
      <c r="F64" s="205"/>
      <c r="G64" s="76">
        <f>[41]November_2025!AP11</f>
        <v>8.1715311054411259</v>
      </c>
      <c r="H64" s="206">
        <v>5</v>
      </c>
      <c r="I64" s="207"/>
      <c r="J64" s="194">
        <f>[42]November_2025!AQ21</f>
        <v>0.51368421052631585</v>
      </c>
      <c r="K64" s="208">
        <v>1</v>
      </c>
    </row>
    <row r="65" spans="2:11">
      <c r="B65" s="209"/>
      <c r="C65" s="210"/>
      <c r="D65" s="76">
        <f>'[43]YTD 2025'!$E14</f>
        <v>6.1066625842172497</v>
      </c>
      <c r="E65" s="210"/>
      <c r="F65" s="210"/>
      <c r="G65" s="76" t="e">
        <f>[41]November_2025!AP12</f>
        <v>#REF!</v>
      </c>
      <c r="H65" s="211"/>
      <c r="I65" s="212"/>
      <c r="J65" s="194" t="e">
        <f>[42]November_2025!AQ22</f>
        <v>#REF!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27" t="s">
        <v>34</v>
      </c>
      <c r="C2" s="627"/>
      <c r="D2" s="627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27" t="s">
        <v>100</v>
      </c>
      <c r="C14" s="627"/>
      <c r="D14" s="627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27" t="s">
        <v>101</v>
      </c>
      <c r="C27" s="627"/>
      <c r="D27" s="627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29" t="s">
        <v>102</v>
      </c>
      <c r="D3" s="630"/>
      <c r="E3" s="631">
        <f ca="1">TODAY()</f>
        <v>45999</v>
      </c>
      <c r="F3" s="631"/>
      <c r="G3" s="63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32" t="s">
        <v>143</v>
      </c>
      <c r="D14" s="632"/>
      <c r="E14" s="632"/>
      <c r="F14" s="632"/>
      <c r="G14" s="632"/>
      <c r="H14" s="632"/>
    </row>
    <row r="15" spans="3:23" ht="15" customHeight="1">
      <c r="C15" s="632"/>
      <c r="D15" s="632"/>
      <c r="E15" s="632"/>
      <c r="F15" s="632"/>
      <c r="G15" s="632"/>
      <c r="H15" s="632"/>
    </row>
    <row r="16" spans="3:23" ht="15" customHeight="1">
      <c r="C16" s="632"/>
      <c r="D16" s="632"/>
      <c r="E16" s="632"/>
      <c r="F16" s="632"/>
      <c r="G16" s="632"/>
      <c r="H16" s="632"/>
    </row>
    <row r="17" spans="3:8" ht="15" customHeight="1">
      <c r="C17" s="632"/>
      <c r="D17" s="632"/>
      <c r="E17" s="632"/>
      <c r="F17" s="632"/>
      <c r="G17" s="632"/>
      <c r="H17" s="632"/>
    </row>
    <row r="18" spans="3:8" ht="15" customHeight="1">
      <c r="C18" s="632"/>
      <c r="D18" s="632"/>
      <c r="E18" s="632"/>
      <c r="F18" s="632"/>
      <c r="G18" s="632"/>
      <c r="H18" s="632"/>
    </row>
    <row r="19" spans="3:8" ht="15" customHeight="1">
      <c r="C19" s="632"/>
      <c r="D19" s="632"/>
      <c r="E19" s="632"/>
      <c r="F19" s="632"/>
      <c r="G19" s="632"/>
      <c r="H19" s="632"/>
    </row>
    <row r="20" spans="3:8" ht="15" customHeight="1">
      <c r="C20" s="632"/>
      <c r="D20" s="632"/>
      <c r="E20" s="632"/>
      <c r="F20" s="632"/>
      <c r="G20" s="632"/>
      <c r="H20" s="632"/>
    </row>
    <row r="21" spans="3:8" ht="15" customHeight="1">
      <c r="C21" s="632"/>
      <c r="D21" s="632"/>
      <c r="E21" s="632"/>
      <c r="F21" s="632"/>
      <c r="G21" s="632"/>
      <c r="H21" s="632"/>
    </row>
    <row r="22" spans="3:8" ht="15" customHeight="1">
      <c r="C22" s="632"/>
      <c r="D22" s="632"/>
      <c r="E22" s="632"/>
      <c r="F22" s="632"/>
      <c r="G22" s="632"/>
      <c r="H22" s="632"/>
    </row>
    <row r="23" spans="3:8" ht="15" customHeight="1">
      <c r="C23" s="632"/>
      <c r="D23" s="632"/>
      <c r="E23" s="632"/>
      <c r="F23" s="632"/>
      <c r="G23" s="632"/>
      <c r="H23" s="632"/>
    </row>
    <row r="24" spans="3:8" ht="15" customHeight="1">
      <c r="C24" s="632"/>
      <c r="D24" s="632"/>
      <c r="E24" s="632"/>
      <c r="F24" s="632"/>
      <c r="G24" s="632"/>
      <c r="H24" s="632"/>
    </row>
    <row r="25" spans="3:8" ht="15" customHeight="1">
      <c r="C25" s="632"/>
      <c r="D25" s="632"/>
      <c r="E25" s="632"/>
      <c r="F25" s="632"/>
      <c r="G25" s="632"/>
      <c r="H25" s="632"/>
    </row>
    <row r="26" spans="3:8" ht="15" customHeight="1">
      <c r="C26" s="632"/>
      <c r="D26" s="632"/>
      <c r="E26" s="632"/>
      <c r="F26" s="632"/>
      <c r="G26" s="632"/>
      <c r="H26" s="632"/>
    </row>
    <row r="27" spans="3:8" ht="15" customHeight="1">
      <c r="C27" s="632"/>
      <c r="D27" s="632"/>
      <c r="E27" s="632"/>
      <c r="F27" s="632"/>
      <c r="G27" s="632"/>
      <c r="H27" s="632"/>
    </row>
    <row r="28" spans="3:8" ht="15" customHeight="1">
      <c r="C28" s="632"/>
      <c r="D28" s="632"/>
      <c r="E28" s="632"/>
      <c r="F28" s="632"/>
      <c r="G28" s="632"/>
      <c r="H28" s="632"/>
    </row>
    <row r="29" spans="3:8" ht="15" customHeight="1">
      <c r="C29" s="632"/>
      <c r="D29" s="632"/>
      <c r="E29" s="632"/>
      <c r="F29" s="632"/>
      <c r="G29" s="632"/>
      <c r="H29" s="632"/>
    </row>
    <row r="30" spans="3:8" ht="15" customHeight="1">
      <c r="C30" s="632"/>
      <c r="D30" s="632"/>
      <c r="E30" s="632"/>
      <c r="F30" s="632"/>
      <c r="G30" s="632"/>
      <c r="H30" s="632"/>
    </row>
    <row r="31" spans="3:8" ht="15" customHeight="1">
      <c r="C31" s="632"/>
      <c r="D31" s="632"/>
      <c r="E31" s="632"/>
      <c r="F31" s="632"/>
      <c r="G31" s="632"/>
      <c r="H31" s="632"/>
    </row>
    <row r="36" spans="2:17" ht="15" customHeight="1"/>
    <row r="37" spans="2:17" ht="15" customHeight="1"/>
    <row r="38" spans="2:17" ht="30.75" customHeight="1" thickBot="1">
      <c r="C38" s="633" t="s">
        <v>109</v>
      </c>
      <c r="D38" s="633"/>
      <c r="E38" s="633"/>
      <c r="F38" s="634">
        <f ca="1">TODAY()</f>
        <v>45999</v>
      </c>
      <c r="G38" s="634"/>
      <c r="H38" s="634"/>
      <c r="I38" s="634"/>
      <c r="J38" s="635" t="s">
        <v>110</v>
      </c>
      <c r="K38" s="635"/>
      <c r="L38" s="635"/>
      <c r="M38" s="635"/>
      <c r="N38" s="635"/>
      <c r="O38" s="635"/>
      <c r="P38" s="635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'[48]Brewer Performance'!D40</f>
        <v>96.507822129582451</v>
      </c>
      <c r="E40" s="259">
        <f>AVERAGE('[49]Feb. 1'!I12:I13,'[49]Feb. 2'!I11:I14,[49]Feb.4!I13,[49]Feb.8!I14:I16,[49]Feb.9!I14,[49]Feb.9!I17:I18,[49]Feb10!I13:I16,[49]Feb14!I17,[49]Feb14!I15:I17,[49]Feb17!I10,[49]Feb17!I19:I21,'[49]Feb 21'!I10:I12,'[49]Feb 22'!I11:I13,'[49]Feb 23'!I14:I16,'[49]Feb 24'!I10:I12,'[49]Feb 25'!I13:I15,'[49]Feb 28'!I15:I18)</f>
        <v>98.284801217583563</v>
      </c>
      <c r="F40" s="259">
        <v>98.226686244092193</v>
      </c>
      <c r="G40" s="259">
        <v>98.210530202427222</v>
      </c>
      <c r="H40" s="259">
        <f>'[50]Brewer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'[48]Brewer Performance'!D41</f>
        <v>97.99738587335284</v>
      </c>
      <c r="E41" s="259">
        <f>AVERAGE('[49]Feb. 1'!I10:I11,'[49]Feb. 2'!I10,[49]Feb.3!I11:I13,[49]Feb.4!I10:I12,[49]Feb.8!I10,[49]Feb.8!I13,[49]Feb.9!I10:I13,[49]Feb10!I10:I12,[49]Feb11!I11:I13,[49]Feb14!I13:I14,[49]Feb17!I16:I18,[49]Feb18!I13:I15,'[49]Feb 21'!I17:I19,'[49]Feb 22'!I10,'[49]Feb 22'!I20:I22,'[49]Feb 23'!I10:I11,'[49]Feb 23'!I21,'[49]Feb 25'!I10:I12,'[49]Feb 28'!I11:I14)</f>
        <v>97.918121549662388</v>
      </c>
      <c r="F41" s="259">
        <v>98.070081368185257</v>
      </c>
      <c r="G41" s="259">
        <v>97.79453968977019</v>
      </c>
      <c r="H41" s="259">
        <f>'[50]Brewer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'[48]Brewer Performance'!D43</f>
        <v>98.304611060419475</v>
      </c>
      <c r="E44" s="259">
        <f>AVERAGE('[49]Feb. 2'!I15,[49]Feb.3!I10,[49]Feb.4!I16:I17,[49]Feb.8!I19:I21,[49]Feb.9!I19:I20,[49]Feb10!I17:I18,[49]Feb11!I10,[49]Feb14!I10:I12,[49]Feb17!I11:I13,[49]Feb18!I10:I12,'[49]Feb 21'!I13,'[49]Feb 21'!I16,'[49]Feb 22'!I16:I19,'[49]Feb 23'!I17:I20,'[49]Feb 24'!I15:I18,'[49]Feb 25'!I16:I17,'[49]Feb 28'!I10,'[49]Feb 28'!I19:I20)</f>
        <v>97.289162940824014</v>
      </c>
      <c r="F44" s="259">
        <v>98.163642226187022</v>
      </c>
      <c r="G44" s="259">
        <v>97.964054285784258</v>
      </c>
      <c r="H44" s="259">
        <f>'[50]Brewer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'[48]Brewer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'[48]Brewer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28" t="s">
        <v>123</v>
      </c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8"/>
      <c r="P48" s="628"/>
      <c r="Q48" s="628"/>
    </row>
    <row r="49" spans="2:17" ht="15" customHeight="1"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8"/>
      <c r="P49" s="628"/>
      <c r="Q49" s="628"/>
    </row>
    <row r="50" spans="2:17" ht="15" customHeight="1"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8"/>
      <c r="P50" s="628"/>
      <c r="Q50" s="628"/>
    </row>
    <row r="51" spans="2:17" ht="15" customHeight="1"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8"/>
      <c r="P51" s="628"/>
      <c r="Q51" s="628"/>
    </row>
    <row r="52" spans="2:17" ht="15" customHeight="1">
      <c r="B52" s="628"/>
      <c r="C52" s="628"/>
      <c r="D52" s="628"/>
      <c r="E52" s="628"/>
      <c r="F52" s="628"/>
      <c r="G52" s="628"/>
      <c r="H52" s="628"/>
      <c r="I52" s="628"/>
      <c r="J52" s="628"/>
      <c r="K52" s="628"/>
      <c r="L52" s="628"/>
      <c r="M52" s="628"/>
      <c r="N52" s="628"/>
      <c r="O52" s="628"/>
      <c r="P52" s="628"/>
      <c r="Q52" s="628"/>
    </row>
    <row r="53" spans="2:17" ht="15" customHeight="1">
      <c r="B53" s="628"/>
      <c r="C53" s="628"/>
      <c r="D53" s="628"/>
      <c r="E53" s="628"/>
      <c r="F53" s="628"/>
      <c r="G53" s="628"/>
      <c r="H53" s="628"/>
      <c r="I53" s="628"/>
      <c r="J53" s="628"/>
      <c r="K53" s="628"/>
      <c r="L53" s="628"/>
      <c r="M53" s="628"/>
      <c r="N53" s="628"/>
      <c r="O53" s="628"/>
      <c r="P53" s="628"/>
      <c r="Q53" s="628"/>
    </row>
    <row r="54" spans="2:17" ht="15" customHeight="1">
      <c r="B54" s="628"/>
      <c r="C54" s="628"/>
      <c r="D54" s="628"/>
      <c r="E54" s="628"/>
      <c r="F54" s="628"/>
      <c r="G54" s="628"/>
      <c r="H54" s="628"/>
      <c r="I54" s="628"/>
      <c r="J54" s="628"/>
      <c r="K54" s="628"/>
      <c r="L54" s="628"/>
      <c r="M54" s="628"/>
      <c r="N54" s="628"/>
      <c r="O54" s="628"/>
      <c r="P54" s="628"/>
      <c r="Q54" s="628"/>
    </row>
    <row r="55" spans="2:17" ht="15" customHeight="1"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8"/>
      <c r="P55" s="628"/>
      <c r="Q55" s="628"/>
    </row>
    <row r="56" spans="2:17" ht="15" customHeight="1"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8"/>
      <c r="P56" s="628"/>
      <c r="Q56" s="628"/>
    </row>
    <row r="57" spans="2:17" ht="15" customHeight="1"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8"/>
      <c r="P57" s="628"/>
      <c r="Q57" s="628"/>
    </row>
    <row r="58" spans="2:17" ht="15" customHeight="1"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8"/>
      <c r="P58" s="628"/>
      <c r="Q58" s="628"/>
    </row>
    <row r="59" spans="2:17" ht="15" customHeight="1"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8"/>
      <c r="P59" s="628"/>
      <c r="Q59" s="628"/>
    </row>
    <row r="60" spans="2:17" ht="15" customHeight="1"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8"/>
      <c r="P60" s="628"/>
      <c r="Q60" s="628"/>
    </row>
    <row r="61" spans="2:17" ht="15" customHeight="1">
      <c r="B61" s="628"/>
      <c r="C61" s="628"/>
      <c r="D61" s="628"/>
      <c r="E61" s="628"/>
      <c r="F61" s="628"/>
      <c r="G61" s="628"/>
      <c r="H61" s="628"/>
      <c r="I61" s="628"/>
      <c r="J61" s="628"/>
      <c r="K61" s="628"/>
      <c r="L61" s="628"/>
      <c r="M61" s="628"/>
      <c r="N61" s="628"/>
      <c r="O61" s="628"/>
      <c r="P61" s="628"/>
      <c r="Q61" s="628"/>
    </row>
    <row r="62" spans="2:17" ht="15" customHeight="1">
      <c r="B62" s="628"/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8"/>
      <c r="N62" s="628"/>
      <c r="O62" s="628"/>
      <c r="P62" s="628"/>
      <c r="Q62" s="628"/>
    </row>
    <row r="63" spans="2:17" ht="15" customHeight="1"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8"/>
      <c r="P63" s="628"/>
      <c r="Q63" s="628"/>
    </row>
    <row r="64" spans="2:17" ht="15" customHeight="1"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8"/>
      <c r="P64" s="628"/>
      <c r="Q64" s="628"/>
    </row>
    <row r="65" spans="2:17" ht="15" customHeight="1">
      <c r="B65" s="628"/>
      <c r="C65" s="628"/>
      <c r="D65" s="628"/>
      <c r="E65" s="628"/>
      <c r="F65" s="628"/>
      <c r="G65" s="628"/>
      <c r="H65" s="628"/>
      <c r="I65" s="628"/>
      <c r="J65" s="628"/>
      <c r="K65" s="628"/>
      <c r="L65" s="628"/>
      <c r="M65" s="628"/>
      <c r="N65" s="628"/>
      <c r="O65" s="628"/>
      <c r="P65" s="628"/>
      <c r="Q65" s="628"/>
    </row>
    <row r="66" spans="2:17" ht="15" customHeight="1"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8"/>
      <c r="P66" s="628"/>
      <c r="Q66" s="628"/>
    </row>
    <row r="67" spans="2:17" ht="15" customHeight="1"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8"/>
      <c r="P67" s="628"/>
      <c r="Q67" s="628"/>
    </row>
    <row r="68" spans="2:17" ht="15" customHeight="1"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8"/>
      <c r="P68" s="628"/>
      <c r="Q68" s="628"/>
    </row>
    <row r="69" spans="2:17" ht="15" customHeight="1"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8"/>
      <c r="P69" s="628"/>
      <c r="Q69" s="628"/>
    </row>
    <row r="70" spans="2:17" ht="15" customHeight="1"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8"/>
      <c r="P70" s="628"/>
      <c r="Q70" s="628"/>
    </row>
    <row r="71" spans="2:17" ht="15" customHeight="1"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8"/>
      <c r="P71" s="628"/>
      <c r="Q71" s="628"/>
    </row>
    <row r="72" spans="2:17" ht="15" customHeight="1">
      <c r="B72" s="628"/>
      <c r="C72" s="628"/>
      <c r="D72" s="628"/>
      <c r="E72" s="628"/>
      <c r="F72" s="628"/>
      <c r="G72" s="628"/>
      <c r="H72" s="628"/>
      <c r="I72" s="628"/>
      <c r="J72" s="628"/>
      <c r="K72" s="628"/>
      <c r="L72" s="628"/>
      <c r="M72" s="628"/>
      <c r="N72" s="628"/>
      <c r="O72" s="628"/>
      <c r="P72" s="628"/>
      <c r="Q72" s="628"/>
    </row>
    <row r="73" spans="2:17" ht="15" customHeight="1">
      <c r="B73" s="628"/>
      <c r="C73" s="628"/>
      <c r="D73" s="628"/>
      <c r="E73" s="628"/>
      <c r="F73" s="628"/>
      <c r="G73" s="628"/>
      <c r="H73" s="628"/>
      <c r="I73" s="628"/>
      <c r="J73" s="628"/>
      <c r="K73" s="628"/>
      <c r="L73" s="628"/>
      <c r="M73" s="628"/>
      <c r="N73" s="628"/>
      <c r="O73" s="628"/>
      <c r="P73" s="628"/>
      <c r="Q73" s="628"/>
    </row>
    <row r="74" spans="2:17" ht="15" customHeight="1"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8"/>
      <c r="P74" s="628"/>
      <c r="Q74" s="628"/>
    </row>
    <row r="75" spans="2:17" ht="15" customHeight="1"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8"/>
      <c r="P75" s="628"/>
      <c r="Q75" s="628"/>
    </row>
    <row r="76" spans="2:17"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8"/>
      <c r="P76" s="628"/>
      <c r="Q76" s="628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3</vt:i4>
      </vt:variant>
    </vt:vector>
  </HeadingPairs>
  <TitlesOfParts>
    <vt:vector size="29" baseType="lpstr">
      <vt:lpstr>Dec 18th</vt:lpstr>
      <vt:lpstr>Nov.3rd</vt:lpstr>
      <vt:lpstr>Nov 4th</vt:lpstr>
      <vt:lpstr>Nov 5th</vt:lpstr>
      <vt:lpstr>Nov 6th </vt:lpstr>
      <vt:lpstr>Nov 7th-8th</vt:lpstr>
      <vt:lpstr>Nov 10th</vt:lpstr>
      <vt:lpstr>Nov 11th</vt:lpstr>
      <vt:lpstr>Nov 12th</vt:lpstr>
      <vt:lpstr>Nov 13th&amp; 14th</vt:lpstr>
      <vt:lpstr>Nov 15th</vt:lpstr>
      <vt:lpstr>Nov 17th</vt:lpstr>
      <vt:lpstr>Nov 18th</vt:lpstr>
      <vt:lpstr>Nov 19th </vt:lpstr>
      <vt:lpstr>Nov 20th</vt:lpstr>
      <vt:lpstr>Nov 21st</vt:lpstr>
      <vt:lpstr>Nov 22nd-23rd</vt:lpstr>
      <vt:lpstr>Nov 24th</vt:lpstr>
      <vt:lpstr>Nov 25th</vt:lpstr>
      <vt:lpstr>Nov 26th</vt:lpstr>
      <vt:lpstr>Nov 27th</vt:lpstr>
      <vt:lpstr>Nov 28th-30th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Kaylil Baptiste</cp:lastModifiedBy>
  <cp:lastPrinted>2024-01-26T11:36:30Z</cp:lastPrinted>
  <dcterms:created xsi:type="dcterms:W3CDTF">2020-01-28T18:21:11Z</dcterms:created>
  <dcterms:modified xsi:type="dcterms:W3CDTF">2025-12-08T13:27:34Z</dcterms:modified>
</cp:coreProperties>
</file>