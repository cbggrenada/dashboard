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elano\CBG SCTCM Reporting\2026 SCTCM Reporting\"/>
    </mc:Choice>
  </mc:AlternateContent>
  <xr:revisionPtr revIDLastSave="0" documentId="13_ncr:1_{1B39415A-03D6-4F6E-80D5-57C4FBC88B9D}" xr6:coauthVersionLast="47" xr6:coauthVersionMax="47" xr10:uidLastSave="{00000000-0000-0000-0000-000000000000}"/>
  <bookViews>
    <workbookView xWindow="-120" yWindow="-120" windowWidth="29040" windowHeight="15720" xr2:uid="{B978B739-B57B-4C3F-81A5-F80C1A6278C3}"/>
  </bookViews>
  <sheets>
    <sheet name="New MD September 26" sheetId="8" r:id="rId1"/>
    <sheet name="New MD August 26" sheetId="7" r:id="rId2"/>
    <sheet name="New MD July 26 " sheetId="6" r:id="rId3"/>
    <sheet name="New MD June 26" sheetId="5" r:id="rId4"/>
    <sheet name="New MD May 26" sheetId="4" r:id="rId5"/>
    <sheet name="New MD April 26" sheetId="3" r:id="rId6"/>
    <sheet name="New MD March 26" sheetId="2" r:id="rId7"/>
  </sheets>
  <definedNames>
    <definedName name="Apr">#REF!</definedName>
    <definedName name="Aug">#REF!</definedName>
    <definedName name="Dec">#REF!</definedName>
    <definedName name="Feb">#REF!</definedName>
    <definedName name="Jan">#REF!</definedName>
    <definedName name="July">#REF!</definedName>
    <definedName name="June">#REF!</definedName>
    <definedName name="Mar">#REF!</definedName>
    <definedName name="May">#REF!</definedName>
    <definedName name="Nov">#REF!</definedName>
    <definedName name="Oct">#REF!</definedName>
    <definedName name="_xlnm.Print_Area" localSheetId="1">'New MD August 26'!$A$1:$P$24</definedName>
    <definedName name="_xlnm.Print_Area" localSheetId="2">'New MD July 26 '!$A$1:$Q$25</definedName>
    <definedName name="_xlnm.Print_Area" localSheetId="0">'New MD September 26'!$A$1:$P$24</definedName>
    <definedName name="Sep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8" l="1"/>
  <c r="M13" i="8"/>
  <c r="N19" i="8"/>
  <c r="M9" i="8"/>
  <c r="M22" i="8"/>
  <c r="M21" i="8"/>
  <c r="M20" i="8"/>
  <c r="M19" i="8"/>
  <c r="M18" i="8"/>
  <c r="M17" i="8"/>
  <c r="M16" i="8"/>
  <c r="M15" i="8"/>
  <c r="M14" i="8"/>
  <c r="M12" i="8"/>
  <c r="M11" i="8"/>
  <c r="M10" i="8"/>
  <c r="G19" i="8"/>
  <c r="G22" i="8"/>
  <c r="G21" i="8"/>
  <c r="G20" i="8"/>
  <c r="G13" i="8"/>
  <c r="F14" i="8"/>
  <c r="O22" i="8" l="1"/>
  <c r="N22" i="8"/>
  <c r="H22" i="8"/>
  <c r="F22" i="8"/>
  <c r="O21" i="8"/>
  <c r="N21" i="8"/>
  <c r="H21" i="8"/>
  <c r="F21" i="8"/>
  <c r="O20" i="8"/>
  <c r="N20" i="8"/>
  <c r="H20" i="8"/>
  <c r="F20" i="8"/>
  <c r="O19" i="8"/>
  <c r="H19" i="8"/>
  <c r="F19" i="8"/>
  <c r="O18" i="8"/>
  <c r="N18" i="8"/>
  <c r="H18" i="8"/>
  <c r="F18" i="8"/>
  <c r="G18" i="8" s="1"/>
  <c r="O17" i="8"/>
  <c r="N17" i="8"/>
  <c r="H17" i="8"/>
  <c r="F17" i="8"/>
  <c r="G17" i="8" s="1"/>
  <c r="O16" i="8"/>
  <c r="N16" i="8"/>
  <c r="H16" i="8"/>
  <c r="F16" i="8"/>
  <c r="G16" i="8" s="1"/>
  <c r="O15" i="8"/>
  <c r="N15" i="8"/>
  <c r="H15" i="8"/>
  <c r="F15" i="8"/>
  <c r="G15" i="8" s="1"/>
  <c r="O14" i="8"/>
  <c r="N14" i="8"/>
  <c r="H14" i="8"/>
  <c r="G14" i="8"/>
  <c r="O13" i="8"/>
  <c r="H13" i="8"/>
  <c r="F13" i="8"/>
  <c r="O12" i="8"/>
  <c r="N12" i="8"/>
  <c r="H12" i="8"/>
  <c r="F12" i="8"/>
  <c r="G12" i="8" s="1"/>
  <c r="O11" i="8"/>
  <c r="N11" i="8"/>
  <c r="H11" i="8"/>
  <c r="F11" i="8"/>
  <c r="G11" i="8" s="1"/>
  <c r="O10" i="8"/>
  <c r="N10" i="8"/>
  <c r="H10" i="8"/>
  <c r="F10" i="8"/>
  <c r="G10" i="8" s="1"/>
  <c r="O9" i="8"/>
  <c r="N9" i="8"/>
  <c r="H9" i="8"/>
  <c r="F9" i="8"/>
  <c r="G9" i="8" s="1"/>
  <c r="O18" i="7"/>
  <c r="H18" i="7"/>
  <c r="M18" i="7" l="1"/>
  <c r="N18" i="7"/>
  <c r="F18" i="7" l="1"/>
  <c r="G18" i="7" s="1"/>
  <c r="F22" i="7"/>
  <c r="O22" i="7"/>
  <c r="H9" i="7"/>
  <c r="H22" i="7"/>
  <c r="H21" i="7"/>
  <c r="H20" i="7"/>
  <c r="H19" i="7"/>
  <c r="H17" i="7"/>
  <c r="H16" i="7"/>
  <c r="H15" i="7"/>
  <c r="H14" i="7"/>
  <c r="H13" i="7"/>
  <c r="H12" i="7"/>
  <c r="H11" i="7"/>
  <c r="H10" i="7"/>
  <c r="I18" i="4"/>
  <c r="H16" i="4"/>
  <c r="I12" i="4"/>
  <c r="I21" i="4"/>
  <c r="I20" i="4"/>
  <c r="I19" i="4"/>
  <c r="I17" i="4"/>
  <c r="I16" i="4"/>
  <c r="I15" i="4"/>
  <c r="I14" i="4"/>
  <c r="I13" i="4"/>
  <c r="I11" i="4"/>
  <c r="I10" i="4"/>
  <c r="I9" i="4"/>
  <c r="P17" i="5"/>
  <c r="I18" i="5"/>
  <c r="I18" i="6"/>
  <c r="F19" i="7"/>
  <c r="G19" i="7"/>
  <c r="M17" i="7" l="1"/>
  <c r="M22" i="7" l="1"/>
  <c r="N22" i="7" s="1"/>
  <c r="G22" i="7"/>
  <c r="O21" i="7"/>
  <c r="M21" i="7"/>
  <c r="N21" i="7" s="1"/>
  <c r="F21" i="7"/>
  <c r="G21" i="7" s="1"/>
  <c r="O20" i="7"/>
  <c r="M20" i="7"/>
  <c r="N20" i="7" s="1"/>
  <c r="F20" i="7"/>
  <c r="G20" i="7" s="1"/>
  <c r="O19" i="7"/>
  <c r="M19" i="7"/>
  <c r="N19" i="7" s="1"/>
  <c r="O17" i="7"/>
  <c r="N17" i="7"/>
  <c r="F17" i="7"/>
  <c r="G17" i="7" s="1"/>
  <c r="O16" i="7"/>
  <c r="M16" i="7"/>
  <c r="N16" i="7" s="1"/>
  <c r="F16" i="7"/>
  <c r="G16" i="7" s="1"/>
  <c r="O15" i="7"/>
  <c r="M15" i="7"/>
  <c r="N15" i="7" s="1"/>
  <c r="F15" i="7"/>
  <c r="G15" i="7" s="1"/>
  <c r="O14" i="7"/>
  <c r="M14" i="7"/>
  <c r="N14" i="7" s="1"/>
  <c r="F14" i="7"/>
  <c r="G14" i="7" s="1"/>
  <c r="O13" i="7"/>
  <c r="M13" i="7"/>
  <c r="N13" i="7" s="1"/>
  <c r="F13" i="7"/>
  <c r="G13" i="7" s="1"/>
  <c r="O12" i="7"/>
  <c r="M12" i="7"/>
  <c r="N12" i="7" s="1"/>
  <c r="F12" i="7"/>
  <c r="G12" i="7" s="1"/>
  <c r="O11" i="7"/>
  <c r="M11" i="7"/>
  <c r="N11" i="7" s="1"/>
  <c r="F11" i="7"/>
  <c r="G11" i="7" s="1"/>
  <c r="O10" i="7"/>
  <c r="M10" i="7"/>
  <c r="N10" i="7" s="1"/>
  <c r="F10" i="7"/>
  <c r="G10" i="7" s="1"/>
  <c r="O9" i="7"/>
  <c r="M9" i="7"/>
  <c r="N9" i="7" s="1"/>
  <c r="F9" i="7"/>
  <c r="G9" i="7" s="1"/>
  <c r="I17" i="6"/>
  <c r="P9" i="6"/>
  <c r="O9" i="6"/>
  <c r="N9" i="6"/>
  <c r="G18" i="6"/>
  <c r="G16" i="6"/>
  <c r="P21" i="6" l="1"/>
  <c r="N21" i="6"/>
  <c r="O21" i="6" s="1"/>
  <c r="I21" i="6"/>
  <c r="G21" i="6"/>
  <c r="H21" i="6" s="1"/>
  <c r="P20" i="6"/>
  <c r="N20" i="6"/>
  <c r="O20" i="6" s="1"/>
  <c r="I20" i="6"/>
  <c r="G20" i="6"/>
  <c r="H20" i="6" s="1"/>
  <c r="P19" i="6"/>
  <c r="N19" i="6"/>
  <c r="O19" i="6" s="1"/>
  <c r="I19" i="6"/>
  <c r="G19" i="6"/>
  <c r="H19" i="6" s="1"/>
  <c r="P18" i="6"/>
  <c r="N18" i="6"/>
  <c r="O18" i="6" s="1"/>
  <c r="P17" i="6"/>
  <c r="N17" i="6"/>
  <c r="O17" i="6" s="1"/>
  <c r="G17" i="6"/>
  <c r="H17" i="6" s="1"/>
  <c r="P16" i="6"/>
  <c r="N16" i="6"/>
  <c r="O16" i="6" s="1"/>
  <c r="I16" i="6"/>
  <c r="H16" i="6"/>
  <c r="P15" i="6"/>
  <c r="N15" i="6"/>
  <c r="O15" i="6" s="1"/>
  <c r="I15" i="6"/>
  <c r="G15" i="6"/>
  <c r="H15" i="6" s="1"/>
  <c r="P14" i="6"/>
  <c r="N14" i="6"/>
  <c r="O14" i="6" s="1"/>
  <c r="I14" i="6"/>
  <c r="G14" i="6"/>
  <c r="H14" i="6" s="1"/>
  <c r="P13" i="6"/>
  <c r="N13" i="6"/>
  <c r="O13" i="6" s="1"/>
  <c r="I13" i="6"/>
  <c r="G13" i="6"/>
  <c r="H13" i="6" s="1"/>
  <c r="P12" i="6"/>
  <c r="N12" i="6"/>
  <c r="O12" i="6" s="1"/>
  <c r="I12" i="6"/>
  <c r="G12" i="6"/>
  <c r="H12" i="6" s="1"/>
  <c r="P11" i="6"/>
  <c r="N11" i="6"/>
  <c r="O11" i="6" s="1"/>
  <c r="I11" i="6"/>
  <c r="G11" i="6"/>
  <c r="H11" i="6" s="1"/>
  <c r="P10" i="6"/>
  <c r="N10" i="6"/>
  <c r="O10" i="6" s="1"/>
  <c r="I10" i="6"/>
  <c r="G10" i="6"/>
  <c r="H10" i="6" s="1"/>
  <c r="I9" i="6"/>
  <c r="G9" i="6"/>
  <c r="H9" i="6" s="1"/>
  <c r="P18" i="5"/>
  <c r="I11" i="5"/>
  <c r="I13" i="5"/>
  <c r="G13" i="5"/>
  <c r="I9" i="5"/>
  <c r="H18" i="6" l="1"/>
  <c r="O18" i="5"/>
  <c r="N18" i="5"/>
  <c r="P12" i="5"/>
  <c r="P11" i="5"/>
  <c r="P10" i="5"/>
  <c r="P9" i="5"/>
  <c r="H9" i="5"/>
  <c r="H18" i="5"/>
  <c r="H18" i="4"/>
  <c r="G21" i="5"/>
  <c r="G20" i="5"/>
  <c r="G19" i="5"/>
  <c r="G18" i="5"/>
  <c r="G17" i="5"/>
  <c r="G16" i="5"/>
  <c r="G15" i="5"/>
  <c r="G14" i="5"/>
  <c r="G12" i="5"/>
  <c r="G11" i="5"/>
  <c r="G10" i="5"/>
  <c r="G9" i="5"/>
  <c r="N21" i="5"/>
  <c r="N20" i="5"/>
  <c r="N19" i="5"/>
  <c r="N14" i="5"/>
  <c r="N9" i="5"/>
  <c r="N10" i="5"/>
  <c r="N11" i="5"/>
  <c r="N12" i="5"/>
  <c r="N13" i="5"/>
  <c r="N15" i="5"/>
  <c r="N16" i="5"/>
  <c r="N17" i="5"/>
  <c r="P21" i="5" l="1"/>
  <c r="O21" i="5"/>
  <c r="I21" i="5"/>
  <c r="H21" i="5"/>
  <c r="P20" i="5"/>
  <c r="O20" i="5"/>
  <c r="I20" i="5"/>
  <c r="H20" i="5"/>
  <c r="P19" i="5"/>
  <c r="O19" i="5"/>
  <c r="I19" i="5"/>
  <c r="H19" i="5"/>
  <c r="O17" i="5"/>
  <c r="I17" i="5"/>
  <c r="H17" i="5"/>
  <c r="P16" i="5"/>
  <c r="O16" i="5"/>
  <c r="I16" i="5"/>
  <c r="H16" i="5"/>
  <c r="P15" i="5"/>
  <c r="O15" i="5"/>
  <c r="I15" i="5"/>
  <c r="H15" i="5"/>
  <c r="P14" i="5"/>
  <c r="O14" i="5"/>
  <c r="I14" i="5"/>
  <c r="H14" i="5"/>
  <c r="P13" i="5"/>
  <c r="O13" i="5"/>
  <c r="H13" i="5"/>
  <c r="O12" i="5"/>
  <c r="I12" i="5"/>
  <c r="H12" i="5"/>
  <c r="O11" i="5"/>
  <c r="H11" i="5"/>
  <c r="O10" i="5"/>
  <c r="I10" i="5"/>
  <c r="H10" i="5"/>
  <c r="O9" i="5"/>
  <c r="O20" i="4"/>
  <c r="P20" i="4"/>
  <c r="N20" i="4"/>
  <c r="H20" i="4"/>
  <c r="G20" i="4"/>
  <c r="G19" i="4"/>
  <c r="P19" i="4"/>
  <c r="P18" i="4"/>
  <c r="P17" i="4"/>
  <c r="P16" i="4"/>
  <c r="P15" i="4"/>
  <c r="P14" i="4"/>
  <c r="P13" i="4"/>
  <c r="P11" i="4"/>
  <c r="P12" i="4"/>
  <c r="P10" i="4"/>
  <c r="P9" i="4"/>
  <c r="O9" i="4"/>
  <c r="O10" i="4"/>
  <c r="O11" i="4"/>
  <c r="N19" i="4"/>
  <c r="N18" i="4"/>
  <c r="N17" i="4"/>
  <c r="N16" i="4"/>
  <c r="O16" i="4" s="1"/>
  <c r="N15" i="4"/>
  <c r="N14" i="4"/>
  <c r="N13" i="4"/>
  <c r="N9" i="4"/>
  <c r="N10" i="4"/>
  <c r="N11" i="4"/>
  <c r="N12" i="4"/>
  <c r="G18" i="4"/>
  <c r="G17" i="4"/>
  <c r="G16" i="4"/>
  <c r="G14" i="4"/>
  <c r="G15" i="4"/>
  <c r="G13" i="4"/>
  <c r="G12" i="4"/>
  <c r="G11" i="4"/>
  <c r="G9" i="4"/>
  <c r="G10" i="4"/>
  <c r="P21" i="4"/>
  <c r="N21" i="4"/>
  <c r="O21" i="4"/>
  <c r="O19" i="4"/>
  <c r="O18" i="4"/>
  <c r="O17" i="4"/>
  <c r="O15" i="4"/>
  <c r="O14" i="4"/>
  <c r="O13" i="4"/>
  <c r="O12" i="4"/>
  <c r="I9" i="3"/>
  <c r="I9" i="2"/>
  <c r="G21" i="4"/>
  <c r="H9" i="3"/>
  <c r="H11" i="4"/>
  <c r="H10" i="4"/>
  <c r="H9" i="4"/>
  <c r="H21" i="4"/>
  <c r="H19" i="4"/>
  <c r="H17" i="4"/>
  <c r="H15" i="4"/>
  <c r="H14" i="4"/>
  <c r="H13" i="4"/>
  <c r="H12" i="4"/>
  <c r="G9" i="3"/>
  <c r="P25" i="2" l="1"/>
  <c r="O25" i="2"/>
  <c r="N25" i="2"/>
  <c r="I25" i="2"/>
  <c r="G25" i="2"/>
  <c r="H25" i="2" s="1"/>
  <c r="N24" i="2"/>
  <c r="O24" i="2" s="1"/>
  <c r="G24" i="2"/>
  <c r="H24" i="2" s="1"/>
  <c r="P23" i="2"/>
  <c r="N23" i="2"/>
  <c r="O23" i="2" s="1"/>
  <c r="I23" i="2"/>
  <c r="G23" i="2"/>
  <c r="H23" i="2" s="1"/>
  <c r="P22" i="2"/>
  <c r="N22" i="2"/>
  <c r="O22" i="2" s="1"/>
  <c r="I22" i="2"/>
  <c r="H22" i="2"/>
  <c r="G22" i="2"/>
  <c r="P21" i="2"/>
  <c r="N21" i="2"/>
  <c r="O21" i="2" s="1"/>
  <c r="I21" i="2"/>
  <c r="G21" i="2"/>
  <c r="H21" i="2" s="1"/>
  <c r="P20" i="2"/>
  <c r="N20" i="2"/>
  <c r="O20" i="2" s="1"/>
  <c r="I20" i="2"/>
  <c r="G20" i="2"/>
  <c r="H20" i="2" s="1"/>
  <c r="P19" i="2"/>
  <c r="N19" i="2"/>
  <c r="O19" i="2" s="1"/>
  <c r="I19" i="2"/>
  <c r="G19" i="2"/>
  <c r="H19" i="2" s="1"/>
  <c r="P18" i="2"/>
  <c r="N18" i="2"/>
  <c r="O18" i="2" s="1"/>
  <c r="I18" i="2"/>
  <c r="G18" i="2"/>
  <c r="H18" i="2" s="1"/>
  <c r="P17" i="2"/>
  <c r="N17" i="2"/>
  <c r="O17" i="2" s="1"/>
  <c r="I17" i="2"/>
  <c r="G17" i="2"/>
  <c r="H17" i="2" s="1"/>
  <c r="P16" i="2"/>
  <c r="N16" i="2"/>
  <c r="O16" i="2" s="1"/>
  <c r="I16" i="2"/>
  <c r="G16" i="2"/>
  <c r="H16" i="2" s="1"/>
  <c r="P15" i="2"/>
  <c r="N15" i="2"/>
  <c r="O15" i="2" s="1"/>
  <c r="I15" i="2"/>
  <c r="G15" i="2"/>
  <c r="H15" i="2" s="1"/>
  <c r="P14" i="2"/>
  <c r="N14" i="2"/>
  <c r="O14" i="2" s="1"/>
  <c r="I14" i="2"/>
  <c r="G14" i="2"/>
  <c r="H14" i="2" s="1"/>
  <c r="P13" i="2"/>
  <c r="N13" i="2"/>
  <c r="O13" i="2" s="1"/>
  <c r="I13" i="2"/>
  <c r="G13" i="2"/>
  <c r="H13" i="2" s="1"/>
  <c r="P12" i="2"/>
  <c r="N12" i="2"/>
  <c r="O12" i="2" s="1"/>
  <c r="I12" i="2"/>
  <c r="G12" i="2"/>
  <c r="H12" i="2" s="1"/>
  <c r="P11" i="2"/>
  <c r="N11" i="2"/>
  <c r="O11" i="2" s="1"/>
  <c r="I11" i="2"/>
  <c r="G11" i="2"/>
  <c r="H11" i="2" s="1"/>
  <c r="P10" i="2"/>
  <c r="N10" i="2"/>
  <c r="O10" i="2" s="1"/>
  <c r="I10" i="2"/>
  <c r="G10" i="2"/>
  <c r="H10" i="2" s="1"/>
  <c r="P9" i="2"/>
  <c r="N9" i="2"/>
  <c r="O9" i="2" s="1"/>
  <c r="G9" i="2"/>
  <c r="H9" i="2" s="1"/>
  <c r="M8" i="2"/>
  <c r="K8" i="2"/>
  <c r="E8" i="2"/>
  <c r="L8" i="2" s="1"/>
  <c r="P7" i="2"/>
  <c r="N7" i="2"/>
  <c r="I7" i="2"/>
  <c r="G7" i="2"/>
</calcChain>
</file>

<file path=xl/sharedStrings.xml><?xml version="1.0" encoding="utf-8"?>
<sst xmlns="http://schemas.openxmlformats.org/spreadsheetml/2006/main" count="286" uniqueCount="47">
  <si>
    <t xml:space="preserve"> Monthly Operating Report</t>
  </si>
  <si>
    <t>March 2026</t>
  </si>
  <si>
    <t>Month to Date</t>
  </si>
  <si>
    <t>Year to Date</t>
  </si>
  <si>
    <t>Department</t>
  </si>
  <si>
    <t>KPI</t>
  </si>
  <si>
    <t>Actual</t>
  </si>
  <si>
    <t>Budget</t>
  </si>
  <si>
    <t>LY</t>
  </si>
  <si>
    <t>Mar 2026</t>
  </si>
  <si>
    <t>Mar 2025</t>
  </si>
  <si>
    <t>Var to:</t>
  </si>
  <si>
    <t>% of:</t>
  </si>
  <si>
    <t>Utilities</t>
  </si>
  <si>
    <t>Water hl/hl</t>
  </si>
  <si>
    <t xml:space="preserve">Fuel L/hl </t>
  </si>
  <si>
    <t xml:space="preserve">Electricity Kw/hl </t>
  </si>
  <si>
    <t xml:space="preserve">C02 Kg/hl </t>
  </si>
  <si>
    <t>Brewing</t>
  </si>
  <si>
    <t xml:space="preserve">Extract Recovery % </t>
  </si>
  <si>
    <t>Brews Per Day</t>
  </si>
  <si>
    <t>Process Loss Vol.%</t>
  </si>
  <si>
    <t>Packaging</t>
  </si>
  <si>
    <t>OEE %</t>
  </si>
  <si>
    <t>OEE Utilization %</t>
  </si>
  <si>
    <t>Total Bottling Loss %</t>
  </si>
  <si>
    <t>Bottling Efficiency</t>
  </si>
  <si>
    <t>Case Per Hr.</t>
  </si>
  <si>
    <t>Bottling Utilization</t>
  </si>
  <si>
    <t>Production cases</t>
  </si>
  <si>
    <t>Engineering</t>
  </si>
  <si>
    <t xml:space="preserve">Plant Availability </t>
  </si>
  <si>
    <t>Maintenance Compliance</t>
  </si>
  <si>
    <t>-</t>
  </si>
  <si>
    <t>Quality</t>
  </si>
  <si>
    <t>FTR %</t>
  </si>
  <si>
    <t>April 2026</t>
  </si>
  <si>
    <t>Vs. Budget</t>
  </si>
  <si>
    <t>Vs. LY</t>
  </si>
  <si>
    <t>Plant Availability %</t>
  </si>
  <si>
    <t>Maintenance Compliance %</t>
  </si>
  <si>
    <t>May 2026</t>
  </si>
  <si>
    <t>June 2026</t>
  </si>
  <si>
    <t>July 2026</t>
  </si>
  <si>
    <t>August 2026</t>
  </si>
  <si>
    <t>Production cases per hour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</si>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</sst>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mmmm\-yy"/>
    <numFmt numFmtId="165" formatCode="_(* #,##0_);_(* \(#,##0\);_(* &quot;-&quot;??_);_(@_)"/>
    <numFmt numFmtId="166" formatCode="#,##0.0_);[Red]\(#,##0.0\)"/>
    <numFmt numFmtId="167" formatCode="0.0%"/>
    <numFmt numFmtId="168" formatCode="#,##0.0_);\(#,##0.0\)"/>
    <numFmt numFmtId="169" formatCode="0.0"/>
    <numFmt numFmtId="170" formatCode="0.0_);[Red]\(0.0\)"/>
    <numFmt numFmtId="171" formatCode="0.00_);[Red]\(0.00\)"/>
    <numFmt numFmtId="172" formatCode="0_);[Red]\(0\)"/>
    <numFmt numFmtId="173" formatCode="0.00_);\(0.00\)"/>
    <numFmt numFmtId="174" formatCode="0.0_);\(0.0\)"/>
    <numFmt numFmtId="175" formatCode="#,##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indexed="4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u/>
      <sz val="1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/>
    <xf numFmtId="165" fontId="2" fillId="0" borderId="0" xfId="2" applyNumberFormat="1" applyFont="1"/>
    <xf numFmtId="0" fontId="2" fillId="0" borderId="3" xfId="2" applyFont="1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2" fillId="0" borderId="10" xfId="2" applyFont="1" applyBorder="1"/>
    <xf numFmtId="16" fontId="2" fillId="0" borderId="9" xfId="2" quotePrefix="1" applyNumberFormat="1" applyFont="1" applyBorder="1" applyAlignment="1">
      <alignment horizontal="center"/>
    </xf>
    <xf numFmtId="16" fontId="2" fillId="0" borderId="9" xfId="2" applyNumberFormat="1" applyFont="1" applyBorder="1" applyAlignment="1">
      <alignment horizontal="center"/>
    </xf>
    <xf numFmtId="16" fontId="2" fillId="0" borderId="0" xfId="2" quotePrefix="1" applyNumberFormat="1" applyFont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10" xfId="2" applyFont="1" applyBorder="1" applyAlignment="1">
      <alignment horizontal="center"/>
    </xf>
    <xf numFmtId="16" fontId="2" fillId="0" borderId="8" xfId="2" applyNumberFormat="1" applyFont="1" applyBorder="1" applyAlignment="1">
      <alignment horizontal="center"/>
    </xf>
    <xf numFmtId="16" fontId="2" fillId="0" borderId="0" xfId="2" applyNumberFormat="1" applyFont="1" applyAlignment="1">
      <alignment horizontal="center"/>
    </xf>
    <xf numFmtId="0" fontId="2" fillId="0" borderId="5" xfId="2" applyFont="1" applyBorder="1"/>
    <xf numFmtId="166" fontId="2" fillId="0" borderId="7" xfId="2" applyNumberFormat="1" applyFont="1" applyBorder="1" applyAlignment="1">
      <alignment horizontal="center"/>
    </xf>
    <xf numFmtId="166" fontId="2" fillId="0" borderId="6" xfId="2" applyNumberFormat="1" applyFont="1" applyBorder="1" applyAlignment="1">
      <alignment horizontal="center"/>
    </xf>
    <xf numFmtId="166" fontId="6" fillId="0" borderId="3" xfId="2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8" fontId="7" fillId="0" borderId="7" xfId="3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166" fontId="2" fillId="0" borderId="5" xfId="2" applyNumberFormat="1" applyFont="1" applyBorder="1" applyAlignment="1">
      <alignment horizontal="center"/>
    </xf>
    <xf numFmtId="167" fontId="7" fillId="0" borderId="3" xfId="1" applyNumberFormat="1" applyFont="1" applyBorder="1" applyAlignment="1">
      <alignment horizontal="center"/>
    </xf>
    <xf numFmtId="168" fontId="6" fillId="0" borderId="5" xfId="3" applyNumberFormat="1" applyFont="1" applyBorder="1" applyAlignment="1">
      <alignment horizontal="center"/>
    </xf>
    <xf numFmtId="0" fontId="3" fillId="0" borderId="6" xfId="0" applyFont="1" applyBorder="1"/>
    <xf numFmtId="0" fontId="7" fillId="0" borderId="10" xfId="0" applyFont="1" applyBorder="1"/>
    <xf numFmtId="166" fontId="2" fillId="0" borderId="11" xfId="2" applyNumberFormat="1" applyFont="1" applyBorder="1" applyAlignment="1">
      <alignment horizontal="center"/>
    </xf>
    <xf numFmtId="166" fontId="2" fillId="0" borderId="10" xfId="2" applyNumberFormat="1" applyFont="1" applyBorder="1" applyAlignment="1">
      <alignment horizontal="center"/>
    </xf>
    <xf numFmtId="166" fontId="2" fillId="0" borderId="8" xfId="2" applyNumberFormat="1" applyFont="1" applyBorder="1" applyAlignment="1">
      <alignment horizontal="center"/>
    </xf>
    <xf numFmtId="166" fontId="6" fillId="0" borderId="8" xfId="2" applyNumberFormat="1" applyFont="1" applyBorder="1" applyAlignment="1">
      <alignment horizontal="center"/>
    </xf>
    <xf numFmtId="167" fontId="7" fillId="0" borderId="10" xfId="1" applyNumberFormat="1" applyFont="1" applyBorder="1" applyAlignment="1">
      <alignment horizontal="center"/>
    </xf>
    <xf numFmtId="168" fontId="7" fillId="0" borderId="11" xfId="3" applyNumberFormat="1" applyFont="1" applyBorder="1" applyAlignment="1">
      <alignment horizontal="center"/>
    </xf>
    <xf numFmtId="167" fontId="7" fillId="0" borderId="11" xfId="1" applyNumberFormat="1" applyFont="1" applyBorder="1" applyAlignment="1">
      <alignment horizontal="center"/>
    </xf>
    <xf numFmtId="167" fontId="7" fillId="0" borderId="8" xfId="1" applyNumberFormat="1" applyFont="1" applyBorder="1" applyAlignment="1">
      <alignment horizontal="center"/>
    </xf>
    <xf numFmtId="168" fontId="6" fillId="0" borderId="10" xfId="3" applyNumberFormat="1" applyFont="1" applyBorder="1" applyAlignment="1">
      <alignment horizontal="center"/>
    </xf>
    <xf numFmtId="168" fontId="7" fillId="0" borderId="10" xfId="3" applyNumberFormat="1" applyFont="1" applyBorder="1" applyAlignment="1">
      <alignment horizontal="center"/>
    </xf>
    <xf numFmtId="0" fontId="2" fillId="0" borderId="9" xfId="2" applyFont="1" applyBorder="1"/>
    <xf numFmtId="169" fontId="2" fillId="0" borderId="10" xfId="2" applyNumberFormat="1" applyFont="1" applyBorder="1" applyAlignment="1">
      <alignment horizontal="center"/>
    </xf>
    <xf numFmtId="169" fontId="2" fillId="0" borderId="8" xfId="2" applyNumberFormat="1" applyFont="1" applyBorder="1" applyAlignment="1">
      <alignment horizontal="center"/>
    </xf>
    <xf numFmtId="168" fontId="6" fillId="0" borderId="11" xfId="3" applyNumberFormat="1" applyFont="1" applyBorder="1" applyAlignment="1">
      <alignment horizontal="center"/>
    </xf>
    <xf numFmtId="2" fontId="2" fillId="0" borderId="10" xfId="2" applyNumberFormat="1" applyFont="1" applyBorder="1" applyAlignment="1">
      <alignment horizontal="center"/>
    </xf>
    <xf numFmtId="166" fontId="6" fillId="0" borderId="10" xfId="2" applyNumberFormat="1" applyFont="1" applyBorder="1" applyAlignment="1">
      <alignment horizontal="center"/>
    </xf>
    <xf numFmtId="0" fontId="3" fillId="0" borderId="11" xfId="0" applyFont="1" applyBorder="1"/>
    <xf numFmtId="0" fontId="8" fillId="0" borderId="11" xfId="2" applyFont="1" applyBorder="1"/>
    <xf numFmtId="168" fontId="2" fillId="0" borderId="8" xfId="2" applyNumberFormat="1" applyFont="1" applyBorder="1" applyAlignment="1">
      <alignment horizontal="center"/>
    </xf>
    <xf numFmtId="0" fontId="7" fillId="0" borderId="9" xfId="0" applyFont="1" applyBorder="1"/>
    <xf numFmtId="38" fontId="2" fillId="0" borderId="10" xfId="2" applyNumberFormat="1" applyFont="1" applyBorder="1" applyAlignment="1">
      <alignment horizontal="center"/>
    </xf>
    <xf numFmtId="38" fontId="2" fillId="0" borderId="8" xfId="2" applyNumberFormat="1" applyFont="1" applyBorder="1" applyAlignment="1">
      <alignment horizontal="center"/>
    </xf>
    <xf numFmtId="37" fontId="7" fillId="0" borderId="11" xfId="3" applyNumberFormat="1" applyFont="1" applyBorder="1" applyAlignment="1">
      <alignment horizontal="center"/>
    </xf>
    <xf numFmtId="38" fontId="6" fillId="0" borderId="10" xfId="2" applyNumberFormat="1" applyFont="1" applyBorder="1" applyAlignment="1">
      <alignment horizontal="center"/>
    </xf>
    <xf numFmtId="37" fontId="7" fillId="0" borderId="10" xfId="3" applyNumberFormat="1" applyFont="1" applyBorder="1" applyAlignment="1">
      <alignment horizontal="center"/>
    </xf>
    <xf numFmtId="0" fontId="2" fillId="0" borderId="9" xfId="0" applyFont="1" applyBorder="1"/>
    <xf numFmtId="0" fontId="2" fillId="0" borderId="12" xfId="0" applyFont="1" applyBorder="1" applyAlignment="1">
      <alignment horizontal="center" vertical="center"/>
    </xf>
    <xf numFmtId="0" fontId="7" fillId="0" borderId="12" xfId="0" applyFont="1" applyBorder="1"/>
    <xf numFmtId="169" fontId="2" fillId="0" borderId="9" xfId="1" applyNumberFormat="1" applyFont="1" applyBorder="1" applyAlignment="1">
      <alignment horizontal="center"/>
    </xf>
    <xf numFmtId="169" fontId="2" fillId="0" borderId="13" xfId="1" applyNumberFormat="1" applyFont="1" applyBorder="1" applyAlignment="1">
      <alignment horizontal="center"/>
    </xf>
    <xf numFmtId="170" fontId="6" fillId="0" borderId="13" xfId="2" applyNumberFormat="1" applyFont="1" applyBorder="1" applyAlignment="1">
      <alignment horizontal="center"/>
    </xf>
    <xf numFmtId="167" fontId="7" fillId="0" borderId="9" xfId="1" applyNumberFormat="1" applyFont="1" applyBorder="1" applyAlignment="1">
      <alignment horizontal="center"/>
    </xf>
    <xf numFmtId="168" fontId="6" fillId="0" borderId="14" xfId="3" applyNumberFormat="1" applyFont="1" applyBorder="1" applyAlignment="1">
      <alignment horizontal="center"/>
    </xf>
    <xf numFmtId="167" fontId="2" fillId="0" borderId="14" xfId="1" applyNumberFormat="1" applyFont="1" applyBorder="1" applyAlignment="1">
      <alignment horizontal="center"/>
    </xf>
    <xf numFmtId="169" fontId="6" fillId="0" borderId="9" xfId="2" applyNumberFormat="1" applyFont="1" applyBorder="1" applyAlignment="1">
      <alignment horizontal="center"/>
    </xf>
    <xf numFmtId="167" fontId="7" fillId="0" borderId="13" xfId="1" applyNumberFormat="1" applyFont="1" applyBorder="1" applyAlignment="1">
      <alignment horizontal="center"/>
    </xf>
    <xf numFmtId="168" fontId="6" fillId="0" borderId="9" xfId="3" applyNumberFormat="1" applyFont="1" applyBorder="1" applyAlignment="1">
      <alignment horizontal="center"/>
    </xf>
    <xf numFmtId="0" fontId="3" fillId="0" borderId="15" xfId="0" applyFont="1" applyBorder="1"/>
    <xf numFmtId="167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/>
    <xf numFmtId="17" fontId="2" fillId="0" borderId="9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7" fontId="2" fillId="0" borderId="8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10" xfId="0" applyFont="1" applyBorder="1"/>
    <xf numFmtId="0" fontId="6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14" xfId="0" applyFont="1" applyBorder="1"/>
    <xf numFmtId="0" fontId="9" fillId="0" borderId="5" xfId="0" applyFont="1" applyBorder="1"/>
    <xf numFmtId="0" fontId="8" fillId="0" borderId="7" xfId="0" applyFont="1" applyBorder="1"/>
    <xf numFmtId="0" fontId="6" fillId="0" borderId="11" xfId="0" applyFont="1" applyBorder="1" applyAlignment="1">
      <alignment horizontal="center"/>
    </xf>
    <xf numFmtId="0" fontId="8" fillId="0" borderId="11" xfId="0" applyFont="1" applyBorder="1"/>
    <xf numFmtId="0" fontId="9" fillId="0" borderId="9" xfId="0" applyFont="1" applyBorder="1"/>
    <xf numFmtId="3" fontId="2" fillId="0" borderId="9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0" fontId="8" fillId="0" borderId="14" xfId="0" applyFont="1" applyBorder="1"/>
    <xf numFmtId="167" fontId="6" fillId="0" borderId="3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/>
    </xf>
    <xf numFmtId="167" fontId="6" fillId="0" borderId="13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6" fillId="0" borderId="10" xfId="0" applyNumberFormat="1" applyFont="1" applyBorder="1" applyAlignment="1">
      <alignment horizontal="center"/>
    </xf>
    <xf numFmtId="167" fontId="6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9" fontId="6" fillId="0" borderId="8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171" fontId="6" fillId="0" borderId="3" xfId="0" applyNumberFormat="1" applyFont="1" applyBorder="1" applyAlignment="1">
      <alignment horizontal="center"/>
    </xf>
    <xf numFmtId="171" fontId="2" fillId="0" borderId="8" xfId="0" applyNumberFormat="1" applyFont="1" applyBorder="1" applyAlignment="1">
      <alignment horizontal="center"/>
    </xf>
    <xf numFmtId="171" fontId="6" fillId="0" borderId="10" xfId="0" applyNumberFormat="1" applyFont="1" applyBorder="1" applyAlignment="1">
      <alignment horizontal="center"/>
    </xf>
    <xf numFmtId="171" fontId="6" fillId="0" borderId="9" xfId="0" applyNumberFormat="1" applyFont="1" applyBorder="1" applyAlignment="1">
      <alignment horizontal="center"/>
    </xf>
    <xf numFmtId="171" fontId="6" fillId="0" borderId="8" xfId="0" applyNumberFormat="1" applyFont="1" applyBorder="1" applyAlignment="1">
      <alignment horizontal="center"/>
    </xf>
    <xf numFmtId="171" fontId="6" fillId="0" borderId="13" xfId="0" applyNumberFormat="1" applyFont="1" applyBorder="1" applyAlignment="1">
      <alignment horizontal="center"/>
    </xf>
    <xf numFmtId="171" fontId="2" fillId="0" borderId="3" xfId="0" applyNumberFormat="1" applyFont="1" applyBorder="1" applyAlignment="1">
      <alignment horizontal="center"/>
    </xf>
    <xf numFmtId="169" fontId="6" fillId="0" borderId="10" xfId="0" applyNumberFormat="1" applyFont="1" applyBorder="1" applyAlignment="1">
      <alignment horizontal="center"/>
    </xf>
    <xf numFmtId="172" fontId="2" fillId="0" borderId="13" xfId="0" applyNumberFormat="1" applyFont="1" applyBorder="1" applyAlignment="1">
      <alignment horizontal="center"/>
    </xf>
    <xf numFmtId="172" fontId="6" fillId="0" borderId="13" xfId="0" applyNumberFormat="1" applyFont="1" applyBorder="1" applyAlignment="1">
      <alignment horizontal="center"/>
    </xf>
    <xf numFmtId="171" fontId="6" fillId="0" borderId="7" xfId="0" applyNumberFormat="1" applyFont="1" applyBorder="1" applyAlignment="1">
      <alignment horizontal="center"/>
    </xf>
    <xf numFmtId="171" fontId="2" fillId="0" borderId="11" xfId="0" applyNumberFormat="1" applyFont="1" applyBorder="1" applyAlignment="1">
      <alignment horizontal="center"/>
    </xf>
    <xf numFmtId="171" fontId="2" fillId="0" borderId="14" xfId="0" applyNumberFormat="1" applyFont="1" applyBorder="1" applyAlignment="1">
      <alignment horizontal="center"/>
    </xf>
    <xf numFmtId="171" fontId="6" fillId="0" borderId="11" xfId="0" applyNumberFormat="1" applyFont="1" applyBorder="1" applyAlignment="1">
      <alignment horizontal="center"/>
    </xf>
    <xf numFmtId="171" fontId="6" fillId="0" borderId="14" xfId="0" applyNumberFormat="1" applyFont="1" applyBorder="1" applyAlignment="1">
      <alignment horizontal="center"/>
    </xf>
    <xf numFmtId="172" fontId="2" fillId="0" borderId="14" xfId="0" applyNumberFormat="1" applyFont="1" applyBorder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73" fontId="2" fillId="0" borderId="14" xfId="0" applyNumberFormat="1" applyFont="1" applyBorder="1" applyAlignment="1">
      <alignment horizontal="center"/>
    </xf>
    <xf numFmtId="172" fontId="6" fillId="0" borderId="14" xfId="0" applyNumberFormat="1" applyFont="1" applyBorder="1" applyAlignment="1">
      <alignment horizontal="center"/>
    </xf>
    <xf numFmtId="173" fontId="2" fillId="0" borderId="11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70" fontId="6" fillId="0" borderId="3" xfId="0" applyNumberFormat="1" applyFont="1" applyBorder="1" applyAlignment="1">
      <alignment horizontal="center"/>
    </xf>
    <xf numFmtId="170" fontId="6" fillId="0" borderId="10" xfId="0" applyNumberFormat="1" applyFont="1" applyBorder="1" applyAlignment="1">
      <alignment horizontal="center"/>
    </xf>
    <xf numFmtId="170" fontId="2" fillId="0" borderId="3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170" fontId="6" fillId="0" borderId="13" xfId="0" applyNumberFormat="1" applyFont="1" applyBorder="1" applyAlignment="1">
      <alignment horizontal="center"/>
    </xf>
    <xf numFmtId="170" fontId="2" fillId="0" borderId="8" xfId="0" applyNumberFormat="1" applyFont="1" applyBorder="1" applyAlignment="1">
      <alignment horizontal="center"/>
    </xf>
    <xf numFmtId="170" fontId="6" fillId="0" borderId="9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170" fontId="6" fillId="0" borderId="11" xfId="0" applyNumberFormat="1" applyFont="1" applyBorder="1" applyAlignment="1">
      <alignment horizontal="center"/>
    </xf>
    <xf numFmtId="170" fontId="6" fillId="0" borderId="14" xfId="0" applyNumberFormat="1" applyFont="1" applyBorder="1" applyAlignment="1">
      <alignment horizontal="center"/>
    </xf>
    <xf numFmtId="170" fontId="2" fillId="0" borderId="7" xfId="0" applyNumberFormat="1" applyFont="1" applyBorder="1" applyAlignment="1">
      <alignment horizontal="center"/>
    </xf>
    <xf numFmtId="170" fontId="2" fillId="0" borderId="14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4" fontId="2" fillId="0" borderId="7" xfId="0" applyNumberFormat="1" applyFont="1" applyBorder="1" applyAlignment="1">
      <alignment horizontal="center"/>
    </xf>
    <xf numFmtId="174" fontId="6" fillId="0" borderId="11" xfId="0" applyNumberFormat="1" applyFont="1" applyBorder="1" applyAlignment="1">
      <alignment horizontal="center"/>
    </xf>
    <xf numFmtId="174" fontId="6" fillId="0" borderId="14" xfId="0" applyNumberFormat="1" applyFont="1" applyBorder="1" applyAlignment="1">
      <alignment horizontal="center"/>
    </xf>
    <xf numFmtId="174" fontId="2" fillId="0" borderId="11" xfId="0" applyNumberFormat="1" applyFont="1" applyBorder="1" applyAlignment="1">
      <alignment horizontal="center"/>
    </xf>
    <xf numFmtId="174" fontId="2" fillId="0" borderId="14" xfId="0" applyNumberFormat="1" applyFont="1" applyBorder="1" applyAlignment="1">
      <alignment horizontal="center"/>
    </xf>
    <xf numFmtId="174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8" fontId="2" fillId="0" borderId="14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9" fontId="7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70" fontId="7" fillId="0" borderId="11" xfId="0" applyNumberFormat="1" applyFont="1" applyBorder="1" applyAlignment="1">
      <alignment horizontal="center"/>
    </xf>
    <xf numFmtId="170" fontId="7" fillId="0" borderId="3" xfId="0" applyNumberFormat="1" applyFont="1" applyBorder="1" applyAlignment="1">
      <alignment horizontal="center"/>
    </xf>
    <xf numFmtId="167" fontId="7" fillId="0" borderId="5" xfId="0" applyNumberFormat="1" applyFont="1" applyBorder="1" applyAlignment="1">
      <alignment horizontal="center"/>
    </xf>
    <xf numFmtId="175" fontId="7" fillId="0" borderId="9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2" applyFont="1" applyAlignment="1">
      <alignment horizontal="center"/>
    </xf>
    <xf numFmtId="164" fontId="5" fillId="0" borderId="0" xfId="2" quotePrefix="1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169" fontId="6" fillId="0" borderId="5" xfId="0" applyNumberFormat="1" applyFont="1" applyBorder="1" applyAlignment="1">
      <alignment horizontal="center"/>
    </xf>
    <xf numFmtId="38" fontId="6" fillId="0" borderId="13" xfId="0" applyNumberFormat="1" applyFont="1" applyBorder="1" applyAlignment="1">
      <alignment horizontal="center"/>
    </xf>
    <xf numFmtId="170" fontId="2" fillId="0" borderId="13" xfId="0" applyNumberFormat="1" applyFont="1" applyBorder="1" applyAlignment="1">
      <alignment horizontal="center"/>
    </xf>
    <xf numFmtId="37" fontId="2" fillId="0" borderId="14" xfId="0" applyNumberFormat="1" applyFont="1" applyBorder="1" applyAlignment="1">
      <alignment horizontal="center"/>
    </xf>
  </cellXfs>
  <cellStyles count="4">
    <cellStyle name="Comma 3" xfId="3" xr:uid="{5F1A0E36-838E-4714-BE90-DE9B02E53756}"/>
    <cellStyle name="Normal" xfId="0" builtinId="0"/>
    <cellStyle name="Normal 2" xfId="2" xr:uid="{856E337E-AF68-451C-A4F3-1C724631D42F}"/>
    <cellStyle name="Percent" xfId="1" builtinId="5"/>
  </cellStyles>
  <dxfs count="46"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/>
        <condense val="0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/>
        <condense val="0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/>
        <condense val="0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  <dxf>
      <font>
        <b/>
        <i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B231-84DD-470B-961F-EF13863FC208}">
  <sheetPr>
    <pageSetUpPr fitToPage="1"/>
  </sheetPr>
  <dimension ref="A1:AF32"/>
  <sheetViews>
    <sheetView showGridLines="0" tabSelected="1" topLeftCell="A5" zoomScale="130" zoomScaleNormal="130" zoomScaleSheetLayoutView="110" workbookViewId="0">
      <selection activeCell="R20" sqref="R20"/>
    </sheetView>
  </sheetViews>
  <sheetFormatPr defaultColWidth="9.140625" defaultRowHeight="12.75" outlineLevelCol="2" x14ac:dyDescent="0.2"/>
  <cols>
    <col min="1" max="1" width="11.42578125" style="3" bestFit="1" customWidth="1"/>
    <col min="2" max="2" width="25.42578125" style="3" customWidth="1"/>
    <col min="3" max="4" width="8.85546875" style="3" bestFit="1" customWidth="1"/>
    <col min="5" max="5" width="8.28515625" style="3" customWidth="1"/>
    <col min="6" max="6" width="10.5703125" style="3" bestFit="1" customWidth="1"/>
    <col min="7" max="7" width="8.28515625" style="3" bestFit="1" customWidth="1"/>
    <col min="8" max="8" width="11" style="3" bestFit="1" customWidth="1" outlineLevel="1"/>
    <col min="9" max="9" width="1.140625" style="3" customWidth="1"/>
    <col min="10" max="10" width="8.85546875" style="3" bestFit="1" customWidth="1"/>
    <col min="11" max="11" width="9.28515625" style="3" bestFit="1" customWidth="1" outlineLevel="1"/>
    <col min="12" max="12" width="9.28515625" style="3" bestFit="1" customWidth="1" outlineLevel="2"/>
    <col min="13" max="13" width="7.85546875" style="3" customWidth="1" outlineLevel="1"/>
    <col min="14" max="14" width="7.85546875" style="3" customWidth="1"/>
    <col min="15" max="15" width="10.5703125" style="3" bestFit="1" customWidth="1" outlineLevel="1"/>
    <col min="16" max="16384" width="9.140625" style="3"/>
  </cols>
  <sheetData>
    <row r="1" spans="1:32" ht="11.45" customHeight="1" x14ac:dyDescent="0.2">
      <c r="A1" s="1"/>
      <c r="B1" s="2"/>
      <c r="C1" s="2"/>
      <c r="D1" s="2"/>
      <c r="E1" s="2"/>
      <c r="F1" s="2"/>
      <c r="G1" s="2"/>
      <c r="H1" s="2"/>
    </row>
    <row r="2" spans="1:32" ht="12.75" customHeight="1" x14ac:dyDescent="0.2">
      <c r="A2" s="1"/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</row>
    <row r="3" spans="1:32" ht="12.75" customHeight="1" x14ac:dyDescent="0.2">
      <c r="A3" s="1"/>
      <c r="B3" s="176" t="s">
        <v>46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</row>
    <row r="4" spans="1:32" ht="12.75" customHeight="1" x14ac:dyDescent="0.2">
      <c r="A4" s="1"/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32" ht="13.5" thickBot="1" x14ac:dyDescent="0.25">
      <c r="A5" s="1"/>
      <c r="B5" s="1"/>
      <c r="C5" s="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32" ht="13.5" customHeight="1" thickBot="1" x14ac:dyDescent="0.25">
      <c r="A6" s="1"/>
      <c r="B6" s="178" t="s">
        <v>2</v>
      </c>
      <c r="C6" s="179"/>
      <c r="D6" s="179"/>
      <c r="E6" s="179"/>
      <c r="F6" s="179"/>
      <c r="G6" s="179"/>
      <c r="H6" s="180"/>
      <c r="I6" s="72"/>
      <c r="J6" s="181" t="s">
        <v>3</v>
      </c>
      <c r="K6" s="182"/>
      <c r="L6" s="182"/>
      <c r="M6" s="182"/>
      <c r="N6" s="182"/>
      <c r="O6" s="183"/>
    </row>
    <row r="7" spans="1:32" ht="12.75" customHeight="1" x14ac:dyDescent="0.2">
      <c r="A7" s="172" t="s">
        <v>4</v>
      </c>
      <c r="B7" s="73" t="s">
        <v>5</v>
      </c>
      <c r="C7" s="73" t="s">
        <v>6</v>
      </c>
      <c r="D7" s="73" t="s">
        <v>7</v>
      </c>
      <c r="E7" s="74" t="s">
        <v>8</v>
      </c>
      <c r="F7" s="184" t="s">
        <v>37</v>
      </c>
      <c r="G7" s="185"/>
      <c r="H7" s="72" t="s">
        <v>38</v>
      </c>
      <c r="I7" s="73"/>
      <c r="J7" s="75" t="s">
        <v>6</v>
      </c>
      <c r="K7" s="71" t="s">
        <v>7</v>
      </c>
      <c r="L7" s="71" t="s">
        <v>8</v>
      </c>
      <c r="M7" s="184" t="s">
        <v>37</v>
      </c>
      <c r="N7" s="185"/>
      <c r="O7" s="73" t="s">
        <v>38</v>
      </c>
    </row>
    <row r="8" spans="1:32" s="2" customFormat="1" ht="13.5" thickBot="1" x14ac:dyDescent="0.25">
      <c r="A8" s="174"/>
      <c r="B8" s="76"/>
      <c r="C8" s="77">
        <v>46266</v>
      </c>
      <c r="D8" s="77">
        <v>46266</v>
      </c>
      <c r="E8" s="78">
        <v>45901</v>
      </c>
      <c r="F8" s="75" t="s">
        <v>11</v>
      </c>
      <c r="G8" s="79" t="s">
        <v>12</v>
      </c>
      <c r="H8" s="75" t="s">
        <v>11</v>
      </c>
      <c r="I8" s="80"/>
      <c r="J8" s="81">
        <v>46266</v>
      </c>
      <c r="K8" s="78">
        <v>46266</v>
      </c>
      <c r="L8" s="78">
        <v>45901</v>
      </c>
      <c r="M8" s="121" t="s">
        <v>11</v>
      </c>
      <c r="N8" s="79" t="s">
        <v>12</v>
      </c>
      <c r="O8" s="80" t="s">
        <v>11</v>
      </c>
      <c r="U8" s="3"/>
    </row>
    <row r="9" spans="1:32" s="30" customFormat="1" x14ac:dyDescent="0.2">
      <c r="A9" s="172" t="s">
        <v>13</v>
      </c>
      <c r="B9" s="82" t="s">
        <v>14</v>
      </c>
      <c r="C9" s="91">
        <v>12.3</v>
      </c>
      <c r="D9" s="83">
        <v>10.199999999999999</v>
      </c>
      <c r="E9" s="74">
        <v>11</v>
      </c>
      <c r="F9" s="142">
        <f t="shared" ref="F9:F21" si="0">C9-D9</f>
        <v>2.1000000000000014</v>
      </c>
      <c r="G9" s="110">
        <f>+F9/D9</f>
        <v>0.20588235294117663</v>
      </c>
      <c r="H9" s="149">
        <f>C9-E9</f>
        <v>1.3000000000000007</v>
      </c>
      <c r="I9" s="83"/>
      <c r="J9" s="91">
        <v>11.8</v>
      </c>
      <c r="K9" s="83">
        <v>10.199999999999999</v>
      </c>
      <c r="L9" s="83">
        <v>10.7</v>
      </c>
      <c r="M9" s="142">
        <f>J9-K9</f>
        <v>1.6000000000000014</v>
      </c>
      <c r="N9" s="110">
        <f>+M9/K9</f>
        <v>0.15686274509803935</v>
      </c>
      <c r="O9" s="149">
        <f>J9-L9</f>
        <v>1.1000000000000014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173"/>
      <c r="B10" s="85" t="s">
        <v>15</v>
      </c>
      <c r="C10" s="95">
        <v>9.5</v>
      </c>
      <c r="D10" s="80">
        <v>7.2</v>
      </c>
      <c r="E10" s="75">
        <v>8.9</v>
      </c>
      <c r="F10" s="143">
        <f t="shared" si="0"/>
        <v>2.2999999999999998</v>
      </c>
      <c r="G10" s="107">
        <f>+F10/D10</f>
        <v>0.31944444444444442</v>
      </c>
      <c r="H10" s="150">
        <f>C10-E10</f>
        <v>0.59999999999999964</v>
      </c>
      <c r="I10" s="79"/>
      <c r="J10" s="95">
        <v>9.5</v>
      </c>
      <c r="K10" s="80">
        <v>7.2</v>
      </c>
      <c r="L10" s="80">
        <v>8.8000000000000007</v>
      </c>
      <c r="M10" s="143">
        <f t="shared" ref="M10:M22" si="1">J10-K10</f>
        <v>2.2999999999999998</v>
      </c>
      <c r="N10" s="107">
        <f>+M10/K10</f>
        <v>0.31944444444444442</v>
      </c>
      <c r="O10" s="150">
        <f>J10-L10</f>
        <v>0.69999999999999929</v>
      </c>
    </row>
    <row r="11" spans="1:32" x14ac:dyDescent="0.2">
      <c r="A11" s="173"/>
      <c r="B11" s="76" t="s">
        <v>16</v>
      </c>
      <c r="C11" s="95">
        <v>31.4</v>
      </c>
      <c r="D11" s="80">
        <v>22</v>
      </c>
      <c r="E11" s="75">
        <v>30.4</v>
      </c>
      <c r="F11" s="143">
        <f t="shared" si="0"/>
        <v>9.3999999999999986</v>
      </c>
      <c r="G11" s="107">
        <f>+F11/D11</f>
        <v>0.42727272727272719</v>
      </c>
      <c r="H11" s="150">
        <f>C11-E11</f>
        <v>1</v>
      </c>
      <c r="I11" s="79"/>
      <c r="J11" s="95">
        <v>30.2</v>
      </c>
      <c r="K11" s="80">
        <v>22</v>
      </c>
      <c r="L11" s="80">
        <v>29.4</v>
      </c>
      <c r="M11" s="143">
        <f t="shared" si="1"/>
        <v>8.1999999999999993</v>
      </c>
      <c r="N11" s="107">
        <f>+M11/K11</f>
        <v>0.37272727272727268</v>
      </c>
      <c r="O11" s="150">
        <f>J11-L11</f>
        <v>0.80000000000000071</v>
      </c>
    </row>
    <row r="12" spans="1:32" ht="13.5" thickBot="1" x14ac:dyDescent="0.25">
      <c r="A12" s="174"/>
      <c r="B12" s="57" t="s">
        <v>17</v>
      </c>
      <c r="C12" s="117">
        <v>5.3</v>
      </c>
      <c r="D12" s="88">
        <v>5</v>
      </c>
      <c r="E12" s="89">
        <v>6</v>
      </c>
      <c r="F12" s="143">
        <f t="shared" si="0"/>
        <v>0.29999999999999982</v>
      </c>
      <c r="G12" s="108">
        <f t="shared" ref="G12:G20" si="2">+F12/D12</f>
        <v>5.9999999999999963E-2</v>
      </c>
      <c r="H12" s="159">
        <f>C12-E12</f>
        <v>-0.70000000000000018</v>
      </c>
      <c r="I12" s="87"/>
      <c r="J12" s="117">
        <v>5.8</v>
      </c>
      <c r="K12" s="88">
        <v>5</v>
      </c>
      <c r="L12" s="88">
        <v>5.7</v>
      </c>
      <c r="M12" s="148">
        <f t="shared" si="1"/>
        <v>0.79999999999999982</v>
      </c>
      <c r="N12" s="108">
        <f t="shared" ref="N12:N21" si="3">+M12/K12</f>
        <v>0.15999999999999998</v>
      </c>
      <c r="O12" s="151">
        <f>J12-L12</f>
        <v>9.9999999999999645E-2</v>
      </c>
    </row>
    <row r="13" spans="1:32" ht="15.75" customHeight="1" x14ac:dyDescent="0.2">
      <c r="A13" s="172" t="s">
        <v>18</v>
      </c>
      <c r="B13" s="82" t="s">
        <v>19</v>
      </c>
      <c r="C13" s="163">
        <v>98.4</v>
      </c>
      <c r="D13" s="73">
        <v>98</v>
      </c>
      <c r="E13" s="72">
        <v>97.2</v>
      </c>
      <c r="F13" s="144">
        <f t="shared" si="0"/>
        <v>0.40000000000000568</v>
      </c>
      <c r="G13" s="106">
        <f>+F13/D13</f>
        <v>4.0816326530612821E-3</v>
      </c>
      <c r="H13" s="152">
        <f t="shared" ref="H13:H20" si="4">C13-E13</f>
        <v>1.2000000000000028</v>
      </c>
      <c r="I13" s="83"/>
      <c r="J13" s="164">
        <v>98</v>
      </c>
      <c r="K13" s="73">
        <v>98</v>
      </c>
      <c r="L13" s="73">
        <v>97.6</v>
      </c>
      <c r="M13" s="144">
        <f>J13-K13</f>
        <v>0</v>
      </c>
      <c r="N13" s="106">
        <f>+M13/K13</f>
        <v>0</v>
      </c>
      <c r="O13" s="152">
        <f t="shared" ref="O13:O20" si="5">J13-L13</f>
        <v>0.40000000000000568</v>
      </c>
    </row>
    <row r="14" spans="1:32" x14ac:dyDescent="0.2">
      <c r="A14" s="173"/>
      <c r="B14" s="76" t="s">
        <v>20</v>
      </c>
      <c r="C14" s="86">
        <v>7.1</v>
      </c>
      <c r="D14" s="80">
        <v>9.1999999999999993</v>
      </c>
      <c r="E14" s="75">
        <v>7</v>
      </c>
      <c r="F14" s="147">
        <f>C14-D14</f>
        <v>-2.0999999999999996</v>
      </c>
      <c r="G14" s="107">
        <f t="shared" si="2"/>
        <v>-0.22826086956521738</v>
      </c>
      <c r="H14" s="154">
        <f t="shared" si="4"/>
        <v>9.9999999999999645E-2</v>
      </c>
      <c r="I14" s="79"/>
      <c r="J14" s="86">
        <v>6.5</v>
      </c>
      <c r="K14" s="80">
        <v>9.1999999999999993</v>
      </c>
      <c r="L14" s="80">
        <v>7</v>
      </c>
      <c r="M14" s="145">
        <f>J14-K14</f>
        <v>-2.6999999999999993</v>
      </c>
      <c r="N14" s="107">
        <f t="shared" si="3"/>
        <v>-0.29347826086956519</v>
      </c>
      <c r="O14" s="150">
        <f t="shared" si="5"/>
        <v>-0.5</v>
      </c>
    </row>
    <row r="15" spans="1:32" ht="13.5" thickBot="1" x14ac:dyDescent="0.25">
      <c r="A15" s="174"/>
      <c r="B15" s="57" t="s">
        <v>21</v>
      </c>
      <c r="C15" s="90">
        <v>6.7</v>
      </c>
      <c r="D15" s="88">
        <v>5.5</v>
      </c>
      <c r="E15" s="89">
        <v>5.8</v>
      </c>
      <c r="F15" s="146">
        <f t="shared" si="0"/>
        <v>1.2000000000000002</v>
      </c>
      <c r="G15" s="108">
        <f t="shared" si="2"/>
        <v>0.21818181818181823</v>
      </c>
      <c r="H15" s="151">
        <f t="shared" si="4"/>
        <v>0.90000000000000036</v>
      </c>
      <c r="I15" s="92"/>
      <c r="J15" s="90">
        <v>6.4</v>
      </c>
      <c r="K15" s="88">
        <v>5.5</v>
      </c>
      <c r="L15" s="88">
        <v>6.3</v>
      </c>
      <c r="M15" s="146">
        <f t="shared" si="1"/>
        <v>0.90000000000000036</v>
      </c>
      <c r="N15" s="108">
        <f t="shared" si="3"/>
        <v>0.16363636363636369</v>
      </c>
      <c r="O15" s="153">
        <f t="shared" si="5"/>
        <v>0.10000000000000053</v>
      </c>
    </row>
    <row r="16" spans="1:32" x14ac:dyDescent="0.2">
      <c r="A16" s="172" t="s">
        <v>22</v>
      </c>
      <c r="B16" s="93" t="s">
        <v>23</v>
      </c>
      <c r="C16" s="163">
        <v>73.900000000000006</v>
      </c>
      <c r="D16" s="73">
        <v>72</v>
      </c>
      <c r="E16" s="72">
        <v>76</v>
      </c>
      <c r="F16" s="168">
        <f>C16-D16</f>
        <v>1.9000000000000057</v>
      </c>
      <c r="G16" s="169">
        <f t="shared" si="2"/>
        <v>2.6388888888888969E-2</v>
      </c>
      <c r="H16" s="149">
        <f t="shared" si="4"/>
        <v>-2.0999999999999943</v>
      </c>
      <c r="I16" s="94"/>
      <c r="J16" s="84">
        <v>67.599999999999994</v>
      </c>
      <c r="K16" s="73">
        <v>72</v>
      </c>
      <c r="L16" s="73">
        <v>70.7</v>
      </c>
      <c r="M16" s="142">
        <f t="shared" si="1"/>
        <v>-4.4000000000000057</v>
      </c>
      <c r="N16" s="110">
        <f t="shared" si="3"/>
        <v>-6.1111111111111192E-2</v>
      </c>
      <c r="O16" s="149">
        <f t="shared" si="5"/>
        <v>-3.1000000000000085</v>
      </c>
    </row>
    <row r="17" spans="1:32" ht="13.5" customHeight="1" x14ac:dyDescent="0.2">
      <c r="A17" s="173"/>
      <c r="B17" s="85" t="s">
        <v>25</v>
      </c>
      <c r="C17" s="112">
        <v>1.78</v>
      </c>
      <c r="D17" s="80">
        <v>1.8</v>
      </c>
      <c r="E17" s="75">
        <v>2.1</v>
      </c>
      <c r="F17" s="145">
        <f t="shared" si="0"/>
        <v>-2.0000000000000018E-2</v>
      </c>
      <c r="G17" s="107">
        <f>+F17/D17</f>
        <v>-1.111111111111112E-2</v>
      </c>
      <c r="H17" s="158">
        <f t="shared" si="4"/>
        <v>-0.32000000000000006</v>
      </c>
      <c r="I17" s="96"/>
      <c r="J17" s="127">
        <v>1.89</v>
      </c>
      <c r="K17" s="80">
        <v>1.8</v>
      </c>
      <c r="L17" s="80">
        <v>2.1</v>
      </c>
      <c r="M17" s="145">
        <f t="shared" si="1"/>
        <v>8.9999999999999858E-2</v>
      </c>
      <c r="N17" s="107">
        <f t="shared" si="3"/>
        <v>4.999999999999992E-2</v>
      </c>
      <c r="O17" s="158">
        <f t="shared" si="5"/>
        <v>-0.21000000000000019</v>
      </c>
    </row>
    <row r="18" spans="1:32" ht="13.5" customHeight="1" x14ac:dyDescent="0.2">
      <c r="A18" s="173"/>
      <c r="B18" s="85" t="s">
        <v>45</v>
      </c>
      <c r="C18" s="171">
        <v>300</v>
      </c>
      <c r="D18" s="80">
        <v>350</v>
      </c>
      <c r="E18" s="75">
        <v>399</v>
      </c>
      <c r="F18" s="145">
        <f t="shared" si="0"/>
        <v>-50</v>
      </c>
      <c r="G18" s="107">
        <f>+F18/D18</f>
        <v>-0.14285714285714285</v>
      </c>
      <c r="H18" s="154">
        <f t="shared" si="4"/>
        <v>-99</v>
      </c>
      <c r="I18" s="96"/>
      <c r="J18" s="171">
        <v>269</v>
      </c>
      <c r="K18" s="80">
        <v>350</v>
      </c>
      <c r="L18" s="80">
        <v>370</v>
      </c>
      <c r="M18" s="145">
        <f t="shared" si="1"/>
        <v>-81</v>
      </c>
      <c r="N18" s="107">
        <f t="shared" si="3"/>
        <v>-0.23142857142857143</v>
      </c>
      <c r="O18" s="156">
        <f>J18-L18</f>
        <v>-101</v>
      </c>
    </row>
    <row r="19" spans="1:32" ht="13.5" thickBot="1" x14ac:dyDescent="0.25">
      <c r="A19" s="174"/>
      <c r="B19" s="97" t="s">
        <v>29</v>
      </c>
      <c r="C19" s="161">
        <v>110718</v>
      </c>
      <c r="D19" s="98">
        <v>114150</v>
      </c>
      <c r="E19" s="99">
        <v>113111</v>
      </c>
      <c r="F19" s="190">
        <f>C19-D19</f>
        <v>-3432</v>
      </c>
      <c r="G19" s="107">
        <f>+F19/D19</f>
        <v>-3.0065703022339029E-2</v>
      </c>
      <c r="H19" s="192">
        <f>C19-E19</f>
        <v>-2393</v>
      </c>
      <c r="I19" s="100"/>
      <c r="J19" s="161">
        <v>1013849</v>
      </c>
      <c r="K19" s="98">
        <v>1077825</v>
      </c>
      <c r="L19" s="99">
        <v>1018868</v>
      </c>
      <c r="M19" s="190">
        <f t="shared" si="1"/>
        <v>-63976</v>
      </c>
      <c r="N19" s="107">
        <f>+M19/K19</f>
        <v>-5.9356574583072391E-2</v>
      </c>
      <c r="O19" s="162">
        <f>J19-L19</f>
        <v>-5019</v>
      </c>
    </row>
    <row r="20" spans="1:32" ht="12.75" customHeight="1" x14ac:dyDescent="0.2">
      <c r="A20" s="172" t="s">
        <v>30</v>
      </c>
      <c r="B20" s="93" t="s">
        <v>39</v>
      </c>
      <c r="C20" s="163">
        <v>83.25</v>
      </c>
      <c r="D20" s="73">
        <v>80</v>
      </c>
      <c r="E20" s="72">
        <v>71.900000000000006</v>
      </c>
      <c r="F20" s="144">
        <f t="shared" si="0"/>
        <v>3.25</v>
      </c>
      <c r="G20" s="106">
        <f>+F20/D20</f>
        <v>4.0625000000000001E-2</v>
      </c>
      <c r="H20" s="152">
        <f t="shared" si="4"/>
        <v>11.349999999999994</v>
      </c>
      <c r="I20" s="83"/>
      <c r="J20" s="189">
        <v>72.84</v>
      </c>
      <c r="K20" s="73">
        <v>80</v>
      </c>
      <c r="L20" s="73">
        <v>67.400000000000006</v>
      </c>
      <c r="M20" s="142">
        <f t="shared" si="1"/>
        <v>-7.1599999999999966</v>
      </c>
      <c r="N20" s="110">
        <f t="shared" si="3"/>
        <v>-8.9499999999999955E-2</v>
      </c>
      <c r="O20" s="152">
        <f t="shared" si="5"/>
        <v>5.4399999999999977</v>
      </c>
    </row>
    <row r="21" spans="1:32" ht="13.5" customHeight="1" thickBot="1" x14ac:dyDescent="0.25">
      <c r="A21" s="174"/>
      <c r="B21" s="57" t="s">
        <v>40</v>
      </c>
      <c r="C21" s="88">
        <v>70</v>
      </c>
      <c r="D21" s="88">
        <v>70</v>
      </c>
      <c r="E21" s="89">
        <v>64</v>
      </c>
      <c r="F21" s="191">
        <f t="shared" si="0"/>
        <v>0</v>
      </c>
      <c r="G21" s="108">
        <f>+F21/D21</f>
        <v>0</v>
      </c>
      <c r="H21" s="153">
        <f>C21-E21</f>
        <v>6</v>
      </c>
      <c r="I21" s="101"/>
      <c r="J21" s="90">
        <v>35.1</v>
      </c>
      <c r="K21" s="88">
        <v>70</v>
      </c>
      <c r="L21" s="88">
        <v>28.3</v>
      </c>
      <c r="M21" s="146">
        <f t="shared" si="1"/>
        <v>-34.9</v>
      </c>
      <c r="N21" s="108">
        <f t="shared" si="3"/>
        <v>-0.49857142857142855</v>
      </c>
      <c r="O21" s="153">
        <f>J21-L21</f>
        <v>6.8000000000000007</v>
      </c>
    </row>
    <row r="22" spans="1:32" ht="13.5" customHeight="1" thickBot="1" x14ac:dyDescent="0.25">
      <c r="A22" s="58" t="s">
        <v>34</v>
      </c>
      <c r="B22" s="97" t="s">
        <v>35</v>
      </c>
      <c r="C22" s="90">
        <v>77.2</v>
      </c>
      <c r="D22" s="88">
        <v>82</v>
      </c>
      <c r="E22" s="89">
        <v>81.8</v>
      </c>
      <c r="F22" s="146">
        <f>C22-D22</f>
        <v>-4.7999999999999972</v>
      </c>
      <c r="G22" s="108">
        <f>+F22/D22</f>
        <v>-5.8536585365853627E-2</v>
      </c>
      <c r="H22" s="148">
        <f t="shared" ref="H22" si="6">E22-C22</f>
        <v>4.5999999999999943</v>
      </c>
      <c r="I22" s="87"/>
      <c r="J22" s="90">
        <v>71.5</v>
      </c>
      <c r="K22" s="88">
        <v>82</v>
      </c>
      <c r="L22" s="88">
        <v>75.3</v>
      </c>
      <c r="M22" s="146">
        <f t="shared" si="1"/>
        <v>-10.5</v>
      </c>
      <c r="N22" s="108">
        <f>+M22/K22</f>
        <v>-0.12804878048780488</v>
      </c>
      <c r="O22" s="148">
        <f>L22-J22</f>
        <v>3.7999999999999972</v>
      </c>
    </row>
    <row r="23" spans="1:32" x14ac:dyDescent="0.2">
      <c r="A23" s="1"/>
      <c r="B23" s="1"/>
      <c r="C23" s="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32" x14ac:dyDescent="0.2">
      <c r="A24" s="1"/>
      <c r="B24" s="1"/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32" ht="14.45" customHeight="1" x14ac:dyDescent="0.2">
      <c r="A25" s="1"/>
      <c r="B25" s="1"/>
      <c r="C25" s="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32" s="69" customFormat="1" ht="13.5" thickBot="1" x14ac:dyDescent="0.25">
      <c r="A26" s="1"/>
      <c r="B26" s="1"/>
      <c r="C26" s="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 s="1"/>
      <c r="B27" s="1"/>
      <c r="C27" s="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32" x14ac:dyDescent="0.2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32" x14ac:dyDescent="0.2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32" x14ac:dyDescent="0.2">
      <c r="A30" s="1"/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32" x14ac:dyDescent="0.2">
      <c r="A31" s="1"/>
    </row>
    <row r="32" spans="1:32" x14ac:dyDescent="0.2">
      <c r="E32" s="70"/>
      <c r="F32" s="70"/>
      <c r="G32" s="70"/>
    </row>
  </sheetData>
  <mergeCells count="11">
    <mergeCell ref="A9:A12"/>
    <mergeCell ref="A13:A15"/>
    <mergeCell ref="A16:A19"/>
    <mergeCell ref="A20:A21"/>
    <mergeCell ref="B2:O2"/>
    <mergeCell ref="B3:O3"/>
    <mergeCell ref="B6:H6"/>
    <mergeCell ref="J6:O6"/>
    <mergeCell ref="A7:A8"/>
    <mergeCell ref="F7:G7"/>
    <mergeCell ref="M7:N7"/>
  </mergeCells>
  <conditionalFormatting sqref="B2:O3 D4:O5 D23:O30">
    <cfRule type="cellIs" dxfId="45" priority="2" stopIfTrue="1" operator="lessThan">
      <formula>0</formula>
    </cfRule>
  </conditionalFormatting>
  <conditionalFormatting sqref="J6:O6">
    <cfRule type="cellIs" dxfId="44" priority="1" stopIfTrue="1" operator="lessThan">
      <formula>0</formula>
    </cfRule>
  </conditionalFormatting>
  <pageMargins left="0.7" right="0.7" top="0.75" bottom="0.75" header="0.3" footer="0.3"/>
  <pageSetup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EE54-F197-4A70-83E8-B06B17C53C9E}">
  <sheetPr>
    <pageSetUpPr fitToPage="1"/>
  </sheetPr>
  <dimension ref="A1:AF32"/>
  <sheetViews>
    <sheetView showGridLines="0" view="pageBreakPreview" zoomScale="110" zoomScaleNormal="100" zoomScaleSheetLayoutView="110" workbookViewId="0">
      <selection activeCell="M9" sqref="M9:M22"/>
    </sheetView>
  </sheetViews>
  <sheetFormatPr defaultColWidth="9.140625" defaultRowHeight="12.75" outlineLevelCol="2" x14ac:dyDescent="0.2"/>
  <cols>
    <col min="1" max="1" width="11.42578125" style="3" bestFit="1" customWidth="1"/>
    <col min="2" max="2" width="25.42578125" style="3" customWidth="1"/>
    <col min="3" max="4" width="8.85546875" style="3" bestFit="1" customWidth="1"/>
    <col min="5" max="5" width="8.28515625" style="3" customWidth="1"/>
    <col min="6" max="6" width="10.5703125" style="3" bestFit="1" customWidth="1"/>
    <col min="7" max="7" width="8.28515625" style="3" bestFit="1" customWidth="1"/>
    <col min="8" max="8" width="11" style="3" bestFit="1" customWidth="1" outlineLevel="1"/>
    <col min="9" max="9" width="1.85546875" style="3" customWidth="1"/>
    <col min="10" max="10" width="8.85546875" style="3" bestFit="1" customWidth="1"/>
    <col min="11" max="11" width="9.28515625" style="3" bestFit="1" customWidth="1" outlineLevel="1"/>
    <col min="12" max="12" width="8.85546875" style="3" bestFit="1" customWidth="1" outlineLevel="2"/>
    <col min="13" max="13" width="8.7109375" style="3" customWidth="1" outlineLevel="1"/>
    <col min="14" max="14" width="7.85546875" style="3" customWidth="1"/>
    <col min="15" max="15" width="9.5703125" style="3" customWidth="1" outlineLevel="1"/>
    <col min="16" max="16384" width="9.140625" style="3"/>
  </cols>
  <sheetData>
    <row r="1" spans="1:32" ht="11.45" customHeight="1" x14ac:dyDescent="0.2">
      <c r="A1" s="1"/>
      <c r="B1" s="2"/>
      <c r="C1" s="2"/>
      <c r="D1" s="2"/>
      <c r="E1" s="2"/>
      <c r="F1" s="2"/>
      <c r="G1" s="2"/>
      <c r="H1" s="2"/>
    </row>
    <row r="2" spans="1:32" ht="12.75" customHeight="1" x14ac:dyDescent="0.2">
      <c r="A2" s="1"/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</row>
    <row r="3" spans="1:32" ht="12.75" customHeight="1" x14ac:dyDescent="0.2">
      <c r="A3" s="1"/>
      <c r="B3" s="176" t="s">
        <v>44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</row>
    <row r="4" spans="1:32" ht="12.75" customHeight="1" x14ac:dyDescent="0.2">
      <c r="A4" s="1"/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32" ht="13.5" thickBot="1" x14ac:dyDescent="0.25">
      <c r="A5" s="1"/>
      <c r="B5" s="1"/>
      <c r="C5" s="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32" ht="13.5" customHeight="1" thickBot="1" x14ac:dyDescent="0.25">
      <c r="A6" s="1"/>
      <c r="B6" s="178" t="s">
        <v>2</v>
      </c>
      <c r="C6" s="179"/>
      <c r="D6" s="179"/>
      <c r="E6" s="179"/>
      <c r="F6" s="179"/>
      <c r="G6" s="179"/>
      <c r="H6" s="180"/>
      <c r="I6" s="72"/>
      <c r="J6" s="181" t="s">
        <v>3</v>
      </c>
      <c r="K6" s="182"/>
      <c r="L6" s="182"/>
      <c r="M6" s="182"/>
      <c r="N6" s="182"/>
      <c r="O6" s="183"/>
    </row>
    <row r="7" spans="1:32" ht="12.75" customHeight="1" x14ac:dyDescent="0.2">
      <c r="A7" s="172" t="s">
        <v>4</v>
      </c>
      <c r="B7" s="73" t="s">
        <v>5</v>
      </c>
      <c r="C7" s="73" t="s">
        <v>6</v>
      </c>
      <c r="D7" s="73" t="s">
        <v>7</v>
      </c>
      <c r="E7" s="74" t="s">
        <v>8</v>
      </c>
      <c r="F7" s="184" t="s">
        <v>37</v>
      </c>
      <c r="G7" s="185"/>
      <c r="H7" s="72" t="s">
        <v>38</v>
      </c>
      <c r="I7" s="73"/>
      <c r="J7" s="75" t="s">
        <v>6</v>
      </c>
      <c r="K7" s="71" t="s">
        <v>7</v>
      </c>
      <c r="L7" s="71" t="s">
        <v>8</v>
      </c>
      <c r="M7" s="184" t="s">
        <v>37</v>
      </c>
      <c r="N7" s="185"/>
      <c r="O7" s="73" t="s">
        <v>38</v>
      </c>
    </row>
    <row r="8" spans="1:32" s="2" customFormat="1" ht="13.5" thickBot="1" x14ac:dyDescent="0.25">
      <c r="A8" s="174"/>
      <c r="B8" s="76"/>
      <c r="C8" s="77">
        <v>46235</v>
      </c>
      <c r="D8" s="77">
        <v>46235</v>
      </c>
      <c r="E8" s="78">
        <v>45870</v>
      </c>
      <c r="F8" s="75" t="s">
        <v>11</v>
      </c>
      <c r="G8" s="79" t="s">
        <v>12</v>
      </c>
      <c r="H8" s="75" t="s">
        <v>11</v>
      </c>
      <c r="I8" s="80"/>
      <c r="J8" s="81">
        <v>46235</v>
      </c>
      <c r="K8" s="78">
        <v>46235</v>
      </c>
      <c r="L8" s="78">
        <v>45870</v>
      </c>
      <c r="M8" s="121" t="s">
        <v>11</v>
      </c>
      <c r="N8" s="79" t="s">
        <v>12</v>
      </c>
      <c r="O8" s="80" t="s">
        <v>11</v>
      </c>
      <c r="U8" s="3"/>
    </row>
    <row r="9" spans="1:32" s="30" customFormat="1" x14ac:dyDescent="0.2">
      <c r="A9" s="172" t="s">
        <v>13</v>
      </c>
      <c r="B9" s="82" t="s">
        <v>14</v>
      </c>
      <c r="C9" s="91">
        <v>11.5</v>
      </c>
      <c r="D9" s="83">
        <v>10.199999999999999</v>
      </c>
      <c r="E9" s="74">
        <v>10</v>
      </c>
      <c r="F9" s="142">
        <f t="shared" ref="F9:F21" si="0">C9-D9</f>
        <v>1.3000000000000007</v>
      </c>
      <c r="G9" s="110">
        <f>+F9/D9</f>
        <v>0.12745098039215694</v>
      </c>
      <c r="H9" s="149">
        <f>C9-E9</f>
        <v>1.5</v>
      </c>
      <c r="I9" s="83"/>
      <c r="J9" s="91">
        <v>11.7</v>
      </c>
      <c r="K9" s="83">
        <v>10.199999999999999</v>
      </c>
      <c r="L9" s="83">
        <v>10.7</v>
      </c>
      <c r="M9" s="142">
        <f>J9-K9</f>
        <v>1.5</v>
      </c>
      <c r="N9" s="110">
        <f>+M9/K9</f>
        <v>0.14705882352941177</v>
      </c>
      <c r="O9" s="149">
        <f>J9-L9</f>
        <v>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173"/>
      <c r="B10" s="85" t="s">
        <v>15</v>
      </c>
      <c r="C10" s="95">
        <v>8.9</v>
      </c>
      <c r="D10" s="80">
        <v>7.2</v>
      </c>
      <c r="E10" s="75">
        <v>8.1</v>
      </c>
      <c r="F10" s="143">
        <f t="shared" si="0"/>
        <v>1.7000000000000002</v>
      </c>
      <c r="G10" s="107">
        <f>+F10/D10</f>
        <v>0.23611111111111113</v>
      </c>
      <c r="H10" s="150">
        <f>C10-E10</f>
        <v>0.80000000000000071</v>
      </c>
      <c r="I10" s="79"/>
      <c r="J10" s="95">
        <v>9.5</v>
      </c>
      <c r="K10" s="80">
        <v>7.2</v>
      </c>
      <c r="L10" s="80">
        <v>8.8000000000000007</v>
      </c>
      <c r="M10" s="143">
        <f t="shared" ref="M10:M16" si="1">J10-K10</f>
        <v>2.2999999999999998</v>
      </c>
      <c r="N10" s="107">
        <f>+M10/K10</f>
        <v>0.31944444444444442</v>
      </c>
      <c r="O10" s="150">
        <f>J10-L10</f>
        <v>0.69999999999999929</v>
      </c>
    </row>
    <row r="11" spans="1:32" x14ac:dyDescent="0.2">
      <c r="A11" s="173"/>
      <c r="B11" s="76" t="s">
        <v>16</v>
      </c>
      <c r="C11" s="95">
        <v>29.3</v>
      </c>
      <c r="D11" s="80">
        <v>22</v>
      </c>
      <c r="E11" s="75">
        <v>30.4</v>
      </c>
      <c r="F11" s="143">
        <f t="shared" si="0"/>
        <v>7.3000000000000007</v>
      </c>
      <c r="G11" s="107">
        <f>+F11/D11</f>
        <v>0.33181818181818185</v>
      </c>
      <c r="H11" s="167">
        <f>C11-E11</f>
        <v>-1.0999999999999979</v>
      </c>
      <c r="I11" s="79"/>
      <c r="J11" s="95">
        <v>30.1</v>
      </c>
      <c r="K11" s="80">
        <v>22</v>
      </c>
      <c r="L11" s="80">
        <v>29.4</v>
      </c>
      <c r="M11" s="143">
        <f t="shared" si="1"/>
        <v>8.1000000000000014</v>
      </c>
      <c r="N11" s="107">
        <f>+M11/K11</f>
        <v>0.36818181818181822</v>
      </c>
      <c r="O11" s="150">
        <f>J11-L11</f>
        <v>0.70000000000000284</v>
      </c>
    </row>
    <row r="12" spans="1:32" ht="13.5" thickBot="1" x14ac:dyDescent="0.25">
      <c r="A12" s="174"/>
      <c r="B12" s="57" t="s">
        <v>17</v>
      </c>
      <c r="C12" s="117">
        <v>5.8</v>
      </c>
      <c r="D12" s="88">
        <v>5</v>
      </c>
      <c r="E12" s="89">
        <v>4.8</v>
      </c>
      <c r="F12" s="143">
        <f t="shared" si="0"/>
        <v>0.79999999999999982</v>
      </c>
      <c r="G12" s="108">
        <f t="shared" ref="G12:G20" si="2">+F12/D12</f>
        <v>0.15999999999999998</v>
      </c>
      <c r="H12" s="151">
        <f>C12-E12</f>
        <v>1</v>
      </c>
      <c r="I12" s="87"/>
      <c r="J12" s="117">
        <v>5.9</v>
      </c>
      <c r="K12" s="88">
        <v>5</v>
      </c>
      <c r="L12" s="88">
        <v>5.7</v>
      </c>
      <c r="M12" s="148">
        <f t="shared" si="1"/>
        <v>0.90000000000000036</v>
      </c>
      <c r="N12" s="108">
        <f t="shared" ref="N12:N21" si="3">+M12/K12</f>
        <v>0.18000000000000008</v>
      </c>
      <c r="O12" s="151">
        <f>J12-L12</f>
        <v>0.20000000000000018</v>
      </c>
    </row>
    <row r="13" spans="1:32" ht="15.75" customHeight="1" x14ac:dyDescent="0.2">
      <c r="A13" s="172" t="s">
        <v>18</v>
      </c>
      <c r="B13" s="82" t="s">
        <v>19</v>
      </c>
      <c r="C13" s="163">
        <v>98.7</v>
      </c>
      <c r="D13" s="73">
        <v>98</v>
      </c>
      <c r="E13" s="72">
        <v>97.1</v>
      </c>
      <c r="F13" s="144">
        <f t="shared" si="0"/>
        <v>0.70000000000000284</v>
      </c>
      <c r="G13" s="106">
        <f>+F13/D13</f>
        <v>7.1428571428571721E-3</v>
      </c>
      <c r="H13" s="152">
        <f t="shared" ref="H13:H20" si="4">C13-E13</f>
        <v>1.6000000000000085</v>
      </c>
      <c r="I13" s="83"/>
      <c r="J13" s="164">
        <v>98</v>
      </c>
      <c r="K13" s="73">
        <v>98</v>
      </c>
      <c r="L13" s="73">
        <v>97.6</v>
      </c>
      <c r="M13" s="144">
        <f t="shared" si="1"/>
        <v>0</v>
      </c>
      <c r="N13" s="106">
        <f>+M13/K13</f>
        <v>0</v>
      </c>
      <c r="O13" s="152">
        <f t="shared" ref="O13:O20" si="5">J13-L13</f>
        <v>0.40000000000000568</v>
      </c>
    </row>
    <row r="14" spans="1:32" x14ac:dyDescent="0.2">
      <c r="A14" s="173"/>
      <c r="B14" s="76" t="s">
        <v>20</v>
      </c>
      <c r="C14" s="86">
        <v>7.3</v>
      </c>
      <c r="D14" s="80">
        <v>9.1999999999999993</v>
      </c>
      <c r="E14" s="75">
        <v>7</v>
      </c>
      <c r="F14" s="145">
        <f t="shared" si="0"/>
        <v>-1.8999999999999995</v>
      </c>
      <c r="G14" s="107">
        <f t="shared" si="2"/>
        <v>-0.20652173913043473</v>
      </c>
      <c r="H14" s="150">
        <f t="shared" si="4"/>
        <v>0.29999999999999982</v>
      </c>
      <c r="I14" s="79"/>
      <c r="J14" s="86">
        <v>6.5</v>
      </c>
      <c r="K14" s="80">
        <v>9.1999999999999993</v>
      </c>
      <c r="L14" s="80">
        <v>7</v>
      </c>
      <c r="M14" s="145">
        <f>J14-K14</f>
        <v>-2.6999999999999993</v>
      </c>
      <c r="N14" s="107">
        <f t="shared" si="3"/>
        <v>-0.29347826086956519</v>
      </c>
      <c r="O14" s="150">
        <f t="shared" si="5"/>
        <v>-0.5</v>
      </c>
    </row>
    <row r="15" spans="1:32" ht="13.5" thickBot="1" x14ac:dyDescent="0.25">
      <c r="A15" s="174"/>
      <c r="B15" s="57" t="s">
        <v>21</v>
      </c>
      <c r="C15" s="90">
        <v>6.3</v>
      </c>
      <c r="D15" s="88">
        <v>5.5</v>
      </c>
      <c r="E15" s="89">
        <v>5.2</v>
      </c>
      <c r="F15" s="146">
        <f t="shared" si="0"/>
        <v>0.79999999999999982</v>
      </c>
      <c r="G15" s="108">
        <f t="shared" si="2"/>
        <v>0.14545454545454542</v>
      </c>
      <c r="H15" s="153">
        <f t="shared" si="4"/>
        <v>1.0999999999999996</v>
      </c>
      <c r="I15" s="92"/>
      <c r="J15" s="90">
        <v>6.3</v>
      </c>
      <c r="K15" s="88">
        <v>5.5</v>
      </c>
      <c r="L15" s="88">
        <v>6.3</v>
      </c>
      <c r="M15" s="146">
        <f t="shared" si="1"/>
        <v>0.79999999999999982</v>
      </c>
      <c r="N15" s="108">
        <f t="shared" si="3"/>
        <v>0.14545454545454542</v>
      </c>
      <c r="O15" s="153">
        <f t="shared" si="5"/>
        <v>0</v>
      </c>
    </row>
    <row r="16" spans="1:32" x14ac:dyDescent="0.2">
      <c r="A16" s="172" t="s">
        <v>22</v>
      </c>
      <c r="B16" s="93" t="s">
        <v>23</v>
      </c>
      <c r="C16" s="165">
        <v>71.8</v>
      </c>
      <c r="D16" s="73">
        <v>72</v>
      </c>
      <c r="E16" s="72">
        <v>74</v>
      </c>
      <c r="F16" s="168">
        <f>C16-D16</f>
        <v>-0.20000000000000284</v>
      </c>
      <c r="G16" s="169">
        <f t="shared" si="2"/>
        <v>-2.7777777777778173E-3</v>
      </c>
      <c r="H16" s="149">
        <f t="shared" si="4"/>
        <v>-2.2000000000000028</v>
      </c>
      <c r="I16" s="94"/>
      <c r="J16" s="84">
        <v>66.8</v>
      </c>
      <c r="K16" s="73">
        <v>72</v>
      </c>
      <c r="L16" s="73">
        <v>70.7</v>
      </c>
      <c r="M16" s="142">
        <f t="shared" si="1"/>
        <v>-5.2000000000000028</v>
      </c>
      <c r="N16" s="110">
        <f t="shared" si="3"/>
        <v>-7.2222222222222257E-2</v>
      </c>
      <c r="O16" s="149">
        <f t="shared" si="5"/>
        <v>-3.9000000000000057</v>
      </c>
    </row>
    <row r="17" spans="1:32" ht="13.5" customHeight="1" x14ac:dyDescent="0.2">
      <c r="A17" s="173"/>
      <c r="B17" s="85" t="s">
        <v>25</v>
      </c>
      <c r="C17" s="127">
        <v>2</v>
      </c>
      <c r="D17" s="80">
        <v>1.8</v>
      </c>
      <c r="E17" s="75">
        <v>1.9</v>
      </c>
      <c r="F17" s="145">
        <f t="shared" si="0"/>
        <v>0.19999999999999996</v>
      </c>
      <c r="G17" s="107">
        <f>+F17/D17</f>
        <v>0.11111111111111108</v>
      </c>
      <c r="H17" s="154">
        <f t="shared" si="4"/>
        <v>0.10000000000000009</v>
      </c>
      <c r="I17" s="96"/>
      <c r="J17" s="127">
        <v>1.9</v>
      </c>
      <c r="K17" s="80">
        <v>1.8</v>
      </c>
      <c r="L17" s="80">
        <v>2.1</v>
      </c>
      <c r="M17" s="145">
        <f t="shared" ref="M17:M22" si="6">J17-K17</f>
        <v>9.9999999999999867E-2</v>
      </c>
      <c r="N17" s="107">
        <f t="shared" si="3"/>
        <v>5.5555555555555483E-2</v>
      </c>
      <c r="O17" s="158">
        <f t="shared" si="5"/>
        <v>-0.20000000000000018</v>
      </c>
    </row>
    <row r="18" spans="1:32" ht="13.5" customHeight="1" x14ac:dyDescent="0.2">
      <c r="A18" s="173"/>
      <c r="B18" s="85" t="s">
        <v>45</v>
      </c>
      <c r="C18" s="171">
        <v>295</v>
      </c>
      <c r="D18" s="80">
        <v>350</v>
      </c>
      <c r="E18" s="75">
        <v>393</v>
      </c>
      <c r="F18" s="145">
        <f t="shared" si="0"/>
        <v>-55</v>
      </c>
      <c r="G18" s="107">
        <f>+F18/D18</f>
        <v>-0.15714285714285714</v>
      </c>
      <c r="H18" s="154">
        <f t="shared" si="4"/>
        <v>-98</v>
      </c>
      <c r="I18" s="96"/>
      <c r="J18" s="171">
        <v>273</v>
      </c>
      <c r="K18" s="80">
        <v>350</v>
      </c>
      <c r="L18" s="80">
        <v>370</v>
      </c>
      <c r="M18" s="145">
        <f t="shared" si="6"/>
        <v>-77</v>
      </c>
      <c r="N18" s="107">
        <f t="shared" si="3"/>
        <v>-0.22</v>
      </c>
      <c r="O18" s="158">
        <f>J18-L18</f>
        <v>-97</v>
      </c>
    </row>
    <row r="19" spans="1:32" ht="13.5" thickBot="1" x14ac:dyDescent="0.25">
      <c r="A19" s="174"/>
      <c r="B19" s="97" t="s">
        <v>29</v>
      </c>
      <c r="C19" s="98">
        <v>122930</v>
      </c>
      <c r="D19" s="98">
        <v>121150</v>
      </c>
      <c r="E19" s="99">
        <v>109148</v>
      </c>
      <c r="F19" s="99">
        <f>C19-D19</f>
        <v>1780</v>
      </c>
      <c r="G19" s="170">
        <f>F19/D19</f>
        <v>1.4692529921584813E-2</v>
      </c>
      <c r="H19" s="100">
        <f>C19-E19</f>
        <v>13782</v>
      </c>
      <c r="I19" s="100"/>
      <c r="J19" s="98">
        <v>903131</v>
      </c>
      <c r="K19" s="98">
        <v>963675</v>
      </c>
      <c r="L19" s="98">
        <v>903218</v>
      </c>
      <c r="M19" s="119">
        <f t="shared" si="6"/>
        <v>-60544</v>
      </c>
      <c r="N19" s="161">
        <f>+M19/K19</f>
        <v>-6.2826160271875889E-2</v>
      </c>
      <c r="O19" s="162">
        <f>J19-L19</f>
        <v>-87</v>
      </c>
    </row>
    <row r="20" spans="1:32" ht="12.75" customHeight="1" x14ac:dyDescent="0.2">
      <c r="A20" s="172" t="s">
        <v>30</v>
      </c>
      <c r="B20" s="93" t="s">
        <v>39</v>
      </c>
      <c r="C20" s="166">
        <v>77.8</v>
      </c>
      <c r="D20" s="73">
        <v>80</v>
      </c>
      <c r="E20" s="72">
        <v>62</v>
      </c>
      <c r="F20" s="144">
        <f t="shared" si="0"/>
        <v>-2.2000000000000028</v>
      </c>
      <c r="G20" s="110">
        <f t="shared" si="2"/>
        <v>-2.7500000000000035E-2</v>
      </c>
      <c r="H20" s="152">
        <f t="shared" si="4"/>
        <v>15.799999999999997</v>
      </c>
      <c r="I20" s="83"/>
      <c r="J20" s="84">
        <v>71.400000000000006</v>
      </c>
      <c r="K20" s="73">
        <v>80</v>
      </c>
      <c r="L20" s="73">
        <v>67.400000000000006</v>
      </c>
      <c r="M20" s="142">
        <f t="shared" si="6"/>
        <v>-8.5999999999999943</v>
      </c>
      <c r="N20" s="110">
        <f t="shared" si="3"/>
        <v>-0.10749999999999993</v>
      </c>
      <c r="O20" s="152">
        <f t="shared" si="5"/>
        <v>4</v>
      </c>
    </row>
    <row r="21" spans="1:32" ht="13.5" customHeight="1" thickBot="1" x14ac:dyDescent="0.25">
      <c r="A21" s="174"/>
      <c r="B21" s="57" t="s">
        <v>40</v>
      </c>
      <c r="C21" s="88">
        <v>54</v>
      </c>
      <c r="D21" s="88">
        <v>70</v>
      </c>
      <c r="E21" s="89">
        <v>36</v>
      </c>
      <c r="F21" s="146">
        <f t="shared" si="0"/>
        <v>-16</v>
      </c>
      <c r="G21" s="108">
        <f>+F21/D21</f>
        <v>-0.22857142857142856</v>
      </c>
      <c r="H21" s="153">
        <f>C21-E21</f>
        <v>18</v>
      </c>
      <c r="I21" s="101"/>
      <c r="J21" s="90">
        <v>30.8</v>
      </c>
      <c r="K21" s="88">
        <v>70</v>
      </c>
      <c r="L21" s="88">
        <v>28.3</v>
      </c>
      <c r="M21" s="146">
        <f t="shared" si="6"/>
        <v>-39.200000000000003</v>
      </c>
      <c r="N21" s="108">
        <f t="shared" si="3"/>
        <v>-0.56000000000000005</v>
      </c>
      <c r="O21" s="153">
        <f>J21-L21</f>
        <v>2.5</v>
      </c>
    </row>
    <row r="22" spans="1:32" ht="13.5" customHeight="1" thickBot="1" x14ac:dyDescent="0.25">
      <c r="A22" s="58" t="s">
        <v>34</v>
      </c>
      <c r="B22" s="97" t="s">
        <v>35</v>
      </c>
      <c r="C22" s="90">
        <v>77.3</v>
      </c>
      <c r="D22" s="88">
        <v>82</v>
      </c>
      <c r="E22" s="89">
        <v>79.599999999999994</v>
      </c>
      <c r="F22" s="146">
        <f>C22-D22</f>
        <v>-4.7000000000000028</v>
      </c>
      <c r="G22" s="108">
        <f>+F22/D22</f>
        <v>-5.7317073170731744E-2</v>
      </c>
      <c r="H22" s="148">
        <f t="shared" ref="H22" si="7">E22-C22</f>
        <v>2.2999999999999972</v>
      </c>
      <c r="I22" s="87"/>
      <c r="J22" s="90">
        <v>70.8</v>
      </c>
      <c r="K22" s="88">
        <v>82</v>
      </c>
      <c r="L22" s="88">
        <v>75.3</v>
      </c>
      <c r="M22" s="146">
        <f t="shared" si="6"/>
        <v>-11.200000000000003</v>
      </c>
      <c r="N22" s="108">
        <f>+M22/K22</f>
        <v>-0.13658536585365857</v>
      </c>
      <c r="O22" s="148">
        <f>L22-J22</f>
        <v>4.5</v>
      </c>
    </row>
    <row r="23" spans="1:32" x14ac:dyDescent="0.2">
      <c r="A23" s="1"/>
      <c r="B23" s="1"/>
      <c r="C23" s="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32" x14ac:dyDescent="0.2">
      <c r="A24" s="1"/>
      <c r="B24" s="1"/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32" ht="14.45" customHeight="1" x14ac:dyDescent="0.2">
      <c r="A25" s="1"/>
      <c r="B25" s="1"/>
      <c r="C25" s="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32" s="69" customFormat="1" ht="13.5" thickBot="1" x14ac:dyDescent="0.25">
      <c r="A26" s="1"/>
      <c r="B26" s="1"/>
      <c r="C26" s="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 s="1"/>
      <c r="B27" s="1"/>
      <c r="C27" s="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32" x14ac:dyDescent="0.2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32" x14ac:dyDescent="0.2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32" x14ac:dyDescent="0.2">
      <c r="A30" s="1"/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32" x14ac:dyDescent="0.2">
      <c r="A31" s="1"/>
    </row>
    <row r="32" spans="1:32" x14ac:dyDescent="0.2">
      <c r="E32" s="70"/>
      <c r="F32" s="70"/>
      <c r="G32" s="70"/>
    </row>
  </sheetData>
  <mergeCells count="11">
    <mergeCell ref="A9:A12"/>
    <mergeCell ref="A13:A15"/>
    <mergeCell ref="A16:A19"/>
    <mergeCell ref="A20:A21"/>
    <mergeCell ref="B2:O2"/>
    <mergeCell ref="B3:O3"/>
    <mergeCell ref="B6:H6"/>
    <mergeCell ref="J6:O6"/>
    <mergeCell ref="A7:A8"/>
    <mergeCell ref="F7:G7"/>
    <mergeCell ref="M7:N7"/>
  </mergeCells>
  <conditionalFormatting sqref="B2:O3 D4:O5 D23:O30">
    <cfRule type="cellIs" dxfId="43" priority="11" stopIfTrue="1" operator="lessThan">
      <formula>0</formula>
    </cfRule>
  </conditionalFormatting>
  <conditionalFormatting sqref="J6:O6">
    <cfRule type="cellIs" dxfId="42" priority="10" stopIfTrue="1" operator="lessThan">
      <formula>0</formula>
    </cfRule>
  </conditionalFormatting>
  <pageMargins left="0.7" right="0.7" top="0.75" bottom="0.75" header="0.3" footer="0.3"/>
  <pageSetup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D488-2CDF-422B-AB86-F1A2A2A65BC9}">
  <sheetPr>
    <pageSetUpPr fitToPage="1"/>
  </sheetPr>
  <dimension ref="A1:AG31"/>
  <sheetViews>
    <sheetView showGridLines="0" zoomScaleNormal="100" zoomScaleSheetLayoutView="110" workbookViewId="0">
      <selection activeCell="I18" sqref="I18"/>
    </sheetView>
  </sheetViews>
  <sheetFormatPr defaultColWidth="9.140625" defaultRowHeight="12.75" outlineLevelCol="2" x14ac:dyDescent="0.2"/>
  <cols>
    <col min="1" max="1" width="11.42578125" style="3" bestFit="1" customWidth="1"/>
    <col min="2" max="2" width="1.140625" style="3" customWidth="1"/>
    <col min="3" max="3" width="25.42578125" style="3" customWidth="1"/>
    <col min="4" max="5" width="8.85546875" style="3" bestFit="1" customWidth="1"/>
    <col min="6" max="6" width="8.28515625" style="3" customWidth="1"/>
    <col min="7" max="7" width="10.5703125" style="3" bestFit="1" customWidth="1"/>
    <col min="8" max="8" width="8.28515625" style="3" bestFit="1" customWidth="1"/>
    <col min="9" max="9" width="11" style="3" bestFit="1" customWidth="1" outlineLevel="1"/>
    <col min="10" max="10" width="1.85546875" style="3" customWidth="1"/>
    <col min="11" max="11" width="8.85546875" style="3" bestFit="1" customWidth="1"/>
    <col min="12" max="12" width="8.85546875" style="3" bestFit="1" customWidth="1" outlineLevel="1"/>
    <col min="13" max="13" width="8.85546875" style="3" bestFit="1" customWidth="1" outlineLevel="2"/>
    <col min="14" max="14" width="8.7109375" style="3" customWidth="1" outlineLevel="1"/>
    <col min="15" max="15" width="7.85546875" style="3" customWidth="1"/>
    <col min="16" max="16" width="9.5703125" style="3" customWidth="1" outlineLevel="1"/>
    <col min="17" max="16384" width="9.140625" style="3"/>
  </cols>
  <sheetData>
    <row r="1" spans="1:33" ht="11.45" customHeight="1" x14ac:dyDescent="0.2">
      <c r="A1" s="1"/>
      <c r="B1" s="1"/>
      <c r="C1" s="2"/>
      <c r="D1" s="2"/>
      <c r="E1" s="2"/>
      <c r="F1" s="2"/>
      <c r="G1" s="2"/>
      <c r="H1" s="2"/>
      <c r="I1" s="2"/>
    </row>
    <row r="2" spans="1:33" ht="12.75" customHeight="1" x14ac:dyDescent="0.2">
      <c r="A2" s="1"/>
      <c r="B2" s="1"/>
      <c r="C2" s="175" t="s">
        <v>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33" ht="12.75" customHeight="1" x14ac:dyDescent="0.2">
      <c r="A3" s="1"/>
      <c r="B3" s="1"/>
      <c r="C3" s="176" t="s">
        <v>43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</row>
    <row r="4" spans="1:33" ht="12.75" customHeight="1" x14ac:dyDescent="0.2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3" ht="13.5" thickBot="1" x14ac:dyDescent="0.25">
      <c r="A5" s="1"/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33" ht="13.5" customHeight="1" thickBot="1" x14ac:dyDescent="0.25">
      <c r="A6" s="1"/>
      <c r="B6" s="1"/>
      <c r="C6" s="178" t="s">
        <v>2</v>
      </c>
      <c r="D6" s="179"/>
      <c r="E6" s="179"/>
      <c r="F6" s="179"/>
      <c r="G6" s="179"/>
      <c r="H6" s="179"/>
      <c r="I6" s="180"/>
      <c r="J6" s="72"/>
      <c r="K6" s="181" t="s">
        <v>3</v>
      </c>
      <c r="L6" s="182"/>
      <c r="M6" s="182"/>
      <c r="N6" s="182"/>
      <c r="O6" s="182"/>
      <c r="P6" s="183"/>
    </row>
    <row r="7" spans="1:33" ht="12.75" customHeight="1" x14ac:dyDescent="0.2">
      <c r="A7" s="172" t="s">
        <v>4</v>
      </c>
      <c r="B7" s="1"/>
      <c r="C7" s="73" t="s">
        <v>5</v>
      </c>
      <c r="D7" s="73" t="s">
        <v>6</v>
      </c>
      <c r="E7" s="73" t="s">
        <v>7</v>
      </c>
      <c r="F7" s="74" t="s">
        <v>8</v>
      </c>
      <c r="G7" s="184" t="s">
        <v>37</v>
      </c>
      <c r="H7" s="185"/>
      <c r="I7" s="72" t="s">
        <v>38</v>
      </c>
      <c r="J7" s="73"/>
      <c r="K7" s="75" t="s">
        <v>6</v>
      </c>
      <c r="L7" s="71" t="s">
        <v>7</v>
      </c>
      <c r="M7" s="71" t="s">
        <v>8</v>
      </c>
      <c r="N7" s="184" t="s">
        <v>37</v>
      </c>
      <c r="O7" s="185"/>
      <c r="P7" s="73" t="s">
        <v>38</v>
      </c>
    </row>
    <row r="8" spans="1:33" s="2" customFormat="1" ht="13.5" thickBot="1" x14ac:dyDescent="0.25">
      <c r="A8" s="174"/>
      <c r="B8" s="1"/>
      <c r="C8" s="76"/>
      <c r="D8" s="77">
        <v>46204</v>
      </c>
      <c r="E8" s="77">
        <v>46204</v>
      </c>
      <c r="F8" s="78">
        <v>45839</v>
      </c>
      <c r="G8" s="75" t="s">
        <v>11</v>
      </c>
      <c r="H8" s="79" t="s">
        <v>12</v>
      </c>
      <c r="I8" s="75" t="s">
        <v>11</v>
      </c>
      <c r="J8" s="80"/>
      <c r="K8" s="81">
        <v>46204</v>
      </c>
      <c r="L8" s="78">
        <v>46204</v>
      </c>
      <c r="M8" s="78">
        <v>45839</v>
      </c>
      <c r="N8" s="121" t="s">
        <v>11</v>
      </c>
      <c r="O8" s="79" t="s">
        <v>12</v>
      </c>
      <c r="P8" s="80" t="s">
        <v>11</v>
      </c>
      <c r="V8" s="3"/>
    </row>
    <row r="9" spans="1:33" s="30" customFormat="1" x14ac:dyDescent="0.2">
      <c r="A9" s="172" t="s">
        <v>13</v>
      </c>
      <c r="B9" s="1"/>
      <c r="C9" s="82" t="s">
        <v>14</v>
      </c>
      <c r="D9" s="83">
        <v>10.6</v>
      </c>
      <c r="E9" s="83">
        <v>10.199999999999999</v>
      </c>
      <c r="F9" s="137">
        <v>10.9</v>
      </c>
      <c r="G9" s="142">
        <f t="shared" ref="G9:G21" si="0">D9-E9</f>
        <v>0.40000000000000036</v>
      </c>
      <c r="H9" s="110">
        <f>+G9/E9</f>
        <v>3.9215686274509838E-2</v>
      </c>
      <c r="I9" s="155">
        <f>D9-F9</f>
        <v>-0.30000000000000071</v>
      </c>
      <c r="J9" s="83"/>
      <c r="K9" s="91">
        <v>11.8</v>
      </c>
      <c r="L9" s="83">
        <v>10.199999999999999</v>
      </c>
      <c r="M9" s="91">
        <v>10.8</v>
      </c>
      <c r="N9" s="142">
        <f>K9-L9</f>
        <v>1.6000000000000014</v>
      </c>
      <c r="O9" s="110">
        <f>+N9/L9</f>
        <v>0.15686274509803935</v>
      </c>
      <c r="P9" s="149">
        <f>K9-M9</f>
        <v>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173"/>
      <c r="B10" s="1"/>
      <c r="C10" s="85" t="s">
        <v>15</v>
      </c>
      <c r="D10" s="79">
        <v>9.1999999999999993</v>
      </c>
      <c r="E10" s="80">
        <v>7.2</v>
      </c>
      <c r="F10" s="114">
        <v>8.4</v>
      </c>
      <c r="G10" s="143">
        <f t="shared" si="0"/>
        <v>1.9999999999999991</v>
      </c>
      <c r="H10" s="107">
        <f t="shared" ref="H10:H20" si="1">+G10/E10</f>
        <v>0.27777777777777762</v>
      </c>
      <c r="I10" s="156">
        <f t="shared" ref="I10:I16" si="2">D10-F10</f>
        <v>0.79999999999999893</v>
      </c>
      <c r="J10" s="79"/>
      <c r="K10" s="95">
        <v>9.5</v>
      </c>
      <c r="L10" s="80">
        <v>7.2</v>
      </c>
      <c r="M10" s="86">
        <v>8.9</v>
      </c>
      <c r="N10" s="143">
        <f t="shared" ref="N10:N17" si="3">K10-L10</f>
        <v>2.2999999999999998</v>
      </c>
      <c r="O10" s="107">
        <f t="shared" ref="O10:O20" si="4">+N10/L10</f>
        <v>0.31944444444444442</v>
      </c>
      <c r="P10" s="150">
        <f>K10-M10</f>
        <v>0.59999999999999964</v>
      </c>
    </row>
    <row r="11" spans="1:33" x14ac:dyDescent="0.2">
      <c r="A11" s="173"/>
      <c r="B11" s="1"/>
      <c r="C11" s="76" t="s">
        <v>16</v>
      </c>
      <c r="D11" s="79">
        <v>28.8</v>
      </c>
      <c r="E11" s="80">
        <v>22</v>
      </c>
      <c r="F11" s="114">
        <v>27.5</v>
      </c>
      <c r="G11" s="143">
        <f t="shared" si="0"/>
        <v>6.8000000000000007</v>
      </c>
      <c r="H11" s="107">
        <f t="shared" si="1"/>
        <v>0.30909090909090914</v>
      </c>
      <c r="I11" s="156">
        <f>D11-F11</f>
        <v>1.3000000000000007</v>
      </c>
      <c r="J11" s="79"/>
      <c r="K11" s="95">
        <v>30.2</v>
      </c>
      <c r="L11" s="80">
        <v>22</v>
      </c>
      <c r="M11" s="86">
        <v>29.21</v>
      </c>
      <c r="N11" s="143">
        <f t="shared" si="3"/>
        <v>8.1999999999999993</v>
      </c>
      <c r="O11" s="107">
        <f t="shared" si="4"/>
        <v>0.37272727272727268</v>
      </c>
      <c r="P11" s="150">
        <f>K11-M11</f>
        <v>0.98999999999999844</v>
      </c>
    </row>
    <row r="12" spans="1:33" ht="13.5" thickBot="1" x14ac:dyDescent="0.25">
      <c r="A12" s="174"/>
      <c r="B12" s="1"/>
      <c r="C12" s="57" t="s">
        <v>17</v>
      </c>
      <c r="D12" s="87">
        <v>5.9</v>
      </c>
      <c r="E12" s="88">
        <v>5</v>
      </c>
      <c r="F12" s="115">
        <v>5.8</v>
      </c>
      <c r="G12" s="143">
        <f t="shared" si="0"/>
        <v>0.90000000000000036</v>
      </c>
      <c r="H12" s="108">
        <f t="shared" si="1"/>
        <v>0.18000000000000008</v>
      </c>
      <c r="I12" s="157">
        <f t="shared" si="2"/>
        <v>0.10000000000000053</v>
      </c>
      <c r="J12" s="87"/>
      <c r="K12" s="117">
        <v>5.9</v>
      </c>
      <c r="L12" s="88">
        <v>5</v>
      </c>
      <c r="M12" s="90">
        <v>5.8</v>
      </c>
      <c r="N12" s="148">
        <f t="shared" si="3"/>
        <v>0.90000000000000036</v>
      </c>
      <c r="O12" s="108">
        <f t="shared" si="4"/>
        <v>0.18000000000000008</v>
      </c>
      <c r="P12" s="151">
        <f>K12-M12</f>
        <v>0.10000000000000053</v>
      </c>
    </row>
    <row r="13" spans="1:33" ht="15.75" customHeight="1" x14ac:dyDescent="0.2">
      <c r="A13" s="172" t="s">
        <v>18</v>
      </c>
      <c r="B13" s="1"/>
      <c r="C13" s="82" t="s">
        <v>19</v>
      </c>
      <c r="D13" s="141">
        <v>97.9</v>
      </c>
      <c r="E13" s="73">
        <v>98</v>
      </c>
      <c r="F13" s="113">
        <v>98</v>
      </c>
      <c r="G13" s="144">
        <f t="shared" si="0"/>
        <v>-9.9999999999994316E-2</v>
      </c>
      <c r="H13" s="106">
        <f t="shared" si="1"/>
        <v>-1.0204081632652481E-3</v>
      </c>
      <c r="I13" s="155">
        <f>D13-F13</f>
        <v>-9.9999999999994316E-2</v>
      </c>
      <c r="J13" s="83"/>
      <c r="K13" s="141">
        <v>97.9</v>
      </c>
      <c r="L13" s="73">
        <v>98</v>
      </c>
      <c r="M13" s="84">
        <v>97.7</v>
      </c>
      <c r="N13" s="144">
        <f t="shared" si="3"/>
        <v>-9.9999999999994316E-2</v>
      </c>
      <c r="O13" s="106">
        <f t="shared" si="4"/>
        <v>-1.0204081632652481E-3</v>
      </c>
      <c r="P13" s="152">
        <f t="shared" ref="P13:P19" si="5">K13-M13</f>
        <v>0.20000000000000284</v>
      </c>
    </row>
    <row r="14" spans="1:33" x14ac:dyDescent="0.2">
      <c r="A14" s="173"/>
      <c r="B14" s="1"/>
      <c r="C14" s="76" t="s">
        <v>20</v>
      </c>
      <c r="D14" s="80">
        <v>6.3</v>
      </c>
      <c r="E14" s="80">
        <v>9.1999999999999993</v>
      </c>
      <c r="F14" s="114">
        <v>8</v>
      </c>
      <c r="G14" s="145">
        <f t="shared" si="0"/>
        <v>-2.8999999999999995</v>
      </c>
      <c r="H14" s="107">
        <f t="shared" si="1"/>
        <v>-0.31521739130434778</v>
      </c>
      <c r="I14" s="156">
        <f t="shared" si="2"/>
        <v>-1.7000000000000002</v>
      </c>
      <c r="J14" s="79"/>
      <c r="K14" s="86">
        <v>6.3</v>
      </c>
      <c r="L14" s="80">
        <v>9.1999999999999993</v>
      </c>
      <c r="M14" s="86">
        <v>7</v>
      </c>
      <c r="N14" s="145">
        <f>K14-L14</f>
        <v>-2.8999999999999995</v>
      </c>
      <c r="O14" s="107">
        <f t="shared" si="4"/>
        <v>-0.31521739130434778</v>
      </c>
      <c r="P14" s="150">
        <f t="shared" si="5"/>
        <v>-0.70000000000000018</v>
      </c>
    </row>
    <row r="15" spans="1:33" ht="13.5" thickBot="1" x14ac:dyDescent="0.25">
      <c r="A15" s="174"/>
      <c r="B15" s="1"/>
      <c r="C15" s="57" t="s">
        <v>21</v>
      </c>
      <c r="D15" s="88">
        <v>6.5</v>
      </c>
      <c r="E15" s="88">
        <v>5.5</v>
      </c>
      <c r="F15" s="115">
        <v>5.3</v>
      </c>
      <c r="G15" s="146">
        <f t="shared" si="0"/>
        <v>1</v>
      </c>
      <c r="H15" s="108">
        <f t="shared" si="1"/>
        <v>0.18181818181818182</v>
      </c>
      <c r="I15" s="157">
        <f t="shared" si="2"/>
        <v>1.2000000000000002</v>
      </c>
      <c r="J15" s="92"/>
      <c r="K15" s="90">
        <v>6.3</v>
      </c>
      <c r="L15" s="88">
        <v>5.5</v>
      </c>
      <c r="M15" s="90">
        <v>6.4</v>
      </c>
      <c r="N15" s="146">
        <f t="shared" si="3"/>
        <v>0.79999999999999982</v>
      </c>
      <c r="O15" s="108">
        <f t="shared" si="4"/>
        <v>0.14545454545454542</v>
      </c>
      <c r="P15" s="153">
        <f t="shared" si="5"/>
        <v>-0.10000000000000053</v>
      </c>
    </row>
    <row r="16" spans="1:33" x14ac:dyDescent="0.2">
      <c r="A16" s="172" t="s">
        <v>22</v>
      </c>
      <c r="B16" s="1"/>
      <c r="C16" s="93" t="s">
        <v>23</v>
      </c>
      <c r="D16" s="73">
        <v>74.5</v>
      </c>
      <c r="E16" s="73">
        <v>72</v>
      </c>
      <c r="F16" s="113">
        <v>72</v>
      </c>
      <c r="G16" s="144">
        <f>D16-E16</f>
        <v>2.5</v>
      </c>
      <c r="H16" s="110">
        <f t="shared" si="1"/>
        <v>3.4722222222222224E-2</v>
      </c>
      <c r="I16" s="155">
        <f t="shared" si="2"/>
        <v>2.5</v>
      </c>
      <c r="J16" s="94"/>
      <c r="K16" s="84">
        <v>66.099999999999994</v>
      </c>
      <c r="L16" s="73">
        <v>72</v>
      </c>
      <c r="M16" s="84">
        <v>70.3</v>
      </c>
      <c r="N16" s="142">
        <f t="shared" si="3"/>
        <v>-5.9000000000000057</v>
      </c>
      <c r="O16" s="110">
        <f t="shared" si="4"/>
        <v>-8.1944444444444528E-2</v>
      </c>
      <c r="P16" s="149">
        <f t="shared" si="5"/>
        <v>-4.2000000000000028</v>
      </c>
    </row>
    <row r="17" spans="1:33" ht="13.5" customHeight="1" x14ac:dyDescent="0.2">
      <c r="A17" s="173"/>
      <c r="B17" s="1"/>
      <c r="C17" s="85" t="s">
        <v>25</v>
      </c>
      <c r="D17" s="112">
        <v>1.7</v>
      </c>
      <c r="E17" s="80">
        <v>1.8</v>
      </c>
      <c r="F17" s="114">
        <v>2</v>
      </c>
      <c r="G17" s="147">
        <f t="shared" si="0"/>
        <v>-0.10000000000000009</v>
      </c>
      <c r="H17" s="107">
        <f t="shared" si="1"/>
        <v>-5.5555555555555601E-2</v>
      </c>
      <c r="I17" s="158">
        <f>D17-F17</f>
        <v>-0.30000000000000004</v>
      </c>
      <c r="J17" s="96"/>
      <c r="K17" s="127">
        <v>1.9</v>
      </c>
      <c r="L17" s="80">
        <v>1.8</v>
      </c>
      <c r="M17" s="86">
        <v>2.1</v>
      </c>
      <c r="N17" s="145">
        <f t="shared" si="3"/>
        <v>9.9999999999999867E-2</v>
      </c>
      <c r="O17" s="107">
        <f t="shared" si="4"/>
        <v>5.5555555555555483E-2</v>
      </c>
      <c r="P17" s="154">
        <f t="shared" si="5"/>
        <v>-0.20000000000000018</v>
      </c>
    </row>
    <row r="18" spans="1:33" ht="13.5" thickBot="1" x14ac:dyDescent="0.25">
      <c r="A18" s="174"/>
      <c r="B18" s="1"/>
      <c r="C18" s="97" t="s">
        <v>29</v>
      </c>
      <c r="D18" s="98">
        <v>135699</v>
      </c>
      <c r="E18" s="98">
        <v>126675</v>
      </c>
      <c r="F18" s="99">
        <v>133047</v>
      </c>
      <c r="G18" s="99">
        <f>D18-E18</f>
        <v>9024</v>
      </c>
      <c r="H18" s="161">
        <f>G18/E18</f>
        <v>7.1237418590882173E-2</v>
      </c>
      <c r="I18" s="100">
        <f>D18-G18</f>
        <v>126675</v>
      </c>
      <c r="J18" s="100"/>
      <c r="K18" s="98">
        <v>780201</v>
      </c>
      <c r="L18" s="98">
        <v>842525</v>
      </c>
      <c r="M18" s="98">
        <v>796609</v>
      </c>
      <c r="N18" s="119">
        <f>K18-L18</f>
        <v>-62324</v>
      </c>
      <c r="O18" s="161">
        <f>+N18/L18</f>
        <v>-7.3972879143052131E-2</v>
      </c>
      <c r="P18" s="100">
        <f>K18-M18</f>
        <v>-16408</v>
      </c>
    </row>
    <row r="19" spans="1:33" ht="12.75" customHeight="1" x14ac:dyDescent="0.2">
      <c r="A19" s="172" t="s">
        <v>30</v>
      </c>
      <c r="B19" s="1"/>
      <c r="C19" s="93" t="s">
        <v>39</v>
      </c>
      <c r="D19" s="73">
        <v>78.099999999999994</v>
      </c>
      <c r="E19" s="73">
        <v>80</v>
      </c>
      <c r="F19" s="113">
        <v>61.9</v>
      </c>
      <c r="G19" s="144">
        <f t="shared" si="0"/>
        <v>-1.9000000000000057</v>
      </c>
      <c r="H19" s="110">
        <f t="shared" si="1"/>
        <v>-2.375000000000007E-2</v>
      </c>
      <c r="I19" s="155">
        <f>D19-F19</f>
        <v>16.199999999999996</v>
      </c>
      <c r="J19" s="83"/>
      <c r="K19" s="73">
        <v>70.5</v>
      </c>
      <c r="L19" s="73">
        <v>80</v>
      </c>
      <c r="M19" s="84">
        <v>68.2</v>
      </c>
      <c r="N19" s="142">
        <f>K19-L19</f>
        <v>-9.5</v>
      </c>
      <c r="O19" s="110">
        <f t="shared" si="4"/>
        <v>-0.11874999999999999</v>
      </c>
      <c r="P19" s="152">
        <f t="shared" si="5"/>
        <v>2.2999999999999972</v>
      </c>
    </row>
    <row r="20" spans="1:33" ht="13.5" customHeight="1" thickBot="1" x14ac:dyDescent="0.25">
      <c r="A20" s="174"/>
      <c r="B20" s="1"/>
      <c r="C20" s="57" t="s">
        <v>40</v>
      </c>
      <c r="D20" s="88">
        <v>37</v>
      </c>
      <c r="E20" s="88">
        <v>70</v>
      </c>
      <c r="F20" s="115">
        <v>35</v>
      </c>
      <c r="G20" s="146">
        <f t="shared" si="0"/>
        <v>-33</v>
      </c>
      <c r="H20" s="108">
        <f t="shared" si="1"/>
        <v>-0.47142857142857142</v>
      </c>
      <c r="I20" s="159">
        <f>D20-F20</f>
        <v>2</v>
      </c>
      <c r="J20" s="101"/>
      <c r="K20" s="88">
        <v>27.4</v>
      </c>
      <c r="L20" s="88">
        <v>70</v>
      </c>
      <c r="M20" s="90">
        <v>27</v>
      </c>
      <c r="N20" s="146">
        <f>K20-L20</f>
        <v>-42.6</v>
      </c>
      <c r="O20" s="108">
        <f t="shared" si="4"/>
        <v>-0.60857142857142854</v>
      </c>
      <c r="P20" s="153">
        <f>K20-M20</f>
        <v>0.39999999999999858</v>
      </c>
    </row>
    <row r="21" spans="1:33" ht="13.5" customHeight="1" thickBot="1" x14ac:dyDescent="0.25">
      <c r="A21" s="58" t="s">
        <v>34</v>
      </c>
      <c r="B21" s="1"/>
      <c r="C21" s="97" t="s">
        <v>35</v>
      </c>
      <c r="D21" s="88">
        <v>72.099999999999994</v>
      </c>
      <c r="E21" s="88">
        <v>82</v>
      </c>
      <c r="F21" s="115">
        <v>85.4</v>
      </c>
      <c r="G21" s="146">
        <f t="shared" si="0"/>
        <v>-9.9000000000000057</v>
      </c>
      <c r="H21" s="108">
        <f>+G21/E21</f>
        <v>-0.12073170731707324</v>
      </c>
      <c r="I21" s="160">
        <f t="shared" ref="I21" si="6">F21-D21</f>
        <v>13.300000000000011</v>
      </c>
      <c r="J21" s="87"/>
      <c r="K21" s="88">
        <v>69.8</v>
      </c>
      <c r="L21" s="88">
        <v>82</v>
      </c>
      <c r="M21" s="90">
        <v>74.7</v>
      </c>
      <c r="N21" s="146">
        <f>K21-L21</f>
        <v>-12.200000000000003</v>
      </c>
      <c r="O21" s="108">
        <f>+N21/L21</f>
        <v>-0.14878048780487807</v>
      </c>
      <c r="P21" s="148">
        <f t="shared" ref="P21" si="7">M21-K21</f>
        <v>4.9000000000000057</v>
      </c>
    </row>
    <row r="22" spans="1:33" x14ac:dyDescent="0.2">
      <c r="A22" s="1"/>
      <c r="B22" s="1"/>
      <c r="C22" s="1"/>
      <c r="D22" s="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33" x14ac:dyDescent="0.2">
      <c r="A23" s="1"/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33" ht="14.45" customHeight="1" x14ac:dyDescent="0.2">
      <c r="A24" s="1"/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33" s="69" customFormat="1" ht="13.5" thickBot="1" x14ac:dyDescent="0.25">
      <c r="A25" s="1"/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33" x14ac:dyDescent="0.2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33" x14ac:dyDescent="0.2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3" x14ac:dyDescent="0.2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33" x14ac:dyDescent="0.2">
      <c r="A30" s="1"/>
      <c r="B30" s="1"/>
    </row>
    <row r="31" spans="1:33" x14ac:dyDescent="0.2">
      <c r="F31" s="70"/>
      <c r="G31" s="70"/>
      <c r="H31" s="70"/>
    </row>
  </sheetData>
  <mergeCells count="11">
    <mergeCell ref="A16:A18"/>
    <mergeCell ref="A19:A20"/>
    <mergeCell ref="A9:A12"/>
    <mergeCell ref="A13:A15"/>
    <mergeCell ref="C2:P2"/>
    <mergeCell ref="C3:P3"/>
    <mergeCell ref="C6:I6"/>
    <mergeCell ref="K6:P6"/>
    <mergeCell ref="A7:A8"/>
    <mergeCell ref="G7:H7"/>
    <mergeCell ref="N7:O7"/>
  </mergeCells>
  <conditionalFormatting sqref="C2:P3 E4:P5 E22:P29">
    <cfRule type="cellIs" dxfId="41" priority="11" stopIfTrue="1" operator="lessThan">
      <formula>0</formula>
    </cfRule>
  </conditionalFormatting>
  <conditionalFormatting sqref="D9:D12 D14:D15 D18:D21">
    <cfRule type="aboveAverage" dxfId="40" priority="9" aboveAverage="0"/>
  </conditionalFormatting>
  <conditionalFormatting sqref="D13">
    <cfRule type="aboveAverage" dxfId="39" priority="8" aboveAverage="0"/>
  </conditionalFormatting>
  <conditionalFormatting sqref="D18">
    <cfRule type="cellIs" dxfId="38" priority="7" operator="lessThan">
      <formula>$E$18</formula>
    </cfRule>
  </conditionalFormatting>
  <conditionalFormatting sqref="K9">
    <cfRule type="aboveAverage" dxfId="37" priority="2" aboveAverage="0"/>
  </conditionalFormatting>
  <conditionalFormatting sqref="K10">
    <cfRule type="aboveAverage" dxfId="36" priority="3" aboveAverage="0"/>
  </conditionalFormatting>
  <conditionalFormatting sqref="K11">
    <cfRule type="cellIs" dxfId="35" priority="4" operator="greaterThan">
      <formula>$L$9</formula>
    </cfRule>
  </conditionalFormatting>
  <conditionalFormatting sqref="K12">
    <cfRule type="aboveAverage" dxfId="34" priority="5" aboveAverage="0"/>
  </conditionalFormatting>
  <conditionalFormatting sqref="K13">
    <cfRule type="aboveAverage" dxfId="33" priority="1" aboveAverage="0"/>
  </conditionalFormatting>
  <conditionalFormatting sqref="K14:K21">
    <cfRule type="cellIs" dxfId="32" priority="6" operator="greaterThan">
      <formula>$L$9</formula>
    </cfRule>
  </conditionalFormatting>
  <conditionalFormatting sqref="K6:P6">
    <cfRule type="cellIs" dxfId="31" priority="10" stopIfTrue="1" operator="lessThan">
      <formula>0</formula>
    </cfRule>
  </conditionalFormatting>
  <pageMargins left="0.7" right="0.7" top="0.75" bottom="0.75" header="0.3" footer="0.3"/>
  <pageSetup scale="7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6C04-81A3-4C4A-A01B-7483F1737AA1}">
  <dimension ref="A1:AG31"/>
  <sheetViews>
    <sheetView showGridLines="0" topLeftCell="B1" zoomScale="90" zoomScaleNormal="90" workbookViewId="0">
      <selection activeCell="P17" sqref="P17"/>
    </sheetView>
  </sheetViews>
  <sheetFormatPr defaultColWidth="9.140625" defaultRowHeight="12.75" outlineLevelCol="2" x14ac:dyDescent="0.2"/>
  <cols>
    <col min="1" max="1" width="11.42578125" style="3" bestFit="1" customWidth="1"/>
    <col min="2" max="2" width="11.42578125" style="3" customWidth="1"/>
    <col min="3" max="3" width="25.42578125" style="3" customWidth="1"/>
    <col min="4" max="5" width="8.85546875" style="3" bestFit="1" customWidth="1"/>
    <col min="6" max="6" width="8.28515625" style="3" customWidth="1"/>
    <col min="7" max="7" width="10.5703125" style="3" bestFit="1" customWidth="1"/>
    <col min="8" max="8" width="8.28515625" style="3" bestFit="1" customWidth="1"/>
    <col min="9" max="9" width="11" style="3" bestFit="1" customWidth="1" outlineLevel="1"/>
    <col min="10" max="10" width="1.85546875" style="3" customWidth="1"/>
    <col min="11" max="11" width="8.85546875" style="3" bestFit="1" customWidth="1"/>
    <col min="12" max="12" width="8.85546875" style="3" bestFit="1" customWidth="1" outlineLevel="1"/>
    <col min="13" max="13" width="8.85546875" style="3" bestFit="1" customWidth="1" outlineLevel="2"/>
    <col min="14" max="14" width="8.7109375" style="3" customWidth="1" outlineLevel="1"/>
    <col min="15" max="15" width="7.85546875" style="3" customWidth="1"/>
    <col min="16" max="16" width="9.5703125" style="3" customWidth="1" outlineLevel="1"/>
    <col min="17" max="16384" width="9.140625" style="3"/>
  </cols>
  <sheetData>
    <row r="1" spans="1:33" ht="11.45" customHeight="1" x14ac:dyDescent="0.2">
      <c r="A1" s="1"/>
      <c r="B1" s="1"/>
      <c r="C1" s="2"/>
      <c r="D1" s="2"/>
      <c r="E1" s="2"/>
      <c r="F1" s="2"/>
      <c r="G1" s="2"/>
      <c r="H1" s="2"/>
      <c r="I1" s="2"/>
    </row>
    <row r="2" spans="1:33" ht="12.75" customHeight="1" x14ac:dyDescent="0.2">
      <c r="A2" s="1"/>
      <c r="B2" s="1"/>
      <c r="C2" s="175" t="s">
        <v>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33" ht="12.75" customHeight="1" x14ac:dyDescent="0.2">
      <c r="A3" s="1"/>
      <c r="B3" s="1"/>
      <c r="C3" s="176" t="s">
        <v>42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</row>
    <row r="4" spans="1:33" ht="12.75" customHeight="1" x14ac:dyDescent="0.2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3" ht="13.5" thickBot="1" x14ac:dyDescent="0.25">
      <c r="A5" s="1"/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33" ht="13.5" customHeight="1" thickBot="1" x14ac:dyDescent="0.25">
      <c r="A6" s="1"/>
      <c r="B6" s="1"/>
      <c r="C6" s="178" t="s">
        <v>2</v>
      </c>
      <c r="D6" s="179"/>
      <c r="E6" s="179"/>
      <c r="F6" s="179"/>
      <c r="G6" s="179"/>
      <c r="H6" s="179"/>
      <c r="I6" s="180"/>
      <c r="J6" s="72"/>
      <c r="K6" s="181" t="s">
        <v>3</v>
      </c>
      <c r="L6" s="182"/>
      <c r="M6" s="182"/>
      <c r="N6" s="182"/>
      <c r="O6" s="182"/>
      <c r="P6" s="183"/>
    </row>
    <row r="7" spans="1:33" ht="12.75" customHeight="1" x14ac:dyDescent="0.2">
      <c r="A7" s="172" t="s">
        <v>4</v>
      </c>
      <c r="B7" s="1"/>
      <c r="C7" s="73" t="s">
        <v>5</v>
      </c>
      <c r="D7" s="73" t="s">
        <v>6</v>
      </c>
      <c r="E7" s="73" t="s">
        <v>7</v>
      </c>
      <c r="F7" s="74" t="s">
        <v>8</v>
      </c>
      <c r="G7" s="184" t="s">
        <v>37</v>
      </c>
      <c r="H7" s="185"/>
      <c r="I7" s="72" t="s">
        <v>38</v>
      </c>
      <c r="J7" s="73"/>
      <c r="K7" s="75" t="s">
        <v>6</v>
      </c>
      <c r="L7" s="71" t="s">
        <v>7</v>
      </c>
      <c r="M7" s="71" t="s">
        <v>8</v>
      </c>
      <c r="N7" s="184" t="s">
        <v>37</v>
      </c>
      <c r="O7" s="185"/>
      <c r="P7" s="73" t="s">
        <v>38</v>
      </c>
    </row>
    <row r="8" spans="1:33" s="2" customFormat="1" ht="13.5" thickBot="1" x14ac:dyDescent="0.25">
      <c r="A8" s="174"/>
      <c r="B8" s="1"/>
      <c r="C8" s="76"/>
      <c r="D8" s="77">
        <v>46174</v>
      </c>
      <c r="E8" s="77">
        <v>46174</v>
      </c>
      <c r="F8" s="78">
        <v>45809</v>
      </c>
      <c r="G8" s="75" t="s">
        <v>11</v>
      </c>
      <c r="H8" s="79" t="s">
        <v>12</v>
      </c>
      <c r="I8" s="75" t="s">
        <v>11</v>
      </c>
      <c r="J8" s="80"/>
      <c r="K8" s="81">
        <v>46174</v>
      </c>
      <c r="L8" s="78">
        <v>46174</v>
      </c>
      <c r="M8" s="78">
        <v>45809</v>
      </c>
      <c r="N8" s="121" t="s">
        <v>11</v>
      </c>
      <c r="O8" s="79" t="s">
        <v>12</v>
      </c>
      <c r="P8" s="80" t="s">
        <v>11</v>
      </c>
      <c r="V8" s="3"/>
    </row>
    <row r="9" spans="1:33" s="30" customFormat="1" x14ac:dyDescent="0.2">
      <c r="A9" s="172" t="s">
        <v>13</v>
      </c>
      <c r="B9" s="1"/>
      <c r="C9" s="82" t="s">
        <v>14</v>
      </c>
      <c r="D9" s="83">
        <v>15.6</v>
      </c>
      <c r="E9" s="83">
        <v>10.199999999999999</v>
      </c>
      <c r="F9" s="137">
        <v>10.8</v>
      </c>
      <c r="G9" s="120">
        <f t="shared" ref="G9:G21" si="0">D9-E9</f>
        <v>5.4</v>
      </c>
      <c r="H9" s="110">
        <f>+G9/E9</f>
        <v>0.52941176470588247</v>
      </c>
      <c r="I9" s="130">
        <f>D9-F9</f>
        <v>4.7999999999999989</v>
      </c>
      <c r="J9" s="83"/>
      <c r="K9" s="91">
        <v>12</v>
      </c>
      <c r="L9" s="83">
        <v>10.199999999999999</v>
      </c>
      <c r="M9" s="91">
        <v>10.8</v>
      </c>
      <c r="N9" s="120">
        <f>K9-L9</f>
        <v>1.8000000000000007</v>
      </c>
      <c r="O9" s="110">
        <f t="shared" ref="O9:O20" si="1">+N9/L9</f>
        <v>0.17647058823529421</v>
      </c>
      <c r="P9" s="130">
        <f>K9-M9</f>
        <v>1.1999999999999993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173"/>
      <c r="B10" s="1"/>
      <c r="C10" s="85" t="s">
        <v>15</v>
      </c>
      <c r="D10" s="79">
        <v>12.5</v>
      </c>
      <c r="E10" s="80">
        <v>7.2</v>
      </c>
      <c r="F10" s="114">
        <v>9</v>
      </c>
      <c r="G10" s="122">
        <f t="shared" si="0"/>
        <v>5.3</v>
      </c>
      <c r="H10" s="107">
        <f t="shared" ref="H10:H20" si="2">+G10/E10</f>
        <v>0.73611111111111105</v>
      </c>
      <c r="I10" s="133">
        <f t="shared" ref="I10:I17" si="3">D10-F10</f>
        <v>3.5</v>
      </c>
      <c r="J10" s="79"/>
      <c r="K10" s="95">
        <v>9.6</v>
      </c>
      <c r="L10" s="80">
        <v>7.2</v>
      </c>
      <c r="M10" s="86">
        <v>9</v>
      </c>
      <c r="N10" s="122">
        <f t="shared" ref="N10:N17" si="4">K10-L10</f>
        <v>2.3999999999999995</v>
      </c>
      <c r="O10" s="107">
        <f t="shared" si="1"/>
        <v>0.33333333333333326</v>
      </c>
      <c r="P10" s="133">
        <f>K10-M10</f>
        <v>0.59999999999999964</v>
      </c>
    </row>
    <row r="11" spans="1:33" x14ac:dyDescent="0.2">
      <c r="A11" s="173"/>
      <c r="B11" s="1"/>
      <c r="C11" s="76" t="s">
        <v>16</v>
      </c>
      <c r="D11" s="79">
        <v>49.8</v>
      </c>
      <c r="E11" s="80">
        <v>22</v>
      </c>
      <c r="F11" s="114">
        <v>29.5</v>
      </c>
      <c r="G11" s="122">
        <f t="shared" si="0"/>
        <v>27.799999999999997</v>
      </c>
      <c r="H11" s="107">
        <f t="shared" si="2"/>
        <v>1.2636363636363634</v>
      </c>
      <c r="I11" s="133">
        <f>D11-F11</f>
        <v>20.299999999999997</v>
      </c>
      <c r="J11" s="79"/>
      <c r="K11" s="95">
        <v>29.5</v>
      </c>
      <c r="L11" s="80">
        <v>22</v>
      </c>
      <c r="M11" s="86">
        <v>29.5</v>
      </c>
      <c r="N11" s="122">
        <f t="shared" si="4"/>
        <v>7.5</v>
      </c>
      <c r="O11" s="107">
        <f t="shared" si="1"/>
        <v>0.34090909090909088</v>
      </c>
      <c r="P11" s="131">
        <f>K11-M11</f>
        <v>0</v>
      </c>
    </row>
    <row r="12" spans="1:33" ht="13.5" thickBot="1" x14ac:dyDescent="0.25">
      <c r="A12" s="174"/>
      <c r="B12" s="1"/>
      <c r="C12" s="57" t="s">
        <v>17</v>
      </c>
      <c r="D12" s="87">
        <v>7.3</v>
      </c>
      <c r="E12" s="88">
        <v>5</v>
      </c>
      <c r="F12" s="115">
        <v>5.8</v>
      </c>
      <c r="G12" s="122">
        <f t="shared" si="0"/>
        <v>2.2999999999999998</v>
      </c>
      <c r="H12" s="108">
        <f t="shared" si="2"/>
        <v>0.45999999999999996</v>
      </c>
      <c r="I12" s="134">
        <f t="shared" si="3"/>
        <v>1.5</v>
      </c>
      <c r="J12" s="87"/>
      <c r="K12" s="117">
        <v>5.9</v>
      </c>
      <c r="L12" s="88">
        <v>5</v>
      </c>
      <c r="M12" s="90">
        <v>5.8</v>
      </c>
      <c r="N12" s="123">
        <f t="shared" si="4"/>
        <v>0.90000000000000036</v>
      </c>
      <c r="O12" s="108">
        <f t="shared" si="1"/>
        <v>0.18000000000000008</v>
      </c>
      <c r="P12" s="134">
        <f>K12-M12</f>
        <v>0.10000000000000053</v>
      </c>
    </row>
    <row r="13" spans="1:33" ht="15.75" customHeight="1" x14ac:dyDescent="0.2">
      <c r="A13" s="172" t="s">
        <v>18</v>
      </c>
      <c r="B13" s="1"/>
      <c r="C13" s="82" t="s">
        <v>19</v>
      </c>
      <c r="D13" s="73">
        <v>99</v>
      </c>
      <c r="E13" s="73">
        <v>98</v>
      </c>
      <c r="F13" s="113">
        <v>97.7</v>
      </c>
      <c r="G13" s="126">
        <f t="shared" si="0"/>
        <v>1</v>
      </c>
      <c r="H13" s="106">
        <f t="shared" si="2"/>
        <v>1.020408163265306E-2</v>
      </c>
      <c r="I13" s="136">
        <f>D13-F13</f>
        <v>1.2999999999999972</v>
      </c>
      <c r="J13" s="83"/>
      <c r="K13" s="73">
        <v>98.4</v>
      </c>
      <c r="L13" s="73">
        <v>98</v>
      </c>
      <c r="M13" s="84">
        <v>97.7</v>
      </c>
      <c r="N13" s="126">
        <f t="shared" si="4"/>
        <v>0.40000000000000568</v>
      </c>
      <c r="O13" s="106">
        <f t="shared" si="1"/>
        <v>4.0816326530612821E-3</v>
      </c>
      <c r="P13" s="136">
        <f t="shared" ref="P13:P19" si="5">K13-M13</f>
        <v>0.70000000000000284</v>
      </c>
    </row>
    <row r="14" spans="1:33" x14ac:dyDescent="0.2">
      <c r="A14" s="173"/>
      <c r="B14" s="1"/>
      <c r="C14" s="76" t="s">
        <v>20</v>
      </c>
      <c r="D14" s="80">
        <v>6</v>
      </c>
      <c r="E14" s="80">
        <v>9.1999999999999993</v>
      </c>
      <c r="F14" s="114">
        <v>7</v>
      </c>
      <c r="G14" s="124">
        <f t="shared" si="0"/>
        <v>-3.1999999999999993</v>
      </c>
      <c r="H14" s="107">
        <f t="shared" si="2"/>
        <v>-0.34782608695652167</v>
      </c>
      <c r="I14" s="133">
        <f t="shared" si="3"/>
        <v>-1</v>
      </c>
      <c r="J14" s="79"/>
      <c r="K14" s="86">
        <v>6</v>
      </c>
      <c r="L14" s="80">
        <v>9.1999999999999993</v>
      </c>
      <c r="M14" s="86">
        <v>7</v>
      </c>
      <c r="N14" s="124">
        <f>K14-L14</f>
        <v>-3.1999999999999993</v>
      </c>
      <c r="O14" s="107">
        <f t="shared" si="1"/>
        <v>-0.34782608695652167</v>
      </c>
      <c r="P14" s="133">
        <f t="shared" si="5"/>
        <v>-1</v>
      </c>
    </row>
    <row r="15" spans="1:33" ht="13.5" thickBot="1" x14ac:dyDescent="0.25">
      <c r="A15" s="174"/>
      <c r="B15" s="1"/>
      <c r="C15" s="57" t="s">
        <v>21</v>
      </c>
      <c r="D15" s="88">
        <v>6.1</v>
      </c>
      <c r="E15" s="88">
        <v>5.5</v>
      </c>
      <c r="F15" s="115">
        <v>6.6</v>
      </c>
      <c r="G15" s="125">
        <f t="shared" si="0"/>
        <v>0.59999999999999964</v>
      </c>
      <c r="H15" s="108">
        <f t="shared" si="2"/>
        <v>0.10909090909090903</v>
      </c>
      <c r="I15" s="138">
        <f t="shared" si="3"/>
        <v>-0.5</v>
      </c>
      <c r="J15" s="92"/>
      <c r="K15" s="90">
        <v>6.3</v>
      </c>
      <c r="L15" s="88">
        <v>5.5</v>
      </c>
      <c r="M15" s="90">
        <v>6.6</v>
      </c>
      <c r="N15" s="125">
        <f t="shared" si="4"/>
        <v>0.79999999999999982</v>
      </c>
      <c r="O15" s="108">
        <f t="shared" si="1"/>
        <v>0.14545454545454542</v>
      </c>
      <c r="P15" s="138">
        <f t="shared" si="5"/>
        <v>-0.29999999999999982</v>
      </c>
    </row>
    <row r="16" spans="1:33" x14ac:dyDescent="0.2">
      <c r="A16" s="172" t="s">
        <v>22</v>
      </c>
      <c r="B16" s="1"/>
      <c r="C16" s="93" t="s">
        <v>23</v>
      </c>
      <c r="D16" s="73">
        <v>71.8</v>
      </c>
      <c r="E16" s="73">
        <v>72</v>
      </c>
      <c r="F16" s="113">
        <v>70</v>
      </c>
      <c r="G16" s="120">
        <f t="shared" si="0"/>
        <v>-0.20000000000000284</v>
      </c>
      <c r="H16" s="110">
        <f t="shared" si="2"/>
        <v>-2.7777777777778173E-3</v>
      </c>
      <c r="I16" s="136">
        <f t="shared" si="3"/>
        <v>1.7999999999999972</v>
      </c>
      <c r="J16" s="94"/>
      <c r="K16" s="84">
        <v>64.7</v>
      </c>
      <c r="L16" s="73">
        <v>72</v>
      </c>
      <c r="M16" s="84">
        <v>70</v>
      </c>
      <c r="N16" s="120">
        <f t="shared" si="4"/>
        <v>-7.2999999999999972</v>
      </c>
      <c r="O16" s="110">
        <f t="shared" si="1"/>
        <v>-0.10138888888888885</v>
      </c>
      <c r="P16" s="130">
        <f t="shared" si="5"/>
        <v>-5.2999999999999972</v>
      </c>
    </row>
    <row r="17" spans="1:33" ht="13.5" customHeight="1" x14ac:dyDescent="0.2">
      <c r="A17" s="173"/>
      <c r="B17" s="1"/>
      <c r="C17" s="85" t="s">
        <v>25</v>
      </c>
      <c r="D17" s="112">
        <v>2.1</v>
      </c>
      <c r="E17" s="80">
        <v>1.8</v>
      </c>
      <c r="F17" s="114">
        <v>2.1</v>
      </c>
      <c r="G17" s="124">
        <f t="shared" si="0"/>
        <v>0.30000000000000004</v>
      </c>
      <c r="H17" s="107">
        <f t="shared" si="2"/>
        <v>0.16666666666666669</v>
      </c>
      <c r="I17" s="131">
        <f t="shared" si="3"/>
        <v>0</v>
      </c>
      <c r="J17" s="96"/>
      <c r="K17" s="127">
        <v>1.9</v>
      </c>
      <c r="L17" s="80">
        <v>1.8</v>
      </c>
      <c r="M17" s="86">
        <v>2.1</v>
      </c>
      <c r="N17" s="124">
        <f t="shared" si="4"/>
        <v>9.9999999999999867E-2</v>
      </c>
      <c r="O17" s="107">
        <f t="shared" si="1"/>
        <v>5.5555555555555483E-2</v>
      </c>
      <c r="P17" s="140">
        <f>K17-M17</f>
        <v>-0.20000000000000018</v>
      </c>
    </row>
    <row r="18" spans="1:33" ht="13.5" thickBot="1" x14ac:dyDescent="0.25">
      <c r="A18" s="173"/>
      <c r="B18" s="1"/>
      <c r="C18" s="97" t="s">
        <v>29</v>
      </c>
      <c r="D18" s="98">
        <v>54957</v>
      </c>
      <c r="E18" s="98">
        <v>122850</v>
      </c>
      <c r="F18" s="99">
        <v>126788</v>
      </c>
      <c r="G18" s="128">
        <f t="shared" si="0"/>
        <v>-67893</v>
      </c>
      <c r="H18" s="108">
        <f>G18/E18</f>
        <v>-0.5526495726495726</v>
      </c>
      <c r="I18" s="139">
        <f>D18-G18</f>
        <v>122850</v>
      </c>
      <c r="J18" s="87"/>
      <c r="K18" s="98">
        <v>644502</v>
      </c>
      <c r="L18" s="98">
        <v>715850</v>
      </c>
      <c r="M18" s="98">
        <v>663166</v>
      </c>
      <c r="N18" s="129">
        <f>K18-L18</f>
        <v>-71348</v>
      </c>
      <c r="O18" s="108">
        <f>+N18/L18</f>
        <v>-9.9668925054131455E-2</v>
      </c>
      <c r="P18" s="135">
        <f>K18-M18</f>
        <v>-18664</v>
      </c>
    </row>
    <row r="19" spans="1:33" ht="12.75" customHeight="1" x14ac:dyDescent="0.2">
      <c r="A19" s="173"/>
      <c r="B19" s="1"/>
      <c r="C19" s="93" t="s">
        <v>39</v>
      </c>
      <c r="D19" s="73">
        <v>64.2</v>
      </c>
      <c r="E19" s="73">
        <v>80</v>
      </c>
      <c r="F19" s="113">
        <v>69.2</v>
      </c>
      <c r="G19" s="126">
        <f t="shared" si="0"/>
        <v>-15.799999999999997</v>
      </c>
      <c r="H19" s="110">
        <f t="shared" si="2"/>
        <v>-0.19749999999999995</v>
      </c>
      <c r="I19" s="136">
        <f>D19-F19</f>
        <v>-5</v>
      </c>
      <c r="J19" s="83"/>
      <c r="K19" s="73">
        <v>69.2</v>
      </c>
      <c r="L19" s="73">
        <v>80</v>
      </c>
      <c r="M19" s="84">
        <v>77.099999999999994</v>
      </c>
      <c r="N19" s="120">
        <f>K19-L19</f>
        <v>-10.799999999999997</v>
      </c>
      <c r="O19" s="110">
        <f t="shared" si="1"/>
        <v>-0.13499999999999995</v>
      </c>
      <c r="P19" s="136">
        <f t="shared" si="5"/>
        <v>-7.8999999999999915</v>
      </c>
    </row>
    <row r="20" spans="1:33" ht="13.5" customHeight="1" thickBot="1" x14ac:dyDescent="0.25">
      <c r="A20" s="173"/>
      <c r="B20" s="1"/>
      <c r="C20" s="57" t="s">
        <v>40</v>
      </c>
      <c r="D20" s="88">
        <v>1</v>
      </c>
      <c r="E20" s="88">
        <v>70</v>
      </c>
      <c r="F20" s="115">
        <v>25</v>
      </c>
      <c r="G20" s="125">
        <f t="shared" si="0"/>
        <v>-69</v>
      </c>
      <c r="H20" s="108">
        <f t="shared" si="2"/>
        <v>-0.98571428571428577</v>
      </c>
      <c r="I20" s="134">
        <f>D20-F20</f>
        <v>-24</v>
      </c>
      <c r="J20" s="101"/>
      <c r="K20" s="88">
        <v>25.8</v>
      </c>
      <c r="L20" s="88">
        <v>70</v>
      </c>
      <c r="M20" s="90">
        <v>37</v>
      </c>
      <c r="N20" s="125">
        <f>K20-L20</f>
        <v>-44.2</v>
      </c>
      <c r="O20" s="108">
        <f t="shared" si="1"/>
        <v>-0.63142857142857145</v>
      </c>
      <c r="P20" s="132">
        <f>K20-M20</f>
        <v>-11.2</v>
      </c>
    </row>
    <row r="21" spans="1:33" ht="13.5" customHeight="1" thickBot="1" x14ac:dyDescent="0.25">
      <c r="A21" s="173"/>
      <c r="B21" s="1"/>
      <c r="C21" s="97" t="s">
        <v>35</v>
      </c>
      <c r="D21" s="88">
        <v>64.400000000000006</v>
      </c>
      <c r="E21" s="88">
        <v>82</v>
      </c>
      <c r="F21" s="115">
        <v>73.099999999999994</v>
      </c>
      <c r="G21" s="125">
        <f t="shared" si="0"/>
        <v>-17.599999999999994</v>
      </c>
      <c r="H21" s="108">
        <f>+G21/E21</f>
        <v>-0.21463414634146336</v>
      </c>
      <c r="I21" s="123">
        <f t="shared" ref="I21" si="6">F21-D21</f>
        <v>8.6999999999999886</v>
      </c>
      <c r="J21" s="87"/>
      <c r="K21" s="88">
        <v>69.3</v>
      </c>
      <c r="L21" s="88">
        <v>82</v>
      </c>
      <c r="M21" s="90">
        <v>73.2</v>
      </c>
      <c r="N21" s="125">
        <f>K21-L21</f>
        <v>-12.700000000000003</v>
      </c>
      <c r="O21" s="108">
        <f>+N21/L21</f>
        <v>-0.15487804878048783</v>
      </c>
      <c r="P21" s="123">
        <f t="shared" ref="P21" si="7">M21-K21</f>
        <v>3.9000000000000057</v>
      </c>
    </row>
    <row r="22" spans="1:33" ht="13.5" thickBot="1" x14ac:dyDescent="0.25">
      <c r="A22" s="174"/>
      <c r="B22" s="1"/>
      <c r="C22" s="1"/>
      <c r="D22" s="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33" x14ac:dyDescent="0.2">
      <c r="A23" s="172" t="s">
        <v>30</v>
      </c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33" ht="14.45" customHeight="1" thickBot="1" x14ac:dyDescent="0.25">
      <c r="A24" s="174"/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33" s="69" customFormat="1" ht="13.5" thickBot="1" x14ac:dyDescent="0.25">
      <c r="A25" s="58" t="s">
        <v>34</v>
      </c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33" x14ac:dyDescent="0.2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33" x14ac:dyDescent="0.2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3" x14ac:dyDescent="0.2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33" x14ac:dyDescent="0.2">
      <c r="A30" s="1"/>
      <c r="B30" s="1"/>
    </row>
    <row r="31" spans="1:33" x14ac:dyDescent="0.2">
      <c r="F31" s="70"/>
      <c r="G31" s="70"/>
      <c r="H31" s="70"/>
    </row>
  </sheetData>
  <mergeCells count="11">
    <mergeCell ref="A9:A12"/>
    <mergeCell ref="A13:A15"/>
    <mergeCell ref="A16:A22"/>
    <mergeCell ref="A23:A24"/>
    <mergeCell ref="C2:P2"/>
    <mergeCell ref="C3:P3"/>
    <mergeCell ref="C6:I6"/>
    <mergeCell ref="K6:P6"/>
    <mergeCell ref="A7:A8"/>
    <mergeCell ref="G7:H7"/>
    <mergeCell ref="N7:O7"/>
  </mergeCells>
  <conditionalFormatting sqref="C2:P3 E4:P5 E22:P29">
    <cfRule type="cellIs" dxfId="30" priority="15" stopIfTrue="1" operator="lessThan">
      <formula>0</formula>
    </cfRule>
  </conditionalFormatting>
  <conditionalFormatting sqref="D9:D12 D14:D21">
    <cfRule type="aboveAverage" dxfId="29" priority="13" aboveAverage="0"/>
  </conditionalFormatting>
  <conditionalFormatting sqref="D13">
    <cfRule type="aboveAverage" dxfId="28" priority="11" aboveAverage="0"/>
  </conditionalFormatting>
  <conditionalFormatting sqref="D18">
    <cfRule type="cellIs" dxfId="27" priority="10" operator="lessThan">
      <formula>$E$18</formula>
    </cfRule>
  </conditionalFormatting>
  <conditionalFormatting sqref="K9">
    <cfRule type="aboveAverage" dxfId="26" priority="2" aboveAverage="0"/>
  </conditionalFormatting>
  <conditionalFormatting sqref="K10">
    <cfRule type="aboveAverage" dxfId="25" priority="3" aboveAverage="0"/>
  </conditionalFormatting>
  <conditionalFormatting sqref="K11">
    <cfRule type="cellIs" dxfId="24" priority="4" operator="greaterThan">
      <formula>$L$9</formula>
    </cfRule>
  </conditionalFormatting>
  <conditionalFormatting sqref="K12">
    <cfRule type="aboveAverage" dxfId="23" priority="5" aboveAverage="0"/>
  </conditionalFormatting>
  <conditionalFormatting sqref="K13">
    <cfRule type="aboveAverage" dxfId="22" priority="1" aboveAverage="0"/>
  </conditionalFormatting>
  <conditionalFormatting sqref="K14:K21">
    <cfRule type="cellIs" dxfId="21" priority="6" operator="greaterThan">
      <formula>$L$9</formula>
    </cfRule>
  </conditionalFormatting>
  <conditionalFormatting sqref="K6:P6">
    <cfRule type="cellIs" dxfId="20" priority="14" stopIfTrue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554A-DBFE-441A-8658-138CB2A2DF4C}">
  <dimension ref="A1:AG31"/>
  <sheetViews>
    <sheetView showGridLines="0" zoomScale="90" zoomScaleNormal="90" workbookViewId="0">
      <selection activeCell="C36" sqref="C36"/>
    </sheetView>
  </sheetViews>
  <sheetFormatPr defaultColWidth="9.140625" defaultRowHeight="12.75" outlineLevelCol="2" x14ac:dyDescent="0.2"/>
  <cols>
    <col min="1" max="1" width="11.42578125" style="3" bestFit="1" customWidth="1"/>
    <col min="2" max="2" width="11.42578125" style="3" customWidth="1"/>
    <col min="3" max="3" width="25.42578125" style="3" customWidth="1"/>
    <col min="4" max="6" width="8.85546875" style="3" bestFit="1" customWidth="1"/>
    <col min="7" max="7" width="9" style="3" bestFit="1" customWidth="1"/>
    <col min="8" max="8" width="8.140625" style="3" bestFit="1" customWidth="1"/>
    <col min="9" max="9" width="8.42578125" style="3" bestFit="1" customWidth="1" outlineLevel="1"/>
    <col min="10" max="10" width="1.85546875" style="3" customWidth="1"/>
    <col min="11" max="11" width="8.85546875" style="3" bestFit="1" customWidth="1"/>
    <col min="12" max="12" width="8.85546875" style="3" bestFit="1" customWidth="1" outlineLevel="1"/>
    <col min="13" max="13" width="8.85546875" style="3" bestFit="1" customWidth="1" outlineLevel="2"/>
    <col min="14" max="14" width="9.5703125" style="3" customWidth="1" outlineLevel="1"/>
    <col min="15" max="15" width="8.140625" style="3" bestFit="1" customWidth="1"/>
    <col min="16" max="16" width="8.7109375" style="3" bestFit="1" customWidth="1" outlineLevel="1"/>
    <col min="17" max="16384" width="9.140625" style="3"/>
  </cols>
  <sheetData>
    <row r="1" spans="1:33" ht="11.45" customHeight="1" x14ac:dyDescent="0.2">
      <c r="A1" s="1"/>
      <c r="B1" s="1"/>
      <c r="C1" s="2"/>
      <c r="D1" s="2"/>
      <c r="E1" s="2"/>
      <c r="F1" s="2"/>
      <c r="G1" s="2"/>
      <c r="H1" s="2"/>
      <c r="I1" s="2"/>
    </row>
    <row r="2" spans="1:33" ht="12.75" customHeight="1" x14ac:dyDescent="0.2">
      <c r="A2" s="1"/>
      <c r="B2" s="1"/>
      <c r="C2" s="175" t="s">
        <v>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33" ht="12.75" customHeight="1" x14ac:dyDescent="0.2">
      <c r="A3" s="1"/>
      <c r="B3" s="1"/>
      <c r="C3" s="176" t="s">
        <v>41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</row>
    <row r="4" spans="1:33" ht="12.75" customHeight="1" x14ac:dyDescent="0.2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3" ht="13.5" thickBot="1" x14ac:dyDescent="0.25">
      <c r="A5" s="1"/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33" ht="13.5" customHeight="1" thickBot="1" x14ac:dyDescent="0.25">
      <c r="A6" s="1"/>
      <c r="B6" s="1"/>
      <c r="C6" s="178" t="s">
        <v>2</v>
      </c>
      <c r="D6" s="179"/>
      <c r="E6" s="179"/>
      <c r="F6" s="179"/>
      <c r="G6" s="179"/>
      <c r="H6" s="179"/>
      <c r="I6" s="180"/>
      <c r="J6" s="72"/>
      <c r="K6" s="181" t="s">
        <v>3</v>
      </c>
      <c r="L6" s="182"/>
      <c r="M6" s="182"/>
      <c r="N6" s="182"/>
      <c r="O6" s="182"/>
      <c r="P6" s="183"/>
    </row>
    <row r="7" spans="1:33" ht="12.75" customHeight="1" x14ac:dyDescent="0.2">
      <c r="A7" s="172" t="s">
        <v>4</v>
      </c>
      <c r="B7" s="1"/>
      <c r="C7" s="73" t="s">
        <v>5</v>
      </c>
      <c r="D7" s="73" t="s">
        <v>6</v>
      </c>
      <c r="E7" s="73" t="s">
        <v>7</v>
      </c>
      <c r="F7" s="74" t="s">
        <v>8</v>
      </c>
      <c r="G7" s="184" t="s">
        <v>37</v>
      </c>
      <c r="H7" s="185"/>
      <c r="I7" s="72" t="s">
        <v>38</v>
      </c>
      <c r="J7" s="73"/>
      <c r="K7" s="75" t="s">
        <v>6</v>
      </c>
      <c r="L7" s="71" t="s">
        <v>7</v>
      </c>
      <c r="M7" s="71" t="s">
        <v>8</v>
      </c>
      <c r="N7" s="184" t="s">
        <v>37</v>
      </c>
      <c r="O7" s="185"/>
      <c r="P7" s="73" t="s">
        <v>38</v>
      </c>
    </row>
    <row r="8" spans="1:33" s="2" customFormat="1" ht="13.5" thickBot="1" x14ac:dyDescent="0.25">
      <c r="A8" s="174"/>
      <c r="B8" s="1"/>
      <c r="C8" s="76"/>
      <c r="D8" s="77">
        <v>46143</v>
      </c>
      <c r="E8" s="77">
        <v>46143</v>
      </c>
      <c r="F8" s="78">
        <v>45778</v>
      </c>
      <c r="G8" s="75" t="s">
        <v>11</v>
      </c>
      <c r="H8" s="79" t="s">
        <v>12</v>
      </c>
      <c r="I8" s="75" t="s">
        <v>11</v>
      </c>
      <c r="J8" s="80"/>
      <c r="K8" s="81">
        <v>46143</v>
      </c>
      <c r="L8" s="78">
        <v>46143</v>
      </c>
      <c r="M8" s="78">
        <v>45778</v>
      </c>
      <c r="N8" s="75" t="s">
        <v>11</v>
      </c>
      <c r="O8" s="79" t="s">
        <v>12</v>
      </c>
      <c r="P8" s="80" t="s">
        <v>11</v>
      </c>
      <c r="V8" s="3"/>
    </row>
    <row r="9" spans="1:33" s="30" customFormat="1" x14ac:dyDescent="0.2">
      <c r="A9" s="172" t="s">
        <v>13</v>
      </c>
      <c r="B9" s="1"/>
      <c r="C9" s="82" t="s">
        <v>14</v>
      </c>
      <c r="D9" s="83">
        <v>9.1</v>
      </c>
      <c r="E9" s="83">
        <v>10.199999999999999</v>
      </c>
      <c r="F9" s="74">
        <v>12</v>
      </c>
      <c r="G9" s="72">
        <f>E9-D9</f>
        <v>1.0999999999999996</v>
      </c>
      <c r="H9" s="106">
        <f t="shared" ref="H9:H20" si="0">+G9/E9</f>
        <v>0.10784313725490194</v>
      </c>
      <c r="I9" s="91">
        <f t="shared" ref="I9:I19" si="1">D9-F9</f>
        <v>-2.9000000000000004</v>
      </c>
      <c r="J9" s="83"/>
      <c r="K9" s="73">
        <v>11.2</v>
      </c>
      <c r="L9" s="83">
        <v>10.199999999999999</v>
      </c>
      <c r="M9" s="83">
        <v>11</v>
      </c>
      <c r="N9" s="113">
        <f t="shared" ref="N9:N18" si="2">K9-L9</f>
        <v>1</v>
      </c>
      <c r="O9" s="110">
        <f t="shared" ref="O9:O20" si="3">+N9/L9</f>
        <v>9.8039215686274522E-2</v>
      </c>
      <c r="P9" s="91">
        <f t="shared" ref="P9:P19" si="4">K9-M9</f>
        <v>0.19999999999999929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173"/>
      <c r="B10" s="1"/>
      <c r="C10" s="85" t="s">
        <v>15</v>
      </c>
      <c r="D10" s="79">
        <v>7.5</v>
      </c>
      <c r="E10" s="80">
        <v>7.2</v>
      </c>
      <c r="F10" s="75">
        <v>10.7</v>
      </c>
      <c r="G10" s="86">
        <f t="shared" ref="G10:G18" si="5">D10-E10</f>
        <v>0.29999999999999982</v>
      </c>
      <c r="H10" s="107">
        <f t="shared" si="0"/>
        <v>4.1666666666666644E-2</v>
      </c>
      <c r="I10" s="79">
        <f t="shared" si="1"/>
        <v>-3.1999999999999993</v>
      </c>
      <c r="J10" s="79"/>
      <c r="K10" s="80">
        <v>9</v>
      </c>
      <c r="L10" s="80">
        <v>7.2</v>
      </c>
      <c r="M10" s="80">
        <v>9.1</v>
      </c>
      <c r="N10" s="86">
        <f t="shared" si="2"/>
        <v>1.7999999999999998</v>
      </c>
      <c r="O10" s="107">
        <f t="shared" si="3"/>
        <v>0.24999999999999997</v>
      </c>
      <c r="P10" s="79">
        <f t="shared" si="4"/>
        <v>-9.9999999999999645E-2</v>
      </c>
    </row>
    <row r="11" spans="1:33" x14ac:dyDescent="0.2">
      <c r="A11" s="173"/>
      <c r="B11" s="1"/>
      <c r="C11" s="76" t="s">
        <v>16</v>
      </c>
      <c r="D11" s="79">
        <v>22.7</v>
      </c>
      <c r="E11" s="80">
        <v>22</v>
      </c>
      <c r="F11" s="75">
        <v>36.700000000000003</v>
      </c>
      <c r="G11" s="86">
        <f t="shared" si="5"/>
        <v>0.69999999999999929</v>
      </c>
      <c r="H11" s="107">
        <f t="shared" si="0"/>
        <v>3.1818181818181787E-2</v>
      </c>
      <c r="I11" s="79">
        <f t="shared" si="1"/>
        <v>-14.000000000000004</v>
      </c>
      <c r="J11" s="79"/>
      <c r="K11" s="80">
        <v>25.4</v>
      </c>
      <c r="L11" s="80">
        <v>22</v>
      </c>
      <c r="M11" s="80">
        <v>30.1</v>
      </c>
      <c r="N11" s="86">
        <f t="shared" si="2"/>
        <v>3.3999999999999986</v>
      </c>
      <c r="O11" s="107">
        <f t="shared" si="3"/>
        <v>0.15454545454545449</v>
      </c>
      <c r="P11" s="79">
        <f t="shared" si="4"/>
        <v>-4.7000000000000028</v>
      </c>
    </row>
    <row r="12" spans="1:33" ht="13.5" thickBot="1" x14ac:dyDescent="0.25">
      <c r="A12" s="174"/>
      <c r="B12" s="1"/>
      <c r="C12" s="57" t="s">
        <v>17</v>
      </c>
      <c r="D12" s="87">
        <v>6</v>
      </c>
      <c r="E12" s="88">
        <v>5</v>
      </c>
      <c r="F12" s="89">
        <v>6.4</v>
      </c>
      <c r="G12" s="86">
        <f t="shared" si="5"/>
        <v>1</v>
      </c>
      <c r="H12" s="108">
        <f t="shared" si="0"/>
        <v>0.2</v>
      </c>
      <c r="I12" s="87">
        <f>D12-F12</f>
        <v>-0.40000000000000036</v>
      </c>
      <c r="J12" s="87"/>
      <c r="K12" s="88">
        <v>5.6</v>
      </c>
      <c r="L12" s="88">
        <v>5</v>
      </c>
      <c r="M12" s="88">
        <v>5.8</v>
      </c>
      <c r="N12" s="90">
        <f t="shared" si="2"/>
        <v>0.59999999999999964</v>
      </c>
      <c r="O12" s="108">
        <f t="shared" si="3"/>
        <v>0.11999999999999993</v>
      </c>
      <c r="P12" s="87">
        <f t="shared" si="4"/>
        <v>-0.20000000000000018</v>
      </c>
    </row>
    <row r="13" spans="1:33" ht="15.75" customHeight="1" x14ac:dyDescent="0.2">
      <c r="A13" s="172" t="s">
        <v>18</v>
      </c>
      <c r="B13" s="1"/>
      <c r="C13" s="82" t="s">
        <v>19</v>
      </c>
      <c r="D13" s="73">
        <v>97.8</v>
      </c>
      <c r="E13" s="73">
        <v>98</v>
      </c>
      <c r="F13" s="72">
        <v>98.8</v>
      </c>
      <c r="G13" s="113">
        <f t="shared" si="5"/>
        <v>-0.20000000000000284</v>
      </c>
      <c r="H13" s="110">
        <f t="shared" si="0"/>
        <v>-2.0408163265306411E-3</v>
      </c>
      <c r="I13" s="83">
        <f t="shared" si="1"/>
        <v>-1</v>
      </c>
      <c r="J13" s="83"/>
      <c r="K13" s="73">
        <v>97.8</v>
      </c>
      <c r="L13" s="73">
        <v>98</v>
      </c>
      <c r="M13" s="73">
        <v>97.6</v>
      </c>
      <c r="N13" s="113">
        <f t="shared" si="2"/>
        <v>-0.20000000000000284</v>
      </c>
      <c r="O13" s="110">
        <f t="shared" si="3"/>
        <v>-2.0408163265306411E-3</v>
      </c>
      <c r="P13" s="83">
        <f t="shared" si="4"/>
        <v>0.20000000000000284</v>
      </c>
    </row>
    <row r="14" spans="1:33" x14ac:dyDescent="0.2">
      <c r="A14" s="173"/>
      <c r="B14" s="1"/>
      <c r="C14" s="76" t="s">
        <v>20</v>
      </c>
      <c r="D14" s="80">
        <v>6</v>
      </c>
      <c r="E14" s="80">
        <v>9.1999999999999993</v>
      </c>
      <c r="F14" s="75">
        <v>7</v>
      </c>
      <c r="G14" s="114">
        <f t="shared" si="5"/>
        <v>-3.1999999999999993</v>
      </c>
      <c r="H14" s="107">
        <f t="shared" si="0"/>
        <v>-0.34782608695652167</v>
      </c>
      <c r="I14" s="95">
        <f t="shared" si="1"/>
        <v>-1</v>
      </c>
      <c r="J14" s="79"/>
      <c r="K14" s="80">
        <v>6</v>
      </c>
      <c r="L14" s="80">
        <v>9.1999999999999993</v>
      </c>
      <c r="M14" s="80">
        <v>7</v>
      </c>
      <c r="N14" s="114">
        <f t="shared" si="2"/>
        <v>-3.1999999999999993</v>
      </c>
      <c r="O14" s="107">
        <f t="shared" si="3"/>
        <v>-0.34782608695652167</v>
      </c>
      <c r="P14" s="95">
        <f t="shared" si="4"/>
        <v>-1</v>
      </c>
    </row>
    <row r="15" spans="1:33" ht="13.5" thickBot="1" x14ac:dyDescent="0.25">
      <c r="A15" s="174"/>
      <c r="B15" s="1"/>
      <c r="C15" s="57" t="s">
        <v>21</v>
      </c>
      <c r="D15" s="88">
        <v>5.8</v>
      </c>
      <c r="E15" s="88">
        <v>5.5</v>
      </c>
      <c r="F15" s="89">
        <v>5.3</v>
      </c>
      <c r="G15" s="115">
        <f t="shared" si="5"/>
        <v>0.29999999999999982</v>
      </c>
      <c r="H15" s="108">
        <f t="shared" si="0"/>
        <v>5.4545454545454515E-2</v>
      </c>
      <c r="I15" s="87">
        <f t="shared" si="1"/>
        <v>0.5</v>
      </c>
      <c r="J15" s="92"/>
      <c r="K15" s="88">
        <v>6.3</v>
      </c>
      <c r="L15" s="88">
        <v>5.5</v>
      </c>
      <c r="M15" s="88">
        <v>6.7</v>
      </c>
      <c r="N15" s="115">
        <f t="shared" si="2"/>
        <v>0.79999999999999982</v>
      </c>
      <c r="O15" s="108">
        <f t="shared" si="3"/>
        <v>0.14545454545454542</v>
      </c>
      <c r="P15" s="87">
        <f t="shared" si="4"/>
        <v>-0.40000000000000036</v>
      </c>
    </row>
    <row r="16" spans="1:33" x14ac:dyDescent="0.2">
      <c r="A16" s="172" t="s">
        <v>22</v>
      </c>
      <c r="B16" s="1"/>
      <c r="C16" s="93" t="s">
        <v>23</v>
      </c>
      <c r="D16" s="73">
        <v>69.400000000000006</v>
      </c>
      <c r="E16" s="73">
        <v>72</v>
      </c>
      <c r="F16" s="72">
        <v>66.099999999999994</v>
      </c>
      <c r="G16" s="113">
        <f t="shared" si="5"/>
        <v>-2.5999999999999943</v>
      </c>
      <c r="H16" s="110">
        <f>+G16/E16</f>
        <v>-3.6111111111111031E-2</v>
      </c>
      <c r="I16" s="91">
        <f t="shared" si="1"/>
        <v>3.3000000000000114</v>
      </c>
      <c r="J16" s="94"/>
      <c r="K16" s="73">
        <v>63.2</v>
      </c>
      <c r="L16" s="73">
        <v>72</v>
      </c>
      <c r="M16" s="73">
        <v>69.3</v>
      </c>
      <c r="N16" s="113">
        <f t="shared" si="2"/>
        <v>-8.7999999999999972</v>
      </c>
      <c r="O16" s="110">
        <f t="shared" si="3"/>
        <v>-0.12222222222222218</v>
      </c>
      <c r="P16" s="91">
        <f t="shared" si="4"/>
        <v>-6.0999999999999943</v>
      </c>
    </row>
    <row r="17" spans="1:33" ht="13.5" customHeight="1" x14ac:dyDescent="0.2">
      <c r="A17" s="173"/>
      <c r="B17" s="1"/>
      <c r="C17" s="85" t="s">
        <v>25</v>
      </c>
      <c r="D17" s="112">
        <v>1.96</v>
      </c>
      <c r="E17" s="80">
        <v>1.8</v>
      </c>
      <c r="F17" s="75">
        <v>2.6</v>
      </c>
      <c r="G17" s="116">
        <f t="shared" si="5"/>
        <v>0.15999999999999992</v>
      </c>
      <c r="H17" s="107">
        <f t="shared" si="0"/>
        <v>8.8888888888888837E-2</v>
      </c>
      <c r="I17" s="118">
        <f t="shared" si="1"/>
        <v>-0.64000000000000012</v>
      </c>
      <c r="J17" s="96"/>
      <c r="K17" s="112">
        <v>1.92</v>
      </c>
      <c r="L17" s="80">
        <v>1.8</v>
      </c>
      <c r="M17" s="80">
        <v>2.2000000000000002</v>
      </c>
      <c r="N17" s="116">
        <f t="shared" si="2"/>
        <v>0.11999999999999988</v>
      </c>
      <c r="O17" s="107">
        <f t="shared" si="3"/>
        <v>6.6666666666666596E-2</v>
      </c>
      <c r="P17" s="118">
        <f t="shared" si="4"/>
        <v>-0.28000000000000025</v>
      </c>
    </row>
    <row r="18" spans="1:33" ht="13.5" thickBot="1" x14ac:dyDescent="0.25">
      <c r="A18" s="173"/>
      <c r="B18" s="1"/>
      <c r="C18" s="97" t="s">
        <v>29</v>
      </c>
      <c r="D18" s="98">
        <v>133053</v>
      </c>
      <c r="E18" s="98">
        <v>86200</v>
      </c>
      <c r="F18" s="99">
        <v>94126</v>
      </c>
      <c r="G18" s="99">
        <f t="shared" si="5"/>
        <v>46853</v>
      </c>
      <c r="H18" s="109">
        <f>+G18/E18</f>
        <v>0.54353828306264507</v>
      </c>
      <c r="I18" s="100">
        <f>D18-F18</f>
        <v>38927</v>
      </c>
      <c r="J18" s="87"/>
      <c r="K18" s="98">
        <v>589545</v>
      </c>
      <c r="L18" s="98">
        <v>593000</v>
      </c>
      <c r="M18" s="98">
        <v>536378</v>
      </c>
      <c r="N18" s="119">
        <f t="shared" si="2"/>
        <v>-3455</v>
      </c>
      <c r="O18" s="108">
        <f t="shared" si="3"/>
        <v>-5.8263069139966274E-3</v>
      </c>
      <c r="P18" s="100">
        <f t="shared" si="4"/>
        <v>53167</v>
      </c>
    </row>
    <row r="19" spans="1:33" ht="12.75" customHeight="1" x14ac:dyDescent="0.2">
      <c r="A19" s="173"/>
      <c r="B19" s="1"/>
      <c r="C19" s="93" t="s">
        <v>39</v>
      </c>
      <c r="D19" s="73">
        <v>82</v>
      </c>
      <c r="E19" s="73">
        <v>80</v>
      </c>
      <c r="F19" s="72">
        <v>51.6</v>
      </c>
      <c r="G19" s="72">
        <f>D19-E19</f>
        <v>2</v>
      </c>
      <c r="H19" s="106">
        <f t="shared" si="0"/>
        <v>2.5000000000000001E-2</v>
      </c>
      <c r="I19" s="83">
        <f t="shared" si="1"/>
        <v>30.4</v>
      </c>
      <c r="J19" s="83"/>
      <c r="K19" s="73">
        <v>70.2</v>
      </c>
      <c r="L19" s="73">
        <v>80</v>
      </c>
      <c r="M19" s="73">
        <v>67.7</v>
      </c>
      <c r="N19" s="113">
        <f>L19-K19</f>
        <v>9.7999999999999972</v>
      </c>
      <c r="O19" s="110">
        <f t="shared" si="3"/>
        <v>0.12249999999999997</v>
      </c>
      <c r="P19" s="83">
        <f t="shared" si="4"/>
        <v>2.5</v>
      </c>
    </row>
    <row r="20" spans="1:33" ht="13.5" customHeight="1" thickBot="1" x14ac:dyDescent="0.25">
      <c r="A20" s="173"/>
      <c r="B20" s="1"/>
      <c r="C20" s="57" t="s">
        <v>40</v>
      </c>
      <c r="D20" s="88">
        <v>21</v>
      </c>
      <c r="E20" s="88">
        <v>70</v>
      </c>
      <c r="F20" s="89">
        <v>41</v>
      </c>
      <c r="G20" s="115">
        <f>D20-E20</f>
        <v>-49</v>
      </c>
      <c r="H20" s="108">
        <f t="shared" si="0"/>
        <v>-0.7</v>
      </c>
      <c r="I20" s="87">
        <f>D20-F20</f>
        <v>-20</v>
      </c>
      <c r="J20" s="101"/>
      <c r="K20" s="88">
        <v>30.8</v>
      </c>
      <c r="L20" s="88">
        <v>70</v>
      </c>
      <c r="M20" s="88">
        <v>22.6</v>
      </c>
      <c r="N20" s="115">
        <f>K20-L20</f>
        <v>-39.200000000000003</v>
      </c>
      <c r="O20" s="108">
        <f t="shared" si="3"/>
        <v>-0.56000000000000005</v>
      </c>
      <c r="P20" s="87">
        <f>K20-M20</f>
        <v>8.1999999999999993</v>
      </c>
    </row>
    <row r="21" spans="1:33" ht="13.5" customHeight="1" thickBot="1" x14ac:dyDescent="0.25">
      <c r="A21" s="173"/>
      <c r="B21" s="1"/>
      <c r="C21" s="97" t="s">
        <v>35</v>
      </c>
      <c r="D21" s="88">
        <v>70.900000000000006</v>
      </c>
      <c r="E21" s="88">
        <v>82</v>
      </c>
      <c r="F21" s="89">
        <v>74.2</v>
      </c>
      <c r="G21" s="115">
        <f>E21-D21</f>
        <v>11.099999999999994</v>
      </c>
      <c r="H21" s="108">
        <f>+G21/E21</f>
        <v>0.13536585365853651</v>
      </c>
      <c r="I21" s="90">
        <f t="shared" ref="I21" si="6">F21-D21</f>
        <v>3.2999999999999972</v>
      </c>
      <c r="J21" s="87"/>
      <c r="K21" s="88">
        <v>70.3</v>
      </c>
      <c r="L21" s="88">
        <v>82</v>
      </c>
      <c r="M21" s="88">
        <v>73</v>
      </c>
      <c r="N21" s="115">
        <f>L21-K21</f>
        <v>11.700000000000003</v>
      </c>
      <c r="O21" s="108">
        <f>+N21/L21</f>
        <v>0.14268292682926834</v>
      </c>
      <c r="P21" s="90">
        <f t="shared" ref="P21" si="7">M21-K21</f>
        <v>2.7000000000000028</v>
      </c>
    </row>
    <row r="22" spans="1:33" ht="13.5" thickBot="1" x14ac:dyDescent="0.25">
      <c r="A22" s="174"/>
      <c r="B22" s="1"/>
      <c r="C22" s="1"/>
      <c r="D22" s="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33" x14ac:dyDescent="0.2">
      <c r="A23" s="172" t="s">
        <v>30</v>
      </c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33" ht="14.45" customHeight="1" thickBot="1" x14ac:dyDescent="0.25">
      <c r="A24" s="174"/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33" s="69" customFormat="1" ht="13.5" thickBot="1" x14ac:dyDescent="0.25">
      <c r="A25" s="58" t="s">
        <v>34</v>
      </c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33" x14ac:dyDescent="0.2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33" x14ac:dyDescent="0.2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3" x14ac:dyDescent="0.2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33" x14ac:dyDescent="0.2">
      <c r="A30" s="1"/>
      <c r="B30" s="1"/>
    </row>
    <row r="31" spans="1:33" x14ac:dyDescent="0.2">
      <c r="F31" s="70"/>
      <c r="G31" s="70"/>
      <c r="H31" s="70"/>
    </row>
  </sheetData>
  <mergeCells count="11">
    <mergeCell ref="A9:A12"/>
    <mergeCell ref="A13:A15"/>
    <mergeCell ref="A16:A22"/>
    <mergeCell ref="A23:A24"/>
    <mergeCell ref="C2:P2"/>
    <mergeCell ref="C3:P3"/>
    <mergeCell ref="C6:I6"/>
    <mergeCell ref="K6:P6"/>
    <mergeCell ref="A7:A8"/>
    <mergeCell ref="G7:H7"/>
    <mergeCell ref="N7:O7"/>
  </mergeCells>
  <conditionalFormatting sqref="C2:P3 E4:P5 E22:P29">
    <cfRule type="cellIs" dxfId="19" priority="3" stopIfTrue="1" operator="lessThan">
      <formula>0</formula>
    </cfRule>
  </conditionalFormatting>
  <conditionalFormatting sqref="I9:I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{B98CB0DB-8DBC-48C4-A3BD-658C280660EA}</x14:id>
        </ext>
      </extLst>
    </cfRule>
  </conditionalFormatting>
  <conditionalFormatting sqref="K6:P6">
    <cfRule type="cellIs" dxfId="18" priority="2" stopIfTrue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8CB0DB-8DBC-48C4-A3BD-658C28066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ADDC-1761-437B-AF90-D6E538CC361F}">
  <dimension ref="A1:AG31"/>
  <sheetViews>
    <sheetView showGridLines="0" topLeftCell="B1" zoomScale="90" zoomScaleNormal="90" workbookViewId="0">
      <selection activeCell="T16" sqref="T16"/>
    </sheetView>
  </sheetViews>
  <sheetFormatPr defaultColWidth="9.140625" defaultRowHeight="12.75" outlineLevelCol="2" x14ac:dyDescent="0.2"/>
  <cols>
    <col min="1" max="1" width="11.42578125" style="3" bestFit="1" customWidth="1"/>
    <col min="2" max="2" width="11.42578125" style="3" customWidth="1"/>
    <col min="3" max="3" width="22.85546875" style="3" bestFit="1" customWidth="1"/>
    <col min="4" max="6" width="8.85546875" style="3" bestFit="1" customWidth="1"/>
    <col min="7" max="7" width="9" style="3" bestFit="1" customWidth="1"/>
    <col min="8" max="8" width="8.140625" style="3" bestFit="1" customWidth="1"/>
    <col min="9" max="9" width="8.42578125" style="3" bestFit="1" customWidth="1" outlineLevel="1"/>
    <col min="10" max="10" width="1.85546875" style="3" customWidth="1"/>
    <col min="11" max="11" width="8.85546875" style="3" bestFit="1" customWidth="1"/>
    <col min="12" max="12" width="8.85546875" style="3" bestFit="1" customWidth="1" outlineLevel="1"/>
    <col min="13" max="13" width="8.85546875" style="3" bestFit="1" customWidth="1" outlineLevel="2"/>
    <col min="14" max="14" width="9.5703125" style="3" customWidth="1" outlineLevel="1"/>
    <col min="15" max="15" width="8.140625" style="3" bestFit="1" customWidth="1"/>
    <col min="16" max="16" width="8.7109375" style="3" bestFit="1" customWidth="1" outlineLevel="1"/>
    <col min="17" max="16384" width="9.140625" style="3"/>
  </cols>
  <sheetData>
    <row r="1" spans="1:33" ht="11.45" customHeight="1" x14ac:dyDescent="0.2">
      <c r="A1" s="1"/>
      <c r="B1" s="1"/>
      <c r="C1" s="2"/>
      <c r="D1" s="2"/>
      <c r="E1" s="2"/>
      <c r="F1" s="2"/>
      <c r="G1" s="2"/>
      <c r="H1" s="2"/>
      <c r="I1" s="2"/>
    </row>
    <row r="2" spans="1:33" ht="12.75" customHeight="1" x14ac:dyDescent="0.2">
      <c r="A2" s="1"/>
      <c r="B2" s="1"/>
      <c r="C2" s="175" t="s">
        <v>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33" ht="12.75" customHeight="1" x14ac:dyDescent="0.2">
      <c r="A3" s="1"/>
      <c r="B3" s="1"/>
      <c r="C3" s="176" t="s">
        <v>36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</row>
    <row r="4" spans="1:33" ht="12.75" customHeight="1" x14ac:dyDescent="0.2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3" ht="13.5" thickBot="1" x14ac:dyDescent="0.25">
      <c r="A5" s="1"/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33" ht="13.5" customHeight="1" thickBot="1" x14ac:dyDescent="0.25">
      <c r="A6" s="1"/>
      <c r="B6" s="1"/>
      <c r="C6" s="178" t="s">
        <v>2</v>
      </c>
      <c r="D6" s="179"/>
      <c r="E6" s="179"/>
      <c r="F6" s="179"/>
      <c r="G6" s="179"/>
      <c r="H6" s="179"/>
      <c r="I6" s="180"/>
      <c r="J6" s="72"/>
      <c r="K6" s="178" t="s">
        <v>3</v>
      </c>
      <c r="L6" s="179"/>
      <c r="M6" s="179"/>
      <c r="N6" s="179"/>
      <c r="O6" s="179"/>
      <c r="P6" s="179"/>
    </row>
    <row r="7" spans="1:33" ht="12.75" customHeight="1" x14ac:dyDescent="0.2">
      <c r="A7" s="172" t="s">
        <v>4</v>
      </c>
      <c r="B7" s="1"/>
      <c r="C7" s="73" t="s">
        <v>5</v>
      </c>
      <c r="D7" s="73" t="s">
        <v>6</v>
      </c>
      <c r="E7" s="73" t="s">
        <v>7</v>
      </c>
      <c r="F7" s="74" t="s">
        <v>8</v>
      </c>
      <c r="G7" s="184" t="s">
        <v>37</v>
      </c>
      <c r="H7" s="185"/>
      <c r="I7" s="72" t="s">
        <v>38</v>
      </c>
      <c r="J7" s="73"/>
      <c r="K7" s="75" t="s">
        <v>6</v>
      </c>
      <c r="L7" s="71" t="s">
        <v>7</v>
      </c>
      <c r="M7" s="71" t="s">
        <v>8</v>
      </c>
      <c r="N7" s="184" t="s">
        <v>37</v>
      </c>
      <c r="O7" s="185"/>
      <c r="P7" s="73" t="s">
        <v>38</v>
      </c>
    </row>
    <row r="8" spans="1:33" s="2" customFormat="1" ht="13.5" thickBot="1" x14ac:dyDescent="0.25">
      <c r="A8" s="174"/>
      <c r="B8" s="1"/>
      <c r="C8" s="76"/>
      <c r="D8" s="77">
        <v>46113</v>
      </c>
      <c r="E8" s="77">
        <v>46113</v>
      </c>
      <c r="F8" s="78">
        <v>45748</v>
      </c>
      <c r="G8" s="75" t="s">
        <v>11</v>
      </c>
      <c r="H8" s="79" t="s">
        <v>12</v>
      </c>
      <c r="I8" s="75" t="s">
        <v>11</v>
      </c>
      <c r="J8" s="80"/>
      <c r="K8" s="81">
        <v>46113</v>
      </c>
      <c r="L8" s="78">
        <v>46113</v>
      </c>
      <c r="M8" s="78">
        <v>45748</v>
      </c>
      <c r="N8" s="75" t="s">
        <v>11</v>
      </c>
      <c r="O8" s="79" t="s">
        <v>12</v>
      </c>
      <c r="P8" s="80" t="s">
        <v>11</v>
      </c>
    </row>
    <row r="9" spans="1:33" s="30" customFormat="1" x14ac:dyDescent="0.2">
      <c r="A9" s="172" t="s">
        <v>13</v>
      </c>
      <c r="B9" s="1"/>
      <c r="C9" s="82" t="s">
        <v>14</v>
      </c>
      <c r="D9" s="83">
        <v>9.6</v>
      </c>
      <c r="E9" s="83">
        <v>10.199999999999999</v>
      </c>
      <c r="F9" s="74">
        <v>10.9</v>
      </c>
      <c r="G9" s="72">
        <f>E9-D9</f>
        <v>0.59999999999999964</v>
      </c>
      <c r="H9" s="24">
        <f>+G9/E9</f>
        <v>5.8823529411764677E-2</v>
      </c>
      <c r="I9" s="83">
        <f>F9-D9</f>
        <v>1.3000000000000007</v>
      </c>
      <c r="J9" s="83"/>
      <c r="K9" s="73">
        <v>11.8</v>
      </c>
      <c r="L9" s="83">
        <v>10.199999999999999</v>
      </c>
      <c r="M9" s="83">
        <v>10.8</v>
      </c>
      <c r="N9" s="73">
        <v>-1.6</v>
      </c>
      <c r="O9" s="102">
        <v>-0.157</v>
      </c>
      <c r="P9" s="84">
        <v>-1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173"/>
      <c r="B10" s="1"/>
      <c r="C10" s="85" t="s">
        <v>15</v>
      </c>
      <c r="D10" s="79">
        <v>8.3000000000000007</v>
      </c>
      <c r="E10" s="80">
        <v>7.2</v>
      </c>
      <c r="F10" s="75">
        <v>8.3000000000000007</v>
      </c>
      <c r="G10" s="80">
        <v>-1.1000000000000001</v>
      </c>
      <c r="H10" s="107">
        <v>-0.153</v>
      </c>
      <c r="I10" s="79">
        <v>0</v>
      </c>
      <c r="J10" s="79"/>
      <c r="K10" s="80">
        <v>9.4</v>
      </c>
      <c r="L10" s="80">
        <v>7.2</v>
      </c>
      <c r="M10" s="80">
        <v>8.6999999999999993</v>
      </c>
      <c r="N10" s="80">
        <v>-2.2000000000000002</v>
      </c>
      <c r="O10" s="103">
        <v>-0.30599999999999999</v>
      </c>
      <c r="P10" s="86">
        <v>-0.7</v>
      </c>
    </row>
    <row r="11" spans="1:33" x14ac:dyDescent="0.2">
      <c r="A11" s="173"/>
      <c r="B11" s="1"/>
      <c r="C11" s="76" t="s">
        <v>16</v>
      </c>
      <c r="D11" s="79">
        <v>24.5</v>
      </c>
      <c r="E11" s="80">
        <v>22</v>
      </c>
      <c r="F11" s="75">
        <v>28</v>
      </c>
      <c r="G11" s="80">
        <v>-2.5</v>
      </c>
      <c r="H11" s="107">
        <v>-0.114</v>
      </c>
      <c r="I11" s="79">
        <v>3.5</v>
      </c>
      <c r="J11" s="79"/>
      <c r="K11" s="80">
        <v>26.1</v>
      </c>
      <c r="L11" s="80">
        <v>22</v>
      </c>
      <c r="M11" s="80">
        <v>28.5</v>
      </c>
      <c r="N11" s="80">
        <v>-4.0999999999999996</v>
      </c>
      <c r="O11" s="103">
        <v>-0.186</v>
      </c>
      <c r="P11" s="80">
        <v>2.4</v>
      </c>
    </row>
    <row r="12" spans="1:33" ht="13.5" thickBot="1" x14ac:dyDescent="0.25">
      <c r="A12" s="174"/>
      <c r="B12" s="1"/>
      <c r="C12" s="57" t="s">
        <v>17</v>
      </c>
      <c r="D12" s="87">
        <v>5.4</v>
      </c>
      <c r="E12" s="88">
        <v>5</v>
      </c>
      <c r="F12" s="89">
        <v>6</v>
      </c>
      <c r="G12" s="90">
        <v>-0.4</v>
      </c>
      <c r="H12" s="108">
        <v>-0.08</v>
      </c>
      <c r="I12" s="87">
        <v>0.6</v>
      </c>
      <c r="J12" s="87"/>
      <c r="K12" s="88">
        <v>5.5</v>
      </c>
      <c r="L12" s="88">
        <v>5</v>
      </c>
      <c r="M12" s="88">
        <v>5.7</v>
      </c>
      <c r="N12" s="88">
        <v>-0.5</v>
      </c>
      <c r="O12" s="104">
        <v>-0.1</v>
      </c>
      <c r="P12" s="88">
        <v>0.2</v>
      </c>
    </row>
    <row r="13" spans="1:33" ht="15.75" customHeight="1" x14ac:dyDescent="0.2">
      <c r="A13" s="172" t="s">
        <v>18</v>
      </c>
      <c r="B13" s="1"/>
      <c r="C13" s="82" t="s">
        <v>19</v>
      </c>
      <c r="D13" s="73">
        <v>98.1</v>
      </c>
      <c r="E13" s="73">
        <v>98</v>
      </c>
      <c r="F13" s="72">
        <v>99.2</v>
      </c>
      <c r="G13" s="72">
        <v>0.1</v>
      </c>
      <c r="H13" s="106">
        <v>1E-3</v>
      </c>
      <c r="I13" s="91">
        <v>-1.1000000000000001</v>
      </c>
      <c r="J13" s="83"/>
      <c r="K13" s="73">
        <v>98</v>
      </c>
      <c r="L13" s="73">
        <v>98</v>
      </c>
      <c r="M13" s="73">
        <v>97.4</v>
      </c>
      <c r="N13" s="73">
        <v>0</v>
      </c>
      <c r="O13" s="105">
        <v>0</v>
      </c>
      <c r="P13" s="73">
        <v>0.6</v>
      </c>
    </row>
    <row r="14" spans="1:33" x14ac:dyDescent="0.2">
      <c r="A14" s="173"/>
      <c r="B14" s="1"/>
      <c r="C14" s="76" t="s">
        <v>20</v>
      </c>
      <c r="D14" s="80">
        <v>7</v>
      </c>
      <c r="E14" s="80">
        <v>9.1999999999999993</v>
      </c>
      <c r="F14" s="75">
        <v>6</v>
      </c>
      <c r="G14" s="75">
        <v>-2.2000000000000002</v>
      </c>
      <c r="H14" s="107">
        <v>-0.23899999999999999</v>
      </c>
      <c r="I14" s="79">
        <v>1</v>
      </c>
      <c r="J14" s="79"/>
      <c r="K14" s="80">
        <v>7</v>
      </c>
      <c r="L14" s="80">
        <v>9.1999999999999993</v>
      </c>
      <c r="M14" s="80">
        <v>6</v>
      </c>
      <c r="N14" s="80">
        <v>-2.2000000000000002</v>
      </c>
      <c r="O14" s="103">
        <v>-0.23899999999999999</v>
      </c>
      <c r="P14" s="80">
        <v>1</v>
      </c>
    </row>
    <row r="15" spans="1:33" ht="13.5" thickBot="1" x14ac:dyDescent="0.25">
      <c r="A15" s="174"/>
      <c r="B15" s="1"/>
      <c r="C15" s="57" t="s">
        <v>21</v>
      </c>
      <c r="D15" s="88">
        <v>6</v>
      </c>
      <c r="E15" s="88">
        <v>5.5</v>
      </c>
      <c r="F15" s="89">
        <v>6</v>
      </c>
      <c r="G15" s="89">
        <v>0.5</v>
      </c>
      <c r="H15" s="109">
        <v>9.0999999999999998E-2</v>
      </c>
      <c r="I15" s="87">
        <v>0</v>
      </c>
      <c r="J15" s="92"/>
      <c r="K15" s="88">
        <v>6.5</v>
      </c>
      <c r="L15" s="88">
        <v>5.5</v>
      </c>
      <c r="M15" s="88">
        <v>7</v>
      </c>
      <c r="N15" s="88">
        <v>-1</v>
      </c>
      <c r="O15" s="104">
        <v>-0.182</v>
      </c>
      <c r="P15" s="88">
        <v>0.5</v>
      </c>
    </row>
    <row r="16" spans="1:33" x14ac:dyDescent="0.2">
      <c r="A16" s="172" t="s">
        <v>22</v>
      </c>
      <c r="B16" s="1"/>
      <c r="C16" s="93" t="s">
        <v>23</v>
      </c>
      <c r="D16" s="73">
        <v>59</v>
      </c>
      <c r="E16" s="73">
        <v>72</v>
      </c>
      <c r="F16" s="72">
        <v>67.599999999999994</v>
      </c>
      <c r="G16" s="72">
        <v>-13</v>
      </c>
      <c r="H16" s="110">
        <v>-0.18099999999999999</v>
      </c>
      <c r="I16" s="91">
        <v>-8.6</v>
      </c>
      <c r="J16" s="94"/>
      <c r="K16" s="73">
        <v>61.7</v>
      </c>
      <c r="L16" s="73">
        <v>72</v>
      </c>
      <c r="M16" s="73">
        <v>70.2</v>
      </c>
      <c r="N16" s="73">
        <v>-10.3</v>
      </c>
      <c r="O16" s="102">
        <v>-0.14299999999999999</v>
      </c>
      <c r="P16" s="84">
        <v>-8.5</v>
      </c>
    </row>
    <row r="17" spans="1:33" ht="13.5" customHeight="1" x14ac:dyDescent="0.2">
      <c r="A17" s="173"/>
      <c r="B17" s="1"/>
      <c r="C17" s="85" t="s">
        <v>25</v>
      </c>
      <c r="D17" s="80">
        <v>1.8</v>
      </c>
      <c r="E17" s="80">
        <v>1.8</v>
      </c>
      <c r="F17" s="75">
        <v>1.6</v>
      </c>
      <c r="G17" s="75">
        <v>0</v>
      </c>
      <c r="H17" s="111">
        <v>0</v>
      </c>
      <c r="I17" s="95">
        <v>-0.2</v>
      </c>
      <c r="J17" s="96"/>
      <c r="K17" s="80">
        <v>1.9</v>
      </c>
      <c r="L17" s="80">
        <v>1.8</v>
      </c>
      <c r="M17" s="80">
        <v>2.1</v>
      </c>
      <c r="N17" s="80">
        <v>-0.1</v>
      </c>
      <c r="O17" s="103">
        <v>-5.6000000000000001E-2</v>
      </c>
      <c r="P17" s="80">
        <v>0.2</v>
      </c>
    </row>
    <row r="18" spans="1:33" ht="13.5" thickBot="1" x14ac:dyDescent="0.25">
      <c r="A18" s="173"/>
      <c r="B18" s="1"/>
      <c r="C18" s="97" t="s">
        <v>29</v>
      </c>
      <c r="D18" s="98">
        <v>121668</v>
      </c>
      <c r="E18" s="98">
        <v>132300</v>
      </c>
      <c r="F18" s="99">
        <v>116053</v>
      </c>
      <c r="G18" s="89">
        <v>-10632</v>
      </c>
      <c r="H18" s="108">
        <v>-0.08</v>
      </c>
      <c r="I18" s="100">
        <v>5615</v>
      </c>
      <c r="J18" s="87"/>
      <c r="K18" s="98">
        <v>456490</v>
      </c>
      <c r="L18" s="98">
        <v>506800</v>
      </c>
      <c r="M18" s="98">
        <v>442252</v>
      </c>
      <c r="N18" s="98">
        <v>-50310</v>
      </c>
      <c r="O18" s="104">
        <v>-9.9000000000000005E-2</v>
      </c>
      <c r="P18" s="98">
        <v>14238</v>
      </c>
    </row>
    <row r="19" spans="1:33" ht="12.75" customHeight="1" x14ac:dyDescent="0.2">
      <c r="A19" s="173"/>
      <c r="B19" s="1"/>
      <c r="C19" s="93" t="s">
        <v>39</v>
      </c>
      <c r="D19" s="73">
        <v>68.400000000000006</v>
      </c>
      <c r="E19" s="73">
        <v>80</v>
      </c>
      <c r="F19" s="72">
        <v>73.8</v>
      </c>
      <c r="G19" s="72">
        <v>-11.6</v>
      </c>
      <c r="H19" s="110">
        <v>-0.14499999999999999</v>
      </c>
      <c r="I19" s="91">
        <v>-5.4</v>
      </c>
      <c r="J19" s="83"/>
      <c r="K19" s="73">
        <v>67.2</v>
      </c>
      <c r="L19" s="73">
        <v>80</v>
      </c>
      <c r="M19" s="73">
        <v>71.7</v>
      </c>
      <c r="N19" s="73">
        <v>-12.8</v>
      </c>
      <c r="O19" s="102">
        <v>-0.16</v>
      </c>
      <c r="P19" s="84">
        <v>-4.5</v>
      </c>
    </row>
    <row r="20" spans="1:33" ht="13.5" customHeight="1" thickBot="1" x14ac:dyDescent="0.25">
      <c r="A20" s="173"/>
      <c r="B20" s="1"/>
      <c r="C20" s="57" t="s">
        <v>40</v>
      </c>
      <c r="D20" s="88">
        <v>19</v>
      </c>
      <c r="E20" s="88">
        <v>70</v>
      </c>
      <c r="F20" s="89">
        <v>7</v>
      </c>
      <c r="G20" s="89">
        <v>-51</v>
      </c>
      <c r="H20" s="108">
        <v>-0.72899999999999998</v>
      </c>
      <c r="I20" s="87">
        <v>12</v>
      </c>
      <c r="J20" s="101"/>
      <c r="K20" s="88">
        <v>33.299999999999997</v>
      </c>
      <c r="L20" s="88">
        <v>70</v>
      </c>
      <c r="M20" s="88">
        <v>18</v>
      </c>
      <c r="N20" s="88">
        <v>-36.700000000000003</v>
      </c>
      <c r="O20" s="104">
        <v>-0.52400000000000002</v>
      </c>
      <c r="P20" s="88">
        <v>15.3</v>
      </c>
    </row>
    <row r="21" spans="1:33" ht="13.5" customHeight="1" thickBot="1" x14ac:dyDescent="0.25">
      <c r="A21" s="173"/>
      <c r="B21" s="1"/>
      <c r="C21" s="97" t="s">
        <v>35</v>
      </c>
      <c r="D21" s="88">
        <v>82.7</v>
      </c>
      <c r="E21" s="88">
        <v>82</v>
      </c>
      <c r="F21" s="89">
        <v>69</v>
      </c>
      <c r="G21" s="89">
        <v>0.7</v>
      </c>
      <c r="H21" s="109">
        <v>8.9999999999999993E-3</v>
      </c>
      <c r="I21" s="88">
        <v>13.7</v>
      </c>
      <c r="J21" s="87"/>
      <c r="K21" s="88">
        <v>70.5</v>
      </c>
      <c r="L21" s="88">
        <v>82</v>
      </c>
      <c r="M21" s="88">
        <v>73</v>
      </c>
      <c r="N21" s="88">
        <v>-11.5</v>
      </c>
      <c r="O21" s="104">
        <v>-0.14000000000000001</v>
      </c>
      <c r="P21" s="90">
        <v>-2.5</v>
      </c>
    </row>
    <row r="22" spans="1:33" ht="13.5" thickBot="1" x14ac:dyDescent="0.25">
      <c r="A22" s="174"/>
      <c r="B22" s="1"/>
      <c r="C22" s="1"/>
      <c r="D22" s="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33" x14ac:dyDescent="0.2">
      <c r="A23" s="172" t="s">
        <v>30</v>
      </c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33" ht="14.45" customHeight="1" thickBot="1" x14ac:dyDescent="0.25">
      <c r="A24" s="174"/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33" s="69" customFormat="1" ht="13.5" thickBot="1" x14ac:dyDescent="0.25">
      <c r="A25" s="58" t="s">
        <v>34</v>
      </c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33" x14ac:dyDescent="0.2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33" x14ac:dyDescent="0.2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3" x14ac:dyDescent="0.2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33" x14ac:dyDescent="0.2">
      <c r="A30" s="1"/>
      <c r="B30" s="1"/>
    </row>
    <row r="31" spans="1:33" x14ac:dyDescent="0.2">
      <c r="F31" s="70"/>
      <c r="G31" s="70"/>
      <c r="H31" s="70"/>
    </row>
  </sheetData>
  <mergeCells count="11">
    <mergeCell ref="A9:A12"/>
    <mergeCell ref="A13:A15"/>
    <mergeCell ref="A16:A22"/>
    <mergeCell ref="A23:A24"/>
    <mergeCell ref="C2:P2"/>
    <mergeCell ref="C3:P3"/>
    <mergeCell ref="K6:P6"/>
    <mergeCell ref="A7:A8"/>
    <mergeCell ref="G7:H7"/>
    <mergeCell ref="N7:O7"/>
    <mergeCell ref="C6:I6"/>
  </mergeCells>
  <conditionalFormatting sqref="C2:P3 E4:P5 E22:P29">
    <cfRule type="cellIs" dxfId="17" priority="3" stopIfTrue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45D-596E-4F9A-9451-B6A52C93395C}">
  <dimension ref="A1:AG31"/>
  <sheetViews>
    <sheetView showGridLines="0" topLeftCell="B1" zoomScale="90" zoomScaleNormal="90" workbookViewId="0">
      <selection activeCell="P29" sqref="P29"/>
    </sheetView>
  </sheetViews>
  <sheetFormatPr defaultColWidth="9.140625" defaultRowHeight="12.75" outlineLevelCol="2" x14ac:dyDescent="0.2"/>
  <cols>
    <col min="1" max="1" width="11.42578125" style="3" bestFit="1" customWidth="1"/>
    <col min="2" max="2" width="11.42578125" style="3" customWidth="1"/>
    <col min="3" max="3" width="22.85546875" style="3" bestFit="1" customWidth="1"/>
    <col min="4" max="6" width="8.85546875" style="3" bestFit="1" customWidth="1"/>
    <col min="7" max="7" width="9" style="3" bestFit="1" customWidth="1"/>
    <col min="8" max="8" width="8.140625" style="3" bestFit="1" customWidth="1"/>
    <col min="9" max="9" width="8.42578125" style="3" bestFit="1" customWidth="1" outlineLevel="1"/>
    <col min="10" max="10" width="1.85546875" style="3" customWidth="1"/>
    <col min="11" max="11" width="8.85546875" style="3" bestFit="1" customWidth="1"/>
    <col min="12" max="12" width="8.85546875" style="3" bestFit="1" customWidth="1" outlineLevel="1"/>
    <col min="13" max="13" width="8.85546875" style="3" bestFit="1" customWidth="1" outlineLevel="2"/>
    <col min="14" max="14" width="7" style="3" bestFit="1" customWidth="1" outlineLevel="1"/>
    <col min="15" max="15" width="7.140625" style="3" bestFit="1" customWidth="1"/>
    <col min="16" max="16" width="8.7109375" style="3" bestFit="1" customWidth="1" outlineLevel="1"/>
    <col min="17" max="16384" width="9.140625" style="3"/>
  </cols>
  <sheetData>
    <row r="1" spans="1:33" ht="11.45" customHeight="1" x14ac:dyDescent="0.2">
      <c r="A1" s="1"/>
      <c r="B1" s="1"/>
      <c r="C1" s="2"/>
      <c r="D1" s="2"/>
      <c r="E1" s="2"/>
      <c r="F1" s="2"/>
      <c r="G1" s="2"/>
      <c r="H1" s="2"/>
      <c r="I1" s="2"/>
    </row>
    <row r="2" spans="1:33" ht="12.75" customHeight="1" x14ac:dyDescent="0.2">
      <c r="A2" s="1"/>
      <c r="B2" s="1"/>
      <c r="C2" s="175" t="s">
        <v>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33" ht="12.75" customHeight="1" x14ac:dyDescent="0.2">
      <c r="A3" s="1"/>
      <c r="B3" s="1"/>
      <c r="C3" s="176" t="s">
        <v>1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</row>
    <row r="4" spans="1:33" ht="12.75" customHeight="1" x14ac:dyDescent="0.2">
      <c r="A4" s="1"/>
      <c r="B4" s="1"/>
      <c r="C4" s="186"/>
      <c r="D4" s="18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3" ht="13.5" thickBot="1" x14ac:dyDescent="0.25">
      <c r="A5" s="1"/>
      <c r="B5" s="1"/>
      <c r="C5" s="6"/>
      <c r="D5" s="7"/>
      <c r="E5" s="7"/>
      <c r="F5" s="7"/>
      <c r="G5" s="7"/>
      <c r="H5" s="7"/>
      <c r="I5" s="7"/>
      <c r="J5" s="6"/>
      <c r="K5" s="6"/>
      <c r="L5" s="6"/>
      <c r="M5" s="6"/>
      <c r="N5" s="6"/>
      <c r="O5" s="6"/>
      <c r="P5" s="6"/>
    </row>
    <row r="6" spans="1:33" ht="13.5" customHeight="1" thickBot="1" x14ac:dyDescent="0.25">
      <c r="A6" s="1"/>
      <c r="B6" s="1"/>
      <c r="C6" s="6"/>
      <c r="D6" s="181" t="s">
        <v>2</v>
      </c>
      <c r="E6" s="182"/>
      <c r="F6" s="182"/>
      <c r="G6" s="182"/>
      <c r="H6" s="182"/>
      <c r="I6" s="182"/>
      <c r="J6" s="8"/>
      <c r="K6" s="181" t="s">
        <v>3</v>
      </c>
      <c r="L6" s="182"/>
      <c r="M6" s="182"/>
      <c r="N6" s="182"/>
      <c r="O6" s="182"/>
      <c r="P6" s="183"/>
    </row>
    <row r="7" spans="1:33" ht="12.75" customHeight="1" x14ac:dyDescent="0.2">
      <c r="A7" s="172" t="s">
        <v>4</v>
      </c>
      <c r="B7" s="1"/>
      <c r="C7" s="9" t="s">
        <v>5</v>
      </c>
      <c r="D7" s="9" t="s">
        <v>6</v>
      </c>
      <c r="E7" s="9" t="s">
        <v>7</v>
      </c>
      <c r="F7" s="10" t="s">
        <v>8</v>
      </c>
      <c r="G7" s="187" t="str">
        <f>CONCATENATE("Vs. ",+E7)</f>
        <v>Vs. Budget</v>
      </c>
      <c r="H7" s="188"/>
      <c r="I7" s="8" t="str">
        <f>CONCATENATE("Vs. ",+F7)</f>
        <v>Vs. LY</v>
      </c>
      <c r="J7" s="9"/>
      <c r="K7" s="11" t="s">
        <v>6</v>
      </c>
      <c r="L7" s="4" t="s">
        <v>7</v>
      </c>
      <c r="M7" s="4" t="s">
        <v>8</v>
      </c>
      <c r="N7" s="187" t="str">
        <f>CONCATENATE("Vs. ",+L7)</f>
        <v>Vs. Budget</v>
      </c>
      <c r="O7" s="188"/>
      <c r="P7" s="9" t="str">
        <f>CONCATENATE("Vs. ",+M7)</f>
        <v>Vs. LY</v>
      </c>
    </row>
    <row r="8" spans="1:33" s="2" customFormat="1" ht="13.5" thickBot="1" x14ac:dyDescent="0.25">
      <c r="A8" s="174"/>
      <c r="B8" s="1"/>
      <c r="C8" s="12"/>
      <c r="D8" s="13" t="s">
        <v>9</v>
      </c>
      <c r="E8" s="14" t="str">
        <f>D8</f>
        <v>Mar 2026</v>
      </c>
      <c r="F8" s="15" t="s">
        <v>10</v>
      </c>
      <c r="G8" s="11" t="s">
        <v>11</v>
      </c>
      <c r="H8" s="16" t="s">
        <v>12</v>
      </c>
      <c r="I8" s="11" t="s">
        <v>11</v>
      </c>
      <c r="J8" s="17"/>
      <c r="K8" s="18" t="str">
        <f>D8</f>
        <v>Mar 2026</v>
      </c>
      <c r="L8" s="19" t="str">
        <f>E8</f>
        <v>Mar 2026</v>
      </c>
      <c r="M8" s="19" t="str">
        <f>F8</f>
        <v>Mar 2025</v>
      </c>
      <c r="N8" s="11" t="s">
        <v>11</v>
      </c>
      <c r="O8" s="16" t="s">
        <v>12</v>
      </c>
      <c r="P8" s="17" t="s">
        <v>11</v>
      </c>
    </row>
    <row r="9" spans="1:33" s="30" customFormat="1" x14ac:dyDescent="0.2">
      <c r="A9" s="172" t="s">
        <v>13</v>
      </c>
      <c r="B9" s="1"/>
      <c r="C9" s="20" t="s">
        <v>14</v>
      </c>
      <c r="D9" s="21">
        <v>10.9</v>
      </c>
      <c r="E9" s="21">
        <v>10.199999999999999</v>
      </c>
      <c r="F9" s="22">
        <v>11.8</v>
      </c>
      <c r="G9" s="23">
        <f>D9-E9</f>
        <v>0.70000000000000107</v>
      </c>
      <c r="H9" s="24">
        <f>+G9/E9</f>
        <v>6.862745098039226E-2</v>
      </c>
      <c r="I9" s="25">
        <f>D9-F9</f>
        <v>-0.90000000000000036</v>
      </c>
      <c r="J9" s="26"/>
      <c r="K9" s="27">
        <v>12.5</v>
      </c>
      <c r="L9" s="21">
        <v>10.199999999999999</v>
      </c>
      <c r="M9" s="21">
        <v>10.6</v>
      </c>
      <c r="N9" s="27">
        <f t="shared" ref="N9:N21" si="0">+L9-K9</f>
        <v>-2.3000000000000007</v>
      </c>
      <c r="O9" s="28">
        <f>+N9/L9</f>
        <v>-0.22549019607843146</v>
      </c>
      <c r="P9" s="29">
        <f>M9-K9</f>
        <v>-1.9000000000000004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173"/>
      <c r="B10" s="1"/>
      <c r="C10" s="31" t="s">
        <v>15</v>
      </c>
      <c r="D10" s="32">
        <v>9.1</v>
      </c>
      <c r="E10" s="33">
        <v>7.2</v>
      </c>
      <c r="F10" s="34">
        <v>9.1</v>
      </c>
      <c r="G10" s="35">
        <f>D10-E10</f>
        <v>1.8999999999999995</v>
      </c>
      <c r="H10" s="36">
        <f t="shared" ref="H10:H25" si="1">+G10/E10</f>
        <v>0.26388888888888878</v>
      </c>
      <c r="I10" s="37">
        <f t="shared" ref="I10:I25" si="2">D10-F10</f>
        <v>0</v>
      </c>
      <c r="J10" s="38"/>
      <c r="K10" s="33">
        <v>9.8000000000000007</v>
      </c>
      <c r="L10" s="33">
        <v>7.2</v>
      </c>
      <c r="M10" s="33">
        <v>8.9</v>
      </c>
      <c r="N10" s="33">
        <f t="shared" si="0"/>
        <v>-2.6000000000000005</v>
      </c>
      <c r="O10" s="39">
        <f t="shared" ref="O10:O25" si="3">+N10/L10</f>
        <v>-0.36111111111111116</v>
      </c>
      <c r="P10" s="40">
        <f>M10-K10</f>
        <v>-0.90000000000000036</v>
      </c>
    </row>
    <row r="11" spans="1:33" x14ac:dyDescent="0.2">
      <c r="A11" s="173"/>
      <c r="B11" s="1"/>
      <c r="C11" s="12" t="s">
        <v>16</v>
      </c>
      <c r="D11" s="32">
        <v>24.1</v>
      </c>
      <c r="E11" s="33">
        <v>22</v>
      </c>
      <c r="F11" s="34">
        <v>30.6</v>
      </c>
      <c r="G11" s="35">
        <f>D11-E11</f>
        <v>2.1000000000000014</v>
      </c>
      <c r="H11" s="36">
        <f t="shared" si="1"/>
        <v>9.5454545454545514E-2</v>
      </c>
      <c r="I11" s="37">
        <f t="shared" si="2"/>
        <v>-6.5</v>
      </c>
      <c r="J11" s="38"/>
      <c r="K11" s="33">
        <v>26.6</v>
      </c>
      <c r="L11" s="33">
        <v>22</v>
      </c>
      <c r="M11" s="33">
        <v>28.6</v>
      </c>
      <c r="N11" s="33">
        <f t="shared" si="0"/>
        <v>-4.6000000000000014</v>
      </c>
      <c r="O11" s="39">
        <f t="shared" si="3"/>
        <v>-0.20909090909090916</v>
      </c>
      <c r="P11" s="41">
        <f>M11-K11</f>
        <v>2</v>
      </c>
    </row>
    <row r="12" spans="1:33" ht="13.5" thickBot="1" x14ac:dyDescent="0.25">
      <c r="A12" s="174"/>
      <c r="B12" s="1"/>
      <c r="C12" s="42" t="s">
        <v>17</v>
      </c>
      <c r="D12" s="32">
        <v>5.4</v>
      </c>
      <c r="E12" s="33">
        <v>5</v>
      </c>
      <c r="F12" s="34">
        <v>6.2</v>
      </c>
      <c r="G12" s="35">
        <f>D12-E12</f>
        <v>0.40000000000000036</v>
      </c>
      <c r="H12" s="36">
        <f t="shared" si="1"/>
        <v>8.0000000000000071E-2</v>
      </c>
      <c r="I12" s="37">
        <f t="shared" si="2"/>
        <v>-0.79999999999999982</v>
      </c>
      <c r="J12" s="38"/>
      <c r="K12" s="33">
        <v>5.5</v>
      </c>
      <c r="L12" s="33">
        <v>5</v>
      </c>
      <c r="M12" s="33">
        <v>5.5</v>
      </c>
      <c r="N12" s="33">
        <f t="shared" si="0"/>
        <v>-0.5</v>
      </c>
      <c r="O12" s="39">
        <f t="shared" si="3"/>
        <v>-0.1</v>
      </c>
      <c r="P12" s="41">
        <f t="shared" ref="P12:P23" si="4">M12-K12</f>
        <v>0</v>
      </c>
    </row>
    <row r="13" spans="1:33" ht="15.75" customHeight="1" x14ac:dyDescent="0.2">
      <c r="A13" s="172" t="s">
        <v>18</v>
      </c>
      <c r="B13" s="1"/>
      <c r="C13" s="20" t="s">
        <v>19</v>
      </c>
      <c r="D13" s="43">
        <v>98.1</v>
      </c>
      <c r="E13" s="43">
        <v>98</v>
      </c>
      <c r="F13" s="44">
        <v>98.7</v>
      </c>
      <c r="G13" s="44">
        <f t="shared" ref="G13:G24" si="5">D13-E13</f>
        <v>9.9999999999994316E-2</v>
      </c>
      <c r="H13" s="36">
        <f t="shared" si="1"/>
        <v>1.0204081632652481E-3</v>
      </c>
      <c r="I13" s="45">
        <f t="shared" si="2"/>
        <v>-0.60000000000000853</v>
      </c>
      <c r="J13" s="38"/>
      <c r="K13" s="43">
        <v>98</v>
      </c>
      <c r="L13" s="43">
        <v>98</v>
      </c>
      <c r="M13" s="43">
        <v>96.7</v>
      </c>
      <c r="N13" s="46">
        <f t="shared" si="0"/>
        <v>0</v>
      </c>
      <c r="O13" s="39">
        <f t="shared" si="3"/>
        <v>0</v>
      </c>
      <c r="P13" s="41">
        <f>M13-K13</f>
        <v>-1.2999999999999972</v>
      </c>
    </row>
    <row r="14" spans="1:33" x14ac:dyDescent="0.2">
      <c r="A14" s="173"/>
      <c r="B14" s="1"/>
      <c r="C14" s="12" t="s">
        <v>20</v>
      </c>
      <c r="D14" s="33">
        <v>7</v>
      </c>
      <c r="E14" s="33">
        <v>9.1999999999999993</v>
      </c>
      <c r="F14" s="34">
        <v>6</v>
      </c>
      <c r="G14" s="34">
        <f>D14-E14</f>
        <v>-2.1999999999999993</v>
      </c>
      <c r="H14" s="36">
        <f t="shared" si="1"/>
        <v>-0.23913043478260865</v>
      </c>
      <c r="I14" s="37">
        <f t="shared" si="2"/>
        <v>1</v>
      </c>
      <c r="J14" s="38"/>
      <c r="K14" s="33">
        <v>6</v>
      </c>
      <c r="L14" s="33">
        <v>9.1999999999999993</v>
      </c>
      <c r="M14" s="33">
        <v>7</v>
      </c>
      <c r="N14" s="47">
        <f t="shared" si="0"/>
        <v>3.1999999999999993</v>
      </c>
      <c r="O14" s="39">
        <f t="shared" si="3"/>
        <v>0.34782608695652167</v>
      </c>
      <c r="P14" s="41">
        <f t="shared" si="4"/>
        <v>1</v>
      </c>
    </row>
    <row r="15" spans="1:33" ht="13.5" thickBot="1" x14ac:dyDescent="0.25">
      <c r="A15" s="174"/>
      <c r="B15" s="1"/>
      <c r="C15" s="42" t="s">
        <v>21</v>
      </c>
      <c r="D15" s="33">
        <v>6.3</v>
      </c>
      <c r="E15" s="33">
        <v>5.5</v>
      </c>
      <c r="F15" s="34">
        <v>7.8</v>
      </c>
      <c r="G15" s="35">
        <f>D15-E15</f>
        <v>0.79999999999999982</v>
      </c>
      <c r="H15" s="36">
        <f t="shared" si="1"/>
        <v>0.14545454545454542</v>
      </c>
      <c r="I15" s="37">
        <f t="shared" si="2"/>
        <v>-1.5</v>
      </c>
      <c r="J15" s="48"/>
      <c r="K15" s="33">
        <v>6.6</v>
      </c>
      <c r="L15" s="33">
        <v>5.5</v>
      </c>
      <c r="M15" s="33">
        <v>7.3</v>
      </c>
      <c r="N15" s="33">
        <f t="shared" si="0"/>
        <v>-1.0999999999999996</v>
      </c>
      <c r="O15" s="39">
        <f t="shared" si="3"/>
        <v>-0.19999999999999993</v>
      </c>
      <c r="P15" s="41">
        <f t="shared" si="4"/>
        <v>0.70000000000000018</v>
      </c>
    </row>
    <row r="16" spans="1:33" x14ac:dyDescent="0.2">
      <c r="A16" s="172" t="s">
        <v>22</v>
      </c>
      <c r="B16" s="1"/>
      <c r="C16" s="31" t="s">
        <v>23</v>
      </c>
      <c r="D16" s="33">
        <v>63.6</v>
      </c>
      <c r="E16" s="33">
        <v>72</v>
      </c>
      <c r="F16" s="34">
        <v>69.5</v>
      </c>
      <c r="G16" s="34">
        <f>D16-E16</f>
        <v>-8.3999999999999986</v>
      </c>
      <c r="H16" s="36">
        <f>+G16/E16</f>
        <v>-0.11666666666666664</v>
      </c>
      <c r="I16" s="45">
        <f t="shared" si="2"/>
        <v>-5.8999999999999986</v>
      </c>
      <c r="J16" s="49"/>
      <c r="K16" s="33">
        <v>62.8</v>
      </c>
      <c r="L16" s="33">
        <v>72</v>
      </c>
      <c r="M16" s="33">
        <v>71.099999999999994</v>
      </c>
      <c r="N16" s="47">
        <f t="shared" si="0"/>
        <v>9.2000000000000028</v>
      </c>
      <c r="O16" s="39">
        <f t="shared" si="3"/>
        <v>0.12777777777777782</v>
      </c>
      <c r="P16" s="40">
        <f>M16-K16</f>
        <v>8.2999999999999972</v>
      </c>
    </row>
    <row r="17" spans="1:33" ht="13.5" hidden="1" customHeight="1" thickBot="1" x14ac:dyDescent="0.25">
      <c r="A17" s="173"/>
      <c r="B17" s="1"/>
      <c r="C17" s="31" t="s">
        <v>24</v>
      </c>
      <c r="D17" s="33">
        <v>53.7</v>
      </c>
      <c r="E17" s="33">
        <v>60</v>
      </c>
      <c r="F17" s="34">
        <v>60.1</v>
      </c>
      <c r="G17" s="34">
        <f t="shared" si="5"/>
        <v>-6.2999999999999972</v>
      </c>
      <c r="H17" s="36">
        <f t="shared" si="1"/>
        <v>-0.10499999999999995</v>
      </c>
      <c r="I17" s="37">
        <f t="shared" si="2"/>
        <v>-6.3999999999999986</v>
      </c>
      <c r="J17" s="38"/>
      <c r="K17" s="33">
        <v>52.6</v>
      </c>
      <c r="L17" s="33">
        <v>60</v>
      </c>
      <c r="M17" s="33"/>
      <c r="N17" s="33">
        <f t="shared" si="0"/>
        <v>7.3999999999999986</v>
      </c>
      <c r="O17" s="39">
        <f t="shared" si="3"/>
        <v>0.12333333333333331</v>
      </c>
      <c r="P17" s="41">
        <f t="shared" si="4"/>
        <v>-52.6</v>
      </c>
    </row>
    <row r="18" spans="1:33" x14ac:dyDescent="0.2">
      <c r="A18" s="173"/>
      <c r="B18" s="1"/>
      <c r="C18" s="31" t="s">
        <v>25</v>
      </c>
      <c r="D18" s="33">
        <v>1.7</v>
      </c>
      <c r="E18" s="33">
        <v>1.8</v>
      </c>
      <c r="F18" s="34">
        <v>2.4</v>
      </c>
      <c r="G18" s="50">
        <f>D18-E18</f>
        <v>-0.10000000000000009</v>
      </c>
      <c r="H18" s="36">
        <f t="shared" si="1"/>
        <v>-5.5555555555555601E-2</v>
      </c>
      <c r="I18" s="37">
        <f t="shared" si="2"/>
        <v>-0.7</v>
      </c>
      <c r="J18" s="49"/>
      <c r="K18" s="33">
        <v>2</v>
      </c>
      <c r="L18" s="33">
        <v>1.8</v>
      </c>
      <c r="M18" s="33">
        <v>2.2999999999999998</v>
      </c>
      <c r="N18" s="33">
        <f>+L18-K18</f>
        <v>-0.19999999999999996</v>
      </c>
      <c r="O18" s="39">
        <f t="shared" si="3"/>
        <v>-0.11111111111111108</v>
      </c>
      <c r="P18" s="41">
        <f t="shared" si="4"/>
        <v>0.29999999999999982</v>
      </c>
    </row>
    <row r="19" spans="1:33" ht="12.75" hidden="1" customHeight="1" thickBot="1" x14ac:dyDescent="0.25">
      <c r="A19" s="173"/>
      <c r="B19" s="1"/>
      <c r="C19" s="31" t="s">
        <v>26</v>
      </c>
      <c r="D19" s="33">
        <v>49.7</v>
      </c>
      <c r="E19" s="33">
        <v>66</v>
      </c>
      <c r="F19" s="34">
        <v>48.2</v>
      </c>
      <c r="G19" s="34">
        <f t="shared" si="5"/>
        <v>-16.299999999999997</v>
      </c>
      <c r="H19" s="36">
        <f t="shared" si="1"/>
        <v>-0.24696969696969692</v>
      </c>
      <c r="I19" s="37">
        <f t="shared" si="2"/>
        <v>1.5</v>
      </c>
      <c r="J19" s="38"/>
      <c r="K19" s="33">
        <v>46.4</v>
      </c>
      <c r="L19" s="33">
        <v>66</v>
      </c>
      <c r="M19" s="33"/>
      <c r="N19" s="33">
        <f t="shared" si="0"/>
        <v>19.600000000000001</v>
      </c>
      <c r="O19" s="39">
        <f t="shared" si="3"/>
        <v>0.29696969696969699</v>
      </c>
      <c r="P19" s="41">
        <f t="shared" si="4"/>
        <v>-46.4</v>
      </c>
    </row>
    <row r="20" spans="1:33" ht="13.5" hidden="1" customHeight="1" thickBot="1" x14ac:dyDescent="0.25">
      <c r="A20" s="173"/>
      <c r="B20" s="1"/>
      <c r="C20" s="31" t="s">
        <v>27</v>
      </c>
      <c r="D20" s="33">
        <v>264</v>
      </c>
      <c r="E20" s="33">
        <v>350</v>
      </c>
      <c r="F20" s="34">
        <v>341</v>
      </c>
      <c r="G20" s="34">
        <f t="shared" si="5"/>
        <v>-86</v>
      </c>
      <c r="H20" s="36">
        <f t="shared" si="1"/>
        <v>-0.24571428571428572</v>
      </c>
      <c r="I20" s="37">
        <f t="shared" si="2"/>
        <v>-77</v>
      </c>
      <c r="J20" s="38"/>
      <c r="K20" s="33">
        <v>244</v>
      </c>
      <c r="L20" s="33">
        <v>350</v>
      </c>
      <c r="M20" s="33"/>
      <c r="N20" s="33">
        <f t="shared" si="0"/>
        <v>106</v>
      </c>
      <c r="O20" s="39">
        <f t="shared" si="3"/>
        <v>0.30285714285714288</v>
      </c>
      <c r="P20" s="41">
        <f t="shared" si="4"/>
        <v>-244</v>
      </c>
    </row>
    <row r="21" spans="1:33" ht="13.5" hidden="1" customHeight="1" thickBot="1" x14ac:dyDescent="0.25">
      <c r="A21" s="173"/>
      <c r="B21" s="1"/>
      <c r="C21" s="31" t="s">
        <v>28</v>
      </c>
      <c r="D21" s="33">
        <v>37.299999999999997</v>
      </c>
      <c r="E21" s="33">
        <v>56</v>
      </c>
      <c r="F21" s="34">
        <v>41.2</v>
      </c>
      <c r="G21" s="34">
        <f t="shared" si="5"/>
        <v>-18.700000000000003</v>
      </c>
      <c r="H21" s="36">
        <f t="shared" si="1"/>
        <v>-0.33392857142857146</v>
      </c>
      <c r="I21" s="37">
        <f t="shared" si="2"/>
        <v>-3.9000000000000057</v>
      </c>
      <c r="J21" s="49"/>
      <c r="K21" s="33">
        <v>34.700000000000003</v>
      </c>
      <c r="L21" s="33">
        <v>56</v>
      </c>
      <c r="M21" s="33"/>
      <c r="N21" s="33">
        <f t="shared" si="0"/>
        <v>21.299999999999997</v>
      </c>
      <c r="O21" s="39">
        <f t="shared" si="3"/>
        <v>0.38035714285714278</v>
      </c>
      <c r="P21" s="41">
        <f t="shared" si="4"/>
        <v>-34.700000000000003</v>
      </c>
    </row>
    <row r="22" spans="1:33" ht="13.5" thickBot="1" x14ac:dyDescent="0.25">
      <c r="A22" s="174"/>
      <c r="B22" s="1"/>
      <c r="C22" s="51" t="s">
        <v>29</v>
      </c>
      <c r="D22" s="52">
        <v>132546</v>
      </c>
      <c r="E22" s="52">
        <v>146375</v>
      </c>
      <c r="F22" s="53">
        <v>105787</v>
      </c>
      <c r="G22" s="53">
        <f>D22-E22</f>
        <v>-13829</v>
      </c>
      <c r="H22" s="36">
        <f t="shared" si="1"/>
        <v>-9.4476515798462848E-2</v>
      </c>
      <c r="I22" s="54">
        <f>D22-F22</f>
        <v>26759</v>
      </c>
      <c r="J22" s="38"/>
      <c r="K22" s="52">
        <v>334822</v>
      </c>
      <c r="L22" s="52">
        <v>374500</v>
      </c>
      <c r="M22" s="52">
        <v>326199</v>
      </c>
      <c r="N22" s="55">
        <f>+L22-K22</f>
        <v>39678</v>
      </c>
      <c r="O22" s="39">
        <f t="shared" si="3"/>
        <v>0.10594926568758345</v>
      </c>
      <c r="P22" s="56">
        <f>M22-K22</f>
        <v>-8623</v>
      </c>
    </row>
    <row r="23" spans="1:33" x14ac:dyDescent="0.2">
      <c r="A23" s="172" t="s">
        <v>30</v>
      </c>
      <c r="B23" s="1"/>
      <c r="C23" s="31" t="s">
        <v>31</v>
      </c>
      <c r="D23" s="33">
        <v>69.099999999999994</v>
      </c>
      <c r="E23" s="33">
        <v>80</v>
      </c>
      <c r="F23" s="34">
        <v>63.4</v>
      </c>
      <c r="G23" s="34">
        <f>D23-E23</f>
        <v>-10.900000000000006</v>
      </c>
      <c r="H23" s="36">
        <f t="shared" si="1"/>
        <v>-0.13625000000000007</v>
      </c>
      <c r="I23" s="37">
        <f t="shared" si="2"/>
        <v>5.6999999999999957</v>
      </c>
      <c r="J23" s="38"/>
      <c r="K23" s="33">
        <v>66.8</v>
      </c>
      <c r="L23" s="33">
        <v>80</v>
      </c>
      <c r="M23" s="33">
        <v>71</v>
      </c>
      <c r="N23" s="47">
        <f>+L23-K23</f>
        <v>13.200000000000003</v>
      </c>
      <c r="O23" s="39">
        <f t="shared" si="3"/>
        <v>0.16500000000000004</v>
      </c>
      <c r="P23" s="40">
        <f t="shared" si="4"/>
        <v>4.2000000000000028</v>
      </c>
    </row>
    <row r="24" spans="1:33" ht="14.45" customHeight="1" thickBot="1" x14ac:dyDescent="0.25">
      <c r="A24" s="174"/>
      <c r="B24" s="1"/>
      <c r="C24" s="57" t="s">
        <v>32</v>
      </c>
      <c r="D24" s="33">
        <v>32</v>
      </c>
      <c r="E24" s="33">
        <v>70</v>
      </c>
      <c r="F24" s="34" t="s">
        <v>33</v>
      </c>
      <c r="G24" s="34">
        <f t="shared" si="5"/>
        <v>-38</v>
      </c>
      <c r="H24" s="36">
        <f t="shared" si="1"/>
        <v>-0.54285714285714282</v>
      </c>
      <c r="I24" s="37"/>
      <c r="J24" s="49"/>
      <c r="K24" s="33">
        <v>38</v>
      </c>
      <c r="L24" s="33">
        <v>70</v>
      </c>
      <c r="M24" s="33" t="s">
        <v>33</v>
      </c>
      <c r="N24" s="33">
        <f>K24-L24</f>
        <v>-32</v>
      </c>
      <c r="O24" s="39">
        <f>+N24/L24</f>
        <v>-0.45714285714285713</v>
      </c>
      <c r="P24" s="41"/>
    </row>
    <row r="25" spans="1:33" s="69" customFormat="1" ht="13.5" thickBot="1" x14ac:dyDescent="0.25">
      <c r="A25" s="58" t="s">
        <v>34</v>
      </c>
      <c r="B25" s="1"/>
      <c r="C25" s="59" t="s">
        <v>35</v>
      </c>
      <c r="D25" s="60">
        <v>74.599999999999994</v>
      </c>
      <c r="E25" s="60">
        <v>82</v>
      </c>
      <c r="F25" s="61">
        <v>78.3</v>
      </c>
      <c r="G25" s="62">
        <f>D25-E25</f>
        <v>-7.4000000000000057</v>
      </c>
      <c r="H25" s="63">
        <f t="shared" si="1"/>
        <v>-9.0243902439024457E-2</v>
      </c>
      <c r="I25" s="64">
        <f t="shared" si="2"/>
        <v>-3.7000000000000028</v>
      </c>
      <c r="J25" s="65"/>
      <c r="K25" s="60">
        <v>66.3</v>
      </c>
      <c r="L25" s="60">
        <v>82</v>
      </c>
      <c r="M25" s="60">
        <v>74</v>
      </c>
      <c r="N25" s="66">
        <f>L25-K25</f>
        <v>15.700000000000003</v>
      </c>
      <c r="O25" s="67">
        <f t="shared" si="3"/>
        <v>0.19146341463414637</v>
      </c>
      <c r="P25" s="68">
        <f>M25-K25</f>
        <v>7.7000000000000028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1"/>
      <c r="B26" s="1"/>
    </row>
    <row r="27" spans="1:33" x14ac:dyDescent="0.2">
      <c r="A27" s="1"/>
      <c r="B27" s="1"/>
    </row>
    <row r="28" spans="1:33" x14ac:dyDescent="0.2">
      <c r="A28" s="1"/>
      <c r="B28" s="1"/>
      <c r="N28" s="70"/>
    </row>
    <row r="29" spans="1:33" x14ac:dyDescent="0.2">
      <c r="A29" s="1"/>
      <c r="B29" s="1"/>
    </row>
    <row r="30" spans="1:33" x14ac:dyDescent="0.2">
      <c r="A30" s="1"/>
      <c r="B30" s="1"/>
    </row>
    <row r="31" spans="1:33" x14ac:dyDescent="0.2">
      <c r="F31" s="70"/>
      <c r="G31" s="70"/>
      <c r="H31" s="70"/>
    </row>
  </sheetData>
  <mergeCells count="12">
    <mergeCell ref="A9:A12"/>
    <mergeCell ref="A13:A15"/>
    <mergeCell ref="A16:A22"/>
    <mergeCell ref="A23:A24"/>
    <mergeCell ref="C2:P2"/>
    <mergeCell ref="C3:P3"/>
    <mergeCell ref="C4:D4"/>
    <mergeCell ref="D6:I6"/>
    <mergeCell ref="K6:P6"/>
    <mergeCell ref="A7:A8"/>
    <mergeCell ref="G7:H7"/>
    <mergeCell ref="N7:O7"/>
  </mergeCells>
  <conditionalFormatting sqref="C2:P3 E4:P4 D6:P6 G8">
    <cfRule type="cellIs" dxfId="16" priority="3" stopIfTrue="1" operator="lessThan">
      <formula>0</formula>
    </cfRule>
  </conditionalFormatting>
  <conditionalFormatting sqref="D5:I5 G7:H7">
    <cfRule type="cellIs" dxfId="15" priority="17" stopIfTrue="1" operator="lessThan">
      <formula>0</formula>
    </cfRule>
  </conditionalFormatting>
  <conditionalFormatting sqref="I7:I25">
    <cfRule type="cellIs" dxfId="14" priority="2" stopIfTrue="1" operator="lessThan">
      <formula>0</formula>
    </cfRule>
  </conditionalFormatting>
  <conditionalFormatting sqref="J9:J14">
    <cfRule type="expression" dxfId="13" priority="5">
      <formula>J9&gt;0</formula>
    </cfRule>
    <cfRule type="expression" dxfId="12" priority="6">
      <formula>J9&lt;0</formula>
    </cfRule>
    <cfRule type="cellIs" dxfId="11" priority="7" stopIfTrue="1" operator="lessThan">
      <formula>0</formula>
    </cfRule>
  </conditionalFormatting>
  <conditionalFormatting sqref="J17">
    <cfRule type="expression" dxfId="10" priority="14">
      <formula>J17&gt;0</formula>
    </cfRule>
    <cfRule type="expression" dxfId="9" priority="15">
      <formula>J17&lt;0</formula>
    </cfRule>
    <cfRule type="cellIs" dxfId="8" priority="16" stopIfTrue="1" operator="lessThan">
      <formula>0</formula>
    </cfRule>
  </conditionalFormatting>
  <conditionalFormatting sqref="J19:J20">
    <cfRule type="expression" dxfId="7" priority="11">
      <formula>J19&gt;0</formula>
    </cfRule>
    <cfRule type="expression" dxfId="6" priority="12">
      <formula>J19&lt;0</formula>
    </cfRule>
    <cfRule type="cellIs" dxfId="5" priority="13" stopIfTrue="1" operator="lessThan">
      <formula>0</formula>
    </cfRule>
  </conditionalFormatting>
  <conditionalFormatting sqref="J22:J23">
    <cfRule type="expression" dxfId="4" priority="8">
      <formula>J22&gt;0</formula>
    </cfRule>
    <cfRule type="expression" dxfId="3" priority="9">
      <formula>J22&lt;0</formula>
    </cfRule>
    <cfRule type="cellIs" dxfId="2" priority="10" stopIfTrue="1" operator="lessThan">
      <formula>0</formula>
    </cfRule>
  </conditionalFormatting>
  <conditionalFormatting sqref="N7:O7 N8">
    <cfRule type="cellIs" dxfId="1" priority="1" stopIfTrue="1" operator="lessThan">
      <formula>0</formula>
    </cfRule>
  </conditionalFormatting>
  <conditionalFormatting sqref="P9:P25">
    <cfRule type="cellIs" dxfId="0" priority="4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New MD September 26</vt:lpstr>
      <vt:lpstr>New MD August 26</vt:lpstr>
      <vt:lpstr>New MD July 26 </vt:lpstr>
      <vt:lpstr>New MD June 26</vt:lpstr>
      <vt:lpstr>New MD May 26</vt:lpstr>
      <vt:lpstr>New MD April 26</vt:lpstr>
      <vt:lpstr>New MD March 26</vt:lpstr>
      <vt:lpstr>'New MD August 26'!Print_Area</vt:lpstr>
      <vt:lpstr>'New MD July 26 '!Print_Area</vt:lpstr>
      <vt:lpstr>'New MD September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Kaylil Baptiste</dc:creator>
  <cp:lastModifiedBy>Kaylil Baptiste</cp:lastModifiedBy>
  <cp:lastPrinted>2026-09-03T15:01:55Z</cp:lastPrinted>
  <dcterms:created xsi:type="dcterms:W3CDTF">2026-05-19T13:33:52Z</dcterms:created>
  <dcterms:modified xsi:type="dcterms:W3CDTF">2026-10-05T17:16:01Z</dcterms:modified>
</cp:coreProperties>
</file>