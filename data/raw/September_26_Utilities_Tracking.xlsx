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6\"/>
    </mc:Choice>
  </mc:AlternateContent>
  <xr:revisionPtr revIDLastSave="0" documentId="13_ncr:1_{08486DE5-C887-4E3F-8DAA-45C95B1AD34A}" xr6:coauthVersionLast="47" xr6:coauthVersionMax="47" xr10:uidLastSave="{00000000-0000-0000-0000-000000000000}"/>
  <bookViews>
    <workbookView xWindow="-120" yWindow="-120" windowWidth="29040" windowHeight="15720" tabRatio="579" firstSheet="2" activeTab="10" xr2:uid="{00000000-000D-0000-FFFF-FFFF00000000}"/>
  </bookViews>
  <sheets>
    <sheet name="Entries September 2026" sheetId="27" r:id="rId1"/>
    <sheet name="Utility Analysis September 2026" sheetId="23" r:id="rId2"/>
    <sheet name="Sheet2" sheetId="114" r:id="rId3"/>
    <sheet name="Steam Mass Flow " sheetId="113" r:id="rId4"/>
    <sheet name="Fuel " sheetId="29" r:id="rId5"/>
    <sheet name="Water " sheetId="31" r:id="rId6"/>
    <sheet name="Elec.SEPTEMBER 2026" sheetId="30" r:id="rId7"/>
    <sheet name="PROD.FIG. " sheetId="32" r:id="rId8"/>
    <sheet name="CO2" sheetId="28" r:id="rId9"/>
    <sheet name="Daily KPIs CO2" sheetId="111" r:id="rId10"/>
    <sheet name="Daily KPIs" sheetId="110" r:id="rId11"/>
    <sheet name="Water Analysis. '26" sheetId="109" r:id="rId12"/>
    <sheet name="Sheet1" sheetId="112" state="hidden" r:id="rId13"/>
  </sheets>
  <definedNames>
    <definedName name="_1__123Graph_BCHART_8" localSheetId="6" hidden="1">'Elec.SEPTEMBER 2026'!$B$7:$B$37</definedName>
    <definedName name="_2__123Graph_CCHART_8" localSheetId="6" hidden="1">'Elec.SEPTEMBER 2026'!$C$7:$C$37</definedName>
    <definedName name="_xlnm.Print_Area" localSheetId="10">'Daily KPIs'!$A$1:$AJ$123</definedName>
    <definedName name="_xlnm.Print_Area" localSheetId="9" xml:space="preserve">                                                              'Daily KPIs CO2'!$A$1:$AI$96</definedName>
    <definedName name="_xlnm.Print_Area" localSheetId="0">'Entries September 2026'!$A$1:$AI$38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" i="110" l="1"/>
  <c r="AC9" i="110"/>
  <c r="AA9" i="110"/>
  <c r="AB9" i="110"/>
  <c r="Z8" i="110"/>
  <c r="Z9" i="110"/>
  <c r="Y9" i="110"/>
  <c r="W74" i="110"/>
  <c r="X8" i="110"/>
  <c r="X9" i="110" s="1"/>
  <c r="W9" i="110"/>
  <c r="V8" i="110"/>
  <c r="V9" i="110" s="1"/>
  <c r="S8" i="110"/>
  <c r="S9" i="110" s="1"/>
  <c r="R14" i="110"/>
  <c r="R8" i="110"/>
  <c r="Q74" i="110"/>
  <c r="R9" i="110"/>
  <c r="Q8" i="110"/>
  <c r="Q9" i="110" s="1"/>
  <c r="P8" i="110"/>
  <c r="P9" i="110" s="1"/>
  <c r="M9" i="110"/>
  <c r="N9" i="110"/>
  <c r="O8" i="110"/>
  <c r="O9" i="110" s="1"/>
  <c r="L8" i="110"/>
  <c r="L9" i="110" s="1"/>
  <c r="K9" i="110"/>
  <c r="D14" i="110"/>
  <c r="J74" i="110"/>
  <c r="J9" i="110"/>
  <c r="I14" i="110"/>
  <c r="H9" i="110"/>
  <c r="I9" i="110"/>
  <c r="E9" i="110"/>
  <c r="D8" i="110"/>
  <c r="D9" i="110" s="1"/>
  <c r="C8" i="110"/>
  <c r="C9" i="110" s="1"/>
  <c r="K35" i="29" l="1"/>
  <c r="K36" i="29"/>
  <c r="K37" i="29"/>
  <c r="J7" i="29"/>
  <c r="C8" i="29"/>
  <c r="I35" i="29"/>
  <c r="I36" i="29"/>
  <c r="I37" i="29"/>
  <c r="L7" i="29" a="1"/>
  <c r="B8" i="110"/>
  <c r="B9" i="110" s="1"/>
  <c r="D24" i="29" l="1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7" i="29"/>
  <c r="AH8" i="110" l="1"/>
  <c r="E43" i="23" l="1"/>
  <c r="H38" i="23" l="1"/>
  <c r="I38" i="23"/>
  <c r="J38" i="23"/>
  <c r="K38" i="23"/>
  <c r="L38" i="23"/>
  <c r="M38" i="23"/>
  <c r="AH74" i="110" l="1"/>
  <c r="AG78" i="110" l="1"/>
  <c r="C9" i="29" l="1"/>
  <c r="C10" i="29"/>
  <c r="C11" i="29"/>
  <c r="I11" i="29" s="1"/>
  <c r="C12" i="29"/>
  <c r="I12" i="29" s="1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I26" i="29" s="1"/>
  <c r="C27" i="29"/>
  <c r="C28" i="29"/>
  <c r="C29" i="29"/>
  <c r="C30" i="29"/>
  <c r="C31" i="29"/>
  <c r="C32" i="29"/>
  <c r="I32" i="29" s="1"/>
  <c r="C33" i="29"/>
  <c r="I33" i="29" s="1"/>
  <c r="C34" i="29"/>
  <c r="I34" i="29" s="1"/>
  <c r="C35" i="29"/>
  <c r="C36" i="29"/>
  <c r="C37" i="29"/>
  <c r="AH12" i="110" l="1"/>
  <c r="AH14" i="110" l="1"/>
  <c r="AH9" i="110" l="1"/>
  <c r="B35" i="113" l="1"/>
  <c r="B40" i="23" l="1"/>
  <c r="C40" i="23"/>
  <c r="G40" i="23"/>
  <c r="J40" i="23"/>
  <c r="D40" i="23" l="1"/>
  <c r="H40" i="23" l="1"/>
  <c r="F40" i="23"/>
  <c r="G47" i="111"/>
  <c r="G11" i="23" l="1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B10" i="23" l="1"/>
  <c r="G38" i="29" l="1"/>
  <c r="H38" i="29"/>
  <c r="J11" i="23" l="1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9" i="23"/>
  <c r="B8" i="29" l="1"/>
  <c r="I8" i="29" s="1"/>
  <c r="B9" i="29"/>
  <c r="I9" i="29" s="1"/>
  <c r="B10" i="29"/>
  <c r="I10" i="29" s="1"/>
  <c r="B11" i="29"/>
  <c r="B12" i="29"/>
  <c r="B13" i="29"/>
  <c r="I13" i="29" s="1"/>
  <c r="B14" i="29"/>
  <c r="I14" i="29" s="1"/>
  <c r="B15" i="29"/>
  <c r="I15" i="29" s="1"/>
  <c r="B16" i="29"/>
  <c r="I16" i="29" s="1"/>
  <c r="B17" i="29"/>
  <c r="I17" i="29" s="1"/>
  <c r="B18" i="29"/>
  <c r="B19" i="29"/>
  <c r="B20" i="29"/>
  <c r="I20" i="29" s="1"/>
  <c r="B21" i="29"/>
  <c r="I21" i="29" s="1"/>
  <c r="B22" i="29"/>
  <c r="I22" i="29" s="1"/>
  <c r="B23" i="29"/>
  <c r="I23" i="29" s="1"/>
  <c r="B24" i="29"/>
  <c r="I24" i="29" s="1"/>
  <c r="B25" i="29"/>
  <c r="B26" i="29"/>
  <c r="B27" i="29"/>
  <c r="I27" i="29" s="1"/>
  <c r="B28" i="29"/>
  <c r="I28" i="29" s="1"/>
  <c r="B29" i="29"/>
  <c r="I29" i="29" s="1"/>
  <c r="B30" i="29"/>
  <c r="I30" i="29" s="1"/>
  <c r="B31" i="29"/>
  <c r="I31" i="29" s="1"/>
  <c r="B32" i="29"/>
  <c r="B33" i="29"/>
  <c r="B34" i="29"/>
  <c r="B35" i="29"/>
  <c r="B36" i="29"/>
  <c r="B37" i="29"/>
  <c r="B11" i="23"/>
  <c r="B12" i="23"/>
  <c r="B13" i="23"/>
  <c r="B14" i="23"/>
  <c r="B15" i="23"/>
  <c r="B16" i="23"/>
  <c r="B17" i="23"/>
  <c r="B18" i="23"/>
  <c r="B19" i="23"/>
  <c r="B20" i="23"/>
  <c r="B21" i="23"/>
  <c r="I25" i="29" l="1"/>
  <c r="I19" i="29"/>
  <c r="I18" i="29"/>
  <c r="O9" i="29"/>
  <c r="O16" i="29"/>
  <c r="O21" i="29"/>
  <c r="O34" i="29"/>
  <c r="O19" i="29"/>
  <c r="O32" i="29"/>
  <c r="O31" i="29"/>
  <c r="O29" i="29"/>
  <c r="O27" i="29"/>
  <c r="O12" i="29"/>
  <c r="O25" i="29"/>
  <c r="O24" i="29"/>
  <c r="O10" i="29"/>
  <c r="O17" i="29"/>
  <c r="O15" i="29"/>
  <c r="O28" i="29"/>
  <c r="O14" i="29"/>
  <c r="O26" i="29"/>
  <c r="O37" i="29"/>
  <c r="O23" i="29"/>
  <c r="O35" i="29"/>
  <c r="O20" i="29"/>
  <c r="O33" i="29"/>
  <c r="O18" i="29"/>
  <c r="O30" i="29"/>
  <c r="O13" i="29"/>
  <c r="O11" i="29"/>
  <c r="O36" i="29"/>
  <c r="O22" i="29"/>
  <c r="O8" i="29"/>
  <c r="B8" i="28"/>
  <c r="C8" i="28"/>
  <c r="D8" i="28"/>
  <c r="B9" i="28"/>
  <c r="C9" i="28"/>
  <c r="D9" i="28"/>
  <c r="B10" i="28"/>
  <c r="C10" i="28"/>
  <c r="D10" i="28"/>
  <c r="B11" i="28"/>
  <c r="C11" i="28"/>
  <c r="D11" i="28"/>
  <c r="B12" i="28"/>
  <c r="C12" i="28"/>
  <c r="D12" i="28"/>
  <c r="B13" i="28"/>
  <c r="C13" i="28"/>
  <c r="D13" i="28"/>
  <c r="B14" i="28"/>
  <c r="C14" i="28"/>
  <c r="D14" i="28"/>
  <c r="B15" i="28"/>
  <c r="C15" i="28"/>
  <c r="D15" i="28"/>
  <c r="B16" i="28"/>
  <c r="C16" i="28"/>
  <c r="D16" i="28"/>
  <c r="B17" i="28"/>
  <c r="C17" i="28"/>
  <c r="D17" i="28"/>
  <c r="B18" i="28"/>
  <c r="C18" i="28"/>
  <c r="D18" i="28"/>
  <c r="B19" i="28"/>
  <c r="C19" i="28"/>
  <c r="D19" i="28"/>
  <c r="B20" i="28"/>
  <c r="C20" i="28"/>
  <c r="D20" i="28"/>
  <c r="B21" i="28"/>
  <c r="C21" i="28"/>
  <c r="D21" i="28"/>
  <c r="B22" i="28"/>
  <c r="C22" i="28"/>
  <c r="D22" i="28"/>
  <c r="B23" i="28"/>
  <c r="C23" i="28"/>
  <c r="D23" i="28"/>
  <c r="B24" i="28"/>
  <c r="C24" i="28"/>
  <c r="D24" i="28"/>
  <c r="B25" i="28"/>
  <c r="C25" i="28"/>
  <c r="D25" i="28"/>
  <c r="B26" i="28"/>
  <c r="C26" i="28"/>
  <c r="D26" i="28"/>
  <c r="B27" i="28"/>
  <c r="C27" i="28"/>
  <c r="D27" i="28"/>
  <c r="B28" i="28"/>
  <c r="C28" i="28"/>
  <c r="D28" i="28"/>
  <c r="B29" i="28"/>
  <c r="C29" i="28"/>
  <c r="D29" i="28"/>
  <c r="B30" i="28"/>
  <c r="C30" i="28"/>
  <c r="D30" i="28"/>
  <c r="B31" i="28"/>
  <c r="C31" i="28"/>
  <c r="D31" i="28"/>
  <c r="B32" i="28"/>
  <c r="C32" i="28"/>
  <c r="D32" i="28"/>
  <c r="B33" i="28"/>
  <c r="C33" i="28"/>
  <c r="D33" i="28"/>
  <c r="B34" i="28"/>
  <c r="C34" i="28"/>
  <c r="D34" i="28"/>
  <c r="B35" i="28"/>
  <c r="C35" i="28"/>
  <c r="D35" i="28"/>
  <c r="B36" i="28"/>
  <c r="C36" i="28"/>
  <c r="D36" i="28"/>
  <c r="B37" i="28"/>
  <c r="C37" i="28"/>
  <c r="D37" i="28"/>
  <c r="AA92" i="110" l="1"/>
  <c r="D8" i="30" l="1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7" i="30"/>
  <c r="B83" i="110" l="1" a="1"/>
  <c r="C11" i="23"/>
  <c r="D11" i="23" s="1"/>
  <c r="C12" i="23"/>
  <c r="D12" i="23" s="1"/>
  <c r="C13" i="23"/>
  <c r="D13" i="23" s="1"/>
  <c r="C14" i="23"/>
  <c r="D14" i="23" s="1"/>
  <c r="C15" i="23"/>
  <c r="D15" i="23" s="1"/>
  <c r="C16" i="23"/>
  <c r="D16" i="23" s="1"/>
  <c r="C17" i="23"/>
  <c r="D17" i="23" s="1"/>
  <c r="C18" i="23"/>
  <c r="D18" i="23" s="1"/>
  <c r="C19" i="23"/>
  <c r="D19" i="23" s="1"/>
  <c r="C20" i="23"/>
  <c r="D20" i="23" s="1"/>
  <c r="C21" i="23"/>
  <c r="D21" i="23" s="1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B22" i="23"/>
  <c r="B23" i="23"/>
  <c r="B24" i="23"/>
  <c r="B25" i="23"/>
  <c r="D25" i="23" s="1"/>
  <c r="B26" i="23"/>
  <c r="D26" i="23" s="1"/>
  <c r="B27" i="23"/>
  <c r="D27" i="23" s="1"/>
  <c r="B28" i="23"/>
  <c r="D28" i="23" s="1"/>
  <c r="B29" i="23"/>
  <c r="B30" i="23"/>
  <c r="B31" i="23"/>
  <c r="B32" i="23"/>
  <c r="B33" i="23"/>
  <c r="B34" i="23"/>
  <c r="B35" i="23"/>
  <c r="B36" i="23"/>
  <c r="B37" i="23"/>
  <c r="B38" i="23"/>
  <c r="B39" i="23"/>
  <c r="D39" i="23" s="1"/>
  <c r="D29" i="23" l="1"/>
  <c r="D32" i="23"/>
  <c r="D31" i="23"/>
  <c r="D30" i="23"/>
  <c r="D24" i="23"/>
  <c r="D38" i="23"/>
  <c r="D23" i="23"/>
  <c r="D37" i="23"/>
  <c r="D36" i="23"/>
  <c r="D22" i="23"/>
  <c r="D35" i="23"/>
  <c r="D34" i="23"/>
  <c r="D33" i="23"/>
  <c r="F12" i="23"/>
  <c r="F13" i="23"/>
  <c r="F14" i="23"/>
  <c r="F15" i="23"/>
  <c r="F16" i="23"/>
  <c r="F26" i="23"/>
  <c r="D38" i="30"/>
  <c r="H30" i="23" l="1"/>
  <c r="F28" i="23"/>
  <c r="F27" i="23"/>
  <c r="F23" i="23"/>
  <c r="F20" i="23"/>
  <c r="F19" i="23"/>
  <c r="F17" i="23"/>
  <c r="F25" i="23"/>
  <c r="F11" i="23"/>
  <c r="F18" i="23"/>
  <c r="F24" i="23"/>
  <c r="F22" i="23"/>
  <c r="F21" i="23"/>
  <c r="F37" i="23"/>
  <c r="F36" i="23"/>
  <c r="F35" i="23"/>
  <c r="F34" i="23"/>
  <c r="F33" i="23"/>
  <c r="F32" i="23"/>
  <c r="F31" i="23"/>
  <c r="F30" i="23"/>
  <c r="F29" i="23"/>
  <c r="O8" i="28"/>
  <c r="O9" i="28"/>
  <c r="F92" i="110" l="1"/>
  <c r="F37" i="29" l="1"/>
  <c r="E37" i="29" s="1"/>
  <c r="J37" i="29"/>
  <c r="D92" i="110" l="1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J92" i="110" l="1"/>
  <c r="C35" i="30" l="1"/>
  <c r="C36" i="30"/>
  <c r="C37" i="30"/>
  <c r="G10" i="23"/>
  <c r="C10" i="23"/>
  <c r="H18" i="23" l="1"/>
  <c r="C15" i="30"/>
  <c r="H19" i="23"/>
  <c r="C16" i="30"/>
  <c r="H20" i="23"/>
  <c r="C17" i="30"/>
  <c r="H21" i="23"/>
  <c r="C18" i="30"/>
  <c r="H22" i="23"/>
  <c r="C19" i="30"/>
  <c r="H23" i="23"/>
  <c r="C20" i="30"/>
  <c r="H24" i="23"/>
  <c r="C21" i="30"/>
  <c r="H25" i="23"/>
  <c r="C22" i="30"/>
  <c r="H26" i="23"/>
  <c r="C23" i="30"/>
  <c r="H27" i="23"/>
  <c r="C24" i="30"/>
  <c r="H28" i="23"/>
  <c r="C25" i="30"/>
  <c r="H29" i="23"/>
  <c r="C26" i="30"/>
  <c r="C27" i="30"/>
  <c r="H31" i="23"/>
  <c r="C28" i="30"/>
  <c r="H32" i="23"/>
  <c r="C29" i="30"/>
  <c r="H33" i="23"/>
  <c r="C30" i="30"/>
  <c r="H34" i="23"/>
  <c r="C31" i="30"/>
  <c r="H35" i="23"/>
  <c r="C32" i="30"/>
  <c r="H36" i="23"/>
  <c r="C33" i="30"/>
  <c r="H37" i="23"/>
  <c r="C34" i="30"/>
  <c r="H17" i="23"/>
  <c r="C14" i="30"/>
  <c r="H16" i="23"/>
  <c r="C13" i="30"/>
  <c r="H15" i="23"/>
  <c r="C12" i="30"/>
  <c r="H14" i="23"/>
  <c r="C11" i="30"/>
  <c r="H13" i="23"/>
  <c r="C10" i="30"/>
  <c r="H12" i="23"/>
  <c r="C9" i="30"/>
  <c r="H11" i="23"/>
  <c r="C8" i="30"/>
  <c r="D10" i="23"/>
  <c r="R38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D43" i="23" l="1"/>
  <c r="F43" i="23" s="1"/>
  <c r="H10" i="23"/>
  <c r="C7" i="28"/>
  <c r="C38" i="28" s="1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77" i="110" l="1" a="1"/>
  <c r="D24" i="31"/>
  <c r="D7" i="28" l="1"/>
  <c r="B75" i="110" s="1" a="1"/>
  <c r="W92" i="110"/>
  <c r="S92" i="110" l="1"/>
  <c r="V8" i="28" l="1"/>
  <c r="S39" i="28" l="1" a="1"/>
  <c r="V39" i="28"/>
  <c r="T39" i="28"/>
  <c r="U39" i="28"/>
  <c r="W39" i="28" l="1"/>
  <c r="S18" i="28" l="1" a="1"/>
  <c r="S19" i="28" a="1"/>
  <c r="S20" i="28" a="1"/>
  <c r="S21" i="28" a="1"/>
  <c r="S23" i="28" a="1"/>
  <c r="S24" i="28" a="1"/>
  <c r="S22" i="28" a="1"/>
  <c r="S27" i="28" l="1" a="1"/>
  <c r="S25" i="28" a="1"/>
  <c r="S26" i="28" a="1"/>
  <c r="S28" i="28" a="1"/>
  <c r="S29" i="28" a="1"/>
  <c r="S30" i="28" a="1"/>
  <c r="S31" i="28" a="1"/>
  <c r="S32" i="28" a="1"/>
  <c r="S33" i="28" a="1"/>
  <c r="S34" i="28" a="1"/>
  <c r="S35" i="28" a="1"/>
  <c r="S36" i="28" a="1"/>
  <c r="S37" i="28" a="1"/>
  <c r="W37" i="28" s="1"/>
  <c r="S38" i="28" a="1"/>
  <c r="W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K20" i="28"/>
  <c r="S13" i="28" s="1" a="1"/>
  <c r="K19" i="28"/>
  <c r="K18" i="28"/>
  <c r="K17" i="28"/>
  <c r="K16" i="28"/>
  <c r="K15" i="28"/>
  <c r="K14" i="28"/>
  <c r="K13" i="28"/>
  <c r="K12" i="28"/>
  <c r="O7" i="28" s="1" a="1"/>
  <c r="K11" i="28"/>
  <c r="K10" i="28"/>
  <c r="K9" i="28"/>
  <c r="K8" i="28"/>
  <c r="K7" i="28"/>
  <c r="K6" i="28"/>
  <c r="W10" i="28" l="1"/>
  <c r="W32" i="28"/>
  <c r="W35" i="28"/>
  <c r="W33" i="28"/>
  <c r="N7" i="28"/>
  <c r="S17" i="28" a="1"/>
  <c r="W17" i="28" s="1"/>
  <c r="W36" i="28"/>
  <c r="S16" i="28" a="1"/>
  <c r="W16" i="28" s="1"/>
  <c r="S15" i="28" a="1"/>
  <c r="W15" i="28" s="1"/>
  <c r="W34" i="28"/>
  <c r="W19" i="28"/>
  <c r="W31" i="28"/>
  <c r="S12" i="28" a="1"/>
  <c r="W12" i="28" s="1"/>
  <c r="S11" i="28" a="1"/>
  <c r="W11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W7" i="28" s="1"/>
  <c r="S8" i="28" a="1"/>
  <c r="W8" i="28" s="1"/>
  <c r="S9" i="28" a="1"/>
  <c r="W9" i="28" s="1"/>
  <c r="X10" i="28" l="1"/>
  <c r="X14" i="28"/>
  <c r="X8" i="28"/>
  <c r="X9" i="28"/>
  <c r="X11" i="28"/>
  <c r="X12" i="28"/>
  <c r="X27" i="28" l="1"/>
  <c r="X38" i="28"/>
  <c r="X35" i="28"/>
  <c r="D38" i="28"/>
  <c r="X29" i="28" l="1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B92" i="110" l="1"/>
  <c r="E7" i="28" a="1"/>
  <c r="K40" i="23" s="1"/>
  <c r="X40" i="28"/>
  <c r="AH92" i="110" l="1"/>
  <c r="K14" i="23"/>
  <c r="K11" i="23"/>
  <c r="K18" i="23"/>
  <c r="K30" i="23"/>
  <c r="K26" i="23"/>
  <c r="K25" i="23"/>
  <c r="K28" i="23"/>
  <c r="K27" i="23"/>
  <c r="K23" i="23"/>
  <c r="K22" i="23"/>
  <c r="K35" i="23"/>
  <c r="K15" i="23"/>
  <c r="K21" i="23"/>
  <c r="K33" i="23"/>
  <c r="K20" i="23"/>
  <c r="K24" i="23"/>
  <c r="K37" i="23"/>
  <c r="K36" i="23"/>
  <c r="K16" i="23"/>
  <c r="K34" i="23"/>
  <c r="K13" i="23"/>
  <c r="K32" i="23"/>
  <c r="K39" i="23"/>
  <c r="K31" i="23"/>
  <c r="K19" i="23"/>
  <c r="AI68" i="110"/>
  <c r="H7" i="31"/>
  <c r="C7" i="29" l="1"/>
  <c r="C39" i="29" l="1"/>
  <c r="C38" i="29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I40" i="23" s="1"/>
  <c r="G37" i="31"/>
  <c r="S37" i="31" s="1"/>
  <c r="F39" i="23"/>
  <c r="F38" i="23" l="1"/>
  <c r="H39" i="23"/>
  <c r="B29" i="30"/>
  <c r="E29" i="30" s="1"/>
  <c r="B32" i="30"/>
  <c r="E32" i="30" s="1"/>
  <c r="B26" i="30"/>
  <c r="E26" i="30" s="1"/>
  <c r="B33" i="30"/>
  <c r="E33" i="30" s="1"/>
  <c r="B35" i="30"/>
  <c r="E35" i="30" s="1"/>
  <c r="B27" i="30"/>
  <c r="E27" i="30" s="1"/>
  <c r="B30" i="30"/>
  <c r="E30" i="30" s="1"/>
  <c r="B34" i="30"/>
  <c r="E34" i="30" s="1"/>
  <c r="B37" i="30"/>
  <c r="E37" i="30" s="1"/>
  <c r="B36" i="30"/>
  <c r="E36" i="30" s="1"/>
  <c r="B28" i="30"/>
  <c r="E28" i="30" s="1"/>
  <c r="B31" i="30"/>
  <c r="E31" i="30" s="1"/>
  <c r="AF19" i="110"/>
  <c r="AF39" i="110"/>
  <c r="AF40" i="110"/>
  <c r="AF46" i="110"/>
  <c r="AF65" i="110" s="1"/>
  <c r="AF47" i="110"/>
  <c r="AF56" i="110"/>
  <c r="AF57" i="110"/>
  <c r="AF58" i="110"/>
  <c r="AF79" i="110"/>
  <c r="AF85" i="110"/>
  <c r="AF92" i="110"/>
  <c r="AF100" i="110"/>
  <c r="AF103" i="110"/>
  <c r="AF105" i="110" s="1"/>
  <c r="AF106" i="110"/>
  <c r="C7" i="30" l="1"/>
  <c r="B19" i="30"/>
  <c r="E19" i="30" s="1"/>
  <c r="B22" i="30"/>
  <c r="E22" i="30" s="1"/>
  <c r="B24" i="30"/>
  <c r="E24" i="30" s="1"/>
  <c r="B25" i="30"/>
  <c r="E25" i="30" s="1"/>
  <c r="B15" i="30" l="1"/>
  <c r="E15" i="30" s="1"/>
  <c r="B21" i="30"/>
  <c r="E21" i="30" s="1"/>
  <c r="B18" i="30"/>
  <c r="E18" i="30" s="1"/>
  <c r="B14" i="30"/>
  <c r="E14" i="30" s="1"/>
  <c r="B20" i="30"/>
  <c r="E20" i="30" s="1"/>
  <c r="B23" i="30"/>
  <c r="E23" i="30" s="1"/>
  <c r="B16" i="30"/>
  <c r="E16" i="30" s="1"/>
  <c r="B17" i="30"/>
  <c r="E17" i="30" s="1"/>
  <c r="B13" i="30"/>
  <c r="E13" i="30" s="1"/>
  <c r="B10" i="30"/>
  <c r="E10" i="30" s="1"/>
  <c r="AH25" i="110"/>
  <c r="F10" i="23" l="1"/>
  <c r="C38" i="30"/>
  <c r="B12" i="30"/>
  <c r="E12" i="30" s="1"/>
  <c r="B9" i="30"/>
  <c r="E9" i="30" s="1"/>
  <c r="B11" i="30"/>
  <c r="E11" i="30" s="1"/>
  <c r="B8" i="30"/>
  <c r="E8" i="30" s="1"/>
  <c r="B7" i="30"/>
  <c r="E7" i="30" s="1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E38" i="30" l="1"/>
  <c r="E44" i="23"/>
  <c r="B80" i="110" a="1"/>
  <c r="AD94" i="110" s="1"/>
  <c r="B38" i="30"/>
  <c r="H43" i="23"/>
  <c r="B5" i="113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V94" i="110" l="1"/>
  <c r="W94" i="110"/>
  <c r="O94" i="110"/>
  <c r="P94" i="110"/>
  <c r="AF94" i="110"/>
  <c r="H94" i="110"/>
  <c r="S94" i="110"/>
  <c r="AE94" i="110"/>
  <c r="I94" i="110"/>
  <c r="K94" i="110"/>
  <c r="C94" i="110"/>
  <c r="D94" i="110"/>
  <c r="AB94" i="110"/>
  <c r="AC94" i="110"/>
  <c r="Y94" i="110"/>
  <c r="T94" i="110"/>
  <c r="Z94" i="110"/>
  <c r="R94" i="110"/>
  <c r="N94" i="110"/>
  <c r="M94" i="110"/>
  <c r="L94" i="110"/>
  <c r="X94" i="110"/>
  <c r="U94" i="110"/>
  <c r="Q94" i="110"/>
  <c r="AA94" i="110"/>
  <c r="J94" i="110"/>
  <c r="F94" i="110"/>
  <c r="E94" i="110"/>
  <c r="G94" i="110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9" i="23"/>
  <c r="AA93" i="111" l="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V79" i="110" s="1"/>
  <c r="W47" i="111"/>
  <c r="W79" i="110" s="1"/>
  <c r="X47" i="111"/>
  <c r="X79" i="110" s="1"/>
  <c r="Y47" i="111"/>
  <c r="Y79" i="110" s="1"/>
  <c r="Z47" i="111"/>
  <c r="Z79" i="110" s="1"/>
  <c r="AA47" i="111"/>
  <c r="AA79" i="110" s="1"/>
  <c r="AB47" i="111"/>
  <c r="AB79" i="110" s="1"/>
  <c r="AC47" i="111"/>
  <c r="AC79" i="110" s="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F8" i="29" l="1"/>
  <c r="F9" i="29"/>
  <c r="E9" i="29" s="1"/>
  <c r="K9" i="29" s="1"/>
  <c r="F10" i="29"/>
  <c r="E10" i="29" s="1"/>
  <c r="K10" i="29" s="1"/>
  <c r="F11" i="29"/>
  <c r="F12" i="29"/>
  <c r="F13" i="29"/>
  <c r="F14" i="29"/>
  <c r="F15" i="29"/>
  <c r="E15" i="29" s="1"/>
  <c r="K15" i="29" s="1"/>
  <c r="F16" i="29"/>
  <c r="E16" i="29" s="1"/>
  <c r="K16" i="29" s="1"/>
  <c r="F17" i="29"/>
  <c r="E17" i="29" s="1"/>
  <c r="K17" i="29" s="1"/>
  <c r="F18" i="29"/>
  <c r="E18" i="29" s="1"/>
  <c r="K18" i="29" s="1"/>
  <c r="F19" i="29"/>
  <c r="E19" i="29" s="1"/>
  <c r="K19" i="29" s="1"/>
  <c r="F20" i="29"/>
  <c r="E20" i="29" s="1"/>
  <c r="K20" i="29" s="1"/>
  <c r="F21" i="29"/>
  <c r="E21" i="29" s="1"/>
  <c r="K21" i="29" s="1"/>
  <c r="F22" i="29"/>
  <c r="E22" i="29" s="1"/>
  <c r="K22" i="29" s="1"/>
  <c r="F23" i="29"/>
  <c r="E23" i="29" s="1"/>
  <c r="K23" i="29" s="1"/>
  <c r="F24" i="29"/>
  <c r="E24" i="29" s="1"/>
  <c r="K24" i="29" s="1"/>
  <c r="F25" i="29"/>
  <c r="E25" i="29" s="1"/>
  <c r="K25" i="29" s="1"/>
  <c r="F26" i="29"/>
  <c r="E26" i="29" s="1"/>
  <c r="K26" i="29" s="1"/>
  <c r="F27" i="29"/>
  <c r="E27" i="29" s="1"/>
  <c r="K27" i="29" s="1"/>
  <c r="F28" i="29"/>
  <c r="F29" i="29"/>
  <c r="E29" i="29" s="1"/>
  <c r="K29" i="29" s="1"/>
  <c r="F30" i="29"/>
  <c r="E30" i="29" s="1"/>
  <c r="K30" i="29" s="1"/>
  <c r="F31" i="29"/>
  <c r="E31" i="29" s="1"/>
  <c r="K31" i="29" s="1"/>
  <c r="F32" i="29"/>
  <c r="E32" i="29" s="1"/>
  <c r="K32" i="29" s="1"/>
  <c r="F33" i="29"/>
  <c r="E33" i="29" s="1"/>
  <c r="K33" i="29" s="1"/>
  <c r="F34" i="29"/>
  <c r="E34" i="29" s="1"/>
  <c r="K34" i="29" s="1"/>
  <c r="F35" i="29"/>
  <c r="E35" i="29" s="1"/>
  <c r="F36" i="29"/>
  <c r="E36" i="29" s="1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C71" i="110" s="1"/>
  <c r="D9" i="31"/>
  <c r="E9" i="31"/>
  <c r="F9" i="31"/>
  <c r="D71" i="110" s="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E28" i="29" l="1"/>
  <c r="K28" i="29" s="1"/>
  <c r="Z35" i="31"/>
  <c r="AF31" i="110"/>
  <c r="AF63" i="110"/>
  <c r="AF30" i="110"/>
  <c r="AF54" i="110"/>
  <c r="Z24" i="31"/>
  <c r="I27" i="23" s="1"/>
  <c r="Z26" i="31"/>
  <c r="I29" i="23" s="1"/>
  <c r="Z22" i="31"/>
  <c r="I25" i="23" s="1"/>
  <c r="Z18" i="31"/>
  <c r="I21" i="23" s="1"/>
  <c r="G8" i="31"/>
  <c r="S8" i="31" s="1"/>
  <c r="G9" i="31"/>
  <c r="S9" i="31" s="1"/>
  <c r="Z19" i="31"/>
  <c r="I22" i="23" s="1"/>
  <c r="Z12" i="31"/>
  <c r="I15" i="23" s="1"/>
  <c r="G36" i="31"/>
  <c r="S36" i="31" s="1"/>
  <c r="Z36" i="31"/>
  <c r="I39" i="23" s="1"/>
  <c r="G35" i="31"/>
  <c r="S35" i="31" s="1"/>
  <c r="Z34" i="31"/>
  <c r="I37" i="23" s="1"/>
  <c r="G34" i="31"/>
  <c r="S34" i="31" s="1"/>
  <c r="AF16" i="111"/>
  <c r="AF18" i="111" s="1"/>
  <c r="G33" i="31"/>
  <c r="S33" i="31" s="1"/>
  <c r="Z33" i="31"/>
  <c r="I36" i="23" s="1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G30" i="31"/>
  <c r="S30" i="31" s="1"/>
  <c r="Z30" i="31"/>
  <c r="I33" i="23" s="1"/>
  <c r="G29" i="31"/>
  <c r="S29" i="31" s="1"/>
  <c r="Z29" i="31"/>
  <c r="Z28" i="31"/>
  <c r="I31" i="23" s="1"/>
  <c r="G28" i="31"/>
  <c r="S28" i="31" s="1"/>
  <c r="G27" i="31"/>
  <c r="S27" i="31" s="1"/>
  <c r="Z27" i="31"/>
  <c r="I30" i="23" s="1"/>
  <c r="G26" i="31"/>
  <c r="S26" i="31" s="1"/>
  <c r="Z25" i="31"/>
  <c r="I28" i="23" s="1"/>
  <c r="G25" i="31"/>
  <c r="S25" i="31" s="1"/>
  <c r="G24" i="31"/>
  <c r="S24" i="31" s="1"/>
  <c r="Z23" i="31"/>
  <c r="I26" i="23" s="1"/>
  <c r="G23" i="31"/>
  <c r="S23" i="31" s="1"/>
  <c r="G22" i="31"/>
  <c r="S22" i="31" s="1"/>
  <c r="Z21" i="31"/>
  <c r="I24" i="23" s="1"/>
  <c r="G21" i="31"/>
  <c r="S21" i="31" s="1"/>
  <c r="G19" i="31"/>
  <c r="S19" i="31" s="1"/>
  <c r="G20" i="31"/>
  <c r="S20" i="31" s="1"/>
  <c r="Z20" i="31"/>
  <c r="I23" i="23" s="1"/>
  <c r="G17" i="31"/>
  <c r="S17" i="31" s="1"/>
  <c r="G16" i="31"/>
  <c r="S16" i="31" s="1"/>
  <c r="Z16" i="31"/>
  <c r="I19" i="23" s="1"/>
  <c r="Z17" i="31"/>
  <c r="I20" i="23" s="1"/>
  <c r="G18" i="31"/>
  <c r="S18" i="31" s="1"/>
  <c r="G15" i="31"/>
  <c r="S15" i="31" s="1"/>
  <c r="Z15" i="31"/>
  <c r="I18" i="23" s="1"/>
  <c r="G14" i="31"/>
  <c r="S14" i="31" s="1"/>
  <c r="Z14" i="31"/>
  <c r="I17" i="23" s="1"/>
  <c r="Z13" i="31"/>
  <c r="I16" i="23" s="1"/>
  <c r="G13" i="31"/>
  <c r="S13" i="31" s="1"/>
  <c r="Z11" i="31"/>
  <c r="I14" i="23" s="1"/>
  <c r="G12" i="31"/>
  <c r="S12" i="31" s="1"/>
  <c r="G11" i="31"/>
  <c r="S11" i="31" s="1"/>
  <c r="G10" i="31"/>
  <c r="S10" i="31" s="1"/>
  <c r="Z10" i="31"/>
  <c r="I13" i="23" s="1"/>
  <c r="Z9" i="31"/>
  <c r="I12" i="23" s="1"/>
  <c r="Z8" i="31"/>
  <c r="I11" i="23" s="1"/>
  <c r="AF22" i="110"/>
  <c r="AF90" i="110" s="1"/>
  <c r="T28" i="31"/>
  <c r="T23" i="31"/>
  <c r="T30" i="31"/>
  <c r="B81" i="110" a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T9" i="31"/>
  <c r="T10" i="31"/>
  <c r="K17" i="23"/>
  <c r="B82" i="110" a="1"/>
  <c r="AF32" i="110"/>
  <c r="AF116" i="110"/>
  <c r="I32" i="23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I7" i="29" l="1"/>
  <c r="O7" i="29"/>
  <c r="B39" i="29"/>
  <c r="B38" i="29"/>
  <c r="I38" i="29" s="1"/>
  <c r="AF61" i="110"/>
  <c r="AF69" i="110" s="1"/>
  <c r="B76" i="110" a="1"/>
  <c r="S78" i="110" s="1"/>
  <c r="C17" i="109"/>
  <c r="C31" i="109"/>
  <c r="C15" i="109"/>
  <c r="B38" i="28"/>
  <c r="C34" i="109"/>
  <c r="C32" i="109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P93" i="110" l="1"/>
  <c r="I78" i="110"/>
  <c r="AE78" i="110"/>
  <c r="X78" i="110"/>
  <c r="T78" i="110"/>
  <c r="U78" i="110"/>
  <c r="AD78" i="110"/>
  <c r="AF78" i="110"/>
  <c r="D78" i="110"/>
  <c r="P78" i="110"/>
  <c r="H78" i="110"/>
  <c r="J78" i="110"/>
  <c r="G78" i="110"/>
  <c r="F78" i="110"/>
  <c r="N78" i="110"/>
  <c r="AC78" i="110"/>
  <c r="O78" i="110"/>
  <c r="R78" i="110"/>
  <c r="C78" i="110"/>
  <c r="Y78" i="110"/>
  <c r="Q78" i="110"/>
  <c r="AA78" i="110"/>
  <c r="E78" i="110"/>
  <c r="W78" i="110"/>
  <c r="L78" i="110"/>
  <c r="K78" i="110"/>
  <c r="Z78" i="110"/>
  <c r="M78" i="110"/>
  <c r="AB78" i="110"/>
  <c r="V78" i="110"/>
  <c r="AF68" i="110"/>
  <c r="V93" i="110"/>
  <c r="AF93" i="110"/>
  <c r="S93" i="110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K12" i="23" l="1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L20" i="110" l="1"/>
  <c r="AC92" i="110" l="1"/>
  <c r="G92" i="110" l="1"/>
  <c r="T92" i="110" l="1"/>
  <c r="V92" i="110" l="1"/>
  <c r="U92" i="110" l="1"/>
  <c r="K92" i="110" l="1"/>
  <c r="L92" i="110" l="1"/>
  <c r="L56" i="110"/>
  <c r="G93" i="111"/>
  <c r="I56" i="110"/>
  <c r="C56" i="110"/>
  <c r="J93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G27" i="109"/>
  <c r="D27" i="109" s="1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79" i="110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W28" i="111"/>
  <c r="X28" i="111"/>
  <c r="Y36" i="110"/>
  <c r="Y37" i="111"/>
  <c r="AA36" i="110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F7" i="29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3" i="110"/>
  <c r="Y92" i="110"/>
  <c r="I74" i="111"/>
  <c r="I93" i="110"/>
  <c r="I92" i="110"/>
  <c r="AA56" i="110"/>
  <c r="Y56" i="110"/>
  <c r="Y93" i="110"/>
  <c r="I61" i="110"/>
  <c r="G47" i="110"/>
  <c r="G19" i="109"/>
  <c r="D19" i="109" s="1"/>
  <c r="G20" i="109"/>
  <c r="D20" i="109" s="1"/>
  <c r="I37" i="110"/>
  <c r="AE93" i="110"/>
  <c r="AE56" i="110"/>
  <c r="AE92" i="110"/>
  <c r="E7" i="29" l="1"/>
  <c r="K7" i="29" s="1"/>
  <c r="F38" i="29"/>
  <c r="V30" i="110"/>
  <c r="B84" i="110"/>
  <c r="B96" i="110" s="1"/>
  <c r="D38" i="29"/>
  <c r="F38" i="31"/>
  <c r="B71" i="110"/>
  <c r="E13" i="29"/>
  <c r="E11" i="29"/>
  <c r="E12" i="29"/>
  <c r="E14" i="29"/>
  <c r="Z7" i="31"/>
  <c r="AG35" i="111"/>
  <c r="D38" i="31"/>
  <c r="G7" i="31"/>
  <c r="S7" i="31" s="1"/>
  <c r="Q30" i="110"/>
  <c r="F54" i="110"/>
  <c r="W84" i="110"/>
  <c r="W96" i="110" s="1"/>
  <c r="X84" i="110"/>
  <c r="X96" i="110" s="1"/>
  <c r="P84" i="110"/>
  <c r="P96" i="110" s="1"/>
  <c r="Q54" i="111"/>
  <c r="J54" i="111"/>
  <c r="E8" i="29"/>
  <c r="K8" i="29" s="1"/>
  <c r="U84" i="110"/>
  <c r="U96" i="110" s="1"/>
  <c r="T84" i="110"/>
  <c r="T96" i="110" s="1"/>
  <c r="AB63" i="111"/>
  <c r="AB62" i="111"/>
  <c r="B79" i="110"/>
  <c r="AG47" i="111"/>
  <c r="AE79" i="110" s="1"/>
  <c r="S54" i="111"/>
  <c r="S84" i="111" s="1"/>
  <c r="G89" i="111"/>
  <c r="AG87" i="111"/>
  <c r="AG89" i="111" s="1"/>
  <c r="M43" i="23"/>
  <c r="M84" i="110"/>
  <c r="M96" i="110" s="1"/>
  <c r="N84" i="110"/>
  <c r="N96" i="110" s="1"/>
  <c r="L84" i="110"/>
  <c r="L96" i="110" s="1"/>
  <c r="B70" i="111"/>
  <c r="AG86" i="11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E84" i="110"/>
  <c r="E96" i="110" s="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71" i="111"/>
  <c r="AF62" i="111"/>
  <c r="AF81" i="111"/>
  <c r="AF82" i="111"/>
  <c r="Z69" i="111"/>
  <c r="Z74" i="111"/>
  <c r="Z71" i="111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X15" i="111"/>
  <c r="N38" i="109"/>
  <c r="G19" i="110"/>
  <c r="L19" i="110"/>
  <c r="L26" i="110" s="1"/>
  <c r="M38" i="109"/>
  <c r="J38" i="109"/>
  <c r="C15" i="111"/>
  <c r="B37" i="111"/>
  <c r="Q38" i="31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AB23" i="111"/>
  <c r="AB25" i="111" s="1"/>
  <c r="AB26" i="111" s="1"/>
  <c r="X63" i="111"/>
  <c r="T39" i="111"/>
  <c r="AA30" i="110"/>
  <c r="O44" i="110"/>
  <c r="O62" i="110" s="1"/>
  <c r="I39" i="110"/>
  <c r="I57" i="110" s="1"/>
  <c r="E33" i="111"/>
  <c r="J40" i="111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C34" i="111"/>
  <c r="AC69" i="111" s="1"/>
  <c r="AA34" i="111"/>
  <c r="AA69" i="111" s="1"/>
  <c r="V29" i="111"/>
  <c r="V64" i="111" s="1"/>
  <c r="U96" i="111"/>
  <c r="Q28" i="110"/>
  <c r="Q37" i="111"/>
  <c r="K23" i="109"/>
  <c r="H39" i="110"/>
  <c r="H57" i="110" s="1"/>
  <c r="O36" i="110"/>
  <c r="C36" i="110"/>
  <c r="T34" i="111"/>
  <c r="V28" i="111"/>
  <c r="V62" i="111" s="1"/>
  <c r="N17" i="111"/>
  <c r="Z54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J29" i="110"/>
  <c r="K17" i="11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R71" i="111"/>
  <c r="B59" i="110"/>
  <c r="O67" i="111"/>
  <c r="M80" i="111"/>
  <c r="M74" i="111"/>
  <c r="K13" i="109"/>
  <c r="I10" i="109"/>
  <c r="C52" i="111"/>
  <c r="C101" i="111" s="1"/>
  <c r="B36" i="110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AA96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4" i="110"/>
  <c r="AB96" i="110" s="1"/>
  <c r="AH103" i="110"/>
  <c r="AH105" i="110" s="1"/>
  <c r="J84" i="110"/>
  <c r="J96" i="110" s="1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AE20" i="110"/>
  <c r="AE22" i="110" s="1"/>
  <c r="AE90" i="110" s="1"/>
  <c r="AD41" i="110"/>
  <c r="AC84" i="110"/>
  <c r="AC96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84" i="110"/>
  <c r="V96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G7" i="109"/>
  <c r="D7" i="109" s="1"/>
  <c r="C20" i="110"/>
  <c r="C92" i="110"/>
  <c r="C64" i="111"/>
  <c r="X62" i="111"/>
  <c r="C59" i="110"/>
  <c r="C63" i="110"/>
  <c r="L67" i="111"/>
  <c r="C61" i="110"/>
  <c r="L71" i="111"/>
  <c r="I81" i="111"/>
  <c r="X72" i="111"/>
  <c r="X74" i="111"/>
  <c r="X71" i="111"/>
  <c r="C57" i="110"/>
  <c r="D62" i="110"/>
  <c r="I75" i="111"/>
  <c r="X81" i="111"/>
  <c r="L74" i="111"/>
  <c r="AD69" i="110"/>
  <c r="C93" i="110"/>
  <c r="X67" i="111"/>
  <c r="N28" i="111"/>
  <c r="N62" i="111" s="1"/>
  <c r="N36" i="110"/>
  <c r="Q40" i="110"/>
  <c r="Q32" i="11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S31" i="111"/>
  <c r="S66" i="111" s="1"/>
  <c r="Q31" i="11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S33" i="111"/>
  <c r="S68" i="111" s="1"/>
  <c r="Q33" i="11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S23" i="111"/>
  <c r="S28" i="110"/>
  <c r="F15" i="111"/>
  <c r="F19" i="110"/>
  <c r="T36" i="110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116" i="110"/>
  <c r="Z116" i="110"/>
  <c r="J52" i="111"/>
  <c r="J101" i="111" s="1"/>
  <c r="Q84" i="110"/>
  <c r="AD84" i="110"/>
  <c r="AD96" i="110" s="1"/>
  <c r="G80" i="111"/>
  <c r="AE84" i="110"/>
  <c r="AE96" i="110" s="1"/>
  <c r="S80" i="111"/>
  <c r="R54" i="111"/>
  <c r="R84" i="111" s="1"/>
  <c r="R84" i="110"/>
  <c r="R96" i="110" s="1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K14" i="29" l="1"/>
  <c r="I84" i="110" s="1"/>
  <c r="I96" i="110" s="1"/>
  <c r="K11" i="29"/>
  <c r="F54" i="111" s="1"/>
  <c r="F84" i="111" s="1"/>
  <c r="K13" i="29"/>
  <c r="H84" i="110" s="1"/>
  <c r="H96" i="110" s="1"/>
  <c r="K12" i="29"/>
  <c r="G54" i="111" s="1"/>
  <c r="G84" i="111" s="1"/>
  <c r="B54" i="111"/>
  <c r="B22" i="110"/>
  <c r="B90" i="110" s="1"/>
  <c r="W54" i="110"/>
  <c r="F84" i="110"/>
  <c r="F96" i="110" s="1"/>
  <c r="H54" i="111"/>
  <c r="H84" i="111" s="1"/>
  <c r="I54" i="111"/>
  <c r="I84" i="111" s="1"/>
  <c r="AD59" i="110"/>
  <c r="AD50" i="110"/>
  <c r="AH85" i="110"/>
  <c r="K96" i="110"/>
  <c r="S50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Q32" i="110"/>
  <c r="I10" i="23"/>
  <c r="Z38" i="31"/>
  <c r="S54" i="110"/>
  <c r="E54" i="110"/>
  <c r="AH29" i="110"/>
  <c r="C69" i="110"/>
  <c r="H30" i="110"/>
  <c r="H32" i="110" s="1"/>
  <c r="O30" i="110"/>
  <c r="D54" i="110"/>
  <c r="C30" i="110"/>
  <c r="C32" i="110" s="1"/>
  <c r="AH19" i="110"/>
  <c r="C54" i="111"/>
  <c r="AC62" i="111"/>
  <c r="Y62" i="111"/>
  <c r="Y78" i="111" s="1"/>
  <c r="C54" i="110"/>
  <c r="C68" i="110" s="1"/>
  <c r="C84" i="110"/>
  <c r="C96" i="110" s="1"/>
  <c r="AA62" i="111"/>
  <c r="AA78" i="111" s="1"/>
  <c r="Z63" i="111"/>
  <c r="AH71" i="110"/>
  <c r="AH41" i="110"/>
  <c r="AH40" i="110"/>
  <c r="E26" i="110"/>
  <c r="B63" i="110"/>
  <c r="AH45" i="110"/>
  <c r="B54" i="110"/>
  <c r="AH36" i="110"/>
  <c r="AH15" i="110" s="1"/>
  <c r="B57" i="110"/>
  <c r="AH39" i="110"/>
  <c r="AH28" i="110"/>
  <c r="AH37" i="110"/>
  <c r="AB26" i="110"/>
  <c r="H22" i="110"/>
  <c r="H90" i="110" s="1"/>
  <c r="W26" i="110"/>
  <c r="AF79" i="111"/>
  <c r="Q22" i="110"/>
  <c r="Q90" i="110" s="1"/>
  <c r="H26" i="110"/>
  <c r="L18" i="109"/>
  <c r="E22" i="110"/>
  <c r="E90" i="110" s="1"/>
  <c r="S38" i="31"/>
  <c r="I22" i="110"/>
  <c r="I90" i="110" s="1"/>
  <c r="X21" i="111"/>
  <c r="AG15" i="111"/>
  <c r="I26" i="110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I58" i="110"/>
  <c r="I50" i="110"/>
  <c r="E58" i="110"/>
  <c r="E50" i="110"/>
  <c r="AB58" i="110"/>
  <c r="AB50" i="110"/>
  <c r="B58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L31" i="109"/>
  <c r="Y22" i="110"/>
  <c r="Y90" i="110" s="1"/>
  <c r="P25" i="111"/>
  <c r="P26" i="111" s="1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P21" i="111"/>
  <c r="R21" i="111"/>
  <c r="AB18" i="111"/>
  <c r="AB59" i="111" s="1"/>
  <c r="Q18" i="11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S90" i="110" s="1"/>
  <c r="N22" i="110"/>
  <c r="N90" i="110" s="1"/>
  <c r="O13" i="109"/>
  <c r="R13" i="109" s="1"/>
  <c r="S62" i="111"/>
  <c r="S63" i="111"/>
  <c r="U30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L101" i="111"/>
  <c r="L82" i="111"/>
  <c r="F116" i="110"/>
  <c r="AD30" i="110"/>
  <c r="AD32" i="110" s="1"/>
  <c r="AD54" i="110"/>
  <c r="AC31" i="110"/>
  <c r="AC63" i="110"/>
  <c r="AC116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54" i="110"/>
  <c r="AB116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O29" i="109"/>
  <c r="R29" i="109" s="1"/>
  <c r="W22" i="110"/>
  <c r="W90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C54" i="110"/>
  <c r="AF101" i="111"/>
  <c r="X79" i="111"/>
  <c r="W31" i="110"/>
  <c r="W63" i="110"/>
  <c r="AG24" i="111"/>
  <c r="V18" i="111"/>
  <c r="V59" i="111" s="1"/>
  <c r="AG34" i="111"/>
  <c r="AG96" i="111"/>
  <c r="V82" i="111"/>
  <c r="V116" i="110"/>
  <c r="U82" i="111"/>
  <c r="U116" i="110"/>
  <c r="T31" i="110"/>
  <c r="T63" i="110"/>
  <c r="T71" i="111"/>
  <c r="AG36" i="111"/>
  <c r="N30" i="110"/>
  <c r="N54" i="110"/>
  <c r="N79" i="111"/>
  <c r="O19" i="109"/>
  <c r="R19" i="109" s="1"/>
  <c r="AG31" i="111"/>
  <c r="B62" i="111"/>
  <c r="C72" i="111"/>
  <c r="C26" i="111"/>
  <c r="C71" i="111"/>
  <c r="C62" i="111"/>
  <c r="C67" i="111"/>
  <c r="C42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90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B42" i="111"/>
  <c r="N67" i="111"/>
  <c r="N42" i="111"/>
  <c r="K22" i="110"/>
  <c r="K90" i="110" s="1"/>
  <c r="Q42" i="111"/>
  <c r="AG32" i="111"/>
  <c r="E42" i="111"/>
  <c r="T82" i="111"/>
  <c r="T101" i="111"/>
  <c r="G116" i="110"/>
  <c r="D116" i="110"/>
  <c r="G79" i="11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E69" i="110"/>
  <c r="Z79" i="111"/>
  <c r="U79" i="111"/>
  <c r="P116" i="110"/>
  <c r="P101" i="111"/>
  <c r="P82" i="111"/>
  <c r="P78" i="111"/>
  <c r="O69" i="110"/>
  <c r="O79" i="111"/>
  <c r="O84" i="111"/>
  <c r="W68" i="110" l="1"/>
  <c r="K38" i="29"/>
  <c r="G84" i="110"/>
  <c r="G96" i="110" s="1"/>
  <c r="B32" i="110"/>
  <c r="AG54" i="111"/>
  <c r="F68" i="110"/>
  <c r="C84" i="111"/>
  <c r="AH22" i="110"/>
  <c r="O32" i="110"/>
  <c r="I43" i="23"/>
  <c r="AH31" i="110"/>
  <c r="AH30" i="110"/>
  <c r="AH26" i="110"/>
  <c r="D38" i="109"/>
  <c r="AE68" i="110"/>
  <c r="AC32" i="110"/>
  <c r="AD68" i="110"/>
  <c r="V68" i="110"/>
  <c r="E68" i="110"/>
  <c r="Z78" i="111"/>
  <c r="L68" i="110"/>
  <c r="H68" i="110"/>
  <c r="M68" i="110"/>
  <c r="K68" i="110"/>
  <c r="V78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H21" i="111"/>
  <c r="J79" i="111"/>
  <c r="J78" i="111"/>
  <c r="T78" i="111"/>
  <c r="S69" i="110"/>
  <c r="S68" i="110"/>
  <c r="E79" i="111"/>
  <c r="U69" i="110"/>
  <c r="U68" i="110"/>
  <c r="AI26" i="110"/>
  <c r="E78" i="111"/>
  <c r="AH84" i="110" l="1"/>
  <c r="AH96" i="110"/>
  <c r="AH32" i="110"/>
  <c r="R34" i="109"/>
  <c r="D93" i="111" l="1"/>
  <c r="D63" i="111" s="1"/>
  <c r="D78" i="111" s="1"/>
  <c r="C93" i="111" l="1"/>
  <c r="AG93" i="111" l="1"/>
  <c r="AG63" i="111" s="1"/>
  <c r="C63" i="111"/>
  <c r="C78" i="111" s="1"/>
  <c r="AI63" i="111" l="1"/>
  <c r="H5" i="32" a="1"/>
  <c r="P10" i="23" a="1"/>
  <c r="Q40" i="23" s="1"/>
  <c r="R40" i="23" s="1"/>
  <c r="S40" i="23" s="1"/>
  <c r="T40" i="23" s="1"/>
  <c r="Q9" i="111"/>
  <c r="Q74" i="111" s="1"/>
  <c r="Q61" i="110"/>
  <c r="Q59" i="110"/>
  <c r="Q62" i="110"/>
  <c r="Q54" i="110"/>
  <c r="Q93" i="110"/>
  <c r="K29" i="23" s="1"/>
  <c r="Q92" i="110"/>
  <c r="Q60" i="110"/>
  <c r="Q65" i="110"/>
  <c r="Q57" i="110"/>
  <c r="Q58" i="110"/>
  <c r="Q56" i="110"/>
  <c r="Q63" i="110"/>
  <c r="Q96" i="110"/>
  <c r="F7" i="28" a="1"/>
  <c r="G27" i="28" s="1"/>
  <c r="AA7" i="31" a="1"/>
  <c r="AB13" i="31" s="1"/>
  <c r="Q8" i="111"/>
  <c r="AG8" i="111" s="1"/>
  <c r="AI8" i="111" s="1"/>
  <c r="M15" i="29" l="1"/>
  <c r="M29" i="29"/>
  <c r="N13" i="29"/>
  <c r="N27" i="29"/>
  <c r="M16" i="29"/>
  <c r="M30" i="29"/>
  <c r="N14" i="29"/>
  <c r="N28" i="29"/>
  <c r="M33" i="29"/>
  <c r="N18" i="29"/>
  <c r="N19" i="29"/>
  <c r="M22" i="29"/>
  <c r="N34" i="29"/>
  <c r="M37" i="29"/>
  <c r="N35" i="29"/>
  <c r="M10" i="29"/>
  <c r="N23" i="29"/>
  <c r="M12" i="29"/>
  <c r="N11" i="29"/>
  <c r="M14" i="29"/>
  <c r="M17" i="29"/>
  <c r="M31" i="29"/>
  <c r="N15" i="29"/>
  <c r="N29" i="29"/>
  <c r="M32" i="29"/>
  <c r="N16" i="29"/>
  <c r="N30" i="29"/>
  <c r="N17" i="29"/>
  <c r="N31" i="29"/>
  <c r="M34" i="29"/>
  <c r="N32" i="29"/>
  <c r="M35" i="29"/>
  <c r="N20" i="29"/>
  <c r="M9" i="29"/>
  <c r="N22" i="29"/>
  <c r="M11" i="29"/>
  <c r="N37" i="29"/>
  <c r="N10" i="29"/>
  <c r="M27" i="29"/>
  <c r="N26" i="29"/>
  <c r="M18" i="29"/>
  <c r="N21" i="29"/>
  <c r="N8" i="29"/>
  <c r="M25" i="29"/>
  <c r="N24" i="29"/>
  <c r="M13" i="29"/>
  <c r="M19" i="29"/>
  <c r="N33" i="29"/>
  <c r="M36" i="29"/>
  <c r="M23" i="29"/>
  <c r="M24" i="29"/>
  <c r="N36" i="29"/>
  <c r="N9" i="29"/>
  <c r="M26" i="29"/>
  <c r="N25" i="29"/>
  <c r="N12" i="29"/>
  <c r="M20" i="29"/>
  <c r="M21" i="29"/>
  <c r="M28" i="29"/>
  <c r="M8" i="29"/>
  <c r="F29" i="30"/>
  <c r="G29" i="30" s="1"/>
  <c r="F37" i="30"/>
  <c r="Q22" i="23"/>
  <c r="R22" i="23" s="1"/>
  <c r="S22" i="23" s="1"/>
  <c r="T22" i="23" s="1"/>
  <c r="Q28" i="23"/>
  <c r="R28" i="23" s="1"/>
  <c r="S28" i="23" s="1"/>
  <c r="T28" i="23" s="1"/>
  <c r="AH90" i="110"/>
  <c r="AJ62" i="110"/>
  <c r="AK26" i="110"/>
  <c r="Q69" i="110"/>
  <c r="G26" i="28"/>
  <c r="G28" i="28"/>
  <c r="G33" i="28"/>
  <c r="Q71" i="111"/>
  <c r="G21" i="28"/>
  <c r="G16" i="28"/>
  <c r="AH91" i="110"/>
  <c r="AK91" i="110" s="1"/>
  <c r="G31" i="28"/>
  <c r="G9" i="28"/>
  <c r="G14" i="28"/>
  <c r="AH57" i="110"/>
  <c r="AJ57" i="110" s="1"/>
  <c r="G29" i="28"/>
  <c r="AH65" i="110"/>
  <c r="AJ65" i="110" s="1"/>
  <c r="AH55" i="110"/>
  <c r="AJ55" i="110" s="1"/>
  <c r="AH60" i="110"/>
  <c r="AJ60" i="110" s="1"/>
  <c r="AH59" i="110"/>
  <c r="AJ59" i="110" s="1"/>
  <c r="G15" i="28"/>
  <c r="G36" i="28"/>
  <c r="G12" i="28"/>
  <c r="Q14" i="23"/>
  <c r="R14" i="23" s="1"/>
  <c r="S14" i="23" s="1"/>
  <c r="T14" i="23" s="1"/>
  <c r="Q12" i="23"/>
  <c r="R12" i="23" s="1"/>
  <c r="S12" i="23" s="1"/>
  <c r="T12" i="23" s="1"/>
  <c r="Q67" i="111"/>
  <c r="Q37" i="23"/>
  <c r="R37" i="23" s="1"/>
  <c r="S37" i="23" s="1"/>
  <c r="T37" i="23" s="1"/>
  <c r="Q35" i="23"/>
  <c r="R35" i="23" s="1"/>
  <c r="S35" i="23" s="1"/>
  <c r="T35" i="23" s="1"/>
  <c r="Q75" i="111"/>
  <c r="Q36" i="23"/>
  <c r="R36" i="23" s="1"/>
  <c r="S36" i="23" s="1"/>
  <c r="T36" i="23" s="1"/>
  <c r="Q16" i="23"/>
  <c r="R16" i="23" s="1"/>
  <c r="S16" i="23" s="1"/>
  <c r="T16" i="23" s="1"/>
  <c r="Q21" i="23"/>
  <c r="R21" i="23" s="1"/>
  <c r="S21" i="23" s="1"/>
  <c r="T21" i="23" s="1"/>
  <c r="Q24" i="23"/>
  <c r="R24" i="23" s="1"/>
  <c r="S24" i="23" s="1"/>
  <c r="T24" i="23" s="1"/>
  <c r="Q26" i="111"/>
  <c r="Q17" i="23"/>
  <c r="R17" i="23" s="1"/>
  <c r="S17" i="23" s="1"/>
  <c r="T17" i="23" s="1"/>
  <c r="Q72" i="111"/>
  <c r="AJ8" i="110"/>
  <c r="Q23" i="23"/>
  <c r="R23" i="23" s="1"/>
  <c r="S23" i="23" s="1"/>
  <c r="T23" i="23" s="1"/>
  <c r="Q26" i="23"/>
  <c r="R26" i="23" s="1"/>
  <c r="S26" i="23" s="1"/>
  <c r="T26" i="23" s="1"/>
  <c r="Q25" i="23"/>
  <c r="R25" i="23" s="1"/>
  <c r="S25" i="23" s="1"/>
  <c r="T25" i="23" s="1"/>
  <c r="Q64" i="111"/>
  <c r="Q80" i="111"/>
  <c r="Q30" i="23"/>
  <c r="R30" i="23" s="1"/>
  <c r="S30" i="23" s="1"/>
  <c r="T30" i="23" s="1"/>
  <c r="Q33" i="23"/>
  <c r="R33" i="23" s="1"/>
  <c r="S33" i="23" s="1"/>
  <c r="T33" i="23" s="1"/>
  <c r="Q19" i="23"/>
  <c r="R19" i="23" s="1"/>
  <c r="S19" i="23" s="1"/>
  <c r="T19" i="23" s="1"/>
  <c r="Q18" i="23"/>
  <c r="R18" i="23" s="1"/>
  <c r="S18" i="23" s="1"/>
  <c r="T18" i="23" s="1"/>
  <c r="Q68" i="110"/>
  <c r="Q84" i="111"/>
  <c r="Q29" i="23"/>
  <c r="R29" i="23" s="1"/>
  <c r="S29" i="23" s="1"/>
  <c r="T29" i="23" s="1"/>
  <c r="Q11" i="23"/>
  <c r="R11" i="23" s="1"/>
  <c r="S11" i="23" s="1"/>
  <c r="T11" i="23" s="1"/>
  <c r="Q68" i="111"/>
  <c r="Q59" i="111"/>
  <c r="Q32" i="23"/>
  <c r="R32" i="23" s="1"/>
  <c r="S32" i="23" s="1"/>
  <c r="T32" i="23" s="1"/>
  <c r="Q31" i="23"/>
  <c r="R31" i="23" s="1"/>
  <c r="S31" i="23" s="1"/>
  <c r="T31" i="23" s="1"/>
  <c r="AG9" i="111"/>
  <c r="AG62" i="111" s="1"/>
  <c r="AI62" i="111" s="1"/>
  <c r="Q15" i="23"/>
  <c r="R15" i="23" s="1"/>
  <c r="S15" i="23" s="1"/>
  <c r="T15" i="23" s="1"/>
  <c r="Q27" i="23"/>
  <c r="R27" i="23" s="1"/>
  <c r="S27" i="23" s="1"/>
  <c r="T27" i="23" s="1"/>
  <c r="Q39" i="23"/>
  <c r="R39" i="23" s="1"/>
  <c r="S39" i="23" s="1"/>
  <c r="T39" i="23" s="1"/>
  <c r="Q13" i="23"/>
  <c r="R13" i="23" s="1"/>
  <c r="S13" i="23" s="1"/>
  <c r="T13" i="23" s="1"/>
  <c r="Q82" i="111"/>
  <c r="Q38" i="23"/>
  <c r="R38" i="23" s="1"/>
  <c r="S38" i="23" s="1"/>
  <c r="T38" i="23" s="1"/>
  <c r="Q20" i="23"/>
  <c r="R20" i="23" s="1"/>
  <c r="S20" i="23" s="1"/>
  <c r="T20" i="23" s="1"/>
  <c r="Q34" i="23"/>
  <c r="R34" i="23" s="1"/>
  <c r="S34" i="23" s="1"/>
  <c r="T34" i="23" s="1"/>
  <c r="G22" i="28"/>
  <c r="G11" i="28"/>
  <c r="G32" i="28"/>
  <c r="G19" i="28"/>
  <c r="F28" i="30"/>
  <c r="G28" i="30" s="1"/>
  <c r="F21" i="30"/>
  <c r="G21" i="30" s="1"/>
  <c r="AB19" i="31"/>
  <c r="AB27" i="31"/>
  <c r="AB33" i="31"/>
  <c r="AF29" i="111" s="1"/>
  <c r="F17" i="30"/>
  <c r="G17" i="30" s="1"/>
  <c r="F18" i="30"/>
  <c r="G18" i="30" s="1"/>
  <c r="F10" i="30"/>
  <c r="G10" i="30" s="1"/>
  <c r="AB18" i="31"/>
  <c r="AB23" i="31"/>
  <c r="G17" i="28"/>
  <c r="Q73" i="111"/>
  <c r="F26" i="30"/>
  <c r="G26" i="30" s="1"/>
  <c r="AB34" i="31"/>
  <c r="F24" i="30"/>
  <c r="G24" i="30" s="1"/>
  <c r="AB21" i="31"/>
  <c r="F13" i="30"/>
  <c r="G13" i="30" s="1"/>
  <c r="AB30" i="31"/>
  <c r="G20" i="28"/>
  <c r="G37" i="28"/>
  <c r="Q62" i="111"/>
  <c r="F22" i="30"/>
  <c r="G22" i="30" s="1"/>
  <c r="F31" i="30"/>
  <c r="G31" i="30" s="1"/>
  <c r="AH54" i="110"/>
  <c r="AB17" i="31"/>
  <c r="F32" i="30"/>
  <c r="G32" i="30" s="1"/>
  <c r="AB26" i="31"/>
  <c r="F14" i="30"/>
  <c r="G14" i="30" s="1"/>
  <c r="AB8" i="31"/>
  <c r="F36" i="30"/>
  <c r="G36" i="30" s="1"/>
  <c r="AB31" i="31"/>
  <c r="AD29" i="111" s="1"/>
  <c r="AB16" i="31"/>
  <c r="G30" i="28"/>
  <c r="G34" i="28"/>
  <c r="F27" i="30"/>
  <c r="G27" i="30" s="1"/>
  <c r="F11" i="30"/>
  <c r="G11" i="30" s="1"/>
  <c r="G35" i="28"/>
  <c r="G10" i="28"/>
  <c r="AH63" i="110"/>
  <c r="AJ63" i="110" s="1"/>
  <c r="F16" i="30"/>
  <c r="G16" i="30" s="1"/>
  <c r="AB15" i="31"/>
  <c r="G24" i="28"/>
  <c r="G13" i="28"/>
  <c r="AH56" i="110"/>
  <c r="AJ56" i="110" s="1"/>
  <c r="F15" i="30"/>
  <c r="G15" i="30" s="1"/>
  <c r="F20" i="30"/>
  <c r="G20" i="30" s="1"/>
  <c r="AB22" i="31"/>
  <c r="G23" i="28"/>
  <c r="G8" i="28"/>
  <c r="F34" i="30"/>
  <c r="G34" i="30" s="1"/>
  <c r="F30" i="30"/>
  <c r="G30" i="30" s="1"/>
  <c r="AB25" i="31"/>
  <c r="AB35" i="31"/>
  <c r="AB9" i="31"/>
  <c r="AB14" i="31"/>
  <c r="AB20" i="31"/>
  <c r="G25" i="28"/>
  <c r="Q81" i="111"/>
  <c r="AH58" i="110"/>
  <c r="AJ58" i="110" s="1"/>
  <c r="F8" i="30"/>
  <c r="G8" i="30" s="1"/>
  <c r="F33" i="30"/>
  <c r="G33" i="30" s="1"/>
  <c r="AB12" i="31"/>
  <c r="AB28" i="31"/>
  <c r="G18" i="28"/>
  <c r="Q66" i="111"/>
  <c r="F25" i="30"/>
  <c r="G25" i="30" s="1"/>
  <c r="Q69" i="111"/>
  <c r="F9" i="30"/>
  <c r="G9" i="30" s="1"/>
  <c r="F23" i="30"/>
  <c r="G23" i="30" s="1"/>
  <c r="F12" i="30"/>
  <c r="G12" i="30" s="1"/>
  <c r="AB36" i="31"/>
  <c r="AB29" i="31"/>
  <c r="AB32" i="31"/>
  <c r="AE29" i="111" s="1"/>
  <c r="AE42" i="111" s="1"/>
  <c r="F19" i="30"/>
  <c r="G19" i="30" s="1"/>
  <c r="AB24" i="31"/>
  <c r="AB11" i="31"/>
  <c r="AB10" i="31"/>
  <c r="F35" i="30"/>
  <c r="G35" i="30" s="1"/>
  <c r="AG67" i="111" l="1"/>
  <c r="AI67" i="111" s="1"/>
  <c r="AF42" i="111"/>
  <c r="AF64" i="111"/>
  <c r="AF78" i="111" s="1"/>
  <c r="AJ21" i="111"/>
  <c r="AG84" i="111"/>
  <c r="AI84" i="111" s="1"/>
  <c r="AG74" i="111"/>
  <c r="AI74" i="111" s="1"/>
  <c r="AG66" i="111"/>
  <c r="AI66" i="111" s="1"/>
  <c r="AG71" i="111"/>
  <c r="AI71" i="111" s="1"/>
  <c r="AG72" i="111"/>
  <c r="AI72" i="111" s="1"/>
  <c r="AG59" i="111"/>
  <c r="AI59" i="111" s="1"/>
  <c r="AG75" i="111"/>
  <c r="AI75" i="111" s="1"/>
  <c r="AG68" i="111"/>
  <c r="AI68" i="111" s="1"/>
  <c r="AG69" i="111"/>
  <c r="AG82" i="111"/>
  <c r="AI82" i="111" s="1"/>
  <c r="AG73" i="111"/>
  <c r="AI73" i="111" s="1"/>
  <c r="AG80" i="111"/>
  <c r="AI80" i="111" s="1"/>
  <c r="Q79" i="111"/>
  <c r="AJ90" i="110"/>
  <c r="AK90" i="110"/>
  <c r="Q78" i="111"/>
  <c r="AK92" i="110"/>
  <c r="AJ92" i="110"/>
  <c r="AK96" i="110"/>
  <c r="AJ96" i="110"/>
  <c r="AD42" i="111"/>
  <c r="AG29" i="111"/>
  <c r="AG64" i="111" s="1"/>
  <c r="AJ54" i="110"/>
  <c r="AG42" i="111" l="1"/>
  <c r="AG79" i="111"/>
  <c r="AI69" i="111"/>
  <c r="AI79" i="111" s="1"/>
  <c r="AI64" i="111"/>
  <c r="AG78" i="111"/>
  <c r="AI78" i="111" s="1"/>
  <c r="S39" i="28" l="1"/>
  <c r="S38" i="28"/>
  <c r="S37" i="28"/>
  <c r="S36" i="28"/>
  <c r="S35" i="28"/>
  <c r="S34" i="28"/>
  <c r="S33" i="28"/>
  <c r="S32" i="28"/>
  <c r="S31" i="28"/>
  <c r="S30" i="28"/>
  <c r="S29" i="28"/>
  <c r="S28" i="28"/>
  <c r="S27" i="28"/>
  <c r="S26" i="28"/>
  <c r="S25" i="28"/>
  <c r="S24" i="28"/>
  <c r="S23" i="28"/>
  <c r="S22" i="28"/>
  <c r="S21" i="28"/>
  <c r="S20" i="28"/>
  <c r="S19" i="28"/>
  <c r="S18" i="28"/>
  <c r="S17" i="28"/>
  <c r="S16" i="28"/>
  <c r="S15" i="28"/>
  <c r="S14" i="28"/>
  <c r="S13" i="28"/>
  <c r="S12" i="28"/>
  <c r="S11" i="28"/>
  <c r="S10" i="28"/>
  <c r="S9" i="28"/>
  <c r="S8" i="28"/>
  <c r="S7" i="28"/>
  <c r="O7" i="28"/>
  <c r="F7" i="28"/>
  <c r="E7" i="28"/>
  <c r="H5" i="32"/>
  <c r="AA7" i="31"/>
  <c r="L7" i="29"/>
  <c r="P10" i="23"/>
  <c r="B83" i="110"/>
  <c r="AH83" i="110" s="1"/>
  <c r="B82" i="110"/>
  <c r="AH82" i="110" s="1"/>
  <c r="B81" i="110"/>
  <c r="AH81" i="110" s="1"/>
  <c r="AH77" i="110" s="1"/>
  <c r="AH75" i="110" s="1"/>
  <c r="B80" i="110"/>
  <c r="B77" i="110"/>
  <c r="B76" i="110"/>
  <c r="B75" i="110"/>
  <c r="B43" i="110"/>
  <c r="E38" i="28" l="1"/>
  <c r="K10" i="23"/>
  <c r="K43" i="23" s="1"/>
  <c r="B61" i="110"/>
  <c r="AH43" i="110"/>
  <c r="AH61" i="110" s="1"/>
  <c r="B50" i="110"/>
  <c r="AH50" i="110" s="1"/>
  <c r="AH80" i="110"/>
  <c r="B94" i="110"/>
  <c r="B116" i="110"/>
  <c r="B78" i="110"/>
  <c r="AH76" i="110"/>
  <c r="AH93" i="110" s="1"/>
  <c r="B49" i="111"/>
  <c r="B93" i="110"/>
  <c r="AA38" i="31"/>
  <c r="AB38" i="31" s="1"/>
  <c r="AD38" i="31" s="1"/>
  <c r="AB7" i="31"/>
  <c r="F7" i="30"/>
  <c r="H36" i="32"/>
  <c r="F38" i="28"/>
  <c r="G7" i="28"/>
  <c r="Q10" i="23"/>
  <c r="R10" i="23" s="1"/>
  <c r="S10" i="23" s="1"/>
  <c r="P43" i="23"/>
  <c r="Q44" i="23" s="1"/>
  <c r="R44" i="23" s="1"/>
  <c r="S44" i="23" s="1"/>
  <c r="N7" i="29"/>
  <c r="L38" i="29"/>
  <c r="M7" i="29"/>
  <c r="T44" i="23" l="1"/>
  <c r="T10" i="23"/>
  <c r="G38" i="28"/>
  <c r="AG49" i="111"/>
  <c r="AG81" i="111" s="1"/>
  <c r="AI81" i="111" s="1"/>
  <c r="B81" i="111"/>
  <c r="AJ93" i="110"/>
  <c r="AK93" i="110"/>
  <c r="AH116" i="110"/>
  <c r="AH140" i="110"/>
  <c r="AH94" i="110"/>
  <c r="AH78" i="110"/>
  <c r="AH95" i="110" s="1"/>
  <c r="AK95" i="110" s="1"/>
  <c r="AH68" i="110"/>
  <c r="AH69" i="110"/>
  <c r="AJ61" i="110"/>
  <c r="B69" i="110"/>
  <c r="B68" i="110"/>
  <c r="N38" i="29"/>
  <c r="M38" i="29"/>
  <c r="G7" i="30"/>
  <c r="F38" i="30"/>
  <c r="G38" i="30" s="1"/>
  <c r="I38" i="30" s="1"/>
  <c r="AJ68" i="110" l="1"/>
  <c r="AJ69" i="110"/>
  <c r="AK94" i="110"/>
  <c r="AJ94" i="1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  <author>Anthony Foresyth</author>
    <author>Delano Pasea</author>
    <author>Kaylil Baptiste</author>
  </authors>
  <commentList>
    <comment ref="X42" authorId="0" shapeId="0" xr:uid="{D200CCA4-5A3B-4ABF-9D4A-6C0BCF27AD5A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New Modulating Valve Connected last Saturday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388B293C-C566-4F8F-BDA1-4A02C8B94B33}">
      <text>
        <r>
          <rPr>
            <sz val="12"/>
            <color indexed="81"/>
            <rFont val="Tahoma"/>
            <family val="2"/>
          </rPr>
          <t xml:space="preserve">Tank A  0 kgs
Tank B 0 kgs
Tank C 18300Kgs
mobile approx 17500 Kgs
Approx  kgs unaccounted
</t>
        </r>
      </text>
    </comment>
    <comment ref="C74" authorId="2" shapeId="0" xr:uid="{11577F18-77A0-498F-9DE5-407EC9BD63F2}">
      <text>
        <r>
          <rPr>
            <sz val="12"/>
            <color indexed="81"/>
            <rFont val="Tahoma"/>
            <family val="2"/>
          </rPr>
          <t xml:space="preserve">Tank A 0 kgs
Tank B 0 kgs
Tank C 25700 Kgs
mobile approx 7400 Kgs
</t>
        </r>
      </text>
    </comment>
    <comment ref="D74" authorId="2" shapeId="0" xr:uid="{162945B0-493D-4227-8B10-088BD4DB031A}">
      <text>
        <r>
          <rPr>
            <sz val="12"/>
            <color indexed="81"/>
            <rFont val="Tahoma"/>
            <family val="2"/>
          </rPr>
          <t xml:space="preserve">Tank A 6900 kgs
Tank B 0 kgs
Tank C 25700 Kgs
mobile approx 0 Kgs
</t>
        </r>
      </text>
    </comment>
    <comment ref="E74" authorId="2" shapeId="0" xr:uid="{B2F92514-4D6F-4425-9E4F-9A1547FB68BF}">
      <text>
        <r>
          <rPr>
            <sz val="12"/>
            <color indexed="81"/>
            <rFont val="Tahoma"/>
            <family val="2"/>
          </rPr>
          <t xml:space="preserve">Tank A 4800 kgs
Tank B 0 kgs
Tank C 25700 Kgs
mobile approx 0 Kgs
</t>
        </r>
      </text>
    </comment>
    <comment ref="F74" authorId="2" shapeId="0" xr:uid="{5BE53144-3B20-416E-860F-3B430017BE64}">
      <text>
        <r>
          <rPr>
            <sz val="12"/>
            <color indexed="81"/>
            <rFont val="Tahoma"/>
            <family val="2"/>
          </rPr>
          <t xml:space="preserve">Tank A 3700 kgs
Tank B 0 kgs
Tank C 25700 Kgs
mobile approx 0 Kgs
-2400 kgs after adjustment for MT mobile weight
</t>
        </r>
      </text>
    </comment>
    <comment ref="H74" authorId="2" shapeId="0" xr:uid="{B339E0FD-2B41-4420-B458-B32EFF3CBBB3}">
      <text>
        <r>
          <rPr>
            <sz val="12"/>
            <color indexed="81"/>
            <rFont val="Tahoma"/>
            <family val="2"/>
          </rPr>
          <t xml:space="preserve">Tank A 3700 kgs
Tank B 0 kgs
Tank C 25700 Kgs
mobile approx 0 Kgs
-2400 kgs after adjustment for MT mobile weight
</t>
        </r>
      </text>
    </comment>
    <comment ref="I74" authorId="2" shapeId="0" xr:uid="{116627C9-2AA0-4BDC-8353-B9676E3EC17A}">
      <text>
        <r>
          <rPr>
            <sz val="12"/>
            <color indexed="81"/>
            <rFont val="Tahoma"/>
            <family val="2"/>
          </rPr>
          <t xml:space="preserve">Tank A 3000 kgs
Tank B 0 kgs
Tank C 25700 Kgs
mobile approx 0 Kgs
-2400 kgs after adjustment for MT mobile weight
</t>
        </r>
      </text>
    </comment>
    <comment ref="J74" authorId="2" shapeId="0" xr:uid="{3A627B24-24D9-454D-976A-F9FCAAE3C262}">
      <text>
        <r>
          <rPr>
            <sz val="12"/>
            <color indexed="81"/>
            <rFont val="Tahoma"/>
            <family val="2"/>
          </rPr>
          <t xml:space="preserve">Tank A 1100 kgs
Tank B 0 kgs
Tank C 25700 Kgs
mobile approx 0 Kgs
-2400 kgs after adjustment for MT mobile weight
</t>
        </r>
      </text>
    </comment>
    <comment ref="K74" authorId="2" shapeId="0" xr:uid="{48E70A39-0F81-4078-B53A-EECB3533311C}">
      <text>
        <r>
          <rPr>
            <sz val="12"/>
            <color indexed="81"/>
            <rFont val="Tahoma"/>
            <family val="2"/>
          </rPr>
          <t xml:space="preserve">Tank A 0 kgs
Tank B 0 kgs
Tank C 24900 Kgs
mobile approx 0 Kgs
-2400 kgs after adjustment for MT mobile weight
</t>
        </r>
      </text>
    </comment>
    <comment ref="L74" authorId="2" shapeId="0" xr:uid="{E6AEA633-9ADE-4765-82B8-6F2D1C34C0B6}">
      <text>
        <r>
          <rPr>
            <sz val="12"/>
            <color indexed="81"/>
            <rFont val="Tahoma"/>
            <family val="2"/>
          </rPr>
          <t xml:space="preserve">Tank A 0 kgs
Tank B 0 kgs
Tank C 22400Kgs
mobile approx 0 Kgs
-2400 kgs after adjustment for MT mobile weight
</t>
        </r>
      </text>
    </comment>
    <comment ref="M74" authorId="2" shapeId="0" xr:uid="{CA0EBF50-BEFE-4371-B2D4-FA6AF3F406D6}">
      <text>
        <r>
          <rPr>
            <sz val="12"/>
            <color indexed="81"/>
            <rFont val="Tahoma"/>
            <family val="2"/>
          </rPr>
          <t xml:space="preserve">Tank A 0 kgs
Tank B 0 kgs
Tank C 20800Kgs
mobile approx 0 Kgs
-2400 kgs after adjustment for MT mobile weight
</t>
        </r>
      </text>
    </comment>
    <comment ref="N74" authorId="2" shapeId="0" xr:uid="{AB378396-CEE1-49AB-98FD-FB31F24F2BBF}">
      <text>
        <r>
          <rPr>
            <sz val="12"/>
            <color indexed="81"/>
            <rFont val="Tahoma"/>
            <family val="2"/>
          </rPr>
          <t xml:space="preserve">Tank A 0 kgs
Tank B 0 kgs
Tank C 20800Kgs
mobile approx 0 Kgs
-2400 kgs after adjustment for MT mobile weight
</t>
        </r>
      </text>
    </comment>
    <comment ref="O74" authorId="2" shapeId="0" xr:uid="{33735938-2CE9-4E2C-9A56-89C18DAEF7A0}">
      <text>
        <r>
          <rPr>
            <sz val="12"/>
            <color indexed="81"/>
            <rFont val="Tahoma"/>
            <family val="2"/>
          </rPr>
          <t xml:space="preserve">Tank A 0 kgs
Tank B 0 kgs
Tank C 20800Kgs
mobile approx 0 Kgs
-2400 kgs after adjustment for MT mobile weight
</t>
        </r>
      </text>
    </comment>
    <comment ref="P74" authorId="2" shapeId="0" xr:uid="{676BF4B1-BBC8-4C05-B336-FBEEED3037A0}">
      <text>
        <r>
          <rPr>
            <sz val="12"/>
            <color indexed="81"/>
            <rFont val="Tahoma"/>
            <family val="2"/>
          </rPr>
          <t xml:space="preserve">Tank A 0 kgs
Tank B 0 kgs
Tank C 19100Kgs
mobile approx 19900 Kgs
0 kgs after adjustment for MT mobile weight
</t>
        </r>
      </text>
    </comment>
    <comment ref="Q74" authorId="2" shapeId="0" xr:uid="{25FD392E-9CD2-4732-BECC-ED7AF8596C6E}">
      <text>
        <r>
          <rPr>
            <sz val="12"/>
            <color indexed="81"/>
            <rFont val="Tahoma"/>
            <family val="2"/>
          </rPr>
          <t xml:space="preserve">Tank A 0 kgs
Tank B 0 kgs
Tank C 15900Kgs
mobile approx 19000 Kgs
0 kgs after adjustment for MT mobile weight
</t>
        </r>
      </text>
    </comment>
    <comment ref="R74" authorId="2" shapeId="0" xr:uid="{9B98C878-195B-40F9-A8D9-AE571FBE7DA1}">
      <text>
        <r>
          <rPr>
            <sz val="12"/>
            <color indexed="81"/>
            <rFont val="Tahoma"/>
            <family val="2"/>
          </rPr>
          <t xml:space="preserve">Tank A 0 kgs
Tank B 0 kgs
Tank C 15100Kgs
mobile approx 18100 Kgs
0 kgs after adjustment for MT mobile weight
</t>
        </r>
      </text>
    </comment>
    <comment ref="S74" authorId="2" shapeId="0" xr:uid="{DEA79B31-85CA-4F75-96B5-78CC4D8017D6}">
      <text>
        <r>
          <rPr>
            <sz val="12"/>
            <color indexed="81"/>
            <rFont val="Tahoma"/>
            <family val="2"/>
          </rPr>
          <t xml:space="preserve">Tank A 5100 kgs calculated
Tank B 0 kgs
Tank C 25700 Kgs
mobile approx 0 Kgs
0 kgs after adjustment for MT mobile weight
</t>
        </r>
      </text>
    </comment>
    <comment ref="T74" authorId="2" shapeId="0" xr:uid="{E73AB496-D077-47D9-AE0B-1E409A4001F6}">
      <text>
        <r>
          <rPr>
            <sz val="12"/>
            <color indexed="81"/>
            <rFont val="Tahoma"/>
            <family val="2"/>
          </rPr>
          <t xml:space="preserve">Tank A 3100 kgs 
Tank B 0 kgs
Tank C 25700 Kgs
mobile approx 0 Kgs
0 kgs after adjustment for MT mobile weight
</t>
        </r>
      </text>
    </comment>
    <comment ref="V74" authorId="2" shapeId="0" xr:uid="{52AB6723-398A-4835-A014-C50C68030165}">
      <text>
        <r>
          <rPr>
            <sz val="12"/>
            <color indexed="81"/>
            <rFont val="Tahoma"/>
            <family val="2"/>
          </rPr>
          <t xml:space="preserve">Tank A 3100 kgs 
Tank B 0 kgs
Tank C 25700 Kgs
mobile approx 0 Kgs
0 kgs after adjustment for MT mobile weight
</t>
        </r>
      </text>
    </comment>
    <comment ref="W74" authorId="2" shapeId="0" xr:uid="{163F1E88-BC67-4569-9598-0BF6678BCD83}">
      <text>
        <r>
          <rPr>
            <sz val="12"/>
            <color indexed="81"/>
            <rFont val="Tahoma"/>
            <family val="2"/>
          </rPr>
          <t xml:space="preserve">Tank A 2200 kgs 
Tank B 0 kgs
Tank C 25700 Kgs
mobile approx 0 Kgs
0 kgs after adjustment for MT mobile weight
</t>
        </r>
      </text>
    </comment>
    <comment ref="X74" authorId="2" shapeId="0" xr:uid="{553A5FB2-0E48-49EC-B7E4-224627036C53}">
      <text>
        <r>
          <rPr>
            <sz val="12"/>
            <color indexed="81"/>
            <rFont val="Tahoma"/>
            <family val="2"/>
          </rPr>
          <t xml:space="preserve">Tank A 0 kgs 
Tank B 0 kgs
Tank C 24500 Kgs
mobile approx 0 Kgs
0 kgs after adjustment for MT mobile weight
</t>
        </r>
      </text>
    </comment>
    <comment ref="Y74" authorId="2" shapeId="0" xr:uid="{9E511B84-E82D-4E04-B22F-3F404CD6FEC7}">
      <text>
        <r>
          <rPr>
            <sz val="12"/>
            <color indexed="81"/>
            <rFont val="Tahoma"/>
            <family val="2"/>
          </rPr>
          <t xml:space="preserve">Tank A 0 kgs 
Tank B 0 kgs
Tank C 23200 Kgs
mobile approx 0 Kgs
0 kgs after adjustment for MT mobile weight
</t>
        </r>
      </text>
    </comment>
    <comment ref="Z74" authorId="2" shapeId="0" xr:uid="{1B9F708C-A664-4B26-B613-84C4C0AE0C5C}">
      <text>
        <r>
          <rPr>
            <sz val="12"/>
            <color indexed="81"/>
            <rFont val="Tahoma"/>
            <family val="2"/>
          </rPr>
          <t xml:space="preserve">Tank A 0 kgs 
Tank B 0 kgs
Tank C 21600 Kgs
mobile approx 0 Kgs
0 kgs after adjustment for MT mobile weight
</t>
        </r>
      </text>
    </comment>
    <comment ref="AA74" authorId="2" shapeId="0" xr:uid="{D185678C-35BC-4228-B87B-B11923DC762D}">
      <text>
        <r>
          <rPr>
            <sz val="12"/>
            <color indexed="81"/>
            <rFont val="Tahoma"/>
            <family val="2"/>
          </rPr>
          <t xml:space="preserve">Tank A 0 kgs 
Tank B 0 kgs
Tank C 20400 Kgs
mobile approx 0 Kgs
0 kgs after adjustment for MT mobile weight
</t>
        </r>
      </text>
    </comment>
    <comment ref="AB74" authorId="2" shapeId="0" xr:uid="{27E4D70D-E2D5-4C00-A987-ECC766B6E5DE}">
      <text>
        <r>
          <rPr>
            <sz val="12"/>
            <color indexed="81"/>
            <rFont val="Tahoma"/>
            <family val="2"/>
          </rPr>
          <t xml:space="preserve">Tank A 0 kgs 
Tank B 0 kgs
Tank C 20400 Kgs
mobile approx 0 Kgs
0 kgs after adjustment for MT mobile weight
</t>
        </r>
      </text>
    </comment>
    <comment ref="AC74" authorId="2" shapeId="0" xr:uid="{85C8A3B9-9E78-4811-8777-1AEF2BAC9A1D}">
      <text>
        <r>
          <rPr>
            <sz val="12"/>
            <color indexed="81"/>
            <rFont val="Tahoma"/>
            <family val="2"/>
          </rPr>
          <t xml:space="preserve">Tank A 0 kgs 
Tank B 0 kgs
Tank C 20400 Kgs
mobile approx 0 Kgs
0 kgs after adjustment for MT mobile weight
</t>
        </r>
      </text>
    </comment>
    <comment ref="AD74" authorId="2" shapeId="0" xr:uid="{D7B0573A-B81E-4B40-BC06-0D0A8B2E9C4C}">
      <text>
        <r>
          <rPr>
            <sz val="12"/>
            <color indexed="81"/>
            <rFont val="Tahoma"/>
            <family val="2"/>
          </rPr>
          <t xml:space="preserve">Tank A 0 kgs 
Tank B 0 kgs
Tank C 19100 Kgs
mobile approx 0 Kgs
0 kgs after adjustment for MT mobile weight
</t>
        </r>
      </text>
    </comment>
    <comment ref="AE75" authorId="0" shapeId="0" xr:uid="{74FDFA5D-8177-4812-AE6C-B2B9327380BE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Reading Ne Flowmeter</t>
        </r>
      </text>
    </comment>
    <comment ref="L80" authorId="0" shapeId="0" xr:uid="{B0250DD2-493F-4236-BB48-D902450D067E}">
      <text>
        <r>
          <rPr>
            <b/>
            <sz val="16"/>
            <color indexed="81"/>
            <rFont val="Tahoma"/>
            <family val="2"/>
          </rPr>
          <t>Alexander Dominguez-Ramon:
Yesterday 2/11/2026 the Setpoint of the RU2 Hanbell Screw Compressor was setted at -2 °C at 8:30 am.
Temperature On: 0 °C
Temperature Off: -2 °C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80" authorId="3" shapeId="0" xr:uid="{D2501118-5815-471B-A3D5-B8EDA805661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Soft drink plant operational</t>
        </r>
      </text>
    </comment>
    <comment ref="I90" authorId="3" shapeId="0" xr:uid="{39FCBC06-BD92-4505-9A22-9E21021C52B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Double shift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<sst xmlns="http://schemas.openxmlformats.org/spreadsheetml/2006/main" count="641" uniqueCount="327">
  <si>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</si>
  <si>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</si>
  <si>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</si>
  <si>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</si>
  <si>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</si>
  <si>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</si>
  <si>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</si>
  <si>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</si>
  <si>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</si>
  <si>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</si>
  <si>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</si>
  <si>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</si>
  <si>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</si>
  <si>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</si>
  <si>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</si>
  <si>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</si>
  <si>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</si>
  <si>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</si>
  <si>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</si>
  <si>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</si>
  <si>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</si>
  <si>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</si>
  <si>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</si>
  <si>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</si>
  <si>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</si>
  <si>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</si>
  <si>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</si>
  <si>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</si>
  <si>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</si>
  <si>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</si>
  <si>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</si>
  <si>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</si>
  <si>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</si>
  <si>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</si>
  <si>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</si>
  <si>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</si>
  <si>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</si>
  <si>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</si>
  <si>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</si>
  <si>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</si>
  <si>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</si>
  <si>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</si>
  <si>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</si>
  <si>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</si>
  <si>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</si>
  <si>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</si>
  <si>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</si>
  <si>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</si>
  <si>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</si>
  <si>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</si>
  <si>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</si>
  <si>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</si>
  <si>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</si>
  <si>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</si>
  <si>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</si>
  <si>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</si>
  <si>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</si>
  <si>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</si>
  <si>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</si>
  <si>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</si>
  <si>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</si>
  <si>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</si>
  <si>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</si>
  <si>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</si>
  <si>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</si>
  <si>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</si>
  <si>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</si>
  <si>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</si>
  <si>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</si>
  <si>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</si>
  <si>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</si>
  <si>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</si>
  <si>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</si>
  <si>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</si>
  <si>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</si>
  <si>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</si>
  <si>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</si>
  <si>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</si>
  <si>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</si>
  <si>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</si>
  <si>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</si>
  <si>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</si>
  <si>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</si>
  <si>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</si>
  <si>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</si>
  <si>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</si>
  <si>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</si>
  <si>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</si>
  <si>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</si>
  <si>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</si>
  <si>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</si>
  <si>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</si>
  <si>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</si>
  <si>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</si>
  <si>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</si>
  <si>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</si>
  <si>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</si>
  <si>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</si>
  <si>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</si>
  <si>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</si>
  <si>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</si>
  <si>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</si>
  <si>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</si>
  <si>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</si>
  <si>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</si>
  <si>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</si>
  <si>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</si>
  <si>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</si>
  <si>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</si>
  <si>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</si>
  <si>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</si>
  <si>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</si>
  <si>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</si>
  <si>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</si>
  <si>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</si>
  <si>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</si>
  <si>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</si>
  <si>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</si>
  <si>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</si>
  <si>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</si>
  <si>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</si>
  <si>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</si>
  <si>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</si>
  <si>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</si>
  <si>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</si>
  <si>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</si>
  <si>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</si>
  <si>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</si>
  <si>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</si>
  <si>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</si>
  <si>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</si>
  <si>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</si>
  <si>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</si>
  <si>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</si>
  <si>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</si>
  <si>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</si>
  <si>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</si>
  <si>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</si>
  <si>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</si>
  <si>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</si>
  <si>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</si>
  <si>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</si>
  <si>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</si>
  <si>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</si>
  <si>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</si>
  <si>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</si>
  <si>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</si>
  <si>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</si>
  <si>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</si>
  <si>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</si>
  <si>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</si>
  <si>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</si>
  <si>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</si>
  <si>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</si>
  <si>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</si>
  <si>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</si>
  <si>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</si>
  <si>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</si>
  <si>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</si>
  <si>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</si>
  <si>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</si>
  <si>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</si>
  <si>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</si>
  <si>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</si>
  <si>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</si>
  <si>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</si>
  <si>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</si>
  <si>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</si>
  <si>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</si>
  <si>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</si>
  <si>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</si>
  <si>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</si>
  <si>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</si>
  <si>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</si>
  <si>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</si>
  <si>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</si>
  <si>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</si>
  <si>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</si>
  <si>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</si>
  <si>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</si>
  <si>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</si>
  <si>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</si>
  <si>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</si>
  <si>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</si>
  <si>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</si>
  <si>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</si>
  <si>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</si>
  <si>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</si>
  <si>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</si>
  <si>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</si>
  <si>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</si>
  <si>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</si>
  <si>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</si>
  <si>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</si>
  <si>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</si>
  <si>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</si>
  <si>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</si>
  <si>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</si>
  <si>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</si>
  <si>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</si>
  <si>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</si>
  <si>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</si>
  <si>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</si>
  <si>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</si>
  <si>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</si>
  <si>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</si>
  <si>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</si>
  <si>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</si>
  <si>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</si>
  <si>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</si>
  <si>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</si>
  <si>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</si>
  <si>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</si>
  <si>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</si>
  <si>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</si>
  <si>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</si>
  <si>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</si>
  <si>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</si>
  <si>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</si>
  <si>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</si>
  <si>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</si>
  <si>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</si>
  <si>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</si>
  <si>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</si>
  <si>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</si>
  <si>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</si>
  <si>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</si>
  <si>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</si>
  <si>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</si>
  <si>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</si>
  <si>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</si>
  <si>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</si>
  <si>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</si>
  <si>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</si>
  <si>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</si>
  <si>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</si>
  <si>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</si>
  <si>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</si>
  <si>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</si>
  <si>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</si>
  <si>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</si>
  <si>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</si>
  <si>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</si>
  <si>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</si>
  <si>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</si>
  <si>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</si>
  <si>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</si>
  <si>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</si>
  <si>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</si>
  <si>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</si>
  <si>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</si>
  <si>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</si>
  <si>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</si>
  <si>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</si>
  <si>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</si>
  <si>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</si>
  <si>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</si>
  <si>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</si>
  <si>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</si>
  <si>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</si>
  <si>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</si>
  <si>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</si>
  <si>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</si>
  <si>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</si>
  <si>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</si>
  <si>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</si>
  <si>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</si>
  <si>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</si>
  <si>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</si>
  <si>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</si>
  <si>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</si>
  <si>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</si>
  <si>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</si>
  <si>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</si>
  <si>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</si>
  <si>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</si>
  <si>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</si>
  <si>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</si>
  <si>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</si>
  <si>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</si>
  <si>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</si>
  <si>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</si>
  <si>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</si>
  <si>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</si>
  <si>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t>CO2 Totalizer</t>
  </si>
  <si>
    <t>Solar System</t>
  </si>
  <si>
    <t xml:space="preserve">Solar System CARIB </t>
  </si>
  <si>
    <t>% (Solar/Total Usage)</t>
  </si>
  <si>
    <t>Electricity GRENLEC (Kwh.)</t>
  </si>
  <si>
    <t>Consumption (BBT SECTION) (kg)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</si>
  <si>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</si>
  <si>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Water Consumption detail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</si>
  <si>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(BBT / Carbo Cooler SECTION)</t>
    </r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</si>
  <si>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(Fermenters?) Calculated</t>
    </r>
  </si>
  <si>
    <t>DAILY FUEL CONSUMPTION FOR  SEPTEMBER 2026</t>
  </si>
  <si>
    <t>DAILY  ELECTRICITY  CONSUMPTION FOR  SEPTEMBER 2026</t>
  </si>
  <si>
    <t>PRODUCTION FOR SEPTEMBER 2026</t>
  </si>
  <si>
    <t>CO2 Daily Consumption for SEPTEMBER 2026</t>
  </si>
  <si>
    <t>DAILY WATER CONSUMPTION FOR SEPTEMBER 2026</t>
  </si>
  <si>
    <t>Boiler 1. AUTO FLAME CONTROL</t>
  </si>
  <si>
    <t>Boiler 1. (AF Control)</t>
  </si>
  <si>
    <t>Electricity PV System Target= 1373 (Kwh)</t>
  </si>
  <si>
    <t>CB</t>
  </si>
  <si>
    <t>KPI WITH ORIGINAL METER</t>
  </si>
  <si>
    <t>KPI WITH AUTO FLAME METER</t>
  </si>
  <si>
    <r>
      <rPr>
        <b/>
        <sz val="20"/>
        <color rgb="FF00B050"/>
        <rFont val="Arial"/>
        <family val="2"/>
      </rPr>
      <t>ST</t>
    </r>
    <r>
      <rPr>
        <b/>
        <sz val="20"/>
        <color rgb="FF0000FF"/>
        <rFont val="Arial"/>
        <family val="2"/>
      </rPr>
      <t>/CBex.</t>
    </r>
  </si>
  <si>
    <t>DIFERENCE (LTS)</t>
  </si>
  <si>
    <t xml:space="preserve">Boiler 1 </t>
  </si>
  <si>
    <r>
      <t>CB/</t>
    </r>
    <r>
      <rPr>
        <b/>
        <sz val="20"/>
        <color rgb="FF00A44A"/>
        <rFont val="Arial"/>
        <family val="2"/>
      </rPr>
      <t>ST</t>
    </r>
  </si>
  <si>
    <t>GO</t>
  </si>
  <si>
    <t>ST</t>
  </si>
  <si>
    <t>MK</t>
  </si>
  <si>
    <r>
      <rPr>
        <b/>
        <sz val="20"/>
        <color rgb="FF00A44A"/>
        <rFont val="Arial"/>
        <family val="2"/>
      </rPr>
      <t>ST</t>
    </r>
    <r>
      <rPr>
        <b/>
        <sz val="20"/>
        <color rgb="FF0000FF"/>
        <rFont val="Arial"/>
        <family val="2"/>
      </rPr>
      <t>/CB</t>
    </r>
  </si>
  <si>
    <t>CB/MK</t>
  </si>
  <si>
    <r>
      <t>CB</t>
    </r>
    <r>
      <rPr>
        <b/>
        <sz val="20"/>
        <color rgb="FFFF0000"/>
        <rFont val="Arial"/>
        <family val="2"/>
      </rPr>
      <t>/MK</t>
    </r>
  </si>
  <si>
    <r>
      <t>MK/</t>
    </r>
    <r>
      <rPr>
        <b/>
        <sz val="20"/>
        <color rgb="FF00A44A"/>
        <rFont val="Arial"/>
        <family val="2"/>
      </rPr>
      <t>ST</t>
    </r>
  </si>
  <si>
    <r>
      <rPr>
        <b/>
        <sz val="20"/>
        <color rgb="FF00A44A"/>
        <rFont val="Arial"/>
        <family val="2"/>
      </rPr>
      <t>ST/</t>
    </r>
    <r>
      <rPr>
        <b/>
        <sz val="20"/>
        <color rgb="FF0000FF"/>
        <rFont val="Arial"/>
        <family val="2"/>
      </rPr>
      <t>CB</t>
    </r>
  </si>
  <si>
    <r>
      <t>CB/</t>
    </r>
    <r>
      <rPr>
        <b/>
        <sz val="20"/>
        <color theme="7" tint="-0.249977111117893"/>
        <rFont val="Arial"/>
        <family val="2"/>
      </rPr>
      <t>Cbe</t>
    </r>
  </si>
  <si>
    <r>
      <t>CB/</t>
    </r>
    <r>
      <rPr>
        <b/>
        <sz val="20"/>
        <color rgb="FFFF0000"/>
        <rFont val="Arial"/>
        <family val="2"/>
      </rPr>
      <t>SH</t>
    </r>
  </si>
  <si>
    <t>Cbe</t>
  </si>
  <si>
    <r>
      <t>CB/</t>
    </r>
    <r>
      <rPr>
        <b/>
        <sz val="20"/>
        <color rgb="FFFF0000"/>
        <rFont val="Arial"/>
        <family val="2"/>
      </rPr>
      <t>GN</t>
    </r>
  </si>
  <si>
    <t>GN</t>
  </si>
  <si>
    <t>SH/SH</t>
  </si>
  <si>
    <r>
      <t>ST/</t>
    </r>
    <r>
      <rPr>
        <b/>
        <sz val="20"/>
        <color rgb="FF0000FF"/>
        <rFont val="Arial"/>
        <family val="2"/>
      </rPr>
      <t>CBex</t>
    </r>
  </si>
  <si>
    <t>CBex</t>
  </si>
  <si>
    <r>
      <t>Cbex/</t>
    </r>
    <r>
      <rPr>
        <b/>
        <sz val="20"/>
        <color rgb="FFFF0000"/>
        <rFont val="Arial"/>
        <family val="2"/>
      </rPr>
      <t>GN</t>
    </r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</si>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</sst>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  <numFmt numFmtId="173" formatCode="0.0000000"/>
    <numFmt numFmtId="174" formatCode="#,##0.000"/>
  </numFmts>
  <fonts count="14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sz val="12"/>
      <color indexed="81"/>
      <name val="Tahoma"/>
      <family val="2"/>
    </font>
    <font>
      <b/>
      <sz val="12"/>
      <name val="Lucida Sans Unicode"/>
      <family val="2"/>
    </font>
    <font>
      <b/>
      <sz val="16"/>
      <color indexed="81"/>
      <name val="Tahoma"/>
      <family val="2"/>
    </font>
    <font>
      <b/>
      <sz val="12"/>
      <color indexed="81"/>
      <name val="Tahoma"/>
      <family val="2"/>
    </font>
    <font>
      <b/>
      <sz val="20"/>
      <color rgb="FF00B050"/>
      <name val="Arial"/>
      <family val="2"/>
    </font>
    <font>
      <sz val="20"/>
      <name val="Tahoma"/>
      <family val="2"/>
    </font>
    <font>
      <b/>
      <sz val="18"/>
      <name val="Arial"/>
      <family val="2"/>
    </font>
    <font>
      <b/>
      <sz val="20"/>
      <color theme="5" tint="-0.249977111117893"/>
      <name val="Arial"/>
      <family val="2"/>
    </font>
    <font>
      <b/>
      <sz val="20"/>
      <color theme="5"/>
      <name val="Arial"/>
      <family val="2"/>
    </font>
    <font>
      <b/>
      <sz val="20"/>
      <color theme="6" tint="-0.249977111117893"/>
      <name val="Arial"/>
      <family val="2"/>
    </font>
    <font>
      <b/>
      <sz val="20"/>
      <color rgb="FFFFC000"/>
      <name val="Arial"/>
      <family val="2"/>
    </font>
    <font>
      <sz val="8"/>
      <color indexed="10"/>
      <name val="Arial"/>
      <family val="2"/>
    </font>
    <font>
      <b/>
      <sz val="20"/>
      <color theme="7" tint="-0.249977111117893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48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1030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16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8" borderId="37" xfId="3" applyNumberFormat="1" applyFont="1" applyFill="1" applyBorder="1" applyAlignment="1">
      <alignment horizontal="center" vertical="center"/>
    </xf>
    <xf numFmtId="3" fontId="15" fillId="20" borderId="37" xfId="3" applyNumberFormat="1" applyFont="1" applyFill="1" applyBorder="1" applyAlignment="1">
      <alignment horizontal="center" vertical="center"/>
    </xf>
    <xf numFmtId="3" fontId="15" fillId="23" borderId="37" xfId="3" applyNumberFormat="1" applyFont="1" applyFill="1" applyBorder="1" applyAlignment="1">
      <alignment horizontal="center" vertical="center"/>
    </xf>
    <xf numFmtId="3" fontId="15" fillId="0" borderId="55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6" xfId="3" applyBorder="1"/>
    <xf numFmtId="0" fontId="19" fillId="4" borderId="57" xfId="3" applyFont="1" applyFill="1" applyBorder="1" applyAlignment="1">
      <alignment horizontal="center"/>
    </xf>
    <xf numFmtId="2" fontId="22" fillId="4" borderId="57" xfId="3" applyNumberFormat="1" applyFont="1" applyFill="1" applyBorder="1"/>
    <xf numFmtId="0" fontId="22" fillId="4" borderId="57" xfId="3" applyFont="1" applyFill="1" applyBorder="1"/>
    <xf numFmtId="3" fontId="22" fillId="4" borderId="58" xfId="3" applyNumberFormat="1" applyFont="1" applyFill="1" applyBorder="1"/>
    <xf numFmtId="0" fontId="7" fillId="0" borderId="59" xfId="3" applyBorder="1"/>
    <xf numFmtId="3" fontId="22" fillId="4" borderId="60" xfId="3" applyNumberFormat="1" applyFont="1" applyFill="1" applyBorder="1"/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5" xfId="3" applyNumberFormat="1" applyFont="1" applyFill="1" applyBorder="1" applyAlignment="1">
      <alignment horizontal="center"/>
    </xf>
    <xf numFmtId="4" fontId="107" fillId="15" borderId="66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" fontId="15" fillId="0" borderId="39" xfId="3" applyNumberFormat="1" applyFont="1" applyBorder="1" applyAlignment="1">
      <alignment horizontal="center" vertic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0" fontId="29" fillId="0" borderId="62" xfId="3" applyFont="1" applyBorder="1" applyAlignment="1">
      <alignment horizontal="center"/>
    </xf>
    <xf numFmtId="37" fontId="107" fillId="16" borderId="62" xfId="3" applyNumberFormat="1" applyFont="1" applyFill="1" applyBorder="1" applyAlignment="1">
      <alignment horizontal="center"/>
    </xf>
    <xf numFmtId="0" fontId="113" fillId="12" borderId="62" xfId="3" applyFont="1" applyFill="1" applyBorder="1" applyAlignment="1">
      <alignment horizontal="center"/>
    </xf>
    <xf numFmtId="3" fontId="107" fillId="16" borderId="65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1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9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6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2" fontId="7" fillId="33" borderId="63" xfId="0" applyNumberFormat="1" applyFont="1" applyFill="1" applyBorder="1" applyAlignment="1">
      <alignment horizontal="center"/>
    </xf>
    <xf numFmtId="1" fontId="22" fillId="4" borderId="60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6" xfId="0" applyNumberFormat="1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0" fontId="115" fillId="16" borderId="58" xfId="0" applyFont="1" applyFill="1" applyBorder="1" applyAlignment="1">
      <alignment horizontal="center"/>
    </xf>
    <xf numFmtId="2" fontId="0" fillId="16" borderId="5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7" xfId="0" applyNumberFormat="1" applyFont="1" applyBorder="1"/>
    <xf numFmtId="2" fontId="7" fillId="0" borderId="78" xfId="0" applyNumberFormat="1" applyFont="1" applyBorder="1"/>
    <xf numFmtId="2" fontId="7" fillId="0" borderId="79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8" fillId="16" borderId="22" xfId="0" applyFont="1" applyFill="1" applyBorder="1" applyAlignment="1">
      <alignment horizontal="center" vertical="center"/>
    </xf>
    <xf numFmtId="0" fontId="118" fillId="16" borderId="19" xfId="0" applyFont="1" applyFill="1" applyBorder="1" applyAlignment="1">
      <alignment horizontal="center" vertical="center"/>
    </xf>
    <xf numFmtId="3" fontId="118" fillId="16" borderId="47" xfId="0" applyNumberFormat="1" applyFont="1" applyFill="1" applyBorder="1" applyAlignment="1">
      <alignment horizontal="center" vertical="center"/>
    </xf>
    <xf numFmtId="3" fontId="117" fillId="31" borderId="0" xfId="0" applyNumberFormat="1" applyFont="1" applyFill="1" applyAlignment="1">
      <alignment horizontal="center" vertical="center"/>
    </xf>
    <xf numFmtId="0" fontId="123" fillId="13" borderId="57" xfId="0" applyFont="1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3" fontId="0" fillId="16" borderId="58" xfId="0" applyNumberFormat="1" applyFill="1" applyBorder="1" applyAlignment="1">
      <alignment horizontal="center" vertical="center"/>
    </xf>
    <xf numFmtId="3" fontId="120" fillId="16" borderId="86" xfId="0" applyNumberFormat="1" applyFont="1" applyFill="1" applyBorder="1" applyAlignment="1">
      <alignment horizontal="center" vertical="center"/>
    </xf>
    <xf numFmtId="3" fontId="125" fillId="16" borderId="86" xfId="0" applyNumberFormat="1" applyFont="1" applyFill="1" applyBorder="1" applyAlignment="1">
      <alignment horizontal="center" vertical="center"/>
    </xf>
    <xf numFmtId="0" fontId="122" fillId="13" borderId="88" xfId="0" applyFont="1" applyFill="1" applyBorder="1" applyAlignment="1">
      <alignment horizontal="center" vertical="center" wrapText="1"/>
    </xf>
    <xf numFmtId="0" fontId="0" fillId="16" borderId="90" xfId="0" applyFill="1" applyBorder="1" applyAlignment="1">
      <alignment horizontal="center" vertical="center"/>
    </xf>
    <xf numFmtId="0" fontId="0" fillId="16" borderId="86" xfId="0" applyFill="1" applyBorder="1" applyAlignment="1">
      <alignment horizontal="center" vertical="center"/>
    </xf>
    <xf numFmtId="3" fontId="0" fillId="16" borderId="91" xfId="0" applyNumberFormat="1" applyFill="1" applyBorder="1" applyAlignment="1">
      <alignment horizontal="center" vertical="center"/>
    </xf>
    <xf numFmtId="1" fontId="0" fillId="31" borderId="57" xfId="0" applyNumberFormat="1" applyFill="1" applyBorder="1" applyAlignment="1">
      <alignment horizontal="center" vertical="center"/>
    </xf>
    <xf numFmtId="1" fontId="0" fillId="0" borderId="91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3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0" fontId="0" fillId="16" borderId="93" xfId="0" applyFill="1" applyBorder="1" applyAlignment="1">
      <alignment horizontal="center" vertical="center"/>
    </xf>
    <xf numFmtId="14" fontId="0" fillId="0" borderId="73" xfId="0" applyNumberFormat="1" applyBorder="1" applyAlignment="1">
      <alignment horizontal="center" vertical="center"/>
    </xf>
    <xf numFmtId="14" fontId="0" fillId="0" borderId="95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8" fillId="31" borderId="57" xfId="0" applyNumberFormat="1" applyFont="1" applyFill="1" applyBorder="1" applyAlignment="1">
      <alignment horizontal="center" vertical="center" wrapText="1"/>
    </xf>
    <xf numFmtId="37" fontId="128" fillId="22" borderId="5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2" fillId="22" borderId="87" xfId="0" applyFont="1" applyFill="1" applyBorder="1" applyAlignment="1">
      <alignment horizontal="center" vertical="center" wrapText="1"/>
    </xf>
    <xf numFmtId="1" fontId="122" fillId="22" borderId="89" xfId="0" applyNumberFormat="1" applyFont="1" applyFill="1" applyBorder="1" applyAlignment="1">
      <alignment horizontal="center" vertical="center" wrapText="1"/>
    </xf>
    <xf numFmtId="1" fontId="126" fillId="22" borderId="58" xfId="0" applyNumberFormat="1" applyFont="1" applyFill="1" applyBorder="1" applyAlignment="1">
      <alignment horizontal="center" vertical="center"/>
    </xf>
    <xf numFmtId="1" fontId="126" fillId="22" borderId="66" xfId="0" applyNumberFormat="1" applyFont="1" applyFill="1" applyBorder="1" applyAlignment="1">
      <alignment horizontal="center" vertical="center"/>
    </xf>
    <xf numFmtId="37" fontId="128" fillId="13" borderId="57" xfId="0" applyNumberFormat="1" applyFont="1" applyFill="1" applyBorder="1" applyAlignment="1">
      <alignment horizontal="center" vertical="center" wrapText="1"/>
    </xf>
    <xf numFmtId="0" fontId="123" fillId="36" borderId="97" xfId="0" applyFont="1" applyFill="1" applyBorder="1" applyAlignment="1">
      <alignment horizontal="center" vertical="center"/>
    </xf>
    <xf numFmtId="0" fontId="122" fillId="36" borderId="76" xfId="0" applyFont="1" applyFill="1" applyBorder="1" applyAlignment="1">
      <alignment horizontal="center" vertical="center" wrapText="1"/>
    </xf>
    <xf numFmtId="37" fontId="128" fillId="36" borderId="97" xfId="0" applyNumberFormat="1" applyFont="1" applyFill="1" applyBorder="1" applyAlignment="1">
      <alignment horizontal="center" vertical="center" wrapText="1"/>
    </xf>
    <xf numFmtId="1" fontId="0" fillId="0" borderId="89" xfId="0" applyNumberFormat="1" applyBorder="1" applyAlignment="1">
      <alignment horizontal="center" vertic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29" fillId="31" borderId="5" xfId="3" applyFont="1" applyFill="1" applyBorder="1" applyAlignment="1">
      <alignment horizontal="center" vertical="center"/>
    </xf>
    <xf numFmtId="3" fontId="129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8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2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2" fontId="75" fillId="24" borderId="71" xfId="0" applyNumberFormat="1" applyFont="1" applyFill="1" applyBorder="1" applyAlignment="1">
      <alignment horizontal="center" vertical="center"/>
    </xf>
    <xf numFmtId="2" fontId="95" fillId="24" borderId="108" xfId="0" applyNumberFormat="1" applyFont="1" applyFill="1" applyBorder="1" applyAlignment="1">
      <alignment horizontal="center" vertical="center"/>
    </xf>
    <xf numFmtId="0" fontId="75" fillId="0" borderId="107" xfId="0" applyFont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164" fontId="75" fillId="24" borderId="110" xfId="0" applyNumberFormat="1" applyFont="1" applyFill="1" applyBorder="1" applyAlignment="1">
      <alignment horizontal="center" vertical="center"/>
    </xf>
    <xf numFmtId="0" fontId="75" fillId="0" borderId="81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7" xfId="0" applyFont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" fontId="75" fillId="24" borderId="110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1" xfId="0" applyNumberFormat="1" applyFont="1" applyFill="1" applyBorder="1" applyAlignment="1">
      <alignment horizontal="center" vertical="center"/>
    </xf>
    <xf numFmtId="164" fontId="75" fillId="24" borderId="112" xfId="1" applyNumberFormat="1" applyFont="1" applyFill="1" applyBorder="1" applyAlignment="1">
      <alignment horizontal="center" vertical="center"/>
    </xf>
    <xf numFmtId="0" fontId="76" fillId="24" borderId="113" xfId="0" applyFont="1" applyFill="1" applyBorder="1" applyAlignment="1">
      <alignment horizontal="center" vertical="center"/>
    </xf>
    <xf numFmtId="1" fontId="75" fillId="24" borderId="112" xfId="0" applyNumberFormat="1" applyFont="1" applyFill="1" applyBorder="1" applyAlignment="1">
      <alignment horizontal="center" vertical="center"/>
    </xf>
    <xf numFmtId="164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40" fontId="75" fillId="24" borderId="113" xfId="0" applyNumberFormat="1" applyFont="1" applyFill="1" applyBorder="1" applyAlignment="1">
      <alignment horizontal="center" vertical="center"/>
    </xf>
    <xf numFmtId="169" fontId="75" fillId="24" borderId="114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5" xfId="1" applyNumberFormat="1" applyFont="1" applyFill="1" applyBorder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60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9" xfId="3" applyFill="1" applyBorder="1"/>
    <xf numFmtId="167" fontId="93" fillId="34" borderId="106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3" fontId="15" fillId="0" borderId="119" xfId="3" applyNumberFormat="1" applyFont="1" applyBorder="1" applyAlignment="1">
      <alignment horizontal="center" vertical="center"/>
    </xf>
    <xf numFmtId="3" fontId="15" fillId="17" borderId="119" xfId="3" applyNumberFormat="1" applyFont="1" applyFill="1" applyBorder="1" applyAlignment="1">
      <alignment horizontal="center" vertical="center"/>
    </xf>
    <xf numFmtId="3" fontId="15" fillId="16" borderId="119" xfId="3" applyNumberFormat="1" applyFont="1" applyFill="1" applyBorder="1" applyAlignment="1">
      <alignment horizontal="center" vertical="center"/>
    </xf>
    <xf numFmtId="3" fontId="15" fillId="30" borderId="119" xfId="3" applyNumberFormat="1" applyFont="1" applyFill="1" applyBorder="1" applyAlignment="1">
      <alignment horizontal="center" vertical="center"/>
    </xf>
    <xf numFmtId="3" fontId="7" fillId="0" borderId="119" xfId="3" applyNumberFormat="1" applyBorder="1" applyAlignment="1">
      <alignment horizontal="center" vertical="center"/>
    </xf>
    <xf numFmtId="3" fontId="15" fillId="28" borderId="119" xfId="3" applyNumberFormat="1" applyFont="1" applyFill="1" applyBorder="1" applyAlignment="1">
      <alignment horizontal="center" vertical="center"/>
    </xf>
    <xf numFmtId="3" fontId="15" fillId="20" borderId="119" xfId="3" applyNumberFormat="1" applyFont="1" applyFill="1" applyBorder="1" applyAlignment="1">
      <alignment horizontal="center" vertical="center"/>
    </xf>
    <xf numFmtId="3" fontId="15" fillId="23" borderId="119" xfId="3" applyNumberFormat="1" applyFont="1" applyFill="1" applyBorder="1" applyAlignment="1">
      <alignment horizontal="center" vertical="center"/>
    </xf>
    <xf numFmtId="9" fontId="0" fillId="0" borderId="0" xfId="0" applyNumberFormat="1"/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3" fontId="133" fillId="38" borderId="37" xfId="3" applyNumberFormat="1" applyFont="1" applyFill="1" applyBorder="1" applyAlignment="1">
      <alignment horizontal="center" vertical="center"/>
    </xf>
    <xf numFmtId="3" fontId="133" fillId="38" borderId="119" xfId="3" applyNumberFormat="1" applyFont="1" applyFill="1" applyBorder="1" applyAlignment="1">
      <alignment horizontal="center" vertical="center"/>
    </xf>
    <xf numFmtId="3" fontId="15" fillId="38" borderId="37" xfId="3" applyNumberFormat="1" applyFont="1" applyFill="1" applyBorder="1" applyAlignment="1">
      <alignment horizontal="center" vertical="center"/>
    </xf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22" xfId="3" applyFont="1" applyFill="1" applyBorder="1" applyAlignment="1">
      <alignment horizontal="center"/>
    </xf>
    <xf numFmtId="37" fontId="28" fillId="31" borderId="122" xfId="3" applyNumberFormat="1" applyFont="1" applyFill="1" applyBorder="1" applyAlignment="1">
      <alignment horizontal="center"/>
    </xf>
    <xf numFmtId="3" fontId="28" fillId="31" borderId="122" xfId="3" applyNumberFormat="1" applyFont="1" applyFill="1" applyBorder="1" applyAlignment="1">
      <alignment horizontal="center"/>
    </xf>
    <xf numFmtId="165" fontId="94" fillId="31" borderId="0" xfId="0" applyNumberFormat="1" applyFont="1" applyFill="1" applyAlignment="1">
      <alignment horizontal="center" vertical="center"/>
    </xf>
    <xf numFmtId="0" fontId="7" fillId="31" borderId="5" xfId="0" applyFont="1" applyFill="1" applyBorder="1" applyAlignment="1">
      <alignment horizontal="center"/>
    </xf>
    <xf numFmtId="3" fontId="7" fillId="31" borderId="5" xfId="0" applyNumberFormat="1" applyFont="1" applyFill="1" applyBorder="1" applyAlignment="1">
      <alignment horizontal="center"/>
    </xf>
    <xf numFmtId="9" fontId="7" fillId="31" borderId="120" xfId="0" applyNumberFormat="1" applyFont="1" applyFill="1" applyBorder="1" applyAlignment="1">
      <alignment horizontal="center"/>
    </xf>
    <xf numFmtId="3" fontId="7" fillId="31" borderId="44" xfId="0" quotePrefix="1" applyNumberFormat="1" applyFont="1" applyFill="1" applyBorder="1" applyAlignment="1">
      <alignment horizontal="center"/>
    </xf>
    <xf numFmtId="3" fontId="7" fillId="31" borderId="59" xfId="0" applyNumberFormat="1" applyFont="1" applyFill="1" applyBorder="1" applyAlignment="1">
      <alignment horizontal="center"/>
    </xf>
    <xf numFmtId="1" fontId="7" fillId="31" borderId="60" xfId="0" applyNumberFormat="1" applyFont="1" applyFill="1" applyBorder="1" applyAlignment="1">
      <alignment horizontal="center"/>
    </xf>
    <xf numFmtId="167" fontId="93" fillId="31" borderId="106" xfId="1" applyNumberFormat="1" applyFont="1" applyFill="1" applyBorder="1" applyAlignment="1">
      <alignment horizontal="center" vertical="center"/>
    </xf>
    <xf numFmtId="0" fontId="81" fillId="31" borderId="0" xfId="0" applyFont="1" applyFill="1" applyAlignment="1">
      <alignment horizontal="center" vertical="center"/>
    </xf>
    <xf numFmtId="0" fontId="135" fillId="0" borderId="0" xfId="0" applyFont="1" applyAlignment="1">
      <alignment horizontal="right"/>
    </xf>
    <xf numFmtId="3" fontId="135" fillId="0" borderId="0" xfId="0" applyNumberFormat="1" applyFont="1" applyAlignment="1">
      <alignment horizontal="center" vertical="center"/>
    </xf>
    <xf numFmtId="9" fontId="7" fillId="31" borderId="0" xfId="0" applyNumberFormat="1" applyFont="1" applyFill="1" applyAlignment="1">
      <alignment horizontal="center"/>
    </xf>
    <xf numFmtId="167" fontId="101" fillId="34" borderId="106" xfId="1" applyNumberFormat="1" applyFont="1" applyFill="1" applyBorder="1" applyAlignment="1">
      <alignment horizontal="center" vertical="center"/>
    </xf>
    <xf numFmtId="0" fontId="7" fillId="31" borderId="23" xfId="3" applyFill="1" applyBorder="1"/>
    <xf numFmtId="0" fontId="15" fillId="31" borderId="24" xfId="3" applyFont="1" applyFill="1" applyBorder="1" applyAlignment="1">
      <alignment horizontal="center"/>
    </xf>
    <xf numFmtId="164" fontId="105" fillId="31" borderId="24" xfId="0" applyNumberFormat="1" applyFont="1" applyFill="1" applyBorder="1" applyAlignment="1">
      <alignment horizontal="center" vertical="center"/>
    </xf>
    <xf numFmtId="0" fontId="15" fillId="31" borderId="24" xfId="0" applyFont="1" applyFill="1" applyBorder="1" applyAlignment="1">
      <alignment horizontal="center"/>
    </xf>
    <xf numFmtId="0" fontId="107" fillId="31" borderId="24" xfId="3" applyFont="1" applyFill="1" applyBorder="1" applyAlignment="1">
      <alignment horizontal="center"/>
    </xf>
    <xf numFmtId="3" fontId="107" fillId="31" borderId="64" xfId="3" applyNumberFormat="1" applyFont="1" applyFill="1" applyBorder="1" applyAlignment="1">
      <alignment horizontal="center"/>
    </xf>
    <xf numFmtId="37" fontId="7" fillId="31" borderId="5" xfId="3" applyNumberFormat="1" applyFill="1" applyBorder="1" applyAlignment="1">
      <alignment horizontal="center"/>
    </xf>
    <xf numFmtId="0" fontId="28" fillId="31" borderId="72" xfId="3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center"/>
    </xf>
    <xf numFmtId="37" fontId="15" fillId="31" borderId="5" xfId="3" applyNumberFormat="1" applyFont="1" applyFill="1" applyBorder="1" applyAlignment="1">
      <alignment horizontal="center"/>
    </xf>
    <xf numFmtId="3" fontId="15" fillId="31" borderId="5" xfId="3" applyNumberFormat="1" applyFont="1" applyFill="1" applyBorder="1" applyAlignment="1">
      <alignment horizontal="center"/>
    </xf>
    <xf numFmtId="3" fontId="15" fillId="31" borderId="117" xfId="3" applyNumberFormat="1" applyFont="1" applyFill="1" applyBorder="1" applyAlignment="1">
      <alignment horizontal="center"/>
    </xf>
    <xf numFmtId="37" fontId="15" fillId="31" borderId="46" xfId="3" applyNumberFormat="1" applyFont="1" applyFill="1" applyBorder="1" applyAlignment="1">
      <alignment horizontal="center"/>
    </xf>
    <xf numFmtId="1" fontId="15" fillId="31" borderId="3" xfId="3" applyNumberFormat="1" applyFont="1" applyFill="1" applyBorder="1" applyAlignment="1">
      <alignment horizontal="center"/>
    </xf>
    <xf numFmtId="1" fontId="81" fillId="1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" fontId="131" fillId="16" borderId="0" xfId="1" applyNumberFormat="1" applyFont="1" applyFill="1" applyAlignment="1">
      <alignment horizontal="center" vertical="center"/>
    </xf>
    <xf numFmtId="37" fontId="28" fillId="31" borderId="59" xfId="3" applyNumberFormat="1" applyFont="1" applyFill="1" applyBorder="1" applyAlignment="1">
      <alignment horizontal="center"/>
    </xf>
    <xf numFmtId="0" fontId="139" fillId="0" borderId="0" xfId="0" applyFont="1" applyAlignment="1">
      <alignment horizontal="center" vertical="center"/>
    </xf>
    <xf numFmtId="1" fontId="103" fillId="31" borderId="0" xfId="1" applyNumberFormat="1" applyFont="1" applyFill="1" applyBorder="1" applyAlignment="1">
      <alignment horizontal="center" vertical="center"/>
    </xf>
    <xf numFmtId="4" fontId="0" fillId="0" borderId="0" xfId="0" applyNumberFormat="1"/>
    <xf numFmtId="10" fontId="9" fillId="26" borderId="3" xfId="0" applyNumberFormat="1" applyFont="1" applyFill="1" applyBorder="1" applyAlignment="1">
      <alignment horizontal="center"/>
    </xf>
    <xf numFmtId="0" fontId="116" fillId="31" borderId="72" xfId="3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0" fontId="75" fillId="37" borderId="0" xfId="0" applyFont="1" applyFill="1" applyAlignment="1">
      <alignment horizontal="center" vertical="center"/>
    </xf>
    <xf numFmtId="0" fontId="75" fillId="37" borderId="0" xfId="0" applyFont="1" applyFill="1"/>
    <xf numFmtId="0" fontId="75" fillId="22" borderId="0" xfId="0" applyFont="1" applyFill="1" applyAlignment="1">
      <alignment horizontal="left"/>
    </xf>
    <xf numFmtId="3" fontId="15" fillId="0" borderId="125" xfId="3" applyNumberFormat="1" applyFont="1" applyBorder="1" applyAlignment="1">
      <alignment horizontal="center" vertical="center"/>
    </xf>
    <xf numFmtId="3" fontId="7" fillId="31" borderId="115" xfId="0" applyNumberFormat="1" applyFont="1" applyFill="1" applyBorder="1" applyAlignment="1">
      <alignment horizontal="center"/>
    </xf>
    <xf numFmtId="3" fontId="7" fillId="31" borderId="61" xfId="0" applyNumberFormat="1" applyFont="1" applyFill="1" applyBorder="1" applyAlignment="1">
      <alignment horizontal="center"/>
    </xf>
    <xf numFmtId="3" fontId="7" fillId="31" borderId="62" xfId="0" applyNumberFormat="1" applyFont="1" applyFill="1" applyBorder="1" applyAlignment="1">
      <alignment horizontal="center"/>
    </xf>
    <xf numFmtId="1" fontId="7" fillId="31" borderId="63" xfId="0" applyNumberFormat="1" applyFont="1" applyFill="1" applyBorder="1" applyAlignment="1">
      <alignment horizont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3" fontId="15" fillId="18" borderId="117" xfId="3" applyNumberFormat="1" applyFont="1" applyFill="1" applyBorder="1" applyAlignment="1">
      <alignment horizontal="center"/>
    </xf>
    <xf numFmtId="37" fontId="15" fillId="18" borderId="46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167" fontId="33" fillId="31" borderId="5" xfId="0" applyNumberFormat="1" applyFont="1" applyFill="1" applyBorder="1" applyAlignment="1">
      <alignment horizontal="center"/>
    </xf>
    <xf numFmtId="0" fontId="15" fillId="18" borderId="122" xfId="3" applyFont="1" applyFill="1" applyBorder="1" applyAlignment="1">
      <alignment horizontal="center"/>
    </xf>
    <xf numFmtId="37" fontId="28" fillId="18" borderId="122" xfId="3" applyNumberFormat="1" applyFont="1" applyFill="1" applyBorder="1" applyAlignment="1">
      <alignment horizontal="center"/>
    </xf>
    <xf numFmtId="3" fontId="28" fillId="18" borderId="122" xfId="3" applyNumberFormat="1" applyFont="1" applyFill="1" applyBorder="1" applyAlignment="1">
      <alignment horizontal="center"/>
    </xf>
    <xf numFmtId="1" fontId="141" fillId="31" borderId="0" xfId="1" applyNumberFormat="1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7" fillId="18" borderId="5" xfId="0" applyFont="1" applyFill="1" applyBorder="1" applyAlignment="1">
      <alignment horizontal="center"/>
    </xf>
    <xf numFmtId="3" fontId="7" fillId="18" borderId="5" xfId="0" applyNumberFormat="1" applyFont="1" applyFill="1" applyBorder="1" applyAlignment="1">
      <alignment horizontal="center"/>
    </xf>
    <xf numFmtId="9" fontId="7" fillId="18" borderId="120" xfId="0" applyNumberFormat="1" applyFont="1" applyFill="1" applyBorder="1" applyAlignment="1">
      <alignment horizontal="center"/>
    </xf>
    <xf numFmtId="37" fontId="7" fillId="18" borderId="5" xfId="3" applyNumberFormat="1" applyFill="1" applyBorder="1" applyAlignment="1">
      <alignment horizontal="center"/>
    </xf>
    <xf numFmtId="3" fontId="7" fillId="18" borderId="44" xfId="0" quotePrefix="1" applyNumberFormat="1" applyFont="1" applyFill="1" applyBorder="1" applyAlignment="1">
      <alignment horizontal="center"/>
    </xf>
    <xf numFmtId="3" fontId="7" fillId="18" borderId="59" xfId="0" applyNumberFormat="1" applyFont="1" applyFill="1" applyBorder="1" applyAlignment="1">
      <alignment horizontal="center"/>
    </xf>
    <xf numFmtId="1" fontId="7" fillId="18" borderId="60" xfId="0" applyNumberFormat="1" applyFont="1" applyFill="1" applyBorder="1" applyAlignment="1">
      <alignment horizontal="center"/>
    </xf>
    <xf numFmtId="1" fontId="78" fillId="0" borderId="0" xfId="1" applyNumberFormat="1" applyFont="1" applyFill="1" applyAlignment="1">
      <alignment horizontal="center" vertical="center"/>
    </xf>
    <xf numFmtId="0" fontId="75" fillId="20" borderId="77" xfId="0" applyFont="1" applyFill="1" applyBorder="1"/>
    <xf numFmtId="3" fontId="75" fillId="35" borderId="70" xfId="0" applyNumberFormat="1" applyFont="1" applyFill="1" applyBorder="1"/>
    <xf numFmtId="3" fontId="76" fillId="35" borderId="126" xfId="0" applyNumberFormat="1" applyFont="1" applyFill="1" applyBorder="1" applyAlignment="1">
      <alignment horizontal="center" vertical="center"/>
    </xf>
    <xf numFmtId="0" fontId="75" fillId="23" borderId="70" xfId="0" applyFont="1" applyFill="1" applyBorder="1" applyAlignment="1">
      <alignment vertical="center"/>
    </xf>
    <xf numFmtId="3" fontId="81" fillId="23" borderId="126" xfId="0" applyNumberFormat="1" applyFont="1" applyFill="1" applyBorder="1" applyAlignment="1">
      <alignment horizontal="center" vertical="center"/>
    </xf>
    <xf numFmtId="0" fontId="9" fillId="37" borderId="70" xfId="0" applyFont="1" applyFill="1" applyBorder="1" applyAlignment="1">
      <alignment vertical="center"/>
    </xf>
    <xf numFmtId="3" fontId="75" fillId="37" borderId="0" xfId="0" applyNumberFormat="1" applyFont="1" applyFill="1" applyAlignment="1">
      <alignment horizontal="center" vertical="center"/>
    </xf>
    <xf numFmtId="3" fontId="81" fillId="37" borderId="126" xfId="0" applyNumberFormat="1" applyFont="1" applyFill="1" applyBorder="1" applyAlignment="1">
      <alignment horizontal="center" vertical="center"/>
    </xf>
    <xf numFmtId="0" fontId="9" fillId="39" borderId="127" xfId="0" applyFont="1" applyFill="1" applyBorder="1" applyAlignment="1">
      <alignment vertical="center"/>
    </xf>
    <xf numFmtId="3" fontId="76" fillId="0" borderId="104" xfId="0" applyNumberFormat="1" applyFont="1" applyBorder="1" applyAlignment="1">
      <alignment horizontal="center" vertical="center"/>
    </xf>
    <xf numFmtId="3" fontId="76" fillId="0" borderId="128" xfId="0" applyNumberFormat="1" applyFont="1" applyBorder="1" applyAlignment="1">
      <alignment horizontal="center" vertical="center"/>
    </xf>
    <xf numFmtId="3" fontId="75" fillId="20" borderId="0" xfId="0" applyNumberFormat="1" applyFont="1" applyFill="1" applyAlignment="1">
      <alignment horizontal="center"/>
    </xf>
    <xf numFmtId="3" fontId="75" fillId="30" borderId="0" xfId="0" applyNumberFormat="1" applyFont="1" applyFill="1" applyAlignment="1">
      <alignment horizontal="center"/>
    </xf>
    <xf numFmtId="3" fontId="75" fillId="25" borderId="0" xfId="0" applyNumberFormat="1" applyFont="1" applyFill="1" applyAlignment="1">
      <alignment horizontal="center"/>
    </xf>
    <xf numFmtId="3" fontId="140" fillId="25" borderId="0" xfId="0" applyNumberFormat="1" applyFont="1" applyFill="1" applyAlignment="1">
      <alignment horizontal="left"/>
    </xf>
    <xf numFmtId="167" fontId="103" fillId="31" borderId="0" xfId="1" applyNumberFormat="1" applyFont="1" applyFill="1" applyAlignment="1">
      <alignment horizontal="center" vertical="center"/>
    </xf>
    <xf numFmtId="173" fontId="76" fillId="0" borderId="0" xfId="0" applyNumberFormat="1" applyFont="1" applyAlignment="1">
      <alignment horizontal="center" vertical="center"/>
    </xf>
    <xf numFmtId="1" fontId="95" fillId="31" borderId="0" xfId="1" applyNumberFormat="1" applyFont="1" applyFill="1" applyAlignment="1">
      <alignment horizontal="center" vertical="center"/>
    </xf>
    <xf numFmtId="39" fontId="29" fillId="16" borderId="3" xfId="3" applyNumberFormat="1" applyFont="1" applyFill="1" applyBorder="1" applyAlignment="1">
      <alignment horizontal="center"/>
    </xf>
    <xf numFmtId="167" fontId="143" fillId="31" borderId="0" xfId="1" applyNumberFormat="1" applyFont="1" applyFill="1" applyAlignment="1">
      <alignment horizontal="center" vertical="center"/>
    </xf>
    <xf numFmtId="167" fontId="142" fillId="31" borderId="0" xfId="1" applyNumberFormat="1" applyFont="1" applyFill="1" applyAlignment="1">
      <alignment horizontal="center" vertical="center"/>
    </xf>
    <xf numFmtId="1" fontId="138" fillId="31" borderId="0" xfId="1" applyNumberFormat="1" applyFont="1" applyFill="1" applyAlignment="1">
      <alignment horizontal="center" vertical="center"/>
    </xf>
    <xf numFmtId="1" fontId="144" fillId="31" borderId="0" xfId="1" applyNumberFormat="1" applyFont="1" applyFill="1" applyAlignment="1">
      <alignment horizontal="center" vertical="center"/>
    </xf>
    <xf numFmtId="39" fontId="29" fillId="0" borderId="3" xfId="3" applyNumberFormat="1" applyFont="1" applyBorder="1" applyAlignment="1">
      <alignment horizontal="center"/>
    </xf>
    <xf numFmtId="3" fontId="7" fillId="31" borderId="122" xfId="3" applyNumberFormat="1" applyFill="1" applyBorder="1" applyAlignment="1">
      <alignment horizontal="center"/>
    </xf>
    <xf numFmtId="165" fontId="15" fillId="0" borderId="37" xfId="3" applyNumberFormat="1" applyFont="1" applyBorder="1" applyAlignment="1">
      <alignment horizontal="center" vertical="center"/>
    </xf>
    <xf numFmtId="0" fontId="7" fillId="18" borderId="59" xfId="3" applyFill="1" applyBorder="1"/>
    <xf numFmtId="164" fontId="105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/>
    </xf>
    <xf numFmtId="3" fontId="15" fillId="18" borderId="60" xfId="3" applyNumberFormat="1" applyFont="1" applyFill="1" applyBorder="1" applyAlignment="1">
      <alignment horizontal="center"/>
    </xf>
    <xf numFmtId="164" fontId="15" fillId="18" borderId="5" xfId="3" applyNumberFormat="1" applyFont="1" applyFill="1" applyBorder="1" applyAlignment="1">
      <alignment horizontal="center"/>
    </xf>
    <xf numFmtId="165" fontId="12" fillId="0" borderId="0" xfId="3" applyNumberFormat="1" applyFont="1" applyAlignment="1">
      <alignment horizontal="center" vertical="center"/>
    </xf>
    <xf numFmtId="165" fontId="19" fillId="4" borderId="14" xfId="3" applyNumberFormat="1" applyFont="1" applyFill="1" applyBorder="1" applyAlignment="1">
      <alignment horizontal="center" vertical="center"/>
    </xf>
    <xf numFmtId="165" fontId="19" fillId="4" borderId="0" xfId="3" applyNumberFormat="1" applyFont="1" applyFill="1" applyAlignment="1">
      <alignment horizontal="center" vertical="center" wrapText="1"/>
    </xf>
    <xf numFmtId="165" fontId="19" fillId="4" borderId="0" xfId="3" applyNumberFormat="1" applyFont="1" applyFill="1" applyAlignment="1">
      <alignment horizontal="center" vertical="center"/>
    </xf>
    <xf numFmtId="165" fontId="15" fillId="0" borderId="119" xfId="3" applyNumberFormat="1" applyFont="1" applyBorder="1" applyAlignment="1">
      <alignment horizontal="center" vertical="center"/>
    </xf>
    <xf numFmtId="165" fontId="7" fillId="0" borderId="0" xfId="3" applyNumberFormat="1" applyAlignment="1">
      <alignment horizontal="center" vertical="center"/>
    </xf>
    <xf numFmtId="3" fontId="15" fillId="0" borderId="129" xfId="3" applyNumberFormat="1" applyFont="1" applyBorder="1" applyAlignment="1">
      <alignment horizontal="center" vertical="center"/>
    </xf>
    <xf numFmtId="165" fontId="15" fillId="0" borderId="130" xfId="3" applyNumberFormat="1" applyFont="1" applyBorder="1" applyAlignment="1">
      <alignment horizontal="center" vertical="center"/>
    </xf>
    <xf numFmtId="3" fontId="15" fillId="0" borderId="130" xfId="3" applyNumberFormat="1" applyFont="1" applyBorder="1" applyAlignment="1">
      <alignment horizontal="center" vertical="center"/>
    </xf>
    <xf numFmtId="3" fontId="15" fillId="17" borderId="130" xfId="3" applyNumberFormat="1" applyFont="1" applyFill="1" applyBorder="1" applyAlignment="1">
      <alignment horizontal="center" vertical="center"/>
    </xf>
    <xf numFmtId="3" fontId="15" fillId="16" borderId="130" xfId="3" applyNumberFormat="1" applyFont="1" applyFill="1" applyBorder="1" applyAlignment="1">
      <alignment horizontal="center" vertical="center"/>
    </xf>
    <xf numFmtId="3" fontId="15" fillId="38" borderId="130" xfId="3" applyNumberFormat="1" applyFont="1" applyFill="1" applyBorder="1" applyAlignment="1">
      <alignment horizontal="center" vertical="center"/>
    </xf>
    <xf numFmtId="3" fontId="15" fillId="30" borderId="130" xfId="3" applyNumberFormat="1" applyFont="1" applyFill="1" applyBorder="1" applyAlignment="1">
      <alignment horizontal="center" vertical="center"/>
    </xf>
    <xf numFmtId="3" fontId="7" fillId="0" borderId="130" xfId="3" applyNumberFormat="1" applyBorder="1" applyAlignment="1">
      <alignment horizontal="center" vertical="center"/>
    </xf>
    <xf numFmtId="3" fontId="15" fillId="28" borderId="130" xfId="3" applyNumberFormat="1" applyFont="1" applyFill="1" applyBorder="1" applyAlignment="1">
      <alignment horizontal="center" vertical="center"/>
    </xf>
    <xf numFmtId="3" fontId="15" fillId="20" borderId="130" xfId="3" applyNumberFormat="1" applyFont="1" applyFill="1" applyBorder="1" applyAlignment="1">
      <alignment horizontal="center" vertical="center"/>
    </xf>
    <xf numFmtId="3" fontId="15" fillId="23" borderId="130" xfId="3" applyNumberFormat="1" applyFont="1" applyFill="1" applyBorder="1" applyAlignment="1">
      <alignment horizontal="center" vertical="center"/>
    </xf>
    <xf numFmtId="3" fontId="15" fillId="0" borderId="140" xfId="3" applyNumberFormat="1" applyFont="1" applyBorder="1" applyAlignment="1">
      <alignment horizontal="center" vertical="center"/>
    </xf>
    <xf numFmtId="3" fontId="129" fillId="0" borderId="130" xfId="3" applyNumberFormat="1" applyFont="1" applyBorder="1" applyAlignment="1">
      <alignment horizontal="center" vertical="center"/>
    </xf>
    <xf numFmtId="37" fontId="107" fillId="16" borderId="24" xfId="3" applyNumberFormat="1" applyFont="1" applyFill="1" applyBorder="1" applyAlignment="1">
      <alignment horizontal="center"/>
    </xf>
    <xf numFmtId="4" fontId="15" fillId="18" borderId="131" xfId="3" applyNumberFormat="1" applyFont="1" applyFill="1" applyBorder="1" applyAlignment="1">
      <alignment horizontal="center"/>
    </xf>
    <xf numFmtId="3" fontId="7" fillId="0" borderId="131" xfId="3" applyNumberFormat="1" applyBorder="1" applyAlignment="1">
      <alignment horizontal="center" vertical="center"/>
    </xf>
    <xf numFmtId="1" fontId="28" fillId="31" borderId="131" xfId="3" applyNumberFormat="1" applyFont="1" applyFill="1" applyBorder="1" applyAlignment="1">
      <alignment horizontal="center"/>
    </xf>
    <xf numFmtId="4" fontId="15" fillId="18" borderId="3" xfId="3" applyNumberFormat="1" applyFont="1" applyFill="1" applyBorder="1" applyAlignment="1">
      <alignment horizontal="center"/>
    </xf>
    <xf numFmtId="0" fontId="71" fillId="18" borderId="136" xfId="3" applyFont="1" applyFill="1" applyBorder="1" applyAlignment="1">
      <alignment horizontal="center" vertical="center" wrapText="1"/>
    </xf>
    <xf numFmtId="4" fontId="107" fillId="31" borderId="64" xfId="3" applyNumberFormat="1" applyFont="1" applyFill="1" applyBorder="1" applyAlignment="1">
      <alignment horizontal="center"/>
    </xf>
    <xf numFmtId="9" fontId="52" fillId="0" borderId="0" xfId="4" applyFont="1" applyAlignment="1">
      <alignment horizontal="center" vertical="center"/>
    </xf>
    <xf numFmtId="0" fontId="70" fillId="12" borderId="137" xfId="3" applyFont="1" applyFill="1" applyBorder="1" applyAlignment="1">
      <alignment horizontal="center"/>
    </xf>
    <xf numFmtId="37" fontId="28" fillId="31" borderId="134" xfId="3" applyNumberFormat="1" applyFont="1" applyFill="1" applyBorder="1" applyAlignment="1">
      <alignment horizontal="center"/>
    </xf>
    <xf numFmtId="0" fontId="70" fillId="12" borderId="142" xfId="3" applyFont="1" applyFill="1" applyBorder="1" applyAlignment="1">
      <alignment horizontal="center"/>
    </xf>
    <xf numFmtId="37" fontId="28" fillId="31" borderId="138" xfId="3" applyNumberFormat="1" applyFont="1" applyFill="1" applyBorder="1" applyAlignment="1">
      <alignment horizontal="center"/>
    </xf>
    <xf numFmtId="37" fontId="109" fillId="16" borderId="139" xfId="3" applyNumberFormat="1" applyFont="1" applyFill="1" applyBorder="1" applyAlignment="1">
      <alignment horizontal="center"/>
    </xf>
    <xf numFmtId="0" fontId="70" fillId="12" borderId="145" xfId="3" applyFont="1" applyFill="1" applyBorder="1" applyAlignment="1">
      <alignment horizontal="center"/>
    </xf>
    <xf numFmtId="37" fontId="109" fillId="16" borderId="145" xfId="3" applyNumberFormat="1" applyFont="1" applyFill="1" applyBorder="1" applyAlignment="1">
      <alignment horizontal="center"/>
    </xf>
    <xf numFmtId="39" fontId="28" fillId="22" borderId="131" xfId="3" applyNumberFormat="1" applyFont="1" applyFill="1" applyBorder="1" applyAlignment="1">
      <alignment horizontal="center"/>
    </xf>
    <xf numFmtId="37" fontId="28" fillId="22" borderId="131" xfId="3" applyNumberFormat="1" applyFont="1" applyFill="1" applyBorder="1" applyAlignment="1">
      <alignment horizontal="center"/>
    </xf>
    <xf numFmtId="0" fontId="29" fillId="22" borderId="131" xfId="3" applyFont="1" applyFill="1" applyBorder="1" applyAlignment="1">
      <alignment horizontal="center"/>
    </xf>
    <xf numFmtId="37" fontId="109" fillId="22" borderId="131" xfId="3" applyNumberFormat="1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 vertical="center"/>
    </xf>
    <xf numFmtId="0" fontId="70" fillId="12" borderId="57" xfId="3" applyFont="1" applyFill="1" applyBorder="1" applyAlignment="1">
      <alignment horizontal="center" vertical="center"/>
    </xf>
    <xf numFmtId="0" fontId="70" fillId="12" borderId="141" xfId="3" applyFont="1" applyFill="1" applyBorder="1" applyAlignment="1">
      <alignment horizontal="center" vertical="center" wrapText="1"/>
    </xf>
    <xf numFmtId="0" fontId="70" fillId="22" borderId="131" xfId="3" applyFont="1" applyFill="1" applyBorder="1" applyAlignment="1">
      <alignment horizontal="center" vertical="center"/>
    </xf>
    <xf numFmtId="0" fontId="70" fillId="12" borderId="97" xfId="3" applyFont="1" applyFill="1" applyBorder="1" applyAlignment="1">
      <alignment horizontal="center" vertical="center"/>
    </xf>
    <xf numFmtId="0" fontId="70" fillId="12" borderId="142" xfId="3" applyFont="1" applyFill="1" applyBorder="1" applyAlignment="1">
      <alignment horizontal="center" vertical="center"/>
    </xf>
    <xf numFmtId="0" fontId="70" fillId="12" borderId="145" xfId="3" applyFont="1" applyFill="1" applyBorder="1" applyAlignment="1">
      <alignment horizontal="center" vertical="center"/>
    </xf>
    <xf numFmtId="0" fontId="28" fillId="31" borderId="71" xfId="3" applyFont="1" applyFill="1" applyBorder="1" applyAlignment="1">
      <alignment horizontal="center"/>
    </xf>
    <xf numFmtId="37" fontId="28" fillId="31" borderId="46" xfId="3" applyNumberFormat="1" applyFont="1" applyFill="1" applyBorder="1" applyAlignment="1">
      <alignment horizontal="center"/>
    </xf>
    <xf numFmtId="37" fontId="28" fillId="31" borderId="3" xfId="3" applyNumberFormat="1" applyFont="1" applyFill="1" applyBorder="1" applyAlignment="1">
      <alignment horizontal="center"/>
    </xf>
    <xf numFmtId="37" fontId="28" fillId="31" borderId="71" xfId="3" applyNumberFormat="1" applyFont="1" applyFill="1" applyBorder="1" applyAlignment="1">
      <alignment horizontal="center"/>
    </xf>
    <xf numFmtId="39" fontId="28" fillId="22" borderId="3" xfId="3" applyNumberFormat="1" applyFont="1" applyFill="1" applyBorder="1" applyAlignment="1">
      <alignment horizontal="center"/>
    </xf>
    <xf numFmtId="37" fontId="28" fillId="22" borderId="3" xfId="3" applyNumberFormat="1" applyFont="1" applyFill="1" applyBorder="1" applyAlignment="1">
      <alignment horizontal="center"/>
    </xf>
    <xf numFmtId="37" fontId="28" fillId="31" borderId="117" xfId="3" applyNumberFormat="1" applyFont="1" applyFill="1" applyBorder="1" applyAlignment="1">
      <alignment horizontal="center"/>
    </xf>
    <xf numFmtId="39" fontId="28" fillId="31" borderId="3" xfId="3" applyNumberFormat="1" applyFont="1" applyFill="1" applyBorder="1" applyAlignment="1">
      <alignment horizontal="center"/>
    </xf>
    <xf numFmtId="3" fontId="7" fillId="0" borderId="3" xfId="3" applyNumberFormat="1" applyBorder="1" applyAlignment="1">
      <alignment horizontal="center" vertical="center"/>
    </xf>
    <xf numFmtId="0" fontId="70" fillId="22" borderId="57" xfId="3" applyFont="1" applyFill="1" applyBorder="1" applyAlignment="1">
      <alignment horizontal="center" vertical="center"/>
    </xf>
    <xf numFmtId="0" fontId="70" fillId="12" borderId="136" xfId="3" applyFont="1" applyFill="1" applyBorder="1" applyAlignment="1">
      <alignment horizontal="center" vertical="center"/>
    </xf>
    <xf numFmtId="0" fontId="70" fillId="12" borderId="137" xfId="3" applyFont="1" applyFill="1" applyBorder="1" applyAlignment="1">
      <alignment horizontal="center" vertical="center"/>
    </xf>
    <xf numFmtId="0" fontId="70" fillId="12" borderId="127" xfId="3" applyFont="1" applyFill="1" applyBorder="1" applyAlignment="1">
      <alignment horizontal="center" vertical="center"/>
    </xf>
    <xf numFmtId="0" fontId="70" fillId="12" borderId="136" xfId="3" applyFont="1" applyFill="1" applyBorder="1" applyAlignment="1">
      <alignment horizontal="center"/>
    </xf>
    <xf numFmtId="0" fontId="70" fillId="22" borderId="137" xfId="3" applyFont="1" applyFill="1" applyBorder="1" applyAlignment="1">
      <alignment horizontal="center"/>
    </xf>
    <xf numFmtId="1" fontId="72" fillId="18" borderId="142" xfId="3" applyNumberFormat="1" applyFont="1" applyFill="1" applyBorder="1" applyAlignment="1">
      <alignment horizontal="center" wrapText="1"/>
    </xf>
    <xf numFmtId="10" fontId="75" fillId="26" borderId="0" xfId="0" applyNumberFormat="1" applyFont="1" applyFill="1" applyAlignment="1">
      <alignment horizontal="center" vertical="center"/>
    </xf>
    <xf numFmtId="1" fontId="96" fillId="31" borderId="0" xfId="1" applyNumberFormat="1" applyFont="1" applyFill="1" applyBorder="1" applyAlignment="1">
      <alignment horizontal="center" vertical="center"/>
    </xf>
    <xf numFmtId="3" fontId="75" fillId="40" borderId="0" xfId="0" applyNumberFormat="1" applyFont="1" applyFill="1" applyAlignment="1">
      <alignment horizontal="center"/>
    </xf>
    <xf numFmtId="3" fontId="114" fillId="0" borderId="130" xfId="3" applyNumberFormat="1" applyFont="1" applyBorder="1" applyAlignment="1">
      <alignment horizontal="center" vertical="center"/>
    </xf>
    <xf numFmtId="3" fontId="7" fillId="31" borderId="131" xfId="0" applyNumberFormat="1" applyFont="1" applyFill="1" applyBorder="1" applyAlignment="1">
      <alignment horizontal="center"/>
    </xf>
    <xf numFmtId="3" fontId="95" fillId="20" borderId="0" xfId="0" applyNumberFormat="1" applyFont="1" applyFill="1" applyAlignment="1">
      <alignment horizontal="center"/>
    </xf>
    <xf numFmtId="3" fontId="7" fillId="18" borderId="131" xfId="0" applyNumberFormat="1" applyFont="1" applyFill="1" applyBorder="1" applyAlignment="1">
      <alignment horizontal="center"/>
    </xf>
    <xf numFmtId="3" fontId="114" fillId="16" borderId="130" xfId="3" applyNumberFormat="1" applyFont="1" applyFill="1" applyBorder="1" applyAlignment="1">
      <alignment horizontal="center" vertical="center"/>
    </xf>
    <xf numFmtId="3" fontId="133" fillId="38" borderId="130" xfId="3" applyNumberFormat="1" applyFont="1" applyFill="1" applyBorder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1" fontId="95" fillId="31" borderId="0" xfId="1" applyNumberFormat="1" applyFont="1" applyFill="1" applyBorder="1" applyAlignment="1">
      <alignment horizontal="center" vertical="center"/>
    </xf>
    <xf numFmtId="1" fontId="146" fillId="31" borderId="0" xfId="1" applyNumberFormat="1" applyFont="1" applyFill="1" applyBorder="1" applyAlignment="1">
      <alignment horizontal="center" vertical="center"/>
    </xf>
    <xf numFmtId="174" fontId="15" fillId="0" borderId="130" xfId="3" applyNumberFormat="1" applyFont="1" applyBorder="1" applyAlignment="1">
      <alignment horizontal="center" vertical="center"/>
    </xf>
    <xf numFmtId="1" fontId="104" fillId="31" borderId="0" xfId="1" applyNumberFormat="1" applyFont="1" applyFill="1" applyBorder="1" applyAlignment="1">
      <alignment horizontal="center" vertical="center"/>
    </xf>
    <xf numFmtId="3" fontId="76" fillId="31" borderId="104" xfId="0" applyNumberFormat="1" applyFont="1" applyFill="1" applyBorder="1" applyAlignment="1">
      <alignment horizontal="center" vertical="center"/>
    </xf>
    <xf numFmtId="164" fontId="15" fillId="31" borderId="130" xfId="3" applyNumberFormat="1" applyFont="1" applyFill="1" applyBorder="1" applyAlignment="1">
      <alignment horizontal="center" vertical="center"/>
    </xf>
    <xf numFmtId="3" fontId="75" fillId="26" borderId="0" xfId="0" applyNumberFormat="1" applyFont="1" applyFill="1" applyAlignment="1">
      <alignment horizontal="center"/>
    </xf>
    <xf numFmtId="3" fontId="15" fillId="31" borderId="130" xfId="3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3" fontId="7" fillId="0" borderId="124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19" fillId="4" borderId="79" xfId="3" applyFont="1" applyFill="1" applyBorder="1" applyAlignment="1">
      <alignment horizontal="center" vertical="center"/>
    </xf>
    <xf numFmtId="0" fontId="9" fillId="0" borderId="100" xfId="3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19" fillId="4" borderId="41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1" xfId="0" applyFont="1" applyBorder="1" applyAlignment="1">
      <alignment horizontal="center" vertical="center" wrapText="1"/>
    </xf>
    <xf numFmtId="0" fontId="22" fillId="4" borderId="118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0" fontId="22" fillId="4" borderId="75" xfId="0" applyFont="1" applyFill="1" applyBorder="1" applyAlignment="1">
      <alignment horizontal="center"/>
    </xf>
    <xf numFmtId="9" fontId="22" fillId="4" borderId="121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21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21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4" fillId="0" borderId="131" xfId="3" applyFont="1" applyBorder="1" applyAlignment="1">
      <alignment horizontal="center" wrapText="1"/>
    </xf>
    <xf numFmtId="0" fontId="4" fillId="0" borderId="143" xfId="3" applyFont="1" applyBorder="1" applyAlignment="1">
      <alignment horizontal="center" wrapText="1"/>
    </xf>
    <xf numFmtId="0" fontId="71" fillId="18" borderId="58" xfId="3" applyFont="1" applyFill="1" applyBorder="1" applyAlignment="1">
      <alignment horizontal="center" vertical="center" wrapText="1"/>
    </xf>
    <xf numFmtId="0" fontId="71" fillId="18" borderId="132" xfId="3" applyFont="1" applyFill="1" applyBorder="1" applyAlignment="1">
      <alignment horizontal="center" vertical="center" wrapText="1"/>
    </xf>
    <xf numFmtId="0" fontId="71" fillId="18" borderId="133" xfId="3" applyFont="1" applyFill="1" applyBorder="1" applyAlignment="1">
      <alignment horizontal="center" vertical="center" wrapText="1"/>
    </xf>
    <xf numFmtId="3" fontId="145" fillId="18" borderId="75" xfId="3" applyNumberFormat="1" applyFont="1" applyFill="1" applyBorder="1" applyAlignment="1">
      <alignment horizontal="center" vertical="center"/>
    </xf>
    <xf numFmtId="3" fontId="145" fillId="18" borderId="146" xfId="3" applyNumberFormat="1" applyFont="1" applyFill="1" applyBorder="1" applyAlignment="1">
      <alignment horizontal="center" vertical="center"/>
    </xf>
    <xf numFmtId="3" fontId="145" fillId="18" borderId="147" xfId="3" applyNumberFormat="1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141" xfId="3" applyNumberFormat="1" applyFont="1" applyFill="1" applyBorder="1" applyAlignment="1">
      <alignment horizontal="center" vertical="center" wrapText="1"/>
    </xf>
    <xf numFmtId="1" fontId="72" fillId="18" borderId="144" xfId="3" applyNumberFormat="1" applyFont="1" applyFill="1" applyBorder="1" applyAlignment="1">
      <alignment horizontal="center" vertical="center" wrapText="1"/>
    </xf>
    <xf numFmtId="0" fontId="71" fillId="18" borderId="56" xfId="3" applyFont="1" applyFill="1" applyBorder="1" applyAlignment="1">
      <alignment horizontal="center" vertical="center" wrapText="1"/>
    </xf>
    <xf numFmtId="0" fontId="71" fillId="18" borderId="135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7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8" xfId="3" applyFont="1" applyFill="1" applyBorder="1" applyAlignment="1">
      <alignment horizontal="center" vertical="center"/>
    </xf>
    <xf numFmtId="0" fontId="22" fillId="15" borderId="64" xfId="3" applyFont="1" applyFill="1" applyBorder="1" applyAlignment="1">
      <alignment horizontal="center" vertical="center"/>
    </xf>
    <xf numFmtId="164" fontId="7" fillId="0" borderId="70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26" fillId="4" borderId="67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6" xfId="3" applyNumberFormat="1" applyFont="1" applyFill="1" applyBorder="1" applyAlignment="1">
      <alignment horizontal="center" vertical="center" wrapText="1"/>
    </xf>
    <xf numFmtId="3" fontId="72" fillId="18" borderId="123" xfId="3" applyNumberFormat="1" applyFont="1" applyFill="1" applyBorder="1" applyAlignment="1">
      <alignment horizontal="center" vertical="center" wrapText="1"/>
    </xf>
    <xf numFmtId="0" fontId="111" fillId="32" borderId="69" xfId="0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0" fontId="122" fillId="16" borderId="57" xfId="0" applyFont="1" applyFill="1" applyBorder="1" applyAlignment="1">
      <alignment horizontal="center" vertical="center" wrapText="1"/>
    </xf>
    <xf numFmtId="0" fontId="122" fillId="16" borderId="88" xfId="0" applyFont="1" applyFill="1" applyBorder="1" applyAlignment="1">
      <alignment horizontal="center" vertical="center" wrapText="1"/>
    </xf>
    <xf numFmtId="0" fontId="124" fillId="16" borderId="58" xfId="0" applyFont="1" applyFill="1" applyBorder="1" applyAlignment="1">
      <alignment horizontal="center" vertical="center" wrapText="1"/>
    </xf>
    <xf numFmtId="0" fontId="124" fillId="16" borderId="89" xfId="0" applyFont="1" applyFill="1" applyBorder="1" applyAlignment="1">
      <alignment horizontal="center" vertical="center" wrapText="1"/>
    </xf>
    <xf numFmtId="0" fontId="127" fillId="16" borderId="80" xfId="0" applyFont="1" applyFill="1" applyBorder="1" applyAlignment="1">
      <alignment horizontal="center"/>
    </xf>
    <xf numFmtId="0" fontId="127" fillId="16" borderId="81" xfId="0" applyFont="1" applyFill="1" applyBorder="1" applyAlignment="1">
      <alignment horizontal="center"/>
    </xf>
    <xf numFmtId="0" fontId="127" fillId="16" borderId="82" xfId="0" applyFont="1" applyFill="1" applyBorder="1" applyAlignment="1">
      <alignment horizontal="center"/>
    </xf>
    <xf numFmtId="0" fontId="119" fillId="16" borderId="80" xfId="0" applyFont="1" applyFill="1" applyBorder="1" applyAlignment="1">
      <alignment horizontal="center" vertical="center" wrapText="1"/>
    </xf>
    <xf numFmtId="0" fontId="119" fillId="16" borderId="81" xfId="0" applyFont="1" applyFill="1" applyBorder="1" applyAlignment="1">
      <alignment horizontal="center" vertical="center" wrapText="1"/>
    </xf>
    <xf numFmtId="0" fontId="119" fillId="16" borderId="82" xfId="0" applyFont="1" applyFill="1" applyBorder="1" applyAlignment="1">
      <alignment horizontal="center" vertical="center" wrapText="1"/>
    </xf>
    <xf numFmtId="3" fontId="120" fillId="16" borderId="83" xfId="0" applyNumberFormat="1" applyFont="1" applyFill="1" applyBorder="1" applyAlignment="1">
      <alignment horizontal="center" vertical="center"/>
    </xf>
    <xf numFmtId="3" fontId="120" fillId="16" borderId="84" xfId="0" applyNumberFormat="1" applyFont="1" applyFill="1" applyBorder="1" applyAlignment="1">
      <alignment horizontal="center" vertical="center"/>
    </xf>
    <xf numFmtId="3" fontId="120" fillId="16" borderId="85" xfId="0" applyNumberFormat="1" applyFont="1" applyFill="1" applyBorder="1" applyAlignment="1">
      <alignment horizontal="center" vertical="center"/>
    </xf>
    <xf numFmtId="0" fontId="122" fillId="16" borderId="73" xfId="0" applyFont="1" applyFill="1" applyBorder="1" applyAlignment="1">
      <alignment horizontal="center" vertical="center"/>
    </xf>
    <xf numFmtId="0" fontId="122" fillId="16" borderId="96" xfId="0" applyFont="1" applyFill="1" applyBorder="1" applyAlignment="1">
      <alignment horizontal="center" vertical="center"/>
    </xf>
    <xf numFmtId="0" fontId="123" fillId="22" borderId="56" xfId="0" applyFont="1" applyFill="1" applyBorder="1" applyAlignment="1">
      <alignment horizontal="center" vertical="center"/>
    </xf>
    <xf numFmtId="0" fontId="123" fillId="22" borderId="58" xfId="0" applyFont="1" applyFill="1" applyBorder="1" applyAlignment="1">
      <alignment horizontal="center" vertical="center"/>
    </xf>
    <xf numFmtId="3" fontId="122" fillId="16" borderId="57" xfId="0" applyNumberFormat="1" applyFont="1" applyFill="1" applyBorder="1" applyAlignment="1">
      <alignment horizontal="center" vertical="center" wrapText="1"/>
    </xf>
    <xf numFmtId="3" fontId="122" fillId="16" borderId="88" xfId="0" applyNumberFormat="1" applyFont="1" applyFill="1" applyBorder="1" applyAlignment="1">
      <alignment horizontal="center" vertical="center" wrapText="1"/>
    </xf>
    <xf numFmtId="0" fontId="95" fillId="16" borderId="104" xfId="0" applyFont="1" applyFill="1" applyBorder="1" applyAlignment="1">
      <alignment horizontal="center" vertical="center"/>
    </xf>
    <xf numFmtId="167" fontId="69" fillId="0" borderId="0" xfId="1" applyNumberFormat="1" applyFont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120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2" formatCode="0.00"/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9C0006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00A44A"/>
      <color rgb="FF170EC2"/>
      <color rgb="FFFF3300"/>
      <color rgb="FFC09200"/>
      <color rgb="FFD43ABE"/>
      <color rgb="FFFFFF99"/>
      <color rgb="FFFF505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CBG ELECTRICITY DAYLI CONSUMPTION (KW-H). SEPTEMBER 2026</a:t>
            </a:r>
          </a:p>
        </c:rich>
      </c:tx>
      <c:layout>
        <c:manualLayout>
          <c:xMode val="edge"/>
          <c:yMode val="edge"/>
          <c:x val="0.26816640976136419"/>
          <c:y val="2.1474950595256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691860111806391E-2"/>
          <c:y val="6.3797260831323935E-2"/>
          <c:w val="0.94630320171094728"/>
          <c:h val="0.82229716704912292"/>
        </c:manualLayout>
      </c:layout>
      <c:areaChart>
        <c:grouping val="stacked"/>
        <c:varyColors val="0"/>
        <c:ser>
          <c:idx val="0"/>
          <c:order val="0"/>
          <c:tx>
            <c:strRef>
              <c:f>'Utility Analysis September 2026'!$D$7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4.5057471590605278E-3"/>
                  <c:y val="-2.808263135426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BF-4F8A-AEE9-C8A57A7D3B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September 2026'!$D$10:$D$40</c:f>
              <c:numCache>
                <c:formatCode>#,##0</c:formatCode>
                <c:ptCount val="31"/>
                <c:pt idx="0">
                  <c:v>8735</c:v>
                </c:pt>
                <c:pt idx="1">
                  <c:v>8438</c:v>
                </c:pt>
                <c:pt idx="2">
                  <c:v>8694</c:v>
                </c:pt>
                <c:pt idx="3">
                  <c:v>5679</c:v>
                </c:pt>
                <c:pt idx="4">
                  <c:v>3385</c:v>
                </c:pt>
                <c:pt idx="5">
                  <c:v>2797</c:v>
                </c:pt>
                <c:pt idx="6">
                  <c:v>5039</c:v>
                </c:pt>
                <c:pt idx="7">
                  <c:v>6654</c:v>
                </c:pt>
                <c:pt idx="8">
                  <c:v>8374</c:v>
                </c:pt>
                <c:pt idx="9">
                  <c:v>6508</c:v>
                </c:pt>
                <c:pt idx="10">
                  <c:v>6688</c:v>
                </c:pt>
                <c:pt idx="11">
                  <c:v>3127</c:v>
                </c:pt>
                <c:pt idx="12">
                  <c:v>4203</c:v>
                </c:pt>
                <c:pt idx="13">
                  <c:v>7310</c:v>
                </c:pt>
                <c:pt idx="14">
                  <c:v>9121</c:v>
                </c:pt>
                <c:pt idx="15">
                  <c:v>8169</c:v>
                </c:pt>
                <c:pt idx="16">
                  <c:v>8558</c:v>
                </c:pt>
                <c:pt idx="17">
                  <c:v>8711</c:v>
                </c:pt>
                <c:pt idx="18">
                  <c:v>3065</c:v>
                </c:pt>
                <c:pt idx="19">
                  <c:v>2722</c:v>
                </c:pt>
                <c:pt idx="20">
                  <c:v>6887</c:v>
                </c:pt>
                <c:pt idx="21">
                  <c:v>6945</c:v>
                </c:pt>
                <c:pt idx="22">
                  <c:v>7616</c:v>
                </c:pt>
                <c:pt idx="23">
                  <c:v>7693</c:v>
                </c:pt>
                <c:pt idx="24">
                  <c:v>6561</c:v>
                </c:pt>
                <c:pt idx="25">
                  <c:v>2727</c:v>
                </c:pt>
                <c:pt idx="26">
                  <c:v>2886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CBF-8F73-8D650B3F304A}"/>
            </c:ext>
          </c:extLst>
        </c:ser>
        <c:ser>
          <c:idx val="1"/>
          <c:order val="1"/>
          <c:tx>
            <c:strRef>
              <c:f>'Utility Analysis September 2026'!$E$7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6.4367816558007539E-3"/>
                  <c:y val="2.643070842493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86-4A57-B641-2BC2DD1EB91E}"/>
                </c:ext>
              </c:extLst>
            </c:dLbl>
            <c:dLbl>
              <c:idx val="8"/>
              <c:layout>
                <c:manualLayout>
                  <c:x val="-3.218390827900377E-3"/>
                  <c:y val="-2.477878914837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E6-4CBF-8F73-8D650B3F304A}"/>
                </c:ext>
              </c:extLst>
            </c:dLbl>
            <c:dLbl>
              <c:idx val="12"/>
              <c:layout>
                <c:manualLayout>
                  <c:x val="-4.5057471590606224E-3"/>
                  <c:y val="-3.303838553116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E6-4CBF-8F73-8D650B3F304A}"/>
                </c:ext>
              </c:extLst>
            </c:dLbl>
            <c:dLbl>
              <c:idx val="14"/>
              <c:layout>
                <c:manualLayout>
                  <c:x val="7.7241379869609052E-3"/>
                  <c:y val="-9.9115156593492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E6-4CBF-8F73-8D650B3F304A}"/>
                </c:ext>
              </c:extLst>
            </c:dLbl>
            <c:dLbl>
              <c:idx val="23"/>
              <c:layout>
                <c:manualLayout>
                  <c:x val="0"/>
                  <c:y val="-2.147495059525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E6-4CBF-8F73-8D650B3F304A}"/>
                </c:ext>
              </c:extLst>
            </c:dLbl>
            <c:dLbl>
              <c:idx val="25"/>
              <c:layout>
                <c:manualLayout>
                  <c:x val="-6.4367816558007543E-4"/>
                  <c:y val="-1.9823031318698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E6-4CBF-8F73-8D650B3F3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September 2026'!$E$10:$E$40</c:f>
              <c:numCache>
                <c:formatCode>#,##0</c:formatCode>
                <c:ptCount val="31"/>
                <c:pt idx="0">
                  <c:v>1374.6</c:v>
                </c:pt>
                <c:pt idx="1">
                  <c:v>1635.3</c:v>
                </c:pt>
                <c:pt idx="2">
                  <c:v>1611.6</c:v>
                </c:pt>
                <c:pt idx="3">
                  <c:v>1542</c:v>
                </c:pt>
                <c:pt idx="4">
                  <c:v>1552.4</c:v>
                </c:pt>
                <c:pt idx="5">
                  <c:v>1574.3</c:v>
                </c:pt>
                <c:pt idx="6">
                  <c:v>1506.9</c:v>
                </c:pt>
                <c:pt idx="7">
                  <c:v>1558.3</c:v>
                </c:pt>
                <c:pt idx="8">
                  <c:v>1042.7</c:v>
                </c:pt>
                <c:pt idx="9">
                  <c:v>539.6</c:v>
                </c:pt>
                <c:pt idx="10">
                  <c:v>1365.4</c:v>
                </c:pt>
                <c:pt idx="11">
                  <c:v>1012.4</c:v>
                </c:pt>
                <c:pt idx="12">
                  <c:v>439</c:v>
                </c:pt>
                <c:pt idx="13">
                  <c:v>1558.7</c:v>
                </c:pt>
                <c:pt idx="14">
                  <c:v>1590.2</c:v>
                </c:pt>
                <c:pt idx="15">
                  <c:v>1513.7</c:v>
                </c:pt>
                <c:pt idx="16">
                  <c:v>1552.2</c:v>
                </c:pt>
                <c:pt idx="17">
                  <c:v>1591.1</c:v>
                </c:pt>
                <c:pt idx="18">
                  <c:v>1558.2</c:v>
                </c:pt>
                <c:pt idx="19">
                  <c:v>1509.8</c:v>
                </c:pt>
                <c:pt idx="20">
                  <c:v>1626.6</c:v>
                </c:pt>
                <c:pt idx="21">
                  <c:v>1319.7</c:v>
                </c:pt>
                <c:pt idx="22">
                  <c:v>1428.5</c:v>
                </c:pt>
                <c:pt idx="23">
                  <c:v>720.2</c:v>
                </c:pt>
                <c:pt idx="24">
                  <c:v>1092.3</c:v>
                </c:pt>
                <c:pt idx="25">
                  <c:v>1559.8</c:v>
                </c:pt>
                <c:pt idx="26">
                  <c:v>801.9</c:v>
                </c:pt>
                <c:pt idx="27">
                  <c:v>1396.2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01231"/>
        <c:axId val="306063599"/>
      </c:areaChart>
      <c:lineChart>
        <c:grouping val="standard"/>
        <c:varyColors val="0"/>
        <c:ser>
          <c:idx val="2"/>
          <c:order val="2"/>
          <c:tx>
            <c:strRef>
              <c:f>'Utility Analysis September 2026'!$F$7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September 2026'!$F$10:$F$40</c:f>
              <c:numCache>
                <c:formatCode>0%</c:formatCode>
                <c:ptCount val="31"/>
                <c:pt idx="0">
                  <c:v>0.13596977130648094</c:v>
                </c:pt>
                <c:pt idx="1">
                  <c:v>0.16234004745217556</c:v>
                </c:pt>
                <c:pt idx="2">
                  <c:v>0.15638099673963668</c:v>
                </c:pt>
                <c:pt idx="3">
                  <c:v>0.21354383049439135</c:v>
                </c:pt>
                <c:pt idx="4">
                  <c:v>0.31441649451128129</c:v>
                </c:pt>
                <c:pt idx="5">
                  <c:v>0.36014457941573441</c:v>
                </c:pt>
                <c:pt idx="6">
                  <c:v>0.23020516659282914</c:v>
                </c:pt>
                <c:pt idx="7">
                  <c:v>0.1897519574297091</c:v>
                </c:pt>
                <c:pt idx="8">
                  <c:v>0.11072881157942803</c:v>
                </c:pt>
                <c:pt idx="9">
                  <c:v>7.6565071797491349E-2</c:v>
                </c:pt>
                <c:pt idx="10">
                  <c:v>0.16954329848262847</c:v>
                </c:pt>
                <c:pt idx="11">
                  <c:v>0.24457650867275452</c:v>
                </c:pt>
                <c:pt idx="12">
                  <c:v>9.4571305471779402E-2</c:v>
                </c:pt>
                <c:pt idx="13">
                  <c:v>0.17575292883962698</c:v>
                </c:pt>
                <c:pt idx="14">
                  <c:v>0.14846142355665098</c:v>
                </c:pt>
                <c:pt idx="15">
                  <c:v>0.15633036239891765</c:v>
                </c:pt>
                <c:pt idx="16">
                  <c:v>0.15352812011631817</c:v>
                </c:pt>
                <c:pt idx="17">
                  <c:v>0.15444423952398054</c:v>
                </c:pt>
                <c:pt idx="18">
                  <c:v>0.33703928015227552</c:v>
                </c:pt>
                <c:pt idx="19">
                  <c:v>0.35677489484380165</c:v>
                </c:pt>
                <c:pt idx="20">
                  <c:v>0.1910590114640105</c:v>
                </c:pt>
                <c:pt idx="21">
                  <c:v>0.15967911720933609</c:v>
                </c:pt>
                <c:pt idx="22">
                  <c:v>0.1579412902869147</c:v>
                </c:pt>
                <c:pt idx="23">
                  <c:v>8.5603575333998955E-2</c:v>
                </c:pt>
                <c:pt idx="24">
                  <c:v>0.14272274705029203</c:v>
                </c:pt>
                <c:pt idx="25">
                  <c:v>0.36386115517402257</c:v>
                </c:pt>
                <c:pt idx="26">
                  <c:v>0.21744081997884973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92863"/>
        <c:axId val="1623692383"/>
      </c:lineChart>
      <c:catAx>
        <c:axId val="28690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3599"/>
        <c:crosses val="autoZero"/>
        <c:auto val="1"/>
        <c:lblAlgn val="ctr"/>
        <c:lblOffset val="100"/>
        <c:noMultiLvlLbl val="0"/>
      </c:catAx>
      <c:valAx>
        <c:axId val="3060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1231"/>
        <c:crosses val="autoZero"/>
        <c:crossBetween val="midCat"/>
      </c:valAx>
      <c:valAx>
        <c:axId val="162369238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63"/>
        <c:crosses val="max"/>
        <c:crossBetween val="between"/>
      </c:valAx>
      <c:catAx>
        <c:axId val="1623692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369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40820</xdr:colOff>
      <xdr:row>44</xdr:row>
      <xdr:rowOff>54437</xdr:rowOff>
    </xdr:from>
    <xdr:to>
      <xdr:col>28</xdr:col>
      <xdr:colOff>54427</xdr:colOff>
      <xdr:row>91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CCDFF-ADF4-E0EE-1517-78B33290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colorId="22" zoomScale="115" zoomScaleNormal="115" zoomScaleSheetLayoutView="80" workbookViewId="0">
      <selection activeCell="B6" sqref="B6:AJ33"/>
    </sheetView>
  </sheetViews>
  <sheetFormatPr defaultColWidth="16.28515625" defaultRowHeight="15" x14ac:dyDescent="0.2"/>
  <cols>
    <col min="1" max="1" width="8.28515625" style="189" customWidth="1"/>
    <col min="2" max="2" width="25" style="189" customWidth="1"/>
    <col min="3" max="3" width="25" style="827" customWidth="1"/>
    <col min="4" max="4" width="18.7109375" style="189" customWidth="1"/>
    <col min="5" max="5" width="19.5703125" style="189" customWidth="1"/>
    <col min="6" max="6" width="17.42578125" style="189" customWidth="1"/>
    <col min="7" max="7" width="16.7109375" style="189" customWidth="1"/>
    <col min="8" max="8" width="13.140625" style="189" customWidth="1"/>
    <col min="9" max="9" width="17.140625" style="189" customWidth="1"/>
    <col min="10" max="10" width="15.42578125" style="189" customWidth="1"/>
    <col min="11" max="11" width="17.7109375" style="189" customWidth="1"/>
    <col min="12" max="12" width="22.7109375" style="189" customWidth="1"/>
    <col min="13" max="13" width="20.7109375" style="189" customWidth="1"/>
    <col min="14" max="14" width="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382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919" t="s">
        <v>209</v>
      </c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363"/>
      <c r="O1" s="920" t="str">
        <f>B1</f>
        <v>ENTRIES FOR DAILY CONS. MONITOR</v>
      </c>
      <c r="P1" s="920"/>
      <c r="Q1" s="920"/>
      <c r="R1" s="920"/>
      <c r="S1" s="920"/>
      <c r="T1" s="920"/>
      <c r="U1" s="920"/>
      <c r="V1" s="920"/>
      <c r="W1" s="920"/>
      <c r="X1" s="920"/>
      <c r="Y1" s="920"/>
      <c r="Z1" s="920"/>
      <c r="AA1" s="920"/>
      <c r="AB1" s="920"/>
    </row>
    <row r="2" spans="1:44" ht="16.5" thickBot="1" x14ac:dyDescent="0.25">
      <c r="C2" s="822"/>
      <c r="F2" s="364"/>
      <c r="G2" s="365"/>
      <c r="O2" s="927" t="s">
        <v>231</v>
      </c>
      <c r="P2" s="927"/>
      <c r="Q2" s="927"/>
      <c r="R2" s="927"/>
      <c r="S2" s="927"/>
      <c r="T2" s="927"/>
      <c r="U2" s="927"/>
      <c r="V2" s="927"/>
    </row>
    <row r="3" spans="1:44" ht="20.100000000000001" customHeight="1" x14ac:dyDescent="0.2">
      <c r="A3" s="366"/>
      <c r="B3" s="367"/>
      <c r="C3" s="823"/>
      <c r="D3" s="368" t="s">
        <v>4</v>
      </c>
      <c r="E3" s="368"/>
      <c r="F3" s="369"/>
      <c r="G3" s="369"/>
      <c r="H3" s="370"/>
      <c r="I3" s="367"/>
      <c r="J3" s="368" t="s">
        <v>22</v>
      </c>
      <c r="K3" s="369"/>
      <c r="L3" s="910" t="s">
        <v>53</v>
      </c>
      <c r="M3" s="911"/>
      <c r="N3" s="912"/>
      <c r="O3" s="921" t="s">
        <v>3</v>
      </c>
      <c r="P3" s="921"/>
      <c r="Q3" s="921"/>
      <c r="R3" s="921"/>
      <c r="S3" s="921"/>
      <c r="T3" s="921"/>
      <c r="U3" s="921"/>
      <c r="V3" s="921"/>
      <c r="W3" s="921"/>
      <c r="X3" s="921"/>
      <c r="Y3" s="921"/>
      <c r="Z3" s="921"/>
      <c r="AA3" s="921"/>
      <c r="AB3" s="921"/>
      <c r="AC3" s="921"/>
      <c r="AD3" s="372"/>
      <c r="AE3" s="373"/>
      <c r="AF3" s="372"/>
      <c r="AG3" s="905" t="s">
        <v>206</v>
      </c>
      <c r="AH3" s="903" t="s">
        <v>204</v>
      </c>
      <c r="AI3" s="903" t="s">
        <v>205</v>
      </c>
      <c r="AJ3" s="906" t="s">
        <v>233</v>
      </c>
      <c r="AK3" s="416"/>
      <c r="AL3" s="907" t="s">
        <v>178</v>
      </c>
      <c r="AM3" s="907"/>
      <c r="AN3" s="907"/>
      <c r="AO3" s="907"/>
    </row>
    <row r="4" spans="1:44" ht="32.25" customHeight="1" x14ac:dyDescent="0.2">
      <c r="A4" s="374"/>
      <c r="B4" s="371" t="s">
        <v>23</v>
      </c>
      <c r="C4" s="824" t="s">
        <v>299</v>
      </c>
      <c r="D4" s="372" t="s">
        <v>25</v>
      </c>
      <c r="E4" s="372" t="s">
        <v>26</v>
      </c>
      <c r="F4" s="372" t="s">
        <v>27</v>
      </c>
      <c r="G4" s="372" t="s">
        <v>24</v>
      </c>
      <c r="H4" s="375" t="s">
        <v>28</v>
      </c>
      <c r="I4" s="371" t="s">
        <v>29</v>
      </c>
      <c r="J4" s="372" t="s">
        <v>30</v>
      </c>
      <c r="K4" s="372" t="s">
        <v>31</v>
      </c>
      <c r="L4" s="928" t="s">
        <v>289</v>
      </c>
      <c r="M4" s="376" t="s">
        <v>260</v>
      </c>
      <c r="N4" s="913" t="s">
        <v>167</v>
      </c>
      <c r="O4" s="915" t="s">
        <v>100</v>
      </c>
      <c r="P4" s="915" t="s">
        <v>101</v>
      </c>
      <c r="Q4" s="915" t="s">
        <v>160</v>
      </c>
      <c r="R4" s="915" t="s">
        <v>171</v>
      </c>
      <c r="S4" s="915" t="s">
        <v>102</v>
      </c>
      <c r="T4" s="915" t="s">
        <v>172</v>
      </c>
      <c r="U4" s="915" t="s">
        <v>103</v>
      </c>
      <c r="V4" s="925" t="s">
        <v>236</v>
      </c>
      <c r="W4" s="915" t="s">
        <v>177</v>
      </c>
      <c r="X4" s="372" t="s">
        <v>96</v>
      </c>
      <c r="Y4" s="372" t="s">
        <v>97</v>
      </c>
      <c r="Z4" s="372" t="s">
        <v>98</v>
      </c>
      <c r="AA4" s="921" t="s">
        <v>68</v>
      </c>
      <c r="AB4" s="923" t="s">
        <v>69</v>
      </c>
      <c r="AC4" s="926" t="s">
        <v>151</v>
      </c>
      <c r="AD4" s="915" t="s">
        <v>154</v>
      </c>
      <c r="AE4" s="915" t="s">
        <v>155</v>
      </c>
      <c r="AF4" s="915" t="s">
        <v>159</v>
      </c>
      <c r="AG4" s="905"/>
      <c r="AH4" s="904"/>
      <c r="AI4" s="904"/>
      <c r="AJ4" s="906"/>
      <c r="AK4" s="416"/>
      <c r="AL4" s="378" t="s">
        <v>276</v>
      </c>
      <c r="AM4" s="378" t="s">
        <v>179</v>
      </c>
      <c r="AN4" s="378" t="s">
        <v>180</v>
      </c>
      <c r="AO4" s="378" t="s">
        <v>181</v>
      </c>
    </row>
    <row r="5" spans="1:44" ht="20.100000000000001" customHeight="1" thickBot="1" x14ac:dyDescent="0.25">
      <c r="A5" s="377" t="s">
        <v>7</v>
      </c>
      <c r="B5" s="371" t="s">
        <v>252</v>
      </c>
      <c r="C5" s="825" t="s">
        <v>252</v>
      </c>
      <c r="D5" s="372" t="s">
        <v>32</v>
      </c>
      <c r="E5" s="372" t="s">
        <v>33</v>
      </c>
      <c r="F5" s="372" t="s">
        <v>34</v>
      </c>
      <c r="G5" s="372" t="s">
        <v>34</v>
      </c>
      <c r="H5" s="375" t="s">
        <v>35</v>
      </c>
      <c r="I5" s="465" t="s">
        <v>36</v>
      </c>
      <c r="J5" s="466" t="s">
        <v>36</v>
      </c>
      <c r="K5" s="466" t="s">
        <v>36</v>
      </c>
      <c r="L5" s="929"/>
      <c r="M5" s="467" t="s">
        <v>261</v>
      </c>
      <c r="N5" s="914"/>
      <c r="O5" s="916"/>
      <c r="P5" s="915"/>
      <c r="Q5" s="915"/>
      <c r="R5" s="915"/>
      <c r="S5" s="916"/>
      <c r="T5" s="916"/>
      <c r="U5" s="916"/>
      <c r="V5" s="925"/>
      <c r="W5" s="917"/>
      <c r="X5" s="372" t="s">
        <v>104</v>
      </c>
      <c r="Y5" s="372" t="s">
        <v>104</v>
      </c>
      <c r="Z5" s="372" t="s">
        <v>104</v>
      </c>
      <c r="AA5" s="922"/>
      <c r="AB5" s="924"/>
      <c r="AC5" s="926"/>
      <c r="AD5" s="915"/>
      <c r="AE5" s="915"/>
      <c r="AF5" s="918"/>
      <c r="AG5" s="905"/>
      <c r="AH5" s="904"/>
      <c r="AI5" s="904"/>
      <c r="AJ5" s="906"/>
      <c r="AK5" s="416"/>
      <c r="AL5" s="378" t="s">
        <v>263</v>
      </c>
      <c r="AM5" s="378" t="s">
        <v>182</v>
      </c>
      <c r="AN5" s="378" t="s">
        <v>182</v>
      </c>
      <c r="AO5" s="378" t="s">
        <v>278</v>
      </c>
    </row>
    <row r="6" spans="1:44" ht="26.1" customHeight="1" x14ac:dyDescent="0.2">
      <c r="A6" s="378">
        <v>1</v>
      </c>
      <c r="B6" s="828">
        <v>8451450</v>
      </c>
      <c r="C6" s="829">
        <v>1598841.8</v>
      </c>
      <c r="D6" s="830"/>
      <c r="E6" s="830">
        <v>64</v>
      </c>
      <c r="F6" s="830">
        <v>10809.2</v>
      </c>
      <c r="G6" s="830">
        <v>68225</v>
      </c>
      <c r="H6" s="831"/>
      <c r="I6" s="832">
        <v>1690601</v>
      </c>
      <c r="J6" s="833"/>
      <c r="K6" s="831">
        <v>468000</v>
      </c>
      <c r="L6" s="830">
        <v>75099.649999999994</v>
      </c>
      <c r="M6" s="834">
        <v>591678.5</v>
      </c>
      <c r="N6" s="832">
        <v>80405.009999999995</v>
      </c>
      <c r="O6" s="835">
        <v>248483</v>
      </c>
      <c r="P6" s="836">
        <v>81270</v>
      </c>
      <c r="Q6" s="830">
        <v>984412</v>
      </c>
      <c r="R6" s="830"/>
      <c r="S6" s="830">
        <v>94074</v>
      </c>
      <c r="T6" s="830"/>
      <c r="U6" s="830">
        <v>472</v>
      </c>
      <c r="V6" s="837">
        <v>1361581</v>
      </c>
      <c r="W6" s="830"/>
      <c r="X6" s="838">
        <v>48114</v>
      </c>
      <c r="Y6" s="830">
        <v>68647</v>
      </c>
      <c r="Z6" s="830">
        <v>15262</v>
      </c>
      <c r="AA6" s="830">
        <v>97122</v>
      </c>
      <c r="AB6" s="830"/>
      <c r="AC6" s="830">
        <v>6383</v>
      </c>
      <c r="AD6" s="830">
        <v>263787</v>
      </c>
      <c r="AE6" s="830"/>
      <c r="AF6" s="832"/>
      <c r="AG6" s="830"/>
      <c r="AH6" s="830"/>
      <c r="AI6" s="839"/>
      <c r="AJ6" s="895">
        <v>7372523.6100000003</v>
      </c>
      <c r="AK6" s="442"/>
      <c r="AL6" s="462"/>
      <c r="AM6" s="463"/>
      <c r="AN6" s="462"/>
      <c r="AO6" s="462"/>
    </row>
    <row r="7" spans="1:44" ht="26.1" customHeight="1" x14ac:dyDescent="0.2">
      <c r="A7" s="378">
        <v>2</v>
      </c>
      <c r="B7" s="828">
        <v>8454730</v>
      </c>
      <c r="C7" s="898">
        <v>1601851.8</v>
      </c>
      <c r="D7" s="830"/>
      <c r="E7" s="830">
        <v>64</v>
      </c>
      <c r="F7" s="830">
        <v>10829.8</v>
      </c>
      <c r="G7" s="830">
        <v>68225</v>
      </c>
      <c r="H7" s="831"/>
      <c r="I7" s="832">
        <v>1699336</v>
      </c>
      <c r="J7" s="833"/>
      <c r="K7" s="831">
        <v>468000</v>
      </c>
      <c r="L7" s="830">
        <v>76062.98</v>
      </c>
      <c r="M7" s="834">
        <v>594407.13</v>
      </c>
      <c r="N7" s="832">
        <v>80699.27</v>
      </c>
      <c r="O7" s="835">
        <v>248725</v>
      </c>
      <c r="P7" s="836">
        <v>81511</v>
      </c>
      <c r="Q7" s="830">
        <v>984729</v>
      </c>
      <c r="R7" s="830"/>
      <c r="S7" s="840">
        <v>94206</v>
      </c>
      <c r="T7" s="830"/>
      <c r="U7" s="830">
        <v>475</v>
      </c>
      <c r="V7" s="837">
        <v>1361862</v>
      </c>
      <c r="W7" s="830"/>
      <c r="X7" s="838">
        <v>48193</v>
      </c>
      <c r="Y7" s="830">
        <v>68788</v>
      </c>
      <c r="Z7" s="830">
        <v>15285</v>
      </c>
      <c r="AA7" s="830">
        <v>97122</v>
      </c>
      <c r="AB7" s="830"/>
      <c r="AC7" s="830">
        <v>6405</v>
      </c>
      <c r="AD7" s="830">
        <v>263787</v>
      </c>
      <c r="AE7" s="830"/>
      <c r="AF7" s="832"/>
      <c r="AG7" s="830"/>
      <c r="AH7" s="830"/>
      <c r="AI7" s="839"/>
      <c r="AJ7" s="895">
        <v>7372523.6100000003</v>
      </c>
      <c r="AK7" s="443"/>
      <c r="AL7" s="459"/>
      <c r="AM7" s="458"/>
      <c r="AN7" s="458"/>
      <c r="AO7" s="458"/>
    </row>
    <row r="8" spans="1:44" ht="26.1" customHeight="1" x14ac:dyDescent="0.2">
      <c r="A8" s="378">
        <v>3</v>
      </c>
      <c r="B8" s="828">
        <v>8458270</v>
      </c>
      <c r="C8" s="829">
        <v>1605358.1</v>
      </c>
      <c r="D8" s="830"/>
      <c r="E8" s="830">
        <v>64</v>
      </c>
      <c r="F8" s="830">
        <v>10851.1</v>
      </c>
      <c r="G8" s="830">
        <v>68225</v>
      </c>
      <c r="H8" s="831"/>
      <c r="I8" s="832">
        <v>1707774</v>
      </c>
      <c r="J8" s="833"/>
      <c r="K8" s="831">
        <v>468000</v>
      </c>
      <c r="L8" s="830">
        <v>76830.149999999994</v>
      </c>
      <c r="M8" s="834">
        <v>597280.56000000006</v>
      </c>
      <c r="N8" s="832">
        <v>81006.42</v>
      </c>
      <c r="O8" s="835">
        <v>248957</v>
      </c>
      <c r="P8" s="836">
        <v>81781</v>
      </c>
      <c r="Q8" s="830">
        <v>984967</v>
      </c>
      <c r="R8" s="830"/>
      <c r="S8" s="830">
        <v>94386</v>
      </c>
      <c r="T8" s="830"/>
      <c r="U8" s="830">
        <v>476</v>
      </c>
      <c r="V8" s="837">
        <v>1362117</v>
      </c>
      <c r="W8" s="830"/>
      <c r="X8" s="838">
        <v>48232</v>
      </c>
      <c r="Y8" s="830">
        <v>68912</v>
      </c>
      <c r="Z8" s="830">
        <v>15304</v>
      </c>
      <c r="AA8" s="830">
        <v>97122</v>
      </c>
      <c r="AB8" s="830"/>
      <c r="AC8" s="830">
        <v>6430</v>
      </c>
      <c r="AD8" s="830">
        <v>263787</v>
      </c>
      <c r="AE8" s="830"/>
      <c r="AF8" s="832"/>
      <c r="AG8" s="830"/>
      <c r="AH8" s="830"/>
      <c r="AI8" s="839"/>
      <c r="AJ8" s="895">
        <v>7372523.6100000003</v>
      </c>
      <c r="AK8" s="443"/>
      <c r="AL8" s="459"/>
      <c r="AM8" s="458"/>
      <c r="AN8" s="458"/>
      <c r="AO8" s="458"/>
    </row>
    <row r="9" spans="1:44" ht="26.1" customHeight="1" x14ac:dyDescent="0.2">
      <c r="A9" s="378">
        <v>4</v>
      </c>
      <c r="B9" s="828">
        <v>8461730</v>
      </c>
      <c r="C9" s="829">
        <v>1608732.6</v>
      </c>
      <c r="D9" s="830"/>
      <c r="E9" s="830">
        <v>64</v>
      </c>
      <c r="F9" s="830">
        <v>10872.2</v>
      </c>
      <c r="G9" s="830">
        <v>68225</v>
      </c>
      <c r="H9" s="831"/>
      <c r="I9" s="832">
        <v>1716468</v>
      </c>
      <c r="J9" s="833"/>
      <c r="K9" s="831">
        <v>468000</v>
      </c>
      <c r="L9" s="830">
        <v>77107.94</v>
      </c>
      <c r="M9" s="834">
        <v>599486.5</v>
      </c>
      <c r="N9" s="832">
        <v>81273.88</v>
      </c>
      <c r="O9" s="835">
        <v>249127</v>
      </c>
      <c r="P9" s="836">
        <v>81969</v>
      </c>
      <c r="Q9" s="830">
        <v>985226</v>
      </c>
      <c r="R9" s="830"/>
      <c r="S9" s="830">
        <v>94521</v>
      </c>
      <c r="T9" s="830"/>
      <c r="U9" s="830">
        <v>479</v>
      </c>
      <c r="V9" s="837">
        <v>1362314</v>
      </c>
      <c r="W9" s="830"/>
      <c r="X9" s="838">
        <v>48287</v>
      </c>
      <c r="Y9" s="830">
        <v>69029</v>
      </c>
      <c r="Z9" s="830">
        <v>15325</v>
      </c>
      <c r="AA9" s="830">
        <v>97122</v>
      </c>
      <c r="AB9" s="830"/>
      <c r="AC9" s="830">
        <v>6452</v>
      </c>
      <c r="AD9" s="886">
        <v>263787</v>
      </c>
      <c r="AE9" s="830"/>
      <c r="AF9" s="832"/>
      <c r="AG9" s="830"/>
      <c r="AH9" s="830"/>
      <c r="AI9" s="830"/>
      <c r="AJ9" s="895">
        <v>7372523.6100000003</v>
      </c>
      <c r="AK9" s="442"/>
      <c r="AL9" s="460"/>
      <c r="AM9" s="458"/>
      <c r="AN9" s="458"/>
      <c r="AO9" s="387"/>
    </row>
    <row r="10" spans="1:44" ht="26.1" customHeight="1" x14ac:dyDescent="0.2">
      <c r="A10" s="378">
        <v>5</v>
      </c>
      <c r="B10" s="828">
        <v>8463770</v>
      </c>
      <c r="C10" s="829">
        <v>1610468.1</v>
      </c>
      <c r="D10" s="830"/>
      <c r="E10" s="830">
        <v>64</v>
      </c>
      <c r="F10" s="830">
        <v>10887.5</v>
      </c>
      <c r="G10" s="830">
        <v>68225</v>
      </c>
      <c r="H10" s="831"/>
      <c r="I10" s="832">
        <v>1722147</v>
      </c>
      <c r="J10" s="833"/>
      <c r="K10" s="831">
        <v>468000</v>
      </c>
      <c r="L10" s="830">
        <v>77240.23</v>
      </c>
      <c r="M10" s="834">
        <v>599800.17000000004</v>
      </c>
      <c r="N10" s="832">
        <v>81317.179999999993</v>
      </c>
      <c r="O10" s="835">
        <v>249488</v>
      </c>
      <c r="P10" s="836">
        <v>82064</v>
      </c>
      <c r="Q10" s="830">
        <v>985418</v>
      </c>
      <c r="R10" s="830"/>
      <c r="S10" s="830">
        <v>94668</v>
      </c>
      <c r="T10" s="830"/>
      <c r="U10" s="830">
        <v>480</v>
      </c>
      <c r="V10" s="837">
        <v>1362414</v>
      </c>
      <c r="W10" s="830"/>
      <c r="X10" s="838">
        <v>48374</v>
      </c>
      <c r="Y10" s="830">
        <v>69050</v>
      </c>
      <c r="Z10" s="830">
        <v>15337</v>
      </c>
      <c r="AA10" s="830">
        <v>97122</v>
      </c>
      <c r="AB10" s="830"/>
      <c r="AC10" s="830">
        <v>6460</v>
      </c>
      <c r="AD10" s="886">
        <v>263787</v>
      </c>
      <c r="AE10" s="830"/>
      <c r="AF10" s="832"/>
      <c r="AG10" s="830"/>
      <c r="AH10" s="830"/>
      <c r="AI10" s="830"/>
      <c r="AJ10" s="895">
        <v>7372523.6100000003</v>
      </c>
      <c r="AK10" s="442"/>
      <c r="AL10" s="460"/>
      <c r="AM10" s="458"/>
      <c r="AN10" s="458"/>
      <c r="AO10" s="387"/>
    </row>
    <row r="11" spans="1:44" ht="25.15" customHeight="1" x14ac:dyDescent="0.2">
      <c r="A11" s="378">
        <v>6</v>
      </c>
      <c r="B11" s="828">
        <v>8463770</v>
      </c>
      <c r="C11" s="829">
        <v>1610468.1</v>
      </c>
      <c r="D11" s="830"/>
      <c r="E11" s="830">
        <v>64</v>
      </c>
      <c r="F11" s="830">
        <v>10887.5</v>
      </c>
      <c r="G11" s="830">
        <v>68225</v>
      </c>
      <c r="H11" s="831"/>
      <c r="I11" s="832">
        <v>1725532</v>
      </c>
      <c r="J11" s="833"/>
      <c r="K11" s="831">
        <v>468000</v>
      </c>
      <c r="L11" s="830">
        <v>77240.23</v>
      </c>
      <c r="M11" s="834">
        <v>599800.17000000004</v>
      </c>
      <c r="N11" s="832">
        <v>81317.179999999993</v>
      </c>
      <c r="O11" s="835">
        <v>249488</v>
      </c>
      <c r="P11" s="836">
        <v>82064</v>
      </c>
      <c r="Q11" s="830">
        <v>985418</v>
      </c>
      <c r="R11" s="830"/>
      <c r="S11" s="830">
        <v>94668</v>
      </c>
      <c r="T11" s="830"/>
      <c r="U11" s="830">
        <v>480</v>
      </c>
      <c r="V11" s="837">
        <v>1362414</v>
      </c>
      <c r="W11" s="830"/>
      <c r="X11" s="838">
        <v>48374</v>
      </c>
      <c r="Y11" s="830">
        <v>69050</v>
      </c>
      <c r="Z11" s="830">
        <v>15337</v>
      </c>
      <c r="AA11" s="830">
        <v>97122</v>
      </c>
      <c r="AB11" s="830"/>
      <c r="AC11" s="830">
        <v>6460</v>
      </c>
      <c r="AD11" s="886">
        <v>263787</v>
      </c>
      <c r="AE11" s="830"/>
      <c r="AF11" s="832"/>
      <c r="AG11" s="830"/>
      <c r="AH11" s="830"/>
      <c r="AI11" s="830"/>
      <c r="AJ11" s="895">
        <v>7372523.6100000003</v>
      </c>
      <c r="AK11" s="442"/>
      <c r="AL11" s="460"/>
      <c r="AM11" s="458"/>
      <c r="AN11" s="458"/>
      <c r="AO11" s="387"/>
    </row>
    <row r="12" spans="1:44" ht="26.25" customHeight="1" x14ac:dyDescent="0.2">
      <c r="A12" s="378">
        <v>7</v>
      </c>
      <c r="B12" s="828">
        <v>8463770</v>
      </c>
      <c r="C12" s="829">
        <v>1610468.1</v>
      </c>
      <c r="D12" s="830"/>
      <c r="E12" s="830">
        <v>64</v>
      </c>
      <c r="F12" s="830">
        <v>10887.5</v>
      </c>
      <c r="G12" s="830">
        <v>68225</v>
      </c>
      <c r="H12" s="831"/>
      <c r="I12" s="832">
        <v>1728329</v>
      </c>
      <c r="J12" s="833"/>
      <c r="K12" s="831">
        <v>468000</v>
      </c>
      <c r="L12" s="830">
        <v>77240.23</v>
      </c>
      <c r="M12" s="834">
        <v>599800.17000000004</v>
      </c>
      <c r="N12" s="832">
        <v>81317.179999999993</v>
      </c>
      <c r="O12" s="835">
        <v>249488</v>
      </c>
      <c r="P12" s="836">
        <v>82064</v>
      </c>
      <c r="Q12" s="830">
        <v>985454</v>
      </c>
      <c r="R12" s="830"/>
      <c r="S12" s="830">
        <v>94668</v>
      </c>
      <c r="T12" s="830"/>
      <c r="U12" s="830">
        <v>480</v>
      </c>
      <c r="V12" s="837">
        <v>1362414</v>
      </c>
      <c r="W12" s="830"/>
      <c r="X12" s="838">
        <v>48374</v>
      </c>
      <c r="Y12" s="830">
        <v>69050</v>
      </c>
      <c r="Z12" s="830">
        <v>15337</v>
      </c>
      <c r="AA12" s="830">
        <v>97122</v>
      </c>
      <c r="AB12" s="830"/>
      <c r="AC12" s="830">
        <v>6460</v>
      </c>
      <c r="AD12" s="886">
        <v>263787</v>
      </c>
      <c r="AE12" s="830"/>
      <c r="AF12" s="832"/>
      <c r="AG12" s="830"/>
      <c r="AH12" s="830"/>
      <c r="AI12" s="830"/>
      <c r="AJ12" s="895">
        <v>7372523.6100000003</v>
      </c>
      <c r="AK12" s="442"/>
      <c r="AL12" s="460"/>
      <c r="AM12" s="458"/>
      <c r="AN12" s="458"/>
      <c r="AO12" s="387"/>
    </row>
    <row r="13" spans="1:44" ht="27" customHeight="1" x14ac:dyDescent="0.2">
      <c r="A13" s="378">
        <v>8</v>
      </c>
      <c r="B13" s="828">
        <v>8466080</v>
      </c>
      <c r="C13" s="829">
        <v>1612773</v>
      </c>
      <c r="D13" s="830"/>
      <c r="E13" s="830">
        <v>64</v>
      </c>
      <c r="F13" s="830">
        <v>10906</v>
      </c>
      <c r="G13" s="830">
        <v>68225</v>
      </c>
      <c r="H13" s="831"/>
      <c r="I13" s="832">
        <v>1733368</v>
      </c>
      <c r="J13" s="833"/>
      <c r="K13" s="831">
        <v>468000</v>
      </c>
      <c r="L13" s="830">
        <v>77353.86</v>
      </c>
      <c r="M13" s="834">
        <v>600252.75</v>
      </c>
      <c r="N13" s="832">
        <v>81317.179999999993</v>
      </c>
      <c r="O13" s="835">
        <v>249557</v>
      </c>
      <c r="P13" s="836">
        <v>82219</v>
      </c>
      <c r="Q13" s="830">
        <v>985580</v>
      </c>
      <c r="R13" s="830"/>
      <c r="S13" s="830">
        <v>94853</v>
      </c>
      <c r="T13" s="830"/>
      <c r="U13" s="830">
        <v>480</v>
      </c>
      <c r="V13" s="837">
        <v>1362577</v>
      </c>
      <c r="W13" s="830"/>
      <c r="X13" s="838">
        <v>48424</v>
      </c>
      <c r="Y13" s="830">
        <v>69080</v>
      </c>
      <c r="Z13" s="830">
        <v>15353</v>
      </c>
      <c r="AA13" s="830">
        <v>97122</v>
      </c>
      <c r="AB13" s="830"/>
      <c r="AC13" s="830">
        <v>6461</v>
      </c>
      <c r="AD13" s="830">
        <v>263787</v>
      </c>
      <c r="AE13" s="830"/>
      <c r="AF13" s="832"/>
      <c r="AG13" s="830"/>
      <c r="AH13" s="830"/>
      <c r="AI13" s="830"/>
      <c r="AJ13" s="895">
        <v>7372560.3459999999</v>
      </c>
      <c r="AK13" s="192"/>
      <c r="AL13" s="460"/>
      <c r="AM13" s="458"/>
      <c r="AN13" s="458"/>
      <c r="AO13" s="387"/>
    </row>
    <row r="14" spans="1:44" s="379" customFormat="1" ht="26.1" customHeight="1" x14ac:dyDescent="0.2">
      <c r="A14" s="378">
        <v>9</v>
      </c>
      <c r="B14" s="828">
        <v>8469430</v>
      </c>
      <c r="C14" s="829">
        <v>1615652.8</v>
      </c>
      <c r="D14" s="830"/>
      <c r="E14" s="830">
        <v>64</v>
      </c>
      <c r="F14" s="830">
        <v>10926.8</v>
      </c>
      <c r="G14" s="830">
        <v>68225</v>
      </c>
      <c r="H14" s="831"/>
      <c r="I14" s="832">
        <v>1740022</v>
      </c>
      <c r="J14" s="833"/>
      <c r="K14" s="831">
        <v>468000</v>
      </c>
      <c r="L14" s="830">
        <v>77579.320000000007</v>
      </c>
      <c r="M14" s="834">
        <v>601691.56000000006</v>
      </c>
      <c r="N14" s="832">
        <v>81459.570000000007</v>
      </c>
      <c r="O14" s="835">
        <v>249784</v>
      </c>
      <c r="P14" s="836">
        <v>82357</v>
      </c>
      <c r="Q14" s="830">
        <v>985799</v>
      </c>
      <c r="R14" s="830"/>
      <c r="S14" s="830">
        <v>94968</v>
      </c>
      <c r="T14" s="830"/>
      <c r="U14" s="830">
        <v>498</v>
      </c>
      <c r="V14" s="837">
        <v>1362721</v>
      </c>
      <c r="W14" s="830"/>
      <c r="X14" s="838">
        <v>48451</v>
      </c>
      <c r="Y14" s="830">
        <v>69164</v>
      </c>
      <c r="Z14" s="830">
        <v>15386</v>
      </c>
      <c r="AA14" s="830">
        <v>97122</v>
      </c>
      <c r="AB14" s="830"/>
      <c r="AC14" s="830">
        <v>6476</v>
      </c>
      <c r="AD14" s="830">
        <v>263787</v>
      </c>
      <c r="AE14" s="830"/>
      <c r="AF14" s="832"/>
      <c r="AG14" s="830"/>
      <c r="AH14" s="830"/>
      <c r="AI14" s="830"/>
      <c r="AJ14" s="895">
        <v>7372742.3200000003</v>
      </c>
      <c r="AK14" s="192"/>
      <c r="AL14" s="460"/>
      <c r="AM14" s="458"/>
      <c r="AN14" s="458"/>
      <c r="AO14" s="387"/>
      <c r="AP14" s="189"/>
      <c r="AQ14" s="189"/>
      <c r="AR14" s="189"/>
    </row>
    <row r="15" spans="1:44" ht="26.1" customHeight="1" x14ac:dyDescent="0.2">
      <c r="A15" s="378">
        <v>10</v>
      </c>
      <c r="B15" s="828">
        <v>8473280</v>
      </c>
      <c r="C15" s="829">
        <v>1619466.3</v>
      </c>
      <c r="D15" s="830"/>
      <c r="E15" s="830">
        <v>64</v>
      </c>
      <c r="F15" s="830">
        <v>10947.3</v>
      </c>
      <c r="G15" s="830">
        <v>68225</v>
      </c>
      <c r="H15" s="831"/>
      <c r="I15" s="890">
        <v>1748396</v>
      </c>
      <c r="J15" s="891"/>
      <c r="K15" s="831">
        <v>468000</v>
      </c>
      <c r="L15" s="830">
        <v>78014.52</v>
      </c>
      <c r="M15" s="834">
        <v>603510.36</v>
      </c>
      <c r="N15" s="832">
        <v>81682.48</v>
      </c>
      <c r="O15" s="835">
        <v>250033</v>
      </c>
      <c r="P15" s="836">
        <v>82595</v>
      </c>
      <c r="Q15" s="830">
        <v>986009</v>
      </c>
      <c r="R15" s="830"/>
      <c r="S15" s="830">
        <v>95164</v>
      </c>
      <c r="T15" s="830"/>
      <c r="U15" s="830">
        <v>500</v>
      </c>
      <c r="V15" s="837">
        <v>1362952</v>
      </c>
      <c r="W15" s="830"/>
      <c r="X15" s="838">
        <v>48487</v>
      </c>
      <c r="Y15" s="830">
        <v>69265</v>
      </c>
      <c r="Z15" s="830">
        <v>15413</v>
      </c>
      <c r="AA15" s="830">
        <v>97122</v>
      </c>
      <c r="AB15" s="830"/>
      <c r="AC15" s="830">
        <v>6492</v>
      </c>
      <c r="AD15" s="830">
        <v>263787</v>
      </c>
      <c r="AE15" s="830"/>
      <c r="AF15" s="832"/>
      <c r="AG15" s="830"/>
      <c r="AH15" s="830"/>
      <c r="AI15" s="830"/>
      <c r="AJ15" s="895">
        <v>7372742.3200000003</v>
      </c>
      <c r="AK15" s="192"/>
      <c r="AL15" s="460"/>
      <c r="AM15" s="387"/>
      <c r="AN15" s="387"/>
      <c r="AO15" s="387"/>
    </row>
    <row r="16" spans="1:44" ht="26.1" customHeight="1" x14ac:dyDescent="0.2">
      <c r="A16" s="378">
        <v>11</v>
      </c>
      <c r="B16" s="828">
        <v>8476240</v>
      </c>
      <c r="C16" s="829">
        <v>1622183.7</v>
      </c>
      <c r="D16" s="830"/>
      <c r="E16" s="830">
        <v>64</v>
      </c>
      <c r="F16" s="830">
        <v>10969.9</v>
      </c>
      <c r="G16" s="830">
        <v>68225</v>
      </c>
      <c r="H16" s="831"/>
      <c r="I16" s="832">
        <v>1754904</v>
      </c>
      <c r="J16" s="891"/>
      <c r="K16" s="831">
        <v>468000</v>
      </c>
      <c r="L16" s="830">
        <v>78552.14</v>
      </c>
      <c r="M16" s="834">
        <v>605507.13</v>
      </c>
      <c r="N16" s="832">
        <v>81901.91</v>
      </c>
      <c r="O16" s="835">
        <v>250114</v>
      </c>
      <c r="P16" s="836">
        <v>82855</v>
      </c>
      <c r="Q16" s="830">
        <v>986195</v>
      </c>
      <c r="R16" s="830"/>
      <c r="S16" s="830">
        <v>95268</v>
      </c>
      <c r="T16" s="830"/>
      <c r="U16" s="830">
        <v>506</v>
      </c>
      <c r="V16" s="837">
        <v>1363258</v>
      </c>
      <c r="W16" s="830"/>
      <c r="X16" s="838">
        <v>48504</v>
      </c>
      <c r="Y16" s="830">
        <v>69356</v>
      </c>
      <c r="Z16" s="830">
        <v>15431</v>
      </c>
      <c r="AA16" s="830">
        <v>97122</v>
      </c>
      <c r="AB16" s="830"/>
      <c r="AC16" s="830">
        <v>6508</v>
      </c>
      <c r="AD16" s="830">
        <v>263787</v>
      </c>
      <c r="AE16" s="830"/>
      <c r="AF16" s="832"/>
      <c r="AG16" s="830"/>
      <c r="AH16" s="830"/>
      <c r="AI16" s="830"/>
      <c r="AJ16" s="895">
        <v>7372742.3200000003</v>
      </c>
      <c r="AK16" s="192"/>
      <c r="AL16" s="460"/>
      <c r="AM16" s="387"/>
      <c r="AN16" s="387"/>
      <c r="AO16" s="387"/>
    </row>
    <row r="17" spans="1:41" ht="26.1" customHeight="1" x14ac:dyDescent="0.2">
      <c r="A17" s="378">
        <v>12</v>
      </c>
      <c r="B17" s="828">
        <v>8479070</v>
      </c>
      <c r="C17" s="829">
        <v>1624864.1</v>
      </c>
      <c r="D17" s="830"/>
      <c r="E17" s="830">
        <v>64</v>
      </c>
      <c r="F17" s="830">
        <v>10988</v>
      </c>
      <c r="G17" s="830">
        <v>68225</v>
      </c>
      <c r="H17" s="831"/>
      <c r="I17" s="832">
        <v>1761592</v>
      </c>
      <c r="J17" s="891"/>
      <c r="K17" s="831">
        <v>468000</v>
      </c>
      <c r="L17" s="830">
        <v>79300.41</v>
      </c>
      <c r="M17" s="834">
        <v>607085.1</v>
      </c>
      <c r="N17" s="832">
        <v>82065.23</v>
      </c>
      <c r="O17" s="835">
        <v>250167</v>
      </c>
      <c r="P17" s="836">
        <v>83104</v>
      </c>
      <c r="Q17" s="830">
        <v>986368</v>
      </c>
      <c r="R17" s="830"/>
      <c r="S17" s="830">
        <v>95409</v>
      </c>
      <c r="T17" s="830"/>
      <c r="U17" s="830">
        <v>508</v>
      </c>
      <c r="V17" s="837">
        <v>1363506</v>
      </c>
      <c r="W17" s="830"/>
      <c r="X17" s="838">
        <v>48533</v>
      </c>
      <c r="Y17" s="830">
        <v>69425</v>
      </c>
      <c r="Z17" s="830">
        <v>15448</v>
      </c>
      <c r="AA17" s="830">
        <v>97122</v>
      </c>
      <c r="AB17" s="830"/>
      <c r="AC17" s="830">
        <v>6521</v>
      </c>
      <c r="AD17" s="830">
        <v>263787</v>
      </c>
      <c r="AE17" s="830"/>
      <c r="AF17" s="832"/>
      <c r="AG17" s="830"/>
      <c r="AH17" s="830"/>
      <c r="AI17" s="830"/>
      <c r="AJ17" s="895">
        <v>7372742.3200000003</v>
      </c>
      <c r="AK17" s="192"/>
      <c r="AL17" s="460"/>
      <c r="AM17" s="387"/>
      <c r="AN17" s="387"/>
      <c r="AO17" s="387"/>
    </row>
    <row r="18" spans="1:41" ht="26.1" customHeight="1" x14ac:dyDescent="0.2">
      <c r="A18" s="378">
        <v>13</v>
      </c>
      <c r="B18" s="828">
        <v>8479300</v>
      </c>
      <c r="C18" s="829">
        <v>1625087.8</v>
      </c>
      <c r="D18" s="830"/>
      <c r="E18" s="830">
        <v>64</v>
      </c>
      <c r="F18" s="830">
        <v>10989.5</v>
      </c>
      <c r="G18" s="830">
        <v>68225</v>
      </c>
      <c r="H18" s="831"/>
      <c r="I18" s="832">
        <v>1764719</v>
      </c>
      <c r="J18" s="891"/>
      <c r="K18" s="831">
        <v>468000</v>
      </c>
      <c r="L18" s="830">
        <v>79301.08</v>
      </c>
      <c r="M18" s="834">
        <v>607087.56000000006</v>
      </c>
      <c r="N18" s="832">
        <v>82065.23</v>
      </c>
      <c r="O18" s="835">
        <v>250208</v>
      </c>
      <c r="P18" s="836">
        <v>83229</v>
      </c>
      <c r="Q18" s="830">
        <v>986449</v>
      </c>
      <c r="R18" s="830"/>
      <c r="S18" s="830">
        <v>95409</v>
      </c>
      <c r="T18" s="830"/>
      <c r="U18" s="830">
        <v>508</v>
      </c>
      <c r="V18" s="837">
        <v>1363637</v>
      </c>
      <c r="W18" s="830"/>
      <c r="X18" s="838">
        <v>48533</v>
      </c>
      <c r="Y18" s="830">
        <v>69456</v>
      </c>
      <c r="Z18" s="830">
        <v>15451</v>
      </c>
      <c r="AA18" s="830">
        <v>97122</v>
      </c>
      <c r="AB18" s="830"/>
      <c r="AC18" s="830">
        <v>6523</v>
      </c>
      <c r="AD18" s="830">
        <v>263787</v>
      </c>
      <c r="AE18" s="830"/>
      <c r="AF18" s="832"/>
      <c r="AG18" s="830"/>
      <c r="AH18" s="830"/>
      <c r="AI18" s="830"/>
      <c r="AJ18" s="895">
        <v>7372742.3200000003</v>
      </c>
      <c r="AK18" s="192"/>
      <c r="AL18" s="460"/>
      <c r="AM18" s="387"/>
      <c r="AN18" s="387"/>
      <c r="AO18" s="387"/>
    </row>
    <row r="19" spans="1:41" ht="26.1" customHeight="1" x14ac:dyDescent="0.2">
      <c r="A19" s="378">
        <v>14</v>
      </c>
      <c r="B19" s="828">
        <v>8480150</v>
      </c>
      <c r="C19" s="829">
        <v>1625897.2</v>
      </c>
      <c r="D19" s="830"/>
      <c r="E19" s="830">
        <v>64</v>
      </c>
      <c r="F19" s="830">
        <v>10994.8</v>
      </c>
      <c r="G19" s="830">
        <v>68225</v>
      </c>
      <c r="H19" s="831"/>
      <c r="I19" s="832">
        <v>1768922</v>
      </c>
      <c r="J19" s="891"/>
      <c r="K19" s="831">
        <v>468000</v>
      </c>
      <c r="L19" s="830">
        <v>79301.08</v>
      </c>
      <c r="M19" s="834">
        <v>607087.56000000006</v>
      </c>
      <c r="N19" s="832">
        <v>82065.23</v>
      </c>
      <c r="O19" s="835">
        <v>250208</v>
      </c>
      <c r="P19" s="836">
        <v>83229</v>
      </c>
      <c r="Q19" s="830">
        <v>986449</v>
      </c>
      <c r="R19" s="830"/>
      <c r="S19" s="830">
        <v>95409</v>
      </c>
      <c r="T19" s="830"/>
      <c r="U19" s="830">
        <v>508</v>
      </c>
      <c r="V19" s="837">
        <v>1363637</v>
      </c>
      <c r="W19" s="830"/>
      <c r="X19" s="838">
        <v>48533</v>
      </c>
      <c r="Y19" s="830">
        <v>69456</v>
      </c>
      <c r="Z19" s="830">
        <v>15453</v>
      </c>
      <c r="AA19" s="830">
        <v>97122</v>
      </c>
      <c r="AB19" s="830"/>
      <c r="AC19" s="830">
        <v>6523</v>
      </c>
      <c r="AD19" s="830">
        <v>263787</v>
      </c>
      <c r="AE19" s="830"/>
      <c r="AF19" s="832"/>
      <c r="AG19" s="830"/>
      <c r="AH19" s="830"/>
      <c r="AI19" s="830"/>
      <c r="AJ19" s="895">
        <v>7372742.3200000003</v>
      </c>
      <c r="AK19" s="192"/>
      <c r="AL19" s="387"/>
      <c r="AM19" s="387"/>
      <c r="AN19" s="387"/>
      <c r="AO19" s="387"/>
    </row>
    <row r="20" spans="1:41" ht="26.1" customHeight="1" x14ac:dyDescent="0.2">
      <c r="A20" s="378">
        <v>15</v>
      </c>
      <c r="B20" s="828">
        <v>8483580</v>
      </c>
      <c r="C20" s="829">
        <v>1629276.6</v>
      </c>
      <c r="D20" s="830"/>
      <c r="E20" s="830">
        <v>64</v>
      </c>
      <c r="F20" s="830">
        <v>11016.4</v>
      </c>
      <c r="G20" s="830">
        <v>68225</v>
      </c>
      <c r="H20" s="831"/>
      <c r="I20" s="832">
        <v>1776232</v>
      </c>
      <c r="J20" s="891"/>
      <c r="K20" s="831">
        <v>468000</v>
      </c>
      <c r="L20" s="830">
        <v>79950.45</v>
      </c>
      <c r="M20" s="834">
        <v>609176.25</v>
      </c>
      <c r="N20" s="832">
        <v>82336.77</v>
      </c>
      <c r="O20" s="835">
        <v>250462</v>
      </c>
      <c r="P20" s="836">
        <v>83361</v>
      </c>
      <c r="Q20" s="830">
        <v>986776</v>
      </c>
      <c r="R20" s="830"/>
      <c r="S20" s="830">
        <v>95496</v>
      </c>
      <c r="T20" s="830"/>
      <c r="U20" s="830">
        <v>513</v>
      </c>
      <c r="V20" s="837">
        <v>1363776</v>
      </c>
      <c r="W20" s="830"/>
      <c r="X20" s="838">
        <v>48614</v>
      </c>
      <c r="Y20" s="830">
        <v>69604</v>
      </c>
      <c r="Z20" s="830">
        <v>15472</v>
      </c>
      <c r="AA20" s="830">
        <v>97122</v>
      </c>
      <c r="AB20" s="830"/>
      <c r="AC20" s="830">
        <v>6547</v>
      </c>
      <c r="AD20" s="830">
        <v>263787</v>
      </c>
      <c r="AE20" s="830"/>
      <c r="AF20" s="832"/>
      <c r="AG20" s="830"/>
      <c r="AH20" s="830"/>
      <c r="AI20" s="830"/>
      <c r="AJ20" s="895">
        <v>7378016.1900000004</v>
      </c>
      <c r="AK20" s="192"/>
      <c r="AL20" s="387"/>
      <c r="AM20" s="387"/>
      <c r="AN20" s="387"/>
      <c r="AO20" s="387"/>
    </row>
    <row r="21" spans="1:41" ht="26.1" customHeight="1" x14ac:dyDescent="0.2">
      <c r="A21" s="378">
        <v>16</v>
      </c>
      <c r="B21" s="828">
        <v>8487220</v>
      </c>
      <c r="C21" s="829">
        <v>1632645.4</v>
      </c>
      <c r="D21" s="830"/>
      <c r="E21" s="830">
        <v>64</v>
      </c>
      <c r="F21" s="830">
        <v>11038.6</v>
      </c>
      <c r="G21" s="830">
        <v>68225</v>
      </c>
      <c r="H21" s="831"/>
      <c r="I21" s="832">
        <v>1785353</v>
      </c>
      <c r="J21" s="891"/>
      <c r="K21" s="831">
        <v>468000</v>
      </c>
      <c r="L21" s="830">
        <v>80823.710000000006</v>
      </c>
      <c r="M21" s="834">
        <v>612990.43999999994</v>
      </c>
      <c r="N21" s="832">
        <v>82706.570000000007</v>
      </c>
      <c r="O21" s="835">
        <v>250793</v>
      </c>
      <c r="P21" s="836">
        <v>83499</v>
      </c>
      <c r="Q21" s="830">
        <v>987046</v>
      </c>
      <c r="R21" s="830"/>
      <c r="S21" s="830">
        <v>95643</v>
      </c>
      <c r="T21" s="830"/>
      <c r="U21" s="830">
        <v>521</v>
      </c>
      <c r="V21" s="837">
        <v>1363921</v>
      </c>
      <c r="W21" s="830"/>
      <c r="X21" s="838">
        <v>48645</v>
      </c>
      <c r="Y21" s="830">
        <v>69730</v>
      </c>
      <c r="Z21" s="830">
        <v>15497</v>
      </c>
      <c r="AA21" s="830">
        <v>97122</v>
      </c>
      <c r="AB21" s="830"/>
      <c r="AC21" s="830">
        <v>6576</v>
      </c>
      <c r="AD21" s="830">
        <v>263787</v>
      </c>
      <c r="AE21" s="830"/>
      <c r="AF21" s="832"/>
      <c r="AG21" s="830"/>
      <c r="AH21" s="830"/>
      <c r="AI21" s="830"/>
      <c r="AJ21" s="895">
        <v>7379903.3509999998</v>
      </c>
      <c r="AK21" s="192"/>
      <c r="AL21" s="387"/>
      <c r="AM21" s="387"/>
      <c r="AN21" s="387"/>
      <c r="AO21" s="387"/>
    </row>
    <row r="22" spans="1:41" ht="26.1" customHeight="1" x14ac:dyDescent="0.2">
      <c r="A22" s="378">
        <v>17</v>
      </c>
      <c r="B22" s="828">
        <v>8490270</v>
      </c>
      <c r="C22" s="829">
        <v>1635362.8</v>
      </c>
      <c r="D22" s="830"/>
      <c r="E22" s="830">
        <v>64</v>
      </c>
      <c r="F22" s="830">
        <v>11059.1</v>
      </c>
      <c r="G22" s="830">
        <v>68225</v>
      </c>
      <c r="H22" s="831"/>
      <c r="I22" s="832">
        <v>1793522</v>
      </c>
      <c r="J22" s="891"/>
      <c r="K22" s="831">
        <v>468000</v>
      </c>
      <c r="L22" s="830">
        <v>81502.09</v>
      </c>
      <c r="M22" s="834">
        <v>614650.38</v>
      </c>
      <c r="N22" s="832">
        <v>82845.850000000006</v>
      </c>
      <c r="O22" s="835">
        <v>251175</v>
      </c>
      <c r="P22" s="836">
        <v>83676</v>
      </c>
      <c r="Q22" s="830">
        <v>987258</v>
      </c>
      <c r="R22" s="830"/>
      <c r="S22" s="830">
        <v>95824</v>
      </c>
      <c r="T22" s="830"/>
      <c r="U22" s="830">
        <v>522</v>
      </c>
      <c r="V22" s="837">
        <v>1364087</v>
      </c>
      <c r="W22" s="830"/>
      <c r="X22" s="838">
        <v>48678</v>
      </c>
      <c r="Y22" s="830">
        <v>69815</v>
      </c>
      <c r="Z22" s="830">
        <v>15517</v>
      </c>
      <c r="AA22" s="830">
        <v>97122</v>
      </c>
      <c r="AB22" s="830"/>
      <c r="AC22" s="830">
        <v>6588</v>
      </c>
      <c r="AD22" s="830">
        <v>263787</v>
      </c>
      <c r="AE22" s="830"/>
      <c r="AF22" s="832"/>
      <c r="AG22" s="830"/>
      <c r="AH22" s="830"/>
      <c r="AI22" s="830"/>
      <c r="AJ22" s="895">
        <v>7381113.5489999996</v>
      </c>
      <c r="AK22" s="192"/>
      <c r="AL22" s="387"/>
      <c r="AM22" s="387"/>
      <c r="AN22" s="387"/>
      <c r="AO22" s="387"/>
    </row>
    <row r="23" spans="1:41" ht="26.1" customHeight="1" x14ac:dyDescent="0.2">
      <c r="A23" s="378">
        <v>18</v>
      </c>
      <c r="B23" s="828">
        <v>8493770</v>
      </c>
      <c r="C23" s="829">
        <v>1638677.5</v>
      </c>
      <c r="D23" s="830"/>
      <c r="E23" s="830">
        <v>64</v>
      </c>
      <c r="F23" s="830">
        <v>11080.8</v>
      </c>
      <c r="G23" s="830">
        <v>68225</v>
      </c>
      <c r="H23" s="831"/>
      <c r="I23" s="832">
        <v>1802080</v>
      </c>
      <c r="J23" s="891"/>
      <c r="K23" s="831">
        <v>468000</v>
      </c>
      <c r="L23" s="830">
        <v>82548.679999999993</v>
      </c>
      <c r="M23" s="834">
        <v>617043.75</v>
      </c>
      <c r="N23" s="832">
        <v>83026</v>
      </c>
      <c r="O23" s="835">
        <v>251313</v>
      </c>
      <c r="P23" s="836">
        <v>83970</v>
      </c>
      <c r="Q23" s="830">
        <v>987498</v>
      </c>
      <c r="R23" s="830"/>
      <c r="S23" s="830">
        <v>95972</v>
      </c>
      <c r="T23" s="830"/>
      <c r="U23" s="830">
        <v>525</v>
      </c>
      <c r="V23" s="837">
        <v>1364388</v>
      </c>
      <c r="W23" s="830"/>
      <c r="X23" s="838">
        <v>48736</v>
      </c>
      <c r="Y23" s="830">
        <v>69919</v>
      </c>
      <c r="Z23" s="830">
        <v>15537</v>
      </c>
      <c r="AA23" s="830">
        <v>97122</v>
      </c>
      <c r="AB23" s="830"/>
      <c r="AC23" s="830">
        <v>6611</v>
      </c>
      <c r="AD23" s="830">
        <v>263787</v>
      </c>
      <c r="AE23" s="830"/>
      <c r="AF23" s="832"/>
      <c r="AG23" s="830"/>
      <c r="AH23" s="830"/>
      <c r="AI23" s="830"/>
      <c r="AJ23" s="895">
        <v>7381113.5489999996</v>
      </c>
      <c r="AK23" s="192"/>
      <c r="AL23" s="387"/>
      <c r="AM23" s="387"/>
      <c r="AN23" s="387"/>
      <c r="AO23" s="387"/>
    </row>
    <row r="24" spans="1:41" ht="26.1" customHeight="1" x14ac:dyDescent="0.2">
      <c r="A24" s="378">
        <v>19</v>
      </c>
      <c r="B24" s="828">
        <v>8496420</v>
      </c>
      <c r="C24" s="829">
        <v>1640995.6</v>
      </c>
      <c r="D24" s="830"/>
      <c r="E24" s="830">
        <v>64</v>
      </c>
      <c r="F24" s="830">
        <v>11098.7</v>
      </c>
      <c r="G24" s="830">
        <v>68225</v>
      </c>
      <c r="H24" s="831"/>
      <c r="I24" s="832">
        <v>1810791</v>
      </c>
      <c r="J24" s="891"/>
      <c r="K24" s="831">
        <v>468000</v>
      </c>
      <c r="L24" s="830">
        <v>83416.75</v>
      </c>
      <c r="M24" s="834">
        <v>619245.31000000006</v>
      </c>
      <c r="N24" s="832">
        <v>83289.899999999994</v>
      </c>
      <c r="O24" s="835">
        <v>251840</v>
      </c>
      <c r="P24" s="836">
        <v>84234</v>
      </c>
      <c r="Q24" s="830">
        <v>987732</v>
      </c>
      <c r="R24" s="830"/>
      <c r="S24" s="830">
        <v>96072</v>
      </c>
      <c r="T24" s="830"/>
      <c r="U24" s="830">
        <v>526</v>
      </c>
      <c r="V24" s="837">
        <v>1364588</v>
      </c>
      <c r="W24" s="830"/>
      <c r="X24" s="838">
        <v>48762</v>
      </c>
      <c r="Y24" s="830">
        <v>70030</v>
      </c>
      <c r="Z24" s="830">
        <v>15552</v>
      </c>
      <c r="AA24" s="830">
        <v>97122</v>
      </c>
      <c r="AB24" s="830"/>
      <c r="AC24" s="830">
        <v>6629</v>
      </c>
      <c r="AD24" s="830">
        <v>263787</v>
      </c>
      <c r="AE24" s="830"/>
      <c r="AF24" s="832"/>
      <c r="AG24" s="830"/>
      <c r="AH24" s="830"/>
      <c r="AI24" s="830"/>
      <c r="AJ24" s="895">
        <v>7381113.5489999996</v>
      </c>
      <c r="AK24" s="192"/>
      <c r="AL24" s="387"/>
      <c r="AM24" s="387"/>
      <c r="AN24" s="387"/>
      <c r="AO24" s="387"/>
    </row>
    <row r="25" spans="1:41" ht="26.1" customHeight="1" x14ac:dyDescent="0.2">
      <c r="A25" s="378">
        <v>20</v>
      </c>
      <c r="B25" s="828">
        <v>8496720</v>
      </c>
      <c r="C25" s="829">
        <v>1641313.8</v>
      </c>
      <c r="D25" s="830"/>
      <c r="E25" s="830">
        <v>64</v>
      </c>
      <c r="F25" s="830">
        <v>11100.6</v>
      </c>
      <c r="G25" s="830">
        <v>68225</v>
      </c>
      <c r="H25" s="831"/>
      <c r="I25" s="832">
        <v>1813856</v>
      </c>
      <c r="J25" s="891"/>
      <c r="K25" s="831">
        <v>468000</v>
      </c>
      <c r="L25" s="830">
        <v>83416.75</v>
      </c>
      <c r="M25" s="834">
        <v>619245.35</v>
      </c>
      <c r="N25" s="832">
        <v>83289.899999999994</v>
      </c>
      <c r="O25" s="835">
        <v>251844</v>
      </c>
      <c r="P25" s="836">
        <v>84234</v>
      </c>
      <c r="Q25" s="886">
        <v>987780</v>
      </c>
      <c r="R25" s="830"/>
      <c r="S25" s="830">
        <v>96072</v>
      </c>
      <c r="T25" s="830"/>
      <c r="U25" s="830">
        <v>526</v>
      </c>
      <c r="V25" s="837">
        <v>1364588</v>
      </c>
      <c r="W25" s="830"/>
      <c r="X25" s="838">
        <v>48762</v>
      </c>
      <c r="Y25" s="830">
        <v>70038</v>
      </c>
      <c r="Z25" s="830">
        <v>15555</v>
      </c>
      <c r="AA25" s="830">
        <v>97122</v>
      </c>
      <c r="AB25" s="830"/>
      <c r="AC25" s="830">
        <v>6636</v>
      </c>
      <c r="AD25" s="830">
        <v>263787</v>
      </c>
      <c r="AE25" s="830"/>
      <c r="AF25" s="832"/>
      <c r="AG25" s="830"/>
      <c r="AH25" s="830"/>
      <c r="AI25" s="830"/>
      <c r="AJ25" s="895">
        <v>7381113.5489999996</v>
      </c>
      <c r="AK25" s="192"/>
      <c r="AL25" s="387"/>
      <c r="AM25" s="387"/>
      <c r="AN25" s="387"/>
      <c r="AO25" s="387"/>
    </row>
    <row r="26" spans="1:41" ht="26.1" customHeight="1" x14ac:dyDescent="0.2">
      <c r="A26" s="378">
        <v>21</v>
      </c>
      <c r="B26" s="828">
        <v>8496860</v>
      </c>
      <c r="C26" s="829">
        <v>1641460.1</v>
      </c>
      <c r="D26" s="830"/>
      <c r="E26" s="830">
        <v>64</v>
      </c>
      <c r="F26" s="830">
        <v>11101.4</v>
      </c>
      <c r="G26" s="830">
        <v>68225</v>
      </c>
      <c r="H26" s="831"/>
      <c r="I26" s="832">
        <v>1816578</v>
      </c>
      <c r="J26" s="891"/>
      <c r="K26" s="831">
        <v>468000</v>
      </c>
      <c r="L26" s="830">
        <v>83416.75</v>
      </c>
      <c r="M26" s="834">
        <v>619247.25</v>
      </c>
      <c r="N26" s="832">
        <v>83289.899999999994</v>
      </c>
      <c r="O26" s="835">
        <v>251844</v>
      </c>
      <c r="P26" s="836">
        <v>84234</v>
      </c>
      <c r="Q26" s="886">
        <v>987853</v>
      </c>
      <c r="R26" s="830"/>
      <c r="S26" s="830">
        <v>96072</v>
      </c>
      <c r="T26" s="830"/>
      <c r="U26" s="830">
        <v>526</v>
      </c>
      <c r="V26" s="837">
        <v>1364588</v>
      </c>
      <c r="W26" s="830"/>
      <c r="X26" s="838">
        <v>48762</v>
      </c>
      <c r="Y26" s="830">
        <v>70081</v>
      </c>
      <c r="Z26" s="830">
        <v>15555</v>
      </c>
      <c r="AA26" s="830">
        <v>97122</v>
      </c>
      <c r="AB26" s="830"/>
      <c r="AC26" s="830">
        <v>6638</v>
      </c>
      <c r="AD26" s="830">
        <v>263787</v>
      </c>
      <c r="AE26" s="830"/>
      <c r="AF26" s="832"/>
      <c r="AG26" s="830"/>
      <c r="AH26" s="830"/>
      <c r="AI26" s="830"/>
      <c r="AJ26" s="895">
        <v>7381113.5489999996</v>
      </c>
      <c r="AK26" s="192"/>
      <c r="AL26" s="387"/>
      <c r="AM26" s="387"/>
      <c r="AN26" s="387"/>
      <c r="AO26" s="387"/>
    </row>
    <row r="27" spans="1:41" ht="26.1" customHeight="1" x14ac:dyDescent="0.2">
      <c r="A27" s="378">
        <v>22</v>
      </c>
      <c r="B27" s="828">
        <v>8499970</v>
      </c>
      <c r="C27" s="829">
        <v>1644621.1</v>
      </c>
      <c r="D27" s="830"/>
      <c r="E27" s="830">
        <v>64</v>
      </c>
      <c r="F27" s="830">
        <v>11120.5</v>
      </c>
      <c r="G27" s="830">
        <v>68225</v>
      </c>
      <c r="H27" s="831"/>
      <c r="I27" s="832">
        <v>1823465</v>
      </c>
      <c r="J27" s="891"/>
      <c r="K27" s="831">
        <v>468000</v>
      </c>
      <c r="L27" s="830">
        <v>83596.740000000005</v>
      </c>
      <c r="M27" s="834">
        <v>620122.5</v>
      </c>
      <c r="N27" s="832">
        <v>83387.78</v>
      </c>
      <c r="O27" s="835">
        <v>252052</v>
      </c>
      <c r="P27" s="836">
        <v>84367</v>
      </c>
      <c r="Q27" s="830">
        <v>988046</v>
      </c>
      <c r="R27" s="830"/>
      <c r="S27" s="830">
        <v>96230</v>
      </c>
      <c r="T27" s="830"/>
      <c r="U27" s="830">
        <v>527</v>
      </c>
      <c r="V27" s="837">
        <v>1364727</v>
      </c>
      <c r="W27" s="830"/>
      <c r="X27" s="838">
        <v>48834</v>
      </c>
      <c r="Y27" s="830">
        <v>70148</v>
      </c>
      <c r="Z27" s="830">
        <v>15574</v>
      </c>
      <c r="AA27" s="830">
        <v>97122</v>
      </c>
      <c r="AB27" s="830"/>
      <c r="AC27" s="830">
        <v>6645</v>
      </c>
      <c r="AD27" s="830">
        <v>263787</v>
      </c>
      <c r="AE27" s="830"/>
      <c r="AF27" s="832"/>
      <c r="AG27" s="830"/>
      <c r="AH27" s="830"/>
      <c r="AI27" s="830"/>
      <c r="AJ27" s="895">
        <v>7381113.5489999996</v>
      </c>
      <c r="AK27" s="192"/>
      <c r="AL27" s="387"/>
      <c r="AM27" s="387"/>
      <c r="AN27" s="387"/>
      <c r="AO27" s="387"/>
    </row>
    <row r="28" spans="1:41" ht="26.1" customHeight="1" x14ac:dyDescent="0.2">
      <c r="A28" s="378">
        <v>23</v>
      </c>
      <c r="B28" s="828">
        <v>8502790</v>
      </c>
      <c r="C28" s="829">
        <v>1647179.3</v>
      </c>
      <c r="D28" s="830"/>
      <c r="E28" s="830">
        <v>64</v>
      </c>
      <c r="F28" s="830">
        <v>11139.2</v>
      </c>
      <c r="G28" s="830">
        <v>68225</v>
      </c>
      <c r="H28" s="831"/>
      <c r="I28" s="832">
        <v>1830410</v>
      </c>
      <c r="J28" s="891"/>
      <c r="K28" s="831">
        <v>468000</v>
      </c>
      <c r="L28" s="830">
        <v>84349.38</v>
      </c>
      <c r="M28" s="834">
        <v>622012.31000000006</v>
      </c>
      <c r="N28" s="832">
        <v>83604.94</v>
      </c>
      <c r="O28" s="835">
        <v>252187</v>
      </c>
      <c r="P28" s="836">
        <v>84541</v>
      </c>
      <c r="Q28" s="830">
        <v>988268</v>
      </c>
      <c r="R28" s="830"/>
      <c r="S28" s="830">
        <v>96324</v>
      </c>
      <c r="T28" s="830"/>
      <c r="U28" s="830">
        <v>528</v>
      </c>
      <c r="V28" s="837">
        <v>1364911</v>
      </c>
      <c r="W28" s="830"/>
      <c r="X28" s="838">
        <v>48875</v>
      </c>
      <c r="Y28" s="830">
        <v>70249</v>
      </c>
      <c r="Z28" s="830">
        <v>15591</v>
      </c>
      <c r="AA28" s="830">
        <v>97122</v>
      </c>
      <c r="AB28" s="830"/>
      <c r="AC28" s="830">
        <v>6670</v>
      </c>
      <c r="AD28" s="830">
        <v>263787</v>
      </c>
      <c r="AE28" s="830"/>
      <c r="AF28" s="832"/>
      <c r="AG28" s="830"/>
      <c r="AH28" s="830"/>
      <c r="AI28" s="830"/>
      <c r="AJ28" s="895">
        <v>7381113.5489999996</v>
      </c>
      <c r="AK28" s="192"/>
      <c r="AL28" s="387" t="s">
        <v>55</v>
      </c>
      <c r="AM28" s="387"/>
      <c r="AN28" s="387"/>
      <c r="AO28" s="387"/>
    </row>
    <row r="29" spans="1:41" ht="26.1" customHeight="1" x14ac:dyDescent="0.2">
      <c r="A29" s="378">
        <v>24</v>
      </c>
      <c r="B29" s="828">
        <v>8505860</v>
      </c>
      <c r="C29" s="829">
        <v>1650029.7</v>
      </c>
      <c r="D29" s="830"/>
      <c r="E29" s="830">
        <v>64</v>
      </c>
      <c r="F29" s="830">
        <v>11159.5</v>
      </c>
      <c r="G29" s="830">
        <v>68225</v>
      </c>
      <c r="H29" s="831"/>
      <c r="I29" s="832">
        <v>1838026</v>
      </c>
      <c r="J29" s="891"/>
      <c r="K29" s="831">
        <v>468000</v>
      </c>
      <c r="L29" s="830">
        <v>84461.55</v>
      </c>
      <c r="M29" s="834">
        <v>623385.43999999994</v>
      </c>
      <c r="N29" s="832">
        <v>83778.86</v>
      </c>
      <c r="O29" s="835">
        <v>252249</v>
      </c>
      <c r="P29" s="836">
        <v>84708</v>
      </c>
      <c r="Q29" s="830">
        <v>988465</v>
      </c>
      <c r="R29" s="830"/>
      <c r="S29" s="830">
        <v>96492</v>
      </c>
      <c r="T29" s="830"/>
      <c r="U29" s="830">
        <v>529</v>
      </c>
      <c r="V29" s="837">
        <v>1364989</v>
      </c>
      <c r="W29" s="830"/>
      <c r="X29" s="838">
        <v>48931</v>
      </c>
      <c r="Y29" s="830">
        <v>70326</v>
      </c>
      <c r="Z29" s="830">
        <v>15606</v>
      </c>
      <c r="AA29" s="830">
        <v>97122</v>
      </c>
      <c r="AB29" s="830"/>
      <c r="AC29" s="830">
        <v>6675</v>
      </c>
      <c r="AD29" s="830">
        <v>263787</v>
      </c>
      <c r="AE29" s="830"/>
      <c r="AF29" s="832"/>
      <c r="AG29" s="830"/>
      <c r="AH29" s="830"/>
      <c r="AI29" s="830"/>
      <c r="AJ29" s="895">
        <v>7383496.0449999999</v>
      </c>
      <c r="AK29" s="192"/>
      <c r="AL29" s="387"/>
      <c r="AM29" s="387"/>
      <c r="AN29" s="387"/>
      <c r="AO29" s="387"/>
    </row>
    <row r="30" spans="1:41" ht="26.1" customHeight="1" x14ac:dyDescent="0.2">
      <c r="A30" s="378">
        <v>25</v>
      </c>
      <c r="B30" s="828">
        <v>8508780</v>
      </c>
      <c r="C30" s="829">
        <v>1652513.4</v>
      </c>
      <c r="D30" s="830"/>
      <c r="E30" s="830">
        <v>64</v>
      </c>
      <c r="F30" s="830">
        <v>11179.9</v>
      </c>
      <c r="G30" s="830">
        <v>68225</v>
      </c>
      <c r="H30" s="831"/>
      <c r="I30" s="832">
        <v>1845719</v>
      </c>
      <c r="J30" s="891"/>
      <c r="K30" s="831">
        <v>468000</v>
      </c>
      <c r="L30" s="830">
        <v>84614.52</v>
      </c>
      <c r="M30" s="834">
        <v>624751.43999999994</v>
      </c>
      <c r="N30" s="832">
        <v>83975.69</v>
      </c>
      <c r="O30" s="835">
        <v>252461</v>
      </c>
      <c r="P30" s="836">
        <v>84866</v>
      </c>
      <c r="Q30" s="830">
        <v>988635</v>
      </c>
      <c r="R30" s="830"/>
      <c r="S30" s="830">
        <v>96640</v>
      </c>
      <c r="T30" s="830"/>
      <c r="U30" s="830">
        <v>532</v>
      </c>
      <c r="V30" s="837">
        <v>1365143</v>
      </c>
      <c r="W30" s="830"/>
      <c r="X30" s="838">
        <v>48947</v>
      </c>
      <c r="Y30" s="830">
        <v>70406</v>
      </c>
      <c r="Z30" s="830">
        <v>15622</v>
      </c>
      <c r="AA30" s="830">
        <v>97122</v>
      </c>
      <c r="AB30" s="830"/>
      <c r="AC30" s="830">
        <v>6690</v>
      </c>
      <c r="AD30" s="830">
        <v>263787</v>
      </c>
      <c r="AE30" s="830"/>
      <c r="AF30" s="832"/>
      <c r="AG30" s="830"/>
      <c r="AH30" s="830"/>
      <c r="AI30" s="830"/>
      <c r="AJ30" s="895">
        <v>7383496.0449999999</v>
      </c>
      <c r="AK30" s="192"/>
      <c r="AL30" s="387"/>
      <c r="AM30" s="387"/>
      <c r="AN30" s="387"/>
      <c r="AO30" s="387"/>
    </row>
    <row r="31" spans="1:41" ht="26.1" customHeight="1" x14ac:dyDescent="0.2">
      <c r="A31" s="378">
        <v>26</v>
      </c>
      <c r="B31" s="828">
        <v>8511150</v>
      </c>
      <c r="C31" s="829">
        <v>1654439.5</v>
      </c>
      <c r="D31" s="830"/>
      <c r="E31" s="830">
        <v>64</v>
      </c>
      <c r="F31" s="830">
        <v>11197.5</v>
      </c>
      <c r="G31" s="830">
        <v>68225</v>
      </c>
      <c r="H31" s="831"/>
      <c r="I31" s="832">
        <v>1852280</v>
      </c>
      <c r="J31" s="891"/>
      <c r="K31" s="831">
        <v>468000</v>
      </c>
      <c r="L31" s="830">
        <v>85114.1</v>
      </c>
      <c r="M31" s="834">
        <v>626088.18999999994</v>
      </c>
      <c r="N31" s="832">
        <v>84125.63</v>
      </c>
      <c r="O31" s="835">
        <v>252565</v>
      </c>
      <c r="P31" s="836">
        <v>85089</v>
      </c>
      <c r="Q31" s="830">
        <v>988798</v>
      </c>
      <c r="R31" s="830"/>
      <c r="S31" s="830">
        <v>96713</v>
      </c>
      <c r="T31" s="830"/>
      <c r="U31" s="830">
        <v>533</v>
      </c>
      <c r="V31" s="837">
        <v>1365377</v>
      </c>
      <c r="W31" s="830"/>
      <c r="X31" s="838">
        <v>48987</v>
      </c>
      <c r="Y31" s="830">
        <v>70472</v>
      </c>
      <c r="Z31" s="830">
        <v>15645</v>
      </c>
      <c r="AA31" s="830">
        <v>97122</v>
      </c>
      <c r="AB31" s="830"/>
      <c r="AC31" s="830">
        <v>6702</v>
      </c>
      <c r="AD31" s="830">
        <v>263787</v>
      </c>
      <c r="AE31" s="830"/>
      <c r="AF31" s="832"/>
      <c r="AG31" s="830"/>
      <c r="AH31" s="830"/>
      <c r="AI31" s="830"/>
      <c r="AJ31" s="895">
        <v>7383496.0449999999</v>
      </c>
      <c r="AK31" s="192"/>
      <c r="AL31" s="387"/>
      <c r="AM31" s="387"/>
      <c r="AN31" s="387"/>
      <c r="AO31" s="387"/>
    </row>
    <row r="32" spans="1:41" ht="26.1" customHeight="1" x14ac:dyDescent="0.2">
      <c r="A32" s="378">
        <v>27</v>
      </c>
      <c r="B32" s="828">
        <v>8511250</v>
      </c>
      <c r="C32" s="829">
        <v>1654567.6</v>
      </c>
      <c r="D32" s="830"/>
      <c r="E32" s="830">
        <v>64</v>
      </c>
      <c r="F32" s="830">
        <v>11198</v>
      </c>
      <c r="G32" s="830">
        <v>68225</v>
      </c>
      <c r="H32" s="831"/>
      <c r="I32" s="832">
        <v>1855007</v>
      </c>
      <c r="J32" s="891"/>
      <c r="K32" s="831">
        <v>468000</v>
      </c>
      <c r="L32" s="830">
        <v>85114.1</v>
      </c>
      <c r="M32" s="834">
        <v>626088.9</v>
      </c>
      <c r="N32" s="832">
        <v>84125.63</v>
      </c>
      <c r="O32" s="835">
        <v>252567</v>
      </c>
      <c r="P32" s="836">
        <v>85125</v>
      </c>
      <c r="Q32" s="830">
        <v>988866</v>
      </c>
      <c r="R32" s="830"/>
      <c r="S32" s="900">
        <v>96713</v>
      </c>
      <c r="T32" s="830"/>
      <c r="U32" s="830">
        <v>533</v>
      </c>
      <c r="V32" s="837">
        <v>1365415</v>
      </c>
      <c r="W32" s="830"/>
      <c r="X32" s="838">
        <v>48987</v>
      </c>
      <c r="Y32" s="830">
        <v>70472</v>
      </c>
      <c r="Z32" s="830">
        <v>15645</v>
      </c>
      <c r="AA32" s="830">
        <v>97122</v>
      </c>
      <c r="AB32" s="830"/>
      <c r="AC32" s="830">
        <v>6702</v>
      </c>
      <c r="AD32" s="830">
        <v>263787</v>
      </c>
      <c r="AE32" s="830"/>
      <c r="AF32" s="832"/>
      <c r="AG32" s="830"/>
      <c r="AH32" s="830"/>
      <c r="AI32" s="830"/>
      <c r="AJ32" s="895">
        <v>7383496.0449999999</v>
      </c>
      <c r="AK32" s="192"/>
      <c r="AL32" s="387"/>
      <c r="AM32" s="387"/>
      <c r="AN32" s="387"/>
      <c r="AO32" s="387"/>
    </row>
    <row r="33" spans="1:41" ht="26.1" customHeight="1" x14ac:dyDescent="0.2">
      <c r="A33" s="378">
        <v>28</v>
      </c>
      <c r="B33" s="828">
        <v>8511380</v>
      </c>
      <c r="C33" s="829">
        <v>1654716.8</v>
      </c>
      <c r="D33" s="830"/>
      <c r="E33" s="830">
        <v>64</v>
      </c>
      <c r="F33" s="830">
        <v>11198.7</v>
      </c>
      <c r="G33" s="830">
        <v>68225</v>
      </c>
      <c r="H33" s="831"/>
      <c r="I33" s="832">
        <v>1857893</v>
      </c>
      <c r="J33" s="891"/>
      <c r="K33" s="831">
        <v>468000</v>
      </c>
      <c r="L33" s="830">
        <v>85114.1</v>
      </c>
      <c r="M33" s="834">
        <v>626088.9</v>
      </c>
      <c r="N33" s="832">
        <v>84125.63</v>
      </c>
      <c r="O33" s="835">
        <v>252574</v>
      </c>
      <c r="P33" s="836">
        <v>85125</v>
      </c>
      <c r="Q33" s="830">
        <v>988880</v>
      </c>
      <c r="R33" s="830"/>
      <c r="S33" s="900">
        <v>96713</v>
      </c>
      <c r="T33" s="830"/>
      <c r="U33" s="830">
        <v>533</v>
      </c>
      <c r="V33" s="837">
        <v>1365415</v>
      </c>
      <c r="W33" s="830"/>
      <c r="X33" s="838">
        <v>48987</v>
      </c>
      <c r="Y33" s="830">
        <v>70503</v>
      </c>
      <c r="Z33" s="830">
        <v>15645</v>
      </c>
      <c r="AA33" s="830">
        <v>97122</v>
      </c>
      <c r="AB33" s="830"/>
      <c r="AC33" s="830">
        <v>6703</v>
      </c>
      <c r="AD33" s="830">
        <v>263787</v>
      </c>
      <c r="AE33" s="830"/>
      <c r="AF33" s="832"/>
      <c r="AG33" s="830"/>
      <c r="AH33" s="830"/>
      <c r="AI33" s="830"/>
      <c r="AJ33" s="895">
        <v>7383496.0480000004</v>
      </c>
      <c r="AK33" s="192"/>
      <c r="AL33" s="387"/>
      <c r="AM33" s="387"/>
      <c r="AN33" s="387"/>
      <c r="AO33" s="387"/>
    </row>
    <row r="34" spans="1:41" ht="26.1" customHeight="1" x14ac:dyDescent="0.2">
      <c r="A34" s="378">
        <v>29</v>
      </c>
      <c r="B34" s="351"/>
      <c r="C34" s="826"/>
      <c r="D34" s="705"/>
      <c r="E34" s="705"/>
      <c r="F34" s="705"/>
      <c r="G34" s="705"/>
      <c r="H34" s="706"/>
      <c r="I34" s="707"/>
      <c r="J34" s="718"/>
      <c r="K34" s="706"/>
      <c r="L34" s="705"/>
      <c r="M34" s="708"/>
      <c r="N34" s="707"/>
      <c r="O34" s="709"/>
      <c r="P34" s="710"/>
      <c r="Q34" s="705"/>
      <c r="R34" s="705"/>
      <c r="S34" s="705"/>
      <c r="T34" s="705"/>
      <c r="U34" s="705"/>
      <c r="V34" s="711"/>
      <c r="W34" s="705"/>
      <c r="X34" s="712"/>
      <c r="Y34" s="705"/>
      <c r="Z34" s="705"/>
      <c r="AA34" s="705"/>
      <c r="AB34" s="705"/>
      <c r="AC34" s="705"/>
      <c r="AD34" s="705"/>
      <c r="AE34" s="705"/>
      <c r="AF34" s="707"/>
      <c r="AG34" s="705"/>
      <c r="AH34" s="705"/>
      <c r="AI34" s="705"/>
      <c r="AJ34" s="767"/>
      <c r="AK34" s="192"/>
      <c r="AL34" s="387"/>
      <c r="AM34" s="387"/>
      <c r="AN34" s="387"/>
      <c r="AO34" s="387"/>
    </row>
    <row r="35" spans="1:41" ht="26.1" customHeight="1" x14ac:dyDescent="0.2">
      <c r="A35" s="378">
        <v>30</v>
      </c>
      <c r="B35" s="351"/>
      <c r="C35" s="816"/>
      <c r="D35" s="192"/>
      <c r="E35" s="705"/>
      <c r="F35" s="705"/>
      <c r="G35" s="705"/>
      <c r="H35" s="193"/>
      <c r="I35" s="194"/>
      <c r="J35" s="717"/>
      <c r="K35" s="706"/>
      <c r="L35" s="705"/>
      <c r="M35" s="708"/>
      <c r="N35" s="707"/>
      <c r="O35" s="195"/>
      <c r="P35" s="196"/>
      <c r="Q35" s="192"/>
      <c r="R35" s="192"/>
      <c r="S35" s="705"/>
      <c r="T35" s="192"/>
      <c r="U35" s="705"/>
      <c r="V35" s="197"/>
      <c r="W35" s="192"/>
      <c r="X35" s="198"/>
      <c r="Y35" s="192"/>
      <c r="Z35" s="192"/>
      <c r="AA35" s="705"/>
      <c r="AB35" s="192"/>
      <c r="AC35" s="192"/>
      <c r="AD35" s="705"/>
      <c r="AE35" s="192"/>
      <c r="AF35" s="194"/>
      <c r="AG35" s="192"/>
      <c r="AH35" s="192"/>
      <c r="AI35" s="199"/>
      <c r="AJ35" s="767"/>
      <c r="AK35" s="322"/>
      <c r="AL35" s="458"/>
      <c r="AM35" s="461"/>
      <c r="AN35" s="458"/>
      <c r="AO35" s="458"/>
    </row>
    <row r="36" spans="1:41" ht="26.1" customHeight="1" x14ac:dyDescent="0.2">
      <c r="A36" s="378">
        <v>31</v>
      </c>
      <c r="B36" s="351"/>
      <c r="C36" s="816"/>
      <c r="D36" s="192"/>
      <c r="E36" s="705"/>
      <c r="F36" s="705"/>
      <c r="G36" s="705"/>
      <c r="H36" s="193"/>
      <c r="I36" s="194"/>
      <c r="J36" s="717"/>
      <c r="K36" s="706"/>
      <c r="L36" s="705"/>
      <c r="M36" s="708"/>
      <c r="N36" s="707"/>
      <c r="O36" s="195"/>
      <c r="P36" s="196"/>
      <c r="Q36" s="192"/>
      <c r="R36" s="192"/>
      <c r="S36" s="192"/>
      <c r="T36" s="192"/>
      <c r="U36" s="705"/>
      <c r="V36" s="197"/>
      <c r="W36" s="192"/>
      <c r="X36" s="198"/>
      <c r="Y36" s="192"/>
      <c r="Z36" s="192"/>
      <c r="AA36" s="705"/>
      <c r="AB36" s="192"/>
      <c r="AC36" s="192"/>
      <c r="AD36" s="705"/>
      <c r="AE36" s="192"/>
      <c r="AF36" s="194"/>
      <c r="AG36" s="192"/>
      <c r="AH36" s="192"/>
      <c r="AI36" s="199"/>
      <c r="AJ36" s="767"/>
      <c r="AK36" s="442"/>
      <c r="AL36" s="462"/>
      <c r="AM36" s="463"/>
      <c r="AN36" s="462"/>
      <c r="AO36" s="462"/>
    </row>
    <row r="37" spans="1:41" ht="26.1" customHeight="1" x14ac:dyDescent="0.2">
      <c r="A37" s="378">
        <v>1</v>
      </c>
      <c r="B37" s="351"/>
      <c r="C37" s="816"/>
      <c r="D37" s="192"/>
      <c r="E37" s="705"/>
      <c r="F37" s="705"/>
      <c r="G37" s="705"/>
      <c r="H37" s="193"/>
      <c r="I37" s="194"/>
      <c r="J37" s="719"/>
      <c r="K37" s="706"/>
      <c r="L37" s="705"/>
      <c r="M37" s="708"/>
      <c r="N37" s="707"/>
      <c r="O37" s="195"/>
      <c r="P37" s="196"/>
      <c r="Q37" s="192"/>
      <c r="R37" s="192"/>
      <c r="S37" s="192"/>
      <c r="T37" s="192"/>
      <c r="U37" s="705"/>
      <c r="V37" s="197"/>
      <c r="W37" s="192"/>
      <c r="X37" s="198"/>
      <c r="Y37" s="192"/>
      <c r="Z37" s="192"/>
      <c r="AA37" s="705"/>
      <c r="AB37" s="192"/>
      <c r="AC37" s="192"/>
      <c r="AD37" s="705"/>
      <c r="AE37" s="192"/>
      <c r="AF37" s="194"/>
      <c r="AG37" s="192"/>
      <c r="AH37" s="192"/>
      <c r="AI37" s="199"/>
      <c r="AJ37" s="767"/>
      <c r="AK37" s="442"/>
      <c r="AL37" s="462"/>
      <c r="AM37" s="463"/>
      <c r="AN37" s="462"/>
      <c r="AO37" s="462"/>
    </row>
    <row r="38" spans="1:41" x14ac:dyDescent="0.2">
      <c r="B38" s="190"/>
      <c r="G38" s="190"/>
      <c r="I38" s="908"/>
      <c r="J38" s="908"/>
      <c r="R38" s="190"/>
      <c r="S38" s="190"/>
      <c r="T38" s="190"/>
      <c r="U38" s="190"/>
      <c r="V38" s="190"/>
      <c r="W38" s="190"/>
      <c r="Z38" s="190"/>
      <c r="AA38" s="909"/>
      <c r="AB38" s="909"/>
      <c r="AC38" s="190"/>
      <c r="AD38" s="190"/>
      <c r="AI38" s="380"/>
      <c r="AJ38" s="322"/>
      <c r="AK38" s="322"/>
      <c r="AL38" s="464"/>
      <c r="AM38" s="464"/>
      <c r="AN38" s="464"/>
      <c r="AO38" s="464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64"/>
      <c r="AM39" s="464"/>
      <c r="AN39" s="464"/>
      <c r="AO39" s="464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64"/>
      <c r="AM40" s="464"/>
      <c r="AN40" s="464"/>
      <c r="AO40" s="464"/>
    </row>
    <row r="41" spans="1:41" x14ac:dyDescent="0.2">
      <c r="B41" s="190"/>
      <c r="V41" s="189"/>
      <c r="AL41" s="464"/>
      <c r="AM41" s="464"/>
      <c r="AN41" s="464"/>
      <c r="AO41" s="464"/>
    </row>
    <row r="42" spans="1:41" x14ac:dyDescent="0.2">
      <c r="B42" s="190"/>
      <c r="J42" s="381"/>
      <c r="V42" s="189"/>
      <c r="AG42" s="189" t="s">
        <v>55</v>
      </c>
      <c r="AL42" s="464"/>
      <c r="AM42" s="464"/>
      <c r="AN42" s="464"/>
      <c r="AO42" s="464"/>
    </row>
    <row r="43" spans="1:41" x14ac:dyDescent="0.2">
      <c r="H43" s="381"/>
      <c r="J43" s="381"/>
      <c r="V43" s="189"/>
      <c r="AL43" s="464"/>
      <c r="AM43" s="464"/>
      <c r="AN43" s="464"/>
      <c r="AO43" s="464"/>
    </row>
    <row r="44" spans="1:41" x14ac:dyDescent="0.2">
      <c r="C44" s="827" t="s">
        <v>55</v>
      </c>
      <c r="V44" s="189"/>
      <c r="AL44" s="464"/>
      <c r="AM44" s="464"/>
      <c r="AN44" s="464"/>
      <c r="AO44" s="464"/>
    </row>
    <row r="45" spans="1:41" x14ac:dyDescent="0.2">
      <c r="I45" s="190"/>
      <c r="J45" s="190"/>
      <c r="V45" s="189"/>
      <c r="AL45" s="464"/>
      <c r="AM45" s="464"/>
      <c r="AN45" s="464"/>
      <c r="AO45" s="464"/>
    </row>
    <row r="46" spans="1:41" x14ac:dyDescent="0.2">
      <c r="V46" s="189"/>
      <c r="AL46" s="464"/>
      <c r="AM46" s="464"/>
      <c r="AN46" s="464"/>
      <c r="AO46" s="464"/>
    </row>
    <row r="47" spans="1:41" x14ac:dyDescent="0.2">
      <c r="V47" s="189"/>
      <c r="AL47" s="464"/>
      <c r="AM47" s="464"/>
      <c r="AN47" s="464"/>
      <c r="AO47" s="464"/>
    </row>
    <row r="48" spans="1:41" x14ac:dyDescent="0.2">
      <c r="V48" s="189"/>
      <c r="AL48" s="464"/>
      <c r="AM48" s="464"/>
      <c r="AN48" s="464"/>
      <c r="AO48" s="464"/>
    </row>
    <row r="49" spans="22:41" x14ac:dyDescent="0.2">
      <c r="V49" s="189"/>
      <c r="AL49" s="464"/>
      <c r="AM49" s="464"/>
      <c r="AN49" s="464"/>
      <c r="AO49" s="464"/>
    </row>
    <row r="50" spans="22:41" x14ac:dyDescent="0.2">
      <c r="V50" s="189"/>
      <c r="AL50" s="464"/>
      <c r="AM50" s="464"/>
      <c r="AN50" s="464"/>
      <c r="AO50" s="464"/>
    </row>
    <row r="51" spans="22:41" x14ac:dyDescent="0.2">
      <c r="V51" s="189"/>
      <c r="AL51" s="464"/>
      <c r="AM51" s="464"/>
      <c r="AN51" s="464"/>
      <c r="AO51" s="464"/>
    </row>
    <row r="52" spans="22:41" x14ac:dyDescent="0.2">
      <c r="V52" s="189"/>
      <c r="AL52" s="464"/>
      <c r="AM52" s="464"/>
      <c r="AN52" s="464"/>
      <c r="AO52" s="464"/>
    </row>
    <row r="53" spans="22:41" x14ac:dyDescent="0.2">
      <c r="V53" s="189"/>
      <c r="AL53" s="464"/>
      <c r="AM53" s="464"/>
      <c r="AN53" s="464"/>
      <c r="AO53" s="464"/>
    </row>
    <row r="54" spans="22:41" x14ac:dyDescent="0.2">
      <c r="V54" s="189"/>
      <c r="AL54" s="464"/>
      <c r="AM54" s="464"/>
      <c r="AN54" s="464"/>
      <c r="AO54" s="464"/>
    </row>
    <row r="55" spans="22:41" x14ac:dyDescent="0.2">
      <c r="V55" s="189"/>
      <c r="AL55" s="464"/>
      <c r="AM55" s="464"/>
      <c r="AN55" s="464"/>
      <c r="AO55" s="464"/>
    </row>
    <row r="56" spans="22:41" x14ac:dyDescent="0.2">
      <c r="V56" s="189"/>
      <c r="AL56" s="464"/>
      <c r="AM56" s="464"/>
      <c r="AN56" s="464"/>
      <c r="AO56" s="464"/>
    </row>
    <row r="57" spans="22:41" x14ac:dyDescent="0.2">
      <c r="V57" s="189"/>
      <c r="AL57" s="464"/>
      <c r="AM57" s="464"/>
      <c r="AN57" s="464"/>
      <c r="AO57" s="464"/>
    </row>
    <row r="58" spans="22:41" x14ac:dyDescent="0.2">
      <c r="V58" s="189"/>
      <c r="AL58" s="464"/>
      <c r="AM58" s="464"/>
      <c r="AN58" s="464"/>
      <c r="AO58" s="464"/>
    </row>
    <row r="59" spans="22:41" x14ac:dyDescent="0.2">
      <c r="V59" s="189"/>
      <c r="AL59" s="464"/>
      <c r="AM59" s="464"/>
      <c r="AN59" s="464"/>
      <c r="AO59" s="464"/>
    </row>
    <row r="60" spans="22:41" x14ac:dyDescent="0.2">
      <c r="V60" s="189"/>
      <c r="AL60" s="464"/>
      <c r="AM60" s="464"/>
      <c r="AN60" s="464"/>
      <c r="AO60" s="464"/>
    </row>
    <row r="61" spans="22:41" x14ac:dyDescent="0.2">
      <c r="V61" s="189"/>
      <c r="AL61" s="464"/>
      <c r="AM61" s="464"/>
      <c r="AN61" s="464"/>
      <c r="AO61" s="464"/>
    </row>
    <row r="62" spans="22:41" x14ac:dyDescent="0.2">
      <c r="V62" s="189"/>
      <c r="AL62" s="464"/>
      <c r="AM62" s="464"/>
      <c r="AN62" s="464"/>
      <c r="AO62" s="464"/>
    </row>
    <row r="63" spans="22:41" x14ac:dyDescent="0.2">
      <c r="V63" s="189"/>
      <c r="AL63" s="464"/>
      <c r="AM63" s="464"/>
      <c r="AN63" s="464"/>
      <c r="AO63" s="464"/>
    </row>
    <row r="64" spans="22:41" x14ac:dyDescent="0.2">
      <c r="V64" s="189"/>
      <c r="AL64" s="464"/>
      <c r="AM64" s="464"/>
      <c r="AN64" s="464"/>
      <c r="AO64" s="464"/>
    </row>
    <row r="65" spans="22:41" x14ac:dyDescent="0.2">
      <c r="V65" s="189"/>
      <c r="AL65" s="464"/>
      <c r="AM65" s="464"/>
      <c r="AN65" s="464"/>
      <c r="AO65" s="464"/>
    </row>
    <row r="66" spans="22:41" x14ac:dyDescent="0.2">
      <c r="V66" s="189"/>
      <c r="AL66" s="464"/>
      <c r="AM66" s="464"/>
      <c r="AN66" s="464"/>
      <c r="AO66" s="464"/>
    </row>
    <row r="67" spans="22:41" x14ac:dyDescent="0.2">
      <c r="V67" s="189"/>
      <c r="AL67" s="464"/>
      <c r="AM67" s="464"/>
      <c r="AN67" s="464"/>
      <c r="AO67" s="464"/>
    </row>
    <row r="68" spans="22:41" x14ac:dyDescent="0.2">
      <c r="V68" s="189"/>
      <c r="AL68" s="464"/>
      <c r="AM68" s="464"/>
      <c r="AN68" s="464"/>
      <c r="AO68" s="464"/>
    </row>
    <row r="69" spans="22:41" x14ac:dyDescent="0.2">
      <c r="V69" s="189"/>
      <c r="AL69" s="464"/>
      <c r="AM69" s="464"/>
      <c r="AN69" s="464"/>
      <c r="AO69" s="464"/>
    </row>
    <row r="70" spans="22:41" x14ac:dyDescent="0.2">
      <c r="V70" s="189"/>
      <c r="AL70" s="464"/>
      <c r="AM70" s="464"/>
      <c r="AN70" s="464"/>
      <c r="AO70" s="464"/>
    </row>
    <row r="71" spans="22:41" x14ac:dyDescent="0.2">
      <c r="V71" s="189"/>
      <c r="AL71" s="464"/>
      <c r="AM71" s="464"/>
      <c r="AN71" s="464"/>
      <c r="AO71" s="464"/>
    </row>
    <row r="72" spans="22:41" x14ac:dyDescent="0.2">
      <c r="V72" s="189"/>
      <c r="AL72" s="464"/>
      <c r="AM72" s="464"/>
      <c r="AN72" s="464"/>
      <c r="AO72" s="464"/>
    </row>
    <row r="73" spans="22:41" x14ac:dyDescent="0.2">
      <c r="V73" s="189"/>
      <c r="AL73" s="464"/>
      <c r="AM73" s="464"/>
      <c r="AN73" s="464"/>
      <c r="AO73" s="464"/>
    </row>
    <row r="74" spans="22:41" x14ac:dyDescent="0.2">
      <c r="V74" s="189"/>
      <c r="AL74" s="464"/>
      <c r="AM74" s="464"/>
      <c r="AN74" s="464"/>
      <c r="AO74" s="464"/>
    </row>
    <row r="75" spans="22:41" x14ac:dyDescent="0.2">
      <c r="V75" s="189"/>
      <c r="AL75" s="464"/>
      <c r="AM75" s="464"/>
      <c r="AN75" s="464"/>
      <c r="AO75" s="464"/>
    </row>
    <row r="76" spans="22:41" x14ac:dyDescent="0.2">
      <c r="V76" s="189"/>
      <c r="AL76" s="464"/>
      <c r="AM76" s="464"/>
      <c r="AN76" s="464"/>
      <c r="AO76" s="464"/>
    </row>
    <row r="77" spans="22:41" x14ac:dyDescent="0.2">
      <c r="V77" s="189"/>
      <c r="AL77" s="464"/>
      <c r="AM77" s="464"/>
      <c r="AN77" s="464"/>
      <c r="AO77" s="464"/>
    </row>
    <row r="78" spans="22:41" x14ac:dyDescent="0.2">
      <c r="V78" s="189"/>
      <c r="AL78" s="464"/>
      <c r="AM78" s="464"/>
      <c r="AN78" s="464"/>
      <c r="AO78" s="464"/>
    </row>
    <row r="79" spans="22:41" x14ac:dyDescent="0.2">
      <c r="V79" s="189"/>
      <c r="AL79" s="464"/>
      <c r="AM79" s="464"/>
      <c r="AN79" s="464"/>
      <c r="AO79" s="464"/>
    </row>
    <row r="80" spans="22:41" x14ac:dyDescent="0.2">
      <c r="V80" s="189"/>
      <c r="AL80" s="464"/>
      <c r="AM80" s="464"/>
      <c r="AN80" s="464"/>
      <c r="AO80" s="464"/>
    </row>
    <row r="81" spans="22:41" x14ac:dyDescent="0.2">
      <c r="V81" s="189"/>
      <c r="AL81" s="464"/>
      <c r="AM81" s="464"/>
      <c r="AN81" s="464"/>
      <c r="AO81" s="464"/>
    </row>
    <row r="82" spans="22:41" x14ac:dyDescent="0.2">
      <c r="V82" s="189"/>
      <c r="AL82" s="464"/>
      <c r="AM82" s="464"/>
      <c r="AN82" s="464"/>
      <c r="AO82" s="464"/>
    </row>
    <row r="83" spans="22:41" x14ac:dyDescent="0.2">
      <c r="V83" s="189"/>
      <c r="AL83" s="464"/>
      <c r="AM83" s="464"/>
      <c r="AN83" s="464"/>
      <c r="AO83" s="464"/>
    </row>
    <row r="84" spans="22:41" x14ac:dyDescent="0.2">
      <c r="V84" s="189"/>
      <c r="AL84" s="464"/>
      <c r="AM84" s="464"/>
      <c r="AN84" s="464"/>
      <c r="AO84" s="464"/>
    </row>
    <row r="85" spans="22:41" x14ac:dyDescent="0.2">
      <c r="V85" s="189"/>
      <c r="AL85" s="464"/>
      <c r="AM85" s="464"/>
      <c r="AN85" s="464"/>
      <c r="AO85" s="464"/>
    </row>
    <row r="86" spans="22:41" x14ac:dyDescent="0.2">
      <c r="V86" s="189"/>
      <c r="AL86" s="464"/>
      <c r="AM86" s="464"/>
      <c r="AN86" s="464"/>
      <c r="AO86" s="464"/>
    </row>
    <row r="87" spans="22:41" x14ac:dyDescent="0.2">
      <c r="V87" s="189"/>
      <c r="AL87" s="464"/>
      <c r="AM87" s="464"/>
      <c r="AN87" s="464"/>
      <c r="AO87" s="464"/>
    </row>
    <row r="88" spans="22:41" x14ac:dyDescent="0.2">
      <c r="V88" s="189"/>
      <c r="AL88" s="464"/>
      <c r="AM88" s="464"/>
      <c r="AN88" s="464"/>
      <c r="AO88" s="464"/>
    </row>
    <row r="89" spans="22:41" x14ac:dyDescent="0.2">
      <c r="V89" s="189"/>
      <c r="AL89" s="464"/>
      <c r="AM89" s="464"/>
      <c r="AN89" s="464"/>
      <c r="AO89" s="464"/>
    </row>
    <row r="90" spans="22:41" x14ac:dyDescent="0.2">
      <c r="V90" s="189"/>
      <c r="AL90" s="464"/>
      <c r="AM90" s="464"/>
      <c r="AN90" s="464"/>
      <c r="AO90" s="464"/>
    </row>
    <row r="91" spans="22:41" x14ac:dyDescent="0.2">
      <c r="V91" s="189"/>
      <c r="AL91" s="464"/>
      <c r="AM91" s="464"/>
      <c r="AN91" s="464"/>
      <c r="AO91" s="464"/>
    </row>
    <row r="92" spans="22:41" x14ac:dyDescent="0.2">
      <c r="V92" s="189"/>
      <c r="AL92" s="464"/>
      <c r="AM92" s="464"/>
      <c r="AN92" s="464"/>
      <c r="AO92" s="464"/>
    </row>
    <row r="93" spans="22:41" x14ac:dyDescent="0.2">
      <c r="V93" s="189"/>
      <c r="AL93" s="464"/>
      <c r="AM93" s="464"/>
      <c r="AN93" s="464"/>
      <c r="AO93" s="464"/>
    </row>
    <row r="94" spans="22:41" x14ac:dyDescent="0.2">
      <c r="V94" s="189"/>
      <c r="AL94" s="464"/>
      <c r="AM94" s="464"/>
      <c r="AN94" s="464"/>
      <c r="AO94" s="464"/>
    </row>
    <row r="95" spans="22:41" x14ac:dyDescent="0.2">
      <c r="V95" s="189"/>
      <c r="AL95" s="464"/>
      <c r="AM95" s="464"/>
      <c r="AN95" s="464"/>
      <c r="AO95" s="464"/>
    </row>
    <row r="96" spans="22:41" x14ac:dyDescent="0.2">
      <c r="V96" s="189"/>
      <c r="AL96" s="464"/>
      <c r="AM96" s="464"/>
      <c r="AN96" s="464"/>
      <c r="AO96" s="464"/>
    </row>
    <row r="97" spans="22:41" x14ac:dyDescent="0.2">
      <c r="V97" s="189"/>
      <c r="AL97" s="464"/>
      <c r="AM97" s="464"/>
      <c r="AN97" s="464"/>
      <c r="AO97" s="464"/>
    </row>
    <row r="98" spans="22:41" x14ac:dyDescent="0.2">
      <c r="V98" s="189"/>
      <c r="AL98" s="464"/>
      <c r="AM98" s="464"/>
      <c r="AN98" s="464"/>
      <c r="AO98" s="464"/>
    </row>
    <row r="99" spans="22:41" x14ac:dyDescent="0.2">
      <c r="V99" s="189"/>
      <c r="AL99" s="464"/>
      <c r="AM99" s="464"/>
      <c r="AN99" s="464"/>
      <c r="AO99" s="464"/>
    </row>
    <row r="100" spans="22:41" x14ac:dyDescent="0.2">
      <c r="V100" s="189"/>
      <c r="AL100" s="464"/>
      <c r="AM100" s="464"/>
      <c r="AN100" s="464"/>
      <c r="AO100" s="464"/>
    </row>
    <row r="101" spans="22:41" x14ac:dyDescent="0.2">
      <c r="V101" s="189"/>
      <c r="AL101" s="464"/>
      <c r="AM101" s="464"/>
      <c r="AN101" s="464"/>
      <c r="AO101" s="464"/>
    </row>
    <row r="102" spans="22:41" x14ac:dyDescent="0.2">
      <c r="V102" s="189"/>
      <c r="AL102" s="464"/>
      <c r="AM102" s="464"/>
      <c r="AN102" s="464"/>
      <c r="AO102" s="464"/>
    </row>
    <row r="103" spans="22:41" x14ac:dyDescent="0.2">
      <c r="V103" s="189"/>
      <c r="AL103" s="464"/>
      <c r="AM103" s="464"/>
      <c r="AN103" s="464"/>
      <c r="AO103" s="464"/>
    </row>
    <row r="104" spans="22:41" x14ac:dyDescent="0.2">
      <c r="V104" s="189"/>
      <c r="AL104" s="464"/>
      <c r="AM104" s="464"/>
      <c r="AN104" s="464"/>
      <c r="AO104" s="464"/>
    </row>
    <row r="105" spans="22:41" x14ac:dyDescent="0.2">
      <c r="V105" s="189"/>
      <c r="AL105" s="464"/>
      <c r="AM105" s="464"/>
      <c r="AN105" s="464"/>
      <c r="AO105" s="464"/>
    </row>
    <row r="106" spans="22:41" x14ac:dyDescent="0.2">
      <c r="V106" s="189"/>
      <c r="AL106" s="464"/>
      <c r="AM106" s="464"/>
      <c r="AN106" s="464"/>
      <c r="AO106" s="464"/>
    </row>
    <row r="107" spans="22:41" x14ac:dyDescent="0.2">
      <c r="V107" s="189"/>
      <c r="AL107" s="464"/>
      <c r="AM107" s="464"/>
      <c r="AN107" s="464"/>
      <c r="AO107" s="464"/>
    </row>
    <row r="108" spans="22:41" x14ac:dyDescent="0.2">
      <c r="V108" s="189"/>
      <c r="AL108" s="464"/>
      <c r="AM108" s="464"/>
      <c r="AN108" s="464"/>
      <c r="AO108" s="464"/>
    </row>
    <row r="109" spans="22:41" x14ac:dyDescent="0.2">
      <c r="V109" s="189"/>
      <c r="AL109" s="464"/>
      <c r="AM109" s="464"/>
      <c r="AN109" s="464"/>
      <c r="AO109" s="464"/>
    </row>
    <row r="110" spans="22:41" x14ac:dyDescent="0.2">
      <c r="V110" s="189"/>
      <c r="AL110" s="464"/>
      <c r="AM110" s="464"/>
      <c r="AN110" s="464"/>
      <c r="AO110" s="464"/>
    </row>
    <row r="111" spans="22:41" x14ac:dyDescent="0.2">
      <c r="V111" s="189"/>
      <c r="AL111" s="464"/>
      <c r="AM111" s="464"/>
      <c r="AN111" s="464"/>
      <c r="AO111" s="464"/>
    </row>
    <row r="112" spans="22:41" x14ac:dyDescent="0.2">
      <c r="V112" s="189"/>
      <c r="AL112" s="464"/>
      <c r="AM112" s="464"/>
      <c r="AN112" s="464"/>
      <c r="AO112" s="464"/>
    </row>
    <row r="113" spans="22:41" x14ac:dyDescent="0.2">
      <c r="V113" s="189"/>
      <c r="AL113" s="464"/>
      <c r="AM113" s="464"/>
      <c r="AN113" s="464"/>
      <c r="AO113" s="464"/>
    </row>
    <row r="114" spans="22:41" x14ac:dyDescent="0.2">
      <c r="V114" s="189"/>
      <c r="AL114" s="464"/>
      <c r="AM114" s="464"/>
      <c r="AN114" s="464"/>
      <c r="AO114" s="464"/>
    </row>
    <row r="115" spans="22:41" x14ac:dyDescent="0.2">
      <c r="V115" s="189"/>
      <c r="AL115" s="464"/>
      <c r="AM115" s="464"/>
      <c r="AN115" s="464"/>
      <c r="AO115" s="464"/>
    </row>
    <row r="116" spans="22:41" x14ac:dyDescent="0.2">
      <c r="V116" s="189"/>
      <c r="AL116" s="464"/>
      <c r="AM116" s="464"/>
      <c r="AN116" s="464"/>
      <c r="AO116" s="464"/>
    </row>
    <row r="117" spans="22:41" x14ac:dyDescent="0.2">
      <c r="V117" s="189"/>
      <c r="AL117" s="464"/>
      <c r="AM117" s="464"/>
      <c r="AN117" s="464"/>
      <c r="AO117" s="464"/>
    </row>
    <row r="118" spans="22:41" x14ac:dyDescent="0.2">
      <c r="V118" s="189"/>
      <c r="AL118" s="464"/>
      <c r="AM118" s="464"/>
      <c r="AN118" s="464"/>
      <c r="AO118" s="464"/>
    </row>
    <row r="119" spans="22:41" x14ac:dyDescent="0.2">
      <c r="V119" s="189"/>
      <c r="AL119" s="464"/>
      <c r="AM119" s="464"/>
      <c r="AN119" s="464"/>
      <c r="AO119" s="464"/>
    </row>
    <row r="120" spans="22:41" x14ac:dyDescent="0.2">
      <c r="V120" s="189"/>
      <c r="AL120" s="464"/>
      <c r="AM120" s="464"/>
      <c r="AN120" s="464"/>
      <c r="AO120" s="464"/>
    </row>
    <row r="121" spans="22:41" x14ac:dyDescent="0.2">
      <c r="V121" s="189"/>
      <c r="AL121" s="464"/>
      <c r="AM121" s="464"/>
      <c r="AN121" s="464"/>
      <c r="AO121" s="464"/>
    </row>
    <row r="122" spans="22:41" x14ac:dyDescent="0.2">
      <c r="V122" s="189"/>
      <c r="AL122" s="464"/>
      <c r="AM122" s="464"/>
      <c r="AN122" s="464"/>
      <c r="AO122" s="464"/>
    </row>
    <row r="123" spans="22:41" x14ac:dyDescent="0.2">
      <c r="V123" s="189"/>
      <c r="AL123" s="464"/>
      <c r="AM123" s="464"/>
      <c r="AN123" s="464"/>
      <c r="AO123" s="464"/>
    </row>
    <row r="124" spans="22:41" x14ac:dyDescent="0.2">
      <c r="V124" s="189"/>
      <c r="AL124" s="464"/>
      <c r="AM124" s="464"/>
      <c r="AN124" s="464"/>
      <c r="AO124" s="464"/>
    </row>
    <row r="125" spans="22:41" x14ac:dyDescent="0.2">
      <c r="V125" s="189"/>
      <c r="AL125" s="464"/>
      <c r="AM125" s="464"/>
      <c r="AN125" s="464"/>
      <c r="AO125" s="464"/>
    </row>
    <row r="126" spans="22:41" x14ac:dyDescent="0.2">
      <c r="V126" s="189"/>
      <c r="AL126" s="464"/>
      <c r="AM126" s="464"/>
      <c r="AN126" s="464"/>
      <c r="AO126" s="464"/>
    </row>
    <row r="127" spans="22:41" x14ac:dyDescent="0.2">
      <c r="V127" s="189"/>
      <c r="AL127" s="464"/>
      <c r="AM127" s="464"/>
      <c r="AN127" s="464"/>
      <c r="AO127" s="464"/>
    </row>
    <row r="128" spans="22:41" x14ac:dyDescent="0.2">
      <c r="V128" s="189"/>
      <c r="AL128" s="464"/>
      <c r="AM128" s="464"/>
      <c r="AN128" s="464"/>
      <c r="AO128" s="464"/>
    </row>
    <row r="129" spans="22:41" x14ac:dyDescent="0.2">
      <c r="V129" s="189"/>
      <c r="AL129" s="464"/>
      <c r="AM129" s="464"/>
      <c r="AN129" s="464"/>
      <c r="AO129" s="464"/>
    </row>
    <row r="130" spans="22:41" x14ac:dyDescent="0.2">
      <c r="V130" s="189"/>
      <c r="AL130" s="464"/>
      <c r="AM130" s="464"/>
      <c r="AN130" s="464"/>
      <c r="AO130" s="464"/>
    </row>
    <row r="131" spans="22:41" x14ac:dyDescent="0.2">
      <c r="V131" s="189"/>
      <c r="AL131" s="464"/>
      <c r="AM131" s="464"/>
      <c r="AN131" s="464"/>
      <c r="AO131" s="464"/>
    </row>
    <row r="132" spans="22:41" x14ac:dyDescent="0.2">
      <c r="V132" s="189"/>
      <c r="AL132" s="464"/>
      <c r="AM132" s="464"/>
      <c r="AN132" s="464"/>
      <c r="AO132" s="464"/>
    </row>
    <row r="133" spans="22:41" x14ac:dyDescent="0.2">
      <c r="V133" s="189"/>
      <c r="AL133" s="464"/>
      <c r="AM133" s="464"/>
      <c r="AN133" s="464"/>
      <c r="AO133" s="464"/>
    </row>
    <row r="134" spans="22:41" x14ac:dyDescent="0.2">
      <c r="V134" s="189"/>
      <c r="AL134" s="464"/>
      <c r="AM134" s="464"/>
      <c r="AN134" s="464"/>
      <c r="AO134" s="464"/>
    </row>
    <row r="135" spans="22:41" x14ac:dyDescent="0.2">
      <c r="V135" s="189"/>
      <c r="AL135" s="464"/>
      <c r="AM135" s="464"/>
      <c r="AN135" s="464"/>
      <c r="AO135" s="464"/>
    </row>
    <row r="136" spans="22:41" x14ac:dyDescent="0.2">
      <c r="V136" s="189"/>
      <c r="AL136" s="464"/>
      <c r="AM136" s="464"/>
      <c r="AN136" s="464"/>
      <c r="AO136" s="464"/>
    </row>
    <row r="137" spans="22:41" x14ac:dyDescent="0.2">
      <c r="V137" s="189"/>
      <c r="AL137" s="464"/>
      <c r="AM137" s="464"/>
      <c r="AN137" s="464"/>
      <c r="AO137" s="464"/>
    </row>
    <row r="138" spans="22:41" x14ac:dyDescent="0.2">
      <c r="V138" s="189"/>
      <c r="AL138" s="464"/>
      <c r="AM138" s="464"/>
      <c r="AN138" s="464"/>
      <c r="AO138" s="464"/>
    </row>
    <row r="139" spans="22:41" x14ac:dyDescent="0.2">
      <c r="V139" s="189"/>
      <c r="AL139" s="464"/>
      <c r="AM139" s="464"/>
      <c r="AN139" s="464"/>
      <c r="AO139" s="464"/>
    </row>
    <row r="140" spans="22:41" x14ac:dyDescent="0.2">
      <c r="V140" s="189"/>
      <c r="AL140" s="464"/>
      <c r="AM140" s="464"/>
      <c r="AN140" s="464"/>
      <c r="AO140" s="464"/>
    </row>
    <row r="141" spans="22:41" x14ac:dyDescent="0.2">
      <c r="V141" s="189"/>
      <c r="AL141" s="464"/>
      <c r="AM141" s="464"/>
      <c r="AN141" s="464"/>
      <c r="AO141" s="464"/>
    </row>
    <row r="142" spans="22:41" x14ac:dyDescent="0.2">
      <c r="V142" s="189"/>
      <c r="AL142" s="464"/>
      <c r="AM142" s="464"/>
      <c r="AN142" s="464"/>
      <c r="AO142" s="464"/>
    </row>
    <row r="143" spans="22:41" x14ac:dyDescent="0.2">
      <c r="V143" s="189"/>
      <c r="AL143" s="464"/>
      <c r="AM143" s="464"/>
      <c r="AN143" s="464"/>
      <c r="AO143" s="464"/>
    </row>
    <row r="144" spans="22:41" x14ac:dyDescent="0.2">
      <c r="V144" s="189"/>
      <c r="AL144" s="464"/>
      <c r="AM144" s="464"/>
      <c r="AN144" s="464"/>
      <c r="AO144" s="464"/>
    </row>
    <row r="145" spans="22:41" x14ac:dyDescent="0.2">
      <c r="V145" s="189"/>
      <c r="AL145" s="464"/>
      <c r="AM145" s="464"/>
      <c r="AN145" s="464"/>
      <c r="AO145" s="464"/>
    </row>
    <row r="146" spans="22:41" x14ac:dyDescent="0.2">
      <c r="V146" s="189"/>
      <c r="AL146" s="464"/>
      <c r="AM146" s="464"/>
      <c r="AN146" s="464"/>
      <c r="AO146" s="464"/>
    </row>
    <row r="147" spans="22:41" x14ac:dyDescent="0.2">
      <c r="V147" s="189"/>
      <c r="AL147" s="464"/>
      <c r="AM147" s="464"/>
      <c r="AN147" s="464"/>
      <c r="AO147" s="464"/>
    </row>
    <row r="148" spans="22:41" x14ac:dyDescent="0.2">
      <c r="V148" s="189"/>
      <c r="AL148" s="464"/>
      <c r="AM148" s="464"/>
      <c r="AN148" s="464"/>
      <c r="AO148" s="464"/>
    </row>
    <row r="149" spans="22:41" x14ac:dyDescent="0.2">
      <c r="V149" s="189"/>
      <c r="AL149" s="464"/>
      <c r="AM149" s="464"/>
      <c r="AN149" s="464"/>
      <c r="AO149" s="464"/>
    </row>
    <row r="150" spans="22:41" x14ac:dyDescent="0.2">
      <c r="V150" s="189"/>
      <c r="AL150" s="464"/>
      <c r="AM150" s="464"/>
      <c r="AN150" s="464"/>
      <c r="AO150" s="464"/>
    </row>
    <row r="151" spans="22:41" x14ac:dyDescent="0.2">
      <c r="V151" s="189"/>
      <c r="AL151" s="464"/>
      <c r="AM151" s="464"/>
      <c r="AN151" s="464"/>
      <c r="AO151" s="464"/>
    </row>
    <row r="152" spans="22:41" x14ac:dyDescent="0.2">
      <c r="V152" s="189"/>
      <c r="AL152" s="464"/>
      <c r="AM152" s="464"/>
      <c r="AN152" s="464"/>
      <c r="AO152" s="464"/>
    </row>
    <row r="153" spans="22:41" x14ac:dyDescent="0.2">
      <c r="V153" s="189"/>
      <c r="AL153" s="464"/>
      <c r="AM153" s="464"/>
      <c r="AN153" s="464"/>
      <c r="AO153" s="464"/>
    </row>
    <row r="154" spans="22:41" x14ac:dyDescent="0.2">
      <c r="V154" s="189"/>
      <c r="AL154" s="464"/>
      <c r="AM154" s="464"/>
      <c r="AN154" s="464"/>
      <c r="AO154" s="464"/>
    </row>
    <row r="155" spans="22:41" x14ac:dyDescent="0.2">
      <c r="V155" s="189"/>
      <c r="AL155" s="464"/>
      <c r="AM155" s="464"/>
      <c r="AN155" s="464"/>
      <c r="AO155" s="464"/>
    </row>
    <row r="156" spans="22:41" x14ac:dyDescent="0.2">
      <c r="V156" s="189"/>
      <c r="AL156" s="464"/>
      <c r="AM156" s="464"/>
      <c r="AN156" s="464"/>
      <c r="AO156" s="464"/>
    </row>
    <row r="157" spans="22:41" x14ac:dyDescent="0.2">
      <c r="V157" s="189"/>
      <c r="AL157" s="464"/>
      <c r="AM157" s="464"/>
      <c r="AN157" s="464"/>
      <c r="AO157" s="464"/>
    </row>
    <row r="158" spans="22:41" x14ac:dyDescent="0.2">
      <c r="V158" s="189"/>
      <c r="AL158" s="464"/>
      <c r="AM158" s="464"/>
      <c r="AN158" s="464"/>
      <c r="AO158" s="464"/>
    </row>
    <row r="159" spans="22:41" x14ac:dyDescent="0.2">
      <c r="V159" s="189"/>
      <c r="AL159" s="464"/>
      <c r="AM159" s="464"/>
      <c r="AN159" s="464"/>
      <c r="AO159" s="464"/>
    </row>
    <row r="160" spans="22:41" x14ac:dyDescent="0.2">
      <c r="V160" s="189"/>
      <c r="AL160" s="464"/>
      <c r="AM160" s="464"/>
      <c r="AN160" s="464"/>
      <c r="AO160" s="464"/>
    </row>
    <row r="161" spans="22:41" x14ac:dyDescent="0.2">
      <c r="V161" s="189"/>
      <c r="AL161" s="464"/>
      <c r="AM161" s="464"/>
      <c r="AN161" s="464"/>
      <c r="AO161" s="464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pans="3:3" s="189" customFormat="1" x14ac:dyDescent="0.2">
      <c r="C177" s="827"/>
    </row>
    <row r="178" spans="3:3" s="189" customFormat="1" x14ac:dyDescent="0.2">
      <c r="C178" s="827"/>
    </row>
    <row r="179" spans="3:3" s="189" customFormat="1" x14ac:dyDescent="0.2">
      <c r="C179" s="827"/>
    </row>
    <row r="180" spans="3:3" s="189" customFormat="1" x14ac:dyDescent="0.2">
      <c r="C180" s="827"/>
    </row>
    <row r="181" spans="3:3" s="189" customFormat="1" x14ac:dyDescent="0.2">
      <c r="C181" s="827"/>
    </row>
    <row r="182" spans="3:3" s="189" customFormat="1" x14ac:dyDescent="0.2">
      <c r="C182" s="827"/>
    </row>
    <row r="183" spans="3:3" s="189" customFormat="1" x14ac:dyDescent="0.2">
      <c r="C183" s="827"/>
    </row>
    <row r="184" spans="3:3" s="189" customFormat="1" x14ac:dyDescent="0.2">
      <c r="C184" s="827"/>
    </row>
    <row r="185" spans="3:3" s="189" customFormat="1" x14ac:dyDescent="0.2">
      <c r="C185" s="827"/>
    </row>
    <row r="186" spans="3:3" s="189" customFormat="1" x14ac:dyDescent="0.2">
      <c r="C186" s="827"/>
    </row>
    <row r="187" spans="3:3" s="189" customFormat="1" x14ac:dyDescent="0.2">
      <c r="C187" s="827"/>
    </row>
    <row r="188" spans="3:3" s="189" customFormat="1" x14ac:dyDescent="0.2">
      <c r="C188" s="827"/>
    </row>
    <row r="189" spans="3:3" s="189" customFormat="1" x14ac:dyDescent="0.2">
      <c r="C189" s="827"/>
    </row>
    <row r="190" spans="3:3" s="189" customFormat="1" x14ac:dyDescent="0.2">
      <c r="C190" s="827"/>
    </row>
    <row r="191" spans="3:3" s="189" customFormat="1" x14ac:dyDescent="0.2">
      <c r="C191" s="827"/>
    </row>
    <row r="192" spans="3:3" s="189" customFormat="1" x14ac:dyDescent="0.2">
      <c r="C192" s="827"/>
    </row>
    <row r="193" spans="3:3" s="189" customFormat="1" x14ac:dyDescent="0.2">
      <c r="C193" s="827"/>
    </row>
    <row r="194" spans="3:3" s="189" customFormat="1" x14ac:dyDescent="0.2">
      <c r="C194" s="827"/>
    </row>
    <row r="195" spans="3:3" s="189" customFormat="1" x14ac:dyDescent="0.2">
      <c r="C195" s="827"/>
    </row>
    <row r="196" spans="3:3" s="189" customFormat="1" x14ac:dyDescent="0.2">
      <c r="C196" s="827"/>
    </row>
    <row r="197" spans="3:3" s="189" customFormat="1" x14ac:dyDescent="0.2">
      <c r="C197" s="827"/>
    </row>
    <row r="198" spans="3:3" s="189" customFormat="1" x14ac:dyDescent="0.2">
      <c r="C198" s="827"/>
    </row>
    <row r="199" spans="3:3" s="189" customFormat="1" x14ac:dyDescent="0.2">
      <c r="C199" s="827"/>
    </row>
    <row r="200" spans="3:3" s="189" customFormat="1" x14ac:dyDescent="0.2">
      <c r="C200" s="827"/>
    </row>
    <row r="201" spans="3:3" s="189" customFormat="1" x14ac:dyDescent="0.2">
      <c r="C201" s="827"/>
    </row>
    <row r="202" spans="3:3" s="189" customFormat="1" x14ac:dyDescent="0.2">
      <c r="C202" s="827"/>
    </row>
    <row r="203" spans="3:3" s="189" customFormat="1" x14ac:dyDescent="0.2">
      <c r="C203" s="827"/>
    </row>
    <row r="204" spans="3:3" s="189" customFormat="1" x14ac:dyDescent="0.2">
      <c r="C204" s="827"/>
    </row>
    <row r="205" spans="3:3" s="189" customFormat="1" x14ac:dyDescent="0.2">
      <c r="C205" s="827"/>
    </row>
    <row r="206" spans="3:3" s="189" customFormat="1" x14ac:dyDescent="0.2">
      <c r="C206" s="827"/>
    </row>
    <row r="207" spans="3:3" s="189" customFormat="1" x14ac:dyDescent="0.2">
      <c r="C207" s="827"/>
    </row>
    <row r="208" spans="3:3" s="189" customFormat="1" x14ac:dyDescent="0.2">
      <c r="C208" s="827"/>
    </row>
    <row r="209" spans="3:3" s="189" customFormat="1" x14ac:dyDescent="0.2">
      <c r="C209" s="827"/>
    </row>
    <row r="210" spans="3:3" s="189" customFormat="1" x14ac:dyDescent="0.2">
      <c r="C210" s="827"/>
    </row>
    <row r="211" spans="3:3" s="189" customFormat="1" x14ac:dyDescent="0.2">
      <c r="C211" s="827"/>
    </row>
    <row r="212" spans="3:3" s="189" customFormat="1" x14ac:dyDescent="0.2">
      <c r="C212" s="827"/>
    </row>
    <row r="213" spans="3:3" s="189" customFormat="1" x14ac:dyDescent="0.2">
      <c r="C213" s="827"/>
    </row>
    <row r="214" spans="3:3" s="189" customFormat="1" x14ac:dyDescent="0.2">
      <c r="C214" s="827"/>
    </row>
    <row r="215" spans="3:3" s="189" customFormat="1" x14ac:dyDescent="0.2">
      <c r="C215" s="827"/>
    </row>
    <row r="216" spans="3:3" s="189" customFormat="1" x14ac:dyDescent="0.2">
      <c r="C216" s="827"/>
    </row>
    <row r="217" spans="3:3" s="189" customFormat="1" x14ac:dyDescent="0.2">
      <c r="C217" s="827"/>
    </row>
    <row r="218" spans="3:3" s="189" customFormat="1" x14ac:dyDescent="0.2">
      <c r="C218" s="827"/>
    </row>
    <row r="219" spans="3:3" s="189" customFormat="1" x14ac:dyDescent="0.2">
      <c r="C219" s="827"/>
    </row>
    <row r="220" spans="3:3" s="189" customFormat="1" x14ac:dyDescent="0.2">
      <c r="C220" s="827"/>
    </row>
    <row r="221" spans="3:3" s="189" customFormat="1" x14ac:dyDescent="0.2">
      <c r="C221" s="827"/>
    </row>
    <row r="222" spans="3:3" s="189" customFormat="1" x14ac:dyDescent="0.2">
      <c r="C222" s="827"/>
    </row>
    <row r="223" spans="3:3" s="189" customFormat="1" x14ac:dyDescent="0.2">
      <c r="C223" s="827"/>
    </row>
    <row r="224" spans="3:3" s="189" customFormat="1" x14ac:dyDescent="0.2">
      <c r="C224" s="827"/>
    </row>
    <row r="225" spans="3:3" s="189" customFormat="1" x14ac:dyDescent="0.2">
      <c r="C225" s="827"/>
    </row>
    <row r="226" spans="3:3" s="189" customFormat="1" x14ac:dyDescent="0.2">
      <c r="C226" s="827"/>
    </row>
    <row r="227" spans="3:3" s="189" customFormat="1" x14ac:dyDescent="0.2">
      <c r="C227" s="827"/>
    </row>
    <row r="228" spans="3:3" s="189" customFormat="1" x14ac:dyDescent="0.2">
      <c r="C228" s="827"/>
    </row>
    <row r="229" spans="3:3" s="189" customFormat="1" x14ac:dyDescent="0.2">
      <c r="C229" s="827"/>
    </row>
    <row r="230" spans="3:3" s="189" customFormat="1" x14ac:dyDescent="0.2">
      <c r="C230" s="827"/>
    </row>
    <row r="231" spans="3:3" s="189" customFormat="1" x14ac:dyDescent="0.2">
      <c r="C231" s="827"/>
    </row>
    <row r="232" spans="3:3" s="189" customFormat="1" x14ac:dyDescent="0.2">
      <c r="C232" s="827"/>
    </row>
    <row r="233" spans="3:3" s="189" customFormat="1" x14ac:dyDescent="0.2">
      <c r="C233" s="827"/>
    </row>
    <row r="234" spans="3:3" s="189" customFormat="1" x14ac:dyDescent="0.2">
      <c r="C234" s="827"/>
    </row>
    <row r="235" spans="3:3" s="189" customFormat="1" x14ac:dyDescent="0.2">
      <c r="C235" s="827"/>
    </row>
    <row r="236" spans="3:3" s="189" customFormat="1" x14ac:dyDescent="0.2">
      <c r="C236" s="827"/>
    </row>
    <row r="237" spans="3:3" s="189" customFormat="1" x14ac:dyDescent="0.2">
      <c r="C237" s="827"/>
    </row>
    <row r="238" spans="3:3" s="189" customFormat="1" x14ac:dyDescent="0.2">
      <c r="C238" s="827"/>
    </row>
    <row r="239" spans="3:3" s="189" customFormat="1" x14ac:dyDescent="0.2">
      <c r="C239" s="827"/>
    </row>
    <row r="240" spans="3:3" s="189" customFormat="1" x14ac:dyDescent="0.2">
      <c r="C240" s="827"/>
    </row>
    <row r="241" spans="3:3" s="189" customFormat="1" x14ac:dyDescent="0.2">
      <c r="C241" s="827"/>
    </row>
    <row r="242" spans="3:3" s="189" customFormat="1" x14ac:dyDescent="0.2">
      <c r="C242" s="827"/>
    </row>
    <row r="243" spans="3:3" s="189" customFormat="1" x14ac:dyDescent="0.2">
      <c r="C243" s="827"/>
    </row>
    <row r="244" spans="3:3" s="189" customFormat="1" x14ac:dyDescent="0.2">
      <c r="C244" s="827"/>
    </row>
    <row r="245" spans="3:3" s="189" customFormat="1" x14ac:dyDescent="0.2">
      <c r="C245" s="827"/>
    </row>
    <row r="246" spans="3:3" s="189" customFormat="1" x14ac:dyDescent="0.2">
      <c r="C246" s="827"/>
    </row>
    <row r="247" spans="3:3" s="189" customFormat="1" x14ac:dyDescent="0.2">
      <c r="C247" s="827"/>
    </row>
    <row r="248" spans="3:3" s="189" customFormat="1" x14ac:dyDescent="0.2">
      <c r="C248" s="827"/>
    </row>
    <row r="249" spans="3:3" s="189" customFormat="1" x14ac:dyDescent="0.2">
      <c r="C249" s="827"/>
    </row>
    <row r="250" spans="3:3" s="189" customFormat="1" x14ac:dyDescent="0.2">
      <c r="C250" s="827"/>
    </row>
    <row r="251" spans="3:3" s="189" customFormat="1" x14ac:dyDescent="0.2">
      <c r="C251" s="827"/>
    </row>
    <row r="252" spans="3:3" s="189" customFormat="1" x14ac:dyDescent="0.2">
      <c r="C252" s="827"/>
    </row>
    <row r="253" spans="3:3" s="189" customFormat="1" x14ac:dyDescent="0.2">
      <c r="C253" s="827"/>
    </row>
    <row r="254" spans="3:3" s="189" customFormat="1" x14ac:dyDescent="0.2">
      <c r="C254" s="827"/>
    </row>
    <row r="255" spans="3:3" s="189" customFormat="1" x14ac:dyDescent="0.2">
      <c r="C255" s="827"/>
    </row>
    <row r="256" spans="3:3" s="189" customFormat="1" x14ac:dyDescent="0.2">
      <c r="C256" s="827"/>
    </row>
    <row r="257" spans="3:3" s="189" customFormat="1" x14ac:dyDescent="0.2">
      <c r="C257" s="827"/>
    </row>
    <row r="258" spans="3:3" s="189" customFormat="1" x14ac:dyDescent="0.2">
      <c r="C258" s="827"/>
    </row>
    <row r="259" spans="3:3" s="189" customFormat="1" x14ac:dyDescent="0.2">
      <c r="C259" s="827"/>
    </row>
    <row r="260" spans="3:3" s="189" customFormat="1" x14ac:dyDescent="0.2">
      <c r="C260" s="827"/>
    </row>
    <row r="261" spans="3:3" s="189" customFormat="1" x14ac:dyDescent="0.2">
      <c r="C261" s="827"/>
    </row>
    <row r="262" spans="3:3" s="189" customFormat="1" x14ac:dyDescent="0.2">
      <c r="C262" s="827"/>
    </row>
    <row r="263" spans="3:3" s="189" customFormat="1" x14ac:dyDescent="0.2">
      <c r="C263" s="827"/>
    </row>
    <row r="264" spans="3:3" s="189" customFormat="1" x14ac:dyDescent="0.2">
      <c r="C264" s="827"/>
    </row>
    <row r="265" spans="3:3" s="189" customFormat="1" x14ac:dyDescent="0.2">
      <c r="C265" s="827"/>
    </row>
    <row r="266" spans="3:3" s="189" customFormat="1" x14ac:dyDescent="0.2">
      <c r="C266" s="827"/>
    </row>
    <row r="267" spans="3:3" s="189" customFormat="1" x14ac:dyDescent="0.2">
      <c r="C267" s="827"/>
    </row>
    <row r="268" spans="3:3" s="189" customFormat="1" x14ac:dyDescent="0.2">
      <c r="C268" s="827"/>
    </row>
    <row r="269" spans="3:3" s="189" customFormat="1" x14ac:dyDescent="0.2">
      <c r="C269" s="827"/>
    </row>
    <row r="270" spans="3:3" s="189" customFormat="1" x14ac:dyDescent="0.2">
      <c r="C270" s="827"/>
    </row>
    <row r="271" spans="3:3" s="189" customFormat="1" x14ac:dyDescent="0.2">
      <c r="C271" s="827"/>
    </row>
    <row r="272" spans="3:3" s="189" customFormat="1" x14ac:dyDescent="0.2">
      <c r="C272" s="827"/>
    </row>
    <row r="273" spans="3:3" s="189" customFormat="1" x14ac:dyDescent="0.2">
      <c r="C273" s="827"/>
    </row>
    <row r="274" spans="3:3" s="189" customFormat="1" x14ac:dyDescent="0.2">
      <c r="C274" s="827"/>
    </row>
    <row r="275" spans="3:3" s="189" customFormat="1" x14ac:dyDescent="0.2">
      <c r="C275" s="827"/>
    </row>
    <row r="276" spans="3:3" s="189" customFormat="1" x14ac:dyDescent="0.2">
      <c r="C276" s="827"/>
    </row>
    <row r="277" spans="3:3" s="189" customFormat="1" x14ac:dyDescent="0.2">
      <c r="C277" s="827"/>
    </row>
    <row r="278" spans="3:3" s="189" customFormat="1" x14ac:dyDescent="0.2">
      <c r="C278" s="827"/>
    </row>
    <row r="279" spans="3:3" s="189" customFormat="1" x14ac:dyDescent="0.2">
      <c r="C279" s="827"/>
    </row>
    <row r="280" spans="3:3" s="189" customFormat="1" x14ac:dyDescent="0.2">
      <c r="C280" s="827"/>
    </row>
    <row r="281" spans="3:3" s="189" customFormat="1" x14ac:dyDescent="0.2">
      <c r="C281" s="827"/>
    </row>
    <row r="282" spans="3:3" s="189" customFormat="1" x14ac:dyDescent="0.2">
      <c r="C282" s="827"/>
    </row>
    <row r="283" spans="3:3" s="189" customFormat="1" x14ac:dyDescent="0.2">
      <c r="C283" s="827"/>
    </row>
    <row r="284" spans="3:3" s="189" customFormat="1" x14ac:dyDescent="0.2">
      <c r="C284" s="827"/>
    </row>
    <row r="285" spans="3:3" s="189" customFormat="1" x14ac:dyDescent="0.2">
      <c r="C285" s="827"/>
    </row>
    <row r="286" spans="3:3" s="189" customFormat="1" x14ac:dyDescent="0.2">
      <c r="C286" s="827"/>
    </row>
    <row r="287" spans="3:3" s="189" customFormat="1" x14ac:dyDescent="0.2">
      <c r="C287" s="827"/>
    </row>
    <row r="288" spans="3:3" s="189" customFormat="1" x14ac:dyDescent="0.2">
      <c r="C288" s="827"/>
    </row>
    <row r="289" spans="3:3" s="189" customFormat="1" x14ac:dyDescent="0.2">
      <c r="C289" s="827"/>
    </row>
    <row r="290" spans="3:3" s="189" customFormat="1" x14ac:dyDescent="0.2">
      <c r="C290" s="827"/>
    </row>
    <row r="291" spans="3:3" s="189" customFormat="1" x14ac:dyDescent="0.2">
      <c r="C291" s="827"/>
    </row>
    <row r="292" spans="3:3" s="189" customFormat="1" x14ac:dyDescent="0.2">
      <c r="C292" s="827"/>
    </row>
    <row r="293" spans="3:3" s="189" customFormat="1" x14ac:dyDescent="0.2">
      <c r="C293" s="827"/>
    </row>
    <row r="294" spans="3:3" s="189" customFormat="1" x14ac:dyDescent="0.2">
      <c r="C294" s="827"/>
    </row>
    <row r="295" spans="3:3" s="189" customFormat="1" x14ac:dyDescent="0.2">
      <c r="C295" s="827"/>
    </row>
    <row r="296" spans="3:3" s="189" customFormat="1" x14ac:dyDescent="0.2">
      <c r="C296" s="827"/>
    </row>
    <row r="297" spans="3:3" s="189" customFormat="1" x14ac:dyDescent="0.2">
      <c r="C297" s="827"/>
    </row>
    <row r="298" spans="3:3" s="189" customFormat="1" x14ac:dyDescent="0.2">
      <c r="C298" s="827"/>
    </row>
    <row r="299" spans="3:3" s="189" customFormat="1" x14ac:dyDescent="0.2">
      <c r="C299" s="827"/>
    </row>
    <row r="300" spans="3:3" s="189" customFormat="1" x14ac:dyDescent="0.2">
      <c r="C300" s="827"/>
    </row>
    <row r="301" spans="3:3" s="189" customFormat="1" x14ac:dyDescent="0.2">
      <c r="C301" s="827"/>
    </row>
    <row r="302" spans="3:3" s="189" customFormat="1" x14ac:dyDescent="0.2">
      <c r="C302" s="827"/>
    </row>
    <row r="303" spans="3:3" s="189" customFormat="1" x14ac:dyDescent="0.2">
      <c r="C303" s="827"/>
    </row>
    <row r="304" spans="3:3" s="189" customFormat="1" x14ac:dyDescent="0.2">
      <c r="C304" s="827"/>
    </row>
    <row r="305" spans="3:3" s="189" customFormat="1" x14ac:dyDescent="0.2">
      <c r="C305" s="827"/>
    </row>
    <row r="306" spans="3:3" s="189" customFormat="1" x14ac:dyDescent="0.2">
      <c r="C306" s="827"/>
    </row>
    <row r="307" spans="3:3" s="189" customFormat="1" x14ac:dyDescent="0.2">
      <c r="C307" s="827"/>
    </row>
    <row r="308" spans="3:3" s="189" customFormat="1" x14ac:dyDescent="0.2">
      <c r="C308" s="827"/>
    </row>
    <row r="309" spans="3:3" s="189" customFormat="1" x14ac:dyDescent="0.2">
      <c r="C309" s="827"/>
    </row>
    <row r="310" spans="3:3" s="189" customFormat="1" x14ac:dyDescent="0.2">
      <c r="C310" s="827"/>
    </row>
    <row r="311" spans="3:3" s="189" customFormat="1" x14ac:dyDescent="0.2">
      <c r="C311" s="827"/>
    </row>
    <row r="312" spans="3:3" s="189" customFormat="1" x14ac:dyDescent="0.2">
      <c r="C312" s="827"/>
    </row>
    <row r="313" spans="3:3" s="189" customFormat="1" x14ac:dyDescent="0.2">
      <c r="C313" s="827"/>
    </row>
    <row r="314" spans="3:3" s="189" customFormat="1" x14ac:dyDescent="0.2">
      <c r="C314" s="827"/>
    </row>
    <row r="315" spans="3:3" s="189" customFormat="1" x14ac:dyDescent="0.2">
      <c r="C315" s="827"/>
    </row>
    <row r="316" spans="3:3" s="189" customFormat="1" x14ac:dyDescent="0.2">
      <c r="C316" s="827"/>
    </row>
    <row r="317" spans="3:3" s="189" customFormat="1" x14ac:dyDescent="0.2">
      <c r="C317" s="827"/>
    </row>
    <row r="318" spans="3:3" s="189" customFormat="1" x14ac:dyDescent="0.2">
      <c r="C318" s="827"/>
    </row>
    <row r="319" spans="3:3" s="189" customFormat="1" x14ac:dyDescent="0.2">
      <c r="C319" s="827"/>
    </row>
    <row r="320" spans="3:3" s="189" customFormat="1" x14ac:dyDescent="0.2">
      <c r="C320" s="827"/>
    </row>
    <row r="321" spans="3:3" s="189" customFormat="1" x14ac:dyDescent="0.2">
      <c r="C321" s="827"/>
    </row>
    <row r="322" spans="3:3" s="189" customFormat="1" x14ac:dyDescent="0.2">
      <c r="C322" s="827"/>
    </row>
    <row r="323" spans="3:3" s="189" customFormat="1" x14ac:dyDescent="0.2">
      <c r="C323" s="827"/>
    </row>
    <row r="324" spans="3:3" s="189" customFormat="1" x14ac:dyDescent="0.2">
      <c r="C324" s="827"/>
    </row>
    <row r="325" spans="3:3" s="189" customFormat="1" x14ac:dyDescent="0.2">
      <c r="C325" s="827"/>
    </row>
    <row r="326" spans="3:3" s="189" customFormat="1" x14ac:dyDescent="0.2">
      <c r="C326" s="827"/>
    </row>
    <row r="327" spans="3:3" s="189" customFormat="1" x14ac:dyDescent="0.2">
      <c r="C327" s="827"/>
    </row>
    <row r="328" spans="3:3" s="189" customFormat="1" x14ac:dyDescent="0.2">
      <c r="C328" s="827"/>
    </row>
    <row r="329" spans="3:3" s="189" customFormat="1" x14ac:dyDescent="0.2">
      <c r="C329" s="827"/>
    </row>
    <row r="330" spans="3:3" s="189" customFormat="1" x14ac:dyDescent="0.2">
      <c r="C330" s="827"/>
    </row>
    <row r="331" spans="3:3" s="189" customFormat="1" x14ac:dyDescent="0.2">
      <c r="C331" s="827"/>
    </row>
    <row r="332" spans="3:3" s="189" customFormat="1" x14ac:dyDescent="0.2">
      <c r="C332" s="827"/>
    </row>
    <row r="333" spans="3:3" s="189" customFormat="1" x14ac:dyDescent="0.2">
      <c r="C333" s="827"/>
    </row>
    <row r="334" spans="3:3" s="189" customFormat="1" x14ac:dyDescent="0.2">
      <c r="C334" s="827"/>
    </row>
    <row r="335" spans="3:3" s="189" customFormat="1" x14ac:dyDescent="0.2">
      <c r="C335" s="827"/>
    </row>
    <row r="336" spans="3:3" s="189" customFormat="1" x14ac:dyDescent="0.2">
      <c r="C336" s="827"/>
    </row>
    <row r="337" spans="3:3" s="189" customFormat="1" x14ac:dyDescent="0.2">
      <c r="C337" s="827"/>
    </row>
    <row r="338" spans="3:3" s="189" customFormat="1" x14ac:dyDescent="0.2">
      <c r="C338" s="827"/>
    </row>
    <row r="339" spans="3:3" s="189" customFormat="1" x14ac:dyDescent="0.2">
      <c r="C339" s="827"/>
    </row>
    <row r="340" spans="3:3" s="189" customFormat="1" x14ac:dyDescent="0.2">
      <c r="C340" s="827"/>
    </row>
    <row r="341" spans="3:3" s="189" customFormat="1" x14ac:dyDescent="0.2">
      <c r="C341" s="827"/>
    </row>
    <row r="342" spans="3:3" s="189" customFormat="1" x14ac:dyDescent="0.2">
      <c r="C342" s="827"/>
    </row>
    <row r="343" spans="3:3" s="189" customFormat="1" x14ac:dyDescent="0.2">
      <c r="C343" s="827"/>
    </row>
    <row r="344" spans="3:3" s="189" customFormat="1" x14ac:dyDescent="0.2">
      <c r="C344" s="827"/>
    </row>
    <row r="345" spans="3:3" s="189" customFormat="1" x14ac:dyDescent="0.2">
      <c r="C345" s="827"/>
    </row>
    <row r="346" spans="3:3" s="189" customFormat="1" x14ac:dyDescent="0.2">
      <c r="C346" s="827"/>
    </row>
    <row r="347" spans="3:3" s="189" customFormat="1" x14ac:dyDescent="0.2">
      <c r="C347" s="827"/>
    </row>
    <row r="348" spans="3:3" s="189" customFormat="1" x14ac:dyDescent="0.2">
      <c r="C348" s="827"/>
    </row>
    <row r="349" spans="3:3" s="189" customFormat="1" x14ac:dyDescent="0.2">
      <c r="C349" s="827"/>
    </row>
    <row r="350" spans="3:3" s="189" customFormat="1" x14ac:dyDescent="0.2">
      <c r="C350" s="827"/>
    </row>
    <row r="351" spans="3:3" s="189" customFormat="1" x14ac:dyDescent="0.2">
      <c r="C351" s="827"/>
    </row>
    <row r="352" spans="3:3" s="189" customFormat="1" x14ac:dyDescent="0.2">
      <c r="C352" s="827"/>
    </row>
    <row r="353" spans="3:3" s="189" customFormat="1" x14ac:dyDescent="0.2">
      <c r="C353" s="827"/>
    </row>
    <row r="354" spans="3:3" s="189" customFormat="1" x14ac:dyDescent="0.2">
      <c r="C354" s="827"/>
    </row>
    <row r="355" spans="3:3" s="189" customFormat="1" x14ac:dyDescent="0.2">
      <c r="C355" s="827"/>
    </row>
    <row r="356" spans="3:3" s="189" customFormat="1" x14ac:dyDescent="0.2">
      <c r="C356" s="827"/>
    </row>
    <row r="357" spans="3:3" s="189" customFormat="1" x14ac:dyDescent="0.2">
      <c r="C357" s="827"/>
    </row>
    <row r="358" spans="3:3" s="189" customFormat="1" x14ac:dyDescent="0.2">
      <c r="C358" s="827"/>
    </row>
    <row r="359" spans="3:3" s="189" customFormat="1" x14ac:dyDescent="0.2">
      <c r="C359" s="827"/>
    </row>
    <row r="360" spans="3:3" s="189" customFormat="1" x14ac:dyDescent="0.2">
      <c r="C360" s="827"/>
    </row>
    <row r="361" spans="3:3" s="189" customFormat="1" x14ac:dyDescent="0.2">
      <c r="C361" s="827"/>
    </row>
    <row r="362" spans="3:3" s="189" customFormat="1" x14ac:dyDescent="0.2">
      <c r="C362" s="827"/>
    </row>
    <row r="363" spans="3:3" s="189" customFormat="1" x14ac:dyDescent="0.2">
      <c r="C363" s="827"/>
    </row>
    <row r="364" spans="3:3" s="189" customFormat="1" x14ac:dyDescent="0.2">
      <c r="C364" s="827"/>
    </row>
    <row r="365" spans="3:3" s="189" customFormat="1" x14ac:dyDescent="0.2">
      <c r="C365" s="827"/>
    </row>
    <row r="366" spans="3:3" s="189" customFormat="1" x14ac:dyDescent="0.2">
      <c r="C366" s="827"/>
    </row>
    <row r="367" spans="3:3" s="189" customFormat="1" x14ac:dyDescent="0.2">
      <c r="C367" s="827"/>
    </row>
    <row r="368" spans="3:3" s="189" customFormat="1" x14ac:dyDescent="0.2">
      <c r="C368" s="827"/>
    </row>
    <row r="369" spans="3:3" s="189" customFormat="1" x14ac:dyDescent="0.2">
      <c r="C369" s="827"/>
    </row>
    <row r="370" spans="3:3" s="189" customFormat="1" x14ac:dyDescent="0.2">
      <c r="C370" s="827"/>
    </row>
    <row r="371" spans="3:3" s="189" customFormat="1" x14ac:dyDescent="0.2">
      <c r="C371" s="827"/>
    </row>
    <row r="372" spans="3:3" s="189" customFormat="1" x14ac:dyDescent="0.2">
      <c r="C372" s="827"/>
    </row>
    <row r="373" spans="3:3" s="189" customFormat="1" x14ac:dyDescent="0.2">
      <c r="C373" s="827"/>
    </row>
    <row r="374" spans="3:3" s="189" customFormat="1" x14ac:dyDescent="0.2">
      <c r="C374" s="827"/>
    </row>
    <row r="375" spans="3:3" s="189" customFormat="1" x14ac:dyDescent="0.2">
      <c r="C375" s="827"/>
    </row>
    <row r="376" spans="3:3" s="189" customFormat="1" x14ac:dyDescent="0.2">
      <c r="C376" s="827"/>
    </row>
    <row r="377" spans="3:3" s="189" customFormat="1" x14ac:dyDescent="0.2">
      <c r="C377" s="827"/>
    </row>
    <row r="378" spans="3:3" s="189" customFormat="1" x14ac:dyDescent="0.2">
      <c r="C378" s="827"/>
    </row>
    <row r="379" spans="3:3" s="189" customFormat="1" x14ac:dyDescent="0.2">
      <c r="C379" s="827"/>
    </row>
    <row r="380" spans="3:3" s="189" customFormat="1" x14ac:dyDescent="0.2">
      <c r="C380" s="827"/>
    </row>
    <row r="381" spans="3:3" s="189" customFormat="1" x14ac:dyDescent="0.2">
      <c r="C381" s="827"/>
    </row>
    <row r="382" spans="3:3" s="189" customFormat="1" x14ac:dyDescent="0.2">
      <c r="C382" s="827"/>
    </row>
    <row r="383" spans="3:3" s="189" customFormat="1" x14ac:dyDescent="0.2">
      <c r="C383" s="827"/>
    </row>
    <row r="384" spans="3:3" s="189" customFormat="1" x14ac:dyDescent="0.2">
      <c r="C384" s="827"/>
    </row>
    <row r="385" spans="3:3" s="189" customFormat="1" x14ac:dyDescent="0.2">
      <c r="C385" s="827"/>
    </row>
    <row r="386" spans="3:3" s="189" customFormat="1" x14ac:dyDescent="0.2">
      <c r="C386" s="827"/>
    </row>
    <row r="387" spans="3:3" s="189" customFormat="1" x14ac:dyDescent="0.2">
      <c r="C387" s="827"/>
    </row>
    <row r="388" spans="3:3" s="189" customFormat="1" x14ac:dyDescent="0.2">
      <c r="C388" s="827"/>
    </row>
    <row r="389" spans="3:3" s="189" customFormat="1" x14ac:dyDescent="0.2">
      <c r="C389" s="827"/>
    </row>
    <row r="390" spans="3:3" s="189" customFormat="1" x14ac:dyDescent="0.2">
      <c r="C390" s="827"/>
    </row>
    <row r="391" spans="3:3" s="189" customFormat="1" x14ac:dyDescent="0.2">
      <c r="C391" s="827"/>
    </row>
    <row r="392" spans="3:3" s="189" customFormat="1" x14ac:dyDescent="0.2">
      <c r="C392" s="827"/>
    </row>
    <row r="393" spans="3:3" s="189" customFormat="1" x14ac:dyDescent="0.2">
      <c r="C393" s="827"/>
    </row>
    <row r="394" spans="3:3" s="189" customFormat="1" x14ac:dyDescent="0.2">
      <c r="C394" s="827"/>
    </row>
    <row r="395" spans="3:3" s="189" customFormat="1" x14ac:dyDescent="0.2">
      <c r="C395" s="827"/>
    </row>
    <row r="396" spans="3:3" s="189" customFormat="1" x14ac:dyDescent="0.2">
      <c r="C396" s="827"/>
    </row>
    <row r="397" spans="3:3" s="189" customFormat="1" x14ac:dyDescent="0.2">
      <c r="C397" s="827"/>
    </row>
    <row r="398" spans="3:3" s="189" customFormat="1" x14ac:dyDescent="0.2">
      <c r="C398" s="827"/>
    </row>
    <row r="399" spans="3:3" s="189" customFormat="1" x14ac:dyDescent="0.2">
      <c r="C399" s="827"/>
    </row>
    <row r="400" spans="3:3" s="189" customFormat="1" x14ac:dyDescent="0.2">
      <c r="C400" s="827"/>
    </row>
    <row r="401" spans="3:3" s="189" customFormat="1" x14ac:dyDescent="0.2">
      <c r="C401" s="827"/>
    </row>
    <row r="402" spans="3:3" s="189" customFormat="1" x14ac:dyDescent="0.2">
      <c r="C402" s="827"/>
    </row>
    <row r="403" spans="3:3" s="189" customFormat="1" x14ac:dyDescent="0.2">
      <c r="C403" s="827"/>
    </row>
    <row r="404" spans="3:3" s="189" customFormat="1" x14ac:dyDescent="0.2">
      <c r="C404" s="827"/>
    </row>
    <row r="405" spans="3:3" s="189" customFormat="1" x14ac:dyDescent="0.2">
      <c r="C405" s="827"/>
    </row>
    <row r="406" spans="3:3" s="189" customFormat="1" x14ac:dyDescent="0.2">
      <c r="C406" s="827"/>
    </row>
    <row r="407" spans="3:3" s="189" customFormat="1" x14ac:dyDescent="0.2">
      <c r="C407" s="827"/>
    </row>
    <row r="408" spans="3:3" s="189" customFormat="1" x14ac:dyDescent="0.2">
      <c r="C408" s="827"/>
    </row>
    <row r="409" spans="3:3" s="189" customFormat="1" x14ac:dyDescent="0.2">
      <c r="C409" s="827"/>
    </row>
    <row r="410" spans="3:3" s="189" customFormat="1" x14ac:dyDescent="0.2">
      <c r="C410" s="827"/>
    </row>
    <row r="411" spans="3:3" s="189" customFormat="1" x14ac:dyDescent="0.2">
      <c r="C411" s="827"/>
    </row>
    <row r="412" spans="3:3" s="189" customFormat="1" x14ac:dyDescent="0.2">
      <c r="C412" s="827"/>
    </row>
    <row r="413" spans="3:3" s="189" customFormat="1" x14ac:dyDescent="0.2">
      <c r="C413" s="827"/>
    </row>
    <row r="414" spans="3:3" s="189" customFormat="1" x14ac:dyDescent="0.2">
      <c r="C414" s="827"/>
    </row>
  </sheetData>
  <mergeCells count="29"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  <mergeCell ref="I38:J38"/>
    <mergeCell ref="AA38:AB38"/>
    <mergeCell ref="L3:N3"/>
    <mergeCell ref="N4:N5"/>
    <mergeCell ref="S4:S5"/>
    <mergeCell ref="U4:U5"/>
    <mergeCell ref="P4:P5"/>
    <mergeCell ref="W4:W5"/>
    <mergeCell ref="AH3:AH5"/>
    <mergeCell ref="AG3:AG5"/>
    <mergeCell ref="AI3:AI5"/>
    <mergeCell ref="AJ3:AJ5"/>
    <mergeCell ref="AL3:AO3"/>
  </mergeCells>
  <phoneticPr fontId="0" type="noConversion"/>
  <conditionalFormatting sqref="B6">
    <cfRule type="expression" dxfId="119" priority="9">
      <formula>B6&lt;#REF!</formula>
    </cfRule>
  </conditionalFormatting>
  <conditionalFormatting sqref="B7:B35">
    <cfRule type="expression" dxfId="118" priority="16">
      <formula>B7&lt;B6</formula>
    </cfRule>
  </conditionalFormatting>
  <conditionalFormatting sqref="B11:B12">
    <cfRule type="expression" dxfId="117" priority="33">
      <formula>B11&lt;#REF!</formula>
    </cfRule>
  </conditionalFormatting>
  <conditionalFormatting sqref="C6:D6">
    <cfRule type="expression" dxfId="116" priority="10">
      <formula>C6&lt;C5</formula>
    </cfRule>
  </conditionalFormatting>
  <conditionalFormatting sqref="C7:D7 H7:J7 R7 T7 W7 AB7">
    <cfRule type="expression" dxfId="115" priority="20">
      <formula>C7&lt;#REF!</formula>
    </cfRule>
  </conditionalFormatting>
  <conditionalFormatting sqref="C8:D14">
    <cfRule type="expression" dxfId="114" priority="24">
      <formula>C8&lt;C7</formula>
    </cfRule>
  </conditionalFormatting>
  <conditionalFormatting sqref="C34:D34 E34:E37">
    <cfRule type="expression" dxfId="113" priority="816">
      <formula>C34&lt;C33</formula>
    </cfRule>
  </conditionalFormatting>
  <conditionalFormatting sqref="C35:D35 B36:B37">
    <cfRule type="expression" dxfId="112" priority="1030">
      <formula>B35&lt;#REF!</formula>
    </cfRule>
  </conditionalFormatting>
  <conditionalFormatting sqref="C36:D37">
    <cfRule type="expression" dxfId="111" priority="1043">
      <formula>C36&lt;C35</formula>
    </cfRule>
  </conditionalFormatting>
  <conditionalFormatting sqref="E6:E14">
    <cfRule type="expression" dxfId="110" priority="3">
      <formula>E6&lt;E5</formula>
    </cfRule>
  </conditionalFormatting>
  <conditionalFormatting sqref="F6:F37">
    <cfRule type="expression" dxfId="109" priority="21">
      <formula>F6&lt;#REF!</formula>
    </cfRule>
  </conditionalFormatting>
  <conditionalFormatting sqref="G6:G37">
    <cfRule type="expression" dxfId="108" priority="17">
      <formula>G6&lt;G5</formula>
    </cfRule>
  </conditionalFormatting>
  <conditionalFormatting sqref="G6:O6">
    <cfRule type="expression" dxfId="107" priority="2">
      <formula>G6&lt;G5</formula>
    </cfRule>
  </conditionalFormatting>
  <conditionalFormatting sqref="H19:I34">
    <cfRule type="expression" dxfId="106" priority="36">
      <formula>H19&lt;H18</formula>
    </cfRule>
  </conditionalFormatting>
  <conditionalFormatting sqref="H35:I35 P35:R35 T35 W35:Y35 AB35 AE35:AI35 P36:P37 S36:S37 X36:Y37">
    <cfRule type="expression" dxfId="105" priority="1029">
      <formula>H35&lt;#REF!</formula>
    </cfRule>
  </conditionalFormatting>
  <conditionalFormatting sqref="H8:J18">
    <cfRule type="expression" dxfId="104" priority="25">
      <formula>H8&lt;H7</formula>
    </cfRule>
  </conditionalFormatting>
  <conditionalFormatting sqref="J19:J35">
    <cfRule type="expression" dxfId="103" priority="37">
      <formula>J19&lt;J18</formula>
    </cfRule>
  </conditionalFormatting>
  <conditionalFormatting sqref="K9:L21">
    <cfRule type="expression" dxfId="102" priority="28">
      <formula>K9&lt;K8</formula>
    </cfRule>
  </conditionalFormatting>
  <conditionalFormatting sqref="K22:M22">
    <cfRule type="expression" dxfId="101" priority="38">
      <formula>K22&lt;K21</formula>
    </cfRule>
  </conditionalFormatting>
  <conditionalFormatting sqref="K7:O8">
    <cfRule type="expression" dxfId="100" priority="11">
      <formula>K7&lt;K6</formula>
    </cfRule>
  </conditionalFormatting>
  <conditionalFormatting sqref="K23:Z23 K24:K37">
    <cfRule type="expression" dxfId="99" priority="39">
      <formula>K23&lt;K22</formula>
    </cfRule>
  </conditionalFormatting>
  <conditionalFormatting sqref="L24:Z27 L28:AC28">
    <cfRule type="expression" dxfId="98" priority="41">
      <formula>L24&lt;L23</formula>
    </cfRule>
  </conditionalFormatting>
  <conditionalFormatting sqref="M9:M17">
    <cfRule type="expression" dxfId="97" priority="30">
      <formula>M9&lt;#REF!</formula>
    </cfRule>
  </conditionalFormatting>
  <conditionalFormatting sqref="N9:O12">
    <cfRule type="expression" dxfId="96" priority="29">
      <formula>N9&lt;N8</formula>
    </cfRule>
  </conditionalFormatting>
  <conditionalFormatting sqref="N13:T22">
    <cfRule type="expression" dxfId="95" priority="32">
      <formula>N13&lt;N12</formula>
    </cfRule>
  </conditionalFormatting>
  <conditionalFormatting sqref="O35:O37 U35:V37">
    <cfRule type="expression" dxfId="94" priority="943">
      <formula>O35&lt;O34</formula>
    </cfRule>
  </conditionalFormatting>
  <conditionalFormatting sqref="O34:T34 V34:AB34 L34:N37 S35 G36:J37">
    <cfRule type="expression" dxfId="93" priority="877">
      <formula>G34&lt;G33</formula>
    </cfRule>
  </conditionalFormatting>
  <conditionalFormatting sqref="P6 X6:Y6 S6:S8">
    <cfRule type="expression" dxfId="92" priority="8">
      <formula>P6&lt;#REF!</formula>
    </cfRule>
  </conditionalFormatting>
  <conditionalFormatting sqref="P8:P12 V8:V12">
    <cfRule type="expression" dxfId="91" priority="27">
      <formula>P8&lt;#REF!</formula>
    </cfRule>
  </conditionalFormatting>
  <conditionalFormatting sqref="P7:Q7">
    <cfRule type="expression" dxfId="90" priority="18">
      <formula>P7&lt;P6</formula>
    </cfRule>
  </conditionalFormatting>
  <conditionalFormatting sqref="Q36">
    <cfRule type="expression" dxfId="89" priority="1046">
      <formula>Q36&lt;#REF!</formula>
    </cfRule>
  </conditionalFormatting>
  <conditionalFormatting sqref="Q6:R6 T6:W6 Z6 AB6">
    <cfRule type="expression" dxfId="88" priority="7">
      <formula>Q6&lt;Q5</formula>
    </cfRule>
  </conditionalFormatting>
  <conditionalFormatting sqref="Q8:R8">
    <cfRule type="expression" dxfId="87" priority="26">
      <formula>Q8&lt;Q7</formula>
    </cfRule>
  </conditionalFormatting>
  <conditionalFormatting sqref="Q9:T12">
    <cfRule type="expression" dxfId="86" priority="31">
      <formula>Q9&lt;Q8</formula>
    </cfRule>
  </conditionalFormatting>
  <conditionalFormatting sqref="R36">
    <cfRule type="expression" dxfId="85" priority="1042">
      <formula>R36&lt;R35</formula>
    </cfRule>
  </conditionalFormatting>
  <conditionalFormatting sqref="T8 AB8:AC8 AE8:AI8 AB9:AI27">
    <cfRule type="expression" dxfId="84" priority="22">
      <formula>T8&lt;T7</formula>
    </cfRule>
  </conditionalFormatting>
  <conditionalFormatting sqref="U6:U22">
    <cfRule type="expression" dxfId="83" priority="5">
      <formula>U6&lt;U5</formula>
    </cfRule>
  </conditionalFormatting>
  <conditionalFormatting sqref="U34:U37">
    <cfRule type="expression" dxfId="82" priority="856">
      <formula>U34&lt;U33</formula>
    </cfRule>
  </conditionalFormatting>
  <conditionalFormatting sqref="V7">
    <cfRule type="expression" dxfId="81" priority="13">
      <formula>V7&lt;V6</formula>
    </cfRule>
  </conditionalFormatting>
  <conditionalFormatting sqref="V13:X14 C15:E33">
    <cfRule type="expression" dxfId="80" priority="35">
      <formula>C13&lt;C12</formula>
    </cfRule>
  </conditionalFormatting>
  <conditionalFormatting sqref="V15:Z22 M18:M21">
    <cfRule type="expression" dxfId="79" priority="34">
      <formula>M15&lt;M14</formula>
    </cfRule>
  </conditionalFormatting>
  <conditionalFormatting sqref="V29:AC29 AA30:AC30 Z30:Z31 V30:Y33 AA31:AB31 AC31:AC37 Z32:AB33">
    <cfRule type="expression" dxfId="78" priority="45">
      <formula>V29&lt;V28</formula>
    </cfRule>
  </conditionalFormatting>
  <conditionalFormatting sqref="W8:W12">
    <cfRule type="expression" dxfId="77" priority="23">
      <formula>W8&lt;W7</formula>
    </cfRule>
  </conditionalFormatting>
  <conditionalFormatting sqref="Y7:Z14">
    <cfRule type="expression" dxfId="76" priority="14">
      <formula>Y7&lt;Y6</formula>
    </cfRule>
  </conditionalFormatting>
  <conditionalFormatting sqref="AA6:AA12">
    <cfRule type="expression" dxfId="75" priority="4">
      <formula>AA6&lt;#REF!</formula>
    </cfRule>
  </conditionalFormatting>
  <conditionalFormatting sqref="AA6:AA37">
    <cfRule type="expression" dxfId="74" priority="12">
      <formula>AA6&lt;AA5</formula>
    </cfRule>
  </conditionalFormatting>
  <conditionalFormatting sqref="AA28:AA37">
    <cfRule type="expression" dxfId="73" priority="43">
      <formula>AA28&lt;#REF!</formula>
    </cfRule>
  </conditionalFormatting>
  <conditionalFormatting sqref="AC6:AC7">
    <cfRule type="expression" dxfId="72" priority="6">
      <formula>AC6&lt;AC5</formula>
    </cfRule>
  </conditionalFormatting>
  <conditionalFormatting sqref="AD28:AD37">
    <cfRule type="expression" dxfId="71" priority="40">
      <formula>AD28&lt;AD27</formula>
    </cfRule>
  </conditionalFormatting>
  <conditionalFormatting sqref="AD6:AI6">
    <cfRule type="expression" dxfId="70" priority="1">
      <formula>AD6&lt;AD5</formula>
    </cfRule>
  </conditionalFormatting>
  <conditionalFormatting sqref="AD7:AI7 X7:X12 AD8">
    <cfRule type="expression" dxfId="69" priority="15">
      <formula>X7&lt;#REF!</formula>
    </cfRule>
  </conditionalFormatting>
  <conditionalFormatting sqref="AE28:AI34 L29:U33">
    <cfRule type="expression" dxfId="68" priority="44">
      <formula>L28&lt;L27</formula>
    </cfRule>
  </conditionalFormatting>
  <conditionalFormatting sqref="AJ6:AJ37">
    <cfRule type="expression" dxfId="67" priority="19">
      <formula>AJ6&lt;AJ5</formula>
    </cfRule>
  </conditionalFormatting>
  <conditionalFormatting sqref="AK6:AK12">
    <cfRule type="expression" dxfId="66" priority="919">
      <formula>AK6&lt;AK5</formula>
    </cfRule>
  </conditionalFormatting>
  <conditionalFormatting sqref="AK13:AL15">
    <cfRule type="expression" dxfId="65" priority="999">
      <formula>AK13&lt;#REF!</formula>
    </cfRule>
  </conditionalFormatting>
  <conditionalFormatting sqref="AL9:AL14 AL15:AN34 AK16:AK37 AK20:AN21 Z35:Z37 T36:T37 W36:W37 AB36:AB37 AE36:AI37 Q37:R37">
    <cfRule type="expression" dxfId="64" priority="936">
      <formula>Q9&lt;Q8</formula>
    </cfRule>
  </conditionalFormatting>
  <conditionalFormatting sqref="AO9:AO34">
    <cfRule type="expression" dxfId="63" priority="944">
      <formula>AO9&lt;#REF!</formula>
    </cfRule>
  </conditionalFormatting>
  <pageMargins left="0.1" right="0.5" top="0.32" bottom="0.25" header="0.25" footer="0.25"/>
  <pageSetup paperSize="5" scale="26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AF54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AD51" sqref="AD51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5" width="15.5703125" style="699" customWidth="1"/>
    <col min="6" max="6" width="15.5703125" style="713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41"/>
    <col min="17" max="17" width="9.140625" style="353"/>
  </cols>
  <sheetData>
    <row r="2" spans="1:20" x14ac:dyDescent="0.2">
      <c r="J2" s="14" t="s">
        <v>1</v>
      </c>
    </row>
    <row r="3" spans="1:20" x14ac:dyDescent="0.2">
      <c r="J3" s="1" t="s">
        <v>0</v>
      </c>
    </row>
    <row r="5" spans="1:20" x14ac:dyDescent="0.2">
      <c r="A5" s="1" t="s">
        <v>2</v>
      </c>
      <c r="B5" s="1"/>
      <c r="C5" s="1"/>
      <c r="I5" s="3">
        <v>39295</v>
      </c>
      <c r="K5" s="3"/>
    </row>
    <row r="6" spans="1:20" ht="13.5" thickBot="1" x14ac:dyDescent="0.25"/>
    <row r="7" spans="1:20" ht="12.75" customHeight="1" x14ac:dyDescent="0.2">
      <c r="A7" s="930" t="s">
        <v>7</v>
      </c>
      <c r="B7" s="383"/>
      <c r="C7" s="383"/>
      <c r="D7" s="943" t="s">
        <v>254</v>
      </c>
      <c r="E7" s="946" t="s">
        <v>286</v>
      </c>
      <c r="F7" s="940" t="s">
        <v>287</v>
      </c>
      <c r="G7" s="936" t="s">
        <v>255</v>
      </c>
      <c r="H7" s="936" t="s">
        <v>256</v>
      </c>
      <c r="I7" s="383" t="s">
        <v>3</v>
      </c>
      <c r="J7" s="383" t="s">
        <v>4</v>
      </c>
      <c r="K7" s="390" t="s">
        <v>53</v>
      </c>
      <c r="L7" s="937" t="s">
        <v>17</v>
      </c>
      <c r="M7" s="938"/>
      <c r="N7" s="938"/>
      <c r="O7" s="938"/>
      <c r="P7" s="939"/>
      <c r="Q7" s="934" t="s">
        <v>11</v>
      </c>
      <c r="R7" s="935"/>
      <c r="S7" s="935"/>
      <c r="T7" s="935"/>
    </row>
    <row r="8" spans="1:20" x14ac:dyDescent="0.2">
      <c r="A8" s="931"/>
      <c r="B8" s="384" t="s">
        <v>257</v>
      </c>
      <c r="C8" s="384" t="s">
        <v>258</v>
      </c>
      <c r="D8" s="944"/>
      <c r="E8" s="947"/>
      <c r="F8" s="941"/>
      <c r="G8" s="936"/>
      <c r="H8" s="936"/>
      <c r="I8" s="383"/>
      <c r="J8" s="383"/>
      <c r="K8" s="390"/>
      <c r="L8" s="391"/>
      <c r="M8" s="383"/>
      <c r="N8" s="383"/>
      <c r="O8" s="383"/>
      <c r="P8" s="400"/>
      <c r="Q8" s="392" t="s">
        <v>14</v>
      </c>
      <c r="R8" s="383" t="s">
        <v>15</v>
      </c>
      <c r="S8" s="383" t="s">
        <v>9</v>
      </c>
      <c r="T8" s="383" t="s">
        <v>63</v>
      </c>
    </row>
    <row r="9" spans="1:20" x14ac:dyDescent="0.2">
      <c r="A9" s="932"/>
      <c r="B9" s="385"/>
      <c r="C9" s="385"/>
      <c r="D9" s="945"/>
      <c r="E9" s="948"/>
      <c r="F9" s="942"/>
      <c r="G9" s="383" t="s">
        <v>56</v>
      </c>
      <c r="H9" s="383" t="s">
        <v>56</v>
      </c>
      <c r="I9" s="383" t="s">
        <v>57</v>
      </c>
      <c r="J9" s="383" t="s">
        <v>58</v>
      </c>
      <c r="K9" s="390" t="s">
        <v>62</v>
      </c>
      <c r="L9" s="391" t="s">
        <v>5</v>
      </c>
      <c r="M9" s="383" t="s">
        <v>6</v>
      </c>
      <c r="N9" s="383" t="s">
        <v>8</v>
      </c>
      <c r="O9" s="383" t="s">
        <v>10</v>
      </c>
      <c r="P9" s="400" t="s">
        <v>12</v>
      </c>
      <c r="Q9" s="392" t="s">
        <v>13</v>
      </c>
      <c r="R9" s="383" t="s">
        <v>61</v>
      </c>
      <c r="S9" s="383" t="s">
        <v>16</v>
      </c>
      <c r="T9" s="383" t="s">
        <v>64</v>
      </c>
    </row>
    <row r="10" spans="1:20" s="35" customFormat="1" ht="15" x14ac:dyDescent="0.2">
      <c r="A10" s="726">
        <v>1</v>
      </c>
      <c r="B10" s="726">
        <f>IF('Entries September 2026'!I7&lt;'Entries September 2026'!I6,"0",(IF('Entries September 2026'!I7&gt;='Entries September 2026'!I6,'Entries September 2026'!I7-'Entries September 2026'!I6,(999999-'Entries September 2026'!I6)+'Entries September 2026'!I7+1)))</f>
        <v>8735</v>
      </c>
      <c r="C10" s="726" t="str">
        <f>IF('Entries September 2026'!J7&lt;='Entries September 2026'!J6,"0",IF('Entries September 2026'!J7&gt;='Entries September 2026'!J6,'Entries September 2026'!J7-'Entries September 2026'!J6,(999999-'Entries September 2026'!J6)+'Entries September 2026'!J7+1))</f>
        <v>0</v>
      </c>
      <c r="D10" s="727">
        <f>B10+C10</f>
        <v>8735</v>
      </c>
      <c r="E10" s="887">
        <v>1374.6</v>
      </c>
      <c r="F10" s="728">
        <f>IF((E10+D10)=0,"0",E10/(D10+E10))</f>
        <v>0.13596977130648094</v>
      </c>
      <c r="G10" s="744">
        <f>IF('Entries September 2026'!K7&lt;'Entries September 2026'!K6,"0",IF('Entries September 2026'!K7&gt;='Entries September 2026'!K6,'Entries September 2026'!K7-'Entries September 2026'!K6,(999999-'Entries September 2026'!K6)+'Entries September 2026'!K7+1))</f>
        <v>0</v>
      </c>
      <c r="H10" s="727">
        <f>D10+G10+E10</f>
        <v>10109.6</v>
      </c>
      <c r="I10" s="744">
        <f>'Water '!Z7*10</f>
        <v>4830</v>
      </c>
      <c r="J10" s="727">
        <f>IF('Entries September 2026'!B7-'Entries September 2026'!B6&lt;1,"0",'Entries September 2026'!B7-'Entries September 2026'!B6)</f>
        <v>3280</v>
      </c>
      <c r="K10" s="729">
        <f>'CO2'!E7</f>
        <v>2700</v>
      </c>
      <c r="L10" s="730">
        <f>+'PROD.FIG. '!F5</f>
        <v>0</v>
      </c>
      <c r="M10" s="727">
        <f>+'PROD.FIG. '!C5</f>
        <v>0</v>
      </c>
      <c r="N10" s="727">
        <f>+'PROD.FIG. '!D5</f>
        <v>0</v>
      </c>
      <c r="O10" s="727">
        <f>+'PROD.FIG. '!E5</f>
        <v>0</v>
      </c>
      <c r="P10" s="731" cm="1">
        <f t="array" ref="P10:P40">TRANSPOSE('Daily KPIs'!B9:AF9)</f>
        <v>493.416</v>
      </c>
      <c r="Q10" s="393">
        <f>IF(P10=0,0,H10/P10)</f>
        <v>20.488999140684534</v>
      </c>
      <c r="R10" s="393">
        <f>IF(Q10=0,0,I10/P10)</f>
        <v>9.7889002383384405</v>
      </c>
      <c r="S10" s="393">
        <f>IF(R10=0,0,J10/P10)</f>
        <v>6.6475347374223777</v>
      </c>
      <c r="T10" s="393">
        <f>IF(S10=0,0,K10/P10)</f>
        <v>5.4720560338537867</v>
      </c>
    </row>
    <row r="11" spans="1:20" ht="15" x14ac:dyDescent="0.2">
      <c r="A11" s="726">
        <v>2</v>
      </c>
      <c r="B11" s="726">
        <f>IF('Entries September 2026'!I8&lt;'Entries September 2026'!I7,"0",(IF('Entries September 2026'!I8&gt;='Entries September 2026'!I7,'Entries September 2026'!I8-'Entries September 2026'!I7,(999999-'Entries September 2026'!I7)+'Entries September 2026'!I8+1)))</f>
        <v>8438</v>
      </c>
      <c r="C11" s="726" t="str">
        <f>IF('Entries September 2026'!J8&lt;='Entries September 2026'!J7,"0",IF('Entries September 2026'!J8&gt;='Entries September 2026'!J7,'Entries September 2026'!J8-'Entries September 2026'!J7,(999999-'Entries September 2026'!J7)+'Entries September 2026'!J8+1))</f>
        <v>0</v>
      </c>
      <c r="D11" s="727">
        <f t="shared" ref="D11:D40" si="0">B11+C11</f>
        <v>8438</v>
      </c>
      <c r="E11" s="887">
        <v>1635.3</v>
      </c>
      <c r="F11" s="728">
        <f t="shared" ref="F11:F40" si="1">IF((E11+D11)=0,"0",E11/(D11+E11))</f>
        <v>0.16234004745217556</v>
      </c>
      <c r="G11" s="744">
        <f>IF('Entries September 2026'!K8&lt;'Entries September 2026'!K7,"0",IF('Entries September 2026'!K8&gt;='Entries September 2026'!K7,'Entries September 2026'!K8-'Entries September 2026'!K7,(999999-'Entries September 2026'!K7)+'Entries September 2026'!K8+1))</f>
        <v>0</v>
      </c>
      <c r="H11" s="727">
        <f t="shared" ref="H11:H40" si="2">D11+G11+E11</f>
        <v>10073.299999999999</v>
      </c>
      <c r="I11" s="744">
        <f>'Water '!Z8*10</f>
        <v>5020</v>
      </c>
      <c r="J11" s="727">
        <f>IF('Entries September 2026'!B8-'Entries September 2026'!B7&lt;1,"0",'Entries September 2026'!B8-'Entries September 2026'!B7)</f>
        <v>3540</v>
      </c>
      <c r="K11" s="729">
        <f>'CO2'!E8</f>
        <v>2900</v>
      </c>
      <c r="L11" s="730">
        <f>+'PROD.FIG. '!F6</f>
        <v>0</v>
      </c>
      <c r="M11" s="727">
        <f>+'PROD.FIG. '!C6</f>
        <v>0</v>
      </c>
      <c r="N11" s="727">
        <f>+'PROD.FIG. '!D6</f>
        <v>0</v>
      </c>
      <c r="O11" s="727">
        <f>+'PROD.FIG. '!E6</f>
        <v>0</v>
      </c>
      <c r="P11" s="731">
        <v>519.42000000000007</v>
      </c>
      <c r="Q11" s="393">
        <f t="shared" ref="Q11:Q40" si="3">IF(P11=0,0,H11/P11)</f>
        <v>19.3933618266528</v>
      </c>
      <c r="R11" s="393">
        <f t="shared" ref="R11:R40" si="4">IF(Q11=0,0,I11/P11)</f>
        <v>9.6646259289207173</v>
      </c>
      <c r="S11" s="393">
        <f t="shared" ref="S11:S40" si="5">IF(R11=0,0,J11/P11)</f>
        <v>6.8152939817488729</v>
      </c>
      <c r="T11" s="393">
        <f t="shared" ref="T11:T40" si="6">IF(S11=0,0,K11/P11)</f>
        <v>5.5831504370259131</v>
      </c>
    </row>
    <row r="12" spans="1:20" s="35" customFormat="1" ht="15" x14ac:dyDescent="0.2">
      <c r="A12" s="726">
        <v>3</v>
      </c>
      <c r="B12" s="726">
        <f>IF('Entries September 2026'!I9&lt;'Entries September 2026'!I8,"0",(IF('Entries September 2026'!I9&gt;='Entries September 2026'!I8,'Entries September 2026'!I9-'Entries September 2026'!I8,(999999-'Entries September 2026'!I8)+'Entries September 2026'!I9+1)))</f>
        <v>8694</v>
      </c>
      <c r="C12" s="726" t="str">
        <f>IF('Entries September 2026'!J9&lt;='Entries September 2026'!J8,"0",IF('Entries September 2026'!J9&gt;='Entries September 2026'!J8,'Entries September 2026'!J9-'Entries September 2026'!J8,(999999-'Entries September 2026'!J8)+'Entries September 2026'!J9+1))</f>
        <v>0</v>
      </c>
      <c r="D12" s="727">
        <f t="shared" si="0"/>
        <v>8694</v>
      </c>
      <c r="E12" s="887">
        <v>1611.6</v>
      </c>
      <c r="F12" s="728">
        <f t="shared" si="1"/>
        <v>0.15638099673963668</v>
      </c>
      <c r="G12" s="744">
        <f>IF('Entries September 2026'!K9&lt;'Entries September 2026'!K8,"0",IF('Entries September 2026'!K9&gt;='Entries September 2026'!K8,'Entries September 2026'!K9-'Entries September 2026'!K8,(999999-'Entries September 2026'!K8)+'Entries September 2026'!K9+1))</f>
        <v>0</v>
      </c>
      <c r="H12" s="727">
        <f t="shared" si="2"/>
        <v>10305.6</v>
      </c>
      <c r="I12" s="744">
        <f>'Water '!Z9*10</f>
        <v>3580</v>
      </c>
      <c r="J12" s="727">
        <f>IF('Entries September 2026'!B9-'Entries September 2026'!B8&lt;1,"0",'Entries September 2026'!B9-'Entries September 2026'!B8)</f>
        <v>3460</v>
      </c>
      <c r="K12" s="729">
        <f>'CO2'!E9</f>
        <v>2100</v>
      </c>
      <c r="L12" s="730">
        <f>+'PROD.FIG. '!F7</f>
        <v>0</v>
      </c>
      <c r="M12" s="727">
        <f>+'PROD.FIG. '!C7</f>
        <v>0</v>
      </c>
      <c r="N12" s="727">
        <f>+'PROD.FIG. '!D7</f>
        <v>0</v>
      </c>
      <c r="O12" s="727">
        <f>+'PROD.FIG. '!E7</f>
        <v>0</v>
      </c>
      <c r="P12" s="731">
        <v>447.678</v>
      </c>
      <c r="Q12" s="393">
        <f t="shared" si="3"/>
        <v>23.020117137764199</v>
      </c>
      <c r="R12" s="393">
        <f t="shared" si="4"/>
        <v>7.9968191423299784</v>
      </c>
      <c r="S12" s="393">
        <f t="shared" si="5"/>
        <v>7.7287693386764591</v>
      </c>
      <c r="T12" s="393">
        <f t="shared" si="6"/>
        <v>4.6908715639365797</v>
      </c>
    </row>
    <row r="13" spans="1:20" ht="15" x14ac:dyDescent="0.2">
      <c r="A13" s="726">
        <v>4</v>
      </c>
      <c r="B13" s="726">
        <f>IF('Entries September 2026'!I10&lt;'Entries September 2026'!I9,"0",(IF('Entries September 2026'!I10&gt;='Entries September 2026'!I9,'Entries September 2026'!I10-'Entries September 2026'!I9,(999999-'Entries September 2026'!I9)+'Entries September 2026'!I10+1)))</f>
        <v>5679</v>
      </c>
      <c r="C13" s="726" t="str">
        <f>IF('Entries September 2026'!J10&lt;='Entries September 2026'!J9,"0",IF('Entries September 2026'!J10&gt;='Entries September 2026'!J9,'Entries September 2026'!J10-'Entries September 2026'!J9,(999999-'Entries September 2026'!J9)+'Entries September 2026'!J10+1))</f>
        <v>0</v>
      </c>
      <c r="D13" s="727">
        <f t="shared" si="0"/>
        <v>5679</v>
      </c>
      <c r="E13" s="887">
        <v>1542</v>
      </c>
      <c r="F13" s="728">
        <f t="shared" si="1"/>
        <v>0.21354383049439135</v>
      </c>
      <c r="G13" s="744">
        <f>IF('Entries September 2026'!K10&lt;'Entries September 2026'!K9,"0",IF('Entries September 2026'!K10&gt;='Entries September 2026'!K9,'Entries September 2026'!K10-'Entries September 2026'!K9,(999999-'Entries September 2026'!K9)+'Entries September 2026'!K10+1))</f>
        <v>0</v>
      </c>
      <c r="H13" s="727">
        <f t="shared" si="2"/>
        <v>7221</v>
      </c>
      <c r="I13" s="744">
        <f>'Water '!Z10*10</f>
        <v>4560</v>
      </c>
      <c r="J13" s="727">
        <f>IF('Entries September 2026'!B10-'Entries September 2026'!B9&lt;1,"0",'Entries September 2026'!B10-'Entries September 2026'!B9)</f>
        <v>2040</v>
      </c>
      <c r="K13" s="729">
        <f>'CO2'!E10</f>
        <v>1100</v>
      </c>
      <c r="L13" s="730">
        <f>+'PROD.FIG. '!F8</f>
        <v>0</v>
      </c>
      <c r="M13" s="727">
        <f>+'PROD.FIG. '!C8</f>
        <v>0</v>
      </c>
      <c r="N13" s="727">
        <f>+'PROD.FIG. '!D8</f>
        <v>0</v>
      </c>
      <c r="O13" s="727">
        <f>+'PROD.FIG. '!E8</f>
        <v>0</v>
      </c>
      <c r="P13" s="731">
        <v>96.294000000000011</v>
      </c>
      <c r="Q13" s="393">
        <f t="shared" si="3"/>
        <v>74.989095893825152</v>
      </c>
      <c r="R13" s="393">
        <f t="shared" si="4"/>
        <v>47.354975387874632</v>
      </c>
      <c r="S13" s="393">
        <f t="shared" si="5"/>
        <v>21.185120568259702</v>
      </c>
      <c r="T13" s="393">
        <f t="shared" si="6"/>
        <v>11.423349326022388</v>
      </c>
    </row>
    <row r="14" spans="1:20" s="35" customFormat="1" ht="15" x14ac:dyDescent="0.2">
      <c r="A14" s="783">
        <v>5</v>
      </c>
      <c r="B14" s="783">
        <f>IF('Entries September 2026'!I11&lt;'Entries September 2026'!I10,"0",(IF('Entries September 2026'!I11&gt;='Entries September 2026'!I10,'Entries September 2026'!I11-'Entries September 2026'!I10,(999999-'Entries September 2026'!I10)+'Entries September 2026'!I11+1)))</f>
        <v>3385</v>
      </c>
      <c r="C14" s="783" t="str">
        <f>IF('Entries September 2026'!J11&lt;='Entries September 2026'!J10,"0",IF('Entries September 2026'!J11&gt;='Entries September 2026'!J10,'Entries September 2026'!J11-'Entries September 2026'!J10,(999999-'Entries September 2026'!J10)+'Entries September 2026'!J11+1))</f>
        <v>0</v>
      </c>
      <c r="D14" s="784">
        <f t="shared" si="0"/>
        <v>3385</v>
      </c>
      <c r="E14" s="889">
        <v>1552.4</v>
      </c>
      <c r="F14" s="785">
        <f t="shared" si="1"/>
        <v>0.31441649451128129</v>
      </c>
      <c r="G14" s="786">
        <f>IF('Entries September 2026'!K11&lt;'Entries September 2026'!K10,"0",IF('Entries September 2026'!K11&gt;='Entries September 2026'!K10,'Entries September 2026'!K11-'Entries September 2026'!K10,(999999-'Entries September 2026'!K10)+'Entries September 2026'!K11+1))</f>
        <v>0</v>
      </c>
      <c r="H14" s="784">
        <f t="shared" si="2"/>
        <v>4937.3999999999996</v>
      </c>
      <c r="I14" s="786">
        <f>'Water '!Z11*10</f>
        <v>0</v>
      </c>
      <c r="J14" s="784" t="str">
        <f>IF('Entries September 2026'!B11-'Entries September 2026'!B10&lt;1,"0",'Entries September 2026'!B11-'Entries September 2026'!B10)</f>
        <v>0</v>
      </c>
      <c r="K14" s="787">
        <f>'CO2'!E11</f>
        <v>-2400</v>
      </c>
      <c r="L14" s="788">
        <f>+'PROD.FIG. '!F9</f>
        <v>0</v>
      </c>
      <c r="M14" s="784">
        <f>+'PROD.FIG. '!C9</f>
        <v>0</v>
      </c>
      <c r="N14" s="784">
        <f>+'PROD.FIG. '!D9</f>
        <v>0</v>
      </c>
      <c r="O14" s="784">
        <f>+'PROD.FIG. '!E9</f>
        <v>0</v>
      </c>
      <c r="P14" s="789">
        <v>0</v>
      </c>
      <c r="Q14" s="393">
        <f t="shared" si="3"/>
        <v>0</v>
      </c>
      <c r="R14" s="393">
        <f t="shared" si="4"/>
        <v>0</v>
      </c>
      <c r="S14" s="393">
        <f t="shared" si="5"/>
        <v>0</v>
      </c>
      <c r="T14" s="393">
        <f t="shared" si="6"/>
        <v>0</v>
      </c>
    </row>
    <row r="15" spans="1:20" ht="15" x14ac:dyDescent="0.2">
      <c r="A15" s="783">
        <v>6</v>
      </c>
      <c r="B15" s="783">
        <f>IF('Entries September 2026'!I12&lt;'Entries September 2026'!I11,"0",(IF('Entries September 2026'!I12&gt;='Entries September 2026'!I11,'Entries September 2026'!I12-'Entries September 2026'!I11,(999999-'Entries September 2026'!I11)+'Entries September 2026'!I12+1)))</f>
        <v>2797</v>
      </c>
      <c r="C15" s="783" t="str">
        <f>IF('Entries September 2026'!J12&lt;='Entries September 2026'!J11,"0",IF('Entries September 2026'!J12&gt;='Entries September 2026'!J11,'Entries September 2026'!J12-'Entries September 2026'!J11,(999999-'Entries September 2026'!J11)+'Entries September 2026'!J12+1))</f>
        <v>0</v>
      </c>
      <c r="D15" s="784">
        <f t="shared" si="0"/>
        <v>2797</v>
      </c>
      <c r="E15" s="889">
        <v>1574.3</v>
      </c>
      <c r="F15" s="785">
        <f t="shared" si="1"/>
        <v>0.36014457941573441</v>
      </c>
      <c r="G15" s="786">
        <f>IF('Entries September 2026'!K12&lt;'Entries September 2026'!K11,"0",IF('Entries September 2026'!K12&gt;='Entries September 2026'!K11,'Entries September 2026'!K12-'Entries September 2026'!K11,(999999-'Entries September 2026'!K11)+'Entries September 2026'!K12+1))</f>
        <v>0</v>
      </c>
      <c r="H15" s="784">
        <f t="shared" si="2"/>
        <v>4371.3</v>
      </c>
      <c r="I15" s="786">
        <f>'Water '!Z12*10</f>
        <v>0</v>
      </c>
      <c r="J15" s="784" t="str">
        <f>IF('Entries September 2026'!B12-'Entries September 2026'!B11&lt;1,"0",'Entries September 2026'!B12-'Entries September 2026'!B11)</f>
        <v>0</v>
      </c>
      <c r="K15" s="787">
        <f>'CO2'!E12</f>
        <v>0</v>
      </c>
      <c r="L15" s="788">
        <f>+'PROD.FIG. '!F10</f>
        <v>0</v>
      </c>
      <c r="M15" s="784">
        <f>+'PROD.FIG. '!C10</f>
        <v>0</v>
      </c>
      <c r="N15" s="784">
        <f>+'PROD.FIG. '!D10</f>
        <v>0</v>
      </c>
      <c r="O15" s="784">
        <f>+'PROD.FIG. '!E10</f>
        <v>0</v>
      </c>
      <c r="P15" s="789">
        <v>0</v>
      </c>
      <c r="Q15" s="393">
        <f t="shared" si="3"/>
        <v>0</v>
      </c>
      <c r="R15" s="393">
        <f t="shared" si="4"/>
        <v>0</v>
      </c>
      <c r="S15" s="393">
        <f t="shared" si="5"/>
        <v>0</v>
      </c>
      <c r="T15" s="393">
        <f t="shared" si="6"/>
        <v>0</v>
      </c>
    </row>
    <row r="16" spans="1:20" s="35" customFormat="1" ht="15" x14ac:dyDescent="0.2">
      <c r="A16" s="726">
        <v>7</v>
      </c>
      <c r="B16" s="726">
        <f>IF('Entries September 2026'!I13&lt;'Entries September 2026'!I12,"0",(IF('Entries September 2026'!I13&gt;='Entries September 2026'!I12,'Entries September 2026'!I13-'Entries September 2026'!I12,(999999-'Entries September 2026'!I12)+'Entries September 2026'!I13+1)))</f>
        <v>5039</v>
      </c>
      <c r="C16" s="726" t="str">
        <f>IF('Entries September 2026'!J13&lt;='Entries September 2026'!J12,"0",IF('Entries September 2026'!J13&gt;='Entries September 2026'!J12,'Entries September 2026'!J13-'Entries September 2026'!J12,(999999-'Entries September 2026'!J12)+'Entries September 2026'!J13+1))</f>
        <v>0</v>
      </c>
      <c r="D16" s="727">
        <f t="shared" si="0"/>
        <v>5039</v>
      </c>
      <c r="E16" s="887">
        <v>1506.9</v>
      </c>
      <c r="F16" s="728">
        <f t="shared" si="1"/>
        <v>0.23020516659282914</v>
      </c>
      <c r="G16" s="744">
        <f>IF('Entries September 2026'!K13&lt;'Entries September 2026'!K12,"0",IF('Entries September 2026'!K13&gt;='Entries September 2026'!K12,'Entries September 2026'!K13-'Entries September 2026'!K12,(999999-'Entries September 2026'!K12)+'Entries September 2026'!K13+1))</f>
        <v>0</v>
      </c>
      <c r="H16" s="727">
        <f t="shared" si="2"/>
        <v>6545.9</v>
      </c>
      <c r="I16" s="744">
        <f>'Water '!Z13*10</f>
        <v>2240</v>
      </c>
      <c r="J16" s="727">
        <f>IF('Entries September 2026'!B13-'Entries September 2026'!B12&lt;1,"0",'Entries September 2026'!B13-'Entries September 2026'!B12)</f>
        <v>2310</v>
      </c>
      <c r="K16" s="729">
        <f>'CO2'!E13</f>
        <v>700</v>
      </c>
      <c r="L16" s="730">
        <f>+'PROD.FIG. '!F11</f>
        <v>0</v>
      </c>
      <c r="M16" s="727">
        <f>+'PROD.FIG. '!C11</f>
        <v>0</v>
      </c>
      <c r="N16" s="727">
        <f>+'PROD.FIG. '!D11</f>
        <v>0</v>
      </c>
      <c r="O16" s="727">
        <f>+'PROD.FIG. '!E11</f>
        <v>0</v>
      </c>
      <c r="P16" s="731">
        <v>0</v>
      </c>
      <c r="Q16" s="393">
        <f t="shared" si="3"/>
        <v>0</v>
      </c>
      <c r="R16" s="393">
        <f t="shared" si="4"/>
        <v>0</v>
      </c>
      <c r="S16" s="393">
        <f t="shared" si="5"/>
        <v>0</v>
      </c>
      <c r="T16" s="393">
        <f t="shared" si="6"/>
        <v>0</v>
      </c>
    </row>
    <row r="17" spans="1:26" ht="15" x14ac:dyDescent="0.2">
      <c r="A17" s="726">
        <v>8</v>
      </c>
      <c r="B17" s="726">
        <f>IF('Entries September 2026'!I14&lt;'Entries September 2026'!I13,"0",(IF('Entries September 2026'!I14&gt;='Entries September 2026'!I13,'Entries September 2026'!I14-'Entries September 2026'!I13,(999999-'Entries September 2026'!I13)+'Entries September 2026'!I14+1)))</f>
        <v>6654</v>
      </c>
      <c r="C17" s="726" t="str">
        <f>IF('Entries September 2026'!J14&lt;='Entries September 2026'!J13,"0",IF('Entries September 2026'!J14&gt;='Entries September 2026'!J13,'Entries September 2026'!J14-'Entries September 2026'!J13,(999999-'Entries September 2026'!J13)+'Entries September 2026'!J14+1))</f>
        <v>0</v>
      </c>
      <c r="D17" s="727">
        <f t="shared" si="0"/>
        <v>6654</v>
      </c>
      <c r="E17" s="887">
        <v>1558.3</v>
      </c>
      <c r="F17" s="728">
        <f t="shared" si="1"/>
        <v>0.1897519574297091</v>
      </c>
      <c r="G17" s="744">
        <f>IF('Entries September 2026'!K14&lt;'Entries September 2026'!K13,"0",IF('Entries September 2026'!K14&gt;='Entries September 2026'!K13,'Entries September 2026'!K14-'Entries September 2026'!K13,(999999-'Entries September 2026'!K13)+'Entries September 2026'!K14+1))</f>
        <v>0</v>
      </c>
      <c r="H17" s="727">
        <f t="shared" si="2"/>
        <v>8212.2999999999993</v>
      </c>
      <c r="I17" s="744">
        <f>'Water '!Z14*10</f>
        <v>3650</v>
      </c>
      <c r="J17" s="727">
        <f>IF('Entries September 2026'!B14-'Entries September 2026'!B13&lt;1,"0",'Entries September 2026'!B14-'Entries September 2026'!B13)</f>
        <v>3350</v>
      </c>
      <c r="K17" s="729">
        <f>'CO2'!E14</f>
        <v>1900</v>
      </c>
      <c r="L17" s="730">
        <f>+'PROD.FIG. '!F12</f>
        <v>0</v>
      </c>
      <c r="M17" s="727">
        <f>+'PROD.FIG. '!C12</f>
        <v>0</v>
      </c>
      <c r="N17" s="727">
        <f>+'PROD.FIG. '!D12</f>
        <v>0</v>
      </c>
      <c r="O17" s="727">
        <f>+'PROD.FIG. '!E12</f>
        <v>0</v>
      </c>
      <c r="P17" s="731">
        <v>261.49200000000002</v>
      </c>
      <c r="Q17" s="393">
        <f t="shared" si="3"/>
        <v>31.405549691768769</v>
      </c>
      <c r="R17" s="393">
        <f>IF(Q17=0,0,I17/P17)</f>
        <v>13.958362014899116</v>
      </c>
      <c r="S17" s="393">
        <f t="shared" si="5"/>
        <v>12.811099383537545</v>
      </c>
      <c r="T17" s="393">
        <f t="shared" si="6"/>
        <v>7.2659966652899506</v>
      </c>
    </row>
    <row r="18" spans="1:26" s="35" customFormat="1" ht="15" x14ac:dyDescent="0.2">
      <c r="A18" s="726">
        <v>9</v>
      </c>
      <c r="B18" s="726">
        <f>IF('Entries September 2026'!I15&lt;'Entries September 2026'!I14,"0",(IF('Entries September 2026'!I15&gt;='Entries September 2026'!I14,'Entries September 2026'!I15-'Entries September 2026'!I14,(999999-'Entries September 2026'!I14)+'Entries September 2026'!I15+1)))</f>
        <v>8374</v>
      </c>
      <c r="C18" s="726" t="str">
        <f>IF('Entries September 2026'!J15&lt;='Entries September 2026'!J14,"0",IF('Entries September 2026'!J15&gt;='Entries September 2026'!J14,'Entries September 2026'!J15-'Entries September 2026'!J14,(999999-'Entries September 2026'!J14)+'Entries September 2026'!J15+1))</f>
        <v>0</v>
      </c>
      <c r="D18" s="727">
        <f t="shared" si="0"/>
        <v>8374</v>
      </c>
      <c r="E18" s="887">
        <v>1042.7</v>
      </c>
      <c r="F18" s="728">
        <f t="shared" si="1"/>
        <v>0.11072881157942803</v>
      </c>
      <c r="G18" s="744">
        <f>IF('Entries September 2026'!K15&lt;'Entries September 2026'!K14,"0",IF('Entries September 2026'!K15&gt;='Entries September 2026'!K14,'Entries September 2026'!K15-'Entries September 2026'!K14,(999999-'Entries September 2026'!K14)+'Entries September 2026'!K15+1))</f>
        <v>0</v>
      </c>
      <c r="H18" s="727">
        <f t="shared" si="2"/>
        <v>9416.7000000000007</v>
      </c>
      <c r="I18" s="744">
        <f>'Water '!Z15*10</f>
        <v>4870</v>
      </c>
      <c r="J18" s="727">
        <f>IF('Entries September 2026'!B15-'Entries September 2026'!B14&lt;1,"0",'Entries September 2026'!B15-'Entries September 2026'!B14)</f>
        <v>3850</v>
      </c>
      <c r="K18" s="729">
        <f>'CO2'!E15</f>
        <v>1900</v>
      </c>
      <c r="L18" s="730">
        <f>+'PROD.FIG. '!F13</f>
        <v>0</v>
      </c>
      <c r="M18" s="727">
        <f>+'PROD.FIG. '!C13</f>
        <v>0</v>
      </c>
      <c r="N18" s="727">
        <f>+'PROD.FIG. '!D13</f>
        <v>0</v>
      </c>
      <c r="O18" s="727">
        <f>+'PROD.FIG. '!E13</f>
        <v>0</v>
      </c>
      <c r="P18" s="731">
        <v>401.61</v>
      </c>
      <c r="Q18" s="393">
        <f t="shared" si="3"/>
        <v>23.447374318368567</v>
      </c>
      <c r="R18" s="393">
        <f t="shared" si="4"/>
        <v>12.126192076890515</v>
      </c>
      <c r="S18" s="393">
        <f t="shared" si="5"/>
        <v>9.5864146809093391</v>
      </c>
      <c r="T18" s="393">
        <f t="shared" si="6"/>
        <v>4.7309578944747388</v>
      </c>
    </row>
    <row r="19" spans="1:26" ht="15" x14ac:dyDescent="0.2">
      <c r="A19" s="726">
        <v>10</v>
      </c>
      <c r="B19" s="726">
        <f>IF('Entries September 2026'!I16&lt;'Entries September 2026'!I15,"0",(IF('Entries September 2026'!I16&gt;='Entries September 2026'!I15,'Entries September 2026'!I16-'Entries September 2026'!I15,(999999-'Entries September 2026'!I15)+'Entries September 2026'!I16+1)))</f>
        <v>6508</v>
      </c>
      <c r="C19" s="726" t="str">
        <f>IF('Entries September 2026'!J16&lt;='Entries September 2026'!J15,"0",IF('Entries September 2026'!J16&gt;='Entries September 2026'!J15,'Entries September 2026'!J16-'Entries September 2026'!J15,(999999-'Entries September 2026'!J15)+'Entries September 2026'!J16+1))</f>
        <v>0</v>
      </c>
      <c r="D19" s="727">
        <f t="shared" si="0"/>
        <v>6508</v>
      </c>
      <c r="E19" s="887">
        <v>539.6</v>
      </c>
      <c r="F19" s="728">
        <f t="shared" si="1"/>
        <v>7.6565071797491349E-2</v>
      </c>
      <c r="G19" s="744">
        <f>IF('Entries September 2026'!K16&lt;'Entries September 2026'!K15,"0",IF('Entries September 2026'!K16&gt;='Entries September 2026'!K15,'Entries September 2026'!K16-'Entries September 2026'!K15,(999999-'Entries September 2026'!K15)+'Entries September 2026'!K16+1))</f>
        <v>0</v>
      </c>
      <c r="H19" s="727">
        <f t="shared" si="2"/>
        <v>7047.6</v>
      </c>
      <c r="I19" s="744">
        <f>'Water '!Z16*10</f>
        <v>3410</v>
      </c>
      <c r="J19" s="727">
        <f>IF('Entries September 2026'!B16-'Entries September 2026'!B15&lt;1,"0",'Entries September 2026'!B16-'Entries September 2026'!B15)</f>
        <v>2960</v>
      </c>
      <c r="K19" s="729">
        <f>'CO2'!E16</f>
        <v>2500</v>
      </c>
      <c r="L19" s="730">
        <f>+'PROD.FIG. '!F14</f>
        <v>0</v>
      </c>
      <c r="M19" s="727">
        <f>+'PROD.FIG. '!C14</f>
        <v>0</v>
      </c>
      <c r="N19" s="727">
        <f>+'PROD.FIG. '!D14</f>
        <v>0</v>
      </c>
      <c r="O19" s="727">
        <f>+'PROD.FIG. '!E14</f>
        <v>0</v>
      </c>
      <c r="P19" s="731">
        <v>402.86400000000003</v>
      </c>
      <c r="Q19" s="393">
        <f t="shared" si="3"/>
        <v>17.493744787322768</v>
      </c>
      <c r="R19" s="393">
        <f t="shared" si="4"/>
        <v>8.46439493228484</v>
      </c>
      <c r="S19" s="393">
        <f t="shared" si="5"/>
        <v>7.3473926684935851</v>
      </c>
      <c r="T19" s="393">
        <f t="shared" si="6"/>
        <v>6.205568132173636</v>
      </c>
    </row>
    <row r="20" spans="1:26" s="35" customFormat="1" ht="15" x14ac:dyDescent="0.2">
      <c r="A20" s="726">
        <v>11</v>
      </c>
      <c r="B20" s="726">
        <f>IF('Entries September 2026'!I17&lt;'Entries September 2026'!I16,"0",(IF('Entries September 2026'!I17&gt;='Entries September 2026'!I16,'Entries September 2026'!I17-'Entries September 2026'!I16,(999999-'Entries September 2026'!I16)+'Entries September 2026'!I17+1)))</f>
        <v>6688</v>
      </c>
      <c r="C20" s="726" t="str">
        <f>IF('Entries September 2026'!J17&lt;='Entries September 2026'!J16,"0",IF('Entries September 2026'!J17&gt;='Entries September 2026'!J16,'Entries September 2026'!J17-'Entries September 2026'!J16,(999999-'Entries September 2026'!J16)+'Entries September 2026'!J17+1))</f>
        <v>0</v>
      </c>
      <c r="D20" s="727">
        <f t="shared" si="0"/>
        <v>6688</v>
      </c>
      <c r="E20" s="887">
        <v>1365.4</v>
      </c>
      <c r="F20" s="728">
        <f t="shared" si="1"/>
        <v>0.16954329848262847</v>
      </c>
      <c r="G20" s="744">
        <f>IF('Entries September 2026'!K17&lt;'Entries September 2026'!K16,"0",IF('Entries September 2026'!K17&gt;='Entries September 2026'!K16,'Entries September 2026'!K17-'Entries September 2026'!K16,(999999-'Entries September 2026'!K16)+'Entries September 2026'!K17+1))</f>
        <v>0</v>
      </c>
      <c r="H20" s="727">
        <f t="shared" si="2"/>
        <v>8053.4</v>
      </c>
      <c r="I20" s="744">
        <f>'Water '!Z17*10</f>
        <v>3020</v>
      </c>
      <c r="J20" s="727">
        <f>IF('Entries September 2026'!B17-'Entries September 2026'!B16&lt;1,"0",'Entries September 2026'!B17-'Entries September 2026'!B16)</f>
        <v>2830</v>
      </c>
      <c r="K20" s="729">
        <f>'CO2'!E17</f>
        <v>1600</v>
      </c>
      <c r="L20" s="730">
        <f>+'PROD.FIG. '!F15</f>
        <v>0</v>
      </c>
      <c r="M20" s="727">
        <f>+'PROD.FIG. '!C15</f>
        <v>0</v>
      </c>
      <c r="N20" s="727">
        <f>+'PROD.FIG. '!D15</f>
        <v>0</v>
      </c>
      <c r="O20" s="727">
        <f>+'PROD.FIG. '!E15</f>
        <v>0</v>
      </c>
      <c r="P20" s="731">
        <v>266.24400000000003</v>
      </c>
      <c r="Q20" s="393">
        <f t="shared" si="3"/>
        <v>30.248193386517627</v>
      </c>
      <c r="R20" s="393">
        <f t="shared" si="4"/>
        <v>11.342978621114465</v>
      </c>
      <c r="S20" s="393">
        <f t="shared" si="5"/>
        <v>10.629347515812562</v>
      </c>
      <c r="T20" s="393">
        <f t="shared" si="6"/>
        <v>6.0095250972791865</v>
      </c>
    </row>
    <row r="21" spans="1:26" ht="15" x14ac:dyDescent="0.2">
      <c r="A21" s="783">
        <v>12</v>
      </c>
      <c r="B21" s="783">
        <f>IF('Entries September 2026'!I18&lt;'Entries September 2026'!I17,"0",(IF('Entries September 2026'!I18&gt;='Entries September 2026'!I17,'Entries September 2026'!I18-'Entries September 2026'!I17,(999999-'Entries September 2026'!I17)+'Entries September 2026'!I18+1)))</f>
        <v>3127</v>
      </c>
      <c r="C21" s="783" t="str">
        <f>IF('Entries September 2026'!J18&lt;='Entries September 2026'!J17,"0",IF('Entries September 2026'!J18&gt;='Entries September 2026'!J17,'Entries September 2026'!J18-'Entries September 2026'!J17,(999999-'Entries September 2026'!J17)+'Entries September 2026'!J18+1))</f>
        <v>0</v>
      </c>
      <c r="D21" s="784">
        <f t="shared" si="0"/>
        <v>3127</v>
      </c>
      <c r="E21" s="889">
        <v>1012.4</v>
      </c>
      <c r="F21" s="785">
        <f t="shared" si="1"/>
        <v>0.24457650867275452</v>
      </c>
      <c r="G21" s="786">
        <f>IF('Entries September 2026'!K18&lt;'Entries September 2026'!K17,"0",IF('Entries September 2026'!K18&gt;='Entries September 2026'!K17,'Entries September 2026'!K18-'Entries September 2026'!K17,(999999-'Entries September 2026'!K17)+'Entries September 2026'!K18+1))</f>
        <v>0</v>
      </c>
      <c r="H21" s="784">
        <f t="shared" si="2"/>
        <v>4139.3999999999996</v>
      </c>
      <c r="I21" s="786">
        <f>'Water '!Z18*10</f>
        <v>1660</v>
      </c>
      <c r="J21" s="784">
        <f>IF('Entries September 2026'!B18-'Entries September 2026'!B17&lt;1,"0",'Entries September 2026'!B18-'Entries September 2026'!B17)</f>
        <v>230</v>
      </c>
      <c r="K21" s="787">
        <f>'CO2'!E18</f>
        <v>0</v>
      </c>
      <c r="L21" s="788">
        <f>+'PROD.FIG. '!F16</f>
        <v>0</v>
      </c>
      <c r="M21" s="784">
        <f>+'PROD.FIG. '!C16</f>
        <v>0</v>
      </c>
      <c r="N21" s="784">
        <f>+'PROD.FIG. '!D16</f>
        <v>0</v>
      </c>
      <c r="O21" s="784">
        <f>+'PROD.FIG. '!E16</f>
        <v>0</v>
      </c>
      <c r="P21" s="789">
        <v>0</v>
      </c>
      <c r="Q21" s="393">
        <f t="shared" si="3"/>
        <v>0</v>
      </c>
      <c r="R21" s="393">
        <f t="shared" si="4"/>
        <v>0</v>
      </c>
      <c r="S21" s="393">
        <f t="shared" si="5"/>
        <v>0</v>
      </c>
      <c r="T21" s="393">
        <f t="shared" si="6"/>
        <v>0</v>
      </c>
    </row>
    <row r="22" spans="1:26" s="35" customFormat="1" ht="15" x14ac:dyDescent="0.2">
      <c r="A22" s="783">
        <v>13</v>
      </c>
      <c r="B22" s="783">
        <f>IF('Entries September 2026'!I19&lt;'Entries September 2026'!I18,"0",(IF('Entries September 2026'!I19&gt;='Entries September 2026'!I18,'Entries September 2026'!I19-'Entries September 2026'!I18,(999999-'Entries September 2026'!I18)+'Entries September 2026'!I19+1)))</f>
        <v>4203</v>
      </c>
      <c r="C22" s="783" t="str">
        <f>IF('Entries September 2026'!J19&lt;='Entries September 2026'!J18,"0",IF('Entries September 2026'!J19&gt;='Entries September 2026'!J18,'Entries September 2026'!J19-'Entries September 2026'!J18,(999999-'Entries September 2026'!J18)+'Entries September 2026'!J19+1))</f>
        <v>0</v>
      </c>
      <c r="D22" s="784">
        <f t="shared" si="0"/>
        <v>4203</v>
      </c>
      <c r="E22" s="889">
        <v>439</v>
      </c>
      <c r="F22" s="785">
        <f t="shared" si="1"/>
        <v>9.4571305471779402E-2</v>
      </c>
      <c r="G22" s="786">
        <f>IF('Entries September 2026'!K19&lt;'Entries September 2026'!K18,"0",IF('Entries September 2026'!K19&gt;='Entries September 2026'!K18,'Entries September 2026'!K19-'Entries September 2026'!K18,(999999-'Entries September 2026'!K18)+'Entries September 2026'!K19+1))</f>
        <v>0</v>
      </c>
      <c r="H22" s="784">
        <f t="shared" si="2"/>
        <v>4642</v>
      </c>
      <c r="I22" s="786">
        <f>'Water '!Z19*10</f>
        <v>0</v>
      </c>
      <c r="J22" s="784">
        <f>IF('Entries September 2026'!B19-'Entries September 2026'!B18&lt;1,"0",'Entries September 2026'!B19-'Entries September 2026'!B18)</f>
        <v>850</v>
      </c>
      <c r="K22" s="787">
        <f>'CO2'!E19</f>
        <v>0</v>
      </c>
      <c r="L22" s="788">
        <f>+'PROD.FIG. '!F17</f>
        <v>0</v>
      </c>
      <c r="M22" s="784">
        <f>+'PROD.FIG. '!C17</f>
        <v>0</v>
      </c>
      <c r="N22" s="784">
        <f>+'PROD.FIG. '!D17</f>
        <v>0</v>
      </c>
      <c r="O22" s="784">
        <f>+'PROD.FIG. '!E17</f>
        <v>0</v>
      </c>
      <c r="P22" s="789">
        <v>0</v>
      </c>
      <c r="Q22" s="393">
        <f>IF(P22=0,0,H22/P22)</f>
        <v>0</v>
      </c>
      <c r="R22" s="393">
        <f>IF(Q22=0,0,I22/P22)</f>
        <v>0</v>
      </c>
      <c r="S22" s="393">
        <f>IF(R22=0,0,J22/P22)</f>
        <v>0</v>
      </c>
      <c r="T22" s="393">
        <f>IF(S22=0,0,K22/P22)</f>
        <v>0</v>
      </c>
    </row>
    <row r="23" spans="1:26" ht="15" x14ac:dyDescent="0.2">
      <c r="A23" s="726">
        <v>14</v>
      </c>
      <c r="B23" s="726">
        <f>IF('Entries September 2026'!I20&lt;'Entries September 2026'!I19,"0",(IF('Entries September 2026'!I20&gt;='Entries September 2026'!I19,'Entries September 2026'!I20-'Entries September 2026'!I19,(999999-'Entries September 2026'!I19)+'Entries September 2026'!I20+1)))</f>
        <v>7310</v>
      </c>
      <c r="C23" s="726" t="str">
        <f>IF('Entries September 2026'!J20&lt;='Entries September 2026'!J19,"0",IF('Entries September 2026'!J20&gt;='Entries September 2026'!J19,'Entries September 2026'!J20-'Entries September 2026'!J19,(999999-'Entries September 2026'!J19)+'Entries September 2026'!J20+1))</f>
        <v>0</v>
      </c>
      <c r="D23" s="727">
        <f t="shared" si="0"/>
        <v>7310</v>
      </c>
      <c r="E23" s="887">
        <v>1558.7</v>
      </c>
      <c r="F23" s="728">
        <f t="shared" si="1"/>
        <v>0.17575292883962698</v>
      </c>
      <c r="G23" s="744">
        <f>IF('Entries September 2026'!K20&lt;'Entries September 2026'!K19,"0",IF('Entries September 2026'!K20&gt;='Entries September 2026'!K19,'Entries September 2026'!K20-'Entries September 2026'!K19,(999999-'Entries September 2026'!K19)+'Entries September 2026'!K20+1))</f>
        <v>0</v>
      </c>
      <c r="H23" s="727">
        <f t="shared" si="2"/>
        <v>8868.7000000000007</v>
      </c>
      <c r="I23" s="744">
        <f>'Water '!Z20*10</f>
        <v>3860</v>
      </c>
      <c r="J23" s="727">
        <f>IF('Entries September 2026'!B20-'Entries September 2026'!B19&lt;1,"0",'Entries September 2026'!B20-'Entries September 2026'!B19)</f>
        <v>3430</v>
      </c>
      <c r="K23" s="729">
        <f>'CO2'!E20</f>
        <v>1700</v>
      </c>
      <c r="L23" s="730">
        <f>+'PROD.FIG. '!F18</f>
        <v>0</v>
      </c>
      <c r="M23" s="727">
        <f>+'PROD.FIG. '!C18</f>
        <v>0</v>
      </c>
      <c r="N23" s="727">
        <f>+'PROD.FIG. '!D18</f>
        <v>0</v>
      </c>
      <c r="O23" s="727">
        <f>+'PROD.FIG. '!E18</f>
        <v>0</v>
      </c>
      <c r="P23" s="731">
        <v>497.904</v>
      </c>
      <c r="Q23" s="393">
        <f t="shared" si="3"/>
        <v>17.81206818985186</v>
      </c>
      <c r="R23" s="393">
        <f t="shared" si="4"/>
        <v>7.7524984736013369</v>
      </c>
      <c r="S23" s="393">
        <f t="shared" si="5"/>
        <v>6.8888781773193228</v>
      </c>
      <c r="T23" s="393">
        <f t="shared" si="6"/>
        <v>3.4143127992544748</v>
      </c>
      <c r="Z23" t="s">
        <v>55</v>
      </c>
    </row>
    <row r="24" spans="1:26" s="35" customFormat="1" ht="15" x14ac:dyDescent="0.2">
      <c r="A24" s="726">
        <v>15</v>
      </c>
      <c r="B24" s="726">
        <f>IF('Entries September 2026'!I21&lt;'Entries September 2026'!I20,"0",(IF('Entries September 2026'!I21&gt;='Entries September 2026'!I20,'Entries September 2026'!I21-'Entries September 2026'!I20,(999999-'Entries September 2026'!I20)+'Entries September 2026'!I21+1)))</f>
        <v>9121</v>
      </c>
      <c r="C24" s="726" t="str">
        <f>IF('Entries September 2026'!J21&lt;='Entries September 2026'!J20,"0",IF('Entries September 2026'!J21&gt;='Entries September 2026'!J20,'Entries September 2026'!J21-'Entries September 2026'!J20,(999999-'Entries September 2026'!J20)+'Entries September 2026'!J21+1))</f>
        <v>0</v>
      </c>
      <c r="D24" s="727">
        <f t="shared" si="0"/>
        <v>9121</v>
      </c>
      <c r="E24" s="887">
        <v>1590.2</v>
      </c>
      <c r="F24" s="728">
        <f>IF((E24+D24)=0,"0",E24/(D24+E24))</f>
        <v>0.14846142355665098</v>
      </c>
      <c r="G24" s="744">
        <f>IF('Entries September 2026'!K21&lt;'Entries September 2026'!K20,"0",IF('Entries September 2026'!K21&gt;='Entries September 2026'!K20,'Entries September 2026'!K21-'Entries September 2026'!K20,(999999-'Entries September 2026'!K20)+'Entries September 2026'!K21+1))</f>
        <v>0</v>
      </c>
      <c r="H24" s="727">
        <f>D24+G24+E24</f>
        <v>10711.2</v>
      </c>
      <c r="I24" s="744">
        <f>'Water '!Z21*10</f>
        <v>4690</v>
      </c>
      <c r="J24" s="727">
        <f>IF('Entries September 2026'!B21-'Entries September 2026'!B20&lt;1,"0",'Entries September 2026'!B21-'Entries September 2026'!B20)</f>
        <v>3640</v>
      </c>
      <c r="K24" s="729">
        <f>'CO2'!E21</f>
        <v>3200</v>
      </c>
      <c r="L24" s="730">
        <f>+'PROD.FIG. '!F19</f>
        <v>0</v>
      </c>
      <c r="M24" s="727">
        <f>+'PROD.FIG. '!C19</f>
        <v>0</v>
      </c>
      <c r="N24" s="727">
        <f>+'PROD.FIG. '!D19</f>
        <v>0</v>
      </c>
      <c r="O24" s="727">
        <f>+'PROD.FIG. '!E19</f>
        <v>0</v>
      </c>
      <c r="P24" s="731">
        <v>602.91000000000008</v>
      </c>
      <c r="Q24" s="393">
        <f t="shared" si="3"/>
        <v>17.765835696870177</v>
      </c>
      <c r="R24" s="393">
        <f t="shared" si="4"/>
        <v>7.7789388134215711</v>
      </c>
      <c r="S24" s="393">
        <f t="shared" si="5"/>
        <v>6.0373853477301749</v>
      </c>
      <c r="T24" s="393">
        <f t="shared" si="6"/>
        <v>5.3075915144880659</v>
      </c>
    </row>
    <row r="25" spans="1:26" ht="15" x14ac:dyDescent="0.2">
      <c r="A25" s="726">
        <v>16</v>
      </c>
      <c r="B25" s="726">
        <f>IF('Entries September 2026'!I22&lt;'Entries September 2026'!I21,"0",(IF('Entries September 2026'!I22&gt;='Entries September 2026'!I21,'Entries September 2026'!I22-'Entries September 2026'!I21,(999999-'Entries September 2026'!I21)+'Entries September 2026'!I22+1)))</f>
        <v>8169</v>
      </c>
      <c r="C25" s="726" t="str">
        <f>IF('Entries September 2026'!J22&lt;='Entries September 2026'!J21,"0",IF('Entries September 2026'!J22&gt;='Entries September 2026'!J21,'Entries September 2026'!J22-'Entries September 2026'!J21,(999999-'Entries September 2026'!J21)+'Entries September 2026'!J22+1))</f>
        <v>0</v>
      </c>
      <c r="D25" s="727">
        <f t="shared" si="0"/>
        <v>8169</v>
      </c>
      <c r="E25" s="887">
        <v>1513.7</v>
      </c>
      <c r="F25" s="728">
        <f t="shared" si="1"/>
        <v>0.15633036239891765</v>
      </c>
      <c r="G25" s="744">
        <f>IF('Entries September 2026'!K22&lt;'Entries September 2026'!K21,"0",IF('Entries September 2026'!K22&gt;='Entries September 2026'!K21,'Entries September 2026'!K22-'Entries September 2026'!K21,(999999-'Entries September 2026'!K21)+'Entries September 2026'!K22+1))</f>
        <v>0</v>
      </c>
      <c r="H25" s="727">
        <f t="shared" si="2"/>
        <v>9682.7000000000007</v>
      </c>
      <c r="I25" s="744">
        <f>'Water '!Z22*10</f>
        <v>5590</v>
      </c>
      <c r="J25" s="727">
        <f>IF('Entries September 2026'!B22-'Entries September 2026'!B21&lt;1,"0",'Entries September 2026'!B22-'Entries September 2026'!B21)</f>
        <v>3050</v>
      </c>
      <c r="K25" s="729">
        <f>'CO2'!E22</f>
        <v>1700</v>
      </c>
      <c r="L25" s="730">
        <f>+'PROD.FIG. '!F20</f>
        <v>0</v>
      </c>
      <c r="M25" s="727">
        <f>+'PROD.FIG. '!C20</f>
        <v>0</v>
      </c>
      <c r="N25" s="727">
        <f>+'PROD.FIG. '!D20</f>
        <v>0</v>
      </c>
      <c r="O25" s="727">
        <f>+'PROD.FIG. '!E20</f>
        <v>0</v>
      </c>
      <c r="P25" s="731">
        <v>243.34200000000001</v>
      </c>
      <c r="Q25" s="393">
        <f t="shared" si="3"/>
        <v>39.790500612306957</v>
      </c>
      <c r="R25" s="393">
        <f t="shared" si="4"/>
        <v>22.971784566577078</v>
      </c>
      <c r="S25" s="393">
        <f t="shared" si="5"/>
        <v>12.533800166021484</v>
      </c>
      <c r="T25" s="393">
        <f t="shared" si="6"/>
        <v>6.9860525515529579</v>
      </c>
    </row>
    <row r="26" spans="1:26" s="35" customFormat="1" ht="15" x14ac:dyDescent="0.2">
      <c r="A26" s="726">
        <v>17</v>
      </c>
      <c r="B26" s="726">
        <f>IF('Entries September 2026'!I23&lt;'Entries September 2026'!I22,"0",(IF('Entries September 2026'!I23&gt;='Entries September 2026'!I22,'Entries September 2026'!I23-'Entries September 2026'!I22,(999999-'Entries September 2026'!I22)+'Entries September 2026'!I23+1)))</f>
        <v>8558</v>
      </c>
      <c r="C26" s="726" t="str">
        <f>IF('Entries September 2026'!J23&lt;='Entries September 2026'!J22,"0",IF('Entries September 2026'!J23&gt;='Entries September 2026'!J22,'Entries September 2026'!J23-'Entries September 2026'!J22,(999999-'Entries September 2026'!J22)+'Entries September 2026'!J23+1))</f>
        <v>0</v>
      </c>
      <c r="D26" s="727">
        <f t="shared" si="0"/>
        <v>8558</v>
      </c>
      <c r="E26" s="887">
        <v>1552.2</v>
      </c>
      <c r="F26" s="728">
        <f t="shared" si="1"/>
        <v>0.15352812011631817</v>
      </c>
      <c r="G26" s="744">
        <f>IF('Entries September 2026'!K23&lt;'Entries September 2026'!K22,"0",IF('Entries September 2026'!K23&gt;='Entries September 2026'!K22,'Entries September 2026'!K23-'Entries September 2026'!K22,(999999-'Entries September 2026'!K22)+'Entries September 2026'!K23+1))</f>
        <v>0</v>
      </c>
      <c r="H26" s="727">
        <f t="shared" si="2"/>
        <v>10110.200000000001</v>
      </c>
      <c r="I26" s="744">
        <f>'Water '!Z23*10</f>
        <v>4320</v>
      </c>
      <c r="J26" s="727">
        <f>IF('Entries September 2026'!B23-'Entries September 2026'!B22&lt;1,"0",'Entries September 2026'!B23-'Entries September 2026'!B22)</f>
        <v>3500</v>
      </c>
      <c r="K26" s="729">
        <f>'CO2'!E23</f>
        <v>2400</v>
      </c>
      <c r="L26" s="730">
        <f>+'PROD.FIG. '!F21</f>
        <v>0</v>
      </c>
      <c r="M26" s="727">
        <f>+'PROD.FIG. '!C21</f>
        <v>0</v>
      </c>
      <c r="N26" s="727">
        <f>+'PROD.FIG. '!D21</f>
        <v>0</v>
      </c>
      <c r="O26" s="727">
        <f>+'PROD.FIG. '!E21</f>
        <v>0</v>
      </c>
      <c r="P26" s="731">
        <v>290.202</v>
      </c>
      <c r="Q26" s="393">
        <f t="shared" si="3"/>
        <v>34.838491809153624</v>
      </c>
      <c r="R26" s="393">
        <f t="shared" si="4"/>
        <v>14.886182727892985</v>
      </c>
      <c r="S26" s="393">
        <f t="shared" si="5"/>
        <v>12.060564710098483</v>
      </c>
      <c r="T26" s="393">
        <f t="shared" si="6"/>
        <v>8.2701015154961031</v>
      </c>
    </row>
    <row r="27" spans="1:26" ht="15" x14ac:dyDescent="0.2">
      <c r="A27" s="726">
        <v>18</v>
      </c>
      <c r="B27" s="726">
        <f>IF('Entries September 2026'!I24&lt;'Entries September 2026'!I23,"0",(IF('Entries September 2026'!I24&gt;='Entries September 2026'!I23,'Entries September 2026'!I24-'Entries September 2026'!I23,(999999-'Entries September 2026'!I23)+'Entries September 2026'!I24+1)))</f>
        <v>8711</v>
      </c>
      <c r="C27" s="726" t="str">
        <f>IF('Entries September 2026'!J24&lt;='Entries September 2026'!J23,"0",IF('Entries September 2026'!J24&gt;='Entries September 2026'!J23,'Entries September 2026'!J24-'Entries September 2026'!J23,(999999-'Entries September 2026'!J23)+'Entries September 2026'!J24+1))</f>
        <v>0</v>
      </c>
      <c r="D27" s="727">
        <f t="shared" si="0"/>
        <v>8711</v>
      </c>
      <c r="E27" s="887">
        <v>1591.1</v>
      </c>
      <c r="F27" s="728">
        <f t="shared" si="1"/>
        <v>0.15444423952398054</v>
      </c>
      <c r="G27" s="744">
        <f>IF('Entries September 2026'!K24&lt;'Entries September 2026'!K23,"0",IF('Entries September 2026'!K24&gt;='Entries September 2026'!K23,'Entries September 2026'!K24-'Entries September 2026'!K23,(999999-'Entries September 2026'!K23)+'Entries September 2026'!K24+1))</f>
        <v>0</v>
      </c>
      <c r="H27" s="727">
        <f t="shared" si="2"/>
        <v>10302.1</v>
      </c>
      <c r="I27" s="744">
        <f>'Water '!Z24*10</f>
        <v>7910</v>
      </c>
      <c r="J27" s="727">
        <f>IF('Entries September 2026'!B24-'Entries September 2026'!B23&lt;1,"0",'Entries September 2026'!B24-'Entries September 2026'!B23)</f>
        <v>2650</v>
      </c>
      <c r="K27" s="729">
        <f>'CO2'!E24</f>
        <v>2000</v>
      </c>
      <c r="L27" s="730">
        <f>+'PROD.FIG. '!F22</f>
        <v>0</v>
      </c>
      <c r="M27" s="727">
        <f>+'PROD.FIG. '!C22</f>
        <v>0</v>
      </c>
      <c r="N27" s="727">
        <f>+'PROD.FIG. '!D22</f>
        <v>0</v>
      </c>
      <c r="O27" s="727">
        <f>+'PROD.FIG. '!E22</f>
        <v>0</v>
      </c>
      <c r="P27" s="731">
        <v>440.81400000000002</v>
      </c>
      <c r="Q27" s="393">
        <f t="shared" si="3"/>
        <v>23.370627974610606</v>
      </c>
      <c r="R27" s="393">
        <f t="shared" si="4"/>
        <v>17.944076186328019</v>
      </c>
      <c r="S27" s="393">
        <f t="shared" si="5"/>
        <v>6.0116058019935847</v>
      </c>
      <c r="T27" s="393">
        <f t="shared" si="6"/>
        <v>4.5370609826366675</v>
      </c>
    </row>
    <row r="28" spans="1:26" s="35" customFormat="1" ht="15" x14ac:dyDescent="0.2">
      <c r="A28" s="783">
        <v>19</v>
      </c>
      <c r="B28" s="783">
        <f>IF('Entries September 2026'!I25&lt;'Entries September 2026'!I24,"0",(IF('Entries September 2026'!I25&gt;='Entries September 2026'!I24,'Entries September 2026'!I25-'Entries September 2026'!I24,(999999-'Entries September 2026'!I24)+'Entries September 2026'!I25+1)))</f>
        <v>3065</v>
      </c>
      <c r="C28" s="783" t="str">
        <f>IF('Entries September 2026'!J25&lt;='Entries September 2026'!J24,"0",IF('Entries September 2026'!J25&gt;='Entries September 2026'!J24,'Entries September 2026'!J25-'Entries September 2026'!J24,(999999-'Entries September 2026'!J24)+'Entries September 2026'!J25+1))</f>
        <v>0</v>
      </c>
      <c r="D28" s="784">
        <f t="shared" si="0"/>
        <v>3065</v>
      </c>
      <c r="E28" s="889">
        <v>1558.2</v>
      </c>
      <c r="F28" s="785">
        <f t="shared" si="1"/>
        <v>0.33703928015227552</v>
      </c>
      <c r="G28" s="786">
        <f>IF('Entries September 2026'!K25&lt;'Entries September 2026'!K24,"0",IF('Entries September 2026'!K25&gt;='Entries September 2026'!K24,'Entries September 2026'!K25-'Entries September 2026'!K24,(999999-'Entries September 2026'!K24)+'Entries September 2026'!K25+1))</f>
        <v>0</v>
      </c>
      <c r="H28" s="784">
        <f t="shared" si="2"/>
        <v>4623.2</v>
      </c>
      <c r="I28" s="786">
        <f>'Water '!Z25*10</f>
        <v>40</v>
      </c>
      <c r="J28" s="784">
        <f>IF('Entries September 2026'!B25-'Entries September 2026'!B24&lt;1,"0",'Entries September 2026'!B25-'Entries September 2026'!B24)</f>
        <v>300</v>
      </c>
      <c r="K28" s="787">
        <f>'CO2'!E25</f>
        <v>0</v>
      </c>
      <c r="L28" s="788">
        <f>+'PROD.FIG. '!F23</f>
        <v>0</v>
      </c>
      <c r="M28" s="784">
        <f>+'PROD.FIG. '!C23</f>
        <v>0</v>
      </c>
      <c r="N28" s="784">
        <f>+'PROD.FIG. '!D23</f>
        <v>0</v>
      </c>
      <c r="O28" s="784">
        <f>+'PROD.FIG. '!E23</f>
        <v>0</v>
      </c>
      <c r="P28" s="789">
        <v>0</v>
      </c>
      <c r="Q28" s="393">
        <f>IF(P28=0,0,H28/P28)</f>
        <v>0</v>
      </c>
      <c r="R28" s="393">
        <f t="shared" si="4"/>
        <v>0</v>
      </c>
      <c r="S28" s="393">
        <f t="shared" si="5"/>
        <v>0</v>
      </c>
      <c r="T28" s="393">
        <f t="shared" si="6"/>
        <v>0</v>
      </c>
    </row>
    <row r="29" spans="1:26" ht="15" x14ac:dyDescent="0.2">
      <c r="A29" s="783">
        <v>20</v>
      </c>
      <c r="B29" s="783">
        <f>IF('Entries September 2026'!I26&lt;'Entries September 2026'!I25,"0",(IF('Entries September 2026'!I26&gt;='Entries September 2026'!I25,'Entries September 2026'!I26-'Entries September 2026'!I25,(999999-'Entries September 2026'!I25)+'Entries September 2026'!I26+1)))</f>
        <v>2722</v>
      </c>
      <c r="C29" s="783" t="str">
        <f>IF('Entries September 2026'!J26&lt;='Entries September 2026'!J25,"0",IF('Entries September 2026'!J26&gt;='Entries September 2026'!J25,'Entries September 2026'!J26-'Entries September 2026'!J25,(999999-'Entries September 2026'!J25)+'Entries September 2026'!J26+1))</f>
        <v>0</v>
      </c>
      <c r="D29" s="784">
        <f t="shared" si="0"/>
        <v>2722</v>
      </c>
      <c r="E29" s="889">
        <v>1509.8</v>
      </c>
      <c r="F29" s="785">
        <f t="shared" si="1"/>
        <v>0.35677489484380165</v>
      </c>
      <c r="G29" s="786">
        <f>IF('Entries September 2026'!K26&lt;'Entries September 2026'!K25,"0",IF('Entries September 2026'!K26&gt;='Entries September 2026'!K25,'Entries September 2026'!K26-'Entries September 2026'!K25,(999999-'Entries September 2026'!K25)+'Entries September 2026'!K26+1))</f>
        <v>0</v>
      </c>
      <c r="H29" s="784">
        <f t="shared" si="2"/>
        <v>4231.8</v>
      </c>
      <c r="I29" s="786">
        <f>'Water '!Z26*10</f>
        <v>0</v>
      </c>
      <c r="J29" s="784">
        <f>IF('Entries September 2026'!B26-'Entries September 2026'!B25&lt;1,"0",'Entries September 2026'!B26-'Entries September 2026'!B25)</f>
        <v>140</v>
      </c>
      <c r="K29" s="787">
        <f>'CO2'!E26</f>
        <v>0</v>
      </c>
      <c r="L29" s="788">
        <f>+'PROD.FIG. '!F24</f>
        <v>0</v>
      </c>
      <c r="M29" s="784">
        <f>+'PROD.FIG. '!C24</f>
        <v>0</v>
      </c>
      <c r="N29" s="784">
        <f>+'PROD.FIG. '!D24</f>
        <v>0</v>
      </c>
      <c r="O29" s="784">
        <f>+'PROD.FIG. '!E24</f>
        <v>0</v>
      </c>
      <c r="P29" s="789">
        <v>0</v>
      </c>
      <c r="Q29" s="393">
        <f t="shared" si="3"/>
        <v>0</v>
      </c>
      <c r="R29" s="393">
        <f t="shared" si="4"/>
        <v>0</v>
      </c>
      <c r="S29" s="393">
        <f t="shared" si="5"/>
        <v>0</v>
      </c>
      <c r="T29" s="393">
        <f t="shared" si="6"/>
        <v>0</v>
      </c>
    </row>
    <row r="30" spans="1:26" s="35" customFormat="1" ht="15" x14ac:dyDescent="0.2">
      <c r="A30" s="726">
        <v>21</v>
      </c>
      <c r="B30" s="726">
        <f>IF('Entries September 2026'!I27&lt;'Entries September 2026'!I26,"0",(IF('Entries September 2026'!I27&gt;='Entries September 2026'!I26,'Entries September 2026'!I27-'Entries September 2026'!I26,(999999-'Entries September 2026'!I26)+'Entries September 2026'!I27+1)))</f>
        <v>6887</v>
      </c>
      <c r="C30" s="726" t="str">
        <f>IF('Entries September 2026'!J27&lt;='Entries September 2026'!J26,"0",IF('Entries September 2026'!J27&gt;='Entries September 2026'!J26,'Entries September 2026'!J27-'Entries September 2026'!J26,(999999-'Entries September 2026'!J26)+'Entries September 2026'!J27+1))</f>
        <v>0</v>
      </c>
      <c r="D30" s="727">
        <f t="shared" si="0"/>
        <v>6887</v>
      </c>
      <c r="E30" s="887">
        <v>1626.6</v>
      </c>
      <c r="F30" s="728">
        <f t="shared" si="1"/>
        <v>0.1910590114640105</v>
      </c>
      <c r="G30" s="744">
        <f>IF('Entries September 2026'!K27&lt;'Entries September 2026'!K26,"0",IF('Entries September 2026'!K27&gt;='Entries September 2026'!K26,'Entries September 2026'!K27-'Entries September 2026'!K26,(999999-'Entries September 2026'!K26)+'Entries September 2026'!K27+1))</f>
        <v>0</v>
      </c>
      <c r="H30" s="727">
        <f>D30+G30+E30</f>
        <v>8513.6</v>
      </c>
      <c r="I30" s="744">
        <f>'Water '!Z27*10</f>
        <v>3410</v>
      </c>
      <c r="J30" s="727">
        <f>IF('Entries September 2026'!B27-'Entries September 2026'!B26&lt;1,"0",'Entries September 2026'!B27-'Entries September 2026'!B26)</f>
        <v>3110</v>
      </c>
      <c r="K30" s="729">
        <f>'CO2'!E27</f>
        <v>900</v>
      </c>
      <c r="L30" s="730">
        <f>+'PROD.FIG. '!F25</f>
        <v>0</v>
      </c>
      <c r="M30" s="727">
        <f>+'PROD.FIG. '!C25</f>
        <v>0</v>
      </c>
      <c r="N30" s="727">
        <f>+'PROD.FIG. '!D25</f>
        <v>0</v>
      </c>
      <c r="O30" s="727">
        <f>+'PROD.FIG. '!E25</f>
        <v>0</v>
      </c>
      <c r="P30" s="731">
        <v>179.916</v>
      </c>
      <c r="Q30" s="393">
        <f t="shared" si="3"/>
        <v>47.319860379288116</v>
      </c>
      <c r="R30" s="393">
        <f t="shared" si="4"/>
        <v>18.953289312790414</v>
      </c>
      <c r="S30" s="393">
        <f t="shared" si="5"/>
        <v>17.285844505213543</v>
      </c>
      <c r="T30" s="393">
        <f t="shared" si="6"/>
        <v>5.0023344227306081</v>
      </c>
      <c r="W30" s="35" t="s">
        <v>55</v>
      </c>
    </row>
    <row r="31" spans="1:26" ht="15" x14ac:dyDescent="0.2">
      <c r="A31" s="726">
        <v>22</v>
      </c>
      <c r="B31" s="726">
        <f>IF('Entries September 2026'!I28&lt;'Entries September 2026'!I27,"0",(IF('Entries September 2026'!I28&gt;='Entries September 2026'!I27,'Entries September 2026'!I28-'Entries September 2026'!I27,(999999-'Entries September 2026'!I27)+'Entries September 2026'!I28+1)))</f>
        <v>6945</v>
      </c>
      <c r="C31" s="726" t="str">
        <f>IF('Entries September 2026'!J28&lt;='Entries September 2026'!J27,"0",IF('Entries September 2026'!J28&gt;='Entries September 2026'!J27,'Entries September 2026'!J28-'Entries September 2026'!J27,(999999-'Entries September 2026'!J27)+'Entries September 2026'!J28+1))</f>
        <v>0</v>
      </c>
      <c r="D31" s="727">
        <f t="shared" si="0"/>
        <v>6945</v>
      </c>
      <c r="E31" s="887">
        <v>1319.7</v>
      </c>
      <c r="F31" s="728">
        <f t="shared" si="1"/>
        <v>0.15967911720933609</v>
      </c>
      <c r="G31" s="744">
        <f>IF('Entries September 2026'!K28&lt;'Entries September 2026'!K27,"0",IF('Entries September 2026'!K28&gt;='Entries September 2026'!K27,'Entries September 2026'!K28-'Entries September 2026'!K27,(999999-'Entries September 2026'!K27)+'Entries September 2026'!K28+1))</f>
        <v>0</v>
      </c>
      <c r="H31" s="727">
        <f t="shared" si="2"/>
        <v>8264.7000000000007</v>
      </c>
      <c r="I31" s="744">
        <f>'Water '!Z28*10</f>
        <v>3090</v>
      </c>
      <c r="J31" s="727">
        <f>IF('Entries September 2026'!B28-'Entries September 2026'!B27&lt;1,"0",'Entries September 2026'!B28-'Entries September 2026'!B27)</f>
        <v>2820</v>
      </c>
      <c r="K31" s="729">
        <f>'CO2'!E28</f>
        <v>3400</v>
      </c>
      <c r="L31" s="730">
        <f>+'PROD.FIG. '!F26</f>
        <v>0</v>
      </c>
      <c r="M31" s="727">
        <f>+'PROD.FIG. '!C26</f>
        <v>0</v>
      </c>
      <c r="N31" s="727">
        <f>+'PROD.FIG. '!D26</f>
        <v>0</v>
      </c>
      <c r="O31" s="727">
        <f>+'PROD.FIG. '!E26</f>
        <v>0</v>
      </c>
      <c r="P31" s="731">
        <v>365.50800000000004</v>
      </c>
      <c r="Q31" s="393">
        <f>IF(P31=0,0,H31/P31)</f>
        <v>22.611543386191272</v>
      </c>
      <c r="R31" s="393">
        <f>IF(Q31=0,0,I31/P31)</f>
        <v>8.4539873272267627</v>
      </c>
      <c r="S31" s="393">
        <f>IF(R31=0,0,J31/P31)</f>
        <v>7.7152894054302497</v>
      </c>
      <c r="T31" s="393">
        <f>IF(S31=0,0,K31/P31)</f>
        <v>9.3021219781783149</v>
      </c>
    </row>
    <row r="32" spans="1:26" s="35" customFormat="1" ht="15" x14ac:dyDescent="0.2">
      <c r="A32" s="726">
        <v>23</v>
      </c>
      <c r="B32" s="726">
        <f>IF('Entries September 2026'!I29&lt;'Entries September 2026'!I28,"0",(IF('Entries September 2026'!I29&gt;='Entries September 2026'!I28,'Entries September 2026'!I29-'Entries September 2026'!I28,(999999-'Entries September 2026'!I28)+'Entries September 2026'!I29+1)))</f>
        <v>7616</v>
      </c>
      <c r="C32" s="726" t="str">
        <f>IF('Entries September 2026'!J29&lt;='Entries September 2026'!J28,"0",IF('Entries September 2026'!J29&gt;='Entries September 2026'!J28,'Entries September 2026'!J29-'Entries September 2026'!J28,(999999-'Entries September 2026'!J28)+'Entries September 2026'!J29+1))</f>
        <v>0</v>
      </c>
      <c r="D32" s="727">
        <f t="shared" si="0"/>
        <v>7616</v>
      </c>
      <c r="E32" s="887">
        <v>1428.5</v>
      </c>
      <c r="F32" s="728">
        <f t="shared" si="1"/>
        <v>0.1579412902869147</v>
      </c>
      <c r="G32" s="744">
        <f>IF('Entries September 2026'!K29&lt;'Entries September 2026'!K28,"0",IF('Entries September 2026'!K29&gt;='Entries September 2026'!K28,'Entries September 2026'!K29-'Entries September 2026'!K28,(999999-'Entries September 2026'!K28)+'Entries September 2026'!K29+1))</f>
        <v>0</v>
      </c>
      <c r="H32" s="727">
        <f t="shared" si="2"/>
        <v>9044.5</v>
      </c>
      <c r="I32" s="744">
        <f>'Water '!Z29*10</f>
        <v>2290</v>
      </c>
      <c r="J32" s="727">
        <f>IF('Entries September 2026'!B29-'Entries September 2026'!B28&lt;1,"0",'Entries September 2026'!B29-'Entries September 2026'!B28)</f>
        <v>3070</v>
      </c>
      <c r="K32" s="729">
        <f>'CO2'!E29</f>
        <v>1300</v>
      </c>
      <c r="L32" s="730">
        <f>+'PROD.FIG. '!F27</f>
        <v>0</v>
      </c>
      <c r="M32" s="727">
        <f>+'PROD.FIG. '!C27</f>
        <v>0</v>
      </c>
      <c r="N32" s="727">
        <f>+'PROD.FIG. '!D27</f>
        <v>0</v>
      </c>
      <c r="O32" s="727">
        <f>+'PROD.FIG. '!E27</f>
        <v>0</v>
      </c>
      <c r="P32" s="731">
        <v>280.17</v>
      </c>
      <c r="Q32" s="393">
        <f t="shared" si="3"/>
        <v>32.282185815754715</v>
      </c>
      <c r="R32" s="393">
        <f t="shared" si="4"/>
        <v>8.1736088803226608</v>
      </c>
      <c r="S32" s="393">
        <f t="shared" si="5"/>
        <v>10.957632865760074</v>
      </c>
      <c r="T32" s="393">
        <f t="shared" si="6"/>
        <v>4.6400399757290218</v>
      </c>
    </row>
    <row r="33" spans="1:32" ht="15" x14ac:dyDescent="0.2">
      <c r="A33" s="726">
        <v>24</v>
      </c>
      <c r="B33" s="726">
        <f>IF('Entries September 2026'!I30&lt;'Entries September 2026'!I29,"0",(IF('Entries September 2026'!I30&gt;='Entries September 2026'!I29,'Entries September 2026'!I30-'Entries September 2026'!I29,(999999-'Entries September 2026'!I29)+'Entries September 2026'!I30+1)))</f>
        <v>7693</v>
      </c>
      <c r="C33" s="726" t="str">
        <f>IF('Entries September 2026'!J30&lt;='Entries September 2026'!J29,"0",IF('Entries September 2026'!J30&gt;='Entries September 2026'!J29,'Entries September 2026'!J30-'Entries September 2026'!J29,(999999-'Entries September 2026'!J29)+'Entries September 2026'!J30+1))</f>
        <v>0</v>
      </c>
      <c r="D33" s="727">
        <f t="shared" si="0"/>
        <v>7693</v>
      </c>
      <c r="E33" s="887">
        <v>720.2</v>
      </c>
      <c r="F33" s="728">
        <f t="shared" si="1"/>
        <v>8.5603575333998955E-2</v>
      </c>
      <c r="G33" s="744">
        <f>IF('Entries September 2026'!K30&lt;'Entries September 2026'!K29,"0",IF('Entries September 2026'!K30&gt;='Entries September 2026'!K29,'Entries September 2026'!K30-'Entries September 2026'!K29,(999999-'Entries September 2026'!K29)+'Entries September 2026'!K30+1))</f>
        <v>0</v>
      </c>
      <c r="H33" s="727">
        <f t="shared" si="2"/>
        <v>8413.2000000000007</v>
      </c>
      <c r="I33" s="744">
        <f>'Water '!Z30*10</f>
        <v>3700</v>
      </c>
      <c r="J33" s="727">
        <f>IF('Entries September 2026'!B30-'Entries September 2026'!B29&lt;1,"0",'Entries September 2026'!B30-'Entries September 2026'!B29)</f>
        <v>2920</v>
      </c>
      <c r="K33" s="729">
        <f>'CO2'!E30</f>
        <v>1600</v>
      </c>
      <c r="L33" s="730">
        <f>+'PROD.FIG. '!F28</f>
        <v>0</v>
      </c>
      <c r="M33" s="727">
        <f>+'PROD.FIG. '!C28</f>
        <v>0</v>
      </c>
      <c r="N33" s="727">
        <f>+'PROD.FIG. '!D28</f>
        <v>0</v>
      </c>
      <c r="O33" s="727">
        <f>+'PROD.FIG. '!E28</f>
        <v>0</v>
      </c>
      <c r="P33" s="731">
        <v>354.94800000000004</v>
      </c>
      <c r="Q33" s="393">
        <f>IF(P33=0,0,H33/P33)</f>
        <v>23.702626863653268</v>
      </c>
      <c r="R33" s="393">
        <f>IF(Q33=0,0,I33/P33)</f>
        <v>10.424062116140956</v>
      </c>
      <c r="S33" s="393">
        <f>IF(R33=0,0,J33/P33)</f>
        <v>8.2265571294950242</v>
      </c>
      <c r="T33" s="393">
        <f>IF(S33=0,0,K33/P33)</f>
        <v>4.5077025367096022</v>
      </c>
    </row>
    <row r="34" spans="1:32" s="35" customFormat="1" ht="12.75" customHeight="1" x14ac:dyDescent="0.2">
      <c r="A34" s="726">
        <v>25</v>
      </c>
      <c r="B34" s="726">
        <f>IF('Entries September 2026'!I31&lt;'Entries September 2026'!I30,"0",(IF('Entries September 2026'!I31&gt;='Entries September 2026'!I30,'Entries September 2026'!I31-'Entries September 2026'!I30,(999999-'Entries September 2026'!I30)+'Entries September 2026'!I31+1)))</f>
        <v>6561</v>
      </c>
      <c r="C34" s="726" t="str">
        <f>IF('Entries September 2026'!J31&lt;='Entries September 2026'!J30,"0",IF('Entries September 2026'!J31&gt;='Entries September 2026'!J30,'Entries September 2026'!J31-'Entries September 2026'!J30,(999999-'Entries September 2026'!J30)+'Entries September 2026'!J31+1))</f>
        <v>0</v>
      </c>
      <c r="D34" s="727">
        <f t="shared" si="0"/>
        <v>6561</v>
      </c>
      <c r="E34" s="887">
        <v>1092.3</v>
      </c>
      <c r="F34" s="728">
        <f t="shared" si="1"/>
        <v>0.14272274705029203</v>
      </c>
      <c r="G34" s="744">
        <f>IF('Entries September 2026'!K31&lt;'Entries September 2026'!K30,"0",IF('Entries September 2026'!K31&gt;='Entries September 2026'!K30,'Entries September 2026'!K31-'Entries September 2026'!K30,(999999-'Entries September 2026'!K30)+'Entries September 2026'!K31+1))</f>
        <v>0</v>
      </c>
      <c r="H34" s="727">
        <f t="shared" si="2"/>
        <v>7653.3</v>
      </c>
      <c r="I34" s="744">
        <f>'Water '!Z31*10</f>
        <v>3270</v>
      </c>
      <c r="J34" s="727">
        <f>IF('Entries September 2026'!B31-'Entries September 2026'!B30&lt;1,"0",'Entries September 2026'!B31-'Entries September 2026'!B30)</f>
        <v>2370</v>
      </c>
      <c r="K34" s="729">
        <f>'CO2'!E31</f>
        <v>1200</v>
      </c>
      <c r="L34" s="730">
        <f>+'PROD.FIG. '!F29</f>
        <v>0</v>
      </c>
      <c r="M34" s="727">
        <f>+'PROD.FIG. '!C29</f>
        <v>0</v>
      </c>
      <c r="N34" s="727">
        <f>+'PROD.FIG. '!D29</f>
        <v>0</v>
      </c>
      <c r="O34" s="727">
        <f>+'PROD.FIG. '!E29</f>
        <v>0</v>
      </c>
      <c r="P34" s="731">
        <v>263.01</v>
      </c>
      <c r="Q34" s="393">
        <f t="shared" si="3"/>
        <v>29.098893578190946</v>
      </c>
      <c r="R34" s="393">
        <f t="shared" si="4"/>
        <v>12.432987338884454</v>
      </c>
      <c r="S34" s="393">
        <f t="shared" si="5"/>
        <v>9.0110642180905671</v>
      </c>
      <c r="T34" s="393">
        <f t="shared" si="6"/>
        <v>4.562564161058515</v>
      </c>
    </row>
    <row r="35" spans="1:32" ht="15" x14ac:dyDescent="0.2">
      <c r="A35" s="783">
        <v>26</v>
      </c>
      <c r="B35" s="783">
        <f>IF('Entries September 2026'!I32&lt;'Entries September 2026'!I31,"0",(IF('Entries September 2026'!I32&gt;='Entries September 2026'!I31,'Entries September 2026'!I32-'Entries September 2026'!I31,(999999-'Entries September 2026'!I31)+'Entries September 2026'!I32+1)))</f>
        <v>2727</v>
      </c>
      <c r="C35" s="783" t="str">
        <f>IF('Entries September 2026'!J32&lt;='Entries September 2026'!J31,"0",IF('Entries September 2026'!J32&gt;='Entries September 2026'!J31,'Entries September 2026'!J32-'Entries September 2026'!J31,(999999-'Entries September 2026'!J31)+'Entries September 2026'!J32+1))</f>
        <v>0</v>
      </c>
      <c r="D35" s="784">
        <f t="shared" si="0"/>
        <v>2727</v>
      </c>
      <c r="E35" s="889">
        <v>1559.8</v>
      </c>
      <c r="F35" s="785">
        <f t="shared" si="1"/>
        <v>0.36386115517402257</v>
      </c>
      <c r="G35" s="786">
        <f>IF('Entries September 2026'!K32&lt;'Entries September 2026'!K31,"0",IF('Entries September 2026'!K32&gt;='Entries September 2026'!K31,'Entries September 2026'!K32-'Entries September 2026'!K31,(999999-'Entries September 2026'!K31)+'Entries September 2026'!K32+1))</f>
        <v>0</v>
      </c>
      <c r="H35" s="784">
        <f t="shared" si="2"/>
        <v>4286.8</v>
      </c>
      <c r="I35" s="786">
        <f>'Water '!Z32*10</f>
        <v>380</v>
      </c>
      <c r="J35" s="784">
        <f>IF('Entries September 2026'!B32-'Entries September 2026'!B31&lt;1,"0",'Entries September 2026'!B32-'Entries September 2026'!B31)</f>
        <v>100</v>
      </c>
      <c r="K35" s="787">
        <f>'CO2'!E32</f>
        <v>0</v>
      </c>
      <c r="L35" s="788">
        <f>+'PROD.FIG. '!F30</f>
        <v>0</v>
      </c>
      <c r="M35" s="784">
        <f>+'PROD.FIG. '!C30</f>
        <v>0</v>
      </c>
      <c r="N35" s="784">
        <f>+'PROD.FIG. '!D30</f>
        <v>0</v>
      </c>
      <c r="O35" s="784">
        <f>+'PROD.FIG. '!E30</f>
        <v>0</v>
      </c>
      <c r="P35" s="789">
        <v>0</v>
      </c>
      <c r="Q35" s="393">
        <f t="shared" si="3"/>
        <v>0</v>
      </c>
      <c r="R35" s="393">
        <f t="shared" si="4"/>
        <v>0</v>
      </c>
      <c r="S35" s="393">
        <f t="shared" si="5"/>
        <v>0</v>
      </c>
      <c r="T35" s="393">
        <f t="shared" si="6"/>
        <v>0</v>
      </c>
    </row>
    <row r="36" spans="1:32" s="35" customFormat="1" ht="15" x14ac:dyDescent="0.2">
      <c r="A36" s="783">
        <v>27</v>
      </c>
      <c r="B36" s="783">
        <f>IF('Entries September 2026'!I33&lt;'Entries September 2026'!I32,"0",(IF('Entries September 2026'!I33&gt;='Entries September 2026'!I32,'Entries September 2026'!I33-'Entries September 2026'!I32,(999999-'Entries September 2026'!I32)+'Entries September 2026'!I33+1)))</f>
        <v>2886</v>
      </c>
      <c r="C36" s="783" t="str">
        <f>IF('Entries September 2026'!J33&lt;='Entries September 2026'!J32,"0",IF('Entries September 2026'!J33&gt;='Entries September 2026'!J32,'Entries September 2026'!J33-'Entries September 2026'!J32,(999999-'Entries September 2026'!J32)+'Entries September 2026'!J33+1))</f>
        <v>0</v>
      </c>
      <c r="D36" s="784">
        <f t="shared" si="0"/>
        <v>2886</v>
      </c>
      <c r="E36" s="889">
        <v>801.9</v>
      </c>
      <c r="F36" s="785">
        <f t="shared" si="1"/>
        <v>0.21744081997884973</v>
      </c>
      <c r="G36" s="786">
        <f>IF('Entries September 2026'!K33&lt;'Entries September 2026'!K32,"0",IF('Entries September 2026'!K33&gt;='Entries September 2026'!K32,'Entries September 2026'!K33-'Entries September 2026'!K32,(999999-'Entries September 2026'!K32)+'Entries September 2026'!K33+1))</f>
        <v>0</v>
      </c>
      <c r="H36" s="784">
        <f t="shared" si="2"/>
        <v>3687.9</v>
      </c>
      <c r="I36" s="786">
        <f>'Water '!Z33*10</f>
        <v>70</v>
      </c>
      <c r="J36" s="784">
        <f>IF('Entries September 2026'!B33-'Entries September 2026'!B32&lt;1,"0",'Entries September 2026'!B33-'Entries September 2026'!B32)</f>
        <v>130</v>
      </c>
      <c r="K36" s="787">
        <f>'CO2'!E33</f>
        <v>0</v>
      </c>
      <c r="L36" s="788">
        <f>+'PROD.FIG. '!F31</f>
        <v>0</v>
      </c>
      <c r="M36" s="784">
        <f>+'PROD.FIG. '!C31</f>
        <v>0</v>
      </c>
      <c r="N36" s="784">
        <f>+'PROD.FIG. '!D31</f>
        <v>0</v>
      </c>
      <c r="O36" s="784">
        <f>+'PROD.FIG. '!E31</f>
        <v>0</v>
      </c>
      <c r="P36" s="789">
        <v>0</v>
      </c>
      <c r="Q36" s="393">
        <f t="shared" si="3"/>
        <v>0</v>
      </c>
      <c r="R36" s="393">
        <f t="shared" si="4"/>
        <v>0</v>
      </c>
      <c r="S36" s="393">
        <f t="shared" si="5"/>
        <v>0</v>
      </c>
      <c r="T36" s="393">
        <f t="shared" si="6"/>
        <v>0</v>
      </c>
    </row>
    <row r="37" spans="1:32" ht="15" x14ac:dyDescent="0.2">
      <c r="A37" s="726">
        <v>28</v>
      </c>
      <c r="B37" s="726" t="str">
        <f>IF('Entries September 2026'!I34&lt;'Entries September 2026'!I33,"0",(IF('Entries September 2026'!I34&gt;='Entries September 2026'!I33,'Entries September 2026'!I34-'Entries September 2026'!I33,(999999-'Entries September 2026'!I33)+'Entries September 2026'!I34+1)))</f>
        <v>0</v>
      </c>
      <c r="C37" s="726" t="str">
        <f>IF('Entries September 2026'!J34&lt;='Entries September 2026'!J33,"0",IF('Entries September 2026'!J34&gt;='Entries September 2026'!J33,'Entries September 2026'!J34-'Entries September 2026'!J33,(999999-'Entries September 2026'!J33)+'Entries September 2026'!J34+1))</f>
        <v>0</v>
      </c>
      <c r="D37" s="727">
        <f t="shared" si="0"/>
        <v>0</v>
      </c>
      <c r="E37" s="887">
        <v>1396.2</v>
      </c>
      <c r="F37" s="728">
        <f t="shared" si="1"/>
        <v>1</v>
      </c>
      <c r="G37" s="744" t="str">
        <f>IF('Entries September 2026'!K34&lt;'Entries September 2026'!K33,"0",IF('Entries September 2026'!K34&gt;='Entries September 2026'!K33,'Entries September 2026'!K34-'Entries September 2026'!K33,(999999-'Entries September 2026'!K33)+'Entries September 2026'!K34+1))</f>
        <v>0</v>
      </c>
      <c r="H37" s="727">
        <f t="shared" si="2"/>
        <v>1396.2</v>
      </c>
      <c r="I37" s="744">
        <f>'Water '!Z34*10</f>
        <v>0</v>
      </c>
      <c r="J37" s="727" t="str">
        <f>IF('Entries September 2026'!B34-'Entries September 2026'!B33&lt;1,"0",'Entries September 2026'!B34-'Entries September 2026'!B33)</f>
        <v>0</v>
      </c>
      <c r="K37" s="729">
        <f>'CO2'!E34</f>
        <v>1300</v>
      </c>
      <c r="L37" s="730">
        <f>+'PROD.FIG. '!F32</f>
        <v>0</v>
      </c>
      <c r="M37" s="727">
        <f>+'PROD.FIG. '!C32</f>
        <v>0</v>
      </c>
      <c r="N37" s="727">
        <f>+'PROD.FIG. '!D32</f>
        <v>0</v>
      </c>
      <c r="O37" s="727">
        <f>+'PROD.FIG. '!E32</f>
        <v>0</v>
      </c>
      <c r="P37" s="731">
        <v>258.72000000000003</v>
      </c>
      <c r="Q37" s="393">
        <f t="shared" si="3"/>
        <v>5.3965677179962892</v>
      </c>
      <c r="R37" s="393">
        <f t="shared" si="4"/>
        <v>0</v>
      </c>
      <c r="S37" s="393">
        <f t="shared" si="5"/>
        <v>0</v>
      </c>
      <c r="T37" s="393">
        <f t="shared" si="6"/>
        <v>0</v>
      </c>
    </row>
    <row r="38" spans="1:32" s="35" customFormat="1" ht="15" x14ac:dyDescent="0.2">
      <c r="A38" s="726">
        <v>29</v>
      </c>
      <c r="B38" s="726">
        <f>IF('Entries September 2026'!I35&lt;'Entries September 2026'!I34,"0",(IF('Entries September 2026'!I35&gt;='Entries September 2026'!I34,'Entries September 2026'!I35-'Entries September 2026'!I34,(999999-'Entries September 2026'!I34)+'Entries September 2026'!I35+1)))</f>
        <v>0</v>
      </c>
      <c r="C38" s="726" t="str">
        <f>IF('Entries September 2026'!J35&lt;='Entries September 2026'!J34,"0",IF('Entries September 2026'!J35&gt;='Entries September 2026'!J34,'Entries September 2026'!J35-'Entries September 2026'!J34,(999999-'Entries September 2026'!J34)+'Entries September 2026'!J35+1))</f>
        <v>0</v>
      </c>
      <c r="D38" s="727">
        <f t="shared" si="0"/>
        <v>0</v>
      </c>
      <c r="E38" s="727"/>
      <c r="F38" s="728" t="str">
        <f t="shared" si="1"/>
        <v>0</v>
      </c>
      <c r="G38" s="744">
        <f>IF('Entries September 2026'!K35&lt;'Entries September 2026'!K34,"0",IF('Entries September 2026'!K35&gt;='Entries September 2026'!K34,'Entries September 2026'!K35-'Entries September 2026'!K34,(999999-'Entries September 2026'!K34)+'Entries September 2026'!K35+1))</f>
        <v>0</v>
      </c>
      <c r="H38" s="744">
        <f>IF('Entries September 2026'!L35&lt;'Entries September 2026'!L34,"0",IF('Entries September 2026'!L35&gt;='Entries September 2026'!L34,'Entries September 2026'!L35-'Entries September 2026'!L34,(999999-'Entries September 2026'!L34)+'Entries September 2026'!L35+1))</f>
        <v>0</v>
      </c>
      <c r="I38" s="744">
        <f>IF('Entries September 2026'!M35&lt;'Entries September 2026'!M34,"0",IF('Entries September 2026'!M35&gt;='Entries September 2026'!M34,'Entries September 2026'!M35-'Entries September 2026'!M34,(999999-'Entries September 2026'!M34)+'Entries September 2026'!M35+1))</f>
        <v>0</v>
      </c>
      <c r="J38" s="744">
        <f>IF('Entries September 2026'!N35&lt;'Entries September 2026'!N34,"0",IF('Entries September 2026'!N35&gt;='Entries September 2026'!N34,'Entries September 2026'!N35-'Entries September 2026'!N34,(999999-'Entries September 2026'!N34)+'Entries September 2026'!N35+1))</f>
        <v>0</v>
      </c>
      <c r="K38" s="744">
        <f>IF('Entries September 2026'!O35&lt;'Entries September 2026'!O34,"0",IF('Entries September 2026'!O35&gt;='Entries September 2026'!O34,'Entries September 2026'!O35-'Entries September 2026'!O34,(999999-'Entries September 2026'!O34)+'Entries September 2026'!O35+1))</f>
        <v>0</v>
      </c>
      <c r="L38" s="744">
        <f>IF('Entries September 2026'!P35&lt;'Entries September 2026'!P34,"0",IF('Entries September 2026'!P35&gt;='Entries September 2026'!P34,'Entries September 2026'!P35-'Entries September 2026'!P34,(999999-'Entries September 2026'!P34)+'Entries September 2026'!P35+1))</f>
        <v>0</v>
      </c>
      <c r="M38" s="744">
        <f>IF('Entries September 2026'!Q35&lt;'Entries September 2026'!Q34,"0",IF('Entries September 2026'!Q35&gt;='Entries September 2026'!Q34,'Entries September 2026'!Q35-'Entries September 2026'!Q34,(999999-'Entries September 2026'!Q34)+'Entries September 2026'!Q35+1))</f>
        <v>0</v>
      </c>
      <c r="N38" s="727">
        <f>+'PROD.FIG. '!D33</f>
        <v>0</v>
      </c>
      <c r="O38" s="727">
        <f>+'PROD.FIG. '!E33</f>
        <v>0</v>
      </c>
      <c r="P38" s="731">
        <v>0</v>
      </c>
      <c r="Q38" s="393">
        <f t="shared" si="3"/>
        <v>0</v>
      </c>
      <c r="R38" s="393">
        <f t="shared" si="4"/>
        <v>0</v>
      </c>
      <c r="S38" s="393">
        <f t="shared" si="5"/>
        <v>0</v>
      </c>
      <c r="T38" s="393">
        <f t="shared" si="6"/>
        <v>0</v>
      </c>
    </row>
    <row r="39" spans="1:32" ht="15" x14ac:dyDescent="0.2">
      <c r="A39" s="726">
        <v>30</v>
      </c>
      <c r="B39" s="726">
        <f>IF('Entries September 2026'!I36&lt;'Entries September 2026'!I35,"0",(IF('Entries September 2026'!I36&gt;='Entries September 2026'!I35,'Entries September 2026'!I36-'Entries September 2026'!I35,(999999-'Entries September 2026'!I35)+'Entries September 2026'!I36+1)))</f>
        <v>0</v>
      </c>
      <c r="C39" s="726" t="str">
        <f>IF('Entries September 2026'!J36&lt;='Entries September 2026'!J35,"0",IF('Entries September 2026'!J36&gt;='Entries September 2026'!J35,'Entries September 2026'!J36-'Entries September 2026'!J35,(999999-'Entries September 2026'!J35)+'Entries September 2026'!J36+1))</f>
        <v>0</v>
      </c>
      <c r="D39" s="727">
        <f t="shared" si="0"/>
        <v>0</v>
      </c>
      <c r="E39" s="727"/>
      <c r="F39" s="728" t="str">
        <f t="shared" si="1"/>
        <v>0</v>
      </c>
      <c r="G39" s="744">
        <f>IF('Entries September 2026'!K36&lt;'Entries September 2026'!K35,"0",IF('Entries September 2026'!K36&gt;='Entries September 2026'!K35,'Entries September 2026'!K36-'Entries September 2026'!K35,(999999-'Entries September 2026'!K35)+'Entries September 2026'!K36+1))</f>
        <v>0</v>
      </c>
      <c r="H39" s="727">
        <f t="shared" si="2"/>
        <v>0</v>
      </c>
      <c r="I39" s="744">
        <f>'Water '!Z36*10</f>
        <v>0</v>
      </c>
      <c r="J39" s="727" t="str">
        <f>IF('Entries September 2026'!B36-'Entries September 2026'!B35&lt;1,"0",'Entries September 2026'!B36-'Entries September 2026'!B35)</f>
        <v>0</v>
      </c>
      <c r="K39" s="729">
        <f>'CO2'!E36</f>
        <v>0</v>
      </c>
      <c r="L39" s="730">
        <f>+'PROD.FIG. '!F34</f>
        <v>0</v>
      </c>
      <c r="M39" s="727">
        <f>+'PROD.FIG. '!C34</f>
        <v>0</v>
      </c>
      <c r="N39" s="727">
        <f>+'PROD.FIG. '!D34</f>
        <v>0</v>
      </c>
      <c r="O39" s="727">
        <f>+'PROD.FIG. '!E34</f>
        <v>0</v>
      </c>
      <c r="P39" s="731">
        <v>0</v>
      </c>
      <c r="Q39" s="393">
        <f t="shared" si="3"/>
        <v>0</v>
      </c>
      <c r="R39" s="393">
        <f t="shared" si="4"/>
        <v>0</v>
      </c>
      <c r="S39" s="393">
        <f t="shared" si="5"/>
        <v>0</v>
      </c>
      <c r="T39" s="393">
        <f t="shared" si="6"/>
        <v>0</v>
      </c>
    </row>
    <row r="40" spans="1:32" s="35" customFormat="1" ht="15.75" thickBot="1" x14ac:dyDescent="0.25">
      <c r="A40" s="726">
        <v>31</v>
      </c>
      <c r="B40" s="726">
        <f>IF('Entries September 2026'!I37&lt;'Entries September 2026'!I36,"0",(IF('Entries September 2026'!I37&gt;='Entries September 2026'!I36,'Entries September 2026'!I37-'Entries September 2026'!I36,(999999-'Entries September 2026'!I36)+'Entries September 2026'!I37+1)))</f>
        <v>0</v>
      </c>
      <c r="C40" s="726" t="str">
        <f>IF('Entries September 2026'!J37&lt;='Entries September 2026'!J36,"0",IF('Entries September 2026'!J37&gt;='Entries September 2026'!J36,'Entries September 2026'!J37-'Entries September 2026'!J36,(999999-'Entries September 2026'!J36)+'Entries September 2026'!J37+1))</f>
        <v>0</v>
      </c>
      <c r="D40" s="727">
        <f t="shared" si="0"/>
        <v>0</v>
      </c>
      <c r="E40" s="768"/>
      <c r="F40" s="728" t="str">
        <f t="shared" si="1"/>
        <v>0</v>
      </c>
      <c r="G40" s="744">
        <f>IF('Entries September 2026'!K37&lt;'Entries September 2026'!K36,"0",IF('Entries September 2026'!K37&gt;='Entries September 2026'!K36,'Entries September 2026'!K37-'Entries September 2026'!K36,(999999-'Entries September 2026'!K36)+'Entries September 2026'!K37+1))</f>
        <v>0</v>
      </c>
      <c r="H40" s="727">
        <f t="shared" si="2"/>
        <v>0</v>
      </c>
      <c r="I40" s="744">
        <f>'Water '!Z37*10</f>
        <v>0</v>
      </c>
      <c r="J40" s="727" t="str">
        <f>IF('Entries September 2026'!B37-'Entries September 2026'!B36&lt;1,"0",'Entries September 2026'!B37-'Entries September 2026'!B36)</f>
        <v>0</v>
      </c>
      <c r="K40" s="729">
        <f>'CO2'!E37</f>
        <v>0</v>
      </c>
      <c r="L40" s="769"/>
      <c r="M40" s="770"/>
      <c r="N40" s="770"/>
      <c r="O40" s="770"/>
      <c r="P40" s="771">
        <v>0</v>
      </c>
      <c r="Q40" s="394">
        <f t="shared" si="3"/>
        <v>0</v>
      </c>
      <c r="R40" s="393">
        <f t="shared" si="4"/>
        <v>0</v>
      </c>
      <c r="S40" s="393">
        <f t="shared" si="5"/>
        <v>0</v>
      </c>
      <c r="T40" s="393">
        <f t="shared" si="6"/>
        <v>0</v>
      </c>
    </row>
    <row r="41" spans="1:32" ht="15.75" thickBot="1" x14ac:dyDescent="0.25">
      <c r="A41" s="25"/>
      <c r="B41" s="386"/>
      <c r="C41" s="386"/>
      <c r="D41" s="5"/>
      <c r="E41" s="700"/>
      <c r="F41" s="736"/>
      <c r="G41" s="5"/>
      <c r="H41" s="5"/>
      <c r="I41" s="6"/>
      <c r="J41" s="6"/>
      <c r="K41" s="6"/>
      <c r="L41" s="6"/>
      <c r="M41" s="6"/>
      <c r="N41" s="6"/>
      <c r="O41" s="6"/>
      <c r="P41" s="401"/>
      <c r="Q41" s="413" t="s">
        <v>82</v>
      </c>
      <c r="R41" s="414"/>
      <c r="S41" s="414"/>
      <c r="T41" s="415"/>
    </row>
    <row r="42" spans="1:32" ht="15.75" x14ac:dyDescent="0.25">
      <c r="A42" s="6"/>
      <c r="B42" s="6"/>
      <c r="C42" s="6"/>
      <c r="D42" s="27" t="s">
        <v>21</v>
      </c>
      <c r="E42" s="701"/>
      <c r="F42" s="736"/>
      <c r="G42" s="27" t="s">
        <v>21</v>
      </c>
      <c r="H42" s="27" t="s">
        <v>21</v>
      </c>
      <c r="I42" s="27" t="s">
        <v>80</v>
      </c>
      <c r="J42" s="27" t="s">
        <v>81</v>
      </c>
      <c r="K42" s="27" t="s">
        <v>88</v>
      </c>
      <c r="L42" s="27" t="s">
        <v>20</v>
      </c>
      <c r="M42" s="27" t="s">
        <v>20</v>
      </c>
      <c r="N42" s="27" t="s">
        <v>20</v>
      </c>
      <c r="O42" s="27" t="s">
        <v>20</v>
      </c>
      <c r="P42" s="402" t="s">
        <v>20</v>
      </c>
      <c r="Q42" s="405" t="s">
        <v>14</v>
      </c>
      <c r="R42" s="406" t="s">
        <v>15</v>
      </c>
      <c r="S42" s="406" t="s">
        <v>9</v>
      </c>
      <c r="T42" s="407" t="s">
        <v>63</v>
      </c>
      <c r="X42" t="s">
        <v>55</v>
      </c>
    </row>
    <row r="43" spans="1:32" ht="15.75" x14ac:dyDescent="0.25">
      <c r="A43" s="19" t="s">
        <v>19</v>
      </c>
      <c r="B43" s="19"/>
      <c r="C43" s="19"/>
      <c r="D43" s="20">
        <f>SUM(D10:D40)</f>
        <v>167292</v>
      </c>
      <c r="E43" s="748">
        <f>SUM(E10:E40)</f>
        <v>37573.600000000006</v>
      </c>
      <c r="F43" s="761">
        <f>IF((E43+D43)=0,"0",E43/(D43+E43))</f>
        <v>0.18340609648471976</v>
      </c>
      <c r="G43" s="20">
        <f t="shared" ref="G43:P43" si="7">SUM(G10:G40)</f>
        <v>0</v>
      </c>
      <c r="H43" s="20">
        <f t="shared" si="7"/>
        <v>204865.6</v>
      </c>
      <c r="I43" s="20">
        <f t="shared" si="7"/>
        <v>79460</v>
      </c>
      <c r="J43" s="20">
        <f t="shared" si="7"/>
        <v>59930</v>
      </c>
      <c r="K43" s="20">
        <f t="shared" si="7"/>
        <v>35700</v>
      </c>
      <c r="L43" s="20">
        <f t="shared" si="7"/>
        <v>0</v>
      </c>
      <c r="M43" s="20">
        <f t="shared" si="7"/>
        <v>0</v>
      </c>
      <c r="N43" s="20">
        <f t="shared" si="7"/>
        <v>0</v>
      </c>
      <c r="O43" s="20">
        <f t="shared" si="7"/>
        <v>0</v>
      </c>
      <c r="P43" s="403">
        <f t="shared" si="7"/>
        <v>6666.4620000000014</v>
      </c>
      <c r="Q43" s="408" t="s">
        <v>13</v>
      </c>
      <c r="R43" s="409" t="s">
        <v>61</v>
      </c>
      <c r="S43" s="409" t="s">
        <v>16</v>
      </c>
      <c r="T43" s="410" t="s">
        <v>64</v>
      </c>
      <c r="AA43" s="760"/>
      <c r="AD43" s="81" t="s">
        <v>55</v>
      </c>
    </row>
    <row r="44" spans="1:32" ht="17.25" thickBot="1" x14ac:dyDescent="0.3">
      <c r="A44" s="4"/>
      <c r="B44" s="4"/>
      <c r="C44" s="4"/>
      <c r="D44" s="734" t="s">
        <v>241</v>
      </c>
      <c r="E44" s="735">
        <f>D43+E43</f>
        <v>204865.6</v>
      </c>
      <c r="F44" s="714"/>
      <c r="G44" s="7"/>
      <c r="H44" s="395"/>
      <c r="I44" s="6"/>
      <c r="J44" s="6"/>
      <c r="K44" s="6"/>
      <c r="L44" s="6"/>
      <c r="M44" s="6"/>
      <c r="N44" s="6"/>
      <c r="O44" s="6"/>
      <c r="P44" s="401"/>
      <c r="Q44" s="397">
        <f>IF(P43=0,0,H43/P43)</f>
        <v>30.73078343505145</v>
      </c>
      <c r="R44" s="398">
        <f>IF(Q44=0,0,I43/P43)</f>
        <v>11.919365924533881</v>
      </c>
      <c r="S44" s="398">
        <f>IF(R44=0,0,J43/P43)</f>
        <v>8.9897759861227726</v>
      </c>
      <c r="T44" s="399">
        <f>IF(S44=0,0,K43/P43)</f>
        <v>5.3551644035471879</v>
      </c>
    </row>
    <row r="45" spans="1:32" ht="15" x14ac:dyDescent="0.2">
      <c r="A45" s="2"/>
      <c r="B45" s="2"/>
      <c r="C45" s="2"/>
      <c r="D45" s="2"/>
      <c r="E45" s="702"/>
      <c r="F45" s="715"/>
      <c r="G45" s="2"/>
      <c r="H45" s="396"/>
      <c r="I45" s="2"/>
      <c r="J45" s="2"/>
      <c r="K45" s="2"/>
      <c r="L45" s="2"/>
      <c r="M45" s="2"/>
      <c r="N45" s="2"/>
      <c r="O45" s="2"/>
      <c r="P45" s="404"/>
      <c r="Q45" s="411"/>
      <c r="R45" s="6"/>
      <c r="S45" s="6"/>
      <c r="T45" s="2"/>
    </row>
    <row r="46" spans="1:32" ht="15" x14ac:dyDescent="0.2">
      <c r="H46" s="396"/>
      <c r="Q46" s="412"/>
      <c r="R46" s="2"/>
      <c r="S46" s="2"/>
      <c r="T46" s="2"/>
    </row>
    <row r="47" spans="1:32" x14ac:dyDescent="0.2">
      <c r="D47" s="933"/>
      <c r="E47" s="933"/>
      <c r="F47" s="933"/>
      <c r="G47" s="933"/>
      <c r="H47" s="933"/>
      <c r="I47" s="933"/>
      <c r="AF47" t="s">
        <v>55</v>
      </c>
    </row>
    <row r="49" spans="4:32" x14ac:dyDescent="0.2">
      <c r="G49" t="s">
        <v>55</v>
      </c>
    </row>
    <row r="50" spans="4:32" x14ac:dyDescent="0.2">
      <c r="D50" s="81" t="s">
        <v>55</v>
      </c>
      <c r="E50" s="703"/>
      <c r="F50" s="716"/>
      <c r="AF50" s="81" t="s">
        <v>55</v>
      </c>
    </row>
    <row r="54" spans="4:32" x14ac:dyDescent="0.2">
      <c r="I54" s="81" t="s">
        <v>55</v>
      </c>
    </row>
  </sheetData>
  <mergeCells count="9">
    <mergeCell ref="A7:A9"/>
    <mergeCell ref="D47:I47"/>
    <mergeCell ref="Q7:T7"/>
    <mergeCell ref="G7:G8"/>
    <mergeCell ref="H7:H8"/>
    <mergeCell ref="L7:P7"/>
    <mergeCell ref="F7:F9"/>
    <mergeCell ref="D7:D9"/>
    <mergeCell ref="E7:E9"/>
  </mergeCells>
  <phoneticPr fontId="0" type="noConversion"/>
  <conditionalFormatting sqref="Q10:Q44">
    <cfRule type="cellIs" dxfId="62" priority="7" operator="between">
      <formula>0</formula>
      <formula>22</formula>
    </cfRule>
    <cfRule type="cellIs" dxfId="61" priority="8" operator="greaterThan">
      <formula>22</formula>
    </cfRule>
    <cfRule type="cellIs" dxfId="60" priority="9" operator="greaterThan">
      <formula>7.2</formula>
    </cfRule>
  </conditionalFormatting>
  <conditionalFormatting sqref="R10:R44">
    <cfRule type="cellIs" dxfId="59" priority="1" operator="between">
      <formula>0</formula>
      <formula>10.2</formula>
    </cfRule>
    <cfRule type="cellIs" dxfId="58" priority="2" operator="greaterThan">
      <formula>10.2</formula>
    </cfRule>
  </conditionalFormatting>
  <conditionalFormatting sqref="S10:S44">
    <cfRule type="cellIs" dxfId="57" priority="3" operator="between">
      <formula>0</formula>
      <formula>7.2</formula>
    </cfRule>
    <cfRule type="cellIs" dxfId="56" priority="4" operator="greaterThan">
      <formula>7.2</formula>
    </cfRule>
  </conditionalFormatting>
  <conditionalFormatting sqref="T10:T44">
    <cfRule type="cellIs" dxfId="55" priority="5" operator="between">
      <formula>0</formula>
      <formula>5</formula>
    </cfRule>
    <cfRule type="cellIs" dxfId="54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2A28-9786-4CDF-8554-44C1262FC1C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workbookViewId="0">
      <selection activeCell="B18" sqref="B18"/>
    </sheetView>
  </sheetViews>
  <sheetFormatPr defaultRowHeight="12.75" x14ac:dyDescent="0.2"/>
  <cols>
    <col min="2" max="2" width="13.28515625" customWidth="1"/>
    <col min="3" max="3" width="9.140625" style="342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949" t="s">
        <v>7</v>
      </c>
      <c r="B3" s="951" t="s">
        <v>235</v>
      </c>
    </row>
    <row r="4" spans="1:4" ht="15" customHeight="1" x14ac:dyDescent="0.2">
      <c r="A4" s="950"/>
      <c r="B4" s="952"/>
    </row>
    <row r="5" spans="1:4" ht="15" x14ac:dyDescent="0.2">
      <c r="A5" s="36">
        <v>1</v>
      </c>
      <c r="B5" s="44" t="str">
        <f>IF('Entries September 2026'!AJ7-'Entries September 2026'!AJ6&lt;1,"0",'Entries September 2026'!AJ7-'Entries September 2026'!AJ6)</f>
        <v>0</v>
      </c>
      <c r="D5" s="343"/>
    </row>
    <row r="6" spans="1:4" ht="15" x14ac:dyDescent="0.2">
      <c r="A6" s="36">
        <v>2</v>
      </c>
      <c r="B6" s="44" t="str">
        <f>IF('Entries September 2026'!AJ8-'Entries September 2026'!AJ7&lt;1,"0",'Entries September 2026'!AJ8-'Entries September 2026'!AJ7)</f>
        <v>0</v>
      </c>
      <c r="D6" s="343"/>
    </row>
    <row r="7" spans="1:4" ht="15" x14ac:dyDescent="0.2">
      <c r="A7" s="36">
        <v>3</v>
      </c>
      <c r="B7" s="44" t="str">
        <f>IF('Entries September 2026'!AJ9-'Entries September 2026'!AJ8&lt;1,"0",'Entries September 2026'!AJ9-'Entries September 2026'!AJ8)</f>
        <v>0</v>
      </c>
      <c r="D7" s="343"/>
    </row>
    <row r="8" spans="1:4" ht="15" x14ac:dyDescent="0.2">
      <c r="A8" s="36">
        <v>4</v>
      </c>
      <c r="B8" s="44" t="str">
        <f>IF('Entries September 2026'!AJ10-'Entries September 2026'!AJ9&lt;1,"0",'Entries September 2026'!AJ10-'Entries September 2026'!AJ9)</f>
        <v>0</v>
      </c>
      <c r="D8" s="343"/>
    </row>
    <row r="9" spans="1:4" ht="15" customHeight="1" x14ac:dyDescent="0.2">
      <c r="A9" s="36">
        <v>5</v>
      </c>
      <c r="B9" s="44" t="str">
        <f>IF('Entries September 2026'!AJ11-'Entries September 2026'!AJ10&lt;1,"0",'Entries September 2026'!AJ11-'Entries September 2026'!AJ10)</f>
        <v>0</v>
      </c>
      <c r="D9" s="343"/>
    </row>
    <row r="10" spans="1:4" ht="15" x14ac:dyDescent="0.2">
      <c r="A10" s="36">
        <v>6</v>
      </c>
      <c r="B10" s="44" t="str">
        <f>IF('Entries September 2026'!AJ12-'Entries September 2026'!AJ11&lt;1,"0",'Entries September 2026'!AJ12-'Entries September 2026'!AJ11)</f>
        <v>0</v>
      </c>
      <c r="D10" s="343"/>
    </row>
    <row r="11" spans="1:4" ht="15" x14ac:dyDescent="0.2">
      <c r="A11" s="36">
        <v>7</v>
      </c>
      <c r="B11" s="44">
        <f>IF('Entries September 2026'!AJ13-'Entries September 2026'!AJ12&lt;1,"0",'Entries September 2026'!AJ13-'Entries September 2026'!AJ12)</f>
        <v>36.735999999567866</v>
      </c>
      <c r="D11" s="343"/>
    </row>
    <row r="12" spans="1:4" ht="15" x14ac:dyDescent="0.2">
      <c r="A12" s="36">
        <v>8</v>
      </c>
      <c r="B12" s="44">
        <f>IF('Entries September 2026'!AJ14-'Entries September 2026'!AJ13&lt;1,"0",'Entries September 2026'!AJ14-'Entries September 2026'!AJ13)</f>
        <v>181.97400000039488</v>
      </c>
      <c r="D12" s="343"/>
    </row>
    <row r="13" spans="1:4" ht="15" x14ac:dyDescent="0.2">
      <c r="A13" s="36">
        <v>9</v>
      </c>
      <c r="B13" s="44" t="str">
        <f>IF('Entries September 2026'!AJ15-'Entries September 2026'!AJ14&lt;1,"0",'Entries September 2026'!AJ15-'Entries September 2026'!AJ14)</f>
        <v>0</v>
      </c>
      <c r="D13" s="343"/>
    </row>
    <row r="14" spans="1:4" ht="15" x14ac:dyDescent="0.2">
      <c r="A14" s="36">
        <v>10</v>
      </c>
      <c r="B14" s="44" t="str">
        <f>IF('Entries September 2026'!AJ16-'Entries September 2026'!AJ15&lt;1,"0",'Entries September 2026'!AJ16-'Entries September 2026'!AJ15)</f>
        <v>0</v>
      </c>
      <c r="D14" s="343"/>
    </row>
    <row r="15" spans="1:4" ht="15" x14ac:dyDescent="0.2">
      <c r="A15" s="36">
        <v>11</v>
      </c>
      <c r="B15" s="44" t="str">
        <f>IF('Entries September 2026'!AJ17-'Entries September 2026'!AJ16&lt;1,"0",'Entries September 2026'!AJ17-'Entries September 2026'!AJ16)</f>
        <v>0</v>
      </c>
      <c r="D15" s="343"/>
    </row>
    <row r="16" spans="1:4" ht="15" x14ac:dyDescent="0.2">
      <c r="A16" s="36">
        <v>12</v>
      </c>
      <c r="B16" s="44" t="str">
        <f>IF('Entries September 2026'!AJ18-'Entries September 2026'!AJ17&lt;1,"0",'Entries September 2026'!AJ18-'Entries September 2026'!AJ17)</f>
        <v>0</v>
      </c>
      <c r="D16" s="343"/>
    </row>
    <row r="17" spans="1:4" ht="15" x14ac:dyDescent="0.2">
      <c r="A17" s="36">
        <v>13</v>
      </c>
      <c r="B17" s="44" t="str">
        <f>IF('Entries September 2026'!AJ19-'Entries September 2026'!AJ18&lt;1,"0",'Entries September 2026'!AJ19-'Entries September 2026'!AJ18)</f>
        <v>0</v>
      </c>
      <c r="D17" s="343"/>
    </row>
    <row r="18" spans="1:4" ht="15" x14ac:dyDescent="0.2">
      <c r="A18" s="36">
        <v>14</v>
      </c>
      <c r="B18" s="44">
        <f>IF('Entries September 2026'!AJ20-'Entries September 2026'!AJ19&lt;1,"0",'Entries September 2026'!AJ20-'Entries September 2026'!AJ19)</f>
        <v>5273.8700000001118</v>
      </c>
      <c r="D18" s="343"/>
    </row>
    <row r="19" spans="1:4" ht="15" x14ac:dyDescent="0.2">
      <c r="A19" s="36">
        <v>15</v>
      </c>
      <c r="B19" s="44">
        <f>IF('Entries September 2026'!AJ21-'Entries September 2026'!AJ20&lt;1,"0",'Entries September 2026'!AJ21-'Entries September 2026'!AJ20)</f>
        <v>1887.1609999993816</v>
      </c>
      <c r="D19" s="343"/>
    </row>
    <row r="20" spans="1:4" ht="15" x14ac:dyDescent="0.2">
      <c r="A20" s="36">
        <v>16</v>
      </c>
      <c r="B20" s="44">
        <f>IF('Entries September 2026'!AJ22-'Entries September 2026'!AJ21&lt;1,"0",'Entries September 2026'!AJ22-'Entries September 2026'!AJ21)</f>
        <v>1210.1979999998584</v>
      </c>
      <c r="D20" s="343"/>
    </row>
    <row r="21" spans="1:4" ht="15" x14ac:dyDescent="0.2">
      <c r="A21" s="36">
        <v>17</v>
      </c>
      <c r="B21" s="44" t="str">
        <f>IF('Entries September 2026'!AJ23-'Entries September 2026'!AJ22&lt;1,"0",'Entries September 2026'!AJ23-'Entries September 2026'!AJ22)</f>
        <v>0</v>
      </c>
      <c r="D21" s="343"/>
    </row>
    <row r="22" spans="1:4" ht="15" x14ac:dyDescent="0.2">
      <c r="A22" s="36">
        <v>18</v>
      </c>
      <c r="B22" s="44" t="str">
        <f>IF('Entries September 2026'!AJ24-'Entries September 2026'!AJ23&lt;1,"0",'Entries September 2026'!AJ24-'Entries September 2026'!AJ23)</f>
        <v>0</v>
      </c>
      <c r="D22" s="343"/>
    </row>
    <row r="23" spans="1:4" ht="15" x14ac:dyDescent="0.2">
      <c r="A23" s="36">
        <v>19</v>
      </c>
      <c r="B23" s="44" t="str">
        <f>IF('Entries September 2026'!AJ25-'Entries September 2026'!AJ24&lt;1,"0",'Entries September 2026'!AJ25-'Entries September 2026'!AJ24)</f>
        <v>0</v>
      </c>
      <c r="D23" s="343"/>
    </row>
    <row r="24" spans="1:4" ht="15" x14ac:dyDescent="0.2">
      <c r="A24" s="36">
        <v>20</v>
      </c>
      <c r="B24" s="44" t="str">
        <f>IF('Entries September 2026'!AJ26-'Entries September 2026'!AJ25&lt;1,"0",'Entries September 2026'!AJ26-'Entries September 2026'!AJ25)</f>
        <v>0</v>
      </c>
      <c r="D24" s="343"/>
    </row>
    <row r="25" spans="1:4" ht="15" x14ac:dyDescent="0.2">
      <c r="A25" s="36">
        <v>21</v>
      </c>
      <c r="B25" s="44" t="str">
        <f>IF('Entries September 2026'!AJ27-'Entries September 2026'!AJ26&lt;1,"0",'Entries September 2026'!AJ27-'Entries September 2026'!AJ26)</f>
        <v>0</v>
      </c>
      <c r="D25" s="343"/>
    </row>
    <row r="26" spans="1:4" ht="15" x14ac:dyDescent="0.2">
      <c r="A26" s="36">
        <v>22</v>
      </c>
      <c r="B26" s="44" t="str">
        <f>IF('Entries September 2026'!AJ28-'Entries September 2026'!AJ27&lt;1,"0",'Entries September 2026'!AJ28-'Entries September 2026'!AJ27)</f>
        <v>0</v>
      </c>
      <c r="D26" s="343"/>
    </row>
    <row r="27" spans="1:4" ht="15" x14ac:dyDescent="0.2">
      <c r="A27" s="36">
        <v>23</v>
      </c>
      <c r="B27" s="44">
        <f>IF('Entries September 2026'!AJ29-'Entries September 2026'!AJ28&lt;1,"0",'Entries September 2026'!AJ29-'Entries September 2026'!AJ28)</f>
        <v>2382.4960000002757</v>
      </c>
      <c r="D27" s="343"/>
    </row>
    <row r="28" spans="1:4" ht="15" x14ac:dyDescent="0.2">
      <c r="A28" s="36">
        <v>24</v>
      </c>
      <c r="B28" s="44" t="str">
        <f>IF('Entries September 2026'!AJ30-'Entries September 2026'!AJ29&lt;1,"0",'Entries September 2026'!AJ30-'Entries September 2026'!AJ29)</f>
        <v>0</v>
      </c>
      <c r="D28" s="343"/>
    </row>
    <row r="29" spans="1:4" ht="15" x14ac:dyDescent="0.2">
      <c r="A29" s="36">
        <v>25</v>
      </c>
      <c r="B29" s="44" t="str">
        <f>IF('Entries September 2026'!AJ31-'Entries September 2026'!AJ30&lt;1,"0",'Entries September 2026'!AJ31-'Entries September 2026'!AJ30)</f>
        <v>0</v>
      </c>
      <c r="D29" s="343"/>
    </row>
    <row r="30" spans="1:4" ht="15" x14ac:dyDescent="0.2">
      <c r="A30" s="36">
        <v>26</v>
      </c>
      <c r="B30" s="44" t="str">
        <f>IF('Entries September 2026'!AJ32-'Entries September 2026'!AJ31&lt;1,"0",'Entries September 2026'!AJ32-'Entries September 2026'!AJ31)</f>
        <v>0</v>
      </c>
      <c r="D30" s="343"/>
    </row>
    <row r="31" spans="1:4" ht="15" x14ac:dyDescent="0.2">
      <c r="A31" s="36">
        <v>27</v>
      </c>
      <c r="B31" s="44" t="str">
        <f>IF('Entries September 2026'!AJ33-'Entries September 2026'!AJ32&lt;1,"0",'Entries September 2026'!AJ33-'Entries September 2026'!AJ32)</f>
        <v>0</v>
      </c>
      <c r="D31" s="343"/>
    </row>
    <row r="32" spans="1:4" ht="15" x14ac:dyDescent="0.2">
      <c r="A32" s="36">
        <v>28</v>
      </c>
      <c r="B32" s="44" t="str">
        <f>IF('Entries September 2026'!AJ34-'Entries September 2026'!AJ33&lt;1,"0",'Entries September 2026'!AJ34-'Entries September 2026'!AJ33)</f>
        <v>0</v>
      </c>
      <c r="D32" s="343"/>
    </row>
    <row r="33" spans="1:2" ht="15" x14ac:dyDescent="0.2">
      <c r="A33" s="36">
        <v>29</v>
      </c>
      <c r="B33" s="44" t="str">
        <f>IF('Entries September 2026'!AJ35-'Entries September 2026'!AJ34&lt;1,"0",'Entries September 2026'!AJ35-'Entries September 2026'!AJ34)</f>
        <v>0</v>
      </c>
    </row>
    <row r="34" spans="1:2" ht="15" x14ac:dyDescent="0.2">
      <c r="A34" s="36">
        <v>30</v>
      </c>
      <c r="B34" s="44" t="str">
        <f>IF('Entries September 2026'!AJ36-'Entries September 2026'!AJ35&lt;1,"0",'Entries September 2026'!AJ36-'Entries September 2026'!AJ35)</f>
        <v>0</v>
      </c>
    </row>
    <row r="35" spans="1:2" ht="15" x14ac:dyDescent="0.2">
      <c r="A35" s="36">
        <v>31</v>
      </c>
      <c r="B35" s="44" t="str">
        <f>IF('Entries September 2026'!AJ37-'Entries September 2026'!AJ36&lt;1,"0",'Entries September 2026'!AJ37-'Entries September 2026'!AJ36)</f>
        <v>0</v>
      </c>
    </row>
    <row r="36" spans="1:2" ht="15.75" x14ac:dyDescent="0.25">
      <c r="A36" s="41"/>
      <c r="B36" s="352">
        <f>SUM(B5:B35)</f>
        <v>10972.43499999959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R152"/>
  <sheetViews>
    <sheetView showZeros="0" defaultGridColor="0" topLeftCell="A22" colorId="22" zoomScaleNormal="100" workbookViewId="0">
      <selection activeCell="D25" sqref="D25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7.85546875" style="29" customWidth="1"/>
    <col min="5" max="5" width="12.28515625" style="29" customWidth="1"/>
    <col min="6" max="6" width="10.28515625" style="8" customWidth="1"/>
    <col min="7" max="7" width="9.7109375" style="8" customWidth="1"/>
    <col min="8" max="11" width="13.7109375" style="8" customWidth="1"/>
    <col min="12" max="12" width="12" style="354" customWidth="1"/>
    <col min="13" max="13" width="15.5703125" style="8" bestFit="1" customWidth="1"/>
    <col min="14" max="14" width="14.5703125" style="189" customWidth="1"/>
    <col min="15" max="15" width="12.5703125" style="17"/>
    <col min="16" max="16" width="12.5703125" style="349"/>
    <col min="17" max="16384" width="12.5703125" style="8"/>
  </cols>
  <sheetData>
    <row r="1" spans="1:17" ht="15.75" x14ac:dyDescent="0.25">
      <c r="A1" s="961" t="s">
        <v>294</v>
      </c>
      <c r="B1" s="962"/>
      <c r="C1" s="962"/>
      <c r="D1" s="962"/>
      <c r="E1" s="962"/>
      <c r="F1" s="962"/>
      <c r="G1" s="962"/>
      <c r="H1" s="962"/>
      <c r="I1" s="962"/>
      <c r="J1" s="962"/>
      <c r="K1" s="962"/>
      <c r="L1" s="962"/>
      <c r="M1" s="962"/>
    </row>
    <row r="2" spans="1:17" ht="15" customHeight="1" x14ac:dyDescent="0.2">
      <c r="B2" s="8"/>
      <c r="D2" s="8"/>
      <c r="E2" s="8"/>
      <c r="F2" s="9"/>
      <c r="M2" s="953" t="s">
        <v>303</v>
      </c>
      <c r="N2" s="953" t="s">
        <v>304</v>
      </c>
    </row>
    <row r="3" spans="1:17" ht="15.75" thickBot="1" x14ac:dyDescent="0.25">
      <c r="B3" s="8"/>
      <c r="D3" s="8"/>
      <c r="E3" s="8"/>
      <c r="F3" s="9"/>
      <c r="M3" s="954"/>
      <c r="N3" s="954"/>
    </row>
    <row r="4" spans="1:17" s="339" customFormat="1" ht="32.25" customHeight="1" x14ac:dyDescent="0.2">
      <c r="A4" s="967" t="s">
        <v>7</v>
      </c>
      <c r="B4" s="860" t="s">
        <v>27</v>
      </c>
      <c r="C4" s="861" t="s">
        <v>27</v>
      </c>
      <c r="D4" s="862" t="s">
        <v>300</v>
      </c>
      <c r="E4" s="876" t="s">
        <v>24</v>
      </c>
      <c r="F4" s="876" t="s">
        <v>24</v>
      </c>
      <c r="G4" s="864" t="s">
        <v>38</v>
      </c>
      <c r="H4" s="861" t="s">
        <v>39</v>
      </c>
      <c r="I4" s="861" t="s">
        <v>307</v>
      </c>
      <c r="J4" s="861" t="s">
        <v>38</v>
      </c>
      <c r="K4" s="861" t="s">
        <v>40</v>
      </c>
      <c r="L4" s="963" t="s">
        <v>243</v>
      </c>
      <c r="M4" s="965" t="s">
        <v>246</v>
      </c>
      <c r="N4" s="955" t="s">
        <v>246</v>
      </c>
      <c r="O4" s="958" t="s">
        <v>306</v>
      </c>
      <c r="P4" s="350"/>
    </row>
    <row r="5" spans="1:17" s="339" customFormat="1" ht="16.5" thickBot="1" x14ac:dyDescent="0.25">
      <c r="A5" s="968"/>
      <c r="B5" s="877" t="s">
        <v>41</v>
      </c>
      <c r="C5" s="878" t="s">
        <v>34</v>
      </c>
      <c r="D5" s="865" t="s">
        <v>41</v>
      </c>
      <c r="E5" s="863" t="s">
        <v>41</v>
      </c>
      <c r="F5" s="863" t="s">
        <v>34</v>
      </c>
      <c r="G5" s="866" t="s">
        <v>41</v>
      </c>
      <c r="H5" s="878" t="s">
        <v>34</v>
      </c>
      <c r="I5" s="878" t="s">
        <v>42</v>
      </c>
      <c r="J5" s="878" t="s">
        <v>43</v>
      </c>
      <c r="K5" s="878" t="s">
        <v>44</v>
      </c>
      <c r="L5" s="964"/>
      <c r="M5" s="966"/>
      <c r="N5" s="956"/>
      <c r="O5" s="959"/>
      <c r="P5" s="350"/>
    </row>
    <row r="6" spans="1:17" s="73" customFormat="1" ht="16.5" thickBot="1" x14ac:dyDescent="0.3">
      <c r="A6" s="879"/>
      <c r="B6" s="880"/>
      <c r="C6" s="849"/>
      <c r="D6" s="851"/>
      <c r="E6" s="881"/>
      <c r="F6" s="881"/>
      <c r="G6" s="854"/>
      <c r="H6" s="849"/>
      <c r="I6" s="849"/>
      <c r="J6" s="849"/>
      <c r="K6" s="849"/>
      <c r="L6" s="882"/>
      <c r="M6" s="846"/>
      <c r="N6" s="957"/>
      <c r="O6" s="960"/>
      <c r="P6" s="350"/>
    </row>
    <row r="7" spans="1:17" x14ac:dyDescent="0.2">
      <c r="A7" s="867">
        <v>1</v>
      </c>
      <c r="B7" s="868">
        <f>IF('Entries September 2026'!B7-'Entries September 2026'!B6&lt;1,"0",'Entries September 2026'!B7-'Entries September 2026'!B6)</f>
        <v>3280</v>
      </c>
      <c r="C7" s="869">
        <f>IF('Entries September 2026'!F7-'Entries September 2026'!F6&lt;1,"0",'Entries September 2026'!F7-'Entries September 2026'!F6)</f>
        <v>20.599999999998545</v>
      </c>
      <c r="D7" s="870">
        <f>IF('Entries September 2026'!C7-'Entries September 2026'!C6&lt;1,"0",'Entries September 2026'!C7-'Entries September 2026'!C6)</f>
        <v>3010</v>
      </c>
      <c r="E7" s="871" t="str">
        <f t="shared" ref="E7:E37" si="0">IF(F7=0,"0", D7/F7)</f>
        <v>0</v>
      </c>
      <c r="F7" s="872" t="str">
        <f>IF('Entries September 2026'!G7-'Entries September 2026'!G6&lt;1,"0",'Entries September 2026'!G7-'Entries September 2026'!G6)</f>
        <v>0</v>
      </c>
      <c r="G7" s="873"/>
      <c r="H7" s="869"/>
      <c r="I7" s="874">
        <f>IF(C7=0,"0", B7/(C7))</f>
        <v>159.22330097088502</v>
      </c>
      <c r="J7" s="874" t="str">
        <f t="shared" ref="J7:J37" si="1">IF(H7=0,"0", G7/H7)</f>
        <v>0</v>
      </c>
      <c r="K7" s="869">
        <f t="shared" ref="K7:K37" si="2">B7+E7+G7</f>
        <v>3280</v>
      </c>
      <c r="L7" s="753" cm="1">
        <f t="array" ref="L7:L37">IF(TRANSPOSE('Daily KPIs'!B9:AF9)=0,"0",TRANSPOSE('Daily KPIs'!B9:AF9))</f>
        <v>493.416</v>
      </c>
      <c r="M7" s="845">
        <f>IF(L7=0,"0",(K7/L7))</f>
        <v>6.6475347374223777</v>
      </c>
      <c r="N7" s="845">
        <f t="shared" ref="N7:N37" si="3">IF(L7=0,"0",(D7/L7))</f>
        <v>6.1003291340369996</v>
      </c>
      <c r="O7" s="875">
        <f>B7-D7</f>
        <v>270</v>
      </c>
      <c r="P7" s="333"/>
    </row>
    <row r="8" spans="1:17" x14ac:dyDescent="0.2">
      <c r="A8" s="745">
        <v>2</v>
      </c>
      <c r="B8" s="757">
        <f>IF('Entries September 2026'!B8-'Entries September 2026'!B7&lt;1,"0",'Entries September 2026'!B8-'Entries September 2026'!B7)</f>
        <v>3540</v>
      </c>
      <c r="C8" s="746">
        <f>IF('Entries September 2026'!F8-'Entries September 2026'!F7&lt;1,"0",'Entries September 2026'!F8-'Entries September 2026'!F7)</f>
        <v>21.300000000001091</v>
      </c>
      <c r="D8" s="852">
        <f>IF('Entries September 2026'!C8-'Entries September 2026'!C7&lt;1,"0",'Entries September 2026'!C8-'Entries September 2026'!C7)</f>
        <v>3506.3000000000466</v>
      </c>
      <c r="E8" s="856" t="str">
        <f t="shared" si="0"/>
        <v>0</v>
      </c>
      <c r="F8" s="857" t="str">
        <f>IF('Entries September 2026'!G8-'Entries September 2026'!G7&lt;1,"0",'Entries September 2026'!G8-'Entries September 2026'!G7)</f>
        <v>0</v>
      </c>
      <c r="G8" s="850"/>
      <c r="H8" s="746"/>
      <c r="I8" s="747">
        <f t="shared" ref="I8:I37" si="4">IF(C8=0,"0", B8/(C8))</f>
        <v>166.19718309858303</v>
      </c>
      <c r="J8" s="747" t="str">
        <f t="shared" si="1"/>
        <v>0</v>
      </c>
      <c r="K8" s="746">
        <f t="shared" si="2"/>
        <v>3540</v>
      </c>
      <c r="L8" s="844">
        <v>519.42000000000007</v>
      </c>
      <c r="M8" s="842">
        <f t="shared" ref="M8:M37" si="5">IF(L8=0,"0",(K8/L8))</f>
        <v>6.8152939817488729</v>
      </c>
      <c r="N8" s="842">
        <f t="shared" si="3"/>
        <v>6.7504139232221441</v>
      </c>
      <c r="O8" s="843">
        <f t="shared" ref="O8:O37" si="6">B8-D8</f>
        <v>33.699999999953434</v>
      </c>
      <c r="P8" s="333"/>
    </row>
    <row r="9" spans="1:17" x14ac:dyDescent="0.2">
      <c r="A9" s="745">
        <v>3</v>
      </c>
      <c r="B9" s="757">
        <f>IF('Entries September 2026'!B9-'Entries September 2026'!B8&lt;1,"0",'Entries September 2026'!B9-'Entries September 2026'!B8)</f>
        <v>3460</v>
      </c>
      <c r="C9" s="746">
        <f>IF('Entries September 2026'!F9-'Entries September 2026'!F8&lt;1,"0",'Entries September 2026'!F9-'Entries September 2026'!F8)</f>
        <v>21.100000000000364</v>
      </c>
      <c r="D9" s="852">
        <f>IF('Entries September 2026'!C9-'Entries September 2026'!C8&lt;1,"0",'Entries September 2026'!C9-'Entries September 2026'!C8)</f>
        <v>3374.5</v>
      </c>
      <c r="E9" s="856" t="str">
        <f t="shared" si="0"/>
        <v>0</v>
      </c>
      <c r="F9" s="857" t="str">
        <f>IF('Entries September 2026'!G9-'Entries September 2026'!G8&lt;1,"0",'Entries September 2026'!G9-'Entries September 2026'!G8)</f>
        <v>0</v>
      </c>
      <c r="G9" s="850"/>
      <c r="H9" s="746"/>
      <c r="I9" s="747">
        <f t="shared" si="4"/>
        <v>163.9810426540256</v>
      </c>
      <c r="J9" s="747" t="str">
        <f t="shared" si="1"/>
        <v>0</v>
      </c>
      <c r="K9" s="746">
        <f t="shared" si="2"/>
        <v>3460</v>
      </c>
      <c r="L9" s="844">
        <v>447.678</v>
      </c>
      <c r="M9" s="842">
        <f t="shared" si="5"/>
        <v>7.7287693386764591</v>
      </c>
      <c r="N9" s="842">
        <f t="shared" si="3"/>
        <v>7.5377838535733277</v>
      </c>
      <c r="O9" s="843">
        <f t="shared" si="6"/>
        <v>85.5</v>
      </c>
      <c r="P9" s="333"/>
    </row>
    <row r="10" spans="1:17" x14ac:dyDescent="0.2">
      <c r="A10" s="745">
        <v>4</v>
      </c>
      <c r="B10" s="757">
        <f>IF('Entries September 2026'!B10-'Entries September 2026'!B9&lt;1,"0",'Entries September 2026'!B10-'Entries September 2026'!B9)</f>
        <v>2040</v>
      </c>
      <c r="C10" s="746">
        <f>IF('Entries September 2026'!F10-'Entries September 2026'!F9&lt;1,"0",'Entries September 2026'!F10-'Entries September 2026'!F9)</f>
        <v>15.299999999999272</v>
      </c>
      <c r="D10" s="852">
        <f>IF('Entries September 2026'!C10-'Entries September 2026'!C9&lt;1,"0",'Entries September 2026'!C10-'Entries September 2026'!C9)</f>
        <v>1735.5</v>
      </c>
      <c r="E10" s="856" t="str">
        <f t="shared" si="0"/>
        <v>0</v>
      </c>
      <c r="F10" s="857" t="str">
        <f>IF('Entries September 2026'!G10-'Entries September 2026'!G9&lt;1,"0",'Entries September 2026'!G10-'Entries September 2026'!G9)</f>
        <v>0</v>
      </c>
      <c r="G10" s="850"/>
      <c r="H10" s="746"/>
      <c r="I10" s="747">
        <f t="shared" si="4"/>
        <v>133.33333333333968</v>
      </c>
      <c r="J10" s="747" t="str">
        <f t="shared" si="1"/>
        <v>0</v>
      </c>
      <c r="K10" s="746">
        <f t="shared" si="2"/>
        <v>2040</v>
      </c>
      <c r="L10" s="844">
        <v>96.294000000000011</v>
      </c>
      <c r="M10" s="842">
        <f t="shared" si="5"/>
        <v>21.185120568259702</v>
      </c>
      <c r="N10" s="842">
        <f t="shared" si="3"/>
        <v>18.022929777556232</v>
      </c>
      <c r="O10" s="843">
        <f t="shared" si="6"/>
        <v>304.5</v>
      </c>
      <c r="P10" s="333"/>
    </row>
    <row r="11" spans="1:17" x14ac:dyDescent="0.2">
      <c r="A11" s="762">
        <v>5</v>
      </c>
      <c r="B11" s="757" t="str">
        <f>IF('Entries September 2026'!B11-'Entries September 2026'!B10&lt;1,"0",'Entries September 2026'!B11-'Entries September 2026'!B10)</f>
        <v>0</v>
      </c>
      <c r="C11" s="746" t="str">
        <f>IF('Entries September 2026'!F11-'Entries September 2026'!F10&lt;1,"0",'Entries September 2026'!F11-'Entries September 2026'!F10)</f>
        <v>0</v>
      </c>
      <c r="D11" s="852" t="str">
        <f>IF('Entries September 2026'!C11-'Entries September 2026'!C10&lt;1,"0",'Entries September 2026'!C11-'Entries September 2026'!C10)</f>
        <v>0</v>
      </c>
      <c r="E11" s="856" t="str">
        <f t="shared" si="0"/>
        <v>0</v>
      </c>
      <c r="F11" s="857" t="str">
        <f>IF('Entries September 2026'!G11-'Entries September 2026'!G10&lt;1,"0",'Entries September 2026'!G11-'Entries September 2026'!G10)</f>
        <v>0</v>
      </c>
      <c r="G11" s="850"/>
      <c r="H11" s="746"/>
      <c r="I11" s="747" t="str">
        <f t="shared" si="4"/>
        <v>0</v>
      </c>
      <c r="J11" s="747" t="str">
        <f t="shared" si="1"/>
        <v>0</v>
      </c>
      <c r="K11" s="746">
        <f t="shared" si="2"/>
        <v>0</v>
      </c>
      <c r="L11" s="844" t="str">
        <v>0</v>
      </c>
      <c r="M11" s="842" t="str">
        <f t="shared" si="5"/>
        <v>0</v>
      </c>
      <c r="N11" s="842" t="str">
        <f t="shared" si="3"/>
        <v>0</v>
      </c>
      <c r="O11" s="843">
        <f t="shared" si="6"/>
        <v>0</v>
      </c>
      <c r="P11" s="333"/>
    </row>
    <row r="12" spans="1:17" x14ac:dyDescent="0.2">
      <c r="A12" s="745">
        <v>6</v>
      </c>
      <c r="B12" s="757" t="str">
        <f>IF('Entries September 2026'!B12-'Entries September 2026'!B11&lt;1,"0",'Entries September 2026'!B12-'Entries September 2026'!B11)</f>
        <v>0</v>
      </c>
      <c r="C12" s="746" t="str">
        <f>IF('Entries September 2026'!F12-'Entries September 2026'!F11&lt;1,"0",'Entries September 2026'!F12-'Entries September 2026'!F11)</f>
        <v>0</v>
      </c>
      <c r="D12" s="852" t="str">
        <f>IF('Entries September 2026'!C12-'Entries September 2026'!C11&lt;1,"0",'Entries September 2026'!C12-'Entries September 2026'!C11)</f>
        <v>0</v>
      </c>
      <c r="E12" s="856" t="str">
        <f t="shared" si="0"/>
        <v>0</v>
      </c>
      <c r="F12" s="857" t="str">
        <f>IF('Entries September 2026'!G12-'Entries September 2026'!G11&lt;1,"0",'Entries September 2026'!G12-'Entries September 2026'!G11)</f>
        <v>0</v>
      </c>
      <c r="G12" s="850"/>
      <c r="H12" s="746"/>
      <c r="I12" s="747" t="str">
        <f t="shared" si="4"/>
        <v>0</v>
      </c>
      <c r="J12" s="747" t="str">
        <f t="shared" si="1"/>
        <v>0</v>
      </c>
      <c r="K12" s="746">
        <f t="shared" si="2"/>
        <v>0</v>
      </c>
      <c r="L12" s="844" t="str">
        <v>0</v>
      </c>
      <c r="M12" s="842" t="str">
        <f t="shared" si="5"/>
        <v>0</v>
      </c>
      <c r="N12" s="842" t="str">
        <f t="shared" si="3"/>
        <v>0</v>
      </c>
      <c r="O12" s="843">
        <f t="shared" si="6"/>
        <v>0</v>
      </c>
      <c r="P12" s="333"/>
    </row>
    <row r="13" spans="1:17" x14ac:dyDescent="0.2">
      <c r="A13" s="745">
        <v>7</v>
      </c>
      <c r="B13" s="757">
        <f>IF('Entries September 2026'!B13-'Entries September 2026'!B12&lt;1,"0",'Entries September 2026'!B13-'Entries September 2026'!B12)</f>
        <v>2310</v>
      </c>
      <c r="C13" s="746">
        <f>IF('Entries September 2026'!F13-'Entries September 2026'!F12&lt;1,"0",'Entries September 2026'!F13-'Entries September 2026'!F12)</f>
        <v>18.5</v>
      </c>
      <c r="D13" s="852">
        <f>IF('Entries September 2026'!C13-'Entries September 2026'!C12&lt;1,"0",'Entries September 2026'!C13-'Entries September 2026'!C12)</f>
        <v>2304.8999999999069</v>
      </c>
      <c r="E13" s="856" t="str">
        <f t="shared" si="0"/>
        <v>0</v>
      </c>
      <c r="F13" s="857" t="str">
        <f>IF('Entries September 2026'!G13-'Entries September 2026'!G12&lt;1,"0",'Entries September 2026'!G13-'Entries September 2026'!G12)</f>
        <v>0</v>
      </c>
      <c r="G13" s="850"/>
      <c r="H13" s="746"/>
      <c r="I13" s="747">
        <f t="shared" si="4"/>
        <v>124.86486486486487</v>
      </c>
      <c r="J13" s="747" t="str">
        <f t="shared" si="1"/>
        <v>0</v>
      </c>
      <c r="K13" s="746">
        <f t="shared" si="2"/>
        <v>2310</v>
      </c>
      <c r="L13" s="844" t="str">
        <v>0</v>
      </c>
      <c r="M13" s="842" t="str">
        <f t="shared" si="5"/>
        <v>0</v>
      </c>
      <c r="N13" s="842" t="str">
        <f t="shared" si="3"/>
        <v>0</v>
      </c>
      <c r="O13" s="843">
        <f t="shared" si="6"/>
        <v>5.1000000000931323</v>
      </c>
      <c r="P13" s="333"/>
    </row>
    <row r="14" spans="1:17" x14ac:dyDescent="0.2">
      <c r="A14" s="745">
        <v>8</v>
      </c>
      <c r="B14" s="757">
        <f>IF('Entries September 2026'!B14-'Entries September 2026'!B13&lt;1,"0",'Entries September 2026'!B14-'Entries September 2026'!B13)</f>
        <v>3350</v>
      </c>
      <c r="C14" s="746">
        <f>IF('Entries September 2026'!F14-'Entries September 2026'!F13&lt;1,"0",'Entries September 2026'!F14-'Entries September 2026'!F13)</f>
        <v>20.799999999999272</v>
      </c>
      <c r="D14" s="852">
        <f>IF('Entries September 2026'!C14-'Entries September 2026'!C13&lt;1,"0",'Entries September 2026'!C14-'Entries September 2026'!C13)</f>
        <v>2879.8000000000466</v>
      </c>
      <c r="E14" s="856" t="str">
        <f t="shared" si="0"/>
        <v>0</v>
      </c>
      <c r="F14" s="857" t="str">
        <f>IF('Entries September 2026'!G14-'Entries September 2026'!G13&lt;1,"0",'Entries September 2026'!G14-'Entries September 2026'!G13)</f>
        <v>0</v>
      </c>
      <c r="G14" s="850"/>
      <c r="H14" s="746"/>
      <c r="I14" s="747">
        <f t="shared" si="4"/>
        <v>161.05769230769795</v>
      </c>
      <c r="J14" s="747" t="str">
        <f t="shared" si="1"/>
        <v>0</v>
      </c>
      <c r="K14" s="746">
        <f t="shared" si="2"/>
        <v>3350</v>
      </c>
      <c r="L14" s="844">
        <v>261.49200000000002</v>
      </c>
      <c r="M14" s="842">
        <f t="shared" si="5"/>
        <v>12.811099383537545</v>
      </c>
      <c r="N14" s="842">
        <f t="shared" si="3"/>
        <v>11.012956419317021</v>
      </c>
      <c r="O14" s="843">
        <f t="shared" si="6"/>
        <v>470.19999999995343</v>
      </c>
      <c r="P14" s="333"/>
      <c r="Q14" s="30"/>
    </row>
    <row r="15" spans="1:17" x14ac:dyDescent="0.2">
      <c r="A15" s="745">
        <v>9</v>
      </c>
      <c r="B15" s="757">
        <f>IF('Entries September 2026'!B15-'Entries September 2026'!B14&lt;1,"0",'Entries September 2026'!B15-'Entries September 2026'!B14)</f>
        <v>3850</v>
      </c>
      <c r="C15" s="746">
        <f>IF('Entries September 2026'!F15-'Entries September 2026'!F14&lt;1,"0",'Entries September 2026'!F15-'Entries September 2026'!F14)</f>
        <v>20.5</v>
      </c>
      <c r="D15" s="852">
        <f>IF('Entries September 2026'!C15-'Entries September 2026'!C14&lt;1,"0",'Entries September 2026'!C15-'Entries September 2026'!C14)</f>
        <v>3813.5</v>
      </c>
      <c r="E15" s="856" t="str">
        <f t="shared" si="0"/>
        <v>0</v>
      </c>
      <c r="F15" s="857" t="str">
        <f>IF('Entries September 2026'!G15-'Entries September 2026'!G14&lt;1,"0",'Entries September 2026'!G15-'Entries September 2026'!G14)</f>
        <v>0</v>
      </c>
      <c r="G15" s="850"/>
      <c r="H15" s="746"/>
      <c r="I15" s="747">
        <f t="shared" si="4"/>
        <v>187.80487804878049</v>
      </c>
      <c r="J15" s="747" t="str">
        <f t="shared" si="1"/>
        <v>0</v>
      </c>
      <c r="K15" s="746">
        <f t="shared" si="2"/>
        <v>3850</v>
      </c>
      <c r="L15" s="844">
        <v>401.61</v>
      </c>
      <c r="M15" s="842">
        <f t="shared" si="5"/>
        <v>9.5864146809093391</v>
      </c>
      <c r="N15" s="842">
        <f t="shared" si="3"/>
        <v>9.4955304897786412</v>
      </c>
      <c r="O15" s="843">
        <f t="shared" si="6"/>
        <v>36.5</v>
      </c>
      <c r="P15" s="333"/>
    </row>
    <row r="16" spans="1:17" x14ac:dyDescent="0.2">
      <c r="A16" s="745">
        <v>10</v>
      </c>
      <c r="B16" s="757">
        <f>IF('Entries September 2026'!B16-'Entries September 2026'!B15&lt;1,"0",'Entries September 2026'!B16-'Entries September 2026'!B15)</f>
        <v>2960</v>
      </c>
      <c r="C16" s="746">
        <f>IF('Entries September 2026'!F16-'Entries September 2026'!F15&lt;1,"0",'Entries September 2026'!F16-'Entries September 2026'!F15)</f>
        <v>22.600000000000364</v>
      </c>
      <c r="D16" s="852">
        <f>IF('Entries September 2026'!C16-'Entries September 2026'!C15&lt;1,"0",'Entries September 2026'!C16-'Entries September 2026'!C15)</f>
        <v>2717.3999999999069</v>
      </c>
      <c r="E16" s="856" t="str">
        <f t="shared" si="0"/>
        <v>0</v>
      </c>
      <c r="F16" s="857" t="str">
        <f>IF('Entries September 2026'!G16-'Entries September 2026'!G15&lt;1,"0",'Entries September 2026'!G16-'Entries September 2026'!G15)</f>
        <v>0</v>
      </c>
      <c r="G16" s="850"/>
      <c r="H16" s="746"/>
      <c r="I16" s="747">
        <f t="shared" si="4"/>
        <v>130.97345132743152</v>
      </c>
      <c r="J16" s="747" t="str">
        <f t="shared" si="1"/>
        <v>0</v>
      </c>
      <c r="K16" s="746">
        <f t="shared" si="2"/>
        <v>2960</v>
      </c>
      <c r="L16" s="844">
        <v>402.86400000000003</v>
      </c>
      <c r="M16" s="842">
        <f t="shared" si="5"/>
        <v>7.3473926684935851</v>
      </c>
      <c r="N16" s="842">
        <f t="shared" si="3"/>
        <v>6.7452043369472241</v>
      </c>
      <c r="O16" s="843">
        <f t="shared" si="6"/>
        <v>242.60000000009313</v>
      </c>
      <c r="P16" s="333"/>
    </row>
    <row r="17" spans="1:18" x14ac:dyDescent="0.2">
      <c r="A17" s="745">
        <v>11</v>
      </c>
      <c r="B17" s="757">
        <f>IF('Entries September 2026'!B17-'Entries September 2026'!B16&lt;1,"0",'Entries September 2026'!B17-'Entries September 2026'!B16)</f>
        <v>2830</v>
      </c>
      <c r="C17" s="746">
        <f>IF('Entries September 2026'!F17-'Entries September 2026'!F16&lt;1,"0",'Entries September 2026'!F17-'Entries September 2026'!F16)</f>
        <v>18.100000000000364</v>
      </c>
      <c r="D17" s="852">
        <f>IF('Entries September 2026'!C17-'Entries September 2026'!C16&lt;1,"0",'Entries September 2026'!C17-'Entries September 2026'!C16)</f>
        <v>2680.4000000001397</v>
      </c>
      <c r="E17" s="856" t="str">
        <f t="shared" si="0"/>
        <v>0</v>
      </c>
      <c r="F17" s="857" t="str">
        <f>IF('Entries September 2026'!G17-'Entries September 2026'!G16&lt;1,"0",'Entries September 2026'!G17-'Entries September 2026'!G16)</f>
        <v>0</v>
      </c>
      <c r="G17" s="850"/>
      <c r="H17" s="746"/>
      <c r="I17" s="747">
        <f t="shared" si="4"/>
        <v>156.35359116021786</v>
      </c>
      <c r="J17" s="747" t="str">
        <f t="shared" si="1"/>
        <v>0</v>
      </c>
      <c r="K17" s="746">
        <f t="shared" si="2"/>
        <v>2830</v>
      </c>
      <c r="L17" s="844">
        <v>266.24400000000003</v>
      </c>
      <c r="M17" s="842">
        <f t="shared" si="5"/>
        <v>10.629347515812562</v>
      </c>
      <c r="N17" s="842">
        <f t="shared" si="3"/>
        <v>10.067456919217483</v>
      </c>
      <c r="O17" s="843">
        <f t="shared" si="6"/>
        <v>149.5999999998603</v>
      </c>
      <c r="P17" s="333"/>
    </row>
    <row r="18" spans="1:18" x14ac:dyDescent="0.2">
      <c r="A18" s="745">
        <v>12</v>
      </c>
      <c r="B18" s="757">
        <f>IF('Entries September 2026'!B18-'Entries September 2026'!B17&lt;1,"0",'Entries September 2026'!B18-'Entries September 2026'!B17)</f>
        <v>230</v>
      </c>
      <c r="C18" s="746">
        <f>IF('Entries September 2026'!F18-'Entries September 2026'!F17&lt;1,"0",'Entries September 2026'!F18-'Entries September 2026'!F17)</f>
        <v>1.5</v>
      </c>
      <c r="D18" s="852">
        <f>IF('Entries September 2026'!C18-'Entries September 2026'!C17&lt;1,"0",'Entries September 2026'!C18-'Entries September 2026'!C17)</f>
        <v>223.69999999995343</v>
      </c>
      <c r="E18" s="856" t="str">
        <f t="shared" si="0"/>
        <v>0</v>
      </c>
      <c r="F18" s="857" t="str">
        <f>IF('Entries September 2026'!G18-'Entries September 2026'!G17&lt;1,"0",'Entries September 2026'!G18-'Entries September 2026'!G17)</f>
        <v>0</v>
      </c>
      <c r="G18" s="850"/>
      <c r="H18" s="746"/>
      <c r="I18" s="747">
        <f t="shared" si="4"/>
        <v>153.33333333333334</v>
      </c>
      <c r="J18" s="747" t="str">
        <f t="shared" si="1"/>
        <v>0</v>
      </c>
      <c r="K18" s="746">
        <f t="shared" si="2"/>
        <v>230</v>
      </c>
      <c r="L18" s="844" t="str">
        <v>0</v>
      </c>
      <c r="M18" s="842" t="str">
        <f t="shared" si="5"/>
        <v>0</v>
      </c>
      <c r="N18" s="842" t="str">
        <f t="shared" si="3"/>
        <v>0</v>
      </c>
      <c r="O18" s="843">
        <f t="shared" si="6"/>
        <v>6.3000000000465661</v>
      </c>
      <c r="P18" s="333"/>
      <c r="R18" s="8" t="s">
        <v>55</v>
      </c>
    </row>
    <row r="19" spans="1:18" x14ac:dyDescent="0.2">
      <c r="A19" s="745">
        <v>13</v>
      </c>
      <c r="B19" s="757">
        <f>IF('Entries September 2026'!B19-'Entries September 2026'!B18&lt;1,"0",'Entries September 2026'!B19-'Entries September 2026'!B18)</f>
        <v>850</v>
      </c>
      <c r="C19" s="746">
        <f>IF('Entries September 2026'!F19-'Entries September 2026'!F18&lt;1,"0",'Entries September 2026'!F19-'Entries September 2026'!F18)</f>
        <v>5.2999999999992724</v>
      </c>
      <c r="D19" s="852">
        <f>IF('Entries September 2026'!C19-'Entries September 2026'!C18&lt;1,"0",'Entries September 2026'!C19-'Entries September 2026'!C18)</f>
        <v>809.39999999990687</v>
      </c>
      <c r="E19" s="856" t="str">
        <f t="shared" si="0"/>
        <v>0</v>
      </c>
      <c r="F19" s="857" t="str">
        <f>IF('Entries September 2026'!G19-'Entries September 2026'!G18&lt;1,"0",'Entries September 2026'!G19-'Entries September 2026'!G18)</f>
        <v>0</v>
      </c>
      <c r="G19" s="850"/>
      <c r="H19" s="746"/>
      <c r="I19" s="747">
        <f t="shared" si="4"/>
        <v>160.37735849058805</v>
      </c>
      <c r="J19" s="747" t="str">
        <f t="shared" si="1"/>
        <v>0</v>
      </c>
      <c r="K19" s="746">
        <f t="shared" si="2"/>
        <v>850</v>
      </c>
      <c r="L19" s="844" t="str">
        <v>0</v>
      </c>
      <c r="M19" s="842" t="str">
        <f t="shared" si="5"/>
        <v>0</v>
      </c>
      <c r="N19" s="842" t="str">
        <f t="shared" si="3"/>
        <v>0</v>
      </c>
      <c r="O19" s="843">
        <f t="shared" si="6"/>
        <v>40.600000000093132</v>
      </c>
      <c r="P19" s="333"/>
    </row>
    <row r="20" spans="1:18" x14ac:dyDescent="0.2">
      <c r="A20" s="745">
        <v>14</v>
      </c>
      <c r="B20" s="757">
        <f>IF('Entries September 2026'!B20-'Entries September 2026'!B19&lt;1,"0",'Entries September 2026'!B20-'Entries September 2026'!B19)</f>
        <v>3430</v>
      </c>
      <c r="C20" s="746">
        <f>IF('Entries September 2026'!F20-'Entries September 2026'!F19&lt;1,"0",'Entries September 2026'!F20-'Entries September 2026'!F19)</f>
        <v>21.600000000000364</v>
      </c>
      <c r="D20" s="852">
        <f>IF('Entries September 2026'!C20-'Entries September 2026'!C19&lt;1,"0",'Entries September 2026'!C20-'Entries September 2026'!C19)</f>
        <v>3379.4000000001397</v>
      </c>
      <c r="E20" s="856" t="str">
        <f t="shared" si="0"/>
        <v>0</v>
      </c>
      <c r="F20" s="857" t="str">
        <f>IF('Entries September 2026'!G20-'Entries September 2026'!G19&lt;1,"0",'Entries September 2026'!G20-'Entries September 2026'!G19)</f>
        <v>0</v>
      </c>
      <c r="G20" s="850"/>
      <c r="H20" s="746"/>
      <c r="I20" s="747">
        <f t="shared" si="4"/>
        <v>158.79629629629363</v>
      </c>
      <c r="J20" s="747" t="str">
        <f t="shared" si="1"/>
        <v>0</v>
      </c>
      <c r="K20" s="746">
        <f t="shared" si="2"/>
        <v>3430</v>
      </c>
      <c r="L20" s="844">
        <v>497.904</v>
      </c>
      <c r="M20" s="842">
        <f t="shared" si="5"/>
        <v>6.8888781773193228</v>
      </c>
      <c r="N20" s="842">
        <f t="shared" si="3"/>
        <v>6.787252161059441</v>
      </c>
      <c r="O20" s="843">
        <f t="shared" si="6"/>
        <v>50.599999999860302</v>
      </c>
      <c r="P20" s="333"/>
    </row>
    <row r="21" spans="1:18" x14ac:dyDescent="0.2">
      <c r="A21" s="745">
        <v>15</v>
      </c>
      <c r="B21" s="757">
        <f>IF('Entries September 2026'!B21-'Entries September 2026'!B20&lt;1,"0",'Entries September 2026'!B21-'Entries September 2026'!B20)</f>
        <v>3640</v>
      </c>
      <c r="C21" s="746">
        <f>IF('Entries September 2026'!F21-'Entries September 2026'!F20&lt;1,"0",'Entries September 2026'!F21-'Entries September 2026'!F20)</f>
        <v>22.200000000000728</v>
      </c>
      <c r="D21" s="852">
        <f>IF('Entries September 2026'!C21-'Entries September 2026'!C20&lt;1,"0",'Entries September 2026'!C21-'Entries September 2026'!C20)</f>
        <v>3368.7999999998137</v>
      </c>
      <c r="E21" s="856" t="str">
        <f t="shared" si="0"/>
        <v>0</v>
      </c>
      <c r="F21" s="857" t="str">
        <f>IF('Entries September 2026'!G21-'Entries September 2026'!G20&lt;1,"0",'Entries September 2026'!G21-'Entries September 2026'!G20)</f>
        <v>0</v>
      </c>
      <c r="G21" s="850"/>
      <c r="H21" s="746"/>
      <c r="I21" s="747">
        <f t="shared" si="4"/>
        <v>163.96396396395858</v>
      </c>
      <c r="J21" s="747" t="str">
        <f t="shared" si="1"/>
        <v>0</v>
      </c>
      <c r="K21" s="746">
        <f t="shared" si="2"/>
        <v>3640</v>
      </c>
      <c r="L21" s="844">
        <v>602.91000000000008</v>
      </c>
      <c r="M21" s="842">
        <f t="shared" si="5"/>
        <v>6.0373853477301749</v>
      </c>
      <c r="N21" s="842">
        <f t="shared" si="3"/>
        <v>5.5875669668770023</v>
      </c>
      <c r="O21" s="843">
        <f t="shared" si="6"/>
        <v>271.20000000018626</v>
      </c>
      <c r="P21" s="333"/>
    </row>
    <row r="22" spans="1:18" x14ac:dyDescent="0.2">
      <c r="A22" s="745">
        <v>16</v>
      </c>
      <c r="B22" s="757">
        <f>IF('Entries September 2026'!B22-'Entries September 2026'!B21&lt;1,"0",'Entries September 2026'!B22-'Entries September 2026'!B21)</f>
        <v>3050</v>
      </c>
      <c r="C22" s="746">
        <f>IF('Entries September 2026'!F22-'Entries September 2026'!F21&lt;1,"0",'Entries September 2026'!F22-'Entries September 2026'!F21)</f>
        <v>20.5</v>
      </c>
      <c r="D22" s="852">
        <f>IF('Entries September 2026'!C22-'Entries September 2026'!C21&lt;1,"0",'Entries September 2026'!C22-'Entries September 2026'!C21)</f>
        <v>2717.4000000001397</v>
      </c>
      <c r="E22" s="856" t="str">
        <f t="shared" si="0"/>
        <v>0</v>
      </c>
      <c r="F22" s="857" t="str">
        <f>IF('Entries September 2026'!G22-'Entries September 2026'!G21&lt;1,"0",'Entries September 2026'!G22-'Entries September 2026'!G21)</f>
        <v>0</v>
      </c>
      <c r="G22" s="850"/>
      <c r="H22" s="746"/>
      <c r="I22" s="747">
        <f t="shared" si="4"/>
        <v>148.78048780487805</v>
      </c>
      <c r="J22" s="747" t="str">
        <f t="shared" si="1"/>
        <v>0</v>
      </c>
      <c r="K22" s="746">
        <f t="shared" si="2"/>
        <v>3050</v>
      </c>
      <c r="L22" s="844">
        <v>243.34200000000001</v>
      </c>
      <c r="M22" s="842">
        <f t="shared" si="5"/>
        <v>12.533800166021484</v>
      </c>
      <c r="N22" s="842">
        <f t="shared" si="3"/>
        <v>11.166999531524109</v>
      </c>
      <c r="O22" s="843">
        <f t="shared" si="6"/>
        <v>332.5999999998603</v>
      </c>
      <c r="P22" s="333"/>
    </row>
    <row r="23" spans="1:18" x14ac:dyDescent="0.2">
      <c r="A23" s="745">
        <v>17</v>
      </c>
      <c r="B23" s="757">
        <f>IF('Entries September 2026'!B23-'Entries September 2026'!B22&lt;1,"0",'Entries September 2026'!B23-'Entries September 2026'!B22)</f>
        <v>3500</v>
      </c>
      <c r="C23" s="746">
        <f>IF('Entries September 2026'!F23-'Entries September 2026'!F22&lt;1,"0",'Entries September 2026'!F23-'Entries September 2026'!F22)</f>
        <v>21.699999999998909</v>
      </c>
      <c r="D23" s="852">
        <f>IF('Entries September 2026'!C23-'Entries September 2026'!C22&lt;1,"0",'Entries September 2026'!C23-'Entries September 2026'!C22)</f>
        <v>3314.6999999999534</v>
      </c>
      <c r="E23" s="856" t="str">
        <f t="shared" si="0"/>
        <v>0</v>
      </c>
      <c r="F23" s="857" t="str">
        <f>IF('Entries September 2026'!G23-'Entries September 2026'!G22&lt;1,"0",'Entries September 2026'!G23-'Entries September 2026'!G22)</f>
        <v>0</v>
      </c>
      <c r="G23" s="850"/>
      <c r="H23" s="746"/>
      <c r="I23" s="747">
        <f t="shared" si="4"/>
        <v>161.29032258065328</v>
      </c>
      <c r="J23" s="747" t="str">
        <f t="shared" si="1"/>
        <v>0</v>
      </c>
      <c r="K23" s="746">
        <f t="shared" si="2"/>
        <v>3500</v>
      </c>
      <c r="L23" s="844">
        <v>290.202</v>
      </c>
      <c r="M23" s="842">
        <f t="shared" si="5"/>
        <v>12.060564710098483</v>
      </c>
      <c r="N23" s="842">
        <f t="shared" si="3"/>
        <v>11.422043955589395</v>
      </c>
      <c r="O23" s="843">
        <f t="shared" si="6"/>
        <v>185.30000000004657</v>
      </c>
      <c r="P23" s="333"/>
    </row>
    <row r="24" spans="1:18" x14ac:dyDescent="0.2">
      <c r="A24" s="745">
        <v>18</v>
      </c>
      <c r="B24" s="757">
        <f>IF('Entries September 2026'!B24-'Entries September 2026'!B23&lt;1,"0",'Entries September 2026'!B24-'Entries September 2026'!B23)</f>
        <v>2650</v>
      </c>
      <c r="C24" s="746">
        <f>IF('Entries September 2026'!F24-'Entries September 2026'!F23&lt;1,"0",'Entries September 2026'!F24-'Entries September 2026'!F23)</f>
        <v>17.900000000001455</v>
      </c>
      <c r="D24" s="852">
        <f>IF('Entries September 2026'!C24-'Entries September 2026'!C23&lt;1,"0",'Entries September 2026'!C24-'Entries September 2026'!C23)</f>
        <v>2318.1000000000931</v>
      </c>
      <c r="E24" s="856" t="str">
        <f t="shared" si="0"/>
        <v>0</v>
      </c>
      <c r="F24" s="857" t="str">
        <f>IF('Entries September 2026'!G24-'Entries September 2026'!G23&lt;1,"0",'Entries September 2026'!G24-'Entries September 2026'!G23)</f>
        <v>0</v>
      </c>
      <c r="G24" s="850"/>
      <c r="H24" s="746"/>
      <c r="I24" s="747">
        <f t="shared" si="4"/>
        <v>148.04469273741813</v>
      </c>
      <c r="J24" s="747" t="str">
        <f t="shared" si="1"/>
        <v>0</v>
      </c>
      <c r="K24" s="746">
        <f t="shared" si="2"/>
        <v>2650</v>
      </c>
      <c r="L24" s="844">
        <v>440.81400000000002</v>
      </c>
      <c r="M24" s="842">
        <f t="shared" si="5"/>
        <v>6.0116058019935847</v>
      </c>
      <c r="N24" s="842">
        <f t="shared" si="3"/>
        <v>5.2586805319252408</v>
      </c>
      <c r="O24" s="843">
        <f t="shared" si="6"/>
        <v>331.89999999990687</v>
      </c>
      <c r="P24" s="333"/>
    </row>
    <row r="25" spans="1:18" x14ac:dyDescent="0.2">
      <c r="A25" s="745">
        <v>19</v>
      </c>
      <c r="B25" s="757">
        <f>IF('Entries September 2026'!B25-'Entries September 2026'!B24&lt;1,"0",'Entries September 2026'!B25-'Entries September 2026'!B24)</f>
        <v>300</v>
      </c>
      <c r="C25" s="746">
        <f>IF('Entries September 2026'!F25-'Entries September 2026'!F24&lt;1,"0",'Entries September 2026'!F25-'Entries September 2026'!F24)</f>
        <v>1.8999999999996362</v>
      </c>
      <c r="D25" s="852">
        <f>IF('Entries September 2026'!C25-'Entries September 2026'!C24&lt;1,"0",'Entries September 2026'!C25-'Entries September 2026'!C24)</f>
        <v>318.19999999995343</v>
      </c>
      <c r="E25" s="856" t="str">
        <f t="shared" si="0"/>
        <v>0</v>
      </c>
      <c r="F25" s="857" t="str">
        <f>IF('Entries September 2026'!G25-'Entries September 2026'!G24&lt;1,"0",'Entries September 2026'!G25-'Entries September 2026'!G24)</f>
        <v>0</v>
      </c>
      <c r="G25" s="850"/>
      <c r="H25" s="746"/>
      <c r="I25" s="747">
        <f t="shared" si="4"/>
        <v>157.8947368421355</v>
      </c>
      <c r="J25" s="747" t="str">
        <f t="shared" si="1"/>
        <v>0</v>
      </c>
      <c r="K25" s="746">
        <f t="shared" si="2"/>
        <v>300</v>
      </c>
      <c r="L25" s="844" t="str">
        <v>0</v>
      </c>
      <c r="M25" s="842" t="str">
        <f t="shared" si="5"/>
        <v>0</v>
      </c>
      <c r="N25" s="842" t="str">
        <f t="shared" si="3"/>
        <v>0</v>
      </c>
      <c r="O25" s="843">
        <f t="shared" si="6"/>
        <v>-18.199999999953434</v>
      </c>
      <c r="P25" s="333"/>
    </row>
    <row r="26" spans="1:18" x14ac:dyDescent="0.2">
      <c r="A26" s="745">
        <v>20</v>
      </c>
      <c r="B26" s="757">
        <f>IF('Entries September 2026'!B26-'Entries September 2026'!B25&lt;1,"0",'Entries September 2026'!B26-'Entries September 2026'!B25)</f>
        <v>140</v>
      </c>
      <c r="C26" s="746" t="str">
        <f>IF('Entries September 2026'!F26-'Entries September 2026'!F25&lt;1,"0",'Entries September 2026'!F26-'Entries September 2026'!F25)</f>
        <v>0</v>
      </c>
      <c r="D26" s="852">
        <f>IF('Entries September 2026'!C26-'Entries September 2026'!C25&lt;1,"0",'Entries September 2026'!C26-'Entries September 2026'!C25)</f>
        <v>146.30000000004657</v>
      </c>
      <c r="E26" s="856" t="str">
        <f t="shared" si="0"/>
        <v>0</v>
      </c>
      <c r="F26" s="857" t="str">
        <f>IF('Entries September 2026'!G26-'Entries September 2026'!G25&lt;1,"0",'Entries September 2026'!G26-'Entries September 2026'!G25)</f>
        <v>0</v>
      </c>
      <c r="G26" s="850"/>
      <c r="H26" s="746"/>
      <c r="I26" s="747" t="str">
        <f t="shared" si="4"/>
        <v>0</v>
      </c>
      <c r="J26" s="747" t="str">
        <f t="shared" si="1"/>
        <v>0</v>
      </c>
      <c r="K26" s="746">
        <f t="shared" si="2"/>
        <v>140</v>
      </c>
      <c r="L26" s="844" t="str">
        <v>0</v>
      </c>
      <c r="M26" s="842" t="str">
        <f t="shared" si="5"/>
        <v>0</v>
      </c>
      <c r="N26" s="842" t="str">
        <f t="shared" si="3"/>
        <v>0</v>
      </c>
      <c r="O26" s="843">
        <f t="shared" si="6"/>
        <v>-6.3000000000465661</v>
      </c>
      <c r="P26" s="333"/>
    </row>
    <row r="27" spans="1:18" x14ac:dyDescent="0.2">
      <c r="A27" s="745">
        <v>21</v>
      </c>
      <c r="B27" s="757">
        <f>IF('Entries September 2026'!B27-'Entries September 2026'!B26&lt;1,"0",'Entries September 2026'!B27-'Entries September 2026'!B26)</f>
        <v>3110</v>
      </c>
      <c r="C27" s="746">
        <f>IF('Entries September 2026'!F27-'Entries September 2026'!F26&lt;1,"0",'Entries September 2026'!F27-'Entries September 2026'!F26)</f>
        <v>19.100000000000364</v>
      </c>
      <c r="D27" s="852">
        <f>IF('Entries September 2026'!C27-'Entries September 2026'!C26&lt;1,"0",'Entries September 2026'!C27-'Entries September 2026'!C26)</f>
        <v>3161</v>
      </c>
      <c r="E27" s="856" t="str">
        <f t="shared" si="0"/>
        <v>0</v>
      </c>
      <c r="F27" s="857" t="str">
        <f>IF('Entries September 2026'!G27-'Entries September 2026'!G26&lt;1,"0",'Entries September 2026'!G27-'Entries September 2026'!G26)</f>
        <v>0</v>
      </c>
      <c r="G27" s="850"/>
      <c r="H27" s="746"/>
      <c r="I27" s="747">
        <f t="shared" si="4"/>
        <v>162.82722513088694</v>
      </c>
      <c r="J27" s="747" t="str">
        <f t="shared" si="1"/>
        <v>0</v>
      </c>
      <c r="K27" s="746">
        <f t="shared" si="2"/>
        <v>3110</v>
      </c>
      <c r="L27" s="844">
        <v>179.916</v>
      </c>
      <c r="M27" s="842">
        <f t="shared" si="5"/>
        <v>17.285844505213543</v>
      </c>
      <c r="N27" s="842">
        <f t="shared" si="3"/>
        <v>17.569310122501612</v>
      </c>
      <c r="O27" s="843">
        <f t="shared" si="6"/>
        <v>-51</v>
      </c>
      <c r="P27" s="333"/>
    </row>
    <row r="28" spans="1:18" x14ac:dyDescent="0.2">
      <c r="A28" s="745">
        <v>22</v>
      </c>
      <c r="B28" s="757">
        <f>IF('Entries September 2026'!B28-'Entries September 2026'!B27&lt;1,"0",'Entries September 2026'!B28-'Entries September 2026'!B27)</f>
        <v>2820</v>
      </c>
      <c r="C28" s="746">
        <f>IF('Entries September 2026'!F28-'Entries September 2026'!F27&lt;1,"0",'Entries September 2026'!F28-'Entries September 2026'!F27)</f>
        <v>18.700000000000728</v>
      </c>
      <c r="D28" s="852">
        <f>IF('Entries September 2026'!C28-'Entries September 2026'!C27&lt;1,"0",'Entries September 2026'!C28-'Entries September 2026'!C27)</f>
        <v>2558.1999999999534</v>
      </c>
      <c r="E28" s="856" t="str">
        <f t="shared" si="0"/>
        <v>0</v>
      </c>
      <c r="F28" s="857" t="str">
        <f>IF('Entries September 2026'!G28-'Entries September 2026'!G27&lt;1,"0",'Entries September 2026'!G28-'Entries September 2026'!G27)</f>
        <v>0</v>
      </c>
      <c r="G28" s="850"/>
      <c r="H28" s="746"/>
      <c r="I28" s="747">
        <f t="shared" si="4"/>
        <v>150.80213903742728</v>
      </c>
      <c r="J28" s="747" t="str">
        <f t="shared" si="1"/>
        <v>0</v>
      </c>
      <c r="K28" s="746">
        <f t="shared" si="2"/>
        <v>2820</v>
      </c>
      <c r="L28" s="844">
        <v>365.50800000000004</v>
      </c>
      <c r="M28" s="842">
        <f t="shared" si="5"/>
        <v>7.7152894054302497</v>
      </c>
      <c r="N28" s="842">
        <f t="shared" si="3"/>
        <v>6.9990260131103916</v>
      </c>
      <c r="O28" s="843">
        <f t="shared" si="6"/>
        <v>261.80000000004657</v>
      </c>
      <c r="P28" s="333"/>
    </row>
    <row r="29" spans="1:18" x14ac:dyDescent="0.2">
      <c r="A29" s="745">
        <v>23</v>
      </c>
      <c r="B29" s="757">
        <f>IF('Entries September 2026'!B29-'Entries September 2026'!B28&lt;1,"0",'Entries September 2026'!B29-'Entries September 2026'!B28)</f>
        <v>3070</v>
      </c>
      <c r="C29" s="746">
        <f>IF('Entries September 2026'!F29-'Entries September 2026'!F28&lt;1,"0",'Entries September 2026'!F29-'Entries September 2026'!F28)</f>
        <v>20.299999999999272</v>
      </c>
      <c r="D29" s="852">
        <f>IF('Entries September 2026'!C29-'Entries September 2026'!C28&lt;1,"0",'Entries September 2026'!C29-'Entries September 2026'!C28)</f>
        <v>2850.3999999999069</v>
      </c>
      <c r="E29" s="856" t="str">
        <f t="shared" si="0"/>
        <v>0</v>
      </c>
      <c r="F29" s="857" t="str">
        <f>IF('Entries September 2026'!G29-'Entries September 2026'!G28&lt;1,"0",'Entries September 2026'!G29-'Entries September 2026'!G28)</f>
        <v>0</v>
      </c>
      <c r="G29" s="850"/>
      <c r="H29" s="746"/>
      <c r="I29" s="747">
        <f t="shared" si="4"/>
        <v>151.23152709360147</v>
      </c>
      <c r="J29" s="747" t="str">
        <f t="shared" si="1"/>
        <v>0</v>
      </c>
      <c r="K29" s="746">
        <f t="shared" si="2"/>
        <v>3070</v>
      </c>
      <c r="L29" s="844">
        <v>280.17</v>
      </c>
      <c r="M29" s="842">
        <f t="shared" si="5"/>
        <v>10.957632865760074</v>
      </c>
      <c r="N29" s="842">
        <f t="shared" si="3"/>
        <v>10.173823036013516</v>
      </c>
      <c r="O29" s="843">
        <f t="shared" si="6"/>
        <v>219.60000000009313</v>
      </c>
      <c r="P29" s="333"/>
    </row>
    <row r="30" spans="1:18" x14ac:dyDescent="0.2">
      <c r="A30" s="745">
        <v>24</v>
      </c>
      <c r="B30" s="757">
        <f>IF('Entries September 2026'!B30-'Entries September 2026'!B29&lt;1,"0",'Entries September 2026'!B30-'Entries September 2026'!B29)</f>
        <v>2920</v>
      </c>
      <c r="C30" s="746">
        <f>IF('Entries September 2026'!F30-'Entries September 2026'!F29&lt;1,"0",'Entries September 2026'!F30-'Entries September 2026'!F29)</f>
        <v>20.399999999999636</v>
      </c>
      <c r="D30" s="852">
        <f>IF('Entries September 2026'!C30-'Entries September 2026'!C29&lt;1,"0",'Entries September 2026'!C30-'Entries September 2026'!C29)</f>
        <v>2483.6999999999534</v>
      </c>
      <c r="E30" s="856" t="str">
        <f t="shared" si="0"/>
        <v>0</v>
      </c>
      <c r="F30" s="857" t="str">
        <f>IF('Entries September 2026'!G30-'Entries September 2026'!G29&lt;1,"0",'Entries September 2026'!G30-'Entries September 2026'!G29)</f>
        <v>0</v>
      </c>
      <c r="G30" s="850"/>
      <c r="H30" s="746"/>
      <c r="I30" s="747">
        <f t="shared" si="4"/>
        <v>143.13725490196333</v>
      </c>
      <c r="J30" s="747" t="str">
        <f t="shared" si="1"/>
        <v>0</v>
      </c>
      <c r="K30" s="746">
        <f t="shared" si="2"/>
        <v>2920</v>
      </c>
      <c r="L30" s="844">
        <v>354.94800000000004</v>
      </c>
      <c r="M30" s="842">
        <f t="shared" si="5"/>
        <v>8.2265571294950242</v>
      </c>
      <c r="N30" s="842">
        <f t="shared" si="3"/>
        <v>6.9973629940158926</v>
      </c>
      <c r="O30" s="843">
        <f t="shared" si="6"/>
        <v>436.30000000004657</v>
      </c>
      <c r="P30" s="333"/>
    </row>
    <row r="31" spans="1:18" x14ac:dyDescent="0.2">
      <c r="A31" s="745">
        <v>25</v>
      </c>
      <c r="B31" s="757">
        <f>IF('Entries September 2026'!B31-'Entries September 2026'!B30&lt;1,"0",'Entries September 2026'!B31-'Entries September 2026'!B30)</f>
        <v>2370</v>
      </c>
      <c r="C31" s="746">
        <f>IF('Entries September 2026'!F31-'Entries September 2026'!F30&lt;1,"0",'Entries September 2026'!F31-'Entries September 2026'!F30)</f>
        <v>17.600000000000364</v>
      </c>
      <c r="D31" s="852">
        <f>IF('Entries September 2026'!C31-'Entries September 2026'!C30&lt;1,"0",'Entries September 2026'!C31-'Entries September 2026'!C30)</f>
        <v>1926.1000000000931</v>
      </c>
      <c r="E31" s="856" t="str">
        <f t="shared" si="0"/>
        <v>0</v>
      </c>
      <c r="F31" s="857" t="str">
        <f>IF('Entries September 2026'!G31-'Entries September 2026'!G30&lt;1,"0",'Entries September 2026'!G31-'Entries September 2026'!G30)</f>
        <v>0</v>
      </c>
      <c r="G31" s="850"/>
      <c r="H31" s="746"/>
      <c r="I31" s="747">
        <f t="shared" si="4"/>
        <v>134.65909090908812</v>
      </c>
      <c r="J31" s="747" t="str">
        <f t="shared" si="1"/>
        <v>0</v>
      </c>
      <c r="K31" s="746">
        <f t="shared" si="2"/>
        <v>2370</v>
      </c>
      <c r="L31" s="844">
        <v>263.01</v>
      </c>
      <c r="M31" s="842">
        <f t="shared" si="5"/>
        <v>9.0110642180905671</v>
      </c>
      <c r="N31" s="842">
        <f t="shared" si="3"/>
        <v>7.3232956921793591</v>
      </c>
      <c r="O31" s="843">
        <f t="shared" si="6"/>
        <v>443.89999999990687</v>
      </c>
      <c r="P31" s="333"/>
    </row>
    <row r="32" spans="1:18" x14ac:dyDescent="0.2">
      <c r="A32" s="745">
        <v>26</v>
      </c>
      <c r="B32" s="757">
        <f>IF('Entries September 2026'!B32-'Entries September 2026'!B31&lt;1,"0",'Entries September 2026'!B32-'Entries September 2026'!B31)</f>
        <v>100</v>
      </c>
      <c r="C32" s="746" t="str">
        <f>IF('Entries September 2026'!F32-'Entries September 2026'!F31&lt;1,"0",'Entries September 2026'!F32-'Entries September 2026'!F31)</f>
        <v>0</v>
      </c>
      <c r="D32" s="852">
        <f>IF('Entries September 2026'!C32-'Entries September 2026'!C31&lt;1,"0",'Entries September 2026'!C32-'Entries September 2026'!C31)</f>
        <v>128.10000000009313</v>
      </c>
      <c r="E32" s="856" t="str">
        <f t="shared" si="0"/>
        <v>0</v>
      </c>
      <c r="F32" s="857" t="str">
        <f>IF('Entries September 2026'!G32-'Entries September 2026'!G31&lt;1,"0",'Entries September 2026'!G32-'Entries September 2026'!G31)</f>
        <v>0</v>
      </c>
      <c r="G32" s="850"/>
      <c r="H32" s="746"/>
      <c r="I32" s="747" t="str">
        <f t="shared" si="4"/>
        <v>0</v>
      </c>
      <c r="J32" s="747" t="str">
        <f t="shared" si="1"/>
        <v>0</v>
      </c>
      <c r="K32" s="746">
        <f t="shared" si="2"/>
        <v>100</v>
      </c>
      <c r="L32" s="844" t="str">
        <v>0</v>
      </c>
      <c r="M32" s="842" t="str">
        <f t="shared" si="5"/>
        <v>0</v>
      </c>
      <c r="N32" s="842" t="str">
        <f t="shared" si="3"/>
        <v>0</v>
      </c>
      <c r="O32" s="843">
        <f t="shared" si="6"/>
        <v>-28.100000000093132</v>
      </c>
      <c r="P32" s="333"/>
    </row>
    <row r="33" spans="1:16" x14ac:dyDescent="0.2">
      <c r="A33" s="745">
        <v>27</v>
      </c>
      <c r="B33" s="757">
        <f>IF('Entries September 2026'!B33-'Entries September 2026'!B32&lt;1,"0",'Entries September 2026'!B33-'Entries September 2026'!B32)</f>
        <v>130</v>
      </c>
      <c r="C33" s="746" t="str">
        <f>IF('Entries September 2026'!F33-'Entries September 2026'!F32&lt;1,"0",'Entries September 2026'!F33-'Entries September 2026'!F32)</f>
        <v>0</v>
      </c>
      <c r="D33" s="852">
        <f>IF('Entries September 2026'!C33-'Entries September 2026'!C32&lt;1,"0",'Entries September 2026'!C33-'Entries September 2026'!C32)</f>
        <v>149.19999999995343</v>
      </c>
      <c r="E33" s="856" t="str">
        <f t="shared" si="0"/>
        <v>0</v>
      </c>
      <c r="F33" s="857" t="str">
        <f>IF('Entries September 2026'!G33-'Entries September 2026'!G32&lt;1,"0",'Entries September 2026'!G33-'Entries September 2026'!G32)</f>
        <v>0</v>
      </c>
      <c r="G33" s="850"/>
      <c r="H33" s="746"/>
      <c r="I33" s="747" t="str">
        <f t="shared" si="4"/>
        <v>0</v>
      </c>
      <c r="J33" s="747" t="str">
        <f t="shared" si="1"/>
        <v>0</v>
      </c>
      <c r="K33" s="746">
        <f t="shared" si="2"/>
        <v>130</v>
      </c>
      <c r="L33" s="844" t="str">
        <v>0</v>
      </c>
      <c r="M33" s="842" t="str">
        <f t="shared" si="5"/>
        <v>0</v>
      </c>
      <c r="N33" s="842" t="str">
        <f t="shared" si="3"/>
        <v>0</v>
      </c>
      <c r="O33" s="843">
        <f t="shared" si="6"/>
        <v>-19.199999999953434</v>
      </c>
      <c r="P33" s="333"/>
    </row>
    <row r="34" spans="1:16" x14ac:dyDescent="0.2">
      <c r="A34" s="745">
        <v>28</v>
      </c>
      <c r="B34" s="757" t="str">
        <f>IF('Entries September 2026'!B34-'Entries September 2026'!B33&lt;1,"0",'Entries September 2026'!B34-'Entries September 2026'!B33)</f>
        <v>0</v>
      </c>
      <c r="C34" s="746" t="str">
        <f>IF('Entries September 2026'!F34-'Entries September 2026'!F33&lt;1,"0",'Entries September 2026'!F34-'Entries September 2026'!F33)</f>
        <v>0</v>
      </c>
      <c r="D34" s="852" t="str">
        <f>IF('Entries September 2026'!C34-'Entries September 2026'!C33&lt;1,"0",'Entries September 2026'!C34-'Entries September 2026'!C33)</f>
        <v>0</v>
      </c>
      <c r="E34" s="856" t="str">
        <f t="shared" si="0"/>
        <v>0</v>
      </c>
      <c r="F34" s="857" t="str">
        <f>IF('Entries September 2026'!G34-'Entries September 2026'!G33&lt;1,"0",'Entries September 2026'!G34-'Entries September 2026'!G33)</f>
        <v>0</v>
      </c>
      <c r="G34" s="850"/>
      <c r="H34" s="746"/>
      <c r="I34" s="747" t="str">
        <f t="shared" si="4"/>
        <v>0</v>
      </c>
      <c r="J34" s="747" t="str">
        <f t="shared" si="1"/>
        <v>0</v>
      </c>
      <c r="K34" s="746">
        <f t="shared" si="2"/>
        <v>0</v>
      </c>
      <c r="L34" s="844">
        <v>258.72000000000003</v>
      </c>
      <c r="M34" s="842">
        <f t="shared" si="5"/>
        <v>0</v>
      </c>
      <c r="N34" s="842">
        <f t="shared" si="3"/>
        <v>0</v>
      </c>
      <c r="O34" s="843">
        <f t="shared" si="6"/>
        <v>0</v>
      </c>
      <c r="P34" s="333"/>
    </row>
    <row r="35" spans="1:16" x14ac:dyDescent="0.2">
      <c r="A35" s="745">
        <v>29</v>
      </c>
      <c r="B35" s="757" t="str">
        <f>IF('Entries September 2026'!B35-'Entries September 2026'!B34&lt;1,"0",'Entries September 2026'!B35-'Entries September 2026'!B34)</f>
        <v>0</v>
      </c>
      <c r="C35" s="746" t="str">
        <f>IF('Entries September 2026'!F35-'Entries September 2026'!F34&lt;1,"0",'Entries September 2026'!F35-'Entries September 2026'!F34)</f>
        <v>0</v>
      </c>
      <c r="D35" s="852" t="str">
        <f>IF('Entries September 2026'!C35-'Entries September 2026'!C34&lt;1,"0",'Entries September 2026'!C35-'Entries September 2026'!C34)</f>
        <v>0</v>
      </c>
      <c r="E35" s="856" t="str">
        <f t="shared" si="0"/>
        <v>0</v>
      </c>
      <c r="F35" s="857" t="str">
        <f>IF('Entries September 2026'!G35-'Entries September 2026'!G34&lt;1,"0",'Entries September 2026'!G35-'Entries September 2026'!G34)</f>
        <v>0</v>
      </c>
      <c r="G35" s="850"/>
      <c r="H35" s="746"/>
      <c r="I35" s="747" t="str">
        <f t="shared" si="4"/>
        <v>0</v>
      </c>
      <c r="J35" s="747" t="str">
        <f t="shared" si="1"/>
        <v>0</v>
      </c>
      <c r="K35" s="746">
        <f t="shared" si="2"/>
        <v>0</v>
      </c>
      <c r="L35" s="844" t="str">
        <v>0</v>
      </c>
      <c r="M35" s="842" t="str">
        <f t="shared" si="5"/>
        <v>0</v>
      </c>
      <c r="N35" s="842" t="str">
        <f t="shared" si="3"/>
        <v>0</v>
      </c>
      <c r="O35" s="843">
        <f t="shared" si="6"/>
        <v>0</v>
      </c>
    </row>
    <row r="36" spans="1:16" x14ac:dyDescent="0.2">
      <c r="A36" s="745">
        <v>30</v>
      </c>
      <c r="B36" s="757" t="str">
        <f>IF('Entries September 2026'!B36-'Entries September 2026'!B35&lt;1,"0",'Entries September 2026'!B36-'Entries September 2026'!B35)</f>
        <v>0</v>
      </c>
      <c r="C36" s="746" t="str">
        <f>IF('Entries September 2026'!F36-'Entries September 2026'!F35&lt;1,"0",'Entries September 2026'!F36-'Entries September 2026'!F35)</f>
        <v>0</v>
      </c>
      <c r="D36" s="852" t="str">
        <f>IF('Entries September 2026'!C36-'Entries September 2026'!C35&lt;1,"0",'Entries September 2026'!C36-'Entries September 2026'!C35)</f>
        <v>0</v>
      </c>
      <c r="E36" s="856" t="str">
        <f t="shared" si="0"/>
        <v>0</v>
      </c>
      <c r="F36" s="857" t="str">
        <f>IF('Entries September 2026'!G36-'Entries September 2026'!G35&lt;1,"0",'Entries September 2026'!G36-'Entries September 2026'!G35)</f>
        <v>0</v>
      </c>
      <c r="G36" s="850"/>
      <c r="H36" s="746"/>
      <c r="I36" s="747" t="str">
        <f t="shared" si="4"/>
        <v>0</v>
      </c>
      <c r="J36" s="747" t="str">
        <f t="shared" si="1"/>
        <v>0</v>
      </c>
      <c r="K36" s="746">
        <f t="shared" si="2"/>
        <v>0</v>
      </c>
      <c r="L36" s="844" t="str">
        <v>0</v>
      </c>
      <c r="M36" s="842" t="str">
        <f t="shared" si="5"/>
        <v>0</v>
      </c>
      <c r="N36" s="842" t="str">
        <f t="shared" si="3"/>
        <v>0</v>
      </c>
      <c r="O36" s="843">
        <f t="shared" si="6"/>
        <v>0</v>
      </c>
    </row>
    <row r="37" spans="1:16" x14ac:dyDescent="0.2">
      <c r="A37" s="745">
        <v>31</v>
      </c>
      <c r="B37" s="757" t="str">
        <f>IF('Entries September 2026'!B37-'Entries September 2026'!B36&lt;1,"0",'Entries September 2026'!B37-'Entries September 2026'!B36)</f>
        <v>0</v>
      </c>
      <c r="C37" s="746" t="str">
        <f>IF('Entries September 2026'!F37-'Entries September 2026'!F36&lt;1,"0",'Entries September 2026'!F37-'Entries September 2026'!F36)</f>
        <v>0</v>
      </c>
      <c r="D37" s="852" t="str">
        <f>IF('Entries September 2026'!C37-'Entries September 2026'!C36&lt;1,"0",'Entries September 2026'!C37-'Entries September 2026'!C36)</f>
        <v>0</v>
      </c>
      <c r="E37" s="856" t="str">
        <f t="shared" si="0"/>
        <v>0</v>
      </c>
      <c r="F37" s="857" t="str">
        <f>IF('Entries September 2026'!G37-'Entries September 2026'!G36&lt;1,"0",'Entries September 2026'!G37-'Entries September 2026'!G36)</f>
        <v>0</v>
      </c>
      <c r="G37" s="850"/>
      <c r="H37" s="746"/>
      <c r="I37" s="747" t="str">
        <f t="shared" si="4"/>
        <v>0</v>
      </c>
      <c r="J37" s="747" t="str">
        <f t="shared" si="1"/>
        <v>0</v>
      </c>
      <c r="K37" s="746">
        <f t="shared" si="2"/>
        <v>0</v>
      </c>
      <c r="L37" s="844" t="str">
        <v>0</v>
      </c>
      <c r="M37" s="842" t="str">
        <f t="shared" si="5"/>
        <v>0</v>
      </c>
      <c r="N37" s="842" t="str">
        <f t="shared" si="3"/>
        <v>0</v>
      </c>
      <c r="O37" s="843">
        <f t="shared" si="6"/>
        <v>0</v>
      </c>
    </row>
    <row r="38" spans="1:16" ht="18.75" thickBot="1" x14ac:dyDescent="0.3">
      <c r="A38" s="46"/>
      <c r="B38" s="388">
        <f t="shared" ref="B38:H38" si="7">SUM(B7:B37)</f>
        <v>59930</v>
      </c>
      <c r="C38" s="388">
        <f>SUM(C7:C37)</f>
        <v>387.5</v>
      </c>
      <c r="D38" s="853">
        <f t="shared" si="7"/>
        <v>55875</v>
      </c>
      <c r="E38" s="858"/>
      <c r="F38" s="859">
        <f t="shared" si="7"/>
        <v>0</v>
      </c>
      <c r="G38" s="855">
        <f t="shared" si="7"/>
        <v>0</v>
      </c>
      <c r="H38" s="388">
        <f t="shared" si="7"/>
        <v>0</v>
      </c>
      <c r="I38" s="809">
        <f>B38/C38</f>
        <v>154.65806451612903</v>
      </c>
      <c r="J38" s="355"/>
      <c r="K38" s="356">
        <f>SUM(K7:K37)</f>
        <v>59930</v>
      </c>
      <c r="L38" s="841">
        <f>SUM(L7:L37)</f>
        <v>6666.4620000000014</v>
      </c>
      <c r="M38" s="847">
        <f>IF(L38=0,"0",(K38/L38))</f>
        <v>8.9897759861227726</v>
      </c>
      <c r="N38" s="847">
        <f>IF(L38=0,"0",(D38/L38))</f>
        <v>8.3815073122744845</v>
      </c>
      <c r="O38" s="848"/>
    </row>
    <row r="39" spans="1:16" ht="16.5" thickBot="1" x14ac:dyDescent="0.3">
      <c r="A39" s="8" t="s">
        <v>259</v>
      </c>
      <c r="B39" s="389">
        <f>AVERAGE(B7:B37)</f>
        <v>2397.1999999999998</v>
      </c>
      <c r="C39" s="814">
        <f>AVERAGE(C7:C37)</f>
        <v>17.613636363636363</v>
      </c>
      <c r="D39" s="30"/>
      <c r="E39" s="30"/>
      <c r="H39" s="357"/>
      <c r="I39" s="357" t="s">
        <v>42</v>
      </c>
    </row>
    <row r="40" spans="1:16" x14ac:dyDescent="0.2">
      <c r="B40" s="8"/>
      <c r="C40" s="42"/>
      <c r="D40" s="30"/>
      <c r="E40" s="30"/>
      <c r="J40" s="8" t="s">
        <v>55</v>
      </c>
    </row>
    <row r="41" spans="1:16" x14ac:dyDescent="0.2">
      <c r="B41" s="8"/>
      <c r="C41" s="42"/>
      <c r="D41" s="30"/>
      <c r="E41" s="30"/>
    </row>
    <row r="42" spans="1:16" x14ac:dyDescent="0.2">
      <c r="B42" s="8"/>
      <c r="C42" s="42"/>
      <c r="D42" s="30"/>
      <c r="E42" s="30"/>
    </row>
    <row r="43" spans="1:16" x14ac:dyDescent="0.2">
      <c r="B43" s="8"/>
      <c r="C43" s="42"/>
      <c r="D43" s="30"/>
      <c r="E43" s="30"/>
    </row>
    <row r="44" spans="1:16" x14ac:dyDescent="0.2">
      <c r="B44" s="8"/>
      <c r="C44" s="42"/>
      <c r="D44" s="30"/>
      <c r="E44" s="30"/>
    </row>
    <row r="45" spans="1:16" x14ac:dyDescent="0.2">
      <c r="B45" s="8"/>
      <c r="C45" s="42"/>
      <c r="D45" s="30"/>
      <c r="E45" s="30"/>
    </row>
    <row r="46" spans="1:16" x14ac:dyDescent="0.2">
      <c r="B46" s="8"/>
      <c r="C46" s="42"/>
      <c r="D46" s="30"/>
      <c r="E46" s="30"/>
    </row>
    <row r="47" spans="1:16" x14ac:dyDescent="0.2">
      <c r="B47" s="8"/>
      <c r="C47" s="42"/>
      <c r="D47" s="30"/>
      <c r="E47" s="30"/>
    </row>
    <row r="48" spans="1:16" x14ac:dyDescent="0.2">
      <c r="B48" s="8"/>
      <c r="C48" s="42"/>
      <c r="D48" s="30"/>
      <c r="E48" s="30"/>
    </row>
    <row r="49" spans="2:5" x14ac:dyDescent="0.2">
      <c r="B49" s="8"/>
      <c r="C49" s="42"/>
      <c r="D49" s="30"/>
      <c r="E49" s="30"/>
    </row>
    <row r="50" spans="2:5" x14ac:dyDescent="0.2">
      <c r="B50" s="8"/>
      <c r="C50" s="42"/>
      <c r="D50" s="30"/>
      <c r="E50" s="30"/>
    </row>
    <row r="51" spans="2:5" x14ac:dyDescent="0.2">
      <c r="B51" s="8"/>
      <c r="C51" s="42"/>
      <c r="D51" s="30"/>
      <c r="E51" s="30"/>
    </row>
    <row r="52" spans="2:5" x14ac:dyDescent="0.2">
      <c r="B52" s="8"/>
      <c r="C52" s="42"/>
      <c r="D52" s="30"/>
      <c r="E52" s="30"/>
    </row>
    <row r="53" spans="2:5" x14ac:dyDescent="0.2">
      <c r="B53" s="8"/>
      <c r="C53" s="42"/>
      <c r="D53" s="30"/>
      <c r="E53" s="30"/>
    </row>
    <row r="54" spans="2:5" x14ac:dyDescent="0.2">
      <c r="B54" s="8"/>
      <c r="C54" s="42"/>
      <c r="D54" s="30"/>
      <c r="E54" s="30"/>
    </row>
    <row r="55" spans="2:5" x14ac:dyDescent="0.2">
      <c r="B55" s="8"/>
      <c r="C55" s="42"/>
      <c r="D55" s="30"/>
      <c r="E55" s="30"/>
    </row>
    <row r="56" spans="2:5" x14ac:dyDescent="0.2">
      <c r="B56" s="8"/>
      <c r="C56" s="42"/>
      <c r="D56" s="30"/>
      <c r="E56" s="30"/>
    </row>
    <row r="57" spans="2:5" x14ac:dyDescent="0.2">
      <c r="B57" s="8"/>
      <c r="C57" s="42"/>
      <c r="D57" s="30"/>
      <c r="E57" s="30"/>
    </row>
    <row r="58" spans="2:5" x14ac:dyDescent="0.2">
      <c r="B58" s="8"/>
      <c r="C58" s="42"/>
      <c r="D58" s="30"/>
      <c r="E58" s="30"/>
    </row>
    <row r="59" spans="2:5" x14ac:dyDescent="0.2">
      <c r="B59" s="8"/>
      <c r="C59" s="42"/>
      <c r="D59" s="30"/>
      <c r="E59" s="30"/>
    </row>
    <row r="60" spans="2:5" x14ac:dyDescent="0.2">
      <c r="B60" s="8"/>
      <c r="C60" s="42"/>
      <c r="D60" s="30"/>
      <c r="E60" s="30"/>
    </row>
    <row r="61" spans="2:5" x14ac:dyDescent="0.2">
      <c r="B61" s="8"/>
      <c r="C61" s="42"/>
      <c r="D61" s="30"/>
      <c r="E61" s="30"/>
    </row>
    <row r="62" spans="2:5" x14ac:dyDescent="0.2">
      <c r="B62" s="8"/>
      <c r="C62" s="42"/>
      <c r="D62" s="30"/>
      <c r="E62" s="30"/>
    </row>
    <row r="63" spans="2:5" x14ac:dyDescent="0.2">
      <c r="B63" s="8"/>
      <c r="C63" s="42"/>
      <c r="D63" s="30"/>
      <c r="E63" s="30"/>
    </row>
    <row r="64" spans="2:5" x14ac:dyDescent="0.2">
      <c r="B64" s="8"/>
      <c r="C64" s="42"/>
      <c r="D64" s="30"/>
      <c r="E64" s="30"/>
    </row>
    <row r="65" spans="2:5" x14ac:dyDescent="0.2">
      <c r="B65" s="8"/>
      <c r="C65" s="42"/>
      <c r="D65" s="30"/>
      <c r="E65" s="30"/>
    </row>
    <row r="66" spans="2:5" x14ac:dyDescent="0.2">
      <c r="B66" s="8"/>
      <c r="C66" s="42"/>
      <c r="D66" s="30"/>
      <c r="E66" s="30"/>
    </row>
    <row r="67" spans="2:5" x14ac:dyDescent="0.2">
      <c r="B67" s="8"/>
      <c r="C67" s="42"/>
      <c r="D67" s="30"/>
      <c r="E67" s="30"/>
    </row>
    <row r="68" spans="2:5" x14ac:dyDescent="0.2">
      <c r="B68" s="8"/>
      <c r="C68" s="42"/>
      <c r="D68" s="30"/>
      <c r="E68" s="30"/>
    </row>
    <row r="69" spans="2:5" x14ac:dyDescent="0.2">
      <c r="B69" s="8"/>
      <c r="C69" s="42"/>
      <c r="D69" s="30"/>
      <c r="E69" s="30"/>
    </row>
    <row r="70" spans="2:5" x14ac:dyDescent="0.2">
      <c r="B70" s="8"/>
      <c r="D70" s="30"/>
      <c r="E70" s="30"/>
    </row>
    <row r="71" spans="2:5" x14ac:dyDescent="0.2">
      <c r="B71" s="8"/>
      <c r="D71" s="8"/>
      <c r="E71" s="8"/>
    </row>
    <row r="72" spans="2:5" x14ac:dyDescent="0.2">
      <c r="B72" s="8"/>
      <c r="D72" s="8"/>
      <c r="E72" s="8"/>
    </row>
    <row r="73" spans="2:5" x14ac:dyDescent="0.2">
      <c r="B73" s="8"/>
      <c r="D73" s="8"/>
      <c r="E73" s="8"/>
    </row>
    <row r="74" spans="2:5" x14ac:dyDescent="0.2">
      <c r="B74" s="8"/>
      <c r="D74" s="8"/>
      <c r="E74" s="8"/>
    </row>
    <row r="75" spans="2:5" x14ac:dyDescent="0.2">
      <c r="B75" s="8"/>
      <c r="D75" s="8"/>
      <c r="E75" s="8"/>
    </row>
    <row r="76" spans="2:5" x14ac:dyDescent="0.2">
      <c r="B76" s="8"/>
      <c r="D76" s="8"/>
      <c r="E76" s="8"/>
    </row>
    <row r="77" spans="2:5" x14ac:dyDescent="0.2">
      <c r="B77" s="8"/>
      <c r="D77" s="8"/>
      <c r="E77" s="8"/>
    </row>
    <row r="78" spans="2:5" x14ac:dyDescent="0.2">
      <c r="B78" s="8"/>
      <c r="D78" s="8"/>
      <c r="E78" s="8"/>
    </row>
    <row r="79" spans="2:5" x14ac:dyDescent="0.2">
      <c r="B79" s="8"/>
      <c r="D79" s="8"/>
      <c r="E79" s="8"/>
    </row>
    <row r="80" spans="2:5" x14ac:dyDescent="0.2">
      <c r="B80" s="8"/>
      <c r="D80" s="8"/>
      <c r="E80" s="8"/>
    </row>
    <row r="81" spans="2:5" x14ac:dyDescent="0.2">
      <c r="B81" s="8"/>
      <c r="D81" s="8"/>
      <c r="E81" s="8"/>
    </row>
    <row r="82" spans="2:5" x14ac:dyDescent="0.2">
      <c r="B82" s="8"/>
      <c r="D82" s="8"/>
      <c r="E82" s="8"/>
    </row>
    <row r="83" spans="2:5" x14ac:dyDescent="0.2">
      <c r="B83" s="8"/>
      <c r="D83" s="8"/>
      <c r="E83" s="8"/>
    </row>
    <row r="84" spans="2:5" x14ac:dyDescent="0.2">
      <c r="B84" s="8"/>
      <c r="D84" s="8"/>
      <c r="E84" s="8"/>
    </row>
    <row r="85" spans="2:5" x14ac:dyDescent="0.2">
      <c r="B85" s="8"/>
      <c r="D85" s="8"/>
      <c r="E85" s="8"/>
    </row>
    <row r="86" spans="2:5" x14ac:dyDescent="0.2">
      <c r="B86" s="8"/>
      <c r="D86" s="8"/>
      <c r="E86" s="8"/>
    </row>
    <row r="87" spans="2:5" x14ac:dyDescent="0.2">
      <c r="B87" s="8"/>
      <c r="D87" s="8"/>
      <c r="E87" s="8"/>
    </row>
    <row r="88" spans="2:5" x14ac:dyDescent="0.2">
      <c r="B88" s="8"/>
      <c r="D88" s="8"/>
      <c r="E88" s="8"/>
    </row>
    <row r="89" spans="2:5" x14ac:dyDescent="0.2">
      <c r="B89" s="8"/>
      <c r="D89" s="8"/>
      <c r="E89" s="8"/>
    </row>
    <row r="90" spans="2:5" x14ac:dyDescent="0.2">
      <c r="B90" s="8"/>
      <c r="D90" s="8"/>
      <c r="E90" s="8"/>
    </row>
    <row r="91" spans="2:5" x14ac:dyDescent="0.2">
      <c r="B91" s="8"/>
      <c r="D91" s="8"/>
      <c r="E91" s="8"/>
    </row>
    <row r="92" spans="2:5" x14ac:dyDescent="0.2">
      <c r="B92" s="8"/>
      <c r="D92" s="8"/>
      <c r="E92" s="8"/>
    </row>
    <row r="93" spans="2:5" x14ac:dyDescent="0.2">
      <c r="B93" s="8"/>
      <c r="D93" s="8"/>
      <c r="E93" s="8"/>
    </row>
    <row r="94" spans="2:5" x14ac:dyDescent="0.2">
      <c r="B94" s="8"/>
      <c r="D94" s="8"/>
      <c r="E94" s="8"/>
    </row>
    <row r="95" spans="2:5" x14ac:dyDescent="0.2">
      <c r="B95" s="8"/>
      <c r="D95" s="8"/>
      <c r="E95" s="8"/>
    </row>
    <row r="96" spans="2:5" x14ac:dyDescent="0.2">
      <c r="B96" s="8"/>
      <c r="D96" s="8"/>
      <c r="E96" s="8"/>
    </row>
    <row r="97" spans="2:5" x14ac:dyDescent="0.2">
      <c r="B97" s="8"/>
      <c r="D97" s="8"/>
      <c r="E97" s="8"/>
    </row>
    <row r="98" spans="2:5" x14ac:dyDescent="0.2">
      <c r="B98" s="8"/>
      <c r="D98" s="8"/>
      <c r="E98" s="8"/>
    </row>
    <row r="99" spans="2:5" x14ac:dyDescent="0.2">
      <c r="B99" s="8"/>
      <c r="D99" s="8"/>
      <c r="E99" s="8"/>
    </row>
    <row r="100" spans="2:5" x14ac:dyDescent="0.2">
      <c r="B100" s="8"/>
      <c r="D100" s="8"/>
      <c r="E100" s="8"/>
    </row>
    <row r="101" spans="2:5" x14ac:dyDescent="0.2">
      <c r="B101" s="8"/>
      <c r="D101" s="8"/>
      <c r="E101" s="8"/>
    </row>
    <row r="102" spans="2:5" x14ac:dyDescent="0.2">
      <c r="B102" s="8"/>
      <c r="D102" s="8"/>
      <c r="E102" s="8"/>
    </row>
    <row r="103" spans="2:5" x14ac:dyDescent="0.2">
      <c r="B103" s="8"/>
      <c r="D103" s="8"/>
      <c r="E103" s="8"/>
    </row>
    <row r="104" spans="2:5" x14ac:dyDescent="0.2">
      <c r="B104" s="8"/>
      <c r="D104" s="8"/>
      <c r="E104" s="8"/>
    </row>
    <row r="105" spans="2:5" x14ac:dyDescent="0.2">
      <c r="B105" s="8"/>
      <c r="D105" s="8"/>
      <c r="E105" s="8"/>
    </row>
    <row r="106" spans="2:5" x14ac:dyDescent="0.2">
      <c r="B106" s="8"/>
      <c r="D106" s="8"/>
      <c r="E106" s="8"/>
    </row>
    <row r="107" spans="2:5" x14ac:dyDescent="0.2">
      <c r="B107" s="8"/>
      <c r="D107" s="8"/>
      <c r="E107" s="8"/>
    </row>
    <row r="108" spans="2:5" x14ac:dyDescent="0.2">
      <c r="B108" s="8"/>
      <c r="D108" s="8"/>
      <c r="E108" s="8"/>
    </row>
    <row r="109" spans="2:5" x14ac:dyDescent="0.2">
      <c r="B109" s="8"/>
      <c r="D109" s="8"/>
      <c r="E109" s="8"/>
    </row>
    <row r="110" spans="2:5" x14ac:dyDescent="0.2">
      <c r="B110" s="8"/>
      <c r="D110" s="8"/>
      <c r="E110" s="8"/>
    </row>
    <row r="111" spans="2:5" x14ac:dyDescent="0.2">
      <c r="B111" s="8"/>
      <c r="D111" s="8"/>
      <c r="E111" s="8"/>
    </row>
    <row r="112" spans="2:5" x14ac:dyDescent="0.2">
      <c r="B112" s="8"/>
      <c r="D112" s="8"/>
      <c r="E112" s="8"/>
    </row>
    <row r="113" spans="2:5" x14ac:dyDescent="0.2">
      <c r="B113" s="8"/>
      <c r="D113" s="8"/>
      <c r="E113" s="8"/>
    </row>
    <row r="114" spans="2:5" x14ac:dyDescent="0.2">
      <c r="B114" s="8"/>
      <c r="D114" s="8"/>
      <c r="E114" s="8"/>
    </row>
    <row r="115" spans="2:5" x14ac:dyDescent="0.2">
      <c r="B115" s="8"/>
      <c r="D115" s="8"/>
      <c r="E115" s="8"/>
    </row>
    <row r="116" spans="2:5" x14ac:dyDescent="0.2">
      <c r="B116" s="8"/>
      <c r="D116" s="8"/>
      <c r="E116" s="8"/>
    </row>
    <row r="117" spans="2:5" x14ac:dyDescent="0.2">
      <c r="B117" s="8"/>
      <c r="D117" s="8"/>
      <c r="E117" s="8"/>
    </row>
    <row r="118" spans="2:5" x14ac:dyDescent="0.2">
      <c r="B118" s="8"/>
      <c r="D118" s="8"/>
      <c r="E118" s="8"/>
    </row>
    <row r="119" spans="2:5" x14ac:dyDescent="0.2">
      <c r="B119" s="8"/>
      <c r="D119" s="8"/>
      <c r="E119" s="8"/>
    </row>
    <row r="120" spans="2:5" x14ac:dyDescent="0.2">
      <c r="B120" s="8"/>
      <c r="D120" s="8"/>
      <c r="E120" s="8"/>
    </row>
    <row r="121" spans="2:5" x14ac:dyDescent="0.2">
      <c r="B121" s="8"/>
      <c r="D121" s="8"/>
      <c r="E121" s="8"/>
    </row>
    <row r="122" spans="2:5" x14ac:dyDescent="0.2">
      <c r="B122" s="8"/>
      <c r="D122" s="8"/>
      <c r="E122" s="8"/>
    </row>
    <row r="123" spans="2:5" x14ac:dyDescent="0.2">
      <c r="B123" s="8"/>
      <c r="D123" s="8"/>
      <c r="E123" s="8"/>
    </row>
    <row r="124" spans="2:5" x14ac:dyDescent="0.2">
      <c r="B124" s="8"/>
      <c r="D124" s="8"/>
      <c r="E124" s="8"/>
    </row>
    <row r="125" spans="2:5" x14ac:dyDescent="0.2">
      <c r="B125" s="8"/>
      <c r="D125" s="8"/>
      <c r="E125" s="8"/>
    </row>
    <row r="126" spans="2:5" x14ac:dyDescent="0.2">
      <c r="B126" s="8"/>
      <c r="D126" s="8"/>
      <c r="E126" s="8"/>
    </row>
    <row r="127" spans="2:5" x14ac:dyDescent="0.2">
      <c r="B127" s="8"/>
      <c r="D127" s="8"/>
      <c r="E127" s="8"/>
    </row>
    <row r="128" spans="2:5" x14ac:dyDescent="0.2">
      <c r="B128" s="8"/>
      <c r="D128" s="8"/>
      <c r="E128" s="8"/>
    </row>
    <row r="129" spans="2:5" x14ac:dyDescent="0.2">
      <c r="B129" s="8"/>
      <c r="D129" s="8"/>
      <c r="E129" s="8"/>
    </row>
    <row r="130" spans="2:5" x14ac:dyDescent="0.2">
      <c r="B130" s="8"/>
      <c r="D130" s="8"/>
      <c r="E130" s="8"/>
    </row>
    <row r="131" spans="2:5" x14ac:dyDescent="0.2">
      <c r="B131" s="8"/>
      <c r="D131" s="8"/>
      <c r="E131" s="8"/>
    </row>
    <row r="132" spans="2:5" x14ac:dyDescent="0.2">
      <c r="B132" s="8"/>
      <c r="D132" s="8"/>
      <c r="E132" s="8"/>
    </row>
    <row r="133" spans="2:5" x14ac:dyDescent="0.2">
      <c r="B133" s="8"/>
      <c r="D133" s="8"/>
      <c r="E133" s="8"/>
    </row>
    <row r="134" spans="2:5" x14ac:dyDescent="0.2">
      <c r="B134" s="8"/>
      <c r="D134" s="8"/>
      <c r="E134" s="8"/>
    </row>
    <row r="135" spans="2:5" x14ac:dyDescent="0.2">
      <c r="B135" s="8"/>
      <c r="D135" s="8"/>
      <c r="E135" s="8"/>
    </row>
    <row r="136" spans="2:5" x14ac:dyDescent="0.2">
      <c r="B136" s="8"/>
      <c r="D136" s="8"/>
      <c r="E136" s="8"/>
    </row>
    <row r="137" spans="2:5" x14ac:dyDescent="0.2">
      <c r="B137" s="8"/>
      <c r="D137" s="8"/>
      <c r="E137" s="8"/>
    </row>
    <row r="138" spans="2:5" x14ac:dyDescent="0.2">
      <c r="B138" s="8"/>
      <c r="D138" s="8"/>
      <c r="E138" s="8"/>
    </row>
    <row r="139" spans="2:5" x14ac:dyDescent="0.2">
      <c r="B139" s="8"/>
      <c r="D139" s="8"/>
      <c r="E139" s="8"/>
    </row>
    <row r="140" spans="2:5" x14ac:dyDescent="0.2">
      <c r="B140" s="8"/>
      <c r="D140" s="8"/>
      <c r="E140" s="8"/>
    </row>
    <row r="141" spans="2:5" x14ac:dyDescent="0.2">
      <c r="B141" s="8"/>
      <c r="D141" s="8"/>
      <c r="E141" s="8"/>
    </row>
    <row r="142" spans="2:5" x14ac:dyDescent="0.2">
      <c r="B142" s="8"/>
      <c r="D142" s="8"/>
      <c r="E142" s="8"/>
    </row>
    <row r="143" spans="2:5" x14ac:dyDescent="0.2">
      <c r="B143" s="8"/>
      <c r="D143" s="8"/>
      <c r="E143" s="8"/>
    </row>
    <row r="144" spans="2:5" x14ac:dyDescent="0.2">
      <c r="B144" s="8"/>
      <c r="D144" s="8"/>
      <c r="E144" s="8"/>
    </row>
    <row r="145" spans="2:5" x14ac:dyDescent="0.2">
      <c r="B145" s="8"/>
      <c r="D145" s="8"/>
      <c r="E145" s="8"/>
    </row>
    <row r="146" spans="2:5" x14ac:dyDescent="0.2">
      <c r="B146" s="8"/>
      <c r="D146" s="8"/>
      <c r="E146" s="8"/>
    </row>
    <row r="147" spans="2:5" x14ac:dyDescent="0.2">
      <c r="B147" s="8"/>
      <c r="D147" s="8"/>
      <c r="E147" s="8"/>
    </row>
    <row r="148" spans="2:5" x14ac:dyDescent="0.2">
      <c r="B148" s="8"/>
      <c r="D148" s="8"/>
      <c r="E148" s="8"/>
    </row>
    <row r="149" spans="2:5" x14ac:dyDescent="0.2">
      <c r="B149" s="8"/>
      <c r="D149" s="8"/>
      <c r="E149" s="8"/>
    </row>
    <row r="150" spans="2:5" x14ac:dyDescent="0.2">
      <c r="B150" s="8"/>
      <c r="D150" s="8"/>
      <c r="E150" s="8"/>
    </row>
    <row r="151" spans="2:5" x14ac:dyDescent="0.2">
      <c r="B151" s="8"/>
      <c r="D151" s="8"/>
      <c r="E151" s="8"/>
    </row>
    <row r="152" spans="2:5" x14ac:dyDescent="0.2">
      <c r="B152" s="8"/>
      <c r="D152" s="8"/>
      <c r="E152" s="8"/>
    </row>
  </sheetData>
  <mergeCells count="8">
    <mergeCell ref="N2:N3"/>
    <mergeCell ref="N4:N6"/>
    <mergeCell ref="O4:O6"/>
    <mergeCell ref="A1:M1"/>
    <mergeCell ref="L4:L5"/>
    <mergeCell ref="M4:M5"/>
    <mergeCell ref="A4:A5"/>
    <mergeCell ref="M2:M3"/>
  </mergeCells>
  <phoneticPr fontId="0" type="noConversion"/>
  <conditionalFormatting sqref="C7:C37">
    <cfRule type="cellIs" dxfId="53" priority="13" operator="greaterThan">
      <formula>24</formula>
    </cfRule>
  </conditionalFormatting>
  <conditionalFormatting sqref="M7:N37">
    <cfRule type="cellIs" dxfId="52" priority="9" operator="greaterThan">
      <formula>7.2</formula>
    </cfRule>
    <cfRule type="cellIs" dxfId="51" priority="11" operator="between">
      <formula>0</formula>
      <formula>7.2</formula>
    </cfRule>
  </conditionalFormatting>
  <conditionalFormatting sqref="M7:N38">
    <cfRule type="cellIs" dxfId="50" priority="1" operator="lessThan">
      <formula>7.2</formula>
    </cfRule>
    <cfRule type="cellIs" dxfId="49" priority="2" operator="greaterThan">
      <formula>7.2</formula>
    </cfRule>
    <cfRule type="cellIs" dxfId="48" priority="4" operator="greaterThan">
      <formula>7.2</formula>
    </cfRule>
  </conditionalFormatting>
  <conditionalFormatting sqref="M38:N38">
    <cfRule type="expression" priority="5">
      <formula>"&gt;7.2"</formula>
    </cfRule>
    <cfRule type="expression" priority="6">
      <formula>"IF(M38&lt;=7.2, GREEN, RED)"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O41" sqref="O41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961"/>
      <c r="B1" s="962"/>
      <c r="C1" s="962"/>
      <c r="D1" s="962"/>
      <c r="E1" s="962"/>
      <c r="F1" s="962"/>
      <c r="G1" s="962"/>
      <c r="H1" s="962"/>
      <c r="I1" s="962"/>
      <c r="J1" s="962"/>
      <c r="K1" s="962"/>
      <c r="L1" s="962"/>
      <c r="M1" s="962"/>
      <c r="N1" s="962"/>
      <c r="O1" s="962"/>
      <c r="P1" s="962"/>
      <c r="Q1" s="962"/>
      <c r="R1" s="962"/>
      <c r="S1" s="962"/>
      <c r="T1" s="962"/>
      <c r="U1" s="962"/>
      <c r="V1" s="962"/>
      <c r="W1" s="962"/>
      <c r="X1" s="962"/>
      <c r="Y1" s="962"/>
      <c r="Z1" s="962"/>
      <c r="AA1" s="962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81" t="s">
        <v>7</v>
      </c>
      <c r="C4" s="973" t="s">
        <v>105</v>
      </c>
      <c r="D4" s="978" t="s">
        <v>106</v>
      </c>
      <c r="E4" s="973" t="s">
        <v>107</v>
      </c>
      <c r="F4" s="978" t="s">
        <v>239</v>
      </c>
      <c r="G4" s="978" t="s">
        <v>108</v>
      </c>
      <c r="H4" s="978" t="s">
        <v>161</v>
      </c>
      <c r="I4" s="973" t="s">
        <v>207</v>
      </c>
      <c r="J4" s="973" t="s">
        <v>109</v>
      </c>
      <c r="K4" s="973" t="s">
        <v>174</v>
      </c>
      <c r="L4" s="973" t="s">
        <v>173</v>
      </c>
      <c r="M4" s="973" t="s">
        <v>103</v>
      </c>
      <c r="N4" s="48"/>
      <c r="O4" s="48"/>
      <c r="P4" s="48"/>
      <c r="Q4" s="48"/>
      <c r="R4" s="978" t="s">
        <v>110</v>
      </c>
      <c r="S4" s="978" t="s">
        <v>240</v>
      </c>
      <c r="T4" s="48"/>
      <c r="U4" s="973" t="s">
        <v>153</v>
      </c>
      <c r="V4" s="48"/>
      <c r="W4" s="48"/>
      <c r="X4" s="973" t="s">
        <v>175</v>
      </c>
      <c r="Y4" s="973" t="s">
        <v>176</v>
      </c>
      <c r="Z4" s="971" t="s">
        <v>247</v>
      </c>
      <c r="AA4" s="975" t="s">
        <v>243</v>
      </c>
      <c r="AB4" s="969" t="s">
        <v>76</v>
      </c>
    </row>
    <row r="5" spans="1:31" s="300" customFormat="1" ht="47.25" customHeight="1" x14ac:dyDescent="0.2">
      <c r="B5" s="982"/>
      <c r="C5" s="980"/>
      <c r="D5" s="979"/>
      <c r="E5" s="974"/>
      <c r="F5" s="979"/>
      <c r="G5" s="979"/>
      <c r="H5" s="979"/>
      <c r="I5" s="974"/>
      <c r="J5" s="974"/>
      <c r="K5" s="974"/>
      <c r="L5" s="974"/>
      <c r="M5" s="974"/>
      <c r="N5" s="50" t="s">
        <v>111</v>
      </c>
      <c r="O5" s="50" t="s">
        <v>112</v>
      </c>
      <c r="P5" s="50" t="s">
        <v>242</v>
      </c>
      <c r="Q5" s="50" t="s">
        <v>113</v>
      </c>
      <c r="R5" s="979"/>
      <c r="S5" s="979"/>
      <c r="T5" s="49" t="s">
        <v>99</v>
      </c>
      <c r="U5" s="977"/>
      <c r="V5" s="80" t="s">
        <v>156</v>
      </c>
      <c r="W5" s="80" t="s">
        <v>157</v>
      </c>
      <c r="X5" s="974"/>
      <c r="Y5" s="974"/>
      <c r="Z5" s="972"/>
      <c r="AA5" s="976"/>
      <c r="AB5" s="970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26"/>
      <c r="AA6" s="327"/>
      <c r="AB6" s="328"/>
    </row>
    <row r="7" spans="1:31" x14ac:dyDescent="0.2">
      <c r="B7" s="51">
        <v>1</v>
      </c>
      <c r="C7" s="52" t="str">
        <f>IF('Entries September 2026'!W7-'Entries September 2026'!W6&lt;1,"0",'Entries September 2026'!W7-'Entries September 2026'!W6)</f>
        <v>0</v>
      </c>
      <c r="D7" s="31">
        <f>IF('Entries September 2026'!O7-'Entries September 2026'!O6&lt;1,"0",'Entries September 2026'!O7-'Entries September 2026'!O6)</f>
        <v>242</v>
      </c>
      <c r="E7" s="31">
        <f>IF('Entries September 2026'!P7-'Entries September 2026'!P6&lt;1,"0",'Entries September 2026'!P7-'Entries September 2026'!P6)</f>
        <v>241</v>
      </c>
      <c r="F7" s="31">
        <f>IF('Entries September 2026'!V7-'Entries September 2026'!V6&lt;1,"0",'Entries September 2026'!V7-'Entries September 2026'!V6)</f>
        <v>281</v>
      </c>
      <c r="G7" s="31">
        <f>(D7+E7)-F7</f>
        <v>202</v>
      </c>
      <c r="H7" s="31">
        <f>IF('Entries September 2026'!Q7-'Entries September 2026'!Q6&lt;1,0,'Entries September 2026'!Q7-'Entries September 2026'!Q6)</f>
        <v>317</v>
      </c>
      <c r="I7" s="31">
        <f>IF('Entries September 2026'!AG7-'Entries September 2026'!AG6&lt;1,0,'Entries September 2026'!AG7-'Entries September 2026'!AG6)</f>
        <v>0</v>
      </c>
      <c r="J7" s="31">
        <f>IF('Entries September 2026'!S7-'Entries September 2026'!S6&lt;1,"0",'Entries September 2026'!S7-'Entries September 2026'!S6)</f>
        <v>132</v>
      </c>
      <c r="K7" s="31" t="str">
        <f>IF('Entries September 2026'!R7-'Entries September 2026'!R6&lt;1,"0",'Entries September 2026'!R7-'Entries September 2026'!R6)</f>
        <v>0</v>
      </c>
      <c r="L7" s="31" t="str">
        <f>IF('Entries September 2026'!T7-'Entries September 2026'!T6&lt;1,"0",'Entries September 2026'!T7-'Entries September 2026'!T6)</f>
        <v>0</v>
      </c>
      <c r="M7" s="31">
        <f>IF('Entries September 2026'!U7-'Entries September 2026'!U6&lt;1,"0",'Entries September 2026'!U7-'Entries September 2026'!U6)</f>
        <v>3</v>
      </c>
      <c r="N7" s="31">
        <f>IF('Entries September 2026'!X7-'Entries September 2026'!X6&lt;1,"0",'Entries September 2026'!X7-'Entries September 2026'!X6)</f>
        <v>79</v>
      </c>
      <c r="O7" s="31">
        <f>IF('Entries September 2026'!Y7-'Entries September 2026'!Y6&lt;1,"0",'Entries September 2026'!Y7-'Entries September 2026'!Y6)</f>
        <v>141</v>
      </c>
      <c r="P7" s="31">
        <f>IF('Entries September 2026'!AC7-'Entries September 2026'!AC6&lt;1,"0",'Entries September 2026'!AC7-'Entries September 2026'!AC6)</f>
        <v>22</v>
      </c>
      <c r="Q7" s="31">
        <f>IF('Entries September 2026'!Z7-'Entries September 2026'!Z6&lt;1,"0",'Entries September 2026'!Z7-'Entries September 2026'!Z6)</f>
        <v>23</v>
      </c>
      <c r="R7" s="31" t="str">
        <f>IF(('Entries September 2026'!AA7-'Entries September 2026'!AA6)+('Entries September 2026'!AB7-'Entries September 2026'!AB6)&lt;1,"0",('Entries September 2026'!AA7-'Entries September 2026'!AA6)+('Entries September 2026'!AB7-'Entries September 2026'!AB6))</f>
        <v>0</v>
      </c>
      <c r="S7" s="52">
        <f>(R7+G7)*10</f>
        <v>2020</v>
      </c>
      <c r="T7" s="52">
        <f>O7+N7+M7+L7</f>
        <v>223</v>
      </c>
      <c r="U7" s="31">
        <f>IF('Entries September 2026'!AC7-'Entries September 2026'!AC6&lt;1,"0",'Entries September 2026'!AC7-'Entries September 2026'!AC6)</f>
        <v>22</v>
      </c>
      <c r="V7" s="31" t="str">
        <f>IF('Entries September 2026'!AD7-'Entries September 2026'!AD6&lt;1,"0",'Entries September 2026'!AD7-'Entries September 2026'!AD6)</f>
        <v>0</v>
      </c>
      <c r="W7" s="31" t="str">
        <f>IF('Entries September 2026'!AE7-'Entries September 2026'!AE6&lt;1,"0",'Entries September 2026'!AE7-'Entries September 2026'!AE6)</f>
        <v>0</v>
      </c>
      <c r="X7" s="79" t="str">
        <f>IF('Entries September 2026'!AI7-'Entries September 2026'!AI6&lt;1,"0",'Entries September 2026'!AI7-'Entries September 2026'!AI6)</f>
        <v>0</v>
      </c>
      <c r="Y7" s="79" t="str">
        <f>IF('Entries September 2026'!AH7-'Entries September 2026'!AH6&lt;1,"0",'Entries September 2026'!AH7-'Entries September 2026'!AH6)</f>
        <v>0</v>
      </c>
      <c r="Z7" s="329">
        <f>C7+D7+E7</f>
        <v>483</v>
      </c>
      <c r="AA7" s="330" cm="1">
        <f t="array" ref="AA7:AA37">IF(TRANSPOSE('Daily KPIs'!B9:AF9)=0,"0",TRANSPOSE('Daily KPIs'!B9:AF9))</f>
        <v>493.416</v>
      </c>
      <c r="AB7" s="331">
        <f>IF(AA7=0,"0",(Z7*10/AA7))</f>
        <v>9.7889002383384405</v>
      </c>
    </row>
    <row r="8" spans="1:31" x14ac:dyDescent="0.2">
      <c r="B8" s="51">
        <v>2</v>
      </c>
      <c r="C8" s="52" t="str">
        <f>IF('Entries September 2026'!W8-'Entries September 2026'!W7&lt;1,"0",'Entries September 2026'!W8-'Entries September 2026'!W7)</f>
        <v>0</v>
      </c>
      <c r="D8" s="31">
        <f>IF('Entries September 2026'!O8-'Entries September 2026'!O7&lt;1,"0",'Entries September 2026'!O8-'Entries September 2026'!O7)</f>
        <v>232</v>
      </c>
      <c r="E8" s="31">
        <f>IF('Entries September 2026'!P8-'Entries September 2026'!P7&lt;1,"0",'Entries September 2026'!P8-'Entries September 2026'!P7)</f>
        <v>270</v>
      </c>
      <c r="F8" s="31">
        <f>IF('Entries September 2026'!V8-'Entries September 2026'!V7&lt;1,"0",'Entries September 2026'!V8-'Entries September 2026'!V7)</f>
        <v>255</v>
      </c>
      <c r="G8" s="31">
        <f t="shared" ref="G8:G37" si="0">(D8+E8)-F8</f>
        <v>247</v>
      </c>
      <c r="H8" s="31">
        <f>IF('Entries September 2026'!Q8-'Entries September 2026'!Q7&lt;1,0,'Entries September 2026'!Q8-'Entries September 2026'!Q7)</f>
        <v>238</v>
      </c>
      <c r="I8" s="31">
        <f>IF('Entries September 2026'!AG8-'Entries September 2026'!AG7&lt;1,0,'Entries September 2026'!AG8-'Entries September 2026'!AG7)</f>
        <v>0</v>
      </c>
      <c r="J8" s="31">
        <f>IF('Entries September 2026'!S8-'Entries September 2026'!S7&lt;1,"0",'Entries September 2026'!S8-'Entries September 2026'!S7)</f>
        <v>180</v>
      </c>
      <c r="K8" s="31" t="str">
        <f>IF('Entries September 2026'!R8-'Entries September 2026'!R7&lt;1,"0",'Entries September 2026'!R8-'Entries September 2026'!R7)</f>
        <v>0</v>
      </c>
      <c r="L8" s="31" t="str">
        <f>IF('Entries September 2026'!T8-'Entries September 2026'!T7&lt;1,"0",'Entries September 2026'!T8-'Entries September 2026'!T7)</f>
        <v>0</v>
      </c>
      <c r="M8" s="31">
        <f>IF('Entries September 2026'!U8-'Entries September 2026'!U7&lt;1,"0",'Entries September 2026'!U8-'Entries September 2026'!U7)</f>
        <v>1</v>
      </c>
      <c r="N8" s="31">
        <f>IF('Entries September 2026'!X8-'Entries September 2026'!X7&lt;1,"0",'Entries September 2026'!X8-'Entries September 2026'!X7)</f>
        <v>39</v>
      </c>
      <c r="O8" s="31">
        <f>IF('Entries September 2026'!Y8-'Entries September 2026'!Y7&lt;1,"0",'Entries September 2026'!Y8-'Entries September 2026'!Y7)</f>
        <v>124</v>
      </c>
      <c r="P8" s="31">
        <f>IF('Entries September 2026'!AC8-'Entries September 2026'!AC7&lt;1,"0",'Entries September 2026'!AC8-'Entries September 2026'!AC7)</f>
        <v>25</v>
      </c>
      <c r="Q8" s="31">
        <f>IF('Entries September 2026'!Z8-'Entries September 2026'!Z7&lt;1,"0",'Entries September 2026'!Z8-'Entries September 2026'!Z7)</f>
        <v>19</v>
      </c>
      <c r="R8" s="31" t="str">
        <f>IF(('Entries September 2026'!AA8-'Entries September 2026'!AA7)+('Entries September 2026'!AB8-'Entries September 2026'!AB7)&lt;1,"0",('Entries September 2026'!AA8-'Entries September 2026'!AA7)+('Entries September 2026'!AB8-'Entries September 2026'!AB7))</f>
        <v>0</v>
      </c>
      <c r="S8" s="52">
        <f>(R8+G8)*10</f>
        <v>2470</v>
      </c>
      <c r="T8" s="52">
        <f t="shared" ref="T8:T36" si="1">O8+N8+M8+L8</f>
        <v>164</v>
      </c>
      <c r="U8" s="31">
        <f>IF('Entries September 2026'!AC8-'Entries September 2026'!AC7&lt;1,"0",'Entries September 2026'!AC8-'Entries September 2026'!AC7)</f>
        <v>25</v>
      </c>
      <c r="V8" s="31" t="str">
        <f>IF('Entries September 2026'!AD8-'Entries September 2026'!AD7&lt;1,"0",'Entries September 2026'!AD8-'Entries September 2026'!AD7)</f>
        <v>0</v>
      </c>
      <c r="W8" s="31" t="str">
        <f>IF('Entries September 2026'!AE8-'Entries September 2026'!AE7&lt;1,"0",'Entries September 2026'!AE8-'Entries September 2026'!AE7)</f>
        <v>0</v>
      </c>
      <c r="X8" s="79" t="str">
        <f>IF('Entries September 2026'!AI8-'Entries September 2026'!AI7&lt;1,"0",'Entries September 2026'!AI8-'Entries September 2026'!AI7)</f>
        <v>0</v>
      </c>
      <c r="Y8" s="79" t="str">
        <f>IF('Entries September 2026'!AH8-'Entries September 2026'!AH7&lt;1,"0",'Entries September 2026'!AH8-'Entries September 2026'!AH7)</f>
        <v>0</v>
      </c>
      <c r="Z8" s="329">
        <f t="shared" ref="Z8:Z37" si="2">C8+D8+E8</f>
        <v>502</v>
      </c>
      <c r="AA8" s="330">
        <v>519.42000000000007</v>
      </c>
      <c r="AB8" s="331">
        <f t="shared" ref="AB8:AB36" si="3">IF(AA8=0,"0",(Z8*10/AA8))</f>
        <v>9.6646259289207173</v>
      </c>
    </row>
    <row r="9" spans="1:31" x14ac:dyDescent="0.2">
      <c r="B9" s="51">
        <v>3</v>
      </c>
      <c r="C9" s="52" t="str">
        <f>IF('Entries September 2026'!W9-'Entries September 2026'!W8&lt;1,"0",'Entries September 2026'!W9-'Entries September 2026'!W8)</f>
        <v>0</v>
      </c>
      <c r="D9" s="31">
        <f>IF('Entries September 2026'!O9-'Entries September 2026'!O8&lt;1,"0",'Entries September 2026'!O9-'Entries September 2026'!O8)</f>
        <v>170</v>
      </c>
      <c r="E9" s="31">
        <f>IF('Entries September 2026'!P9-'Entries September 2026'!P8&lt;1,"0",'Entries September 2026'!P9-'Entries September 2026'!P8)</f>
        <v>188</v>
      </c>
      <c r="F9" s="31">
        <f>IF('Entries September 2026'!V9-'Entries September 2026'!V8&lt;1,"0",'Entries September 2026'!V9-'Entries September 2026'!V8)</f>
        <v>197</v>
      </c>
      <c r="G9" s="31">
        <f t="shared" si="0"/>
        <v>161</v>
      </c>
      <c r="H9" s="31">
        <f>IF('Entries September 2026'!Q9-'Entries September 2026'!Q8&lt;1,0,'Entries September 2026'!Q9-'Entries September 2026'!Q8)</f>
        <v>259</v>
      </c>
      <c r="I9" s="31">
        <f>IF('Entries September 2026'!AG9-'Entries September 2026'!AG8&lt;1,0,'Entries September 2026'!AG9-'Entries September 2026'!AG8)</f>
        <v>0</v>
      </c>
      <c r="J9" s="31">
        <f>IF('Entries September 2026'!S9-'Entries September 2026'!S8&lt;1,"0",'Entries September 2026'!S9-'Entries September 2026'!S8)</f>
        <v>135</v>
      </c>
      <c r="K9" s="31" t="str">
        <f>IF('Entries September 2026'!R9-'Entries September 2026'!R8&lt;1,"0",'Entries September 2026'!R9-'Entries September 2026'!R8)</f>
        <v>0</v>
      </c>
      <c r="L9" s="31" t="str">
        <f>IF('Entries September 2026'!T9-'Entries September 2026'!T8&lt;1,"0",'Entries September 2026'!T9-'Entries September 2026'!T8)</f>
        <v>0</v>
      </c>
      <c r="M9" s="31">
        <f>IF('Entries September 2026'!U9-'Entries September 2026'!U8&lt;1,"0",'Entries September 2026'!U9-'Entries September 2026'!U8)</f>
        <v>3</v>
      </c>
      <c r="N9" s="31">
        <f>IF('Entries September 2026'!X9-'Entries September 2026'!X8&lt;1,"0",'Entries September 2026'!X9-'Entries September 2026'!X8)</f>
        <v>55</v>
      </c>
      <c r="O9" s="31">
        <f>IF('Entries September 2026'!Y9-'Entries September 2026'!Y8&lt;1,"0",'Entries September 2026'!Y9-'Entries September 2026'!Y8)</f>
        <v>117</v>
      </c>
      <c r="P9" s="31">
        <f>IF('Entries September 2026'!AC9-'Entries September 2026'!AC8&lt;1,"0",'Entries September 2026'!AC9-'Entries September 2026'!AC8)</f>
        <v>22</v>
      </c>
      <c r="Q9" s="31">
        <f>IF('Entries September 2026'!Z9-'Entries September 2026'!Z8&lt;1,"0",'Entries September 2026'!Z9-'Entries September 2026'!Z8)</f>
        <v>21</v>
      </c>
      <c r="R9" s="31" t="str">
        <f>IF(('Entries September 2026'!AA9-'Entries September 2026'!AA8)+('Entries September 2026'!AB9-'Entries September 2026'!AB8)&lt;1,"0",('Entries September 2026'!AA9-'Entries September 2026'!AA8)+('Entries September 2026'!AB9-'Entries September 2026'!AB8))</f>
        <v>0</v>
      </c>
      <c r="S9" s="52">
        <f t="shared" ref="S9:S37" si="4">(R9+G9)*10</f>
        <v>1610</v>
      </c>
      <c r="T9" s="52">
        <f t="shared" si="1"/>
        <v>175</v>
      </c>
      <c r="U9" s="31">
        <f>IF('Entries September 2026'!AC9-'Entries September 2026'!AC8&lt;1,"0",'Entries September 2026'!AC9-'Entries September 2026'!AC8)</f>
        <v>22</v>
      </c>
      <c r="V9" s="31" t="str">
        <f>IF('Entries September 2026'!AD9-'Entries September 2026'!AD8&lt;1,"0",'Entries September 2026'!AD9-'Entries September 2026'!AD8)</f>
        <v>0</v>
      </c>
      <c r="W9" s="31" t="str">
        <f>IF('Entries September 2026'!AE9-'Entries September 2026'!AE8&lt;1,"0",'Entries September 2026'!AE9-'Entries September 2026'!AE8)</f>
        <v>0</v>
      </c>
      <c r="X9" s="79" t="str">
        <f>IF('Entries September 2026'!AI9-'Entries September 2026'!AI8&lt;1,"0",'Entries September 2026'!AI9-'Entries September 2026'!AI8)</f>
        <v>0</v>
      </c>
      <c r="Y9" s="79" t="str">
        <f>IF('Entries September 2026'!AH9-'Entries September 2026'!AH8&lt;1,"0",'Entries September 2026'!AH9-'Entries September 2026'!AH8)</f>
        <v>0</v>
      </c>
      <c r="Z9" s="329">
        <f t="shared" si="2"/>
        <v>358</v>
      </c>
      <c r="AA9" s="330">
        <v>447.678</v>
      </c>
      <c r="AB9" s="331">
        <f t="shared" si="3"/>
        <v>7.9968191423299784</v>
      </c>
    </row>
    <row r="10" spans="1:31" x14ac:dyDescent="0.2">
      <c r="B10" s="693">
        <v>4</v>
      </c>
      <c r="C10" s="694" t="str">
        <f>IF('Entries September 2026'!W10-'Entries September 2026'!W9&lt;1,"0",'Entries September 2026'!W10-'Entries September 2026'!W9)</f>
        <v>0</v>
      </c>
      <c r="D10" s="695">
        <f>IF('Entries September 2026'!O10-'Entries September 2026'!O9&lt;1,"0",'Entries September 2026'!O10-'Entries September 2026'!O9)</f>
        <v>361</v>
      </c>
      <c r="E10" s="695">
        <f>IF('Entries September 2026'!P10-'Entries September 2026'!P9&lt;1,"0",'Entries September 2026'!P10-'Entries September 2026'!P9)</f>
        <v>95</v>
      </c>
      <c r="F10" s="695">
        <f>IF('Entries September 2026'!V10-'Entries September 2026'!V9&lt;1,"0",'Entries September 2026'!V10-'Entries September 2026'!V9)</f>
        <v>100</v>
      </c>
      <c r="G10" s="695">
        <f t="shared" si="0"/>
        <v>356</v>
      </c>
      <c r="H10" s="695">
        <f>IF('Entries September 2026'!Q10-'Entries September 2026'!Q9&lt;1,0,'Entries September 2026'!Q10-'Entries September 2026'!Q9)</f>
        <v>192</v>
      </c>
      <c r="I10" s="695">
        <f>IF('Entries September 2026'!AG10-'Entries September 2026'!AG9&lt;1,0,'Entries September 2026'!AG10-'Entries September 2026'!AG9)</f>
        <v>0</v>
      </c>
      <c r="J10" s="695">
        <f>IF('Entries September 2026'!S10-'Entries September 2026'!S9&lt;1,"0",'Entries September 2026'!S10-'Entries September 2026'!S9)</f>
        <v>147</v>
      </c>
      <c r="K10" s="695" t="str">
        <f>IF('Entries September 2026'!R10-'Entries September 2026'!R9&lt;1,"0",'Entries September 2026'!R10-'Entries September 2026'!R9)</f>
        <v>0</v>
      </c>
      <c r="L10" s="695" t="str">
        <f>IF('Entries September 2026'!T10-'Entries September 2026'!T9&lt;1,"0",'Entries September 2026'!T10-'Entries September 2026'!T9)</f>
        <v>0</v>
      </c>
      <c r="M10" s="695">
        <f>IF('Entries September 2026'!U10-'Entries September 2026'!U9&lt;1,"0",'Entries September 2026'!U10-'Entries September 2026'!U9)</f>
        <v>1</v>
      </c>
      <c r="N10" s="695">
        <f>IF('Entries September 2026'!X10-'Entries September 2026'!X9&lt;1,"0",'Entries September 2026'!X10-'Entries September 2026'!X9)</f>
        <v>87</v>
      </c>
      <c r="O10" s="695">
        <f>IF('Entries September 2026'!Y10-'Entries September 2026'!Y9&lt;1,"0",'Entries September 2026'!Y10-'Entries September 2026'!Y9)</f>
        <v>21</v>
      </c>
      <c r="P10" s="695">
        <f>IF('Entries September 2026'!AC10-'Entries September 2026'!AC9&lt;1,"0",'Entries September 2026'!AC10-'Entries September 2026'!AC9)</f>
        <v>8</v>
      </c>
      <c r="Q10" s="695">
        <f>IF('Entries September 2026'!Z10-'Entries September 2026'!Z9&lt;1,"0",'Entries September 2026'!Z10-'Entries September 2026'!Z9)</f>
        <v>12</v>
      </c>
      <c r="R10" s="695" t="str">
        <f>IF(('Entries September 2026'!AA10-'Entries September 2026'!AA9)+('Entries September 2026'!AB10-'Entries September 2026'!AB9)&lt;1,"0",('Entries September 2026'!AA10-'Entries September 2026'!AA9)+('Entries September 2026'!AB10-'Entries September 2026'!AB9))</f>
        <v>0</v>
      </c>
      <c r="S10" s="694">
        <f t="shared" si="4"/>
        <v>3560</v>
      </c>
      <c r="T10" s="694">
        <f t="shared" si="1"/>
        <v>109</v>
      </c>
      <c r="U10" s="695">
        <f>IF('Entries September 2026'!AC10-'Entries September 2026'!AC9&lt;1,"0",'Entries September 2026'!AC10-'Entries September 2026'!AC9)</f>
        <v>8</v>
      </c>
      <c r="V10" s="695" t="str">
        <f>IF('Entries September 2026'!AD10-'Entries September 2026'!AD9&lt;1,"0",'Entries September 2026'!AD10-'Entries September 2026'!AD9)</f>
        <v>0</v>
      </c>
      <c r="W10" s="695" t="str">
        <f>IF('Entries September 2026'!AE10-'Entries September 2026'!AE9&lt;1,"0",'Entries September 2026'!AE10-'Entries September 2026'!AE9)</f>
        <v>0</v>
      </c>
      <c r="X10" s="696" t="str">
        <f>IF('Entries September 2026'!AI10-'Entries September 2026'!AI9&lt;1,"0",'Entries September 2026'!AI10-'Entries September 2026'!AI9)</f>
        <v>0</v>
      </c>
      <c r="Y10" s="696" t="str">
        <f>IF('Entries September 2026'!AH10-'Entries September 2026'!AH9&lt;1,"0",'Entries September 2026'!AH10-'Entries September 2026'!AH9)</f>
        <v>0</v>
      </c>
      <c r="Z10" s="329">
        <f t="shared" si="2"/>
        <v>456</v>
      </c>
      <c r="AA10" s="330">
        <v>96.294000000000011</v>
      </c>
      <c r="AB10" s="331">
        <f t="shared" si="3"/>
        <v>47.354975387874632</v>
      </c>
      <c r="AD10" s="8" t="s">
        <v>55</v>
      </c>
    </row>
    <row r="11" spans="1:31" x14ac:dyDescent="0.2">
      <c r="B11" s="693">
        <v>5</v>
      </c>
      <c r="C11" s="694" t="str">
        <f>IF('Entries September 2026'!W11-'Entries September 2026'!W10&lt;1,"0",'Entries September 2026'!W11-'Entries September 2026'!W10)</f>
        <v>0</v>
      </c>
      <c r="D11" s="695" t="str">
        <f>IF('Entries September 2026'!O11-'Entries September 2026'!O10&lt;1,"0",'Entries September 2026'!O11-'Entries September 2026'!O10)</f>
        <v>0</v>
      </c>
      <c r="E11" s="695" t="str">
        <f>IF('Entries September 2026'!P11-'Entries September 2026'!P10&lt;1,"0",'Entries September 2026'!P11-'Entries September 2026'!P10)</f>
        <v>0</v>
      </c>
      <c r="F11" s="695" t="str">
        <f>IF('Entries September 2026'!V11-'Entries September 2026'!V10&lt;1,"0",'Entries September 2026'!V11-'Entries September 2026'!V10)</f>
        <v>0</v>
      </c>
      <c r="G11" s="695">
        <f t="shared" si="0"/>
        <v>0</v>
      </c>
      <c r="H11" s="695">
        <f>IF('Entries September 2026'!Q11-'Entries September 2026'!Q10&lt;1,0,'Entries September 2026'!Q11-'Entries September 2026'!Q10)</f>
        <v>0</v>
      </c>
      <c r="I11" s="695">
        <f>IF('Entries September 2026'!AG11-'Entries September 2026'!AG10&lt;1,0,'Entries September 2026'!AG11-'Entries September 2026'!AG10)</f>
        <v>0</v>
      </c>
      <c r="J11" s="695" t="str">
        <f>IF('Entries September 2026'!S11-'Entries September 2026'!S10&lt;1,"0",'Entries September 2026'!S11-'Entries September 2026'!S10)</f>
        <v>0</v>
      </c>
      <c r="K11" s="695" t="str">
        <f>IF('Entries September 2026'!R11-'Entries September 2026'!R10&lt;1,"0",'Entries September 2026'!R11-'Entries September 2026'!R10)</f>
        <v>0</v>
      </c>
      <c r="L11" s="695" t="str">
        <f>IF('Entries September 2026'!T11-'Entries September 2026'!T10&lt;1,"0",'Entries September 2026'!T11-'Entries September 2026'!T10)</f>
        <v>0</v>
      </c>
      <c r="M11" s="695" t="str">
        <f>IF('Entries September 2026'!U11-'Entries September 2026'!U10&lt;1,"0",'Entries September 2026'!U11-'Entries September 2026'!U10)</f>
        <v>0</v>
      </c>
      <c r="N11" s="695" t="str">
        <f>IF('Entries September 2026'!X11-'Entries September 2026'!X10&lt;1,"0",'Entries September 2026'!X11-'Entries September 2026'!X10)</f>
        <v>0</v>
      </c>
      <c r="O11" s="695" t="str">
        <f>IF('Entries September 2026'!Y11-'Entries September 2026'!Y10&lt;1,"0",'Entries September 2026'!Y11-'Entries September 2026'!Y10)</f>
        <v>0</v>
      </c>
      <c r="P11" s="695" t="str">
        <f>IF('Entries September 2026'!AC11-'Entries September 2026'!AC10&lt;1,"0",'Entries September 2026'!AC11-'Entries September 2026'!AC10)</f>
        <v>0</v>
      </c>
      <c r="Q11" s="695" t="str">
        <f>IF('Entries September 2026'!Z11-'Entries September 2026'!Z10&lt;1,"0",'Entries September 2026'!Z11-'Entries September 2026'!Z10)</f>
        <v>0</v>
      </c>
      <c r="R11" s="695" t="str">
        <f>IF(('Entries September 2026'!AA11-'Entries September 2026'!AA10)+('Entries September 2026'!AB11-'Entries September 2026'!AB10)&lt;1,"0",('Entries September 2026'!AA11-'Entries September 2026'!AA10)+('Entries September 2026'!AB11-'Entries September 2026'!AB10))</f>
        <v>0</v>
      </c>
      <c r="S11" s="694">
        <f t="shared" si="4"/>
        <v>0</v>
      </c>
      <c r="T11" s="694">
        <f t="shared" si="1"/>
        <v>0</v>
      </c>
      <c r="U11" s="695" t="str">
        <f>IF('Entries September 2026'!AC11-'Entries September 2026'!AC10&lt;1,"0",'Entries September 2026'!AC11-'Entries September 2026'!AC10)</f>
        <v>0</v>
      </c>
      <c r="V11" s="695" t="str">
        <f>IF('Entries September 2026'!AD11-'Entries September 2026'!AD10&lt;1,"0",'Entries September 2026'!AD11-'Entries September 2026'!AD10)</f>
        <v>0</v>
      </c>
      <c r="W11" s="695" t="str">
        <f>IF('Entries September 2026'!AE11-'Entries September 2026'!AE10&lt;1,"0",'Entries September 2026'!AE11-'Entries September 2026'!AE10)</f>
        <v>0</v>
      </c>
      <c r="X11" s="696" t="str">
        <f>IF('Entries September 2026'!AI11-'Entries September 2026'!AI10&lt;1,"0",'Entries September 2026'!AI11-'Entries September 2026'!AI10)</f>
        <v>0</v>
      </c>
      <c r="Y11" s="696" t="str">
        <f>IF('Entries September 2026'!AH11-'Entries September 2026'!AH10&lt;1,"0",'Entries September 2026'!AH11-'Entries September 2026'!AH10)</f>
        <v>0</v>
      </c>
      <c r="Z11" s="329">
        <f t="shared" si="2"/>
        <v>0</v>
      </c>
      <c r="AA11" s="330" t="str">
        <v>0</v>
      </c>
      <c r="AB11" s="331" t="str">
        <f t="shared" si="3"/>
        <v>0</v>
      </c>
    </row>
    <row r="12" spans="1:31" x14ac:dyDescent="0.2">
      <c r="A12" s="29"/>
      <c r="B12" s="693">
        <v>6</v>
      </c>
      <c r="C12" s="694" t="str">
        <f>IF('Entries September 2026'!W12-'Entries September 2026'!W11&lt;1,"0",'Entries September 2026'!W12-'Entries September 2026'!W11)</f>
        <v>0</v>
      </c>
      <c r="D12" s="695" t="str">
        <f>IF('Entries September 2026'!O12-'Entries September 2026'!O11&lt;1,"0",'Entries September 2026'!O12-'Entries September 2026'!O11)</f>
        <v>0</v>
      </c>
      <c r="E12" s="695" t="str">
        <f>IF('Entries September 2026'!P12-'Entries September 2026'!P11&lt;1,"0",'Entries September 2026'!P12-'Entries September 2026'!P11)</f>
        <v>0</v>
      </c>
      <c r="F12" s="695" t="str">
        <f>IF('Entries September 2026'!V12-'Entries September 2026'!V11&lt;1,"0",'Entries September 2026'!V12-'Entries September 2026'!V11)</f>
        <v>0</v>
      </c>
      <c r="G12" s="695">
        <f t="shared" si="0"/>
        <v>0</v>
      </c>
      <c r="H12" s="695">
        <f>IF('Entries September 2026'!Q12-'Entries September 2026'!Q11&lt;1,0,'Entries September 2026'!Q12-'Entries September 2026'!Q11)</f>
        <v>36</v>
      </c>
      <c r="I12" s="695">
        <f>IF('Entries September 2026'!AG12-'Entries September 2026'!AG11&lt;1,0,'Entries September 2026'!AG12-'Entries September 2026'!AG11)</f>
        <v>0</v>
      </c>
      <c r="J12" s="695" t="str">
        <f>IF('Entries September 2026'!S12-'Entries September 2026'!S11&lt;1,"0",'Entries September 2026'!S12-'Entries September 2026'!S11)</f>
        <v>0</v>
      </c>
      <c r="K12" s="695" t="str">
        <f>IF('Entries September 2026'!R12-'Entries September 2026'!R11&lt;1,"0",'Entries September 2026'!R12-'Entries September 2026'!R11)</f>
        <v>0</v>
      </c>
      <c r="L12" s="695" t="str">
        <f>IF('Entries September 2026'!T12-'Entries September 2026'!T11&lt;1,"0",'Entries September 2026'!T12-'Entries September 2026'!T11)</f>
        <v>0</v>
      </c>
      <c r="M12" s="695" t="str">
        <f>IF('Entries September 2026'!U12-'Entries September 2026'!U11&lt;1,"0",'Entries September 2026'!U12-'Entries September 2026'!U11)</f>
        <v>0</v>
      </c>
      <c r="N12" s="695" t="str">
        <f>IF('Entries September 2026'!X12-'Entries September 2026'!X11&lt;1,"0",'Entries September 2026'!X12-'Entries September 2026'!X11)</f>
        <v>0</v>
      </c>
      <c r="O12" s="695" t="str">
        <f>IF('Entries September 2026'!Y12-'Entries September 2026'!Y11&lt;1,"0",'Entries September 2026'!Y12-'Entries September 2026'!Y11)</f>
        <v>0</v>
      </c>
      <c r="P12" s="695" t="str">
        <f>IF('Entries September 2026'!AC12-'Entries September 2026'!AC11&lt;1,"0",'Entries September 2026'!AC12-'Entries September 2026'!AC11)</f>
        <v>0</v>
      </c>
      <c r="Q12" s="695" t="str">
        <f>IF('Entries September 2026'!Z12-'Entries September 2026'!Z11&lt;1,"0",'Entries September 2026'!Z12-'Entries September 2026'!Z11)</f>
        <v>0</v>
      </c>
      <c r="R12" s="695" t="str">
        <f>IF(('Entries September 2026'!AA12-'Entries September 2026'!AA11)+('Entries September 2026'!AB12-'Entries September 2026'!AB11)&lt;1,"0",('Entries September 2026'!AA12-'Entries September 2026'!AA11)+('Entries September 2026'!AB12-'Entries September 2026'!AB11))</f>
        <v>0</v>
      </c>
      <c r="S12" s="694">
        <f t="shared" si="4"/>
        <v>0</v>
      </c>
      <c r="T12" s="694">
        <f t="shared" si="1"/>
        <v>0</v>
      </c>
      <c r="U12" s="695" t="str">
        <f>IF('Entries September 2026'!AC12-'Entries September 2026'!AC11&lt;1,"0",'Entries September 2026'!AC12-'Entries September 2026'!AC11)</f>
        <v>0</v>
      </c>
      <c r="V12" s="695" t="str">
        <f>IF('Entries September 2026'!AD12-'Entries September 2026'!AD11&lt;1,"0",'Entries September 2026'!AD12-'Entries September 2026'!AD11)</f>
        <v>0</v>
      </c>
      <c r="W12" s="695" t="str">
        <f>IF('Entries September 2026'!AE12-'Entries September 2026'!AE11&lt;1,"0",'Entries September 2026'!AE12-'Entries September 2026'!AE11)</f>
        <v>0</v>
      </c>
      <c r="X12" s="696" t="str">
        <f>IF('Entries September 2026'!AI12-'Entries September 2026'!AI11&lt;1,"0",'Entries September 2026'!AI12-'Entries September 2026'!AI11)</f>
        <v>0</v>
      </c>
      <c r="Y12" s="696" t="str">
        <f>IF('Entries September 2026'!AH12-'Entries September 2026'!AH11&lt;1,"0",'Entries September 2026'!AH12-'Entries September 2026'!AH11)</f>
        <v>0</v>
      </c>
      <c r="Z12" s="329">
        <f t="shared" si="2"/>
        <v>0</v>
      </c>
      <c r="AA12" s="330" t="str">
        <v>0</v>
      </c>
      <c r="AB12" s="331" t="str">
        <f t="shared" si="3"/>
        <v>0</v>
      </c>
      <c r="AE12" s="8" t="s">
        <v>55</v>
      </c>
    </row>
    <row r="13" spans="1:31" x14ac:dyDescent="0.2">
      <c r="A13" s="29"/>
      <c r="B13" s="693">
        <v>7</v>
      </c>
      <c r="C13" s="694" t="str">
        <f>IF('Entries September 2026'!W13-'Entries September 2026'!W12&lt;1,"0",'Entries September 2026'!W13-'Entries September 2026'!W12)</f>
        <v>0</v>
      </c>
      <c r="D13" s="695">
        <f>IF('Entries September 2026'!O13-'Entries September 2026'!O12&lt;1,"0",'Entries September 2026'!O13-'Entries September 2026'!O12)</f>
        <v>69</v>
      </c>
      <c r="E13" s="695">
        <f>IF('Entries September 2026'!P13-'Entries September 2026'!P12&lt;1,"0",'Entries September 2026'!P13-'Entries September 2026'!P12)</f>
        <v>155</v>
      </c>
      <c r="F13" s="695">
        <f>IF('Entries September 2026'!V13-'Entries September 2026'!V12&lt;1,"0",'Entries September 2026'!V13-'Entries September 2026'!V12)</f>
        <v>163</v>
      </c>
      <c r="G13" s="695">
        <f t="shared" si="0"/>
        <v>61</v>
      </c>
      <c r="H13" s="695">
        <f>IF('Entries September 2026'!Q13-'Entries September 2026'!Q12&lt;1,0,'Entries September 2026'!Q13-'Entries September 2026'!Q12)</f>
        <v>126</v>
      </c>
      <c r="I13" s="695">
        <f>IF('Entries September 2026'!AG13-'Entries September 2026'!AG12&lt;1,0,'Entries September 2026'!AG13-'Entries September 2026'!AG12)</f>
        <v>0</v>
      </c>
      <c r="J13" s="695">
        <f>IF('Entries September 2026'!S13-'Entries September 2026'!S12&lt;1,"0",'Entries September 2026'!S13-'Entries September 2026'!S12)</f>
        <v>185</v>
      </c>
      <c r="K13" s="695" t="str">
        <f>IF('Entries September 2026'!R13-'Entries September 2026'!R12&lt;1,"0",'Entries September 2026'!R13-'Entries September 2026'!R12)</f>
        <v>0</v>
      </c>
      <c r="L13" s="695" t="str">
        <f>IF('Entries September 2026'!T13-'Entries September 2026'!T12&lt;1,"0",'Entries September 2026'!T13-'Entries September 2026'!T12)</f>
        <v>0</v>
      </c>
      <c r="M13" s="695" t="str">
        <f>IF('Entries September 2026'!U13-'Entries September 2026'!U12&lt;1,"0",'Entries September 2026'!U13-'Entries September 2026'!U12)</f>
        <v>0</v>
      </c>
      <c r="N13" s="695">
        <f>IF('Entries September 2026'!X13-'Entries September 2026'!X12&lt;1,"0",'Entries September 2026'!X13-'Entries September 2026'!X12)</f>
        <v>50</v>
      </c>
      <c r="O13" s="695">
        <f>IF('Entries September 2026'!Y13-'Entries September 2026'!Y12&lt;1,"0",'Entries September 2026'!Y13-'Entries September 2026'!Y12)</f>
        <v>30</v>
      </c>
      <c r="P13" s="695">
        <f>IF('Entries September 2026'!AC13-'Entries September 2026'!AC12&lt;1,"0",'Entries September 2026'!AC13-'Entries September 2026'!AC12)</f>
        <v>1</v>
      </c>
      <c r="Q13" s="695">
        <f>IF('Entries September 2026'!Z13-'Entries September 2026'!Z12&lt;1,"0",'Entries September 2026'!Z13-'Entries September 2026'!Z12)</f>
        <v>16</v>
      </c>
      <c r="R13" s="695" t="str">
        <f>IF(('Entries September 2026'!AA13-'Entries September 2026'!AA12)+('Entries September 2026'!AB13-'Entries September 2026'!AB12)&lt;1,"0",('Entries September 2026'!AA13-'Entries September 2026'!AA12)+('Entries September 2026'!AB13-'Entries September 2026'!AB12))</f>
        <v>0</v>
      </c>
      <c r="S13" s="694">
        <f t="shared" si="4"/>
        <v>610</v>
      </c>
      <c r="T13" s="694">
        <f t="shared" si="1"/>
        <v>80</v>
      </c>
      <c r="U13" s="695">
        <f>IF('Entries September 2026'!AC13-'Entries September 2026'!AC12&lt;1,"0",'Entries September 2026'!AC13-'Entries September 2026'!AC12)</f>
        <v>1</v>
      </c>
      <c r="V13" s="695" t="str">
        <f>IF('Entries September 2026'!AD13-'Entries September 2026'!AD12&lt;1,"0",'Entries September 2026'!AD13-'Entries September 2026'!AD12)</f>
        <v>0</v>
      </c>
      <c r="W13" s="695" t="str">
        <f>IF('Entries September 2026'!AE13-'Entries September 2026'!AE12&lt;1,"0",'Entries September 2026'!AE13-'Entries September 2026'!AE12)</f>
        <v>0</v>
      </c>
      <c r="X13" s="696" t="str">
        <f>IF('Entries September 2026'!AI13-'Entries September 2026'!AI12&lt;1,"0",'Entries September 2026'!AI13-'Entries September 2026'!AI12)</f>
        <v>0</v>
      </c>
      <c r="Y13" s="696" t="str">
        <f>IF('Entries September 2026'!AH13-'Entries September 2026'!AH12&lt;1,"0",'Entries September 2026'!AH13-'Entries September 2026'!AH12)</f>
        <v>0</v>
      </c>
      <c r="Z13" s="329">
        <f t="shared" si="2"/>
        <v>224</v>
      </c>
      <c r="AA13" s="330" t="str">
        <v>0</v>
      </c>
      <c r="AB13" s="331" t="str">
        <f t="shared" si="3"/>
        <v>0</v>
      </c>
    </row>
    <row r="14" spans="1:31" x14ac:dyDescent="0.2">
      <c r="B14" s="693">
        <v>8</v>
      </c>
      <c r="C14" s="694" t="str">
        <f>IF('Entries September 2026'!W14-'Entries September 2026'!W13&lt;1,"0",'Entries September 2026'!W14-'Entries September 2026'!W13)</f>
        <v>0</v>
      </c>
      <c r="D14" s="695">
        <f>IF('Entries September 2026'!O14-'Entries September 2026'!O13&lt;1,"0",'Entries September 2026'!O14-'Entries September 2026'!O13)</f>
        <v>227</v>
      </c>
      <c r="E14" s="695">
        <f>IF('Entries September 2026'!P14-'Entries September 2026'!P13&lt;1,"0",'Entries September 2026'!P14-'Entries September 2026'!P13)</f>
        <v>138</v>
      </c>
      <c r="F14" s="695">
        <f>IF('Entries September 2026'!V14-'Entries September 2026'!V13&lt;1,"0",'Entries September 2026'!V14-'Entries September 2026'!V13)</f>
        <v>144</v>
      </c>
      <c r="G14" s="695">
        <f t="shared" si="0"/>
        <v>221</v>
      </c>
      <c r="H14" s="695">
        <f>IF('Entries September 2026'!Q14-'Entries September 2026'!Q13&lt;1,0,'Entries September 2026'!Q14-'Entries September 2026'!Q13)</f>
        <v>219</v>
      </c>
      <c r="I14" s="695">
        <f>IF('Entries September 2026'!AG14-'Entries September 2026'!AG13&lt;1,0,'Entries September 2026'!AG14-'Entries September 2026'!AG13)</f>
        <v>0</v>
      </c>
      <c r="J14" s="695">
        <f>IF('Entries September 2026'!S14-'Entries September 2026'!S13&lt;1,"0",'Entries September 2026'!S14-'Entries September 2026'!S13)</f>
        <v>115</v>
      </c>
      <c r="K14" s="695" t="str">
        <f>IF('Entries September 2026'!R14-'Entries September 2026'!R13&lt;1,"0",'Entries September 2026'!R14-'Entries September 2026'!R13)</f>
        <v>0</v>
      </c>
      <c r="L14" s="695" t="str">
        <f>IF('Entries September 2026'!T14-'Entries September 2026'!T13&lt;1,"0",'Entries September 2026'!T14-'Entries September 2026'!T13)</f>
        <v>0</v>
      </c>
      <c r="M14" s="695">
        <f>IF('Entries September 2026'!U14-'Entries September 2026'!U13&lt;1,"0",'Entries September 2026'!U14-'Entries September 2026'!U13)</f>
        <v>18</v>
      </c>
      <c r="N14" s="695">
        <f>IF('Entries September 2026'!X14-'Entries September 2026'!X13&lt;1,"0",'Entries September 2026'!X14-'Entries September 2026'!X13)</f>
        <v>27</v>
      </c>
      <c r="O14" s="695">
        <f>IF('Entries September 2026'!Y14-'Entries September 2026'!Y13&lt;1,"0",'Entries September 2026'!Y14-'Entries September 2026'!Y13)</f>
        <v>84</v>
      </c>
      <c r="P14" s="695">
        <f>IF('Entries September 2026'!AC14-'Entries September 2026'!AC13&lt;1,"0",'Entries September 2026'!AC14-'Entries September 2026'!AC13)</f>
        <v>15</v>
      </c>
      <c r="Q14" s="695">
        <f>IF('Entries September 2026'!Z14-'Entries September 2026'!Z13&lt;1,"0",'Entries September 2026'!Z14-'Entries September 2026'!Z13)</f>
        <v>33</v>
      </c>
      <c r="R14" s="695" t="str">
        <f>IF(('Entries September 2026'!AA14-'Entries September 2026'!AA13)+('Entries September 2026'!AB14-'Entries September 2026'!AB13)&lt;1,"0",('Entries September 2026'!AA14-'Entries September 2026'!AA13)+('Entries September 2026'!AB14-'Entries September 2026'!AB13))</f>
        <v>0</v>
      </c>
      <c r="S14" s="694">
        <f t="shared" si="4"/>
        <v>2210</v>
      </c>
      <c r="T14" s="694">
        <f t="shared" si="1"/>
        <v>129</v>
      </c>
      <c r="U14" s="695">
        <f>IF('Entries September 2026'!AC14-'Entries September 2026'!AC13&lt;1,"0",'Entries September 2026'!AC14-'Entries September 2026'!AC13)</f>
        <v>15</v>
      </c>
      <c r="V14" s="695" t="str">
        <f>IF('Entries September 2026'!AD14-'Entries September 2026'!AD13&lt;1,"0",'Entries September 2026'!AD14-'Entries September 2026'!AD13)</f>
        <v>0</v>
      </c>
      <c r="W14" s="695" t="str">
        <f>IF('Entries September 2026'!AE14-'Entries September 2026'!AE13&lt;1,"0",'Entries September 2026'!AE14-'Entries September 2026'!AE13)</f>
        <v>0</v>
      </c>
      <c r="X14" s="696" t="str">
        <f>IF('Entries September 2026'!AI14-'Entries September 2026'!AI13&lt;1,"0",'Entries September 2026'!AI14-'Entries September 2026'!AI13)</f>
        <v>0</v>
      </c>
      <c r="Y14" s="696" t="str">
        <f>IF('Entries September 2026'!AH14-'Entries September 2026'!AH13&lt;1,"0",'Entries September 2026'!AH14-'Entries September 2026'!AH13)</f>
        <v>0</v>
      </c>
      <c r="Z14" s="329">
        <f t="shared" si="2"/>
        <v>365</v>
      </c>
      <c r="AA14" s="330">
        <v>261.49200000000002</v>
      </c>
      <c r="AB14" s="331">
        <f t="shared" si="3"/>
        <v>13.958362014899116</v>
      </c>
    </row>
    <row r="15" spans="1:31" x14ac:dyDescent="0.2">
      <c r="B15" s="693">
        <v>9</v>
      </c>
      <c r="C15" s="694" t="str">
        <f>IF('Entries September 2026'!W15-'Entries September 2026'!W14&lt;1,"0",'Entries September 2026'!W15-'Entries September 2026'!W14)</f>
        <v>0</v>
      </c>
      <c r="D15" s="695">
        <f>IF('Entries September 2026'!O15-'Entries September 2026'!O14&lt;1,"0",'Entries September 2026'!O15-'Entries September 2026'!O14)</f>
        <v>249</v>
      </c>
      <c r="E15" s="695">
        <f>IF('Entries September 2026'!P15-'Entries September 2026'!P14&lt;1,"0",'Entries September 2026'!P15-'Entries September 2026'!P14)</f>
        <v>238</v>
      </c>
      <c r="F15" s="695">
        <f>IF('Entries September 2026'!V15-'Entries September 2026'!V14&lt;1,"0",'Entries September 2026'!V15-'Entries September 2026'!V14)</f>
        <v>231</v>
      </c>
      <c r="G15" s="695">
        <f t="shared" si="0"/>
        <v>256</v>
      </c>
      <c r="H15" s="695">
        <f>IF('Entries September 2026'!Q15-'Entries September 2026'!Q14&lt;1,0,'Entries September 2026'!Q15-'Entries September 2026'!Q14)</f>
        <v>210</v>
      </c>
      <c r="I15" s="695">
        <f>IF('Entries September 2026'!AG15-'Entries September 2026'!AG14&lt;1,0,'Entries September 2026'!AG15-'Entries September 2026'!AG14)</f>
        <v>0</v>
      </c>
      <c r="J15" s="695">
        <f>IF('Entries September 2026'!S15-'Entries September 2026'!S14&lt;1,"0",'Entries September 2026'!S15-'Entries September 2026'!S14)</f>
        <v>196</v>
      </c>
      <c r="K15" s="695" t="str">
        <f>IF('Entries September 2026'!R15-'Entries September 2026'!R14&lt;1,"0",'Entries September 2026'!R15-'Entries September 2026'!R14)</f>
        <v>0</v>
      </c>
      <c r="L15" s="695" t="str">
        <f>IF('Entries September 2026'!T15-'Entries September 2026'!T14&lt;1,"0",'Entries September 2026'!T15-'Entries September 2026'!T14)</f>
        <v>0</v>
      </c>
      <c r="M15" s="695">
        <f>IF('Entries September 2026'!U15-'Entries September 2026'!U14&lt;1,"0",'Entries September 2026'!U15-'Entries September 2026'!U14)</f>
        <v>2</v>
      </c>
      <c r="N15" s="695">
        <f>IF('Entries September 2026'!X15-'Entries September 2026'!X14&lt;1,"0",'Entries September 2026'!X15-'Entries September 2026'!X14)</f>
        <v>36</v>
      </c>
      <c r="O15" s="695">
        <f>IF('Entries September 2026'!Y15-'Entries September 2026'!Y14&lt;1,"0",'Entries September 2026'!Y15-'Entries September 2026'!Y14)</f>
        <v>101</v>
      </c>
      <c r="P15" s="695">
        <f>IF('Entries September 2026'!AC15-'Entries September 2026'!AC14&lt;1,"0",'Entries September 2026'!AC15-'Entries September 2026'!AC14)</f>
        <v>16</v>
      </c>
      <c r="Q15" s="695">
        <f>IF('Entries September 2026'!Z15-'Entries September 2026'!Z14&lt;1,"0",'Entries September 2026'!Z15-'Entries September 2026'!Z14)</f>
        <v>27</v>
      </c>
      <c r="R15" s="695" t="str">
        <f>IF(('Entries September 2026'!AA15-'Entries September 2026'!AA14)+('Entries September 2026'!AB15-'Entries September 2026'!AB14)&lt;1,"0",('Entries September 2026'!AA15-'Entries September 2026'!AA14)+('Entries September 2026'!AB15-'Entries September 2026'!AB14))</f>
        <v>0</v>
      </c>
      <c r="S15" s="694">
        <f t="shared" si="4"/>
        <v>2560</v>
      </c>
      <c r="T15" s="694">
        <f t="shared" si="1"/>
        <v>139</v>
      </c>
      <c r="U15" s="695">
        <f>IF('Entries September 2026'!AC15-'Entries September 2026'!AC14&lt;1,"0",'Entries September 2026'!AC15-'Entries September 2026'!AC14)</f>
        <v>16</v>
      </c>
      <c r="V15" s="695" t="str">
        <f>IF('Entries September 2026'!AD15-'Entries September 2026'!AD14&lt;1,"0",'Entries September 2026'!AD15-'Entries September 2026'!AD14)</f>
        <v>0</v>
      </c>
      <c r="W15" s="695" t="str">
        <f>IF('Entries September 2026'!AE15-'Entries September 2026'!AE14&lt;1,"0",'Entries September 2026'!AE15-'Entries September 2026'!AE14)</f>
        <v>0</v>
      </c>
      <c r="X15" s="696" t="str">
        <f>IF('Entries September 2026'!AI15-'Entries September 2026'!AI14&lt;1,"0",'Entries September 2026'!AI15-'Entries September 2026'!AI14)</f>
        <v>0</v>
      </c>
      <c r="Y15" s="696" t="str">
        <f>IF('Entries September 2026'!AH15-'Entries September 2026'!AH14&lt;1,"0",'Entries September 2026'!AH15-'Entries September 2026'!AH14)</f>
        <v>0</v>
      </c>
      <c r="Z15" s="329">
        <f t="shared" si="2"/>
        <v>487</v>
      </c>
      <c r="AA15" s="330">
        <v>401.61</v>
      </c>
      <c r="AB15" s="331">
        <f t="shared" si="3"/>
        <v>12.126192076890515</v>
      </c>
    </row>
    <row r="16" spans="1:31" x14ac:dyDescent="0.2">
      <c r="B16" s="693">
        <v>10</v>
      </c>
      <c r="C16" s="694" t="str">
        <f>IF('Entries September 2026'!W16-'Entries September 2026'!W15&lt;1,"0",'Entries September 2026'!W16-'Entries September 2026'!W15)</f>
        <v>0</v>
      </c>
      <c r="D16" s="695">
        <f>IF('Entries September 2026'!O16-'Entries September 2026'!O15&lt;1,"0",'Entries September 2026'!O16-'Entries September 2026'!O15)</f>
        <v>81</v>
      </c>
      <c r="E16" s="695">
        <f>IF('Entries September 2026'!P16-'Entries September 2026'!P15&lt;1,"0",'Entries September 2026'!P16-'Entries September 2026'!P15)</f>
        <v>260</v>
      </c>
      <c r="F16" s="695">
        <f>IF('Entries September 2026'!V16-'Entries September 2026'!V15&lt;1,"0",'Entries September 2026'!V16-'Entries September 2026'!V15)</f>
        <v>306</v>
      </c>
      <c r="G16" s="695">
        <f t="shared" si="0"/>
        <v>35</v>
      </c>
      <c r="H16" s="695">
        <f>IF('Entries September 2026'!Q16-'Entries September 2026'!Q15&lt;1,0,'Entries September 2026'!Q16-'Entries September 2026'!Q15)</f>
        <v>186</v>
      </c>
      <c r="I16" s="695">
        <f>IF('Entries September 2026'!AG16-'Entries September 2026'!AG15&lt;1,0,'Entries September 2026'!AG16-'Entries September 2026'!AG15)</f>
        <v>0</v>
      </c>
      <c r="J16" s="695">
        <f>IF('Entries September 2026'!S16-'Entries September 2026'!S15&lt;1,"0",'Entries September 2026'!S16-'Entries September 2026'!S15)</f>
        <v>104</v>
      </c>
      <c r="K16" s="695" t="str">
        <f>IF('Entries September 2026'!R16-'Entries September 2026'!R15&lt;1,"0",'Entries September 2026'!R16-'Entries September 2026'!R15)</f>
        <v>0</v>
      </c>
      <c r="L16" s="695" t="str">
        <f>IF('Entries September 2026'!T16-'Entries September 2026'!T15&lt;1,"0",'Entries September 2026'!T16-'Entries September 2026'!T15)</f>
        <v>0</v>
      </c>
      <c r="M16" s="695">
        <f>IF('Entries September 2026'!U16-'Entries September 2026'!U15&lt;1,"0",'Entries September 2026'!U16-'Entries September 2026'!U15)</f>
        <v>6</v>
      </c>
      <c r="N16" s="695">
        <f>IF('Entries September 2026'!X16-'Entries September 2026'!X15&lt;1,"0",'Entries September 2026'!X16-'Entries September 2026'!X15)</f>
        <v>17</v>
      </c>
      <c r="O16" s="695">
        <f>IF('Entries September 2026'!Y16-'Entries September 2026'!Y15&lt;1,"0",'Entries September 2026'!Y16-'Entries September 2026'!Y15)</f>
        <v>91</v>
      </c>
      <c r="P16" s="695">
        <f>IF('Entries September 2026'!AC16-'Entries September 2026'!AC15&lt;1,"0",'Entries September 2026'!AC16-'Entries September 2026'!AC15)</f>
        <v>16</v>
      </c>
      <c r="Q16" s="695">
        <f>IF('Entries September 2026'!Z16-'Entries September 2026'!Z15&lt;1,"0",'Entries September 2026'!Z16-'Entries September 2026'!Z15)</f>
        <v>18</v>
      </c>
      <c r="R16" s="695" t="str">
        <f>IF(('Entries September 2026'!AA16-'Entries September 2026'!AA15)+('Entries September 2026'!AB16-'Entries September 2026'!AB15)&lt;1,"0",('Entries September 2026'!AA16-'Entries September 2026'!AA15)+('Entries September 2026'!AB16-'Entries September 2026'!AB15))</f>
        <v>0</v>
      </c>
      <c r="S16" s="694">
        <f t="shared" si="4"/>
        <v>350</v>
      </c>
      <c r="T16" s="694">
        <f t="shared" si="1"/>
        <v>114</v>
      </c>
      <c r="U16" s="695">
        <f>IF('Entries September 2026'!AC16-'Entries September 2026'!AC15&lt;1,"0",'Entries September 2026'!AC16-'Entries September 2026'!AC15)</f>
        <v>16</v>
      </c>
      <c r="V16" s="695" t="str">
        <f>IF('Entries September 2026'!AD16-'Entries September 2026'!AD15&lt;1,"0",'Entries September 2026'!AD16-'Entries September 2026'!AD15)</f>
        <v>0</v>
      </c>
      <c r="W16" s="695" t="str">
        <f>IF('Entries September 2026'!AE16-'Entries September 2026'!AE15&lt;1,"0",'Entries September 2026'!AE16-'Entries September 2026'!AE15)</f>
        <v>0</v>
      </c>
      <c r="X16" s="696" t="str">
        <f>IF('Entries September 2026'!AI16-'Entries September 2026'!AI15&lt;1,"0",'Entries September 2026'!AI16-'Entries September 2026'!AI15)</f>
        <v>0</v>
      </c>
      <c r="Y16" s="696" t="str">
        <f>IF('Entries September 2026'!AH16-'Entries September 2026'!AH15&lt;1,"0",'Entries September 2026'!AH16-'Entries September 2026'!AH15)</f>
        <v>0</v>
      </c>
      <c r="Z16" s="329">
        <f t="shared" si="2"/>
        <v>341</v>
      </c>
      <c r="AA16" s="330">
        <v>402.86400000000003</v>
      </c>
      <c r="AB16" s="331">
        <f t="shared" si="3"/>
        <v>8.46439493228484</v>
      </c>
    </row>
    <row r="17" spans="1:32" x14ac:dyDescent="0.2">
      <c r="B17" s="693">
        <v>11</v>
      </c>
      <c r="C17" s="694" t="str">
        <f>IF('Entries September 2026'!W17-'Entries September 2026'!W16&lt;1,"0",'Entries September 2026'!W17-'Entries September 2026'!W16)</f>
        <v>0</v>
      </c>
      <c r="D17" s="695">
        <f>IF('Entries September 2026'!O17-'Entries September 2026'!O16&lt;1,"0",'Entries September 2026'!O17-'Entries September 2026'!O16)</f>
        <v>53</v>
      </c>
      <c r="E17" s="695">
        <f>IF('Entries September 2026'!P17-'Entries September 2026'!P16&lt;1,"0",'Entries September 2026'!P17-'Entries September 2026'!P16)</f>
        <v>249</v>
      </c>
      <c r="F17" s="695">
        <f>IF('Entries September 2026'!V17-'Entries September 2026'!V16&lt;1,"0",'Entries September 2026'!V17-'Entries September 2026'!V16)</f>
        <v>248</v>
      </c>
      <c r="G17" s="695">
        <f t="shared" si="0"/>
        <v>54</v>
      </c>
      <c r="H17" s="695">
        <f>IF('Entries September 2026'!Q17-'Entries September 2026'!Q16&lt;1,0,'Entries September 2026'!Q17-'Entries September 2026'!Q16)</f>
        <v>173</v>
      </c>
      <c r="I17" s="695">
        <f>IF('Entries September 2026'!AG17-'Entries September 2026'!AG16&lt;1,0,'Entries September 2026'!AG17-'Entries September 2026'!AG16)</f>
        <v>0</v>
      </c>
      <c r="J17" s="695">
        <f>IF('Entries September 2026'!S17-'Entries September 2026'!S16&lt;1,"0",'Entries September 2026'!S17-'Entries September 2026'!S16)</f>
        <v>141</v>
      </c>
      <c r="K17" s="695" t="str">
        <f>IF('Entries September 2026'!R17-'Entries September 2026'!R16&lt;1,"0",'Entries September 2026'!R17-'Entries September 2026'!R16)</f>
        <v>0</v>
      </c>
      <c r="L17" s="695" t="str">
        <f>IF('Entries September 2026'!T17-'Entries September 2026'!T16&lt;1,"0",'Entries September 2026'!T17-'Entries September 2026'!T16)</f>
        <v>0</v>
      </c>
      <c r="M17" s="695">
        <f>IF('Entries September 2026'!U17-'Entries September 2026'!U16&lt;1,"0",'Entries September 2026'!U17-'Entries September 2026'!U16)</f>
        <v>2</v>
      </c>
      <c r="N17" s="695">
        <f>IF('Entries September 2026'!X17-'Entries September 2026'!X16&lt;1,"0",'Entries September 2026'!X17-'Entries September 2026'!X16)</f>
        <v>29</v>
      </c>
      <c r="O17" s="695">
        <f>IF('Entries September 2026'!Y17-'Entries September 2026'!Y16&lt;1,"0",'Entries September 2026'!Y17-'Entries September 2026'!Y16)</f>
        <v>69</v>
      </c>
      <c r="P17" s="695">
        <f>IF('Entries September 2026'!AC17-'Entries September 2026'!AC16&lt;1,"0",'Entries September 2026'!AC17-'Entries September 2026'!AC16)</f>
        <v>13</v>
      </c>
      <c r="Q17" s="695">
        <f>IF('Entries September 2026'!Z17-'Entries September 2026'!Z16&lt;1,"0",'Entries September 2026'!Z17-'Entries September 2026'!Z16)</f>
        <v>17</v>
      </c>
      <c r="R17" s="695" t="str">
        <f>IF(('Entries September 2026'!AA17-'Entries September 2026'!AA16)+('Entries September 2026'!AB17-'Entries September 2026'!AB16)&lt;1,"0",('Entries September 2026'!AA17-'Entries September 2026'!AA16)+('Entries September 2026'!AB17-'Entries September 2026'!AB16))</f>
        <v>0</v>
      </c>
      <c r="S17" s="694">
        <f t="shared" si="4"/>
        <v>540</v>
      </c>
      <c r="T17" s="694">
        <f t="shared" si="1"/>
        <v>100</v>
      </c>
      <c r="U17" s="695">
        <f>IF('Entries September 2026'!AC17-'Entries September 2026'!AC16&lt;1,"0",'Entries September 2026'!AC17-'Entries September 2026'!AC16)</f>
        <v>13</v>
      </c>
      <c r="V17" s="695" t="str">
        <f>IF('Entries September 2026'!AD17-'Entries September 2026'!AD16&lt;1,"0",'Entries September 2026'!AD17-'Entries September 2026'!AD16)</f>
        <v>0</v>
      </c>
      <c r="W17" s="695" t="str">
        <f>IF('Entries September 2026'!AE17-'Entries September 2026'!AE16&lt;1,"0",'Entries September 2026'!AE17-'Entries September 2026'!AE16)</f>
        <v>0</v>
      </c>
      <c r="X17" s="696" t="str">
        <f>IF('Entries September 2026'!AI17-'Entries September 2026'!AI16&lt;1,"0",'Entries September 2026'!AI17-'Entries September 2026'!AI16)</f>
        <v>0</v>
      </c>
      <c r="Y17" s="696" t="str">
        <f>IF('Entries September 2026'!AH17-'Entries September 2026'!AH16&lt;1,"0",'Entries September 2026'!AH17-'Entries September 2026'!AH16)</f>
        <v>0</v>
      </c>
      <c r="Z17" s="329">
        <f t="shared" si="2"/>
        <v>302</v>
      </c>
      <c r="AA17" s="330">
        <v>266.24400000000003</v>
      </c>
      <c r="AB17" s="331">
        <f t="shared" si="3"/>
        <v>11.342978621114465</v>
      </c>
    </row>
    <row r="18" spans="1:32" x14ac:dyDescent="0.2">
      <c r="B18" s="693">
        <v>12</v>
      </c>
      <c r="C18" s="694" t="str">
        <f>IF('Entries September 2026'!W18-'Entries September 2026'!W17&lt;1,"0",'Entries September 2026'!W18-'Entries September 2026'!W17)</f>
        <v>0</v>
      </c>
      <c r="D18" s="695">
        <f>IF('Entries September 2026'!O18-'Entries September 2026'!O17&lt;1,"0",'Entries September 2026'!O18-'Entries September 2026'!O17)</f>
        <v>41</v>
      </c>
      <c r="E18" s="695">
        <f>IF('Entries September 2026'!P18-'Entries September 2026'!P17&lt;1,"0",'Entries September 2026'!P18-'Entries September 2026'!P17)</f>
        <v>125</v>
      </c>
      <c r="F18" s="695">
        <f>IF('Entries September 2026'!V18-'Entries September 2026'!V17&lt;1,"0",'Entries September 2026'!V18-'Entries September 2026'!V17)</f>
        <v>131</v>
      </c>
      <c r="G18" s="695">
        <f t="shared" si="0"/>
        <v>35</v>
      </c>
      <c r="H18" s="695">
        <f>IF('Entries September 2026'!Q18-'Entries September 2026'!Q17&lt;1,0,'Entries September 2026'!Q18-'Entries September 2026'!Q17)</f>
        <v>81</v>
      </c>
      <c r="I18" s="695">
        <f>IF('Entries September 2026'!AG18-'Entries September 2026'!AG17&lt;1,0,'Entries September 2026'!AG18-'Entries September 2026'!AG17)</f>
        <v>0</v>
      </c>
      <c r="J18" s="695" t="str">
        <f>IF('Entries September 2026'!S18-'Entries September 2026'!S17&lt;1,"0",'Entries September 2026'!S18-'Entries September 2026'!S17)</f>
        <v>0</v>
      </c>
      <c r="K18" s="695" t="str">
        <f>IF('Entries September 2026'!R18-'Entries September 2026'!R17&lt;1,"0",'Entries September 2026'!R18-'Entries September 2026'!R17)</f>
        <v>0</v>
      </c>
      <c r="L18" s="695" t="str">
        <f>IF('Entries September 2026'!T18-'Entries September 2026'!T17&lt;1,"0",'Entries September 2026'!T18-'Entries September 2026'!T17)</f>
        <v>0</v>
      </c>
      <c r="M18" s="695" t="str">
        <f>IF('Entries September 2026'!U18-'Entries September 2026'!U17&lt;1,"0",'Entries September 2026'!U18-'Entries September 2026'!U17)</f>
        <v>0</v>
      </c>
      <c r="N18" s="695" t="str">
        <f>IF('Entries September 2026'!X18-'Entries September 2026'!X17&lt;1,"0",'Entries September 2026'!X18-'Entries September 2026'!X17)</f>
        <v>0</v>
      </c>
      <c r="O18" s="695">
        <f>IF('Entries September 2026'!Y18-'Entries September 2026'!Y17&lt;1,"0",'Entries September 2026'!Y18-'Entries September 2026'!Y17)</f>
        <v>31</v>
      </c>
      <c r="P18" s="695">
        <f>IF('Entries September 2026'!AC18-'Entries September 2026'!AC17&lt;1,"0",'Entries September 2026'!AC18-'Entries September 2026'!AC17)</f>
        <v>2</v>
      </c>
      <c r="Q18" s="695">
        <f>IF('Entries September 2026'!Z18-'Entries September 2026'!Z17&lt;1,"0",'Entries September 2026'!Z18-'Entries September 2026'!Z17)</f>
        <v>3</v>
      </c>
      <c r="R18" s="695" t="str">
        <f>IF(('Entries September 2026'!AA18-'Entries September 2026'!AA17)+('Entries September 2026'!AB18-'Entries September 2026'!AB17)&lt;1,"0",('Entries September 2026'!AA18-'Entries September 2026'!AA17)+('Entries September 2026'!AB18-'Entries September 2026'!AB17))</f>
        <v>0</v>
      </c>
      <c r="S18" s="694">
        <f t="shared" si="4"/>
        <v>350</v>
      </c>
      <c r="T18" s="694">
        <f t="shared" si="1"/>
        <v>31</v>
      </c>
      <c r="U18" s="695">
        <f>IF('Entries September 2026'!AC18-'Entries September 2026'!AC17&lt;1,"0",'Entries September 2026'!AC18-'Entries September 2026'!AC17)</f>
        <v>2</v>
      </c>
      <c r="V18" s="695" t="str">
        <f>IF('Entries September 2026'!AD18-'Entries September 2026'!AD17&lt;1,"0",'Entries September 2026'!AD18-'Entries September 2026'!AD17)</f>
        <v>0</v>
      </c>
      <c r="W18" s="695" t="str">
        <f>IF('Entries September 2026'!AE18-'Entries September 2026'!AE17&lt;1,"0",'Entries September 2026'!AE18-'Entries September 2026'!AE17)</f>
        <v>0</v>
      </c>
      <c r="X18" s="696" t="str">
        <f>IF('Entries September 2026'!AI18-'Entries September 2026'!AI17&lt;1,"0",'Entries September 2026'!AI18-'Entries September 2026'!AI17)</f>
        <v>0</v>
      </c>
      <c r="Y18" s="696" t="str">
        <f>IF('Entries September 2026'!AH18-'Entries September 2026'!AH17&lt;1,"0",'Entries September 2026'!AH18-'Entries September 2026'!AH17)</f>
        <v>0</v>
      </c>
      <c r="Z18" s="329">
        <f t="shared" si="2"/>
        <v>166</v>
      </c>
      <c r="AA18" s="330" t="str">
        <v>0</v>
      </c>
      <c r="AB18" s="331" t="str">
        <f t="shared" si="3"/>
        <v>0</v>
      </c>
    </row>
    <row r="19" spans="1:32" x14ac:dyDescent="0.2">
      <c r="A19" s="29"/>
      <c r="B19" s="693">
        <v>13</v>
      </c>
      <c r="C19" s="694" t="str">
        <f>IF('Entries September 2026'!W19-'Entries September 2026'!W18&lt;1,"0",'Entries September 2026'!W19-'Entries September 2026'!W18)</f>
        <v>0</v>
      </c>
      <c r="D19" s="695" t="str">
        <f>IF('Entries September 2026'!O19-'Entries September 2026'!O18&lt;1,"0",'Entries September 2026'!O19-'Entries September 2026'!O18)</f>
        <v>0</v>
      </c>
      <c r="E19" s="695" t="str">
        <f>IF('Entries September 2026'!P19-'Entries September 2026'!P18&lt;1,"0",'Entries September 2026'!P19-'Entries September 2026'!P18)</f>
        <v>0</v>
      </c>
      <c r="F19" s="695" t="str">
        <f>IF('Entries September 2026'!V19-'Entries September 2026'!V18&lt;1,"0",'Entries September 2026'!V19-'Entries September 2026'!V18)</f>
        <v>0</v>
      </c>
      <c r="G19" s="695">
        <f t="shared" si="0"/>
        <v>0</v>
      </c>
      <c r="H19" s="695">
        <f>IF('Entries September 2026'!Q19-'Entries September 2026'!Q18&lt;1,0,'Entries September 2026'!Q19-'Entries September 2026'!Q18)</f>
        <v>0</v>
      </c>
      <c r="I19" s="695">
        <f>IF('Entries September 2026'!AG19-'Entries September 2026'!AG18&lt;1,0,'Entries September 2026'!AG19-'Entries September 2026'!AG18)</f>
        <v>0</v>
      </c>
      <c r="J19" s="695" t="str">
        <f>IF('Entries September 2026'!S19-'Entries September 2026'!S18&lt;1,"0",'Entries September 2026'!S19-'Entries September 2026'!S18)</f>
        <v>0</v>
      </c>
      <c r="K19" s="695" t="str">
        <f>IF('Entries September 2026'!R19-'Entries September 2026'!R18&lt;1,"0",'Entries September 2026'!R19-'Entries September 2026'!R18)</f>
        <v>0</v>
      </c>
      <c r="L19" s="695" t="str">
        <f>IF('Entries September 2026'!T19-'Entries September 2026'!T18&lt;1,"0",'Entries September 2026'!T19-'Entries September 2026'!T18)</f>
        <v>0</v>
      </c>
      <c r="M19" s="695" t="str">
        <f>IF('Entries September 2026'!U19-'Entries September 2026'!U18&lt;1,"0",'Entries September 2026'!U19-'Entries September 2026'!U18)</f>
        <v>0</v>
      </c>
      <c r="N19" s="695" t="str">
        <f>IF('Entries September 2026'!X19-'Entries September 2026'!X18&lt;1,"0",'Entries September 2026'!X19-'Entries September 2026'!X18)</f>
        <v>0</v>
      </c>
      <c r="O19" s="695" t="str">
        <f>IF('Entries September 2026'!Y19-'Entries September 2026'!Y18&lt;1,"0",'Entries September 2026'!Y19-'Entries September 2026'!Y18)</f>
        <v>0</v>
      </c>
      <c r="P19" s="695" t="str">
        <f>IF('Entries September 2026'!AC19-'Entries September 2026'!AC18&lt;1,"0",'Entries September 2026'!AC19-'Entries September 2026'!AC18)</f>
        <v>0</v>
      </c>
      <c r="Q19" s="695">
        <f>IF('Entries September 2026'!Z19-'Entries September 2026'!Z18&lt;1,"0",'Entries September 2026'!Z19-'Entries September 2026'!Z18)</f>
        <v>2</v>
      </c>
      <c r="R19" s="695" t="str">
        <f>IF(('Entries September 2026'!AA19-'Entries September 2026'!AA18)+('Entries September 2026'!AB19-'Entries September 2026'!AB18)&lt;1,"0",('Entries September 2026'!AA19-'Entries September 2026'!AA18)+('Entries September 2026'!AB19-'Entries September 2026'!AB18))</f>
        <v>0</v>
      </c>
      <c r="S19" s="694">
        <f t="shared" si="4"/>
        <v>0</v>
      </c>
      <c r="T19" s="694">
        <f t="shared" si="1"/>
        <v>0</v>
      </c>
      <c r="U19" s="695" t="str">
        <f>IF('Entries September 2026'!AC19-'Entries September 2026'!AC18&lt;1,"0",'Entries September 2026'!AC19-'Entries September 2026'!AC18)</f>
        <v>0</v>
      </c>
      <c r="V19" s="695" t="str">
        <f>IF('Entries September 2026'!AD19-'Entries September 2026'!AD18&lt;1,"0",'Entries September 2026'!AD19-'Entries September 2026'!AD18)</f>
        <v>0</v>
      </c>
      <c r="W19" s="695" t="str">
        <f>IF('Entries September 2026'!AE19-'Entries September 2026'!AE18&lt;1,"0",'Entries September 2026'!AE19-'Entries September 2026'!AE18)</f>
        <v>0</v>
      </c>
      <c r="X19" s="696" t="str">
        <f>IF('Entries September 2026'!AI19-'Entries September 2026'!AI18&lt;1,"0",'Entries September 2026'!AI19-'Entries September 2026'!AI18)</f>
        <v>0</v>
      </c>
      <c r="Y19" s="696" t="str">
        <f>IF('Entries September 2026'!AH19-'Entries September 2026'!AH18&lt;1,"0",'Entries September 2026'!AH19-'Entries September 2026'!AH18)</f>
        <v>0</v>
      </c>
      <c r="Z19" s="329">
        <f t="shared" si="2"/>
        <v>0</v>
      </c>
      <c r="AA19" s="330" t="str">
        <v>0</v>
      </c>
      <c r="AB19" s="331" t="str">
        <f t="shared" si="3"/>
        <v>0</v>
      </c>
    </row>
    <row r="20" spans="1:32" x14ac:dyDescent="0.2">
      <c r="A20" s="29"/>
      <c r="B20" s="693">
        <v>14</v>
      </c>
      <c r="C20" s="694" t="str">
        <f>IF('Entries September 2026'!W20-'Entries September 2026'!W19&lt;1,"0",'Entries September 2026'!W20-'Entries September 2026'!W19)</f>
        <v>0</v>
      </c>
      <c r="D20" s="695">
        <f>IF('Entries September 2026'!O20-'Entries September 2026'!O19&lt;1,"0",'Entries September 2026'!O20-'Entries September 2026'!O19)</f>
        <v>254</v>
      </c>
      <c r="E20" s="695">
        <f>IF('Entries September 2026'!P20-'Entries September 2026'!P19&lt;1,"0",'Entries September 2026'!P20-'Entries September 2026'!P19)</f>
        <v>132</v>
      </c>
      <c r="F20" s="695">
        <f>IF('Entries September 2026'!V20-'Entries September 2026'!V19&lt;1,"0",'Entries September 2026'!V20-'Entries September 2026'!V19)</f>
        <v>139</v>
      </c>
      <c r="G20" s="695">
        <f t="shared" si="0"/>
        <v>247</v>
      </c>
      <c r="H20" s="695">
        <f>IF('Entries September 2026'!Q20-'Entries September 2026'!Q19&lt;1,0,'Entries September 2026'!Q20-'Entries September 2026'!Q19)</f>
        <v>327</v>
      </c>
      <c r="I20" s="695">
        <f>IF('Entries September 2026'!AG20-'Entries September 2026'!AG19&lt;1,0,'Entries September 2026'!AG20-'Entries September 2026'!AG19)</f>
        <v>0</v>
      </c>
      <c r="J20" s="695">
        <f>IF('Entries September 2026'!S20-'Entries September 2026'!S19&lt;1,"0",'Entries September 2026'!S20-'Entries September 2026'!S19)</f>
        <v>87</v>
      </c>
      <c r="K20" s="695" t="str">
        <f>IF('Entries September 2026'!R20-'Entries September 2026'!R19&lt;1,"0",'Entries September 2026'!R20-'Entries September 2026'!R19)</f>
        <v>0</v>
      </c>
      <c r="L20" s="695" t="str">
        <f>IF('Entries September 2026'!T20-'Entries September 2026'!T19&lt;1,"0",'Entries September 2026'!T20-'Entries September 2026'!T19)</f>
        <v>0</v>
      </c>
      <c r="M20" s="695">
        <f>IF('Entries September 2026'!U20-'Entries September 2026'!U19&lt;1,"0",'Entries September 2026'!U20-'Entries September 2026'!U19)</f>
        <v>5</v>
      </c>
      <c r="N20" s="695">
        <f>IF('Entries September 2026'!X20-'Entries September 2026'!X19&lt;1,"0",'Entries September 2026'!X20-'Entries September 2026'!X19)</f>
        <v>81</v>
      </c>
      <c r="O20" s="695">
        <f>IF('Entries September 2026'!Y20-'Entries September 2026'!Y19&lt;1,"0",'Entries September 2026'!Y20-'Entries September 2026'!Y19)</f>
        <v>148</v>
      </c>
      <c r="P20" s="695">
        <f>IF('Entries September 2026'!AC20-'Entries September 2026'!AC19&lt;1,"0",'Entries September 2026'!AC20-'Entries September 2026'!AC19)</f>
        <v>24</v>
      </c>
      <c r="Q20" s="695">
        <f>IF('Entries September 2026'!Z20-'Entries September 2026'!Z19&lt;1,"0",'Entries September 2026'!Z20-'Entries September 2026'!Z19)</f>
        <v>19</v>
      </c>
      <c r="R20" s="695" t="str">
        <f>IF(('Entries September 2026'!AA20-'Entries September 2026'!AA19)+('Entries September 2026'!AB20-'Entries September 2026'!AB19)&lt;1,"0",('Entries September 2026'!AA20-'Entries September 2026'!AA19)+('Entries September 2026'!AB20-'Entries September 2026'!AB19))</f>
        <v>0</v>
      </c>
      <c r="S20" s="694">
        <f t="shared" si="4"/>
        <v>2470</v>
      </c>
      <c r="T20" s="694">
        <f t="shared" si="1"/>
        <v>234</v>
      </c>
      <c r="U20" s="695">
        <f>IF('Entries September 2026'!AC20-'Entries September 2026'!AC19&lt;1,"0",'Entries September 2026'!AC20-'Entries September 2026'!AC19)</f>
        <v>24</v>
      </c>
      <c r="V20" s="695" t="str">
        <f>IF('Entries September 2026'!AD20-'Entries September 2026'!AD19&lt;1,"0",'Entries September 2026'!AD20-'Entries September 2026'!AD19)</f>
        <v>0</v>
      </c>
      <c r="W20" s="695" t="str">
        <f>IF('Entries September 2026'!AE20-'Entries September 2026'!AE19&lt;1,"0",'Entries September 2026'!AE20-'Entries September 2026'!AE19)</f>
        <v>0</v>
      </c>
      <c r="X20" s="696" t="str">
        <f>IF('Entries September 2026'!AI20-'Entries September 2026'!AI19&lt;1,"0",'Entries September 2026'!AI20-'Entries September 2026'!AI19)</f>
        <v>0</v>
      </c>
      <c r="Y20" s="696" t="str">
        <f>IF('Entries September 2026'!AH20-'Entries September 2026'!AH19&lt;1,"0",'Entries September 2026'!AH20-'Entries September 2026'!AH19)</f>
        <v>0</v>
      </c>
      <c r="Z20" s="329">
        <f t="shared" si="2"/>
        <v>386</v>
      </c>
      <c r="AA20" s="330">
        <v>497.904</v>
      </c>
      <c r="AB20" s="331">
        <f t="shared" si="3"/>
        <v>7.7524984736013369</v>
      </c>
    </row>
    <row r="21" spans="1:32" ht="14.25" customHeight="1" x14ac:dyDescent="0.2">
      <c r="B21" s="693">
        <v>15</v>
      </c>
      <c r="C21" s="694" t="str">
        <f>IF('Entries September 2026'!W21-'Entries September 2026'!W20&lt;1,"0",'Entries September 2026'!W21-'Entries September 2026'!W20)</f>
        <v>0</v>
      </c>
      <c r="D21" s="695">
        <f>IF('Entries September 2026'!O21-'Entries September 2026'!O20&lt;1,"0",'Entries September 2026'!O21-'Entries September 2026'!O20)</f>
        <v>331</v>
      </c>
      <c r="E21" s="695">
        <f>IF('Entries September 2026'!P21-'Entries September 2026'!P20&lt;1,"0",'Entries September 2026'!P21-'Entries September 2026'!P20)</f>
        <v>138</v>
      </c>
      <c r="F21" s="695">
        <f>IF('Entries September 2026'!V21-'Entries September 2026'!V20&lt;1,"0",'Entries September 2026'!V21-'Entries September 2026'!V20)</f>
        <v>145</v>
      </c>
      <c r="G21" s="695">
        <f t="shared" si="0"/>
        <v>324</v>
      </c>
      <c r="H21" s="695">
        <f>IF('Entries September 2026'!Q21-'Entries September 2026'!Q20&lt;1,0,'Entries September 2026'!Q21-'Entries September 2026'!Q20)</f>
        <v>270</v>
      </c>
      <c r="I21" s="695">
        <f>IF('Entries September 2026'!AG21-'Entries September 2026'!AG20&lt;1,0,'Entries September 2026'!AG21-'Entries September 2026'!AG20)</f>
        <v>0</v>
      </c>
      <c r="J21" s="695">
        <f>IF('Entries September 2026'!S21-'Entries September 2026'!S20&lt;1,"0",'Entries September 2026'!S21-'Entries September 2026'!S20)</f>
        <v>147</v>
      </c>
      <c r="K21" s="695" t="str">
        <f>IF('Entries September 2026'!R21-'Entries September 2026'!R20&lt;1,"0",'Entries September 2026'!R21-'Entries September 2026'!R20)</f>
        <v>0</v>
      </c>
      <c r="L21" s="695" t="str">
        <f>IF('Entries September 2026'!T21-'Entries September 2026'!T20&lt;1,"0",'Entries September 2026'!T21-'Entries September 2026'!T20)</f>
        <v>0</v>
      </c>
      <c r="M21" s="695">
        <f>IF('Entries September 2026'!U21-'Entries September 2026'!U20&lt;1,"0",'Entries September 2026'!U21-'Entries September 2026'!U20)</f>
        <v>8</v>
      </c>
      <c r="N21" s="695">
        <f>IF('Entries September 2026'!X21-'Entries September 2026'!X20&lt;1,"0",'Entries September 2026'!X21-'Entries September 2026'!X20)</f>
        <v>31</v>
      </c>
      <c r="O21" s="695">
        <f>IF('Entries September 2026'!Y21-'Entries September 2026'!Y20&lt;1,"0",'Entries September 2026'!Y21-'Entries September 2026'!Y20)</f>
        <v>126</v>
      </c>
      <c r="P21" s="695">
        <f>IF('Entries September 2026'!AC21-'Entries September 2026'!AC20&lt;1,"0",'Entries September 2026'!AC21-'Entries September 2026'!AC20)</f>
        <v>29</v>
      </c>
      <c r="Q21" s="695">
        <f>IF('Entries September 2026'!Z21-'Entries September 2026'!Z20&lt;1,"0",'Entries September 2026'!Z21-'Entries September 2026'!Z20)</f>
        <v>25</v>
      </c>
      <c r="R21" s="695" t="str">
        <f>IF(('Entries September 2026'!AA21-'Entries September 2026'!AA20)+('Entries September 2026'!AB21-'Entries September 2026'!AB20)&lt;1,"0",('Entries September 2026'!AA21-'Entries September 2026'!AA20)+('Entries September 2026'!AB21-'Entries September 2026'!AB20))</f>
        <v>0</v>
      </c>
      <c r="S21" s="694">
        <f t="shared" si="4"/>
        <v>3240</v>
      </c>
      <c r="T21" s="694">
        <f t="shared" si="1"/>
        <v>165</v>
      </c>
      <c r="U21" s="695">
        <f>IF('Entries September 2026'!AC21-'Entries September 2026'!AC20&lt;1,"0",'Entries September 2026'!AC21-'Entries September 2026'!AC20)</f>
        <v>29</v>
      </c>
      <c r="V21" s="695" t="str">
        <f>IF('Entries September 2026'!AD21-'Entries September 2026'!AD20&lt;1,"0",'Entries September 2026'!AD21-'Entries September 2026'!AD20)</f>
        <v>0</v>
      </c>
      <c r="W21" s="695" t="str">
        <f>IF('Entries September 2026'!AE21-'Entries September 2026'!AE20&lt;1,"0",'Entries September 2026'!AE21-'Entries September 2026'!AE20)</f>
        <v>0</v>
      </c>
      <c r="X21" s="696" t="str">
        <f>IF('Entries September 2026'!AI21-'Entries September 2026'!AI20&lt;1,"0",'Entries September 2026'!AI21-'Entries September 2026'!AI20)</f>
        <v>0</v>
      </c>
      <c r="Y21" s="696" t="str">
        <f>IF('Entries September 2026'!AH21-'Entries September 2026'!AH20&lt;1,"0",'Entries September 2026'!AH21-'Entries September 2026'!AH20)</f>
        <v>0</v>
      </c>
      <c r="Z21" s="329">
        <f t="shared" si="2"/>
        <v>469</v>
      </c>
      <c r="AA21" s="330">
        <v>602.91000000000008</v>
      </c>
      <c r="AB21" s="331">
        <f t="shared" si="3"/>
        <v>7.7789388134215711</v>
      </c>
    </row>
    <row r="22" spans="1:32" x14ac:dyDescent="0.2">
      <c r="B22" s="693">
        <v>16</v>
      </c>
      <c r="C22" s="694" t="str">
        <f>IF('Entries September 2026'!W22-'Entries September 2026'!W21&lt;1,"0",'Entries September 2026'!W22-'Entries September 2026'!W21)</f>
        <v>0</v>
      </c>
      <c r="D22" s="695">
        <f>IF('Entries September 2026'!O22-'Entries September 2026'!O21&lt;1,"0",'Entries September 2026'!O22-'Entries September 2026'!O21)</f>
        <v>382</v>
      </c>
      <c r="E22" s="695">
        <f>IF('Entries September 2026'!P22-'Entries September 2026'!P21&lt;1,"0",'Entries September 2026'!P22-'Entries September 2026'!P21)</f>
        <v>177</v>
      </c>
      <c r="F22" s="695">
        <f>IF('Entries September 2026'!V22-'Entries September 2026'!V21&lt;1,"0",'Entries September 2026'!V22-'Entries September 2026'!V21)</f>
        <v>166</v>
      </c>
      <c r="G22" s="695">
        <f t="shared" si="0"/>
        <v>393</v>
      </c>
      <c r="H22" s="695">
        <f>IF('Entries September 2026'!Q22-'Entries September 2026'!Q21&lt;1,0,'Entries September 2026'!Q22-'Entries September 2026'!Q21)</f>
        <v>212</v>
      </c>
      <c r="I22" s="695">
        <f>IF('Entries September 2026'!AG22-'Entries September 2026'!AG21&lt;1,0,'Entries September 2026'!AG22-'Entries September 2026'!AG21)</f>
        <v>0</v>
      </c>
      <c r="J22" s="695">
        <f>IF('Entries September 2026'!S22-'Entries September 2026'!S21&lt;1,"0",'Entries September 2026'!S22-'Entries September 2026'!S21)</f>
        <v>181</v>
      </c>
      <c r="K22" s="695" t="str">
        <f>IF('Entries September 2026'!R22-'Entries September 2026'!R21&lt;1,"0",'Entries September 2026'!R22-'Entries September 2026'!R21)</f>
        <v>0</v>
      </c>
      <c r="L22" s="695" t="str">
        <f>IF('Entries September 2026'!T22-'Entries September 2026'!T21&lt;1,"0",'Entries September 2026'!T22-'Entries September 2026'!T21)</f>
        <v>0</v>
      </c>
      <c r="M22" s="695">
        <f>IF('Entries September 2026'!U22-'Entries September 2026'!U21&lt;1,"0",'Entries September 2026'!U22-'Entries September 2026'!U21)</f>
        <v>1</v>
      </c>
      <c r="N22" s="695">
        <f>IF('Entries September 2026'!X22-'Entries September 2026'!X21&lt;1,"0",'Entries September 2026'!X22-'Entries September 2026'!X21)</f>
        <v>33</v>
      </c>
      <c r="O22" s="695">
        <f>IF('Entries September 2026'!Y22-'Entries September 2026'!Y21&lt;1,"0",'Entries September 2026'!Y22-'Entries September 2026'!Y21)</f>
        <v>85</v>
      </c>
      <c r="P22" s="695">
        <f>IF('Entries September 2026'!AC22-'Entries September 2026'!AC21&lt;1,"0",'Entries September 2026'!AC22-'Entries September 2026'!AC21)</f>
        <v>12</v>
      </c>
      <c r="Q22" s="695">
        <f>IF('Entries September 2026'!Z22-'Entries September 2026'!Z21&lt;1,"0",'Entries September 2026'!Z22-'Entries September 2026'!Z21)</f>
        <v>20</v>
      </c>
      <c r="R22" s="695" t="str">
        <f>IF(('Entries September 2026'!AA22-'Entries September 2026'!AA21)+('Entries September 2026'!AB22-'Entries September 2026'!AB21)&lt;1,"0",('Entries September 2026'!AA22-'Entries September 2026'!AA21)+('Entries September 2026'!AB22-'Entries September 2026'!AB21))</f>
        <v>0</v>
      </c>
      <c r="S22" s="694">
        <f t="shared" si="4"/>
        <v>3930</v>
      </c>
      <c r="T22" s="694">
        <f t="shared" si="1"/>
        <v>119</v>
      </c>
      <c r="U22" s="695">
        <f>IF('Entries September 2026'!AC22-'Entries September 2026'!AC21&lt;1,"0",'Entries September 2026'!AC22-'Entries September 2026'!AC21)</f>
        <v>12</v>
      </c>
      <c r="V22" s="695" t="str">
        <f>IF('Entries September 2026'!AD22-'Entries September 2026'!AD21&lt;1,"0",'Entries September 2026'!AD22-'Entries September 2026'!AD21)</f>
        <v>0</v>
      </c>
      <c r="W22" s="695" t="str">
        <f>IF('Entries September 2026'!AE22-'Entries September 2026'!AE21&lt;1,"0",'Entries September 2026'!AE22-'Entries September 2026'!AE21)</f>
        <v>0</v>
      </c>
      <c r="X22" s="696" t="str">
        <f>IF('Entries September 2026'!AI22-'Entries September 2026'!AI21&lt;1,"0",'Entries September 2026'!AI22-'Entries September 2026'!AI21)</f>
        <v>0</v>
      </c>
      <c r="Y22" s="696" t="str">
        <f>IF('Entries September 2026'!AH22-'Entries September 2026'!AH21&lt;1,"0",'Entries September 2026'!AH22-'Entries September 2026'!AH21)</f>
        <v>0</v>
      </c>
      <c r="Z22" s="329">
        <f t="shared" si="2"/>
        <v>559</v>
      </c>
      <c r="AA22" s="330">
        <v>243.34200000000001</v>
      </c>
      <c r="AB22" s="331">
        <f t="shared" si="3"/>
        <v>22.971784566577078</v>
      </c>
    </row>
    <row r="23" spans="1:32" x14ac:dyDescent="0.2">
      <c r="B23" s="693">
        <v>17</v>
      </c>
      <c r="C23" s="694" t="str">
        <f>IF('Entries September 2026'!W23-'Entries September 2026'!W22&lt;1,"0",'Entries September 2026'!W23-'Entries September 2026'!W22)</f>
        <v>0</v>
      </c>
      <c r="D23" s="695">
        <f>IF('Entries September 2026'!O23-'Entries September 2026'!O22&lt;1,"0",'Entries September 2026'!O23-'Entries September 2026'!O22)</f>
        <v>138</v>
      </c>
      <c r="E23" s="695">
        <f>IF('Entries September 2026'!P23-'Entries September 2026'!P22&lt;1,"0",'Entries September 2026'!P23-'Entries September 2026'!P22)</f>
        <v>294</v>
      </c>
      <c r="F23" s="695">
        <f>IF('Entries September 2026'!V23-'Entries September 2026'!V22&lt;1,"0",'Entries September 2026'!V23-'Entries September 2026'!V22)</f>
        <v>301</v>
      </c>
      <c r="G23" s="695">
        <f t="shared" si="0"/>
        <v>131</v>
      </c>
      <c r="H23" s="695">
        <f>IF('Entries September 2026'!Q23-'Entries September 2026'!Q22&lt;1,0,'Entries September 2026'!Q23-'Entries September 2026'!Q22)</f>
        <v>240</v>
      </c>
      <c r="I23" s="695">
        <f>IF('Entries September 2026'!AG23-'Entries September 2026'!AG22&lt;1,0,'Entries September 2026'!AG23-'Entries September 2026'!AG22)</f>
        <v>0</v>
      </c>
      <c r="J23" s="695">
        <f>IF('Entries September 2026'!S23-'Entries September 2026'!S22&lt;1,"0",'Entries September 2026'!S23-'Entries September 2026'!S22)</f>
        <v>148</v>
      </c>
      <c r="K23" s="695" t="str">
        <f>IF('Entries September 2026'!R23-'Entries September 2026'!R22&lt;1,"0",'Entries September 2026'!R23-'Entries September 2026'!R22)</f>
        <v>0</v>
      </c>
      <c r="L23" s="695" t="str">
        <f>IF('Entries September 2026'!T23-'Entries September 2026'!T22&lt;1,"0",'Entries September 2026'!T23-'Entries September 2026'!T22)</f>
        <v>0</v>
      </c>
      <c r="M23" s="695">
        <f>IF('Entries September 2026'!U23-'Entries September 2026'!U22&lt;1,"0",'Entries September 2026'!U23-'Entries September 2026'!U22)</f>
        <v>3</v>
      </c>
      <c r="N23" s="695">
        <f>IF('Entries September 2026'!X23-'Entries September 2026'!X22&lt;1,"0",'Entries September 2026'!X23-'Entries September 2026'!X22)</f>
        <v>58</v>
      </c>
      <c r="O23" s="695">
        <f>IF('Entries September 2026'!Y23-'Entries September 2026'!Y22&lt;1,"0",'Entries September 2026'!Y23-'Entries September 2026'!Y22)</f>
        <v>104</v>
      </c>
      <c r="P23" s="695">
        <f>IF('Entries September 2026'!AC23-'Entries September 2026'!AC22&lt;1,"0",'Entries September 2026'!AC23-'Entries September 2026'!AC22)</f>
        <v>23</v>
      </c>
      <c r="Q23" s="695">
        <f>IF('Entries September 2026'!Z23-'Entries September 2026'!Z22&lt;1,"0",'Entries September 2026'!Z23-'Entries September 2026'!Z22)</f>
        <v>20</v>
      </c>
      <c r="R23" s="695" t="str">
        <f>IF(('Entries September 2026'!AA23-'Entries September 2026'!AA22)+('Entries September 2026'!AB23-'Entries September 2026'!AB22)&lt;1,"0",('Entries September 2026'!AA23-'Entries September 2026'!AA22)+('Entries September 2026'!AB23-'Entries September 2026'!AB22))</f>
        <v>0</v>
      </c>
      <c r="S23" s="694">
        <f t="shared" si="4"/>
        <v>1310</v>
      </c>
      <c r="T23" s="694">
        <f t="shared" si="1"/>
        <v>165</v>
      </c>
      <c r="U23" s="695">
        <f>IF('Entries September 2026'!AC23-'Entries September 2026'!AC22&lt;1,"0",'Entries September 2026'!AC23-'Entries September 2026'!AC22)</f>
        <v>23</v>
      </c>
      <c r="V23" s="695" t="str">
        <f>IF('Entries September 2026'!AD23-'Entries September 2026'!AD22&lt;1,"0",'Entries September 2026'!AD23-'Entries September 2026'!AD22)</f>
        <v>0</v>
      </c>
      <c r="W23" s="695" t="str">
        <f>IF('Entries September 2026'!AE23-'Entries September 2026'!AE22&lt;1,"0",'Entries September 2026'!AE23-'Entries September 2026'!AE22)</f>
        <v>0</v>
      </c>
      <c r="X23" s="696" t="str">
        <f>IF('Entries September 2026'!AI23-'Entries September 2026'!AI22&lt;1,"0",'Entries September 2026'!AI23-'Entries September 2026'!AI22)</f>
        <v>0</v>
      </c>
      <c r="Y23" s="696" t="str">
        <f>IF('Entries September 2026'!AH23-'Entries September 2026'!AH22&lt;1,"0",'Entries September 2026'!AH23-'Entries September 2026'!AH22)</f>
        <v>0</v>
      </c>
      <c r="Z23" s="329">
        <f t="shared" si="2"/>
        <v>432</v>
      </c>
      <c r="AA23" s="330">
        <v>290.202</v>
      </c>
      <c r="AB23" s="331">
        <f t="shared" si="3"/>
        <v>14.886182727892985</v>
      </c>
    </row>
    <row r="24" spans="1:32" x14ac:dyDescent="0.2">
      <c r="B24" s="693">
        <v>18</v>
      </c>
      <c r="C24" s="694" t="str">
        <f>IF('Entries September 2026'!W24-'Entries September 2026'!W23&lt;1,"0",'Entries September 2026'!W24-'Entries September 2026'!W23)</f>
        <v>0</v>
      </c>
      <c r="D24" s="695">
        <f>IF('Entries September 2026'!O24-'Entries September 2026'!O23&lt;1,"0",'Entries September 2026'!O24-'Entries September 2026'!O23)</f>
        <v>527</v>
      </c>
      <c r="E24" s="695">
        <f>IF('Entries September 2026'!P24-'Entries September 2026'!P23&lt;1,"0",'Entries September 2026'!P24-'Entries September 2026'!P23)</f>
        <v>264</v>
      </c>
      <c r="F24" s="695">
        <f>IF('Entries September 2026'!V24-'Entries September 2026'!V23&lt;1,"0",'Entries September 2026'!V24-'Entries September 2026'!V23)</f>
        <v>200</v>
      </c>
      <c r="G24" s="695">
        <f t="shared" si="0"/>
        <v>591</v>
      </c>
      <c r="H24" s="695">
        <f>IF('Entries September 2026'!Q24-'Entries September 2026'!Q23&lt;1,0,'Entries September 2026'!Q24-'Entries September 2026'!Q23)</f>
        <v>234</v>
      </c>
      <c r="I24" s="695">
        <f>IF('Entries September 2026'!AG24-'Entries September 2026'!AG23&lt;1,0,'Entries September 2026'!AG24-'Entries September 2026'!AG23)</f>
        <v>0</v>
      </c>
      <c r="J24" s="695">
        <f>IF('Entries September 2026'!S24-'Entries September 2026'!S23&lt;1,"0",'Entries September 2026'!S24-'Entries September 2026'!S23)</f>
        <v>100</v>
      </c>
      <c r="K24" s="695" t="str">
        <f>IF('Entries September 2026'!R24-'Entries September 2026'!R23&lt;1,"0",'Entries September 2026'!R24-'Entries September 2026'!R23)</f>
        <v>0</v>
      </c>
      <c r="L24" s="695" t="str">
        <f>IF('Entries September 2026'!T24-'Entries September 2026'!T23&lt;1,"0",'Entries September 2026'!T24-'Entries September 2026'!T23)</f>
        <v>0</v>
      </c>
      <c r="M24" s="695">
        <f>IF('Entries September 2026'!U24-'Entries September 2026'!U23&lt;1,"0",'Entries September 2026'!U24-'Entries September 2026'!U23)</f>
        <v>1</v>
      </c>
      <c r="N24" s="695">
        <f>IF('Entries September 2026'!X24-'Entries September 2026'!X23&lt;1,"0",'Entries September 2026'!X24-'Entries September 2026'!X23)</f>
        <v>26</v>
      </c>
      <c r="O24" s="695">
        <f>IF('Entries September 2026'!Y24-'Entries September 2026'!Y23&lt;1,"0",'Entries September 2026'!Y24-'Entries September 2026'!Y23)</f>
        <v>111</v>
      </c>
      <c r="P24" s="695">
        <f>IF('Entries September 2026'!AC24-'Entries September 2026'!AC23&lt;1,"0",'Entries September 2026'!AC24-'Entries September 2026'!AC23)</f>
        <v>18</v>
      </c>
      <c r="Q24" s="695">
        <f>IF('Entries September 2026'!Z24-'Entries September 2026'!Z23&lt;1,"0",'Entries September 2026'!Z24-'Entries September 2026'!Z23)</f>
        <v>15</v>
      </c>
      <c r="R24" s="695" t="str">
        <f>IF(('Entries September 2026'!AA24-'Entries September 2026'!AA23)+('Entries September 2026'!AB24-'Entries September 2026'!AB23)&lt;1,"0",('Entries September 2026'!AA24-'Entries September 2026'!AA23)+('Entries September 2026'!AB24-'Entries September 2026'!AB23))</f>
        <v>0</v>
      </c>
      <c r="S24" s="694">
        <f t="shared" si="4"/>
        <v>5910</v>
      </c>
      <c r="T24" s="694">
        <f t="shared" si="1"/>
        <v>138</v>
      </c>
      <c r="U24" s="695">
        <f>IF('Entries September 2026'!AC24-'Entries September 2026'!AC23&lt;1,"0",'Entries September 2026'!AC24-'Entries September 2026'!AC23)</f>
        <v>18</v>
      </c>
      <c r="V24" s="695" t="str">
        <f>IF('Entries September 2026'!AD24-'Entries September 2026'!AD23&lt;1,"0",'Entries September 2026'!AD24-'Entries September 2026'!AD23)</f>
        <v>0</v>
      </c>
      <c r="W24" s="695" t="str">
        <f>IF('Entries September 2026'!AE24-'Entries September 2026'!AE23&lt;1,"0",'Entries September 2026'!AE24-'Entries September 2026'!AE23)</f>
        <v>0</v>
      </c>
      <c r="X24" s="696" t="str">
        <f>IF('Entries September 2026'!AI24-'Entries September 2026'!AI23&lt;1,"0",'Entries September 2026'!AI24-'Entries September 2026'!AI23)</f>
        <v>0</v>
      </c>
      <c r="Y24" s="696" t="str">
        <f>IF('Entries September 2026'!AH24-'Entries September 2026'!AH23&lt;1,"0",'Entries September 2026'!AH24-'Entries September 2026'!AH23)</f>
        <v>0</v>
      </c>
      <c r="Z24" s="329">
        <f>C24+D24+E24</f>
        <v>791</v>
      </c>
      <c r="AA24" s="330">
        <v>440.81400000000002</v>
      </c>
      <c r="AB24" s="331">
        <f t="shared" si="3"/>
        <v>17.944076186328019</v>
      </c>
    </row>
    <row r="25" spans="1:32" x14ac:dyDescent="0.2">
      <c r="B25" s="693">
        <v>19</v>
      </c>
      <c r="C25" s="694" t="str">
        <f>IF('Entries September 2026'!W25-'Entries September 2026'!W24&lt;1,"0",'Entries September 2026'!W25-'Entries September 2026'!W24)</f>
        <v>0</v>
      </c>
      <c r="D25" s="695">
        <f>IF('Entries September 2026'!O25-'Entries September 2026'!O24&lt;1,"0",'Entries September 2026'!O25-'Entries September 2026'!O24)</f>
        <v>4</v>
      </c>
      <c r="E25" s="695" t="str">
        <f>IF('Entries September 2026'!P25-'Entries September 2026'!P24&lt;1,"0",'Entries September 2026'!P25-'Entries September 2026'!P24)</f>
        <v>0</v>
      </c>
      <c r="F25" s="695" t="str">
        <f>IF('Entries September 2026'!V25-'Entries September 2026'!V24&lt;1,"0",'Entries September 2026'!V25-'Entries September 2026'!V24)</f>
        <v>0</v>
      </c>
      <c r="G25" s="695">
        <f t="shared" si="0"/>
        <v>4</v>
      </c>
      <c r="H25" s="695">
        <f>IF('Entries September 2026'!Q25-'Entries September 2026'!Q24&lt;1,0,'Entries September 2026'!Q25-'Entries September 2026'!Q24)</f>
        <v>48</v>
      </c>
      <c r="I25" s="695">
        <f>IF('Entries September 2026'!AG25-'Entries September 2026'!AG24&lt;1,0,'Entries September 2026'!AG25-'Entries September 2026'!AG24)</f>
        <v>0</v>
      </c>
      <c r="J25" s="695" t="str">
        <f>IF('Entries September 2026'!S25-'Entries September 2026'!S24&lt;1,"0",'Entries September 2026'!S25-'Entries September 2026'!S24)</f>
        <v>0</v>
      </c>
      <c r="K25" s="695" t="str">
        <f>IF('Entries September 2026'!R25-'Entries September 2026'!R24&lt;1,"0",'Entries September 2026'!R25-'Entries September 2026'!R24)</f>
        <v>0</v>
      </c>
      <c r="L25" s="695" t="str">
        <f>IF('Entries September 2026'!T25-'Entries September 2026'!T24&lt;1,"0",'Entries September 2026'!T25-'Entries September 2026'!T24)</f>
        <v>0</v>
      </c>
      <c r="M25" s="695" t="str">
        <f>IF('Entries September 2026'!U25-'Entries September 2026'!U24&lt;1,"0",'Entries September 2026'!U25-'Entries September 2026'!U24)</f>
        <v>0</v>
      </c>
      <c r="N25" s="695" t="str">
        <f>IF('Entries September 2026'!X25-'Entries September 2026'!X24&lt;1,"0",'Entries September 2026'!X25-'Entries September 2026'!X24)</f>
        <v>0</v>
      </c>
      <c r="O25" s="695">
        <f>IF('Entries September 2026'!Y25-'Entries September 2026'!Y24&lt;1,"0",'Entries September 2026'!Y25-'Entries September 2026'!Y24)</f>
        <v>8</v>
      </c>
      <c r="P25" s="695">
        <f>IF('Entries September 2026'!AC25-'Entries September 2026'!AC24&lt;1,"0",'Entries September 2026'!AC25-'Entries September 2026'!AC24)</f>
        <v>7</v>
      </c>
      <c r="Q25" s="695">
        <f>IF('Entries September 2026'!Z25-'Entries September 2026'!Z24&lt;1,"0",'Entries September 2026'!Z25-'Entries September 2026'!Z24)</f>
        <v>3</v>
      </c>
      <c r="R25" s="695" t="str">
        <f>IF(('Entries September 2026'!AA25-'Entries September 2026'!AA24)+('Entries September 2026'!AB25-'Entries September 2026'!AB24)&lt;1,"0",('Entries September 2026'!AA25-'Entries September 2026'!AA24)+('Entries September 2026'!AB25-'Entries September 2026'!AB24))</f>
        <v>0</v>
      </c>
      <c r="S25" s="694">
        <f t="shared" si="4"/>
        <v>40</v>
      </c>
      <c r="T25" s="694">
        <f t="shared" si="1"/>
        <v>8</v>
      </c>
      <c r="U25" s="695">
        <f>IF('Entries September 2026'!AC25-'Entries September 2026'!AC24&lt;1,"0",'Entries September 2026'!AC25-'Entries September 2026'!AC24)</f>
        <v>7</v>
      </c>
      <c r="V25" s="695" t="str">
        <f>IF('Entries September 2026'!AD25-'Entries September 2026'!AD24&lt;1,"0",'Entries September 2026'!AD25-'Entries September 2026'!AD24)</f>
        <v>0</v>
      </c>
      <c r="W25" s="695" t="str">
        <f>IF('Entries September 2026'!AE25-'Entries September 2026'!AE24&lt;1,"0",'Entries September 2026'!AE25-'Entries September 2026'!AE24)</f>
        <v>0</v>
      </c>
      <c r="X25" s="696" t="str">
        <f>IF('Entries September 2026'!AI25-'Entries September 2026'!AI24&lt;1,"0",'Entries September 2026'!AI25-'Entries September 2026'!AI24)</f>
        <v>0</v>
      </c>
      <c r="Y25" s="696" t="str">
        <f>IF('Entries September 2026'!AH25-'Entries September 2026'!AH24&lt;1,"0",'Entries September 2026'!AH25-'Entries September 2026'!AH24)</f>
        <v>0</v>
      </c>
      <c r="Z25" s="329">
        <f t="shared" si="2"/>
        <v>4</v>
      </c>
      <c r="AA25" s="330" t="str">
        <v>0</v>
      </c>
      <c r="AB25" s="331" t="str">
        <f t="shared" si="3"/>
        <v>0</v>
      </c>
    </row>
    <row r="26" spans="1:32" x14ac:dyDescent="0.2">
      <c r="A26" s="29"/>
      <c r="B26" s="693">
        <v>20</v>
      </c>
      <c r="C26" s="694" t="str">
        <f>IF('Entries September 2026'!W26-'Entries September 2026'!W25&lt;1,"0",'Entries September 2026'!W26-'Entries September 2026'!W25)</f>
        <v>0</v>
      </c>
      <c r="D26" s="695" t="str">
        <f>IF('Entries September 2026'!O26-'Entries September 2026'!O25&lt;1,"0",'Entries September 2026'!O26-'Entries September 2026'!O25)</f>
        <v>0</v>
      </c>
      <c r="E26" s="695" t="str">
        <f>IF('Entries September 2026'!P26-'Entries September 2026'!P25&lt;1,"0",'Entries September 2026'!P26-'Entries September 2026'!P25)</f>
        <v>0</v>
      </c>
      <c r="F26" s="695" t="str">
        <f>IF('Entries September 2026'!V26-'Entries September 2026'!V25&lt;1,"0",'Entries September 2026'!V26-'Entries September 2026'!V25)</f>
        <v>0</v>
      </c>
      <c r="G26" s="695">
        <f t="shared" si="0"/>
        <v>0</v>
      </c>
      <c r="H26" s="695">
        <f>IF('Entries September 2026'!Q26-'Entries September 2026'!Q25&lt;1,0,'Entries September 2026'!Q26-'Entries September 2026'!Q25)</f>
        <v>73</v>
      </c>
      <c r="I26" s="695">
        <f>IF('Entries September 2026'!AG26-'Entries September 2026'!AG25&lt;1,0,'Entries September 2026'!AG26-'Entries September 2026'!AG25)</f>
        <v>0</v>
      </c>
      <c r="J26" s="695" t="str">
        <f>IF('Entries September 2026'!S26-'Entries September 2026'!S25&lt;1,"0",'Entries September 2026'!S26-'Entries September 2026'!S25)</f>
        <v>0</v>
      </c>
      <c r="K26" s="695" t="str">
        <f>IF('Entries September 2026'!R26-'Entries September 2026'!R25&lt;1,"0",'Entries September 2026'!R26-'Entries September 2026'!R25)</f>
        <v>0</v>
      </c>
      <c r="L26" s="695" t="str">
        <f>IF('Entries September 2026'!T26-'Entries September 2026'!T25&lt;1,"0",'Entries September 2026'!T26-'Entries September 2026'!T25)</f>
        <v>0</v>
      </c>
      <c r="M26" s="695" t="str">
        <f>IF('Entries September 2026'!U26-'Entries September 2026'!U25&lt;1,"0",'Entries September 2026'!U26-'Entries September 2026'!U25)</f>
        <v>0</v>
      </c>
      <c r="N26" s="695" t="str">
        <f>IF('Entries September 2026'!X26-'Entries September 2026'!X25&lt;1,"0",'Entries September 2026'!X26-'Entries September 2026'!X25)</f>
        <v>0</v>
      </c>
      <c r="O26" s="695">
        <f>IF('Entries September 2026'!Y26-'Entries September 2026'!Y25&lt;1,"0",'Entries September 2026'!Y26-'Entries September 2026'!Y25)</f>
        <v>43</v>
      </c>
      <c r="P26" s="695">
        <f>IF('Entries September 2026'!AC26-'Entries September 2026'!AC25&lt;1,"0",'Entries September 2026'!AC26-'Entries September 2026'!AC25)</f>
        <v>2</v>
      </c>
      <c r="Q26" s="695" t="str">
        <f>IF('Entries September 2026'!Z26-'Entries September 2026'!Z25&lt;1,"0",'Entries September 2026'!Z26-'Entries September 2026'!Z25)</f>
        <v>0</v>
      </c>
      <c r="R26" s="695" t="str">
        <f>IF(('Entries September 2026'!AA26-'Entries September 2026'!AA25)+('Entries September 2026'!AB26-'Entries September 2026'!AB25)&lt;1,"0",('Entries September 2026'!AA26-'Entries September 2026'!AA25)+('Entries September 2026'!AB26-'Entries September 2026'!AB25))</f>
        <v>0</v>
      </c>
      <c r="S26" s="694">
        <f t="shared" si="4"/>
        <v>0</v>
      </c>
      <c r="T26" s="694">
        <f t="shared" si="1"/>
        <v>43</v>
      </c>
      <c r="U26" s="695">
        <f>IF('Entries September 2026'!AC26-'Entries September 2026'!AC25&lt;1,"0",'Entries September 2026'!AC26-'Entries September 2026'!AC25)</f>
        <v>2</v>
      </c>
      <c r="V26" s="695" t="str">
        <f>IF('Entries September 2026'!AD26-'Entries September 2026'!AD25&lt;1,"0",'Entries September 2026'!AD26-'Entries September 2026'!AD25)</f>
        <v>0</v>
      </c>
      <c r="W26" s="695" t="str">
        <f>IF('Entries September 2026'!AE26-'Entries September 2026'!AE25&lt;1,"0",'Entries September 2026'!AE26-'Entries September 2026'!AE25)</f>
        <v>0</v>
      </c>
      <c r="X26" s="696" t="str">
        <f>IF('Entries September 2026'!AI26-'Entries September 2026'!AI25&lt;1,"0",'Entries September 2026'!AI26-'Entries September 2026'!AI25)</f>
        <v>0</v>
      </c>
      <c r="Y26" s="696" t="str">
        <f>IF('Entries September 2026'!AH26-'Entries September 2026'!AH25&lt;1,"0",'Entries September 2026'!AH26-'Entries September 2026'!AH25)</f>
        <v>0</v>
      </c>
      <c r="Z26" s="329">
        <f t="shared" si="2"/>
        <v>0</v>
      </c>
      <c r="AA26" s="330" t="str">
        <v>0</v>
      </c>
      <c r="AB26" s="331" t="str">
        <f t="shared" si="3"/>
        <v>0</v>
      </c>
    </row>
    <row r="27" spans="1:32" x14ac:dyDescent="0.2">
      <c r="A27" s="29"/>
      <c r="B27" s="693">
        <v>21</v>
      </c>
      <c r="C27" s="694" t="str">
        <f>IF('Entries September 2026'!W27-'Entries September 2026'!W26&lt;1,"0",'Entries September 2026'!W27-'Entries September 2026'!W26)</f>
        <v>0</v>
      </c>
      <c r="D27" s="695">
        <f>IF('Entries September 2026'!O27-'Entries September 2026'!O26&lt;1,"0",'Entries September 2026'!O27-'Entries September 2026'!O26)</f>
        <v>208</v>
      </c>
      <c r="E27" s="695">
        <f>IF('Entries September 2026'!P27-'Entries September 2026'!P26&lt;1,"0",'Entries September 2026'!P27-'Entries September 2026'!P26)</f>
        <v>133</v>
      </c>
      <c r="F27" s="695">
        <f>IF('Entries September 2026'!V27-'Entries September 2026'!V26&lt;1,"0",'Entries September 2026'!V27-'Entries September 2026'!V26)</f>
        <v>139</v>
      </c>
      <c r="G27" s="695">
        <f t="shared" si="0"/>
        <v>202</v>
      </c>
      <c r="H27" s="695">
        <f>IF('Entries September 2026'!Q27-'Entries September 2026'!Q26&lt;1,0,'Entries September 2026'!Q27-'Entries September 2026'!Q26)</f>
        <v>193</v>
      </c>
      <c r="I27" s="695">
        <f>IF('Entries September 2026'!AG27-'Entries September 2026'!AG26&lt;1,0,'Entries September 2026'!AG27-'Entries September 2026'!AG26)</f>
        <v>0</v>
      </c>
      <c r="J27" s="695">
        <f>IF('Entries September 2026'!S27-'Entries September 2026'!S26&lt;1,"0",'Entries September 2026'!S27-'Entries September 2026'!S26)</f>
        <v>158</v>
      </c>
      <c r="K27" s="695" t="str">
        <f>IF('Entries September 2026'!R27-'Entries September 2026'!R26&lt;1,"0",'Entries September 2026'!R27-'Entries September 2026'!R26)</f>
        <v>0</v>
      </c>
      <c r="L27" s="695" t="str">
        <f>IF('Entries September 2026'!T27-'Entries September 2026'!T26&lt;1,"0",'Entries September 2026'!T27-'Entries September 2026'!T26)</f>
        <v>0</v>
      </c>
      <c r="M27" s="695">
        <f>IF('Entries September 2026'!U27-'Entries September 2026'!U26&lt;1,"0",'Entries September 2026'!U27-'Entries September 2026'!U26)</f>
        <v>1</v>
      </c>
      <c r="N27" s="695">
        <f>IF('Entries September 2026'!X27-'Entries September 2026'!X26&lt;1,"0",'Entries September 2026'!X27-'Entries September 2026'!X26)</f>
        <v>72</v>
      </c>
      <c r="O27" s="695">
        <f>IF('Entries September 2026'!Y27-'Entries September 2026'!Y26&lt;1,"0",'Entries September 2026'!Y27-'Entries September 2026'!Y26)</f>
        <v>67</v>
      </c>
      <c r="P27" s="695">
        <f>IF('Entries September 2026'!AC27-'Entries September 2026'!AC26&lt;1,"0",'Entries September 2026'!AC27-'Entries September 2026'!AC26)</f>
        <v>7</v>
      </c>
      <c r="Q27" s="695">
        <f>IF('Entries September 2026'!Z27-'Entries September 2026'!Z26&lt;1,"0",'Entries September 2026'!Z27-'Entries September 2026'!Z26)</f>
        <v>19</v>
      </c>
      <c r="R27" s="695" t="str">
        <f>IF(('Entries September 2026'!AA27-'Entries September 2026'!AA26)+('Entries September 2026'!AB27-'Entries September 2026'!AB26)&lt;1,"0",('Entries September 2026'!AA27-'Entries September 2026'!AA26)+('Entries September 2026'!AB27-'Entries September 2026'!AB26))</f>
        <v>0</v>
      </c>
      <c r="S27" s="694">
        <f t="shared" si="4"/>
        <v>2020</v>
      </c>
      <c r="T27" s="694">
        <f t="shared" si="1"/>
        <v>140</v>
      </c>
      <c r="U27" s="695">
        <f>IF('Entries September 2026'!AC27-'Entries September 2026'!AC26&lt;1,"0",'Entries September 2026'!AC27-'Entries September 2026'!AC26)</f>
        <v>7</v>
      </c>
      <c r="V27" s="695" t="str">
        <f>IF('Entries September 2026'!AD27-'Entries September 2026'!AD26&lt;1,"0",'Entries September 2026'!AD27-'Entries September 2026'!AD26)</f>
        <v>0</v>
      </c>
      <c r="W27" s="695" t="str">
        <f>IF('Entries September 2026'!AE27-'Entries September 2026'!AE26&lt;1,"0",'Entries September 2026'!AE27-'Entries September 2026'!AE26)</f>
        <v>0</v>
      </c>
      <c r="X27" s="696" t="str">
        <f>IF('Entries September 2026'!AI27-'Entries September 2026'!AI26&lt;1,"0",'Entries September 2026'!AI27-'Entries September 2026'!AI26)</f>
        <v>0</v>
      </c>
      <c r="Y27" s="696" t="str">
        <f>IF('Entries September 2026'!AH27-'Entries September 2026'!AH26&lt;1,"0",'Entries September 2026'!AH27-'Entries September 2026'!AH26)</f>
        <v>0</v>
      </c>
      <c r="Z27" s="329">
        <f t="shared" si="2"/>
        <v>341</v>
      </c>
      <c r="AA27" s="330">
        <v>179.916</v>
      </c>
      <c r="AB27" s="331">
        <f t="shared" si="3"/>
        <v>18.953289312790414</v>
      </c>
    </row>
    <row r="28" spans="1:32" x14ac:dyDescent="0.2">
      <c r="B28" s="693">
        <v>22</v>
      </c>
      <c r="C28" s="694" t="str">
        <f>IF('Entries September 2026'!W28-'Entries September 2026'!W27&lt;1,"0",'Entries September 2026'!W28-'Entries September 2026'!W27)</f>
        <v>0</v>
      </c>
      <c r="D28" s="695">
        <f>IF('Entries September 2026'!O28-'Entries September 2026'!O27&lt;1,"0",'Entries September 2026'!O28-'Entries September 2026'!O27)</f>
        <v>135</v>
      </c>
      <c r="E28" s="695">
        <f>IF('Entries September 2026'!P28-'Entries September 2026'!P27&lt;1,"0",'Entries September 2026'!P28-'Entries September 2026'!P27)</f>
        <v>174</v>
      </c>
      <c r="F28" s="695">
        <f>IF('Entries September 2026'!V28-'Entries September 2026'!V27&lt;1,"0",'Entries September 2026'!V28-'Entries September 2026'!V27)</f>
        <v>184</v>
      </c>
      <c r="G28" s="695">
        <f t="shared" si="0"/>
        <v>125</v>
      </c>
      <c r="H28" s="695">
        <f>IF('Entries September 2026'!Q28-'Entries September 2026'!Q27&lt;1,0,'Entries September 2026'!Q28-'Entries September 2026'!Q27)</f>
        <v>222</v>
      </c>
      <c r="I28" s="695">
        <f>IF('Entries September 2026'!AG28-'Entries September 2026'!AG27&lt;1,0,'Entries September 2026'!AG28-'Entries September 2026'!AG27)</f>
        <v>0</v>
      </c>
      <c r="J28" s="695">
        <f>IF('Entries September 2026'!S28-'Entries September 2026'!S27&lt;1,"0",'Entries September 2026'!S28-'Entries September 2026'!S27)</f>
        <v>94</v>
      </c>
      <c r="K28" s="695" t="str">
        <f>IF('Entries September 2026'!R28-'Entries September 2026'!R27&lt;1,"0",'Entries September 2026'!R28-'Entries September 2026'!R27)</f>
        <v>0</v>
      </c>
      <c r="L28" s="695" t="str">
        <f>IF('Entries September 2026'!T28-'Entries September 2026'!T27&lt;1,"0",'Entries September 2026'!T28-'Entries September 2026'!T27)</f>
        <v>0</v>
      </c>
      <c r="M28" s="695">
        <f>IF('Entries September 2026'!U28-'Entries September 2026'!U27&lt;1,"0",'Entries September 2026'!U28-'Entries September 2026'!U27)</f>
        <v>1</v>
      </c>
      <c r="N28" s="695">
        <f>IF('Entries September 2026'!X28-'Entries September 2026'!X27&lt;1,"0",'Entries September 2026'!X28-'Entries September 2026'!X27)</f>
        <v>41</v>
      </c>
      <c r="O28" s="695">
        <f>IF('Entries September 2026'!Y28-'Entries September 2026'!Y27&lt;1,"0",'Entries September 2026'!Y28-'Entries September 2026'!Y27)</f>
        <v>101</v>
      </c>
      <c r="P28" s="695">
        <f>IF('Entries September 2026'!AC28-'Entries September 2026'!AC27&lt;1,"0",'Entries September 2026'!AC28-'Entries September 2026'!AC27)</f>
        <v>25</v>
      </c>
      <c r="Q28" s="695">
        <f>IF('Entries September 2026'!Z28-'Entries September 2026'!Z27&lt;1,"0",'Entries September 2026'!Z28-'Entries September 2026'!Z27)</f>
        <v>17</v>
      </c>
      <c r="R28" s="695" t="str">
        <f>IF(('Entries September 2026'!AA28-'Entries September 2026'!AA27)+('Entries September 2026'!AB28-'Entries September 2026'!AB27)&lt;1,"0",('Entries September 2026'!AA28-'Entries September 2026'!AA27)+('Entries September 2026'!AB28-'Entries September 2026'!AB27))</f>
        <v>0</v>
      </c>
      <c r="S28" s="694">
        <f t="shared" si="4"/>
        <v>1250</v>
      </c>
      <c r="T28" s="694">
        <f t="shared" si="1"/>
        <v>143</v>
      </c>
      <c r="U28" s="695">
        <f>IF('Entries September 2026'!AC28-'Entries September 2026'!AC27&lt;1,"0",'Entries September 2026'!AC28-'Entries September 2026'!AC27)</f>
        <v>25</v>
      </c>
      <c r="V28" s="695" t="str">
        <f>IF('Entries September 2026'!AD28-'Entries September 2026'!AD27&lt;1,"0",'Entries September 2026'!AD28-'Entries September 2026'!AD27)</f>
        <v>0</v>
      </c>
      <c r="W28" s="695" t="str">
        <f>IF('Entries September 2026'!AE28-'Entries September 2026'!AE27&lt;1,"0",'Entries September 2026'!AE28-'Entries September 2026'!AE27)</f>
        <v>0</v>
      </c>
      <c r="X28" s="696" t="str">
        <f>IF('Entries September 2026'!AI28-'Entries September 2026'!AI27&lt;1,"0",'Entries September 2026'!AI28-'Entries September 2026'!AI27)</f>
        <v>0</v>
      </c>
      <c r="Y28" s="696" t="str">
        <f>IF('Entries September 2026'!AH28-'Entries September 2026'!AH27&lt;1,"0",'Entries September 2026'!AH28-'Entries September 2026'!AH27)</f>
        <v>0</v>
      </c>
      <c r="Z28" s="329">
        <f t="shared" si="2"/>
        <v>309</v>
      </c>
      <c r="AA28" s="330">
        <v>365.50800000000004</v>
      </c>
      <c r="AB28" s="331">
        <f t="shared" si="3"/>
        <v>8.4539873272267627</v>
      </c>
    </row>
    <row r="29" spans="1:32" x14ac:dyDescent="0.2">
      <c r="B29" s="693">
        <v>23</v>
      </c>
      <c r="C29" s="694" t="str">
        <f>IF('Entries September 2026'!W29-'Entries September 2026'!W28&lt;1,"0",'Entries September 2026'!W29-'Entries September 2026'!W28)</f>
        <v>0</v>
      </c>
      <c r="D29" s="695">
        <f>IF('Entries September 2026'!O29-'Entries September 2026'!O28&lt;1,"0",'Entries September 2026'!O29-'Entries September 2026'!O28)</f>
        <v>62</v>
      </c>
      <c r="E29" s="695">
        <f>IF('Entries September 2026'!P29-'Entries September 2026'!P28&lt;1,"0",'Entries September 2026'!P29-'Entries September 2026'!P28)</f>
        <v>167</v>
      </c>
      <c r="F29" s="695">
        <f>IF('Entries September 2026'!V29-'Entries September 2026'!V28&lt;1,"0",'Entries September 2026'!V29-'Entries September 2026'!V28)</f>
        <v>78</v>
      </c>
      <c r="G29" s="695">
        <f t="shared" si="0"/>
        <v>151</v>
      </c>
      <c r="H29" s="695">
        <f>IF('Entries September 2026'!Q29-'Entries September 2026'!Q28&lt;1,0,'Entries September 2026'!Q29-'Entries September 2026'!Q28)</f>
        <v>197</v>
      </c>
      <c r="I29" s="695">
        <f>IF('Entries September 2026'!AG29-'Entries September 2026'!AG28&lt;1,0,'Entries September 2026'!AG29-'Entries September 2026'!AG28)</f>
        <v>0</v>
      </c>
      <c r="J29" s="695">
        <f>IF('Entries September 2026'!S29-'Entries September 2026'!S28&lt;1,"0",'Entries September 2026'!S29-'Entries September 2026'!S28)</f>
        <v>168</v>
      </c>
      <c r="K29" s="695" t="str">
        <f>IF('Entries September 2026'!R29-'Entries September 2026'!R28&lt;1,"0",'Entries September 2026'!R29-'Entries September 2026'!R28)</f>
        <v>0</v>
      </c>
      <c r="L29" s="695" t="str">
        <f>IF('Entries September 2026'!T29-'Entries September 2026'!T28&lt;1,"0",'Entries September 2026'!T29-'Entries September 2026'!T28)</f>
        <v>0</v>
      </c>
      <c r="M29" s="695">
        <f>IF('Entries September 2026'!U29-'Entries September 2026'!U28&lt;1,"0",'Entries September 2026'!U29-'Entries September 2026'!U28)</f>
        <v>1</v>
      </c>
      <c r="N29" s="695">
        <f>IF('Entries September 2026'!X29-'Entries September 2026'!X28&lt;1,"0",'Entries September 2026'!X29-'Entries September 2026'!X28)</f>
        <v>56</v>
      </c>
      <c r="O29" s="695">
        <f>IF('Entries September 2026'!Y29-'Entries September 2026'!Y28&lt;1,"0",'Entries September 2026'!Y29-'Entries September 2026'!Y28)</f>
        <v>77</v>
      </c>
      <c r="P29" s="695">
        <f>IF('Entries September 2026'!AC29-'Entries September 2026'!AC28&lt;1,"0",'Entries September 2026'!AC29-'Entries September 2026'!AC28)</f>
        <v>5</v>
      </c>
      <c r="Q29" s="695">
        <f>IF('Entries September 2026'!Z29-'Entries September 2026'!Z28&lt;1,"0",'Entries September 2026'!Z29-'Entries September 2026'!Z28)</f>
        <v>15</v>
      </c>
      <c r="R29" s="695" t="str">
        <f>IF(('Entries September 2026'!AA29-'Entries September 2026'!AA28)+('Entries September 2026'!AB29-'Entries September 2026'!AB28)&lt;1,"0",('Entries September 2026'!AA29-'Entries September 2026'!AA28)+('Entries September 2026'!AB29-'Entries September 2026'!AB28))</f>
        <v>0</v>
      </c>
      <c r="S29" s="694">
        <f t="shared" si="4"/>
        <v>1510</v>
      </c>
      <c r="T29" s="694">
        <f t="shared" si="1"/>
        <v>134</v>
      </c>
      <c r="U29" s="695">
        <f>IF('Entries September 2026'!AC29-'Entries September 2026'!AC28&lt;1,"0",'Entries September 2026'!AC29-'Entries September 2026'!AC28)</f>
        <v>5</v>
      </c>
      <c r="V29" s="695" t="str">
        <f>IF('Entries September 2026'!AD29-'Entries September 2026'!AD28&lt;1,"0",'Entries September 2026'!AD29-'Entries September 2026'!AD28)</f>
        <v>0</v>
      </c>
      <c r="W29" s="695" t="str">
        <f>IF('Entries September 2026'!AE29-'Entries September 2026'!AE28&lt;1,"0",'Entries September 2026'!AE29-'Entries September 2026'!AE28)</f>
        <v>0</v>
      </c>
      <c r="X29" s="696" t="str">
        <f>IF('Entries September 2026'!AI29-'Entries September 2026'!AI28&lt;1,"0",'Entries September 2026'!AI29-'Entries September 2026'!AI28)</f>
        <v>0</v>
      </c>
      <c r="Y29" s="696" t="str">
        <f>IF('Entries September 2026'!AH29-'Entries September 2026'!AH28&lt;1,"0",'Entries September 2026'!AH29-'Entries September 2026'!AH28)</f>
        <v>0</v>
      </c>
      <c r="Z29" s="329">
        <f t="shared" si="2"/>
        <v>229</v>
      </c>
      <c r="AA29" s="330">
        <v>280.17</v>
      </c>
      <c r="AB29" s="331">
        <f t="shared" si="3"/>
        <v>8.1736088803226608</v>
      </c>
    </row>
    <row r="30" spans="1:32" x14ac:dyDescent="0.2">
      <c r="B30" s="693">
        <v>24</v>
      </c>
      <c r="C30" s="694" t="str">
        <f>IF('Entries September 2026'!W30-'Entries September 2026'!W29&lt;1,"0",'Entries September 2026'!W30-'Entries September 2026'!W29)</f>
        <v>0</v>
      </c>
      <c r="D30" s="695">
        <f>IF('Entries September 2026'!O30-'Entries September 2026'!O29&lt;1,"0",'Entries September 2026'!O30-'Entries September 2026'!O29)</f>
        <v>212</v>
      </c>
      <c r="E30" s="695">
        <f>IF('Entries September 2026'!P30-'Entries September 2026'!P29&lt;1,"0",'Entries September 2026'!P30-'Entries September 2026'!P29)</f>
        <v>158</v>
      </c>
      <c r="F30" s="695">
        <f>IF('Entries September 2026'!V30-'Entries September 2026'!V29&lt;1,"0",'Entries September 2026'!V30-'Entries September 2026'!V29)</f>
        <v>154</v>
      </c>
      <c r="G30" s="695">
        <f t="shared" si="0"/>
        <v>216</v>
      </c>
      <c r="H30" s="695">
        <f>IF('Entries September 2026'!Q30-'Entries September 2026'!Q29&lt;1,0,'Entries September 2026'!Q30-'Entries September 2026'!Q29)</f>
        <v>170</v>
      </c>
      <c r="I30" s="695">
        <f>IF('Entries September 2026'!AG30-'Entries September 2026'!AG29&lt;1,0,'Entries September 2026'!AG30-'Entries September 2026'!AG29)</f>
        <v>0</v>
      </c>
      <c r="J30" s="695">
        <f>IF('Entries September 2026'!S30-'Entries September 2026'!S29&lt;1,"0",'Entries September 2026'!S30-'Entries September 2026'!S29)</f>
        <v>148</v>
      </c>
      <c r="K30" s="695" t="str">
        <f>IF('Entries September 2026'!R30-'Entries September 2026'!R29&lt;1,"0",'Entries September 2026'!R30-'Entries September 2026'!R29)</f>
        <v>0</v>
      </c>
      <c r="L30" s="695" t="str">
        <f>IF('Entries September 2026'!T30-'Entries September 2026'!T29&lt;1,"0",'Entries September 2026'!T30-'Entries September 2026'!T29)</f>
        <v>0</v>
      </c>
      <c r="M30" s="695">
        <f>IF('Entries September 2026'!U30-'Entries September 2026'!U29&lt;1,"0",'Entries September 2026'!U30-'Entries September 2026'!U29)</f>
        <v>3</v>
      </c>
      <c r="N30" s="695">
        <f>IF('Entries September 2026'!X30-'Entries September 2026'!X29&lt;1,"0",'Entries September 2026'!X30-'Entries September 2026'!X29)</f>
        <v>16</v>
      </c>
      <c r="O30" s="695">
        <f>IF('Entries September 2026'!Y30-'Entries September 2026'!Y29&lt;1,"0",'Entries September 2026'!Y30-'Entries September 2026'!Y29)</f>
        <v>80</v>
      </c>
      <c r="P30" s="695">
        <f>IF('Entries September 2026'!AC30-'Entries September 2026'!AC29&lt;1,"0",'Entries September 2026'!AC30-'Entries September 2026'!AC29)</f>
        <v>15</v>
      </c>
      <c r="Q30" s="695">
        <f>IF('Entries September 2026'!Z30-'Entries September 2026'!Z29&lt;1,"0",'Entries September 2026'!Z30-'Entries September 2026'!Z29)</f>
        <v>16</v>
      </c>
      <c r="R30" s="695" t="str">
        <f>IF(('Entries September 2026'!AA30-'Entries September 2026'!AA29)+('Entries September 2026'!AB30-'Entries September 2026'!AB29)&lt;1,"0",('Entries September 2026'!AA30-'Entries September 2026'!AA29)+('Entries September 2026'!AB30-'Entries September 2026'!AB29))</f>
        <v>0</v>
      </c>
      <c r="S30" s="694">
        <f t="shared" si="4"/>
        <v>2160</v>
      </c>
      <c r="T30" s="694">
        <f t="shared" si="1"/>
        <v>99</v>
      </c>
      <c r="U30" s="695">
        <f>IF('Entries September 2026'!AC30-'Entries September 2026'!AC29&lt;1,"0",'Entries September 2026'!AC30-'Entries September 2026'!AC29)</f>
        <v>15</v>
      </c>
      <c r="V30" s="695" t="str">
        <f>IF('Entries September 2026'!AD30-'Entries September 2026'!AD29&lt;1,"0",'Entries September 2026'!AD30-'Entries September 2026'!AD29)</f>
        <v>0</v>
      </c>
      <c r="W30" s="695" t="str">
        <f>IF('Entries September 2026'!AE30-'Entries September 2026'!AE29&lt;1,"0",'Entries September 2026'!AE30-'Entries September 2026'!AE29)</f>
        <v>0</v>
      </c>
      <c r="X30" s="696" t="str">
        <f>IF('Entries September 2026'!AI30-'Entries September 2026'!AI29&lt;1,"0",'Entries September 2026'!AI30-'Entries September 2026'!AI29)</f>
        <v>0</v>
      </c>
      <c r="Y30" s="696" t="str">
        <f>IF('Entries September 2026'!AH30-'Entries September 2026'!AH29&lt;1,"0",'Entries September 2026'!AH30-'Entries September 2026'!AH29)</f>
        <v>0</v>
      </c>
      <c r="Z30" s="329">
        <f t="shared" si="2"/>
        <v>370</v>
      </c>
      <c r="AA30" s="330">
        <v>354.94800000000004</v>
      </c>
      <c r="AB30" s="331">
        <f t="shared" si="3"/>
        <v>10.424062116140956</v>
      </c>
    </row>
    <row r="31" spans="1:32" x14ac:dyDescent="0.2">
      <c r="B31" s="693">
        <v>25</v>
      </c>
      <c r="C31" s="694" t="str">
        <f>IF('Entries September 2026'!W31-'Entries September 2026'!W30&lt;1,"0",'Entries September 2026'!W31-'Entries September 2026'!W30)</f>
        <v>0</v>
      </c>
      <c r="D31" s="695">
        <f>IF('Entries September 2026'!O31-'Entries September 2026'!O30&lt;1,"0",'Entries September 2026'!O31-'Entries September 2026'!O30)</f>
        <v>104</v>
      </c>
      <c r="E31" s="695">
        <f>IF('Entries September 2026'!P31-'Entries September 2026'!P30&lt;1,"0",'Entries September 2026'!P31-'Entries September 2026'!P30)</f>
        <v>223</v>
      </c>
      <c r="F31" s="695">
        <f>IF('Entries September 2026'!V31-'Entries September 2026'!V30&lt;1,"0",'Entries September 2026'!V31-'Entries September 2026'!V30)</f>
        <v>234</v>
      </c>
      <c r="G31" s="695">
        <f t="shared" si="0"/>
        <v>93</v>
      </c>
      <c r="H31" s="695">
        <f>IF('Entries September 2026'!Q31-'Entries September 2026'!Q30&lt;1,0,'Entries September 2026'!Q31-'Entries September 2026'!Q30)</f>
        <v>163</v>
      </c>
      <c r="I31" s="695">
        <f>IF('Entries September 2026'!AG31-'Entries September 2026'!AG30&lt;1,0,'Entries September 2026'!AG31-'Entries September 2026'!AG30)</f>
        <v>0</v>
      </c>
      <c r="J31" s="695">
        <f>IF('Entries September 2026'!S31-'Entries September 2026'!S30&lt;1,"0",'Entries September 2026'!S31-'Entries September 2026'!S30)</f>
        <v>73</v>
      </c>
      <c r="K31" s="695" t="str">
        <f>IF('Entries September 2026'!R31-'Entries September 2026'!R30&lt;1,"0",'Entries September 2026'!R31-'Entries September 2026'!R30)</f>
        <v>0</v>
      </c>
      <c r="L31" s="695" t="str">
        <f>IF('Entries September 2026'!T31-'Entries September 2026'!T30&lt;1,"0",'Entries September 2026'!T31-'Entries September 2026'!T30)</f>
        <v>0</v>
      </c>
      <c r="M31" s="695">
        <f>IF('Entries September 2026'!U31-'Entries September 2026'!U30&lt;1,"0",'Entries September 2026'!U31-'Entries September 2026'!U30)</f>
        <v>1</v>
      </c>
      <c r="N31" s="695">
        <f>IF('Entries September 2026'!X31-'Entries September 2026'!X30&lt;1,"0",'Entries September 2026'!X31-'Entries September 2026'!X30)</f>
        <v>40</v>
      </c>
      <c r="O31" s="695">
        <f>IF('Entries September 2026'!Y31-'Entries September 2026'!Y30&lt;1,"0",'Entries September 2026'!Y31-'Entries September 2026'!Y30)</f>
        <v>66</v>
      </c>
      <c r="P31" s="695">
        <f>IF('Entries September 2026'!AC31-'Entries September 2026'!AC30&lt;1,"0",'Entries September 2026'!AC31-'Entries September 2026'!AC30)</f>
        <v>12</v>
      </c>
      <c r="Q31" s="695">
        <f>IF('Entries September 2026'!Z31-'Entries September 2026'!Z30&lt;1,"0",'Entries September 2026'!Z31-'Entries September 2026'!Z30)</f>
        <v>23</v>
      </c>
      <c r="R31" s="695" t="str">
        <f>IF(('Entries September 2026'!AA31-'Entries September 2026'!AA30)+('Entries September 2026'!AB31-'Entries September 2026'!AB30)&lt;1,"0",('Entries September 2026'!AA31-'Entries September 2026'!AA30)+('Entries September 2026'!AB31-'Entries September 2026'!AB30))</f>
        <v>0</v>
      </c>
      <c r="S31" s="694">
        <f t="shared" si="4"/>
        <v>930</v>
      </c>
      <c r="T31" s="694">
        <f t="shared" si="1"/>
        <v>107</v>
      </c>
      <c r="U31" s="695">
        <f>IF('Entries September 2026'!AC31-'Entries September 2026'!AC30&lt;1,"0",'Entries September 2026'!AC31-'Entries September 2026'!AC30)</f>
        <v>12</v>
      </c>
      <c r="V31" s="695" t="str">
        <f>IF('Entries September 2026'!AD31-'Entries September 2026'!AD30&lt;1,"0",'Entries September 2026'!AD31-'Entries September 2026'!AD30)</f>
        <v>0</v>
      </c>
      <c r="W31" s="695" t="str">
        <f>IF('Entries September 2026'!AE31-'Entries September 2026'!AE30&lt;1,"0",'Entries September 2026'!AE31-'Entries September 2026'!AE30)</f>
        <v>0</v>
      </c>
      <c r="X31" s="696" t="str">
        <f>IF('Entries September 2026'!AI31-'Entries September 2026'!AI30&lt;1,"0",'Entries September 2026'!AI31-'Entries September 2026'!AI30)</f>
        <v>0</v>
      </c>
      <c r="Y31" s="696" t="str">
        <f>IF('Entries September 2026'!AH31-'Entries September 2026'!AH30&lt;1,"0",'Entries September 2026'!AH31-'Entries September 2026'!AH30)</f>
        <v>0</v>
      </c>
      <c r="Z31" s="329">
        <f t="shared" si="2"/>
        <v>327</v>
      </c>
      <c r="AA31" s="330">
        <v>263.01</v>
      </c>
      <c r="AB31" s="331">
        <f t="shared" si="3"/>
        <v>12.432987338884454</v>
      </c>
      <c r="AF31" s="8" t="s">
        <v>55</v>
      </c>
    </row>
    <row r="32" spans="1:32" x14ac:dyDescent="0.2">
      <c r="B32" s="693">
        <v>26</v>
      </c>
      <c r="C32" s="694" t="str">
        <f>IF('Entries September 2026'!W32-'Entries September 2026'!W31&lt;1,"0",'Entries September 2026'!W32-'Entries September 2026'!W31)</f>
        <v>0</v>
      </c>
      <c r="D32" s="695">
        <f>IF('Entries September 2026'!O32-'Entries September 2026'!O31&lt;1,"0",'Entries September 2026'!O32-'Entries September 2026'!O31)</f>
        <v>2</v>
      </c>
      <c r="E32" s="695">
        <f>IF('Entries September 2026'!P32-'Entries September 2026'!P31&lt;1,"0",'Entries September 2026'!P32-'Entries September 2026'!P31)</f>
        <v>36</v>
      </c>
      <c r="F32" s="695">
        <f>IF('Entries September 2026'!V32-'Entries September 2026'!V31&lt;1,"0",'Entries September 2026'!V32-'Entries September 2026'!V31)</f>
        <v>38</v>
      </c>
      <c r="G32" s="695">
        <f t="shared" si="0"/>
        <v>0</v>
      </c>
      <c r="H32" s="695">
        <f>IF('Entries September 2026'!Q32-'Entries September 2026'!Q31&lt;1,0,'Entries September 2026'!Q32-'Entries September 2026'!Q31)</f>
        <v>68</v>
      </c>
      <c r="I32" s="695">
        <f>IF('Entries September 2026'!AG32-'Entries September 2026'!AG31&lt;1,0,'Entries September 2026'!AG32-'Entries September 2026'!AG31)</f>
        <v>0</v>
      </c>
      <c r="J32" s="695" t="str">
        <f>IF('Entries September 2026'!S32-'Entries September 2026'!S31&lt;1,"0",'Entries September 2026'!S32-'Entries September 2026'!S31)</f>
        <v>0</v>
      </c>
      <c r="K32" s="695" t="str">
        <f>IF('Entries September 2026'!R32-'Entries September 2026'!R31&lt;1,"0",'Entries September 2026'!R32-'Entries September 2026'!R31)</f>
        <v>0</v>
      </c>
      <c r="L32" s="695" t="str">
        <f>IF('Entries September 2026'!T32-'Entries September 2026'!T31&lt;1,"0",'Entries September 2026'!T32-'Entries September 2026'!T31)</f>
        <v>0</v>
      </c>
      <c r="M32" s="695" t="str">
        <f>IF('Entries September 2026'!U32-'Entries September 2026'!U31&lt;1,"0",'Entries September 2026'!U32-'Entries September 2026'!U31)</f>
        <v>0</v>
      </c>
      <c r="N32" s="695" t="str">
        <f>IF('Entries September 2026'!X32-'Entries September 2026'!X31&lt;1,"0",'Entries September 2026'!X32-'Entries September 2026'!X31)</f>
        <v>0</v>
      </c>
      <c r="O32" s="695" t="str">
        <f>IF('Entries September 2026'!Y32-'Entries September 2026'!Y31&lt;1,"0",'Entries September 2026'!Y32-'Entries September 2026'!Y31)</f>
        <v>0</v>
      </c>
      <c r="P32" s="695" t="str">
        <f>IF('Entries September 2026'!AC32-'Entries September 2026'!AC31&lt;1,"0",'Entries September 2026'!AC32-'Entries September 2026'!AC31)</f>
        <v>0</v>
      </c>
      <c r="Q32" s="695" t="str">
        <f>IF('Entries September 2026'!Z32-'Entries September 2026'!Z31&lt;1,"0",'Entries September 2026'!Z32-'Entries September 2026'!Z31)</f>
        <v>0</v>
      </c>
      <c r="R32" s="695" t="str">
        <f>IF(('Entries September 2026'!AA32-'Entries September 2026'!AA31)+('Entries September 2026'!AB32-'Entries September 2026'!AB31)&lt;1,"0",('Entries September 2026'!AA32-'Entries September 2026'!AA31)+('Entries September 2026'!AB32-'Entries September 2026'!AB31))</f>
        <v>0</v>
      </c>
      <c r="S32" s="694">
        <f t="shared" si="4"/>
        <v>0</v>
      </c>
      <c r="T32" s="694">
        <f t="shared" si="1"/>
        <v>0</v>
      </c>
      <c r="U32" s="695" t="str">
        <f>IF('Entries September 2026'!AC32-'Entries September 2026'!AC31&lt;1,"0",'Entries September 2026'!AC32-'Entries September 2026'!AC31)</f>
        <v>0</v>
      </c>
      <c r="V32" s="695" t="str">
        <f>IF('Entries September 2026'!AD32-'Entries September 2026'!AD31&lt;1,"0",'Entries September 2026'!AD32-'Entries September 2026'!AD31)</f>
        <v>0</v>
      </c>
      <c r="W32" s="695" t="str">
        <f>IF('Entries September 2026'!AE32-'Entries September 2026'!AE31&lt;1,"0",'Entries September 2026'!AE32-'Entries September 2026'!AE31)</f>
        <v>0</v>
      </c>
      <c r="X32" s="696" t="str">
        <f>IF('Entries September 2026'!AI32-'Entries September 2026'!AI31&lt;1,"0",'Entries September 2026'!AI32-'Entries September 2026'!AI31)</f>
        <v>0</v>
      </c>
      <c r="Y32" s="696" t="str">
        <f>IF('Entries September 2026'!AH32-'Entries September 2026'!AH31&lt;1,"0",'Entries September 2026'!AH32-'Entries September 2026'!AH31)</f>
        <v>0</v>
      </c>
      <c r="Z32" s="329">
        <f t="shared" si="2"/>
        <v>38</v>
      </c>
      <c r="AA32" s="330" t="str">
        <v>0</v>
      </c>
      <c r="AB32" s="331" t="str">
        <f t="shared" si="3"/>
        <v>0</v>
      </c>
    </row>
    <row r="33" spans="1:36" x14ac:dyDescent="0.2">
      <c r="A33" s="29"/>
      <c r="B33" s="693">
        <v>27</v>
      </c>
      <c r="C33" s="694" t="str">
        <f>IF('Entries September 2026'!W33-'Entries September 2026'!W32&lt;1,"0",'Entries September 2026'!W33-'Entries September 2026'!W32)</f>
        <v>0</v>
      </c>
      <c r="D33" s="695">
        <f>IF('Entries September 2026'!O33-'Entries September 2026'!O32&lt;1,"0",'Entries September 2026'!O33-'Entries September 2026'!O32)</f>
        <v>7</v>
      </c>
      <c r="E33" s="695" t="str">
        <f>IF('Entries September 2026'!P33-'Entries September 2026'!P32&lt;1,"0",'Entries September 2026'!P33-'Entries September 2026'!P32)</f>
        <v>0</v>
      </c>
      <c r="F33" s="695" t="str">
        <f>IF('Entries September 2026'!V33-'Entries September 2026'!V32&lt;1,"0",'Entries September 2026'!V33-'Entries September 2026'!V32)</f>
        <v>0</v>
      </c>
      <c r="G33" s="695">
        <f t="shared" si="0"/>
        <v>7</v>
      </c>
      <c r="H33" s="695">
        <f>IF('Entries September 2026'!Q33-'Entries September 2026'!Q32&lt;1,0,'Entries September 2026'!Q33-'Entries September 2026'!Q32)</f>
        <v>14</v>
      </c>
      <c r="I33" s="695">
        <f>IF('Entries September 2026'!AG33-'Entries September 2026'!AG32&lt;1,0,'Entries September 2026'!AG33-'Entries September 2026'!AG32)</f>
        <v>0</v>
      </c>
      <c r="J33" s="695" t="str">
        <f>IF('Entries September 2026'!S33-'Entries September 2026'!S32&lt;1,"0",'Entries September 2026'!S33-'Entries September 2026'!S32)</f>
        <v>0</v>
      </c>
      <c r="K33" s="695" t="str">
        <f>IF('Entries September 2026'!R33-'Entries September 2026'!R32&lt;1,"0",'Entries September 2026'!R33-'Entries September 2026'!R32)</f>
        <v>0</v>
      </c>
      <c r="L33" s="695" t="str">
        <f>IF('Entries September 2026'!T33-'Entries September 2026'!T32&lt;1,"0",'Entries September 2026'!T33-'Entries September 2026'!T32)</f>
        <v>0</v>
      </c>
      <c r="M33" s="695" t="str">
        <f>IF('Entries September 2026'!U33-'Entries September 2026'!U32&lt;1,"0",'Entries September 2026'!U33-'Entries September 2026'!U32)</f>
        <v>0</v>
      </c>
      <c r="N33" s="695" t="str">
        <f>IF('Entries September 2026'!X33-'Entries September 2026'!X32&lt;1,"0",'Entries September 2026'!X33-'Entries September 2026'!X32)</f>
        <v>0</v>
      </c>
      <c r="O33" s="695">
        <f>IF('Entries September 2026'!Y33-'Entries September 2026'!Y32&lt;1,"0",'Entries September 2026'!Y33-'Entries September 2026'!Y32)</f>
        <v>31</v>
      </c>
      <c r="P33" s="695">
        <f>IF('Entries September 2026'!AC33-'Entries September 2026'!AC32&lt;1,"0",'Entries September 2026'!AC33-'Entries September 2026'!AC32)</f>
        <v>1</v>
      </c>
      <c r="Q33" s="695" t="str">
        <f>IF('Entries September 2026'!Z33-'Entries September 2026'!Z32&lt;1,"0",'Entries September 2026'!Z33-'Entries September 2026'!Z32)</f>
        <v>0</v>
      </c>
      <c r="R33" s="695" t="str">
        <f>IF(('Entries September 2026'!AA33-'Entries September 2026'!AA32)+('Entries September 2026'!AB33-'Entries September 2026'!AB32)&lt;1,"0",('Entries September 2026'!AA33-'Entries September 2026'!AA32)+('Entries September 2026'!AB33-'Entries September 2026'!AB32))</f>
        <v>0</v>
      </c>
      <c r="S33" s="694">
        <f t="shared" si="4"/>
        <v>70</v>
      </c>
      <c r="T33" s="694">
        <f t="shared" si="1"/>
        <v>31</v>
      </c>
      <c r="U33" s="695">
        <f>IF('Entries September 2026'!AC33-'Entries September 2026'!AC32&lt;1,"0",'Entries September 2026'!AC33-'Entries September 2026'!AC32)</f>
        <v>1</v>
      </c>
      <c r="V33" s="695" t="str">
        <f>IF('Entries September 2026'!AD33-'Entries September 2026'!AD32&lt;1,"0",'Entries September 2026'!AD33-'Entries September 2026'!AD32)</f>
        <v>0</v>
      </c>
      <c r="W33" s="695" t="str">
        <f>IF('Entries September 2026'!AE33-'Entries September 2026'!AE32&lt;1,"0",'Entries September 2026'!AE33-'Entries September 2026'!AE32)</f>
        <v>0</v>
      </c>
      <c r="X33" s="696" t="str">
        <f>IF('Entries September 2026'!AI33-'Entries September 2026'!AI32&lt;1,"0",'Entries September 2026'!AI33-'Entries September 2026'!AI32)</f>
        <v>0</v>
      </c>
      <c r="Y33" s="696" t="str">
        <f>IF('Entries September 2026'!AH33-'Entries September 2026'!AH32&lt;1,"0",'Entries September 2026'!AH33-'Entries September 2026'!AH32)</f>
        <v>0</v>
      </c>
      <c r="Z33" s="329">
        <f t="shared" si="2"/>
        <v>7</v>
      </c>
      <c r="AA33" s="330" t="str">
        <v>0</v>
      </c>
      <c r="AB33" s="331" t="str">
        <f t="shared" si="3"/>
        <v>0</v>
      </c>
    </row>
    <row r="34" spans="1:36" x14ac:dyDescent="0.2">
      <c r="A34" s="29"/>
      <c r="B34" s="693">
        <v>28</v>
      </c>
      <c r="C34" s="694" t="str">
        <f>IF('Entries September 2026'!W34-'Entries September 2026'!W33&lt;1,"0",'Entries September 2026'!W34-'Entries September 2026'!W33)</f>
        <v>0</v>
      </c>
      <c r="D34" s="695" t="str">
        <f>IF('Entries September 2026'!O34-'Entries September 2026'!O33&lt;1,"0",'Entries September 2026'!O34-'Entries September 2026'!O33)</f>
        <v>0</v>
      </c>
      <c r="E34" s="695" t="str">
        <f>IF('Entries September 2026'!P34-'Entries September 2026'!P33&lt;1,"0",'Entries September 2026'!P34-'Entries September 2026'!P33)</f>
        <v>0</v>
      </c>
      <c r="F34" s="695" t="str">
        <f>IF('Entries September 2026'!V34-'Entries September 2026'!V33&lt;1,"0",'Entries September 2026'!V34-'Entries September 2026'!V33)</f>
        <v>0</v>
      </c>
      <c r="G34" s="695">
        <f t="shared" si="0"/>
        <v>0</v>
      </c>
      <c r="H34" s="695">
        <f>IF('Entries September 2026'!Q34-'Entries September 2026'!Q33&lt;1,0,'Entries September 2026'!Q34-'Entries September 2026'!Q33)</f>
        <v>0</v>
      </c>
      <c r="I34" s="695">
        <f>IF('Entries September 2026'!AG34-'Entries September 2026'!AG33&lt;1,0,'Entries September 2026'!AG34-'Entries September 2026'!AG33)</f>
        <v>0</v>
      </c>
      <c r="J34" s="695" t="str">
        <f>IF('Entries September 2026'!S34-'Entries September 2026'!S33&lt;1,"0",'Entries September 2026'!S34-'Entries September 2026'!S33)</f>
        <v>0</v>
      </c>
      <c r="K34" s="695" t="str">
        <f>IF('Entries September 2026'!R34-'Entries September 2026'!R33&lt;1,"0",'Entries September 2026'!R34-'Entries September 2026'!R33)</f>
        <v>0</v>
      </c>
      <c r="L34" s="695" t="str">
        <f>IF('Entries September 2026'!T34-'Entries September 2026'!T33&lt;1,"0",'Entries September 2026'!T34-'Entries September 2026'!T33)</f>
        <v>0</v>
      </c>
      <c r="M34" s="695" t="str">
        <f>IF('Entries September 2026'!U34-'Entries September 2026'!U33&lt;1,"0",'Entries September 2026'!U34-'Entries September 2026'!U33)</f>
        <v>0</v>
      </c>
      <c r="N34" s="695" t="str">
        <f>IF('Entries September 2026'!X34-'Entries September 2026'!X33&lt;1,"0",'Entries September 2026'!X34-'Entries September 2026'!X33)</f>
        <v>0</v>
      </c>
      <c r="O34" s="695" t="str">
        <f>IF('Entries September 2026'!Y34-'Entries September 2026'!Y33&lt;1,"0",'Entries September 2026'!Y34-'Entries September 2026'!Y33)</f>
        <v>0</v>
      </c>
      <c r="P34" s="695" t="str">
        <f>IF('Entries September 2026'!AC34-'Entries September 2026'!AC33&lt;1,"0",'Entries September 2026'!AC34-'Entries September 2026'!AC33)</f>
        <v>0</v>
      </c>
      <c r="Q34" s="695" t="str">
        <f>IF('Entries September 2026'!Z34-'Entries September 2026'!Z33&lt;1,"0",'Entries September 2026'!Z34-'Entries September 2026'!Z33)</f>
        <v>0</v>
      </c>
      <c r="R34" s="695" t="str">
        <f>IF(('Entries September 2026'!AA34-'Entries September 2026'!AA33)+('Entries September 2026'!AB34-'Entries September 2026'!AB33)&lt;1,"0",('Entries September 2026'!AA34-'Entries September 2026'!AA33)+('Entries September 2026'!AB34-'Entries September 2026'!AB33))</f>
        <v>0</v>
      </c>
      <c r="S34" s="694">
        <f t="shared" si="4"/>
        <v>0</v>
      </c>
      <c r="T34" s="694">
        <f t="shared" si="1"/>
        <v>0</v>
      </c>
      <c r="U34" s="695" t="str">
        <f>IF('Entries September 2026'!AC34-'Entries September 2026'!AC33&lt;1,"0",'Entries September 2026'!AC34-'Entries September 2026'!AC33)</f>
        <v>0</v>
      </c>
      <c r="V34" s="695" t="str">
        <f>IF('Entries September 2026'!AD34-'Entries September 2026'!AD33&lt;1,"0",'Entries September 2026'!AD34-'Entries September 2026'!AD33)</f>
        <v>0</v>
      </c>
      <c r="W34" s="695" t="str">
        <f>IF('Entries September 2026'!AE34-'Entries September 2026'!AE33&lt;1,"0",'Entries September 2026'!AE34-'Entries September 2026'!AE33)</f>
        <v>0</v>
      </c>
      <c r="X34" s="696" t="str">
        <f>IF('Entries September 2026'!AI34-'Entries September 2026'!AI33&lt;1,"0",'Entries September 2026'!AI34-'Entries September 2026'!AI33)</f>
        <v>0</v>
      </c>
      <c r="Y34" s="696" t="str">
        <f>IF('Entries September 2026'!AH34-'Entries September 2026'!AH33&lt;1,"0",'Entries September 2026'!AH34-'Entries September 2026'!AH33)</f>
        <v>0</v>
      </c>
      <c r="Z34" s="329">
        <f t="shared" si="2"/>
        <v>0</v>
      </c>
      <c r="AA34" s="330">
        <v>258.72000000000003</v>
      </c>
      <c r="AB34" s="331">
        <f t="shared" si="3"/>
        <v>0</v>
      </c>
    </row>
    <row r="35" spans="1:36" x14ac:dyDescent="0.2">
      <c r="B35" s="693">
        <v>29</v>
      </c>
      <c r="C35" s="694" t="str">
        <f>IF('Entries September 2026'!W35-'Entries September 2026'!W34&lt;1,"0",'Entries September 2026'!W35-'Entries September 2026'!W34)</f>
        <v>0</v>
      </c>
      <c r="D35" s="695" t="str">
        <f>IF('Entries September 2026'!O35-'Entries September 2026'!O34&lt;1,"0",'Entries September 2026'!O35-'Entries September 2026'!O34)</f>
        <v>0</v>
      </c>
      <c r="E35" s="695" t="str">
        <f>IF('Entries September 2026'!P35-'Entries September 2026'!P34&lt;1,"0",'Entries September 2026'!P35-'Entries September 2026'!P34)</f>
        <v>0</v>
      </c>
      <c r="F35" s="695" t="str">
        <f>IF('Entries September 2026'!V35-'Entries September 2026'!V34&lt;1,"0",'Entries September 2026'!V35-'Entries September 2026'!V34)</f>
        <v>0</v>
      </c>
      <c r="G35" s="695">
        <f t="shared" si="0"/>
        <v>0</v>
      </c>
      <c r="H35" s="695">
        <f>IF('Entries September 2026'!Q35-'Entries September 2026'!Q34&lt;1,0,'Entries September 2026'!Q35-'Entries September 2026'!Q34)</f>
        <v>0</v>
      </c>
      <c r="I35" s="695">
        <f>IF('Entries September 2026'!AG35-'Entries September 2026'!AG34&lt;1,0,'Entries September 2026'!AG35-'Entries September 2026'!AG34)</f>
        <v>0</v>
      </c>
      <c r="J35" s="695" t="str">
        <f>IF('Entries September 2026'!S35-'Entries September 2026'!S34&lt;1,"0",'Entries September 2026'!S35-'Entries September 2026'!S34)</f>
        <v>0</v>
      </c>
      <c r="K35" s="695" t="str">
        <f>IF('Entries September 2026'!R35-'Entries September 2026'!R34&lt;1,"0",'Entries September 2026'!R35-'Entries September 2026'!R34)</f>
        <v>0</v>
      </c>
      <c r="L35" s="695" t="str">
        <f>IF('Entries September 2026'!T35-'Entries September 2026'!T34&lt;1,"0",'Entries September 2026'!T35-'Entries September 2026'!T34)</f>
        <v>0</v>
      </c>
      <c r="M35" s="695" t="str">
        <f>IF('Entries September 2026'!U35-'Entries September 2026'!U34&lt;1,"0",'Entries September 2026'!U35-'Entries September 2026'!U34)</f>
        <v>0</v>
      </c>
      <c r="N35" s="695" t="str">
        <f>IF('Entries September 2026'!X35-'Entries September 2026'!X34&lt;1,"0",'Entries September 2026'!X35-'Entries September 2026'!X34)</f>
        <v>0</v>
      </c>
      <c r="O35" s="695" t="str">
        <f>IF('Entries September 2026'!Y35-'Entries September 2026'!Y34&lt;1,"0",'Entries September 2026'!Y35-'Entries September 2026'!Y34)</f>
        <v>0</v>
      </c>
      <c r="P35" s="695" t="str">
        <f>IF('Entries September 2026'!AC35-'Entries September 2026'!AC34&lt;1,"0",'Entries September 2026'!AC35-'Entries September 2026'!AC34)</f>
        <v>0</v>
      </c>
      <c r="Q35" s="695" t="str">
        <f>IF('Entries September 2026'!Z35-'Entries September 2026'!Z34&lt;1,"0",'Entries September 2026'!Z35-'Entries September 2026'!Z34)</f>
        <v>0</v>
      </c>
      <c r="R35" s="695" t="str">
        <f>IF(('Entries September 2026'!AA35-'Entries September 2026'!AA34)+('Entries September 2026'!AB35-'Entries September 2026'!AB34)&lt;1,"0",('Entries September 2026'!AA35-'Entries September 2026'!AA34)+('Entries September 2026'!AB35-'Entries September 2026'!AB34))</f>
        <v>0</v>
      </c>
      <c r="S35" s="694">
        <f t="shared" si="4"/>
        <v>0</v>
      </c>
      <c r="T35" s="694">
        <f t="shared" si="1"/>
        <v>0</v>
      </c>
      <c r="U35" s="695" t="str">
        <f>IF('Entries September 2026'!AC35-'Entries September 2026'!AC34&lt;1,"0",'Entries September 2026'!AC35-'Entries September 2026'!AC34)</f>
        <v>0</v>
      </c>
      <c r="V35" s="695" t="str">
        <f>IF('Entries September 2026'!AD35-'Entries September 2026'!AD34&lt;1,"0",'Entries September 2026'!AD35-'Entries September 2026'!AD34)</f>
        <v>0</v>
      </c>
      <c r="W35" s="695" t="str">
        <f>IF('Entries September 2026'!AE35-'Entries September 2026'!AE34&lt;1,"0",'Entries September 2026'!AE35-'Entries September 2026'!AE34)</f>
        <v>0</v>
      </c>
      <c r="X35" s="696" t="str">
        <f>IF('Entries September 2026'!AI35-'Entries September 2026'!AI34&lt;1,"0",'Entries September 2026'!AI35-'Entries September 2026'!AI34)</f>
        <v>0</v>
      </c>
      <c r="Y35" s="696" t="str">
        <f>IF('Entries September 2026'!AH35-'Entries September 2026'!AH34&lt;1,"0",'Entries September 2026'!AH35-'Entries September 2026'!AH34)</f>
        <v>0</v>
      </c>
      <c r="Z35" s="329">
        <f>C35+D35+E35</f>
        <v>0</v>
      </c>
      <c r="AA35" s="330" t="str">
        <v>0</v>
      </c>
      <c r="AB35" s="331" t="str">
        <f t="shared" si="3"/>
        <v>0</v>
      </c>
    </row>
    <row r="36" spans="1:36" x14ac:dyDescent="0.2">
      <c r="B36" s="693">
        <v>30</v>
      </c>
      <c r="C36" s="694" t="str">
        <f>IF('Entries September 2026'!W36-'Entries September 2026'!W35&lt;1,"0",'Entries September 2026'!W36-'Entries September 2026'!W35)</f>
        <v>0</v>
      </c>
      <c r="D36" s="695" t="str">
        <f>IF('Entries September 2026'!O36-'Entries September 2026'!O35&lt;1,"0",'Entries September 2026'!O36-'Entries September 2026'!O35)</f>
        <v>0</v>
      </c>
      <c r="E36" s="695" t="str">
        <f>IF('Entries September 2026'!P36-'Entries September 2026'!P35&lt;1,"0",'Entries September 2026'!P36-'Entries September 2026'!P35)</f>
        <v>0</v>
      </c>
      <c r="F36" s="695" t="str">
        <f>IF('Entries September 2026'!V36-'Entries September 2026'!V35&lt;1,"0",'Entries September 2026'!V36-'Entries September 2026'!V35)</f>
        <v>0</v>
      </c>
      <c r="G36" s="695">
        <f t="shared" si="0"/>
        <v>0</v>
      </c>
      <c r="H36" s="695">
        <f>IF('Entries September 2026'!Q36-'Entries September 2026'!Q35&lt;1,0,'Entries September 2026'!Q36-'Entries September 2026'!Q35)</f>
        <v>0</v>
      </c>
      <c r="I36" s="695">
        <f>IF('Entries September 2026'!AG36-'Entries September 2026'!AG35&lt;1,0,'Entries September 2026'!AG36-'Entries September 2026'!AG35)</f>
        <v>0</v>
      </c>
      <c r="J36" s="695" t="str">
        <f>IF('Entries September 2026'!S36-'Entries September 2026'!S35&lt;1,"0",'Entries September 2026'!S36-'Entries September 2026'!S35)</f>
        <v>0</v>
      </c>
      <c r="K36" s="695" t="str">
        <f>IF('Entries September 2026'!R36-'Entries September 2026'!R35&lt;1,"0",'Entries September 2026'!R36-'Entries September 2026'!R35)</f>
        <v>0</v>
      </c>
      <c r="L36" s="695" t="str">
        <f>IF('Entries September 2026'!T36-'Entries September 2026'!T35&lt;1,"0",'Entries September 2026'!T36-'Entries September 2026'!T35)</f>
        <v>0</v>
      </c>
      <c r="M36" s="695" t="str">
        <f>IF('Entries September 2026'!U36-'Entries September 2026'!U35&lt;1,"0",'Entries September 2026'!U36-'Entries September 2026'!U35)</f>
        <v>0</v>
      </c>
      <c r="N36" s="695" t="str">
        <f>IF('Entries September 2026'!X36-'Entries September 2026'!X35&lt;1,"0",'Entries September 2026'!X36-'Entries September 2026'!X35)</f>
        <v>0</v>
      </c>
      <c r="O36" s="695" t="str">
        <f>IF('Entries September 2026'!Y36-'Entries September 2026'!Y35&lt;1,"0",'Entries September 2026'!Y36-'Entries September 2026'!Y35)</f>
        <v>0</v>
      </c>
      <c r="P36" s="695" t="str">
        <f>IF('Entries September 2026'!AC36-'Entries September 2026'!AC35&lt;1,"0",'Entries September 2026'!AC36-'Entries September 2026'!AC35)</f>
        <v>0</v>
      </c>
      <c r="Q36" s="695" t="str">
        <f>IF('Entries September 2026'!Z36-'Entries September 2026'!Z35&lt;1,"0",'Entries September 2026'!Z36-'Entries September 2026'!Z35)</f>
        <v>0</v>
      </c>
      <c r="R36" s="695" t="str">
        <f>IF(('Entries September 2026'!AA36-'Entries September 2026'!AA35)+('Entries September 2026'!AB36-'Entries September 2026'!AB35)&lt;1,"0",('Entries September 2026'!AA36-'Entries September 2026'!AA35)+('Entries September 2026'!AB36-'Entries September 2026'!AB35))</f>
        <v>0</v>
      </c>
      <c r="S36" s="694">
        <f t="shared" si="4"/>
        <v>0</v>
      </c>
      <c r="T36" s="694">
        <f t="shared" si="1"/>
        <v>0</v>
      </c>
      <c r="U36" s="695" t="str">
        <f>IF('Entries September 2026'!AC36-'Entries September 2026'!AC35&lt;1,"0",'Entries September 2026'!AC36-'Entries September 2026'!AC35)</f>
        <v>0</v>
      </c>
      <c r="V36" s="695" t="str">
        <f>IF('Entries September 2026'!AD36-'Entries September 2026'!AD35&lt;1,"0",'Entries September 2026'!AD36-'Entries September 2026'!AD35)</f>
        <v>0</v>
      </c>
      <c r="W36" s="695" t="str">
        <f>IF('Entries September 2026'!AE36-'Entries September 2026'!AE35&lt;1,"0",'Entries September 2026'!AE36-'Entries September 2026'!AE35)</f>
        <v>0</v>
      </c>
      <c r="X36" s="696" t="str">
        <f>IF('Entries September 2026'!AI36-'Entries September 2026'!AI35&lt;1,"0",'Entries September 2026'!AI36-'Entries September 2026'!AI35)</f>
        <v>0</v>
      </c>
      <c r="Y36" s="696" t="str">
        <f>IF('Entries September 2026'!AH36-'Entries September 2026'!AH35&lt;1,"0",'Entries September 2026'!AH36-'Entries September 2026'!AH35)</f>
        <v>0</v>
      </c>
      <c r="Z36" s="329">
        <f t="shared" si="2"/>
        <v>0</v>
      </c>
      <c r="AA36" s="330" t="str">
        <v>0</v>
      </c>
      <c r="AB36" s="331" t="str">
        <f t="shared" si="3"/>
        <v>0</v>
      </c>
    </row>
    <row r="37" spans="1:36" ht="15.75" x14ac:dyDescent="0.2">
      <c r="B37" s="693">
        <v>31</v>
      </c>
      <c r="C37" s="694" t="str">
        <f>IF('Entries September 2026'!W37-'Entries September 2026'!W36&lt;1,"0",'Entries September 2026'!W37-'Entries September 2026'!W36)</f>
        <v>0</v>
      </c>
      <c r="D37" s="695" t="str">
        <f>IF('Entries September 2026'!O37-'Entries September 2026'!O36&lt;1,"0",'Entries September 2026'!O37-'Entries September 2026'!O36)</f>
        <v>0</v>
      </c>
      <c r="E37" s="695" t="str">
        <f>IF('Entries September 2026'!P37-'Entries September 2026'!P36&lt;1,"0",'Entries September 2026'!P37-'Entries September 2026'!P36)</f>
        <v>0</v>
      </c>
      <c r="F37" s="695" t="str">
        <f>IF('Entries September 2026'!V37-'Entries September 2026'!V36&lt;1,"0",'Entries September 2026'!V37-'Entries September 2026'!V36)</f>
        <v>0</v>
      </c>
      <c r="G37" s="695">
        <f t="shared" si="0"/>
        <v>0</v>
      </c>
      <c r="H37" s="695"/>
      <c r="I37" s="695"/>
      <c r="J37" s="695" t="str">
        <f>IF('Entries September 2026'!S37-'Entries September 2026'!S36&lt;1,"0",'Entries September 2026'!S37-'Entries September 2026'!S36)</f>
        <v>0</v>
      </c>
      <c r="K37" s="695" t="str">
        <f>IF('Entries September 2026'!R37-'Entries September 2026'!R36&lt;1,"0",'Entries September 2026'!R37-'Entries September 2026'!R36)</f>
        <v>0</v>
      </c>
      <c r="L37" s="695" t="str">
        <f>IF('Entries September 2026'!T37-'Entries September 2026'!T36&lt;1,"0",'Entries September 2026'!T37-'Entries September 2026'!T36)</f>
        <v>0</v>
      </c>
      <c r="M37" s="695" t="str">
        <f>IF('Entries September 2026'!U37-'Entries September 2026'!U36&lt;1,"0",'Entries September 2026'!U37-'Entries September 2026'!U36)</f>
        <v>0</v>
      </c>
      <c r="N37" s="695" t="str">
        <f>IF('Entries September 2026'!X37-'Entries September 2026'!X36&lt;1,"0",'Entries September 2026'!X37-'Entries September 2026'!X36)</f>
        <v>0</v>
      </c>
      <c r="O37" s="695" t="str">
        <f>IF('Entries September 2026'!Y37-'Entries September 2026'!Y36&lt;1,"0",'Entries September 2026'!Y37-'Entries September 2026'!Y36)</f>
        <v>0</v>
      </c>
      <c r="P37" s="695" t="str">
        <f>IF('Entries September 2026'!AC37-'Entries September 2026'!AC36&lt;1,"0",'Entries September 2026'!AC37-'Entries September 2026'!AC36)</f>
        <v>0</v>
      </c>
      <c r="Q37" s="695" t="str">
        <f>IF('Entries September 2026'!Z37-'Entries September 2026'!Z36&lt;1,"0",'Entries September 2026'!Z37-'Entries September 2026'!Z36)</f>
        <v>0</v>
      </c>
      <c r="R37" s="695" t="str">
        <f>IF(('Entries September 2026'!AA37-'Entries September 2026'!AA36)+('Entries September 2026'!AB37-'Entries September 2026'!AB36)&lt;1,"0",('Entries September 2026'!AA37-'Entries September 2026'!AA36)+('Entries September 2026'!AB37-'Entries September 2026'!AB36))</f>
        <v>0</v>
      </c>
      <c r="S37" s="694">
        <f t="shared" si="4"/>
        <v>0</v>
      </c>
      <c r="T37" s="694"/>
      <c r="U37" s="695" t="str">
        <f>IF('Entries September 2026'!AC37-'Entries September 2026'!AC36&lt;1,"0",'Entries September 2026'!AC37-'Entries September 2026'!AC36)</f>
        <v>0</v>
      </c>
      <c r="V37" s="695" t="str">
        <f>IF('Entries September 2026'!AD37-'Entries September 2026'!AD36&lt;1,"0",'Entries September 2026'!AD37-'Entries September 2026'!AD36)</f>
        <v>0</v>
      </c>
      <c r="W37" s="695" t="str">
        <f>IF('Entries September 2026'!AE37-'Entries September 2026'!AE36&lt;1,"0",'Entries September 2026'!AE37-'Entries September 2026'!AE36)</f>
        <v>0</v>
      </c>
      <c r="X37" s="696" t="str">
        <f>IF('Entries September 2026'!AI37-'Entries September 2026'!AI36&lt;1,"0",'Entries September 2026'!AI37-'Entries September 2026'!AI36)</f>
        <v>0</v>
      </c>
      <c r="Y37" s="696" t="str">
        <f>IF('Entries September 2026'!AH37-'Entries September 2026'!AH36&lt;1,"0",'Entries September 2026'!AH37-'Entries September 2026'!AH36)</f>
        <v>0</v>
      </c>
      <c r="Z37" s="329">
        <f t="shared" si="2"/>
        <v>0</v>
      </c>
      <c r="AA37" s="330" t="str">
        <v>0</v>
      </c>
      <c r="AB37" s="331"/>
      <c r="AC37" s="320"/>
      <c r="AD37" s="189"/>
    </row>
    <row r="38" spans="1:36" s="301" customFormat="1" ht="18" x14ac:dyDescent="0.25">
      <c r="A38" s="301" t="s">
        <v>82</v>
      </c>
      <c r="B38" s="302" t="s">
        <v>52</v>
      </c>
      <c r="C38" s="303">
        <f t="shared" ref="C38:O38" si="5">SUM(C7:C37)</f>
        <v>0</v>
      </c>
      <c r="D38" s="303">
        <f>SUM(D7:D37)</f>
        <v>4091</v>
      </c>
      <c r="E38" s="303">
        <f>SUM(E7:E37)</f>
        <v>3855</v>
      </c>
      <c r="F38" s="303">
        <f>SUM(F7:F37)</f>
        <v>3834</v>
      </c>
      <c r="G38" s="304">
        <f>SUM(G7:G37)</f>
        <v>4112</v>
      </c>
      <c r="H38" s="303">
        <f t="shared" si="5"/>
        <v>4468</v>
      </c>
      <c r="I38" s="303"/>
      <c r="J38" s="303">
        <f t="shared" si="5"/>
        <v>2639</v>
      </c>
      <c r="K38" s="303"/>
      <c r="L38" s="303">
        <f t="shared" si="5"/>
        <v>0</v>
      </c>
      <c r="M38" s="303">
        <f>SUM(M7:M37)</f>
        <v>61</v>
      </c>
      <c r="N38" s="303">
        <f t="shared" si="5"/>
        <v>873</v>
      </c>
      <c r="O38" s="303">
        <f t="shared" si="5"/>
        <v>1856</v>
      </c>
      <c r="P38" s="303">
        <f>SUM(P7:P37)</f>
        <v>320</v>
      </c>
      <c r="Q38" s="303">
        <f>SUM(Q7:Q37)</f>
        <v>383</v>
      </c>
      <c r="R38" s="303">
        <f>SUM(R7:R34)</f>
        <v>0</v>
      </c>
      <c r="S38" s="304">
        <f>SUM(S7:S37)</f>
        <v>41120</v>
      </c>
      <c r="T38" s="304">
        <f>SUM(T7:T37)</f>
        <v>2790</v>
      </c>
      <c r="U38" s="303">
        <f>SUM(U7:U37)</f>
        <v>320</v>
      </c>
      <c r="V38" s="303">
        <f>SUM(V7:V37)</f>
        <v>0</v>
      </c>
      <c r="W38" s="303"/>
      <c r="X38" s="303"/>
      <c r="Y38" s="303"/>
      <c r="Z38" s="332">
        <f>SUM(Z7:Z37)</f>
        <v>7946</v>
      </c>
      <c r="AA38" s="332">
        <f>SUM(AA7:AA37)</f>
        <v>6666.4620000000014</v>
      </c>
      <c r="AB38" s="331">
        <f>IF(AA38=0,"0",(Z38*10/AA38))</f>
        <v>11.919365924533881</v>
      </c>
      <c r="AC38" s="321">
        <v>10.199999999999999</v>
      </c>
      <c r="AD38" s="340">
        <f>AB38/AC38*100</f>
        <v>116.85652867190082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55</v>
      </c>
      <c r="B40" s="17" t="s">
        <v>79</v>
      </c>
      <c r="C40" s="15"/>
      <c r="D40" s="15">
        <f>D38*220</f>
        <v>900020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83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85</v>
      </c>
      <c r="C43" s="17"/>
      <c r="D43" s="17">
        <f>+D41*D40</f>
        <v>14229.316200000001</v>
      </c>
      <c r="E43" s="17"/>
      <c r="F43" s="36"/>
      <c r="G43" s="17"/>
      <c r="H43" s="17"/>
      <c r="I43" s="17"/>
    </row>
    <row r="44" spans="1:36" x14ac:dyDescent="0.2">
      <c r="A44" s="17"/>
      <c r="B44" s="17" t="s">
        <v>84</v>
      </c>
      <c r="C44" s="17"/>
      <c r="D44" s="26">
        <v>278.97000000000003</v>
      </c>
      <c r="E44" s="323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22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14508.2862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86</v>
      </c>
      <c r="D47" s="23">
        <f>+D45*2/3</f>
        <v>9672.1908000000003</v>
      </c>
      <c r="E47" s="324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87</v>
      </c>
      <c r="C49" s="24"/>
      <c r="D49" s="28">
        <f>SUM(D47,D45)</f>
        <v>24180.476999999999</v>
      </c>
      <c r="E49" s="325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47" priority="1" operator="lessThan">
      <formula>10.2</formula>
    </cfRule>
    <cfRule type="cellIs" dxfId="46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topLeftCell="A6" colorId="22" workbookViewId="0">
      <selection activeCell="B20" sqref="B20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34"/>
    <col min="9" max="16384" width="12.5703125" style="8"/>
  </cols>
  <sheetData>
    <row r="1" spans="1:10" ht="15.75" x14ac:dyDescent="0.25">
      <c r="A1" s="983" t="s">
        <v>295</v>
      </c>
      <c r="B1" s="984"/>
      <c r="C1" s="984"/>
      <c r="D1" s="985"/>
      <c r="E1" s="984"/>
      <c r="F1" s="984"/>
      <c r="G1" s="986"/>
    </row>
    <row r="2" spans="1:10" x14ac:dyDescent="0.2">
      <c r="B2" s="9"/>
      <c r="C2" s="359"/>
      <c r="D2" s="359"/>
    </row>
    <row r="3" spans="1:10" ht="15.75" thickBot="1" x14ac:dyDescent="0.25">
      <c r="B3" s="9"/>
      <c r="C3" s="359"/>
      <c r="D3" s="359"/>
    </row>
    <row r="4" spans="1:10" ht="15.75" x14ac:dyDescent="0.25">
      <c r="A4" s="997" t="s">
        <v>7</v>
      </c>
      <c r="B4" s="39" t="s">
        <v>46</v>
      </c>
      <c r="C4" s="360" t="s">
        <v>47</v>
      </c>
      <c r="D4" s="361" t="s">
        <v>285</v>
      </c>
      <c r="E4" s="987" t="s">
        <v>245</v>
      </c>
      <c r="F4" s="990" t="s">
        <v>243</v>
      </c>
      <c r="G4" s="993" t="s">
        <v>253</v>
      </c>
      <c r="H4" s="996"/>
    </row>
    <row r="5" spans="1:10" ht="15.75" x14ac:dyDescent="0.25">
      <c r="A5" s="998"/>
      <c r="B5" s="34" t="s">
        <v>48</v>
      </c>
      <c r="C5" s="361" t="s">
        <v>49</v>
      </c>
      <c r="D5" s="361" t="s">
        <v>49</v>
      </c>
      <c r="E5" s="988"/>
      <c r="F5" s="991"/>
      <c r="G5" s="994"/>
      <c r="H5" s="996"/>
    </row>
    <row r="6" spans="1:10" ht="16.5" thickBot="1" x14ac:dyDescent="0.3">
      <c r="A6" s="999"/>
      <c r="B6" s="40"/>
      <c r="C6" s="362"/>
      <c r="D6" s="361"/>
      <c r="E6" s="989"/>
      <c r="F6" s="992"/>
      <c r="G6" s="995"/>
      <c r="H6" s="996"/>
    </row>
    <row r="7" spans="1:10" ht="18" x14ac:dyDescent="0.2">
      <c r="A7" s="688">
        <v>1</v>
      </c>
      <c r="B7" s="749">
        <f>'Utility Analysis September 2026'!D10</f>
        <v>8735</v>
      </c>
      <c r="C7" s="750">
        <f>'Utility Analysis September 2026'!G10</f>
        <v>0</v>
      </c>
      <c r="D7" s="751">
        <f>'Utility Analysis September 2026'!E10</f>
        <v>1374.6</v>
      </c>
      <c r="E7" s="752">
        <f>B7+D7</f>
        <v>10109.6</v>
      </c>
      <c r="F7" s="753">
        <f>'PROD.FIG. '!H5</f>
        <v>493.416</v>
      </c>
      <c r="G7" s="336">
        <f>IF(F7=0,"0",(E7/F7))</f>
        <v>20.488999140684534</v>
      </c>
      <c r="H7" s="335"/>
      <c r="J7" s="30"/>
    </row>
    <row r="8" spans="1:10" x14ac:dyDescent="0.2">
      <c r="A8" s="688">
        <v>2</v>
      </c>
      <c r="B8" s="749">
        <f>'Utility Analysis September 2026'!D11</f>
        <v>8438</v>
      </c>
      <c r="C8" s="750">
        <f>'Utility Analysis September 2026'!G11</f>
        <v>0</v>
      </c>
      <c r="D8" s="751">
        <f>'Utility Analysis September 2026'!E11</f>
        <v>1635.3</v>
      </c>
      <c r="E8" s="752">
        <f t="shared" ref="E8:E36" si="0">B8+D8</f>
        <v>10073.299999999999</v>
      </c>
      <c r="F8" s="753">
        <f>'PROD.FIG. '!H6</f>
        <v>519.42000000000007</v>
      </c>
      <c r="G8" s="336">
        <f t="shared" ref="G8:G36" si="1">IF(F8=0,"0",(E8/F8))</f>
        <v>19.3933618266528</v>
      </c>
      <c r="I8" s="30"/>
      <c r="J8" s="30"/>
    </row>
    <row r="9" spans="1:10" x14ac:dyDescent="0.2">
      <c r="A9" s="688">
        <v>3</v>
      </c>
      <c r="B9" s="749">
        <f>'Utility Analysis September 2026'!D12</f>
        <v>8694</v>
      </c>
      <c r="C9" s="750">
        <f>'Utility Analysis September 2026'!G12</f>
        <v>0</v>
      </c>
      <c r="D9" s="751">
        <f>'Utility Analysis September 2026'!E12</f>
        <v>1611.6</v>
      </c>
      <c r="E9" s="752">
        <f t="shared" si="0"/>
        <v>10305.6</v>
      </c>
      <c r="F9" s="753">
        <f>'PROD.FIG. '!H7</f>
        <v>447.678</v>
      </c>
      <c r="G9" s="336">
        <f>IF(F9=0,"0",(E9/F9))</f>
        <v>23.020117137764199</v>
      </c>
      <c r="J9" s="30"/>
    </row>
    <row r="10" spans="1:10" x14ac:dyDescent="0.2">
      <c r="A10" s="688">
        <v>4</v>
      </c>
      <c r="B10" s="749">
        <f>'Utility Analysis September 2026'!D13</f>
        <v>5679</v>
      </c>
      <c r="C10" s="750">
        <f>'Utility Analysis September 2026'!G13</f>
        <v>0</v>
      </c>
      <c r="D10" s="751">
        <f>'Utility Analysis September 2026'!E13</f>
        <v>1542</v>
      </c>
      <c r="E10" s="752">
        <f t="shared" si="0"/>
        <v>7221</v>
      </c>
      <c r="F10" s="753">
        <f>'PROD.FIG. '!H8</f>
        <v>96.294000000000011</v>
      </c>
      <c r="G10" s="336">
        <f t="shared" si="1"/>
        <v>74.989095893825152</v>
      </c>
      <c r="J10" s="30"/>
    </row>
    <row r="11" spans="1:10" x14ac:dyDescent="0.2">
      <c r="A11" s="763">
        <v>5</v>
      </c>
      <c r="B11" s="772">
        <f>'Utility Analysis September 2026'!D14</f>
        <v>3385</v>
      </c>
      <c r="C11" s="773">
        <f>'Utility Analysis September 2026'!G14</f>
        <v>0</v>
      </c>
      <c r="D11" s="774">
        <f>'Utility Analysis September 2026'!E14</f>
        <v>1552.4</v>
      </c>
      <c r="E11" s="775">
        <f t="shared" si="0"/>
        <v>4937.3999999999996</v>
      </c>
      <c r="F11" s="776" t="str">
        <f>'PROD.FIG. '!H9</f>
        <v>0</v>
      </c>
      <c r="G11" s="457" t="str">
        <f t="shared" si="1"/>
        <v>0</v>
      </c>
      <c r="J11" s="30"/>
    </row>
    <row r="12" spans="1:10" x14ac:dyDescent="0.2">
      <c r="A12" s="763">
        <v>6</v>
      </c>
      <c r="B12" s="772">
        <f>'Utility Analysis September 2026'!D15</f>
        <v>2797</v>
      </c>
      <c r="C12" s="773">
        <f>'Utility Analysis September 2026'!G15</f>
        <v>0</v>
      </c>
      <c r="D12" s="774">
        <f>'Utility Analysis September 2026'!E15</f>
        <v>1574.3</v>
      </c>
      <c r="E12" s="775">
        <f t="shared" si="0"/>
        <v>4371.3</v>
      </c>
      <c r="F12" s="776" t="str">
        <f>'PROD.FIG. '!H10</f>
        <v>0</v>
      </c>
      <c r="G12" s="457" t="str">
        <f t="shared" si="1"/>
        <v>0</v>
      </c>
      <c r="J12" s="30"/>
    </row>
    <row r="13" spans="1:10" x14ac:dyDescent="0.2">
      <c r="A13" s="688">
        <v>7</v>
      </c>
      <c r="B13" s="749">
        <f>'Utility Analysis September 2026'!D16</f>
        <v>5039</v>
      </c>
      <c r="C13" s="750">
        <f>'Utility Analysis September 2026'!G16</f>
        <v>0</v>
      </c>
      <c r="D13" s="751">
        <f>'Utility Analysis September 2026'!E16</f>
        <v>1506.9</v>
      </c>
      <c r="E13" s="752">
        <f t="shared" si="0"/>
        <v>6545.9</v>
      </c>
      <c r="F13" s="753" t="str">
        <f>'PROD.FIG. '!H11</f>
        <v>0</v>
      </c>
      <c r="G13" s="336" t="str">
        <f t="shared" si="1"/>
        <v>0</v>
      </c>
      <c r="J13" s="30"/>
    </row>
    <row r="14" spans="1:10" x14ac:dyDescent="0.2">
      <c r="A14" s="688">
        <v>8</v>
      </c>
      <c r="B14" s="749">
        <f>'Utility Analysis September 2026'!D17</f>
        <v>6654</v>
      </c>
      <c r="C14" s="750">
        <f>'Utility Analysis September 2026'!G17</f>
        <v>0</v>
      </c>
      <c r="D14" s="751">
        <f>'Utility Analysis September 2026'!E17</f>
        <v>1558.3</v>
      </c>
      <c r="E14" s="752">
        <f t="shared" si="0"/>
        <v>8212.2999999999993</v>
      </c>
      <c r="F14" s="753">
        <f>'PROD.FIG. '!H12</f>
        <v>261.49200000000002</v>
      </c>
      <c r="G14" s="336">
        <f t="shared" si="1"/>
        <v>31.405549691768769</v>
      </c>
      <c r="J14" s="30"/>
    </row>
    <row r="15" spans="1:10" x14ac:dyDescent="0.2">
      <c r="A15" s="688">
        <v>9</v>
      </c>
      <c r="B15" s="749">
        <f>'Utility Analysis September 2026'!D18</f>
        <v>8374</v>
      </c>
      <c r="C15" s="750">
        <f>'Utility Analysis September 2026'!G18</f>
        <v>0</v>
      </c>
      <c r="D15" s="751">
        <f>'Utility Analysis September 2026'!E18</f>
        <v>1042.7</v>
      </c>
      <c r="E15" s="752">
        <f t="shared" si="0"/>
        <v>9416.7000000000007</v>
      </c>
      <c r="F15" s="753">
        <f>'PROD.FIG. '!H13</f>
        <v>401.61</v>
      </c>
      <c r="G15" s="336">
        <f t="shared" si="1"/>
        <v>23.447374318368567</v>
      </c>
      <c r="J15" s="30"/>
    </row>
    <row r="16" spans="1:10" x14ac:dyDescent="0.2">
      <c r="A16" s="688">
        <v>10</v>
      </c>
      <c r="B16" s="749">
        <f>'Utility Analysis September 2026'!D19</f>
        <v>6508</v>
      </c>
      <c r="C16" s="750">
        <f>'Utility Analysis September 2026'!G19</f>
        <v>0</v>
      </c>
      <c r="D16" s="751">
        <f>'Utility Analysis September 2026'!E19</f>
        <v>539.6</v>
      </c>
      <c r="E16" s="752">
        <f t="shared" si="0"/>
        <v>7047.6</v>
      </c>
      <c r="F16" s="753">
        <f>'PROD.FIG. '!H14</f>
        <v>402.86400000000003</v>
      </c>
      <c r="G16" s="336">
        <f t="shared" si="1"/>
        <v>17.493744787322768</v>
      </c>
      <c r="J16" s="30"/>
    </row>
    <row r="17" spans="1:10" x14ac:dyDescent="0.2">
      <c r="A17" s="688">
        <v>11</v>
      </c>
      <c r="B17" s="749">
        <f>'Utility Analysis September 2026'!D20</f>
        <v>6688</v>
      </c>
      <c r="C17" s="750">
        <f>'Utility Analysis September 2026'!G20</f>
        <v>0</v>
      </c>
      <c r="D17" s="751">
        <f>'Utility Analysis September 2026'!E20</f>
        <v>1365.4</v>
      </c>
      <c r="E17" s="752">
        <f t="shared" si="0"/>
        <v>8053.4</v>
      </c>
      <c r="F17" s="753">
        <f>'PROD.FIG. '!H15</f>
        <v>266.24400000000003</v>
      </c>
      <c r="G17" s="336">
        <f t="shared" si="1"/>
        <v>30.248193386517627</v>
      </c>
      <c r="J17" s="30"/>
    </row>
    <row r="18" spans="1:10" x14ac:dyDescent="0.2">
      <c r="A18" s="763">
        <v>12</v>
      </c>
      <c r="B18" s="772">
        <f>'Utility Analysis September 2026'!D21</f>
        <v>3127</v>
      </c>
      <c r="C18" s="773">
        <f>'Utility Analysis September 2026'!G21</f>
        <v>0</v>
      </c>
      <c r="D18" s="774">
        <f>'Utility Analysis September 2026'!E21</f>
        <v>1012.4</v>
      </c>
      <c r="E18" s="775">
        <f t="shared" si="0"/>
        <v>4139.3999999999996</v>
      </c>
      <c r="F18" s="776" t="str">
        <f>'PROD.FIG. '!H16</f>
        <v>0</v>
      </c>
      <c r="G18" s="457" t="str">
        <f t="shared" si="1"/>
        <v>0</v>
      </c>
      <c r="J18" s="30"/>
    </row>
    <row r="19" spans="1:10" x14ac:dyDescent="0.2">
      <c r="A19" s="763">
        <v>13</v>
      </c>
      <c r="B19" s="772">
        <f>'Utility Analysis September 2026'!D22</f>
        <v>4203</v>
      </c>
      <c r="C19" s="773">
        <f>'Utility Analysis September 2026'!G22</f>
        <v>0</v>
      </c>
      <c r="D19" s="774">
        <f>'Utility Analysis September 2026'!E22</f>
        <v>439</v>
      </c>
      <c r="E19" s="775">
        <f t="shared" si="0"/>
        <v>4642</v>
      </c>
      <c r="F19" s="776" t="str">
        <f>'PROD.FIG. '!H17</f>
        <v>0</v>
      </c>
      <c r="G19" s="457" t="str">
        <f t="shared" si="1"/>
        <v>0</v>
      </c>
      <c r="J19" s="30"/>
    </row>
    <row r="20" spans="1:10" x14ac:dyDescent="0.2">
      <c r="A20" s="688">
        <v>14</v>
      </c>
      <c r="B20" s="749">
        <f>'Utility Analysis September 2026'!D23</f>
        <v>7310</v>
      </c>
      <c r="C20" s="750">
        <f>'Utility Analysis September 2026'!G23</f>
        <v>0</v>
      </c>
      <c r="D20" s="751">
        <f>'Utility Analysis September 2026'!E23</f>
        <v>1558.7</v>
      </c>
      <c r="E20" s="752">
        <f t="shared" si="0"/>
        <v>8868.7000000000007</v>
      </c>
      <c r="F20" s="753">
        <f>'PROD.FIG. '!H18</f>
        <v>497.904</v>
      </c>
      <c r="G20" s="336">
        <f t="shared" si="1"/>
        <v>17.81206818985186</v>
      </c>
      <c r="J20" s="30"/>
    </row>
    <row r="21" spans="1:10" x14ac:dyDescent="0.2">
      <c r="A21" s="688">
        <v>15</v>
      </c>
      <c r="B21" s="749">
        <f>'Utility Analysis September 2026'!D24</f>
        <v>9121</v>
      </c>
      <c r="C21" s="750">
        <f>'Utility Analysis September 2026'!G24</f>
        <v>0</v>
      </c>
      <c r="D21" s="751">
        <f>'Utility Analysis September 2026'!E24</f>
        <v>1590.2</v>
      </c>
      <c r="E21" s="752">
        <f t="shared" si="0"/>
        <v>10711.2</v>
      </c>
      <c r="F21" s="753">
        <f>'PROD.FIG. '!H19</f>
        <v>602.91000000000008</v>
      </c>
      <c r="G21" s="336">
        <f t="shared" si="1"/>
        <v>17.765835696870177</v>
      </c>
      <c r="J21" s="30"/>
    </row>
    <row r="22" spans="1:10" x14ac:dyDescent="0.2">
      <c r="A22" s="688">
        <v>16</v>
      </c>
      <c r="B22" s="749">
        <f>'Utility Analysis September 2026'!D25</f>
        <v>8169</v>
      </c>
      <c r="C22" s="750">
        <f>'Utility Analysis September 2026'!G25</f>
        <v>0</v>
      </c>
      <c r="D22" s="751">
        <f>'Utility Analysis September 2026'!E25</f>
        <v>1513.7</v>
      </c>
      <c r="E22" s="752">
        <f t="shared" si="0"/>
        <v>9682.7000000000007</v>
      </c>
      <c r="F22" s="753">
        <f>'PROD.FIG. '!H20</f>
        <v>243.34200000000001</v>
      </c>
      <c r="G22" s="336">
        <f t="shared" si="1"/>
        <v>39.790500612306957</v>
      </c>
      <c r="J22" s="30"/>
    </row>
    <row r="23" spans="1:10" x14ac:dyDescent="0.2">
      <c r="A23" s="688">
        <v>17</v>
      </c>
      <c r="B23" s="749">
        <f>'Utility Analysis September 2026'!D26</f>
        <v>8558</v>
      </c>
      <c r="C23" s="750">
        <f>'Utility Analysis September 2026'!G26</f>
        <v>0</v>
      </c>
      <c r="D23" s="751">
        <f>'Utility Analysis September 2026'!E26</f>
        <v>1552.2</v>
      </c>
      <c r="E23" s="752">
        <f t="shared" si="0"/>
        <v>10110.200000000001</v>
      </c>
      <c r="F23" s="753">
        <f>'PROD.FIG. '!H21</f>
        <v>290.202</v>
      </c>
      <c r="G23" s="336">
        <f t="shared" si="1"/>
        <v>34.838491809153624</v>
      </c>
      <c r="J23" s="30"/>
    </row>
    <row r="24" spans="1:10" x14ac:dyDescent="0.2">
      <c r="A24" s="688">
        <v>18</v>
      </c>
      <c r="B24" s="749">
        <f>'Utility Analysis September 2026'!D27</f>
        <v>8711</v>
      </c>
      <c r="C24" s="750">
        <f>'Utility Analysis September 2026'!G27</f>
        <v>0</v>
      </c>
      <c r="D24" s="751">
        <f>'Utility Analysis September 2026'!E27</f>
        <v>1591.1</v>
      </c>
      <c r="E24" s="752">
        <f t="shared" si="0"/>
        <v>10302.1</v>
      </c>
      <c r="F24" s="753">
        <f>'PROD.FIG. '!H22</f>
        <v>440.81400000000002</v>
      </c>
      <c r="G24" s="336">
        <f t="shared" si="1"/>
        <v>23.370627974610606</v>
      </c>
      <c r="J24" s="30"/>
    </row>
    <row r="25" spans="1:10" x14ac:dyDescent="0.2">
      <c r="A25" s="763">
        <v>19</v>
      </c>
      <c r="B25" s="772">
        <f>'Utility Analysis September 2026'!D28</f>
        <v>3065</v>
      </c>
      <c r="C25" s="773">
        <f>'Utility Analysis September 2026'!G28</f>
        <v>0</v>
      </c>
      <c r="D25" s="774">
        <f>'Utility Analysis September 2026'!E28</f>
        <v>1558.2</v>
      </c>
      <c r="E25" s="775">
        <f t="shared" si="0"/>
        <v>4623.2</v>
      </c>
      <c r="F25" s="776" t="str">
        <f>'PROD.FIG. '!H23</f>
        <v>0</v>
      </c>
      <c r="G25" s="457" t="str">
        <f t="shared" si="1"/>
        <v>0</v>
      </c>
      <c r="J25" s="30"/>
    </row>
    <row r="26" spans="1:10" x14ac:dyDescent="0.2">
      <c r="A26" s="763">
        <v>20</v>
      </c>
      <c r="B26" s="772">
        <f>'Utility Analysis September 2026'!D29</f>
        <v>2722</v>
      </c>
      <c r="C26" s="773">
        <f>'Utility Analysis September 2026'!G29</f>
        <v>0</v>
      </c>
      <c r="D26" s="774">
        <f>'Utility Analysis September 2026'!E29</f>
        <v>1509.8</v>
      </c>
      <c r="E26" s="775">
        <f t="shared" si="0"/>
        <v>4231.8</v>
      </c>
      <c r="F26" s="776" t="str">
        <f>'PROD.FIG. '!H24</f>
        <v>0</v>
      </c>
      <c r="G26" s="457" t="str">
        <f t="shared" si="1"/>
        <v>0</v>
      </c>
      <c r="J26" s="30"/>
    </row>
    <row r="27" spans="1:10" x14ac:dyDescent="0.2">
      <c r="A27" s="688">
        <v>21</v>
      </c>
      <c r="B27" s="749">
        <f>'Utility Analysis September 2026'!D30</f>
        <v>6887</v>
      </c>
      <c r="C27" s="750">
        <f>'Utility Analysis September 2026'!G30</f>
        <v>0</v>
      </c>
      <c r="D27" s="751">
        <f>'Utility Analysis September 2026'!E30</f>
        <v>1626.6</v>
      </c>
      <c r="E27" s="752">
        <f t="shared" si="0"/>
        <v>8513.6</v>
      </c>
      <c r="F27" s="753">
        <f>'PROD.FIG. '!H25</f>
        <v>179.916</v>
      </c>
      <c r="G27" s="336">
        <f t="shared" si="1"/>
        <v>47.319860379288116</v>
      </c>
      <c r="J27" s="30"/>
    </row>
    <row r="28" spans="1:10" x14ac:dyDescent="0.2">
      <c r="A28" s="688">
        <v>22</v>
      </c>
      <c r="B28" s="749">
        <f>'Utility Analysis September 2026'!D31</f>
        <v>6945</v>
      </c>
      <c r="C28" s="750">
        <f>'Utility Analysis September 2026'!G31</f>
        <v>0</v>
      </c>
      <c r="D28" s="751">
        <f>'Utility Analysis September 2026'!E31</f>
        <v>1319.7</v>
      </c>
      <c r="E28" s="752">
        <f t="shared" si="0"/>
        <v>8264.7000000000007</v>
      </c>
      <c r="F28" s="753">
        <f>'PROD.FIG. '!H26</f>
        <v>365.50800000000004</v>
      </c>
      <c r="G28" s="336">
        <f t="shared" si="1"/>
        <v>22.611543386191272</v>
      </c>
      <c r="J28" s="30"/>
    </row>
    <row r="29" spans="1:10" x14ac:dyDescent="0.2">
      <c r="A29" s="688">
        <v>23</v>
      </c>
      <c r="B29" s="749">
        <f>'Utility Analysis September 2026'!D32</f>
        <v>7616</v>
      </c>
      <c r="C29" s="750">
        <f>'Utility Analysis September 2026'!G32</f>
        <v>0</v>
      </c>
      <c r="D29" s="751">
        <f>'Utility Analysis September 2026'!E32</f>
        <v>1428.5</v>
      </c>
      <c r="E29" s="752">
        <f t="shared" si="0"/>
        <v>9044.5</v>
      </c>
      <c r="F29" s="753">
        <f>'PROD.FIG. '!H27</f>
        <v>280.17</v>
      </c>
      <c r="G29" s="336">
        <f t="shared" si="1"/>
        <v>32.282185815754715</v>
      </c>
      <c r="J29" s="30"/>
    </row>
    <row r="30" spans="1:10" x14ac:dyDescent="0.2">
      <c r="A30" s="688">
        <v>24</v>
      </c>
      <c r="B30" s="749">
        <f>'Utility Analysis September 2026'!D33</f>
        <v>7693</v>
      </c>
      <c r="C30" s="750">
        <f>'Utility Analysis September 2026'!G33</f>
        <v>0</v>
      </c>
      <c r="D30" s="751">
        <f>'Utility Analysis September 2026'!E33</f>
        <v>720.2</v>
      </c>
      <c r="E30" s="752">
        <f t="shared" si="0"/>
        <v>8413.2000000000007</v>
      </c>
      <c r="F30" s="753">
        <f>'PROD.FIG. '!H28</f>
        <v>354.94800000000004</v>
      </c>
      <c r="G30" s="336">
        <f t="shared" si="1"/>
        <v>23.702626863653268</v>
      </c>
      <c r="J30" s="30"/>
    </row>
    <row r="31" spans="1:10" x14ac:dyDescent="0.2">
      <c r="A31" s="688">
        <v>25</v>
      </c>
      <c r="B31" s="749">
        <f>'Utility Analysis September 2026'!D34</f>
        <v>6561</v>
      </c>
      <c r="C31" s="750">
        <f>'Utility Analysis September 2026'!G34</f>
        <v>0</v>
      </c>
      <c r="D31" s="751">
        <f>'Utility Analysis September 2026'!E34</f>
        <v>1092.3</v>
      </c>
      <c r="E31" s="752">
        <f t="shared" si="0"/>
        <v>7653.3</v>
      </c>
      <c r="F31" s="753">
        <f>'PROD.FIG. '!H29</f>
        <v>263.01</v>
      </c>
      <c r="G31" s="336">
        <f t="shared" si="1"/>
        <v>29.098893578190946</v>
      </c>
      <c r="J31" s="30"/>
    </row>
    <row r="32" spans="1:10" x14ac:dyDescent="0.2">
      <c r="A32" s="763">
        <v>26</v>
      </c>
      <c r="B32" s="772">
        <f>'Utility Analysis September 2026'!D35</f>
        <v>2727</v>
      </c>
      <c r="C32" s="773">
        <f>'Utility Analysis September 2026'!G35</f>
        <v>0</v>
      </c>
      <c r="D32" s="774">
        <f>'Utility Analysis September 2026'!E35</f>
        <v>1559.8</v>
      </c>
      <c r="E32" s="775">
        <f t="shared" si="0"/>
        <v>4286.8</v>
      </c>
      <c r="F32" s="776" t="str">
        <f>'PROD.FIG. '!H30</f>
        <v>0</v>
      </c>
      <c r="G32" s="457" t="str">
        <f t="shared" si="1"/>
        <v>0</v>
      </c>
      <c r="J32" s="30"/>
    </row>
    <row r="33" spans="1:10" x14ac:dyDescent="0.2">
      <c r="A33" s="763">
        <v>27</v>
      </c>
      <c r="B33" s="772">
        <f>'Utility Analysis September 2026'!D36</f>
        <v>2886</v>
      </c>
      <c r="C33" s="773">
        <f>'Utility Analysis September 2026'!G36</f>
        <v>0</v>
      </c>
      <c r="D33" s="774">
        <f>'Utility Analysis September 2026'!E36</f>
        <v>801.9</v>
      </c>
      <c r="E33" s="775">
        <f t="shared" si="0"/>
        <v>3687.9</v>
      </c>
      <c r="F33" s="776" t="str">
        <f>'PROD.FIG. '!H31</f>
        <v>0</v>
      </c>
      <c r="G33" s="457" t="str">
        <f t="shared" si="1"/>
        <v>0</v>
      </c>
      <c r="J33" s="30"/>
    </row>
    <row r="34" spans="1:10" x14ac:dyDescent="0.2">
      <c r="A34" s="688">
        <v>28</v>
      </c>
      <c r="B34" s="749">
        <f>'Utility Analysis September 2026'!D37</f>
        <v>0</v>
      </c>
      <c r="C34" s="750" t="str">
        <f>'Utility Analysis September 2026'!G37</f>
        <v>0</v>
      </c>
      <c r="D34" s="751">
        <f>'Utility Analysis September 2026'!E37</f>
        <v>1396.2</v>
      </c>
      <c r="E34" s="752">
        <f t="shared" si="0"/>
        <v>1396.2</v>
      </c>
      <c r="F34" s="753">
        <f>'PROD.FIG. '!H32</f>
        <v>258.72000000000003</v>
      </c>
      <c r="G34" s="336">
        <f t="shared" si="1"/>
        <v>5.3965677179962892</v>
      </c>
      <c r="J34" s="30"/>
    </row>
    <row r="35" spans="1:10" x14ac:dyDescent="0.2">
      <c r="A35" s="688">
        <v>29</v>
      </c>
      <c r="B35" s="749">
        <f>'Utility Analysis September 2026'!D38</f>
        <v>0</v>
      </c>
      <c r="C35" s="750">
        <f>'Utility Analysis September 2026'!G38</f>
        <v>0</v>
      </c>
      <c r="D35" s="751">
        <f>'Utility Analysis September 2026'!E38</f>
        <v>0</v>
      </c>
      <c r="E35" s="752">
        <f t="shared" si="0"/>
        <v>0</v>
      </c>
      <c r="F35" s="753" t="str">
        <f>'PROD.FIG. '!H33</f>
        <v>0</v>
      </c>
      <c r="G35" s="336" t="str">
        <f t="shared" si="1"/>
        <v>0</v>
      </c>
    </row>
    <row r="36" spans="1:10" x14ac:dyDescent="0.2">
      <c r="A36" s="688">
        <v>30</v>
      </c>
      <c r="B36" s="749">
        <f>'Utility Analysis September 2026'!D39</f>
        <v>0</v>
      </c>
      <c r="C36" s="750">
        <f>'Utility Analysis September 2026'!G39</f>
        <v>0</v>
      </c>
      <c r="D36" s="751">
        <f>'Utility Analysis September 2026'!E39</f>
        <v>0</v>
      </c>
      <c r="E36" s="752">
        <f t="shared" si="0"/>
        <v>0</v>
      </c>
      <c r="F36" s="753" t="str">
        <f>'PROD.FIG. '!H34</f>
        <v>0</v>
      </c>
      <c r="G36" s="336" t="str">
        <f t="shared" si="1"/>
        <v>0</v>
      </c>
    </row>
    <row r="37" spans="1:10" ht="15.75" thickBot="1" x14ac:dyDescent="0.25">
      <c r="A37" s="688">
        <v>31</v>
      </c>
      <c r="B37" s="749">
        <f>'Utility Analysis September 2026'!D40</f>
        <v>0</v>
      </c>
      <c r="C37" s="750">
        <f>'Utility Analysis September 2026'!G40</f>
        <v>0</v>
      </c>
      <c r="D37" s="751">
        <f>'Utility Analysis September 2026'!E40</f>
        <v>0</v>
      </c>
      <c r="E37" s="752">
        <f>B37+C37</f>
        <v>0</v>
      </c>
      <c r="F37" s="753" t="str">
        <f>'PROD.FIG. '!H35</f>
        <v>0</v>
      </c>
      <c r="G37" s="336"/>
      <c r="I37" s="189" t="s">
        <v>248</v>
      </c>
    </row>
    <row r="38" spans="1:10" s="306" customFormat="1" ht="18.75" thickBot="1" x14ac:dyDescent="0.3">
      <c r="A38" s="307" t="s">
        <v>82</v>
      </c>
      <c r="B38" s="308">
        <f>SUM(B7:B37)</f>
        <v>167292</v>
      </c>
      <c r="C38" s="308">
        <f>SUM(C7:C37)</f>
        <v>0</v>
      </c>
      <c r="D38" s="308">
        <f>SUM(D7:D37)</f>
        <v>37573.600000000006</v>
      </c>
      <c r="E38" s="337">
        <f>SUM(E7:E37)</f>
        <v>204865.6</v>
      </c>
      <c r="F38" s="358">
        <f>SUM(F7:F37)</f>
        <v>6666.4620000000014</v>
      </c>
      <c r="G38" s="338">
        <f>IF(F38=0,"0",(E38/F38))</f>
        <v>30.73078343505145</v>
      </c>
      <c r="H38" s="335">
        <v>22</v>
      </c>
      <c r="I38" s="340">
        <f>G38/H38*100</f>
        <v>139.68537925023386</v>
      </c>
    </row>
    <row r="39" spans="1:10" x14ac:dyDescent="0.2">
      <c r="B39" s="17"/>
      <c r="E39" s="17"/>
      <c r="F39" s="17"/>
      <c r="G39" s="17"/>
      <c r="H39" s="334" t="s">
        <v>244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5" priority="1" operator="lessThan">
      <formula>22</formula>
    </cfRule>
  </conditionalFormatting>
  <conditionalFormatting sqref="G7:G38">
    <cfRule type="cellIs" dxfId="44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30" sqref="A30:H31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1000" t="s">
        <v>296</v>
      </c>
      <c r="B1" s="962"/>
      <c r="C1" s="962"/>
      <c r="D1" s="962"/>
      <c r="E1" s="962"/>
      <c r="F1" s="962"/>
      <c r="G1" s="962"/>
      <c r="H1" s="962"/>
    </row>
    <row r="2" spans="1:10" ht="15.75" thickBot="1" x14ac:dyDescent="0.25">
      <c r="D2" s="12"/>
    </row>
    <row r="3" spans="1:10" ht="15.75" x14ac:dyDescent="0.25">
      <c r="A3" s="313"/>
      <c r="B3" s="314" t="s">
        <v>7</v>
      </c>
      <c r="C3" s="315"/>
      <c r="D3" s="316"/>
      <c r="E3" s="316"/>
      <c r="F3" s="316"/>
      <c r="G3" s="316"/>
      <c r="H3" s="317"/>
    </row>
    <row r="4" spans="1:10" ht="15.75" x14ac:dyDescent="0.25">
      <c r="A4" s="318"/>
      <c r="B4" s="70" t="s">
        <v>37</v>
      </c>
      <c r="C4" s="311" t="s">
        <v>78</v>
      </c>
      <c r="D4" s="312" t="s">
        <v>77</v>
      </c>
      <c r="E4" s="312" t="s">
        <v>65</v>
      </c>
      <c r="F4" s="312" t="s">
        <v>67</v>
      </c>
      <c r="G4" s="312" t="s">
        <v>66</v>
      </c>
      <c r="H4" s="319" t="s">
        <v>54</v>
      </c>
    </row>
    <row r="5" spans="1:10" x14ac:dyDescent="0.2">
      <c r="A5" s="697" t="s">
        <v>94</v>
      </c>
      <c r="B5" s="688">
        <v>1</v>
      </c>
      <c r="C5" s="689"/>
      <c r="D5" s="690"/>
      <c r="E5" s="688"/>
      <c r="F5" s="690"/>
      <c r="G5" s="688"/>
      <c r="H5" s="694" cm="1">
        <f t="array" ref="H5:H35">IF(TRANSPOSE('Daily KPIs'!B9:AF9)=0,"0",TRANSPOSE('Daily KPIs'!B9:AF9))</f>
        <v>493.416</v>
      </c>
      <c r="I5" s="296"/>
      <c r="J5" s="297"/>
    </row>
    <row r="6" spans="1:10" x14ac:dyDescent="0.2">
      <c r="A6" s="697" t="s">
        <v>95</v>
      </c>
      <c r="B6" s="688">
        <v>2</v>
      </c>
      <c r="C6" s="689"/>
      <c r="D6" s="690"/>
      <c r="E6" s="777"/>
      <c r="F6" s="690"/>
      <c r="G6" s="688"/>
      <c r="H6" s="691">
        <v>519.42000000000007</v>
      </c>
      <c r="I6" s="33"/>
      <c r="J6" s="297"/>
    </row>
    <row r="7" spans="1:10" x14ac:dyDescent="0.2">
      <c r="A7" s="697" t="s">
        <v>89</v>
      </c>
      <c r="B7" s="688">
        <v>3</v>
      </c>
      <c r="C7" s="689"/>
      <c r="D7" s="690"/>
      <c r="E7" s="688"/>
      <c r="F7" s="690"/>
      <c r="G7" s="688"/>
      <c r="H7" s="691">
        <v>447.678</v>
      </c>
      <c r="I7" s="298"/>
      <c r="J7" s="299"/>
    </row>
    <row r="8" spans="1:10" x14ac:dyDescent="0.2">
      <c r="A8" s="697" t="s">
        <v>90</v>
      </c>
      <c r="B8" s="688">
        <v>4</v>
      </c>
      <c r="C8" s="689"/>
      <c r="D8" s="690"/>
      <c r="E8" s="688"/>
      <c r="F8" s="692"/>
      <c r="G8" s="688"/>
      <c r="H8" s="691">
        <v>96.294000000000011</v>
      </c>
      <c r="I8" s="298"/>
      <c r="J8" s="299"/>
    </row>
    <row r="9" spans="1:10" x14ac:dyDescent="0.2">
      <c r="A9" s="817" t="s">
        <v>91</v>
      </c>
      <c r="B9" s="763">
        <v>5</v>
      </c>
      <c r="C9" s="818"/>
      <c r="D9" s="819"/>
      <c r="E9" s="763"/>
      <c r="F9" s="763"/>
      <c r="G9" s="763"/>
      <c r="H9" s="820" t="str">
        <v>0</v>
      </c>
      <c r="I9" s="298"/>
      <c r="J9" s="299"/>
    </row>
    <row r="10" spans="1:10" x14ac:dyDescent="0.2">
      <c r="A10" s="817" t="s">
        <v>92</v>
      </c>
      <c r="B10" s="763">
        <v>6</v>
      </c>
      <c r="C10" s="818"/>
      <c r="D10" s="819"/>
      <c r="E10" s="763"/>
      <c r="F10" s="763"/>
      <c r="G10" s="763"/>
      <c r="H10" s="820" t="str">
        <v>0</v>
      </c>
      <c r="I10" s="298"/>
      <c r="J10" s="299"/>
    </row>
    <row r="11" spans="1:10" x14ac:dyDescent="0.2">
      <c r="A11" s="697" t="s">
        <v>93</v>
      </c>
      <c r="B11" s="688">
        <v>7</v>
      </c>
      <c r="C11" s="689"/>
      <c r="D11" s="690"/>
      <c r="E11" s="688"/>
      <c r="F11" s="692"/>
      <c r="G11" s="688"/>
      <c r="H11" s="691" t="str">
        <v>0</v>
      </c>
      <c r="I11" s="298"/>
      <c r="J11" s="299"/>
    </row>
    <row r="12" spans="1:10" x14ac:dyDescent="0.2">
      <c r="A12" s="697" t="s">
        <v>94</v>
      </c>
      <c r="B12" s="688">
        <v>8</v>
      </c>
      <c r="C12" s="689"/>
      <c r="D12" s="690"/>
      <c r="E12" s="688"/>
      <c r="F12" s="688"/>
      <c r="G12" s="688"/>
      <c r="H12" s="691">
        <v>261.49200000000002</v>
      </c>
      <c r="I12" s="298"/>
      <c r="J12" s="299"/>
    </row>
    <row r="13" spans="1:10" x14ac:dyDescent="0.2">
      <c r="A13" s="697" t="s">
        <v>95</v>
      </c>
      <c r="B13" s="688">
        <v>9</v>
      </c>
      <c r="C13" s="689"/>
      <c r="D13" s="690"/>
      <c r="E13" s="692"/>
      <c r="F13" s="688"/>
      <c r="G13" s="688"/>
      <c r="H13" s="691">
        <v>401.61</v>
      </c>
      <c r="I13" s="298"/>
      <c r="J13" s="299"/>
    </row>
    <row r="14" spans="1:10" x14ac:dyDescent="0.2">
      <c r="A14" s="697" t="s">
        <v>89</v>
      </c>
      <c r="B14" s="688">
        <v>10</v>
      </c>
      <c r="C14" s="689"/>
      <c r="D14" s="690"/>
      <c r="E14" s="688"/>
      <c r="F14" s="688"/>
      <c r="G14" s="688"/>
      <c r="H14" s="691">
        <v>402.86400000000003</v>
      </c>
      <c r="I14" s="298"/>
      <c r="J14" s="299"/>
    </row>
    <row r="15" spans="1:10" x14ac:dyDescent="0.2">
      <c r="A15" s="697" t="s">
        <v>90</v>
      </c>
      <c r="B15" s="688">
        <v>11</v>
      </c>
      <c r="C15" s="689"/>
      <c r="D15" s="690"/>
      <c r="E15" s="692"/>
      <c r="F15" s="688"/>
      <c r="G15" s="692"/>
      <c r="H15" s="691">
        <v>266.24400000000003</v>
      </c>
      <c r="I15" s="298"/>
      <c r="J15" s="299"/>
    </row>
    <row r="16" spans="1:10" x14ac:dyDescent="0.2">
      <c r="A16" s="817" t="s">
        <v>91</v>
      </c>
      <c r="B16" s="763">
        <v>12</v>
      </c>
      <c r="C16" s="818"/>
      <c r="D16" s="819"/>
      <c r="E16" s="821"/>
      <c r="F16" s="763"/>
      <c r="G16" s="763"/>
      <c r="H16" s="820" t="str">
        <v>0</v>
      </c>
      <c r="I16" s="298"/>
      <c r="J16" s="299"/>
    </row>
    <row r="17" spans="1:13" x14ac:dyDescent="0.2">
      <c r="A17" s="817" t="s">
        <v>92</v>
      </c>
      <c r="B17" s="763">
        <v>13</v>
      </c>
      <c r="C17" s="818"/>
      <c r="D17" s="819"/>
      <c r="E17" s="763"/>
      <c r="F17" s="763"/>
      <c r="G17" s="763"/>
      <c r="H17" s="820" t="str">
        <v>0</v>
      </c>
      <c r="I17" s="298"/>
      <c r="J17" s="299"/>
    </row>
    <row r="18" spans="1:13" x14ac:dyDescent="0.2">
      <c r="A18" s="697" t="s">
        <v>93</v>
      </c>
      <c r="B18" s="688">
        <v>14</v>
      </c>
      <c r="C18" s="689"/>
      <c r="D18" s="690"/>
      <c r="E18" s="688"/>
      <c r="F18" s="688"/>
      <c r="G18" s="688"/>
      <c r="H18" s="691">
        <v>497.904</v>
      </c>
      <c r="I18" s="298"/>
      <c r="J18" s="299"/>
    </row>
    <row r="19" spans="1:13" x14ac:dyDescent="0.2">
      <c r="A19" s="697" t="s">
        <v>94</v>
      </c>
      <c r="B19" s="688">
        <v>15</v>
      </c>
      <c r="C19" s="689"/>
      <c r="D19" s="690"/>
      <c r="E19" s="692"/>
      <c r="F19" s="688"/>
      <c r="G19" s="688"/>
      <c r="H19" s="691">
        <v>602.91000000000008</v>
      </c>
      <c r="I19" s="298"/>
      <c r="J19" s="299"/>
    </row>
    <row r="20" spans="1:13" x14ac:dyDescent="0.2">
      <c r="A20" s="697" t="s">
        <v>95</v>
      </c>
      <c r="B20" s="688">
        <v>16</v>
      </c>
      <c r="C20" s="689"/>
      <c r="D20" s="690"/>
      <c r="E20" s="688"/>
      <c r="F20" s="688"/>
      <c r="G20" s="688"/>
      <c r="H20" s="691">
        <v>243.34200000000001</v>
      </c>
      <c r="I20" s="298"/>
      <c r="J20" s="299"/>
    </row>
    <row r="21" spans="1:13" x14ac:dyDescent="0.2">
      <c r="A21" s="697" t="s">
        <v>89</v>
      </c>
      <c r="B21" s="688">
        <v>17</v>
      </c>
      <c r="C21" s="689"/>
      <c r="D21" s="690"/>
      <c r="E21" s="688"/>
      <c r="F21" s="688"/>
      <c r="G21" s="688"/>
      <c r="H21" s="691">
        <v>290.202</v>
      </c>
      <c r="I21" s="298"/>
      <c r="J21" s="299"/>
    </row>
    <row r="22" spans="1:13" x14ac:dyDescent="0.2">
      <c r="A22" s="697" t="s">
        <v>90</v>
      </c>
      <c r="B22" s="688">
        <v>18</v>
      </c>
      <c r="C22" s="689"/>
      <c r="D22" s="690"/>
      <c r="E22" s="688"/>
      <c r="F22" s="688"/>
      <c r="G22" s="688"/>
      <c r="H22" s="691">
        <v>440.81400000000002</v>
      </c>
      <c r="I22" s="298"/>
      <c r="J22" s="299"/>
    </row>
    <row r="23" spans="1:13" x14ac:dyDescent="0.2">
      <c r="A23" s="817" t="s">
        <v>91</v>
      </c>
      <c r="B23" s="763">
        <v>19</v>
      </c>
      <c r="C23" s="818"/>
      <c r="D23" s="819"/>
      <c r="E23" s="763"/>
      <c r="F23" s="763"/>
      <c r="G23" s="763"/>
      <c r="H23" s="820" t="str">
        <v>0</v>
      </c>
      <c r="I23" s="298"/>
      <c r="J23" s="299"/>
    </row>
    <row r="24" spans="1:13" x14ac:dyDescent="0.2">
      <c r="A24" s="817" t="s">
        <v>92</v>
      </c>
      <c r="B24" s="763">
        <v>20</v>
      </c>
      <c r="C24" s="818"/>
      <c r="D24" s="819"/>
      <c r="E24" s="763"/>
      <c r="F24" s="763"/>
      <c r="G24" s="763"/>
      <c r="H24" s="820" t="str">
        <v>0</v>
      </c>
      <c r="I24" s="298"/>
      <c r="J24" s="299"/>
    </row>
    <row r="25" spans="1:13" x14ac:dyDescent="0.2">
      <c r="A25" s="697" t="s">
        <v>93</v>
      </c>
      <c r="B25" s="688">
        <v>21</v>
      </c>
      <c r="C25" s="689"/>
      <c r="D25" s="690"/>
      <c r="E25" s="688"/>
      <c r="F25" s="688"/>
      <c r="G25" s="688"/>
      <c r="H25" s="691">
        <v>179.916</v>
      </c>
      <c r="I25" s="298"/>
      <c r="J25" s="299"/>
    </row>
    <row r="26" spans="1:13" x14ac:dyDescent="0.2">
      <c r="A26" s="697" t="s">
        <v>94</v>
      </c>
      <c r="B26" s="688">
        <v>22</v>
      </c>
      <c r="C26" s="689"/>
      <c r="D26" s="690"/>
      <c r="E26" s="688"/>
      <c r="F26" s="688"/>
      <c r="G26" s="688"/>
      <c r="H26" s="691">
        <v>365.50800000000004</v>
      </c>
      <c r="I26" s="298"/>
      <c r="J26" s="299"/>
      <c r="M26" s="32" t="s">
        <v>55</v>
      </c>
    </row>
    <row r="27" spans="1:13" x14ac:dyDescent="0.2">
      <c r="A27" s="697" t="s">
        <v>95</v>
      </c>
      <c r="B27" s="688">
        <v>23</v>
      </c>
      <c r="C27" s="689"/>
      <c r="D27" s="690"/>
      <c r="E27" s="692"/>
      <c r="F27" s="688"/>
      <c r="G27" s="688"/>
      <c r="H27" s="691">
        <v>280.17</v>
      </c>
      <c r="I27" s="298"/>
      <c r="J27" s="299"/>
    </row>
    <row r="28" spans="1:13" x14ac:dyDescent="0.2">
      <c r="A28" s="697" t="s">
        <v>89</v>
      </c>
      <c r="B28" s="688">
        <v>24</v>
      </c>
      <c r="C28" s="689"/>
      <c r="D28" s="690"/>
      <c r="E28" s="692"/>
      <c r="F28" s="688"/>
      <c r="G28" s="688"/>
      <c r="H28" s="691">
        <v>354.94800000000004</v>
      </c>
      <c r="I28" s="298"/>
      <c r="J28" s="299"/>
    </row>
    <row r="29" spans="1:13" x14ac:dyDescent="0.2">
      <c r="A29" s="697" t="s">
        <v>90</v>
      </c>
      <c r="B29" s="688">
        <v>25</v>
      </c>
      <c r="C29" s="689"/>
      <c r="D29" s="690"/>
      <c r="E29" s="688"/>
      <c r="F29" s="688"/>
      <c r="G29" s="688"/>
      <c r="H29" s="691">
        <v>263.01</v>
      </c>
      <c r="I29" s="298"/>
      <c r="J29" s="299"/>
    </row>
    <row r="30" spans="1:13" x14ac:dyDescent="0.2">
      <c r="A30" s="817" t="s">
        <v>91</v>
      </c>
      <c r="B30" s="763">
        <v>26</v>
      </c>
      <c r="C30" s="818"/>
      <c r="D30" s="819"/>
      <c r="E30" s="763"/>
      <c r="F30" s="763"/>
      <c r="G30" s="763"/>
      <c r="H30" s="820" t="str">
        <v>0</v>
      </c>
      <c r="I30" s="298"/>
      <c r="J30" s="299"/>
    </row>
    <row r="31" spans="1:13" x14ac:dyDescent="0.2">
      <c r="A31" s="817" t="s">
        <v>92</v>
      </c>
      <c r="B31" s="763">
        <v>27</v>
      </c>
      <c r="C31" s="818"/>
      <c r="D31" s="819"/>
      <c r="E31" s="763"/>
      <c r="F31" s="763"/>
      <c r="G31" s="763"/>
      <c r="H31" s="820" t="str">
        <v>0</v>
      </c>
      <c r="I31" s="298"/>
      <c r="J31" s="299"/>
    </row>
    <row r="32" spans="1:13" x14ac:dyDescent="0.2">
      <c r="A32" s="697" t="s">
        <v>93</v>
      </c>
      <c r="B32" s="688">
        <v>28</v>
      </c>
      <c r="C32" s="689"/>
      <c r="D32" s="690"/>
      <c r="E32" s="688"/>
      <c r="F32" s="688"/>
      <c r="G32" s="688"/>
      <c r="H32" s="691">
        <v>258.72000000000003</v>
      </c>
      <c r="I32" s="298"/>
      <c r="J32" s="299"/>
    </row>
    <row r="33" spans="1:10" x14ac:dyDescent="0.2">
      <c r="A33" s="697" t="s">
        <v>94</v>
      </c>
      <c r="B33" s="688">
        <v>29</v>
      </c>
      <c r="C33" s="689"/>
      <c r="D33" s="690"/>
      <c r="E33" s="688"/>
      <c r="F33" s="692"/>
      <c r="G33" s="688"/>
      <c r="H33" s="691" t="str">
        <v>0</v>
      </c>
      <c r="I33" s="298"/>
      <c r="J33" s="299"/>
    </row>
    <row r="34" spans="1:10" x14ac:dyDescent="0.2">
      <c r="A34" s="697" t="s">
        <v>95</v>
      </c>
      <c r="B34" s="688">
        <v>30</v>
      </c>
      <c r="C34" s="689"/>
      <c r="D34" s="690"/>
      <c r="E34" s="688"/>
      <c r="F34" s="688"/>
      <c r="G34" s="688"/>
      <c r="H34" s="691" t="str">
        <v>0</v>
      </c>
      <c r="I34" s="298"/>
      <c r="J34" s="299"/>
    </row>
    <row r="35" spans="1:10" x14ac:dyDescent="0.2">
      <c r="A35" s="697"/>
      <c r="B35" s="688">
        <v>31</v>
      </c>
      <c r="C35" s="689"/>
      <c r="D35" s="690"/>
      <c r="E35" s="688"/>
      <c r="F35" s="688"/>
      <c r="G35" s="688"/>
      <c r="H35" s="691" t="str">
        <v>0</v>
      </c>
      <c r="I35" s="298"/>
      <c r="J35" s="299"/>
    </row>
    <row r="36" spans="1:10" ht="18.75" thickBot="1" x14ac:dyDescent="0.3">
      <c r="A36" s="738"/>
      <c r="B36" s="739"/>
      <c r="C36" s="740"/>
      <c r="D36" s="741"/>
      <c r="E36" s="739"/>
      <c r="F36" s="739"/>
      <c r="G36" s="742" t="s">
        <v>241</v>
      </c>
      <c r="H36" s="743">
        <f>SUM(H5:H35)</f>
        <v>6666.4620000000014</v>
      </c>
      <c r="I36" s="298"/>
      <c r="J36" s="299"/>
    </row>
    <row r="37" spans="1:10" x14ac:dyDescent="0.2">
      <c r="B37" s="309"/>
      <c r="C37" s="37"/>
      <c r="D37" s="310"/>
      <c r="E37" s="309"/>
      <c r="F37" s="309"/>
      <c r="G37" s="309"/>
      <c r="H37" s="47"/>
      <c r="I37" s="298"/>
      <c r="J37" s="299"/>
    </row>
    <row r="38" spans="1:10" x14ac:dyDescent="0.2">
      <c r="B38" s="16"/>
      <c r="C38" s="38"/>
      <c r="D38" s="295"/>
      <c r="E38" s="16"/>
      <c r="F38" s="16"/>
      <c r="G38" s="16"/>
      <c r="H38" s="185"/>
      <c r="I38" s="298"/>
      <c r="J38" s="299"/>
    </row>
    <row r="39" spans="1:10" x14ac:dyDescent="0.2">
      <c r="C39" s="33">
        <f>SUM(C5:C36)</f>
        <v>0</v>
      </c>
      <c r="D39" s="10"/>
      <c r="E39" s="10"/>
      <c r="F39" s="10"/>
      <c r="G39" s="10"/>
      <c r="H39" s="305"/>
      <c r="I39" s="298"/>
      <c r="J39" s="299"/>
    </row>
    <row r="40" spans="1:10" x14ac:dyDescent="0.2">
      <c r="C40" s="33"/>
      <c r="D40" s="10"/>
      <c r="E40" s="10"/>
      <c r="F40" s="10"/>
      <c r="G40" s="10"/>
      <c r="I40" s="298"/>
      <c r="J40" s="299"/>
    </row>
    <row r="41" spans="1:10" x14ac:dyDescent="0.2">
      <c r="D41" s="11"/>
      <c r="E41" s="13"/>
      <c r="F41" s="13"/>
      <c r="G41" s="13"/>
    </row>
  </sheetData>
  <dataConsolidate link="1"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zoomScaleNormal="100" workbookViewId="0">
      <selection activeCell="E7" sqref="E7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6" customWidth="1"/>
    <col min="9" max="9" width="9.140625" style="27"/>
    <col min="11" max="11" width="9.140625" style="341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44" t="s">
        <v>297</v>
      </c>
      <c r="B3" s="1"/>
      <c r="C3" s="1"/>
      <c r="D3" s="85"/>
      <c r="E3" s="85"/>
      <c r="F3" s="1"/>
      <c r="I3" s="1013" t="s">
        <v>267</v>
      </c>
      <c r="J3" s="1014"/>
      <c r="K3" s="1015"/>
    </row>
    <row r="4" spans="1:24" ht="37.5" customHeight="1" thickBot="1" x14ac:dyDescent="0.25">
      <c r="A4" s="8"/>
      <c r="B4" s="8"/>
      <c r="C4" s="8"/>
      <c r="D4" s="11"/>
      <c r="E4" s="11"/>
      <c r="F4" s="8"/>
      <c r="G4" s="264" t="s">
        <v>250</v>
      </c>
      <c r="H4" s="347"/>
      <c r="I4" s="1016" t="s">
        <v>262</v>
      </c>
      <c r="J4" s="1017"/>
      <c r="K4" s="1018"/>
      <c r="M4" s="417"/>
      <c r="N4" s="417"/>
      <c r="O4" s="418"/>
      <c r="P4" s="418"/>
      <c r="Q4" s="1028" t="s">
        <v>283</v>
      </c>
      <c r="R4" s="1028"/>
      <c r="S4" s="1028"/>
      <c r="T4" s="1028"/>
      <c r="U4" s="191"/>
      <c r="V4" s="417"/>
      <c r="W4" s="191"/>
      <c r="X4" s="191"/>
    </row>
    <row r="5" spans="1:24" ht="15.75" customHeight="1" thickBot="1" x14ac:dyDescent="0.25">
      <c r="A5" s="949" t="s">
        <v>7</v>
      </c>
      <c r="B5" s="951" t="s">
        <v>251</v>
      </c>
      <c r="C5" s="951" t="s">
        <v>282</v>
      </c>
      <c r="D5" s="1007" t="s">
        <v>279</v>
      </c>
      <c r="E5" s="1007" t="s">
        <v>280</v>
      </c>
      <c r="F5" s="1005" t="s">
        <v>243</v>
      </c>
      <c r="G5" s="1002" t="s">
        <v>249</v>
      </c>
      <c r="I5" s="419" t="s">
        <v>263</v>
      </c>
      <c r="J5" s="420" t="s">
        <v>264</v>
      </c>
      <c r="K5" s="421" t="s">
        <v>265</v>
      </c>
      <c r="M5" s="1019" t="s">
        <v>266</v>
      </c>
      <c r="N5" s="1020"/>
      <c r="O5" s="1021"/>
      <c r="P5" s="422"/>
      <c r="Q5" s="1022" t="s">
        <v>7</v>
      </c>
      <c r="R5" s="1024" t="s">
        <v>267</v>
      </c>
      <c r="S5" s="1025"/>
      <c r="T5" s="453" t="s">
        <v>268</v>
      </c>
      <c r="U5" s="423" t="s">
        <v>269</v>
      </c>
      <c r="V5" s="1026" t="s">
        <v>277</v>
      </c>
      <c r="W5" s="1009" t="s">
        <v>270</v>
      </c>
      <c r="X5" s="1011" t="s">
        <v>271</v>
      </c>
    </row>
    <row r="6" spans="1:24" ht="28.5" customHeight="1" thickBot="1" x14ac:dyDescent="0.25">
      <c r="A6" s="1001"/>
      <c r="B6" s="1004"/>
      <c r="C6" s="1004"/>
      <c r="D6" s="1008"/>
      <c r="E6" s="1008"/>
      <c r="F6" s="1006"/>
      <c r="G6" s="1003"/>
      <c r="I6" s="424">
        <v>10</v>
      </c>
      <c r="J6" s="425">
        <v>722</v>
      </c>
      <c r="K6" s="426">
        <f>J6/2.204623</f>
        <v>327.49363496615973</v>
      </c>
      <c r="M6" s="427"/>
      <c r="N6" s="428" t="s">
        <v>272</v>
      </c>
      <c r="O6" s="427" t="s">
        <v>273</v>
      </c>
      <c r="P6" s="418"/>
      <c r="Q6" s="1023"/>
      <c r="R6" s="448" t="s">
        <v>274</v>
      </c>
      <c r="S6" s="449" t="s">
        <v>275</v>
      </c>
      <c r="T6" s="454" t="s">
        <v>275</v>
      </c>
      <c r="U6" s="429" t="s">
        <v>275</v>
      </c>
      <c r="V6" s="1027"/>
      <c r="W6" s="1010"/>
      <c r="X6" s="1012"/>
    </row>
    <row r="7" spans="1:24" ht="15.75" thickBot="1" x14ac:dyDescent="0.25">
      <c r="A7" s="722">
        <v>1</v>
      </c>
      <c r="B7" s="723">
        <f>IF('Entries September 2026'!N7-'Entries September 2026'!N6&lt;1,"0",'Entries September 2026'!N7-'Entries September 2026'!N6)</f>
        <v>294.26000000000931</v>
      </c>
      <c r="C7" s="723">
        <f>IF('Entries September 2026'!L7-'Entries September 2026'!L6&lt;1,"0",'Entries September 2026'!L7-'Entries September 2026'!L6)</f>
        <v>963.33000000000175</v>
      </c>
      <c r="D7" s="723">
        <f>IF('Entries September 2026'!M7-'Entries September 2026'!M6&lt;1,"0",'Entries September 2026'!M7-'Entries September 2026'!M6)</f>
        <v>2728.6300000000047</v>
      </c>
      <c r="E7" s="723" cm="1">
        <f t="array" ref="E7:E37">TRANSPOSE('Daily KPIs'!B74:AF74)</f>
        <v>2700</v>
      </c>
      <c r="F7" s="815" cm="1">
        <f t="array" ref="F7:F37">TRANSPOSE('Daily KPIs'!B9:AF9)</f>
        <v>493.416</v>
      </c>
      <c r="G7" s="336">
        <f>IF(F7=0,"0",(E7/F7))</f>
        <v>5.4720560338537867</v>
      </c>
      <c r="I7" s="430">
        <v>20</v>
      </c>
      <c r="J7" s="431">
        <v>2857</v>
      </c>
      <c r="K7" s="432">
        <f>J7/2.204623</f>
        <v>1295.9131788065351</v>
      </c>
      <c r="M7" s="428">
        <v>75</v>
      </c>
      <c r="N7" s="428">
        <f>O7*2.204623</f>
        <v>12436.000000000002</v>
      </c>
      <c r="O7" s="428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18"/>
      <c r="Q7" s="440">
        <v>45870</v>
      </c>
      <c r="R7" s="445">
        <f>'Entries September 2026'!AL6</f>
        <v>0</v>
      </c>
      <c r="S7" s="450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55" t="e">
        <f>'Entries September 2026'!#REF!</f>
        <v>#REF!</v>
      </c>
      <c r="U7" s="452" t="e">
        <f>'Entries September 2026'!#REF!</f>
        <v>#REF!</v>
      </c>
      <c r="V7" s="444" t="e">
        <f>'Entries September 2026'!#REF!/2.204623</f>
        <v>#REF!</v>
      </c>
      <c r="W7" s="433" t="e">
        <f>S7+T7+U7+V7</f>
        <v>#REF!</v>
      </c>
      <c r="X7" s="434"/>
    </row>
    <row r="8" spans="1:24" ht="15.75" thickBot="1" x14ac:dyDescent="0.25">
      <c r="A8" s="722">
        <v>2</v>
      </c>
      <c r="B8" s="723">
        <f>IF('Entries September 2026'!N8-'Entries September 2026'!N7&lt;1,"0",'Entries September 2026'!N8-'Entries September 2026'!N7)</f>
        <v>307.14999999999418</v>
      </c>
      <c r="C8" s="723">
        <f>IF('Entries September 2026'!L8-'Entries September 2026'!L7&lt;1,"0",'Entries September 2026'!L8-'Entries September 2026'!L7)</f>
        <v>767.16999999999825</v>
      </c>
      <c r="D8" s="723">
        <f>IF('Entries September 2026'!M8-'Entries September 2026'!M7&lt;1,"0",'Entries September 2026'!M8-'Entries September 2026'!M7)</f>
        <v>2873.4300000000512</v>
      </c>
      <c r="E8" s="723">
        <v>2900</v>
      </c>
      <c r="F8" s="724">
        <v>519.42000000000007</v>
      </c>
      <c r="G8" s="336">
        <f t="shared" ref="G8:G37" si="0">IF(F8=0,"0",(E8/F8))</f>
        <v>5.5831504370259131</v>
      </c>
      <c r="I8" s="430">
        <v>30</v>
      </c>
      <c r="J8" s="431">
        <v>4344</v>
      </c>
      <c r="K8" s="432">
        <f t="shared" ref="K8:K40" si="1">J8/2.204623</f>
        <v>1970.4049173033211</v>
      </c>
      <c r="M8" s="417"/>
      <c r="N8" s="417">
        <v>12436</v>
      </c>
      <c r="O8" s="428">
        <f>N8/2.204</f>
        <v>5642.4682395644277</v>
      </c>
      <c r="P8" s="418"/>
      <c r="Q8" s="440">
        <v>45871</v>
      </c>
      <c r="R8" s="445">
        <f>'Entries September 2026'!AL7</f>
        <v>0</v>
      </c>
      <c r="S8" s="450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55">
        <f>'Entries September 2026'!AM6</f>
        <v>0</v>
      </c>
      <c r="U8" s="452">
        <f>'Entries September 2026'!AN6</f>
        <v>0</v>
      </c>
      <c r="V8" s="444">
        <f>'Entries September 2026'!AO6/2.204623</f>
        <v>0</v>
      </c>
      <c r="W8" s="433">
        <f>S8+T8+U8+V8</f>
        <v>0</v>
      </c>
      <c r="X8" s="434">
        <f>IF(W9-W8&lt;0,W8-W9,W9-W8)</f>
        <v>0</v>
      </c>
    </row>
    <row r="9" spans="1:24" ht="15.75" thickBot="1" x14ac:dyDescent="0.25">
      <c r="A9" s="722">
        <v>3</v>
      </c>
      <c r="B9" s="723">
        <f>IF('Entries September 2026'!N9-'Entries September 2026'!N8&lt;1,"0",'Entries September 2026'!N9-'Entries September 2026'!N8)</f>
        <v>267.4600000000064</v>
      </c>
      <c r="C9" s="723">
        <f>IF('Entries September 2026'!L9-'Entries September 2026'!L8&lt;1,"0",'Entries September 2026'!L9-'Entries September 2026'!L8)</f>
        <v>277.79000000000815</v>
      </c>
      <c r="D9" s="723">
        <f>IF('Entries September 2026'!M9-'Entries September 2026'!M8&lt;1,"0",'Entries September 2026'!M9-'Entries September 2026'!M8)</f>
        <v>2205.9399999999441</v>
      </c>
      <c r="E9" s="723">
        <v>2100</v>
      </c>
      <c r="F9" s="724">
        <v>447.678</v>
      </c>
      <c r="G9" s="336">
        <f t="shared" si="0"/>
        <v>4.6908715639365797</v>
      </c>
      <c r="I9" s="430">
        <v>40</v>
      </c>
      <c r="J9" s="431">
        <v>6143</v>
      </c>
      <c r="K9" s="432">
        <f t="shared" si="1"/>
        <v>2786.417450965539</v>
      </c>
      <c r="M9" s="417"/>
      <c r="N9" s="417"/>
      <c r="O9" s="418">
        <f>O8/2150</f>
        <v>2.6244038323555476</v>
      </c>
      <c r="P9" s="418"/>
      <c r="Q9" s="440">
        <v>45872</v>
      </c>
      <c r="R9" s="445">
        <f>'Entries September 2026'!AL8</f>
        <v>0</v>
      </c>
      <c r="S9" s="450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55">
        <f>'Entries September 2026'!AM7</f>
        <v>0</v>
      </c>
      <c r="U9" s="452">
        <f>'Entries September 2026'!AN7</f>
        <v>0</v>
      </c>
      <c r="V9" s="444">
        <f>'Entries September 2026'!AO7/2.204623</f>
        <v>0</v>
      </c>
      <c r="W9" s="433">
        <f t="shared" ref="W9:W39" si="2">S9+T9+U9+V9</f>
        <v>0</v>
      </c>
      <c r="X9" s="434">
        <f>IF(W10-W9&lt;0,W9-W10,W10-W9)</f>
        <v>0</v>
      </c>
    </row>
    <row r="10" spans="1:24" ht="15.75" thickBot="1" x14ac:dyDescent="0.25">
      <c r="A10" s="722">
        <v>4</v>
      </c>
      <c r="B10" s="723">
        <f>IF('Entries September 2026'!N10-'Entries September 2026'!N9&lt;1,"0",'Entries September 2026'!N10-'Entries September 2026'!N9)</f>
        <v>43.299999999988358</v>
      </c>
      <c r="C10" s="723">
        <f>IF('Entries September 2026'!L10-'Entries September 2026'!L9&lt;1,"0",'Entries September 2026'!L10-'Entries September 2026'!L9)</f>
        <v>132.2899999999936</v>
      </c>
      <c r="D10" s="723">
        <f>IF('Entries September 2026'!M10-'Entries September 2026'!M9&lt;1,"0",'Entries September 2026'!M10-'Entries September 2026'!M9)</f>
        <v>313.67000000004191</v>
      </c>
      <c r="E10" s="723">
        <v>1100</v>
      </c>
      <c r="F10" s="724">
        <v>96.294000000000011</v>
      </c>
      <c r="G10" s="336">
        <f t="shared" si="0"/>
        <v>11.423349326022388</v>
      </c>
      <c r="I10" s="430">
        <v>50</v>
      </c>
      <c r="J10" s="431">
        <v>7941</v>
      </c>
      <c r="K10" s="432">
        <f t="shared" si="1"/>
        <v>3601.9763923355599</v>
      </c>
      <c r="M10" s="417"/>
      <c r="N10" s="417"/>
      <c r="O10" s="418"/>
      <c r="P10" s="418"/>
      <c r="Q10" s="440">
        <v>45873</v>
      </c>
      <c r="R10" s="445">
        <f>'Entries September 2026'!AL9</f>
        <v>0</v>
      </c>
      <c r="S10" s="450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55">
        <f>'Entries September 2026'!AM8</f>
        <v>0</v>
      </c>
      <c r="U10" s="452">
        <f>'Entries September 2026'!AN8</f>
        <v>0</v>
      </c>
      <c r="V10" s="444">
        <f>'Entries September 2026'!AO8/2.204623</f>
        <v>0</v>
      </c>
      <c r="W10" s="433">
        <f t="shared" si="2"/>
        <v>0</v>
      </c>
      <c r="X10" s="434">
        <f>IF(W11-W10&lt;0,W10-W11,W11-W10)</f>
        <v>0</v>
      </c>
    </row>
    <row r="11" spans="1:24" ht="15.75" thickBot="1" x14ac:dyDescent="0.25">
      <c r="A11" s="778">
        <v>5</v>
      </c>
      <c r="B11" s="779" t="str">
        <f>IF('Entries September 2026'!N11-'Entries September 2026'!N10&lt;1,"0",'Entries September 2026'!N11-'Entries September 2026'!N10)</f>
        <v>0</v>
      </c>
      <c r="C11" s="779" t="str">
        <f>IF('Entries September 2026'!L11-'Entries September 2026'!L10&lt;1,"0",'Entries September 2026'!L11-'Entries September 2026'!L10)</f>
        <v>0</v>
      </c>
      <c r="D11" s="779" t="str">
        <f>IF('Entries September 2026'!M11-'Entries September 2026'!M10&lt;1,"0",'Entries September 2026'!M11-'Entries September 2026'!M10)</f>
        <v>0</v>
      </c>
      <c r="E11" s="779">
        <v>-2400</v>
      </c>
      <c r="F11" s="780">
        <v>0</v>
      </c>
      <c r="G11" s="336" t="str">
        <f t="shared" si="0"/>
        <v>0</v>
      </c>
      <c r="I11" s="430">
        <v>60</v>
      </c>
      <c r="J11" s="431">
        <v>9739</v>
      </c>
      <c r="K11" s="432">
        <f t="shared" si="1"/>
        <v>4417.5353337055813</v>
      </c>
      <c r="M11" s="417"/>
      <c r="N11" s="417"/>
      <c r="O11" s="418"/>
      <c r="P11" s="418"/>
      <c r="Q11" s="440">
        <v>45874</v>
      </c>
      <c r="R11" s="445">
        <f>'Entries September 2026'!AL10</f>
        <v>0</v>
      </c>
      <c r="S11" s="450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55">
        <f>'Entries September 2026'!AM9</f>
        <v>0</v>
      </c>
      <c r="U11" s="452">
        <f>'Entries September 2026'!AN9</f>
        <v>0</v>
      </c>
      <c r="V11" s="444">
        <f>'Entries September 2026'!AO9/2.204623</f>
        <v>0</v>
      </c>
      <c r="W11" s="433">
        <f t="shared" si="2"/>
        <v>0</v>
      </c>
      <c r="X11" s="434">
        <f>IF(W12-W11&lt;0,W11-W12,W12-W11)</f>
        <v>0</v>
      </c>
    </row>
    <row r="12" spans="1:24" ht="15.75" thickBot="1" x14ac:dyDescent="0.25">
      <c r="A12" s="778">
        <v>6</v>
      </c>
      <c r="B12" s="779" t="str">
        <f>IF('Entries September 2026'!N12-'Entries September 2026'!N11&lt;1,"0",'Entries September 2026'!N12-'Entries September 2026'!N11)</f>
        <v>0</v>
      </c>
      <c r="C12" s="779" t="str">
        <f>IF('Entries September 2026'!L12-'Entries September 2026'!L11&lt;1,"0",'Entries September 2026'!L12-'Entries September 2026'!L11)</f>
        <v>0</v>
      </c>
      <c r="D12" s="779" t="str">
        <f>IF('Entries September 2026'!M12-'Entries September 2026'!M11&lt;1,"0",'Entries September 2026'!M12-'Entries September 2026'!M11)</f>
        <v>0</v>
      </c>
      <c r="E12" s="779">
        <v>0</v>
      </c>
      <c r="F12" s="780">
        <v>0</v>
      </c>
      <c r="G12" s="336" t="str">
        <f>IF(F12=0,"0",(E12/F12))</f>
        <v>0</v>
      </c>
      <c r="I12" s="430">
        <v>70</v>
      </c>
      <c r="J12" s="431">
        <v>11537</v>
      </c>
      <c r="K12" s="432">
        <f t="shared" si="1"/>
        <v>5233.0942750756021</v>
      </c>
      <c r="M12" s="417"/>
      <c r="N12" s="417"/>
      <c r="O12" s="418"/>
      <c r="P12" s="418"/>
      <c r="Q12" s="440">
        <v>45875</v>
      </c>
      <c r="R12" s="445">
        <f>'Entries September 2026'!AL11</f>
        <v>0</v>
      </c>
      <c r="S12" s="450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55">
        <f>'Entries September 2026'!AM10</f>
        <v>0</v>
      </c>
      <c r="U12" s="452">
        <f>'Entries September 2026'!AN10</f>
        <v>0</v>
      </c>
      <c r="V12" s="444">
        <f>'Entries September 2026'!AO10/2.204623</f>
        <v>0</v>
      </c>
      <c r="W12" s="433">
        <f t="shared" si="2"/>
        <v>0</v>
      </c>
      <c r="X12" s="434">
        <f>IF(W13-W12&lt;0,W12-W13,W13-W12)</f>
        <v>0</v>
      </c>
    </row>
    <row r="13" spans="1:24" ht="15.75" thickBot="1" x14ac:dyDescent="0.25">
      <c r="A13" s="722">
        <v>7</v>
      </c>
      <c r="B13" s="723" t="str">
        <f>IF('Entries September 2026'!N13-'Entries September 2026'!N12&lt;1,"0",'Entries September 2026'!N13-'Entries September 2026'!N12)</f>
        <v>0</v>
      </c>
      <c r="C13" s="723">
        <f>IF('Entries September 2026'!L13-'Entries September 2026'!L12&lt;1,"0",'Entries September 2026'!L13-'Entries September 2026'!L12)</f>
        <v>113.63000000000466</v>
      </c>
      <c r="D13" s="723">
        <f>IF('Entries September 2026'!M13-'Entries September 2026'!M12&lt;1,"0",'Entries September 2026'!M13-'Entries September 2026'!M12)</f>
        <v>452.57999999995809</v>
      </c>
      <c r="E13" s="723">
        <v>700</v>
      </c>
      <c r="F13" s="724">
        <v>0</v>
      </c>
      <c r="G13" s="336" t="str">
        <f t="shared" si="0"/>
        <v>0</v>
      </c>
      <c r="I13" s="430">
        <v>80</v>
      </c>
      <c r="J13" s="431">
        <v>13335</v>
      </c>
      <c r="K13" s="432">
        <f t="shared" si="1"/>
        <v>6048.653216445623</v>
      </c>
      <c r="M13" s="417"/>
      <c r="N13" s="417"/>
      <c r="O13" s="418"/>
      <c r="P13" s="418"/>
      <c r="Q13" s="440">
        <v>45876</v>
      </c>
      <c r="R13" s="445">
        <f>'Entries September 2026'!AL12</f>
        <v>0</v>
      </c>
      <c r="S13" s="450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55">
        <f>'Entries September 2026'!AM11</f>
        <v>0</v>
      </c>
      <c r="U13" s="452">
        <f>'Entries September 2026'!AN11</f>
        <v>0</v>
      </c>
      <c r="V13" s="444">
        <f>'Entries September 2026'!AO11/2.204623</f>
        <v>0</v>
      </c>
      <c r="W13" s="433">
        <f t="shared" si="2"/>
        <v>0</v>
      </c>
      <c r="X13" s="434"/>
    </row>
    <row r="14" spans="1:24" ht="15.75" thickBot="1" x14ac:dyDescent="0.25">
      <c r="A14" s="722">
        <v>8</v>
      </c>
      <c r="B14" s="723">
        <f>IF('Entries September 2026'!N14-'Entries September 2026'!N13&lt;1,"0",'Entries September 2026'!N14-'Entries September 2026'!N13)</f>
        <v>142.39000000001397</v>
      </c>
      <c r="C14" s="723">
        <f>IF('Entries September 2026'!L14-'Entries September 2026'!L13&lt;1,"0",'Entries September 2026'!L14-'Entries September 2026'!L13)</f>
        <v>225.4600000000064</v>
      </c>
      <c r="D14" s="723">
        <f>IF('Entries September 2026'!M14-'Entries September 2026'!M13&lt;1,"0",'Entries September 2026'!M14-'Entries September 2026'!M13)</f>
        <v>1438.8100000000559</v>
      </c>
      <c r="E14" s="723">
        <v>1900</v>
      </c>
      <c r="F14" s="724">
        <v>261.49200000000002</v>
      </c>
      <c r="G14" s="336">
        <f t="shared" si="0"/>
        <v>7.2659966652899506</v>
      </c>
      <c r="I14" s="430">
        <v>90</v>
      </c>
      <c r="J14" s="431">
        <v>15134</v>
      </c>
      <c r="K14" s="432">
        <f t="shared" si="1"/>
        <v>6864.6657501078407</v>
      </c>
      <c r="M14" s="417"/>
      <c r="N14" s="417"/>
      <c r="O14" s="418"/>
      <c r="P14" s="418"/>
      <c r="Q14" s="440">
        <v>45877</v>
      </c>
      <c r="R14" s="445">
        <f>'Entries September 2026'!AL13</f>
        <v>0</v>
      </c>
      <c r="S14" s="450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55">
        <f>'Entries September 2026'!AM12</f>
        <v>0</v>
      </c>
      <c r="U14" s="452">
        <f>'Entries September 2026'!AN12</f>
        <v>0</v>
      </c>
      <c r="V14" s="444">
        <f>'Entries September 2026'!AO12/2.204623</f>
        <v>0</v>
      </c>
      <c r="W14" s="433">
        <f t="shared" si="2"/>
        <v>0</v>
      </c>
      <c r="X14" s="434">
        <f>W14-S15</f>
        <v>0</v>
      </c>
    </row>
    <row r="15" spans="1:24" ht="15.75" thickBot="1" x14ac:dyDescent="0.25">
      <c r="A15" s="722">
        <v>9</v>
      </c>
      <c r="B15" s="723">
        <f>IF('Entries September 2026'!N15-'Entries September 2026'!N14&lt;1,"0",'Entries September 2026'!N15-'Entries September 2026'!N14)</f>
        <v>222.90999999998894</v>
      </c>
      <c r="C15" s="723">
        <f>IF('Entries September 2026'!L15-'Entries September 2026'!L14&lt;1,"0",'Entries September 2026'!L15-'Entries September 2026'!L14)</f>
        <v>435.19999999999709</v>
      </c>
      <c r="D15" s="723">
        <f>IF('Entries September 2026'!M15-'Entries September 2026'!M14&lt;1,"0",'Entries September 2026'!M15-'Entries September 2026'!M14)</f>
        <v>1818.7999999999302</v>
      </c>
      <c r="E15" s="723">
        <v>1900</v>
      </c>
      <c r="F15" s="724">
        <v>401.61</v>
      </c>
      <c r="G15" s="336">
        <f t="shared" si="0"/>
        <v>4.7309578944747388</v>
      </c>
      <c r="I15" s="430">
        <v>100</v>
      </c>
      <c r="J15" s="431">
        <v>16932</v>
      </c>
      <c r="K15" s="432">
        <f t="shared" si="1"/>
        <v>7680.2246914778616</v>
      </c>
      <c r="M15" s="417"/>
      <c r="N15" s="417"/>
      <c r="O15" s="418"/>
      <c r="P15" s="418"/>
      <c r="Q15" s="440">
        <v>45878</v>
      </c>
      <c r="R15" s="445">
        <f>'Entries September 2026'!AL14</f>
        <v>0</v>
      </c>
      <c r="S15" s="450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55">
        <f>'Entries September 2026'!AM13</f>
        <v>0</v>
      </c>
      <c r="U15" s="452">
        <f>'Entries September 2026'!AN13</f>
        <v>0</v>
      </c>
      <c r="V15" s="444">
        <f>'Entries September 2026'!AO13/2.204623</f>
        <v>0</v>
      </c>
      <c r="W15" s="433">
        <f t="shared" si="2"/>
        <v>0</v>
      </c>
      <c r="X15" s="434"/>
    </row>
    <row r="16" spans="1:24" ht="15.75" thickBot="1" x14ac:dyDescent="0.25">
      <c r="A16" s="722">
        <v>10</v>
      </c>
      <c r="B16" s="723">
        <f>IF('Entries September 2026'!N16-'Entries September 2026'!N15&lt;1,"0",'Entries September 2026'!N16-'Entries September 2026'!N15)</f>
        <v>219.43000000000757</v>
      </c>
      <c r="C16" s="723">
        <f>IF('Entries September 2026'!L16-'Entries September 2026'!L15&lt;1,"0",'Entries September 2026'!L16-'Entries September 2026'!L15)</f>
        <v>537.61999999999534</v>
      </c>
      <c r="D16" s="723">
        <f>IF('Entries September 2026'!M16-'Entries September 2026'!M15&lt;1,"0",'Entries September 2026'!M16-'Entries September 2026'!M15)</f>
        <v>1996.7700000000186</v>
      </c>
      <c r="E16" s="723">
        <v>2500</v>
      </c>
      <c r="F16" s="724">
        <v>402.86400000000003</v>
      </c>
      <c r="G16" s="336">
        <f t="shared" si="0"/>
        <v>6.205568132173636</v>
      </c>
      <c r="I16" s="430">
        <v>110</v>
      </c>
      <c r="J16" s="431">
        <v>18730</v>
      </c>
      <c r="K16" s="432">
        <f t="shared" si="1"/>
        <v>8495.7836328478825</v>
      </c>
      <c r="M16" s="417"/>
      <c r="N16" s="417"/>
      <c r="O16" s="418"/>
      <c r="P16" s="418"/>
      <c r="Q16" s="440">
        <v>45879</v>
      </c>
      <c r="R16" s="445">
        <f>'Entries September 2026'!AL15</f>
        <v>0</v>
      </c>
      <c r="S16" s="450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55">
        <f>'Entries September 2026'!AM14</f>
        <v>0</v>
      </c>
      <c r="U16" s="452">
        <f>'Entries September 2026'!AN14</f>
        <v>0</v>
      </c>
      <c r="V16" s="444">
        <f>'Entries September 2026'!AO14/2.204623</f>
        <v>0</v>
      </c>
      <c r="W16" s="433">
        <f t="shared" si="2"/>
        <v>0</v>
      </c>
      <c r="X16" s="434">
        <f t="shared" ref="X16:X38" si="3">IF(W17-W16&lt;0,W16-W17,W17-W16)</f>
        <v>0</v>
      </c>
    </row>
    <row r="17" spans="1:24" ht="15.75" thickBot="1" x14ac:dyDescent="0.25">
      <c r="A17" s="722">
        <v>11</v>
      </c>
      <c r="B17" s="723">
        <f>IF('Entries September 2026'!N17-'Entries September 2026'!N16&lt;1,"0",'Entries September 2026'!N17-'Entries September 2026'!N16)</f>
        <v>163.31999999999243</v>
      </c>
      <c r="C17" s="723">
        <f>IF('Entries September 2026'!L17-'Entries September 2026'!L16&lt;1,"0",'Entries September 2026'!L17-'Entries September 2026'!L16)</f>
        <v>748.27000000000407</v>
      </c>
      <c r="D17" s="723">
        <f>IF('Entries September 2026'!M17-'Entries September 2026'!M16&lt;1,"0",'Entries September 2026'!M17-'Entries September 2026'!M16)</f>
        <v>1577.9699999999721</v>
      </c>
      <c r="E17" s="723">
        <v>1600</v>
      </c>
      <c r="F17" s="724">
        <v>266.24400000000003</v>
      </c>
      <c r="G17" s="336">
        <f t="shared" si="0"/>
        <v>6.0095250972791865</v>
      </c>
      <c r="I17" s="430">
        <v>120</v>
      </c>
      <c r="J17" s="431">
        <v>20528</v>
      </c>
      <c r="K17" s="432">
        <f t="shared" si="1"/>
        <v>9311.3425742179043</v>
      </c>
      <c r="M17" s="417"/>
      <c r="N17" s="417"/>
      <c r="O17" s="418"/>
      <c r="P17" s="418"/>
      <c r="Q17" s="440">
        <v>45880</v>
      </c>
      <c r="R17" s="445">
        <f>'Entries September 2026'!AL16</f>
        <v>0</v>
      </c>
      <c r="S17" s="450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55">
        <f>'Entries September 2026'!AM15</f>
        <v>0</v>
      </c>
      <c r="U17" s="452">
        <f>'Entries September 2026'!AN15</f>
        <v>0</v>
      </c>
      <c r="V17" s="444">
        <f>'Entries September 2026'!AO15/2.204623</f>
        <v>0</v>
      </c>
      <c r="W17" s="433">
        <f>S17+T17+U17+V17</f>
        <v>0</v>
      </c>
      <c r="X17" s="434">
        <f t="shared" si="3"/>
        <v>0</v>
      </c>
    </row>
    <row r="18" spans="1:24" ht="15.75" thickBot="1" x14ac:dyDescent="0.25">
      <c r="A18" s="778">
        <v>12</v>
      </c>
      <c r="B18" s="779" t="str">
        <f>IF('Entries September 2026'!N18-'Entries September 2026'!N17&lt;1,"0",'Entries September 2026'!N18-'Entries September 2026'!N17)</f>
        <v>0</v>
      </c>
      <c r="C18" s="779" t="str">
        <f>IF('Entries September 2026'!L18-'Entries September 2026'!L17&lt;1,"0",'Entries September 2026'!L18-'Entries September 2026'!L17)</f>
        <v>0</v>
      </c>
      <c r="D18" s="779">
        <f>IF('Entries September 2026'!M18-'Entries September 2026'!M17&lt;1,"0",'Entries September 2026'!M18-'Entries September 2026'!M17)</f>
        <v>2.4600000000791624</v>
      </c>
      <c r="E18" s="779">
        <v>0</v>
      </c>
      <c r="F18" s="780">
        <v>0</v>
      </c>
      <c r="G18" s="336" t="str">
        <f t="shared" si="0"/>
        <v>0</v>
      </c>
      <c r="I18" s="430">
        <v>130</v>
      </c>
      <c r="J18" s="431">
        <v>22326</v>
      </c>
      <c r="K18" s="432">
        <f t="shared" si="1"/>
        <v>10126.901515587924</v>
      </c>
      <c r="M18" s="417"/>
      <c r="N18" s="417"/>
      <c r="O18" s="418"/>
      <c r="P18" s="418"/>
      <c r="Q18" s="440">
        <v>45881</v>
      </c>
      <c r="R18" s="445">
        <f>'Entries September 2026'!AL17</f>
        <v>0</v>
      </c>
      <c r="S18" s="450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55">
        <f>'Entries September 2026'!AM16</f>
        <v>0</v>
      </c>
      <c r="U18" s="452">
        <f>'Entries September 2026'!AN16</f>
        <v>0</v>
      </c>
      <c r="V18" s="444">
        <f>'Entries September 2026'!AO16/2.204623</f>
        <v>0</v>
      </c>
      <c r="W18" s="433">
        <f t="shared" si="2"/>
        <v>0</v>
      </c>
      <c r="X18" s="434">
        <f t="shared" si="3"/>
        <v>0</v>
      </c>
    </row>
    <row r="19" spans="1:24" ht="15.75" thickBot="1" x14ac:dyDescent="0.25">
      <c r="A19" s="778">
        <v>13</v>
      </c>
      <c r="B19" s="779" t="str">
        <f>IF('Entries September 2026'!N19-'Entries September 2026'!N18&lt;1,"0",'Entries September 2026'!N19-'Entries September 2026'!N18)</f>
        <v>0</v>
      </c>
      <c r="C19" s="779" t="str">
        <f>IF('Entries September 2026'!L19-'Entries September 2026'!L18&lt;1,"0",'Entries September 2026'!L19-'Entries September 2026'!L18)</f>
        <v>0</v>
      </c>
      <c r="D19" s="779" t="str">
        <f>IF('Entries September 2026'!M19-'Entries September 2026'!M18&lt;1,"0",'Entries September 2026'!M19-'Entries September 2026'!M18)</f>
        <v>0</v>
      </c>
      <c r="E19" s="779">
        <v>0</v>
      </c>
      <c r="F19" s="780">
        <v>0</v>
      </c>
      <c r="G19" s="336" t="str">
        <f t="shared" si="0"/>
        <v>0</v>
      </c>
      <c r="I19" s="430">
        <v>140</v>
      </c>
      <c r="J19" s="431">
        <v>24125</v>
      </c>
      <c r="K19" s="432">
        <f t="shared" si="1"/>
        <v>10942.914049250143</v>
      </c>
      <c r="M19" s="417"/>
      <c r="N19" s="417"/>
      <c r="O19" s="418"/>
      <c r="P19" s="418"/>
      <c r="Q19" s="440">
        <v>45882</v>
      </c>
      <c r="R19" s="445">
        <f>'Entries September 2026'!AL18</f>
        <v>0</v>
      </c>
      <c r="S19" s="450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55">
        <f>'Entries September 2026'!AM17</f>
        <v>0</v>
      </c>
      <c r="U19" s="452">
        <f>'Entries September 2026'!AN17</f>
        <v>0</v>
      </c>
      <c r="V19" s="444">
        <f>'Entries September 2026'!AO17/2.204623</f>
        <v>0</v>
      </c>
      <c r="W19" s="433">
        <f t="shared" si="2"/>
        <v>0</v>
      </c>
      <c r="X19" s="434">
        <f t="shared" si="3"/>
        <v>0</v>
      </c>
    </row>
    <row r="20" spans="1:24" ht="15.75" thickBot="1" x14ac:dyDescent="0.25">
      <c r="A20" s="722">
        <v>14</v>
      </c>
      <c r="B20" s="723">
        <f>IF('Entries September 2026'!N20-'Entries September 2026'!N19&lt;1,"0",'Entries September 2026'!N20-'Entries September 2026'!N19)</f>
        <v>271.54000000000815</v>
      </c>
      <c r="C20" s="723">
        <f>IF('Entries September 2026'!L20-'Entries September 2026'!L19&lt;1,"0",'Entries September 2026'!L20-'Entries September 2026'!L19)</f>
        <v>649.36999999999534</v>
      </c>
      <c r="D20" s="723">
        <f>IF('Entries September 2026'!M20-'Entries September 2026'!M19&lt;1,"0",'Entries September 2026'!M20-'Entries September 2026'!M19)</f>
        <v>2088.6899999999441</v>
      </c>
      <c r="E20" s="723">
        <v>1700</v>
      </c>
      <c r="F20" s="724">
        <v>497.904</v>
      </c>
      <c r="G20" s="336">
        <f t="shared" si="0"/>
        <v>3.4143127992544748</v>
      </c>
      <c r="I20" s="430">
        <v>150</v>
      </c>
      <c r="J20" s="431">
        <v>25923</v>
      </c>
      <c r="K20" s="432">
        <f t="shared" si="1"/>
        <v>11758.472990620165</v>
      </c>
      <c r="M20" s="417"/>
      <c r="N20" s="417"/>
      <c r="O20" s="418"/>
      <c r="P20" s="418"/>
      <c r="Q20" s="440">
        <v>45883</v>
      </c>
      <c r="R20" s="445">
        <f>'Entries September 2026'!AL19</f>
        <v>0</v>
      </c>
      <c r="S20" s="450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55">
        <f>'Entries September 2026'!AM18</f>
        <v>0</v>
      </c>
      <c r="U20" s="452">
        <f>'Entries September 2026'!AN18</f>
        <v>0</v>
      </c>
      <c r="V20" s="444">
        <f>'Entries September 2026'!AO18/2.204623</f>
        <v>0</v>
      </c>
      <c r="W20" s="433">
        <f t="shared" si="2"/>
        <v>0</v>
      </c>
      <c r="X20" s="434">
        <f t="shared" si="3"/>
        <v>0</v>
      </c>
    </row>
    <row r="21" spans="1:24" ht="15.75" thickBot="1" x14ac:dyDescent="0.25">
      <c r="A21" s="722">
        <v>15</v>
      </c>
      <c r="B21" s="723">
        <f>IF('Entries September 2026'!N21-'Entries September 2026'!N20&lt;1,"0",'Entries September 2026'!N21-'Entries September 2026'!N20)</f>
        <v>369.80000000000291</v>
      </c>
      <c r="C21" s="723">
        <f>IF('Entries September 2026'!L21-'Entries September 2026'!L20&lt;1,"0",'Entries September 2026'!L21-'Entries September 2026'!L20)</f>
        <v>873.26000000000931</v>
      </c>
      <c r="D21" s="723">
        <f>IF('Entries September 2026'!M21-'Entries September 2026'!M20&lt;1,"0",'Entries September 2026'!M21-'Entries September 2026'!M20)</f>
        <v>3814.1899999999441</v>
      </c>
      <c r="E21" s="723">
        <v>3200</v>
      </c>
      <c r="F21" s="724">
        <v>602.91000000000008</v>
      </c>
      <c r="G21" s="336">
        <f t="shared" si="0"/>
        <v>5.3075915144880659</v>
      </c>
      <c r="I21" s="430">
        <v>160</v>
      </c>
      <c r="J21" s="431">
        <v>27721</v>
      </c>
      <c r="K21" s="432">
        <f t="shared" si="1"/>
        <v>12574.031931990185</v>
      </c>
      <c r="M21" s="417"/>
      <c r="N21" s="417"/>
      <c r="O21" s="418"/>
      <c r="P21" s="418"/>
      <c r="Q21" s="440">
        <v>45884</v>
      </c>
      <c r="R21" s="445">
        <f>'Entries September 2026'!AL20</f>
        <v>0</v>
      </c>
      <c r="S21" s="450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55">
        <f>'Entries September 2026'!AM19</f>
        <v>0</v>
      </c>
      <c r="U21" s="452">
        <f>'Entries September 2026'!AN19</f>
        <v>0</v>
      </c>
      <c r="V21" s="444">
        <f>'Entries September 2026'!AO19/2.204623</f>
        <v>0</v>
      </c>
      <c r="W21" s="433">
        <f t="shared" si="2"/>
        <v>0</v>
      </c>
      <c r="X21" s="434">
        <f t="shared" si="3"/>
        <v>0</v>
      </c>
    </row>
    <row r="22" spans="1:24" ht="15.75" thickBot="1" x14ac:dyDescent="0.25">
      <c r="A22" s="722">
        <v>16</v>
      </c>
      <c r="B22" s="723">
        <f>IF('Entries September 2026'!N22-'Entries September 2026'!N21&lt;1,"0",'Entries September 2026'!N22-'Entries September 2026'!N21)</f>
        <v>139.27999999999884</v>
      </c>
      <c r="C22" s="723">
        <f>IF('Entries September 2026'!L22-'Entries September 2026'!L21&lt;1,"0",'Entries September 2026'!L22-'Entries September 2026'!L21)</f>
        <v>678.3799999999901</v>
      </c>
      <c r="D22" s="723">
        <f>IF('Entries September 2026'!M22-'Entries September 2026'!M21&lt;1,"0",'Entries September 2026'!M22-'Entries September 2026'!M21)</f>
        <v>1659.9400000000605</v>
      </c>
      <c r="E22" s="723">
        <v>1700</v>
      </c>
      <c r="F22" s="724">
        <v>243.34200000000001</v>
      </c>
      <c r="G22" s="336">
        <f t="shared" si="0"/>
        <v>6.9860525515529579</v>
      </c>
      <c r="I22" s="430">
        <v>170</v>
      </c>
      <c r="J22" s="431">
        <v>29519</v>
      </c>
      <c r="K22" s="432">
        <f t="shared" si="1"/>
        <v>13389.590873360206</v>
      </c>
      <c r="M22" s="417"/>
      <c r="N22" s="417"/>
      <c r="O22" s="418"/>
      <c r="P22" s="418"/>
      <c r="Q22" s="440">
        <v>45885</v>
      </c>
      <c r="R22" s="445">
        <f>'Entries September 2026'!AL21</f>
        <v>0</v>
      </c>
      <c r="S22" s="450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55">
        <f>'Entries September 2026'!AM20</f>
        <v>0</v>
      </c>
      <c r="U22" s="452">
        <f>'Entries September 2026'!AN20</f>
        <v>0</v>
      </c>
      <c r="V22" s="444">
        <f>'Entries September 2026'!AO20/2.204623</f>
        <v>0</v>
      </c>
      <c r="W22" s="433">
        <f t="shared" si="2"/>
        <v>0</v>
      </c>
      <c r="X22" s="434">
        <f t="shared" si="3"/>
        <v>0</v>
      </c>
    </row>
    <row r="23" spans="1:24" ht="15.75" thickBot="1" x14ac:dyDescent="0.25">
      <c r="A23" s="722">
        <v>17</v>
      </c>
      <c r="B23" s="723">
        <f>IF('Entries September 2026'!N23-'Entries September 2026'!N22&lt;1,"0",'Entries September 2026'!N23-'Entries September 2026'!N22)</f>
        <v>180.14999999999418</v>
      </c>
      <c r="C23" s="723">
        <f>IF('Entries September 2026'!L23-'Entries September 2026'!L22&lt;1,"0",'Entries September 2026'!L23-'Entries September 2026'!L22)</f>
        <v>1046.5899999999965</v>
      </c>
      <c r="D23" s="723">
        <f>IF('Entries September 2026'!M23-'Entries September 2026'!M22&lt;1,"0",'Entries September 2026'!M23-'Entries September 2026'!M22)</f>
        <v>2393.3699999999953</v>
      </c>
      <c r="E23" s="723">
        <v>2400</v>
      </c>
      <c r="F23" s="724">
        <v>290.202</v>
      </c>
      <c r="G23" s="336">
        <f t="shared" si="0"/>
        <v>8.2701015154961031</v>
      </c>
      <c r="I23" s="430">
        <v>180</v>
      </c>
      <c r="J23" s="431">
        <v>31317</v>
      </c>
      <c r="K23" s="432">
        <f t="shared" si="1"/>
        <v>14205.149814730226</v>
      </c>
      <c r="M23" s="417"/>
      <c r="N23" s="417"/>
      <c r="O23" s="418"/>
      <c r="P23" s="418"/>
      <c r="Q23" s="440">
        <v>45886</v>
      </c>
      <c r="R23" s="445">
        <f>'Entries September 2026'!AL22</f>
        <v>0</v>
      </c>
      <c r="S23" s="450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55">
        <f>'Entries September 2026'!AM21</f>
        <v>0</v>
      </c>
      <c r="U23" s="452">
        <f>'Entries September 2026'!AN21</f>
        <v>0</v>
      </c>
      <c r="V23" s="444">
        <f>'Entries September 2026'!AO21/2.204623</f>
        <v>0</v>
      </c>
      <c r="W23" s="433">
        <f t="shared" si="2"/>
        <v>0</v>
      </c>
      <c r="X23" s="434">
        <f t="shared" si="3"/>
        <v>0</v>
      </c>
    </row>
    <row r="24" spans="1:24" ht="15.75" thickBot="1" x14ac:dyDescent="0.25">
      <c r="A24" s="722">
        <v>18</v>
      </c>
      <c r="B24" s="723">
        <f>IF('Entries September 2026'!N24-'Entries September 2026'!N23&lt;1,"0",'Entries September 2026'!N24-'Entries September 2026'!N23)</f>
        <v>263.89999999999418</v>
      </c>
      <c r="C24" s="723">
        <f>IF('Entries September 2026'!L24-'Entries September 2026'!L23&lt;1,"0",'Entries September 2026'!L24-'Entries September 2026'!L23)</f>
        <v>868.07000000000698</v>
      </c>
      <c r="D24" s="723">
        <f>IF('Entries September 2026'!M24-'Entries September 2026'!M23&lt;1,"0",'Entries September 2026'!M24-'Entries September 2026'!M23)</f>
        <v>2201.5600000000559</v>
      </c>
      <c r="E24" s="723">
        <v>2000</v>
      </c>
      <c r="F24" s="724">
        <v>440.81400000000002</v>
      </c>
      <c r="G24" s="336">
        <f t="shared" si="0"/>
        <v>4.5370609826366675</v>
      </c>
      <c r="I24" s="430">
        <v>190</v>
      </c>
      <c r="J24" s="431">
        <v>33116</v>
      </c>
      <c r="K24" s="432">
        <f t="shared" si="1"/>
        <v>15021.162348392445</v>
      </c>
      <c r="M24" s="417"/>
      <c r="N24" s="417"/>
      <c r="O24" s="418"/>
      <c r="P24" s="418"/>
      <c r="Q24" s="440">
        <v>45887</v>
      </c>
      <c r="R24" s="445">
        <f>'Entries September 2026'!AL23</f>
        <v>0</v>
      </c>
      <c r="S24" s="450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55">
        <f>'Entries September 2026'!AM22</f>
        <v>0</v>
      </c>
      <c r="U24" s="452">
        <f>'Entries September 2026'!AN22</f>
        <v>0</v>
      </c>
      <c r="V24" s="444">
        <f>'Entries September 2026'!AO22/2.204623</f>
        <v>0</v>
      </c>
      <c r="W24" s="433">
        <f t="shared" si="2"/>
        <v>0</v>
      </c>
      <c r="X24" s="434">
        <f t="shared" si="3"/>
        <v>0</v>
      </c>
    </row>
    <row r="25" spans="1:24" ht="15.75" thickBot="1" x14ac:dyDescent="0.25">
      <c r="A25" s="778">
        <v>19</v>
      </c>
      <c r="B25" s="779" t="str">
        <f>IF('Entries September 2026'!N25-'Entries September 2026'!N24&lt;1,"0",'Entries September 2026'!N25-'Entries September 2026'!N24)</f>
        <v>0</v>
      </c>
      <c r="C25" s="779" t="str">
        <f>IF('Entries September 2026'!L25-'Entries September 2026'!L24&lt;1,"0",'Entries September 2026'!L25-'Entries September 2026'!L24)</f>
        <v>0</v>
      </c>
      <c r="D25" s="779" t="str">
        <f>IF('Entries September 2026'!M25-'Entries September 2026'!M24&lt;1,"0",'Entries September 2026'!M25-'Entries September 2026'!M24)</f>
        <v>0</v>
      </c>
      <c r="E25" s="779">
        <v>0</v>
      </c>
      <c r="F25" s="780">
        <v>0</v>
      </c>
      <c r="G25" s="336" t="str">
        <f t="shared" si="0"/>
        <v>0</v>
      </c>
      <c r="I25" s="430">
        <v>200</v>
      </c>
      <c r="J25" s="431">
        <v>34914</v>
      </c>
      <c r="K25" s="432">
        <f t="shared" si="1"/>
        <v>15836.721289762465</v>
      </c>
      <c r="M25" s="417"/>
      <c r="N25" s="417"/>
      <c r="O25" s="418"/>
      <c r="P25" s="418"/>
      <c r="Q25" s="440">
        <v>45888</v>
      </c>
      <c r="R25" s="445">
        <f>'Entries September 2026'!AL24</f>
        <v>0</v>
      </c>
      <c r="S25" s="450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55">
        <f>'Entries September 2026'!AM23</f>
        <v>0</v>
      </c>
      <c r="U25" s="452">
        <f>'Entries September 2026'!AN23</f>
        <v>0</v>
      </c>
      <c r="V25" s="444">
        <f>'Entries September 2026'!AO23/2.204623</f>
        <v>0</v>
      </c>
      <c r="W25" s="433">
        <f t="shared" si="2"/>
        <v>0</v>
      </c>
      <c r="X25" s="434">
        <f t="shared" si="3"/>
        <v>0</v>
      </c>
    </row>
    <row r="26" spans="1:24" ht="15.75" thickBot="1" x14ac:dyDescent="0.25">
      <c r="A26" s="778">
        <v>20</v>
      </c>
      <c r="B26" s="779" t="str">
        <f>IF('Entries September 2026'!N26-'Entries September 2026'!N25&lt;1,"0",'Entries September 2026'!N26-'Entries September 2026'!N25)</f>
        <v>0</v>
      </c>
      <c r="C26" s="779" t="str">
        <f>IF('Entries September 2026'!L26-'Entries September 2026'!L25&lt;1,"0",'Entries September 2026'!L26-'Entries September 2026'!L25)</f>
        <v>0</v>
      </c>
      <c r="D26" s="779">
        <f>IF('Entries September 2026'!M26-'Entries September 2026'!M25&lt;1,"0",'Entries September 2026'!M26-'Entries September 2026'!M25)</f>
        <v>1.9000000000232831</v>
      </c>
      <c r="E26" s="779">
        <v>0</v>
      </c>
      <c r="F26" s="780">
        <v>0</v>
      </c>
      <c r="G26" s="336" t="str">
        <f t="shared" si="0"/>
        <v>0</v>
      </c>
      <c r="I26" s="430">
        <v>210</v>
      </c>
      <c r="J26" s="431">
        <v>36712</v>
      </c>
      <c r="K26" s="432">
        <f t="shared" si="1"/>
        <v>16652.280231132489</v>
      </c>
      <c r="M26" s="417"/>
      <c r="N26" s="417"/>
      <c r="O26" s="418"/>
      <c r="P26" s="418"/>
      <c r="Q26" s="440">
        <v>45889</v>
      </c>
      <c r="R26" s="445">
        <f>'Entries September 2026'!AL25</f>
        <v>0</v>
      </c>
      <c r="S26" s="450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55">
        <f>'Entries September 2026'!AM24</f>
        <v>0</v>
      </c>
      <c r="U26" s="452">
        <f>'Entries September 2026'!AN24</f>
        <v>0</v>
      </c>
      <c r="V26" s="444">
        <f>'Entries September 2026'!AO24/2.204623</f>
        <v>0</v>
      </c>
      <c r="W26" s="433">
        <f t="shared" si="2"/>
        <v>0</v>
      </c>
      <c r="X26" s="434">
        <f t="shared" si="3"/>
        <v>0</v>
      </c>
    </row>
    <row r="27" spans="1:24" ht="15.75" thickBot="1" x14ac:dyDescent="0.25">
      <c r="A27" s="722">
        <v>21</v>
      </c>
      <c r="B27" s="723">
        <f>IF('Entries September 2026'!N27-'Entries September 2026'!N26&lt;1,"0",'Entries September 2026'!N27-'Entries September 2026'!N26)</f>
        <v>97.880000000004657</v>
      </c>
      <c r="C27" s="723">
        <f>IF('Entries September 2026'!L27-'Entries September 2026'!L26&lt;1,"0",'Entries September 2026'!L27-'Entries September 2026'!L26)</f>
        <v>179.99000000000524</v>
      </c>
      <c r="D27" s="723">
        <f>IF('Entries September 2026'!M27-'Entries September 2026'!M26&lt;1,"0",'Entries September 2026'!M27-'Entries September 2026'!M26)</f>
        <v>875.25</v>
      </c>
      <c r="E27" s="723">
        <v>900</v>
      </c>
      <c r="F27" s="724">
        <v>179.916</v>
      </c>
      <c r="G27" s="336">
        <f t="shared" si="0"/>
        <v>5.0023344227306081</v>
      </c>
      <c r="I27" s="430">
        <v>220</v>
      </c>
      <c r="J27" s="431">
        <v>38510</v>
      </c>
      <c r="K27" s="432">
        <f t="shared" si="1"/>
        <v>17467.839172502507</v>
      </c>
      <c r="M27" s="417"/>
      <c r="N27" s="417"/>
      <c r="O27" s="418"/>
      <c r="P27" s="418"/>
      <c r="Q27" s="440">
        <v>45890</v>
      </c>
      <c r="R27" s="445">
        <f>'Entries September 2026'!AL26</f>
        <v>0</v>
      </c>
      <c r="S27" s="450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55">
        <f>'Entries September 2026'!AM25</f>
        <v>0</v>
      </c>
      <c r="U27" s="452">
        <f>'Entries September 2026'!AN25</f>
        <v>0</v>
      </c>
      <c r="V27" s="444">
        <f>'Entries September 2026'!AO25/2.204623</f>
        <v>0</v>
      </c>
      <c r="W27" s="433">
        <f t="shared" si="2"/>
        <v>0</v>
      </c>
      <c r="X27" s="434">
        <f t="shared" si="3"/>
        <v>0</v>
      </c>
    </row>
    <row r="28" spans="1:24" ht="15.75" thickBot="1" x14ac:dyDescent="0.25">
      <c r="A28" s="722">
        <v>22</v>
      </c>
      <c r="B28" s="723">
        <f>IF('Entries September 2026'!N28-'Entries September 2026'!N27&lt;1,"0",'Entries September 2026'!N28-'Entries September 2026'!N27)</f>
        <v>217.16000000000349</v>
      </c>
      <c r="C28" s="723">
        <f>IF('Entries September 2026'!L28-'Entries September 2026'!L27&lt;1,"0",'Entries September 2026'!L28-'Entries September 2026'!L27)</f>
        <v>752.63999999999942</v>
      </c>
      <c r="D28" s="723">
        <f>IF('Entries September 2026'!M28-'Entries September 2026'!M27&lt;1,"0",'Entries September 2026'!M28-'Entries September 2026'!M27)</f>
        <v>1889.8100000000559</v>
      </c>
      <c r="E28" s="723">
        <v>3400</v>
      </c>
      <c r="F28" s="724">
        <v>365.50800000000004</v>
      </c>
      <c r="G28" s="336">
        <f t="shared" si="0"/>
        <v>9.3021219781783149</v>
      </c>
      <c r="I28" s="430">
        <v>230</v>
      </c>
      <c r="J28" s="431">
        <v>40308</v>
      </c>
      <c r="K28" s="432">
        <f t="shared" si="1"/>
        <v>18283.398113872528</v>
      </c>
      <c r="M28" s="417"/>
      <c r="N28" s="417"/>
      <c r="O28" s="418"/>
      <c r="P28" s="418"/>
      <c r="Q28" s="440">
        <v>45891</v>
      </c>
      <c r="R28" s="445">
        <f>'Entries September 2026'!AL27</f>
        <v>0</v>
      </c>
      <c r="S28" s="450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55">
        <f>'Entries September 2026'!AM26</f>
        <v>0</v>
      </c>
      <c r="U28" s="452">
        <f>'Entries September 2026'!AN26</f>
        <v>0</v>
      </c>
      <c r="V28" s="444">
        <f>'Entries September 2026'!AO26/2.204623</f>
        <v>0</v>
      </c>
      <c r="W28" s="433">
        <f t="shared" si="2"/>
        <v>0</v>
      </c>
      <c r="X28" s="434" t="e">
        <f t="shared" si="3"/>
        <v>#VALUE!</v>
      </c>
    </row>
    <row r="29" spans="1:24" ht="15.75" thickBot="1" x14ac:dyDescent="0.25">
      <c r="A29" s="722">
        <v>23</v>
      </c>
      <c r="B29" s="723">
        <f>IF('Entries September 2026'!N29-'Entries September 2026'!N28&lt;1,"0",'Entries September 2026'!N29-'Entries September 2026'!N28)</f>
        <v>173.91999999999825</v>
      </c>
      <c r="C29" s="723">
        <f>IF('Entries September 2026'!L29-'Entries September 2026'!L28&lt;1,"0",'Entries September 2026'!L29-'Entries September 2026'!L28)</f>
        <v>112.16999999999825</v>
      </c>
      <c r="D29" s="723">
        <f>IF('Entries September 2026'!M29-'Entries September 2026'!M28&lt;1,"0",'Entries September 2026'!M29-'Entries September 2026'!M28)</f>
        <v>1373.1299999998882</v>
      </c>
      <c r="E29" s="723">
        <v>1300</v>
      </c>
      <c r="F29" s="724">
        <v>280.17</v>
      </c>
      <c r="G29" s="336">
        <f t="shared" si="0"/>
        <v>4.6400399757290218</v>
      </c>
      <c r="I29" s="430">
        <v>240</v>
      </c>
      <c r="J29" s="431">
        <v>42107</v>
      </c>
      <c r="K29" s="432">
        <f t="shared" si="1"/>
        <v>19099.410647534747</v>
      </c>
      <c r="M29" s="417"/>
      <c r="N29" s="417"/>
      <c r="O29" s="418"/>
      <c r="P29" s="418"/>
      <c r="Q29" s="440">
        <v>45892</v>
      </c>
      <c r="R29" s="445" t="str">
        <f>'Entries September 2026'!AL28</f>
        <v xml:space="preserve"> </v>
      </c>
      <c r="S29" s="450" t="e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#VALUE!</v>
      </c>
      <c r="T29" s="455">
        <f>'Entries September 2026'!AM27</f>
        <v>0</v>
      </c>
      <c r="U29" s="452">
        <f>'Entries September 2026'!AN27</f>
        <v>0</v>
      </c>
      <c r="V29" s="444">
        <f>'Entries September 2026'!AO27/2.204623</f>
        <v>0</v>
      </c>
      <c r="W29" s="433" t="e">
        <f t="shared" si="2"/>
        <v>#VALUE!</v>
      </c>
      <c r="X29" s="434" t="e">
        <f t="shared" si="3"/>
        <v>#VALUE!</v>
      </c>
    </row>
    <row r="30" spans="1:24" ht="15.75" thickBot="1" x14ac:dyDescent="0.25">
      <c r="A30" s="722">
        <v>24</v>
      </c>
      <c r="B30" s="723">
        <f>IF('Entries September 2026'!N30-'Entries September 2026'!N29&lt;1,"0",'Entries September 2026'!N30-'Entries September 2026'!N29)</f>
        <v>196.83000000000175</v>
      </c>
      <c r="C30" s="723">
        <f>IF('Entries September 2026'!L30-'Entries September 2026'!L29&lt;1,"0",'Entries September 2026'!L30-'Entries September 2026'!L29)</f>
        <v>152.97000000000116</v>
      </c>
      <c r="D30" s="723">
        <f>IF('Entries September 2026'!M30-'Entries September 2026'!M29&lt;1,"0",'Entries September 2026'!M30-'Entries September 2026'!M29)</f>
        <v>1366</v>
      </c>
      <c r="E30" s="723">
        <v>1600</v>
      </c>
      <c r="F30" s="724">
        <v>354.94800000000004</v>
      </c>
      <c r="G30" s="336">
        <f t="shared" si="0"/>
        <v>4.5077025367096022</v>
      </c>
      <c r="I30" s="430">
        <v>250</v>
      </c>
      <c r="J30" s="431">
        <v>43905</v>
      </c>
      <c r="K30" s="432">
        <f t="shared" si="1"/>
        <v>19914.969588904769</v>
      </c>
      <c r="M30" s="417"/>
      <c r="N30" s="417"/>
      <c r="O30" s="418"/>
      <c r="P30" s="418"/>
      <c r="Q30" s="440">
        <v>45893</v>
      </c>
      <c r="R30" s="445">
        <f>'Entries September 2026'!AL29</f>
        <v>0</v>
      </c>
      <c r="S30" s="450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55">
        <f>'Entries September 2026'!AM28</f>
        <v>0</v>
      </c>
      <c r="U30" s="452">
        <f>'Entries September 2026'!AN28</f>
        <v>0</v>
      </c>
      <c r="V30" s="444">
        <f>'Entries September 2026'!AO28/2.204623</f>
        <v>0</v>
      </c>
      <c r="W30" s="433">
        <f t="shared" si="2"/>
        <v>0</v>
      </c>
      <c r="X30" s="434">
        <f t="shared" si="3"/>
        <v>0</v>
      </c>
    </row>
    <row r="31" spans="1:24" ht="15.75" thickBot="1" x14ac:dyDescent="0.25">
      <c r="A31" s="722">
        <v>25</v>
      </c>
      <c r="B31" s="723">
        <f>IF('Entries September 2026'!N31-'Entries September 2026'!N30&lt;1,"0",'Entries September 2026'!N31-'Entries September 2026'!N30)</f>
        <v>149.94000000000233</v>
      </c>
      <c r="C31" s="723">
        <f>IF('Entries September 2026'!L31-'Entries September 2026'!L30&lt;1,"0",'Entries September 2026'!L31-'Entries September 2026'!L30)</f>
        <v>499.58000000000175</v>
      </c>
      <c r="D31" s="723">
        <f>IF('Entries September 2026'!M31-'Entries September 2026'!M30&lt;1,"0",'Entries September 2026'!M31-'Entries September 2026'!M30)</f>
        <v>1336.75</v>
      </c>
      <c r="E31" s="723">
        <v>1200</v>
      </c>
      <c r="F31" s="724">
        <v>263.01</v>
      </c>
      <c r="G31" s="336">
        <f t="shared" si="0"/>
        <v>4.562564161058515</v>
      </c>
      <c r="I31" s="430">
        <v>260</v>
      </c>
      <c r="J31" s="431">
        <v>45703</v>
      </c>
      <c r="K31" s="432">
        <f t="shared" si="1"/>
        <v>20730.528530274787</v>
      </c>
      <c r="M31" s="417"/>
      <c r="N31" s="417"/>
      <c r="O31" s="418"/>
      <c r="P31" s="418"/>
      <c r="Q31" s="440">
        <v>45894</v>
      </c>
      <c r="R31" s="445">
        <f>'Entries September 2026'!AL30</f>
        <v>0</v>
      </c>
      <c r="S31" s="450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55">
        <f>'Entries September 2026'!AM29</f>
        <v>0</v>
      </c>
      <c r="U31" s="452">
        <f>'Entries September 2026'!AN29</f>
        <v>0</v>
      </c>
      <c r="V31" s="444">
        <f>'Entries September 2026'!AO29/2.204623</f>
        <v>0</v>
      </c>
      <c r="W31" s="433">
        <f t="shared" si="2"/>
        <v>0</v>
      </c>
      <c r="X31" s="434">
        <f t="shared" si="3"/>
        <v>0</v>
      </c>
    </row>
    <row r="32" spans="1:24" ht="15.75" thickBot="1" x14ac:dyDescent="0.25">
      <c r="A32" s="778">
        <v>26</v>
      </c>
      <c r="B32" s="779" t="str">
        <f>IF('Entries September 2026'!N32-'Entries September 2026'!N31&lt;1,"0",'Entries September 2026'!N32-'Entries September 2026'!N31)</f>
        <v>0</v>
      </c>
      <c r="C32" s="779" t="str">
        <f>IF('Entries September 2026'!L32-'Entries September 2026'!L31&lt;1,"0",'Entries September 2026'!L32-'Entries September 2026'!L31)</f>
        <v>0</v>
      </c>
      <c r="D32" s="779" t="str">
        <f>IF('Entries September 2026'!M32-'Entries September 2026'!M31&lt;1,"0",'Entries September 2026'!M32-'Entries September 2026'!M31)</f>
        <v>0</v>
      </c>
      <c r="E32" s="779">
        <v>0</v>
      </c>
      <c r="F32" s="780">
        <v>0</v>
      </c>
      <c r="G32" s="336" t="str">
        <f t="shared" si="0"/>
        <v>0</v>
      </c>
      <c r="I32" s="430">
        <v>270</v>
      </c>
      <c r="J32" s="431">
        <v>47501</v>
      </c>
      <c r="K32" s="432">
        <f t="shared" si="1"/>
        <v>21546.087471644809</v>
      </c>
      <c r="M32" s="417"/>
      <c r="N32" s="417"/>
      <c r="O32" s="418"/>
      <c r="P32" s="418"/>
      <c r="Q32" s="440">
        <v>45895</v>
      </c>
      <c r="R32" s="445">
        <f>'Entries September 2026'!AL31</f>
        <v>0</v>
      </c>
      <c r="S32" s="450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55">
        <f>'Entries September 2026'!AM30</f>
        <v>0</v>
      </c>
      <c r="U32" s="452">
        <f>'Entries September 2026'!AN30</f>
        <v>0</v>
      </c>
      <c r="V32" s="444">
        <f>'Entries September 2026'!AO30/2.204623</f>
        <v>0</v>
      </c>
      <c r="W32" s="433">
        <f t="shared" si="2"/>
        <v>0</v>
      </c>
      <c r="X32" s="434">
        <f t="shared" si="3"/>
        <v>0</v>
      </c>
    </row>
    <row r="33" spans="1:24" ht="15.75" thickBot="1" x14ac:dyDescent="0.25">
      <c r="A33" s="778">
        <v>27</v>
      </c>
      <c r="B33" s="779" t="str">
        <f>IF('Entries September 2026'!N33-'Entries September 2026'!N32&lt;1,"0",'Entries September 2026'!N33-'Entries September 2026'!N32)</f>
        <v>0</v>
      </c>
      <c r="C33" s="779" t="str">
        <f>IF('Entries September 2026'!L33-'Entries September 2026'!L32&lt;1,"0",'Entries September 2026'!L33-'Entries September 2026'!L32)</f>
        <v>0</v>
      </c>
      <c r="D33" s="779" t="str">
        <f>IF('Entries September 2026'!M33-'Entries September 2026'!M32&lt;1,"0",'Entries September 2026'!M33-'Entries September 2026'!M32)</f>
        <v>0</v>
      </c>
      <c r="E33" s="779">
        <v>0</v>
      </c>
      <c r="F33" s="780">
        <v>0</v>
      </c>
      <c r="G33" s="336" t="str">
        <f t="shared" si="0"/>
        <v>0</v>
      </c>
      <c r="I33" s="430">
        <v>280</v>
      </c>
      <c r="J33" s="431">
        <v>49299</v>
      </c>
      <c r="K33" s="432">
        <f t="shared" si="1"/>
        <v>22361.646413014831</v>
      </c>
      <c r="M33" s="417"/>
      <c r="N33" s="417"/>
      <c r="O33" s="418"/>
      <c r="P33" s="418"/>
      <c r="Q33" s="440">
        <v>45896</v>
      </c>
      <c r="R33" s="445">
        <f>'Entries September 2026'!AL32</f>
        <v>0</v>
      </c>
      <c r="S33" s="450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55">
        <f>'Entries September 2026'!AM31</f>
        <v>0</v>
      </c>
      <c r="U33" s="452">
        <f>'Entries September 2026'!AN31</f>
        <v>0</v>
      </c>
      <c r="V33" s="444">
        <f>'Entries September 2026'!AO31/2.204623</f>
        <v>0</v>
      </c>
      <c r="W33" s="433">
        <f t="shared" si="2"/>
        <v>0</v>
      </c>
      <c r="X33" s="434">
        <f t="shared" si="3"/>
        <v>0</v>
      </c>
    </row>
    <row r="34" spans="1:24" ht="15.75" thickBot="1" x14ac:dyDescent="0.25">
      <c r="A34" s="722">
        <v>28</v>
      </c>
      <c r="B34" s="723" t="str">
        <f>IF('Entries September 2026'!N34-'Entries September 2026'!N33&lt;1,"0",'Entries September 2026'!N34-'Entries September 2026'!N33)</f>
        <v>0</v>
      </c>
      <c r="C34" s="723" t="str">
        <f>IF('Entries September 2026'!L34-'Entries September 2026'!L33&lt;1,"0",'Entries September 2026'!L34-'Entries September 2026'!L33)</f>
        <v>0</v>
      </c>
      <c r="D34" s="723" t="str">
        <f>IF('Entries September 2026'!M34-'Entries September 2026'!M33&lt;1,"0",'Entries September 2026'!M34-'Entries September 2026'!M33)</f>
        <v>0</v>
      </c>
      <c r="E34" s="723">
        <v>1300</v>
      </c>
      <c r="F34" s="724">
        <v>258.72000000000003</v>
      </c>
      <c r="G34" s="336">
        <f t="shared" si="0"/>
        <v>5.02473716759431</v>
      </c>
      <c r="I34" s="430">
        <v>290</v>
      </c>
      <c r="J34" s="431">
        <v>51098</v>
      </c>
      <c r="K34" s="432">
        <f t="shared" si="1"/>
        <v>23177.658946677049</v>
      </c>
      <c r="M34" s="417"/>
      <c r="N34" s="417"/>
      <c r="O34" s="418"/>
      <c r="P34" s="418"/>
      <c r="Q34" s="440">
        <v>45897</v>
      </c>
      <c r="R34" s="445">
        <f>'Entries September 2026'!AL33</f>
        <v>0</v>
      </c>
      <c r="S34" s="450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55">
        <f>'Entries September 2026'!AM32</f>
        <v>0</v>
      </c>
      <c r="U34" s="452">
        <f>'Entries September 2026'!AN32</f>
        <v>0</v>
      </c>
      <c r="V34" s="444">
        <f>'Entries September 2026'!AO32/2.204623</f>
        <v>0</v>
      </c>
      <c r="W34" s="433">
        <f t="shared" si="2"/>
        <v>0</v>
      </c>
      <c r="X34" s="434">
        <f t="shared" si="3"/>
        <v>0</v>
      </c>
    </row>
    <row r="35" spans="1:24" ht="15.75" thickBot="1" x14ac:dyDescent="0.25">
      <c r="A35" s="722">
        <v>29</v>
      </c>
      <c r="B35" s="723" t="str">
        <f>IF('Entries September 2026'!N35-'Entries September 2026'!N34&lt;1,"0",'Entries September 2026'!N35-'Entries September 2026'!N34)</f>
        <v>0</v>
      </c>
      <c r="C35" s="723" t="str">
        <f>IF('Entries September 2026'!L35-'Entries September 2026'!L34&lt;1,"0",'Entries September 2026'!L35-'Entries September 2026'!L34)</f>
        <v>0</v>
      </c>
      <c r="D35" s="723" t="str">
        <f>IF('Entries September 2026'!M35-'Entries September 2026'!M34&lt;1,"0",'Entries September 2026'!M35-'Entries September 2026'!M34)</f>
        <v>0</v>
      </c>
      <c r="E35" s="723">
        <v>0</v>
      </c>
      <c r="F35" s="724">
        <v>0</v>
      </c>
      <c r="G35" s="336" t="str">
        <f t="shared" si="0"/>
        <v>0</v>
      </c>
      <c r="I35" s="430">
        <v>300</v>
      </c>
      <c r="J35" s="431">
        <v>52896</v>
      </c>
      <c r="K35" s="432">
        <f t="shared" si="1"/>
        <v>23993.217888047071</v>
      </c>
      <c r="M35" s="417"/>
      <c r="N35" s="417"/>
      <c r="O35" s="418"/>
      <c r="P35" s="418"/>
      <c r="Q35" s="440">
        <v>45898</v>
      </c>
      <c r="R35" s="445">
        <f>'Entries September 2026'!AL34</f>
        <v>0</v>
      </c>
      <c r="S35" s="450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55">
        <f>'Entries September 2026'!AM33</f>
        <v>0</v>
      </c>
      <c r="U35" s="452">
        <f>'Entries September 2026'!AN33</f>
        <v>0</v>
      </c>
      <c r="V35" s="444">
        <f>'Entries September 2026'!AO33/2.204623</f>
        <v>0</v>
      </c>
      <c r="W35" s="433">
        <f t="shared" si="2"/>
        <v>0</v>
      </c>
      <c r="X35" s="434">
        <f t="shared" si="3"/>
        <v>0</v>
      </c>
    </row>
    <row r="36" spans="1:24" ht="15.75" thickBot="1" x14ac:dyDescent="0.25">
      <c r="A36" s="722">
        <v>30</v>
      </c>
      <c r="B36" s="723" t="str">
        <f>IF('Entries September 2026'!N36-'Entries September 2026'!N35&lt;1,"0",'Entries September 2026'!N36-'Entries September 2026'!N35)</f>
        <v>0</v>
      </c>
      <c r="C36" s="723" t="str">
        <f>IF('Entries September 2026'!L36-'Entries September 2026'!L35&lt;1,"0",'Entries September 2026'!L36-'Entries September 2026'!L35)</f>
        <v>0</v>
      </c>
      <c r="D36" s="723" t="str">
        <f>IF('Entries September 2026'!M36-'Entries September 2026'!M35&lt;1,"0",'Entries September 2026'!M36-'Entries September 2026'!M35)</f>
        <v>0</v>
      </c>
      <c r="E36" s="723">
        <v>0</v>
      </c>
      <c r="F36" s="724">
        <v>0</v>
      </c>
      <c r="G36" s="336" t="str">
        <f t="shared" si="0"/>
        <v>0</v>
      </c>
      <c r="I36" s="430">
        <v>310</v>
      </c>
      <c r="J36" s="431">
        <v>54694</v>
      </c>
      <c r="K36" s="432">
        <f t="shared" si="1"/>
        <v>24808.776829417089</v>
      </c>
      <c r="M36" s="417"/>
      <c r="N36" s="417"/>
      <c r="O36" s="418"/>
      <c r="P36" s="418"/>
      <c r="Q36" s="440">
        <v>45899</v>
      </c>
      <c r="R36" s="445">
        <f>'Entries September 2026'!AL35</f>
        <v>0</v>
      </c>
      <c r="S36" s="450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55">
        <f>'Entries September 2026'!AM34</f>
        <v>0</v>
      </c>
      <c r="U36" s="452">
        <f>'Entries September 2026'!AN34</f>
        <v>0</v>
      </c>
      <c r="V36" s="444">
        <f>'Entries September 2026'!AO34/2.204623</f>
        <v>0</v>
      </c>
      <c r="W36" s="433">
        <f t="shared" si="2"/>
        <v>0</v>
      </c>
      <c r="X36" s="434">
        <f t="shared" si="3"/>
        <v>0</v>
      </c>
    </row>
    <row r="37" spans="1:24" ht="15.75" thickBot="1" x14ac:dyDescent="0.25">
      <c r="A37" s="722">
        <v>31</v>
      </c>
      <c r="B37" s="723" t="str">
        <f>IF('Entries September 2026'!N37-'Entries September 2026'!N36&lt;1,"0",'Entries September 2026'!N37-'Entries September 2026'!N36)</f>
        <v>0</v>
      </c>
      <c r="C37" s="723" t="str">
        <f>IF('Entries September 2026'!L37-'Entries September 2026'!L36&lt;1,"0",'Entries September 2026'!L37-'Entries September 2026'!L36)</f>
        <v>0</v>
      </c>
      <c r="D37" s="723" t="str">
        <f>IF('Entries September 2026'!M37-'Entries September 2026'!M36&lt;1,"0",'Entries September 2026'!M37-'Entries September 2026'!M36)</f>
        <v>0</v>
      </c>
      <c r="E37" s="723">
        <v>0</v>
      </c>
      <c r="F37" s="724">
        <v>0</v>
      </c>
      <c r="G37" s="336" t="str">
        <f t="shared" si="0"/>
        <v>0</v>
      </c>
      <c r="H37" s="347" t="s">
        <v>244</v>
      </c>
      <c r="I37" s="430">
        <v>320</v>
      </c>
      <c r="J37" s="431">
        <v>56492</v>
      </c>
      <c r="K37" s="432">
        <f t="shared" si="1"/>
        <v>25624.335770787111</v>
      </c>
      <c r="M37" s="417"/>
      <c r="N37" s="417"/>
      <c r="O37" s="418"/>
      <c r="P37" s="418"/>
      <c r="Q37" s="440">
        <v>45900</v>
      </c>
      <c r="R37" s="445">
        <f>'Entries September 2026'!AL36</f>
        <v>0</v>
      </c>
      <c r="S37" s="450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55">
        <f>'Entries September 2026'!AM35</f>
        <v>0</v>
      </c>
      <c r="U37" s="452">
        <f>'Entries September 2026'!AN35</f>
        <v>0</v>
      </c>
      <c r="V37" s="444">
        <f>'Entries September 2026'!AO35/2.204623</f>
        <v>0</v>
      </c>
      <c r="W37" s="433">
        <f t="shared" si="2"/>
        <v>0</v>
      </c>
      <c r="X37" s="434">
        <f t="shared" si="3"/>
        <v>0</v>
      </c>
    </row>
    <row r="38" spans="1:24" ht="18.75" thickBot="1" x14ac:dyDescent="0.3">
      <c r="A38" s="41" t="s">
        <v>82</v>
      </c>
      <c r="B38" s="720">
        <f>SUM(B7:B37)</f>
        <v>3720.6200000000099</v>
      </c>
      <c r="C38" s="720">
        <f>SUM(C7:C37)</f>
        <v>10013.780000000013</v>
      </c>
      <c r="D38" s="720">
        <f>SUM(D7:D37)</f>
        <v>34409.650000000023</v>
      </c>
      <c r="E38" s="720">
        <f>SUM(E7:E37)</f>
        <v>35700</v>
      </c>
      <c r="F38" s="721">
        <f>SUM(F7:F37)</f>
        <v>6666.4620000000014</v>
      </c>
      <c r="G38" s="345">
        <f>IF(F38=0,"0",(E38/F38))</f>
        <v>5.3551644035471879</v>
      </c>
      <c r="H38" s="348">
        <v>5</v>
      </c>
      <c r="I38" s="430">
        <v>330</v>
      </c>
      <c r="J38" s="431">
        <v>58290</v>
      </c>
      <c r="K38" s="432">
        <f t="shared" si="1"/>
        <v>26439.894712157133</v>
      </c>
      <c r="M38" s="417"/>
      <c r="N38" s="417"/>
      <c r="O38" s="418"/>
      <c r="P38" s="418"/>
      <c r="Q38" s="440">
        <v>45901</v>
      </c>
      <c r="R38" s="445">
        <f>'Entries September 2026'!AL37</f>
        <v>0</v>
      </c>
      <c r="S38" s="451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55">
        <f>'Entries September 2026'!AM36</f>
        <v>0</v>
      </c>
      <c r="U38" s="452">
        <f>'Entries September 2026'!AN36</f>
        <v>0</v>
      </c>
      <c r="V38" s="444">
        <f>'Entries September 2026'!AO36/2.204623</f>
        <v>0</v>
      </c>
      <c r="W38" s="433">
        <f t="shared" si="2"/>
        <v>0</v>
      </c>
      <c r="X38" s="434">
        <f t="shared" si="3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30">
        <v>340</v>
      </c>
      <c r="J39" s="431">
        <v>60089</v>
      </c>
      <c r="K39" s="432">
        <f t="shared" si="1"/>
        <v>27255.907245819351</v>
      </c>
      <c r="M39" s="417"/>
      <c r="N39" s="417"/>
      <c r="O39" s="418"/>
      <c r="P39" s="418"/>
      <c r="Q39" s="441"/>
      <c r="R39" s="445">
        <f>'Entries September 2026'!AL38</f>
        <v>0</v>
      </c>
      <c r="S39" s="451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55">
        <f>'Entries September 2026'!AM37</f>
        <v>0</v>
      </c>
      <c r="U39" s="452">
        <f>'Entries September 2026'!AN37</f>
        <v>0</v>
      </c>
      <c r="V39" s="444">
        <f>'Entries September 2026'!AO37/2.204623</f>
        <v>0</v>
      </c>
      <c r="W39" s="433">
        <f t="shared" si="2"/>
        <v>0</v>
      </c>
      <c r="X39" s="456"/>
    </row>
    <row r="40" spans="1:24" ht="15.75" thickBot="1" x14ac:dyDescent="0.25">
      <c r="A40" s="8"/>
      <c r="B40" s="8"/>
      <c r="C40" s="8"/>
      <c r="D40" s="11"/>
      <c r="E40" s="11"/>
      <c r="F40" s="8"/>
      <c r="I40" s="438">
        <v>350</v>
      </c>
      <c r="J40" s="439">
        <v>60537</v>
      </c>
      <c r="K40" s="432">
        <f t="shared" si="1"/>
        <v>27459.11659272356</v>
      </c>
      <c r="M40" s="417"/>
      <c r="N40" s="417"/>
      <c r="O40" s="418"/>
      <c r="P40" s="418"/>
      <c r="Q40" s="191"/>
      <c r="R40" s="446"/>
      <c r="S40" s="447"/>
      <c r="T40" s="435"/>
      <c r="U40" s="435"/>
      <c r="V40" s="436"/>
      <c r="W40" s="435" t="s">
        <v>241</v>
      </c>
      <c r="X40" s="437" t="e">
        <f>SUM(X8:X38)</f>
        <v>#VALUE!</v>
      </c>
    </row>
    <row r="41" spans="1:24" x14ac:dyDescent="0.2">
      <c r="M41" s="417"/>
      <c r="N41" s="417"/>
      <c r="O41" s="418"/>
      <c r="P41" s="418"/>
      <c r="Q41" s="191"/>
      <c r="R41" s="191"/>
      <c r="S41" s="191"/>
      <c r="T41" s="191"/>
      <c r="U41" s="191"/>
      <c r="V41" s="417"/>
      <c r="W41" s="191"/>
      <c r="X41" s="191"/>
    </row>
    <row r="42" spans="1:24" x14ac:dyDescent="0.2">
      <c r="Q42" s="191"/>
      <c r="R42" s="191"/>
      <c r="S42" s="191"/>
      <c r="T42" s="191"/>
      <c r="U42" s="191"/>
      <c r="V42" s="417"/>
      <c r="W42" s="191"/>
      <c r="X42" s="191"/>
    </row>
  </sheetData>
  <mergeCells count="16">
    <mergeCell ref="W5:W6"/>
    <mergeCell ref="X5:X6"/>
    <mergeCell ref="I3:K3"/>
    <mergeCell ref="I4:K4"/>
    <mergeCell ref="M5:O5"/>
    <mergeCell ref="Q5:Q6"/>
    <mergeCell ref="R5:S5"/>
    <mergeCell ref="V5:V6"/>
    <mergeCell ref="Q4:T4"/>
    <mergeCell ref="A5:A6"/>
    <mergeCell ref="G5:G6"/>
    <mergeCell ref="B5:B6"/>
    <mergeCell ref="F5:F6"/>
    <mergeCell ref="D5:D6"/>
    <mergeCell ref="E5:E6"/>
    <mergeCell ref="C5:C6"/>
  </mergeCells>
  <phoneticPr fontId="0" type="noConversion"/>
  <conditionalFormatting sqref="G7:G38">
    <cfRule type="cellIs" dxfId="43" priority="1" operator="greaterThan">
      <formula>5</formula>
    </cfRule>
    <cfRule type="cellIs" dxfId="42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F16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201" customWidth="1"/>
    <col min="33" max="33" width="15.42578125" style="210" bestFit="1" customWidth="1"/>
    <col min="34" max="34" width="15.5703125" style="210" customWidth="1"/>
    <col min="35" max="35" width="15.42578125" style="264" bestFit="1" customWidth="1"/>
    <col min="36" max="37" width="9.28515625" style="264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200"/>
      <c r="AG1" s="264"/>
      <c r="AH1" s="264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200"/>
      <c r="AG2" s="264"/>
      <c r="AH2" s="264"/>
    </row>
    <row r="3" spans="1:37" x14ac:dyDescent="0.2">
      <c r="A3" s="1" t="s">
        <v>131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200"/>
      <c r="AG3" s="264"/>
      <c r="AH3" s="264"/>
    </row>
    <row r="4" spans="1:37" x14ac:dyDescent="0.2">
      <c r="A4" s="1"/>
      <c r="M4" s="92" t="s">
        <v>227</v>
      </c>
      <c r="Y4" s="82">
        <v>1364</v>
      </c>
    </row>
    <row r="5" spans="1:37" ht="26.25" x14ac:dyDescent="0.4">
      <c r="A5" s="183">
        <v>46266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475">
        <v>1</v>
      </c>
      <c r="C6" s="475">
        <v>2</v>
      </c>
      <c r="D6" s="475">
        <v>3</v>
      </c>
      <c r="E6" s="475">
        <v>4</v>
      </c>
      <c r="F6" s="475">
        <v>5</v>
      </c>
      <c r="G6" s="475">
        <v>6</v>
      </c>
      <c r="H6" s="475">
        <v>7</v>
      </c>
      <c r="I6" s="475">
        <v>8</v>
      </c>
      <c r="J6" s="475">
        <v>9</v>
      </c>
      <c r="K6" s="475">
        <v>10</v>
      </c>
      <c r="L6" s="475">
        <v>11</v>
      </c>
      <c r="M6" s="475">
        <v>12</v>
      </c>
      <c r="N6" s="475">
        <v>13</v>
      </c>
      <c r="O6" s="475">
        <v>14</v>
      </c>
      <c r="P6" s="475">
        <v>15</v>
      </c>
      <c r="Q6" s="475">
        <v>16</v>
      </c>
      <c r="R6" s="475">
        <v>17</v>
      </c>
      <c r="S6" s="475">
        <v>18</v>
      </c>
      <c r="T6" s="475">
        <v>19</v>
      </c>
      <c r="U6" s="475">
        <v>20</v>
      </c>
      <c r="V6" s="475">
        <v>21</v>
      </c>
      <c r="W6" s="475">
        <v>22</v>
      </c>
      <c r="X6" s="475">
        <v>23</v>
      </c>
      <c r="Y6" s="475">
        <v>24</v>
      </c>
      <c r="Z6" s="475">
        <v>25</v>
      </c>
      <c r="AA6" s="475">
        <v>26</v>
      </c>
      <c r="AB6" s="475">
        <v>27</v>
      </c>
      <c r="AC6" s="475">
        <v>28</v>
      </c>
      <c r="AD6" s="475">
        <v>29</v>
      </c>
      <c r="AE6" s="475">
        <v>30</v>
      </c>
      <c r="AF6" s="475">
        <v>31</v>
      </c>
      <c r="AG6" s="293"/>
      <c r="AH6" s="901" t="s">
        <v>216</v>
      </c>
      <c r="AI6" s="291"/>
    </row>
    <row r="7" spans="1:37" s="74" customFormat="1" ht="25.5" customHeight="1" x14ac:dyDescent="0.25">
      <c r="A7" s="97" t="s">
        <v>128</v>
      </c>
      <c r="B7" s="477" t="s">
        <v>144</v>
      </c>
      <c r="C7" s="477" t="s">
        <v>138</v>
      </c>
      <c r="D7" s="477" t="s">
        <v>139</v>
      </c>
      <c r="E7" s="477" t="s">
        <v>140</v>
      </c>
      <c r="F7" s="477" t="s">
        <v>141</v>
      </c>
      <c r="G7" s="477" t="s">
        <v>142</v>
      </c>
      <c r="H7" s="477" t="s">
        <v>143</v>
      </c>
      <c r="I7" s="477" t="s">
        <v>144</v>
      </c>
      <c r="J7" s="477" t="s">
        <v>138</v>
      </c>
      <c r="K7" s="477" t="s">
        <v>139</v>
      </c>
      <c r="L7" s="477" t="s">
        <v>140</v>
      </c>
      <c r="M7" s="477" t="s">
        <v>141</v>
      </c>
      <c r="N7" s="477" t="s">
        <v>142</v>
      </c>
      <c r="O7" s="477" t="s">
        <v>143</v>
      </c>
      <c r="P7" s="477" t="s">
        <v>144</v>
      </c>
      <c r="Q7" s="477" t="s">
        <v>138</v>
      </c>
      <c r="R7" s="477" t="s">
        <v>139</v>
      </c>
      <c r="S7" s="477" t="s">
        <v>140</v>
      </c>
      <c r="T7" s="477" t="s">
        <v>141</v>
      </c>
      <c r="U7" s="477" t="s">
        <v>142</v>
      </c>
      <c r="V7" s="477" t="s">
        <v>143</v>
      </c>
      <c r="W7" s="477" t="s">
        <v>144</v>
      </c>
      <c r="X7" s="477" t="s">
        <v>138</v>
      </c>
      <c r="Y7" s="477" t="s">
        <v>139</v>
      </c>
      <c r="Z7" s="477" t="s">
        <v>140</v>
      </c>
      <c r="AA7" s="477" t="s">
        <v>141</v>
      </c>
      <c r="AB7" s="477" t="s">
        <v>142</v>
      </c>
      <c r="AC7" s="477" t="s">
        <v>143</v>
      </c>
      <c r="AD7" s="477" t="s">
        <v>144</v>
      </c>
      <c r="AE7" s="477" t="s">
        <v>138</v>
      </c>
      <c r="AF7" s="477" t="s">
        <v>139</v>
      </c>
      <c r="AG7" s="212" t="s">
        <v>19</v>
      </c>
      <c r="AH7" s="901"/>
      <c r="AI7" s="292" t="s">
        <v>229</v>
      </c>
      <c r="AJ7" s="219"/>
      <c r="AK7" s="219"/>
    </row>
    <row r="8" spans="1:37" s="76" customFormat="1" ht="26.25" x14ac:dyDescent="0.3">
      <c r="A8" s="98" t="s">
        <v>133</v>
      </c>
      <c r="B8" s="99"/>
      <c r="C8" s="99">
        <f>'Daily KPIs'!C8</f>
        <v>7870</v>
      </c>
      <c r="D8" s="99">
        <f>'Daily KPIs'!D8</f>
        <v>6783</v>
      </c>
      <c r="E8" s="99">
        <f>'Daily KPIs'!E8</f>
        <v>1459</v>
      </c>
      <c r="F8" s="99">
        <f>'Daily KPIs'!F8</f>
        <v>0</v>
      </c>
      <c r="G8" s="99">
        <f>'Daily KPIs'!G8</f>
        <v>0</v>
      </c>
      <c r="H8" s="100">
        <f>'Daily KPIs'!H8</f>
        <v>0</v>
      </c>
      <c r="I8" s="100">
        <f>'Daily KPIs'!I8</f>
        <v>3962</v>
      </c>
      <c r="J8" s="99">
        <f>'Daily KPIs'!J8</f>
        <v>6085</v>
      </c>
      <c r="K8" s="99">
        <f>'Daily KPIs'!K8</f>
        <v>6104</v>
      </c>
      <c r="L8" s="99">
        <f>'Daily KPIs'!L8</f>
        <v>4034</v>
      </c>
      <c r="M8" s="99">
        <f>'Daily KPIs'!M8</f>
        <v>0</v>
      </c>
      <c r="N8" s="99">
        <f>'Daily KPIs'!N8</f>
        <v>0</v>
      </c>
      <c r="O8" s="99">
        <f>'Daily KPIs'!O8</f>
        <v>7544</v>
      </c>
      <c r="P8" s="99">
        <f>'Daily KPIs'!P8</f>
        <v>9135</v>
      </c>
      <c r="Q8" s="100">
        <f>'Daily KPIs'!Q8</f>
        <v>3687</v>
      </c>
      <c r="R8" s="176">
        <f>'Daily KPIs'!R8</f>
        <v>4397</v>
      </c>
      <c r="S8" s="99">
        <f>'Daily KPIs'!S8</f>
        <v>6679</v>
      </c>
      <c r="T8" s="100">
        <f>'Daily KPIs'!T8</f>
        <v>0</v>
      </c>
      <c r="U8" s="99">
        <f>'Daily KPIs'!U8</f>
        <v>0</v>
      </c>
      <c r="V8" s="99">
        <f>'Daily KPIs'!V8</f>
        <v>2726</v>
      </c>
      <c r="W8" s="101">
        <f>'Daily KPIs'!W8</f>
        <v>5538</v>
      </c>
      <c r="X8" s="101">
        <f>'Daily KPIs'!X8</f>
        <v>4245</v>
      </c>
      <c r="Y8" s="99">
        <f>'Daily KPIs'!Y8</f>
        <v>5378</v>
      </c>
      <c r="Z8" s="99">
        <f>'Daily KPIs'!Z8</f>
        <v>3985</v>
      </c>
      <c r="AA8" s="99">
        <f>'Daily KPIs'!AA8</f>
        <v>0</v>
      </c>
      <c r="AB8" s="102">
        <f>'Daily KPIs'!AB8</f>
        <v>0</v>
      </c>
      <c r="AC8" s="102">
        <f>'Daily KPIs'!AC8</f>
        <v>3920</v>
      </c>
      <c r="AD8" s="102"/>
      <c r="AE8" s="102"/>
      <c r="AF8" s="202">
        <f>'Daily KPIs'!AD8</f>
        <v>0</v>
      </c>
      <c r="AG8" s="213">
        <f>SUM($B8:AF8)</f>
        <v>93531</v>
      </c>
      <c r="AH8" s="293">
        <v>96325</v>
      </c>
      <c r="AI8" s="294">
        <f>AG8-AH8</f>
        <v>-2794</v>
      </c>
      <c r="AJ8" s="266"/>
      <c r="AK8" s="266"/>
    </row>
    <row r="9" spans="1:37" ht="20.25" x14ac:dyDescent="0.3">
      <c r="A9" s="98" t="s">
        <v>135</v>
      </c>
      <c r="B9" s="99">
        <f>'Daily KPIs'!B9</f>
        <v>493.416</v>
      </c>
      <c r="C9" s="99">
        <f>'Daily KPIs'!C9</f>
        <v>519.42000000000007</v>
      </c>
      <c r="D9" s="99">
        <f>'Daily KPIs'!D9</f>
        <v>447.678</v>
      </c>
      <c r="E9" s="99">
        <f>'Daily KPIs'!E9</f>
        <v>96.294000000000011</v>
      </c>
      <c r="F9" s="99">
        <f>'Daily KPIs'!F9</f>
        <v>0</v>
      </c>
      <c r="G9" s="99">
        <f>'Daily KPIs'!G9</f>
        <v>0</v>
      </c>
      <c r="H9" s="99">
        <f>'Daily KPIs'!H9</f>
        <v>0</v>
      </c>
      <c r="I9" s="99">
        <f>'Daily KPIs'!I9</f>
        <v>261.49200000000002</v>
      </c>
      <c r="J9" s="99">
        <f>'Daily KPIs'!J9</f>
        <v>401.61</v>
      </c>
      <c r="K9" s="99">
        <f>'Daily KPIs'!K9</f>
        <v>402.86400000000003</v>
      </c>
      <c r="L9" s="99">
        <f>'Daily KPIs'!L9</f>
        <v>266.24400000000003</v>
      </c>
      <c r="M9" s="99">
        <f>'Daily KPIs'!M9</f>
        <v>0</v>
      </c>
      <c r="N9" s="99">
        <f>'Daily KPIs'!N9</f>
        <v>0</v>
      </c>
      <c r="O9" s="99">
        <f>'Daily KPIs'!O9</f>
        <v>497.904</v>
      </c>
      <c r="P9" s="99">
        <f>'Daily KPIs'!P9</f>
        <v>602.91000000000008</v>
      </c>
      <c r="Q9" s="99">
        <f>'Daily KPIs'!Q9</f>
        <v>243.34200000000001</v>
      </c>
      <c r="R9" s="99">
        <f>'Daily KPIs'!R9</f>
        <v>290.202</v>
      </c>
      <c r="S9" s="99">
        <f>'Daily KPIs'!S9</f>
        <v>440.81400000000002</v>
      </c>
      <c r="T9" s="99">
        <f>'Daily KPIs'!T9</f>
        <v>0</v>
      </c>
      <c r="U9" s="99">
        <f>'Daily KPIs'!U9</f>
        <v>0</v>
      </c>
      <c r="V9" s="99">
        <f>'Daily KPIs'!V9</f>
        <v>179.916</v>
      </c>
      <c r="W9" s="99">
        <f>'Daily KPIs'!W9</f>
        <v>365.50800000000004</v>
      </c>
      <c r="X9" s="99">
        <f>'Daily KPIs'!X9</f>
        <v>280.17</v>
      </c>
      <c r="Y9" s="99">
        <f>'Daily KPIs'!Y9</f>
        <v>354.94800000000004</v>
      </c>
      <c r="Z9" s="99">
        <f>'Daily KPIs'!Z9</f>
        <v>263.01</v>
      </c>
      <c r="AA9" s="99">
        <f>'Daily KPIs'!AA9</f>
        <v>0</v>
      </c>
      <c r="AB9" s="99">
        <f>'Daily KPIs'!AB9</f>
        <v>0</v>
      </c>
      <c r="AC9" s="99">
        <f>'Daily KPIs'!AC9</f>
        <v>258.72000000000003</v>
      </c>
      <c r="AD9" s="99"/>
      <c r="AE9" s="99"/>
      <c r="AF9" s="203">
        <f>'Daily KPIs'!AD9</f>
        <v>0</v>
      </c>
      <c r="AG9" s="215">
        <f>SUM($B9:AF9)</f>
        <v>6666.4620000000014</v>
      </c>
      <c r="AH9" s="214"/>
      <c r="AI9" s="265"/>
    </row>
    <row r="10" spans="1:37" s="76" customFormat="1" ht="20.25" x14ac:dyDescent="0.3">
      <c r="A10" s="103" t="s">
        <v>132</v>
      </c>
      <c r="B10" s="163" t="str">
        <f>'Daily KPIs'!B10</f>
        <v>ST/CBex.</v>
      </c>
      <c r="C10" s="163" t="str">
        <f>'Daily KPIs'!C10</f>
        <v>CB</v>
      </c>
      <c r="D10" s="163" t="str">
        <f>'Daily KPIs'!D10</f>
        <v>CB/ST</v>
      </c>
      <c r="E10" s="163" t="str">
        <f>'Daily KPIs'!E10</f>
        <v>GO</v>
      </c>
      <c r="F10" s="163">
        <f>'Daily KPIs'!F10</f>
        <v>0</v>
      </c>
      <c r="G10" s="163">
        <f>'Daily KPIs'!G10</f>
        <v>0</v>
      </c>
      <c r="H10" s="163" t="str">
        <f>'Daily KPIs'!I10</f>
        <v>CB</v>
      </c>
      <c r="I10" s="163" t="str">
        <f>'Daily KPIs'!J10</f>
        <v>CB</v>
      </c>
      <c r="J10" s="163" t="str">
        <f>'Daily KPIs'!J10</f>
        <v>CB</v>
      </c>
      <c r="K10" s="163" t="str">
        <f>'Daily KPIs'!K10</f>
        <v>CB</v>
      </c>
      <c r="L10" s="163" t="str">
        <f>'Daily KPIs'!L10</f>
        <v>CB/MK</v>
      </c>
      <c r="M10" s="163">
        <f>'Daily KPIs'!M10</f>
        <v>0</v>
      </c>
      <c r="N10" s="163">
        <f>'Daily KPIs'!N10</f>
        <v>0</v>
      </c>
      <c r="O10" s="163" t="str">
        <f>'Daily KPIs'!O10</f>
        <v>MK/ST</v>
      </c>
      <c r="P10" s="163" t="str">
        <f>'Daily KPIs'!P10</f>
        <v>ST/CB</v>
      </c>
      <c r="Q10" s="163" t="str">
        <f>'Daily KPIs'!Q10</f>
        <v>CB/Cbe</v>
      </c>
      <c r="R10" s="163" t="str">
        <f>'Daily KPIs'!R10</f>
        <v>Cbe</v>
      </c>
      <c r="S10" s="163" t="str">
        <f>'Daily KPIs'!S10</f>
        <v>CB/SH</v>
      </c>
      <c r="T10" s="163">
        <f>'Daily KPIs'!T10</f>
        <v>0</v>
      </c>
      <c r="U10" s="163">
        <f>'Daily KPIs'!U10</f>
        <v>0</v>
      </c>
      <c r="V10" s="163" t="str">
        <f>'Daily KPIs'!V10</f>
        <v>SH/SH</v>
      </c>
      <c r="W10" s="163" t="str">
        <f>'Daily KPIs'!W10</f>
        <v>ST</v>
      </c>
      <c r="X10" s="163" t="str">
        <f>'Daily KPIs'!X10</f>
        <v>ST/CBex</v>
      </c>
      <c r="Y10" s="1029" t="str">
        <f>'Daily KPIs'!Y10</f>
        <v>CBex</v>
      </c>
      <c r="Z10" s="1029"/>
      <c r="AA10" s="163">
        <f>'Daily KPIs'!AA10</f>
        <v>0</v>
      </c>
      <c r="AB10" s="163">
        <f>'Daily KPIs'!AB10</f>
        <v>0</v>
      </c>
      <c r="AC10" s="163" t="str">
        <f>'Daily KPIs'!AC10</f>
        <v>GN</v>
      </c>
      <c r="AD10" s="163"/>
      <c r="AE10" s="163"/>
      <c r="AF10" s="204">
        <f>'Daily KPIs'!AD10</f>
        <v>0</v>
      </c>
      <c r="AG10" s="216"/>
      <c r="AH10" s="217"/>
      <c r="AI10" s="265"/>
      <c r="AJ10" s="266"/>
      <c r="AK10" s="266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188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120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8" t="s">
        <v>82</v>
      </c>
      <c r="AH14" s="219"/>
      <c r="AI14" s="267"/>
      <c r="AJ14" s="267"/>
      <c r="AK14" s="267"/>
    </row>
    <row r="15" spans="1:37" ht="18" x14ac:dyDescent="0.25">
      <c r="A15" s="109" t="s">
        <v>136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20">
        <f>SUM($B15:AF15)</f>
        <v>0</v>
      </c>
      <c r="AH15" s="221"/>
    </row>
    <row r="16" spans="1:37" ht="18" x14ac:dyDescent="0.25">
      <c r="A16" s="109" t="s">
        <v>121</v>
      </c>
      <c r="B16" s="110">
        <f>+'Water '!$D7</f>
        <v>242</v>
      </c>
      <c r="C16" s="110">
        <f>+'Water '!$D8</f>
        <v>232</v>
      </c>
      <c r="D16" s="110">
        <f>+'Water '!$D9</f>
        <v>170</v>
      </c>
      <c r="E16" s="110">
        <f>+'Water '!$D10</f>
        <v>361</v>
      </c>
      <c r="F16" s="110" t="str">
        <f>+'Water '!$D11</f>
        <v>0</v>
      </c>
      <c r="G16" s="110" t="str">
        <f>+'Water '!$D12</f>
        <v>0</v>
      </c>
      <c r="H16" s="110">
        <f>+'Water '!$D13</f>
        <v>69</v>
      </c>
      <c r="I16" s="110">
        <f>+'Water '!$D14</f>
        <v>227</v>
      </c>
      <c r="J16" s="110">
        <f>+'Water '!$D15</f>
        <v>249</v>
      </c>
      <c r="K16" s="110">
        <f>+'Water '!$D16</f>
        <v>81</v>
      </c>
      <c r="L16" s="110">
        <f>+'Water '!$D17</f>
        <v>53</v>
      </c>
      <c r="M16" s="111">
        <f>+'Water '!$D18</f>
        <v>41</v>
      </c>
      <c r="N16" s="110" t="str">
        <f>+'Water '!$D19</f>
        <v>0</v>
      </c>
      <c r="O16" s="110">
        <f>+'Water '!$D20</f>
        <v>254</v>
      </c>
      <c r="P16" s="110">
        <f>+'Water '!$D21</f>
        <v>331</v>
      </c>
      <c r="Q16" s="110">
        <f>+'Water '!$D22</f>
        <v>382</v>
      </c>
      <c r="R16" s="110">
        <f>+'Water '!$D23</f>
        <v>138</v>
      </c>
      <c r="S16" s="110">
        <f>+'Water '!$D24</f>
        <v>527</v>
      </c>
      <c r="T16" s="110">
        <f>+'Water '!$D25</f>
        <v>4</v>
      </c>
      <c r="U16" s="110" t="str">
        <f>+'Water '!$D26</f>
        <v>0</v>
      </c>
      <c r="V16" s="110">
        <f>+'Water '!$D27</f>
        <v>208</v>
      </c>
      <c r="W16" s="110">
        <f>+'Water '!$D28</f>
        <v>135</v>
      </c>
      <c r="X16" s="110">
        <f>+'Water '!$D29</f>
        <v>62</v>
      </c>
      <c r="Y16" s="110">
        <f>+'Water '!$D30</f>
        <v>212</v>
      </c>
      <c r="Z16" s="110">
        <f>+'Water '!$D31</f>
        <v>104</v>
      </c>
      <c r="AA16" s="110">
        <f>+'Water '!$D32</f>
        <v>2</v>
      </c>
      <c r="AB16" s="110">
        <f>+'Water '!$D33</f>
        <v>7</v>
      </c>
      <c r="AC16" s="110" t="str">
        <f>+'Water '!$D34</f>
        <v>0</v>
      </c>
      <c r="AD16" s="110">
        <f>+'Water '!$D31</f>
        <v>104</v>
      </c>
      <c r="AE16" s="110">
        <f>+'Water '!$D32</f>
        <v>2</v>
      </c>
      <c r="AF16" s="110">
        <f>+'Water '!$D33</f>
        <v>7</v>
      </c>
      <c r="AG16" s="220">
        <f>SUM($B16:AF16)</f>
        <v>4204</v>
      </c>
      <c r="AH16" s="221"/>
    </row>
    <row r="17" spans="1:37" ht="18" x14ac:dyDescent="0.25">
      <c r="A17" s="109" t="s">
        <v>122</v>
      </c>
      <c r="B17" s="112">
        <f>+'Water '!$E7</f>
        <v>241</v>
      </c>
      <c r="C17" s="113">
        <f>+'Water '!$E8</f>
        <v>270</v>
      </c>
      <c r="D17" s="112">
        <f>+'Water '!$E9</f>
        <v>188</v>
      </c>
      <c r="E17" s="112">
        <f>+'Water '!$E10</f>
        <v>95</v>
      </c>
      <c r="F17" s="112" t="str">
        <f>+'Water '!$E11</f>
        <v>0</v>
      </c>
      <c r="G17" s="112" t="str">
        <f>+'Water '!$E12</f>
        <v>0</v>
      </c>
      <c r="H17" s="114">
        <f>+'Water '!$E13</f>
        <v>155</v>
      </c>
      <c r="I17" s="113">
        <f>+'Water '!$E14</f>
        <v>138</v>
      </c>
      <c r="J17" s="114">
        <f>+'Water '!$E15</f>
        <v>238</v>
      </c>
      <c r="K17" s="114">
        <f>+'Water '!$E16</f>
        <v>260</v>
      </c>
      <c r="L17" s="114">
        <f>+'Water '!$E17</f>
        <v>249</v>
      </c>
      <c r="M17" s="115">
        <f>+'Water '!$E18</f>
        <v>125</v>
      </c>
      <c r="N17" s="112" t="str">
        <f>+'Water '!$E19</f>
        <v>0</v>
      </c>
      <c r="O17" s="114">
        <f>+'Water '!$E20</f>
        <v>132</v>
      </c>
      <c r="P17" s="114">
        <f>+'Water '!$E21</f>
        <v>138</v>
      </c>
      <c r="Q17" s="114">
        <f>+'Water '!$E22</f>
        <v>177</v>
      </c>
      <c r="R17" s="114">
        <f>+'Water '!$E23</f>
        <v>294</v>
      </c>
      <c r="S17" s="114">
        <f>+'Water '!$E24</f>
        <v>264</v>
      </c>
      <c r="T17" s="114" t="str">
        <f>+'Water '!$E25</f>
        <v>0</v>
      </c>
      <c r="U17" s="114" t="str">
        <f>+'Water '!$E26</f>
        <v>0</v>
      </c>
      <c r="V17" s="114">
        <f>+'Water '!$E27</f>
        <v>133</v>
      </c>
      <c r="W17" s="114">
        <f>+'Water '!$E28</f>
        <v>174</v>
      </c>
      <c r="X17" s="114">
        <f>+'Water '!$E29</f>
        <v>167</v>
      </c>
      <c r="Y17" s="116">
        <f>+'Water '!$E30</f>
        <v>158</v>
      </c>
      <c r="Z17" s="116">
        <f>+'Water '!$E31</f>
        <v>223</v>
      </c>
      <c r="AA17" s="112">
        <f>+'Water '!$E32</f>
        <v>36</v>
      </c>
      <c r="AB17" s="114" t="str">
        <f>+'Water '!$E33</f>
        <v>0</v>
      </c>
      <c r="AC17" s="114" t="str">
        <f>+'Water '!$E34</f>
        <v>0</v>
      </c>
      <c r="AD17" s="116">
        <f>+'Water '!$E31</f>
        <v>223</v>
      </c>
      <c r="AE17" s="112">
        <f>+'Water '!$E32</f>
        <v>36</v>
      </c>
      <c r="AF17" s="114" t="str">
        <f>+'Water '!$E33</f>
        <v>0</v>
      </c>
      <c r="AG17" s="222">
        <f>SUM($B17:AF17)</f>
        <v>4114</v>
      </c>
      <c r="AH17" s="223"/>
      <c r="AI17" s="268"/>
    </row>
    <row r="18" spans="1:37" s="78" customFormat="1" ht="20.25" x14ac:dyDescent="0.3">
      <c r="A18" s="117" t="s">
        <v>164</v>
      </c>
      <c r="B18" s="118">
        <f>SUM(B15:B17)</f>
        <v>483</v>
      </c>
      <c r="C18" s="118">
        <f t="shared" ref="C18:AC18" si="0">SUM(C15:C17)</f>
        <v>502</v>
      </c>
      <c r="D18" s="118">
        <f t="shared" si="0"/>
        <v>358</v>
      </c>
      <c r="E18" s="118">
        <f t="shared" si="0"/>
        <v>456</v>
      </c>
      <c r="F18" s="118">
        <f t="shared" si="0"/>
        <v>0</v>
      </c>
      <c r="G18" s="118">
        <f t="shared" si="0"/>
        <v>0</v>
      </c>
      <c r="H18" s="118">
        <f t="shared" si="0"/>
        <v>224</v>
      </c>
      <c r="I18" s="118">
        <f t="shared" si="0"/>
        <v>365</v>
      </c>
      <c r="J18" s="118">
        <f t="shared" si="0"/>
        <v>487</v>
      </c>
      <c r="K18" s="118">
        <f t="shared" si="0"/>
        <v>341</v>
      </c>
      <c r="L18" s="118">
        <f t="shared" si="0"/>
        <v>302</v>
      </c>
      <c r="M18" s="118">
        <f t="shared" si="0"/>
        <v>166</v>
      </c>
      <c r="N18" s="175">
        <f t="shared" si="0"/>
        <v>0</v>
      </c>
      <c r="O18" s="175">
        <f t="shared" si="0"/>
        <v>386</v>
      </c>
      <c r="P18" s="175">
        <f t="shared" si="0"/>
        <v>469</v>
      </c>
      <c r="Q18" s="175">
        <f t="shared" si="0"/>
        <v>559</v>
      </c>
      <c r="R18" s="175">
        <f t="shared" si="0"/>
        <v>432</v>
      </c>
      <c r="S18" s="175">
        <f t="shared" si="0"/>
        <v>791</v>
      </c>
      <c r="T18" s="175">
        <f t="shared" si="0"/>
        <v>4</v>
      </c>
      <c r="U18" s="175">
        <f t="shared" si="0"/>
        <v>0</v>
      </c>
      <c r="V18" s="175">
        <f t="shared" si="0"/>
        <v>341</v>
      </c>
      <c r="W18" s="175">
        <f t="shared" si="0"/>
        <v>309</v>
      </c>
      <c r="X18" s="175">
        <f t="shared" si="0"/>
        <v>229</v>
      </c>
      <c r="Y18" s="175">
        <f t="shared" si="0"/>
        <v>370</v>
      </c>
      <c r="Z18" s="175">
        <f t="shared" si="0"/>
        <v>327</v>
      </c>
      <c r="AA18" s="175">
        <f t="shared" si="0"/>
        <v>38</v>
      </c>
      <c r="AB18" s="175">
        <f t="shared" si="0"/>
        <v>7</v>
      </c>
      <c r="AC18" s="175">
        <f t="shared" si="0"/>
        <v>0</v>
      </c>
      <c r="AD18" s="175">
        <f>SUM(AD15:AD17)</f>
        <v>327</v>
      </c>
      <c r="AE18" s="175">
        <f>SUM(AE15:AE17)</f>
        <v>38</v>
      </c>
      <c r="AF18" s="175">
        <f>SUM(AF15:AF17)</f>
        <v>7</v>
      </c>
      <c r="AG18" s="224">
        <f>SUM($B18:AF18)</f>
        <v>8318</v>
      </c>
      <c r="AH18" s="224"/>
      <c r="AI18" s="269"/>
      <c r="AJ18" s="270"/>
      <c r="AK18" s="270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20"/>
      <c r="AH19" s="220"/>
      <c r="AI19" s="271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20">
        <f>SUM($B20:AF20)</f>
        <v>0</v>
      </c>
      <c r="AH20" s="220"/>
      <c r="AI20" s="271"/>
    </row>
    <row r="21" spans="1:37" ht="18" x14ac:dyDescent="0.25">
      <c r="A21" s="121" t="s">
        <v>148</v>
      </c>
      <c r="B21" s="119">
        <f>0.73*(B96+B15)</f>
        <v>205.13</v>
      </c>
      <c r="C21" s="119">
        <f t="shared" ref="C21:AC21" si="1">0.73*(C96+C15)</f>
        <v>186.15</v>
      </c>
      <c r="D21" s="119">
        <f t="shared" si="1"/>
        <v>143.81</v>
      </c>
      <c r="E21" s="119">
        <f>0.73*(E96+E15)</f>
        <v>73</v>
      </c>
      <c r="F21" s="119">
        <f t="shared" si="1"/>
        <v>0</v>
      </c>
      <c r="G21" s="119">
        <f t="shared" si="1"/>
        <v>0</v>
      </c>
      <c r="H21" s="119">
        <f t="shared" si="1"/>
        <v>118.99</v>
      </c>
      <c r="I21" s="119">
        <f t="shared" si="1"/>
        <v>105.12</v>
      </c>
      <c r="J21" s="119">
        <f t="shared" si="1"/>
        <v>168.63</v>
      </c>
      <c r="K21" s="119">
        <f t="shared" si="1"/>
        <v>223.38</v>
      </c>
      <c r="L21" s="119">
        <f t="shared" si="1"/>
        <v>181.04</v>
      </c>
      <c r="M21" s="119">
        <f t="shared" si="1"/>
        <v>95.63</v>
      </c>
      <c r="N21" s="119">
        <f>0.73*(N96+N15)</f>
        <v>0</v>
      </c>
      <c r="O21" s="119">
        <f>0.73*(O96+O15)</f>
        <v>0</v>
      </c>
      <c r="P21" s="119">
        <f t="shared" si="1"/>
        <v>0</v>
      </c>
      <c r="Q21" s="119">
        <f>0.73*(Q96+Q15)</f>
        <v>0</v>
      </c>
      <c r="R21" s="119">
        <f t="shared" si="1"/>
        <v>0</v>
      </c>
      <c r="S21" s="119">
        <f t="shared" si="1"/>
        <v>0</v>
      </c>
      <c r="T21" s="119">
        <f t="shared" si="1"/>
        <v>0</v>
      </c>
      <c r="U21" s="119">
        <f t="shared" si="1"/>
        <v>0</v>
      </c>
      <c r="V21" s="119">
        <f t="shared" si="1"/>
        <v>101.47</v>
      </c>
      <c r="W21" s="119">
        <f>0.73*(W96+W15)</f>
        <v>134.32</v>
      </c>
      <c r="X21" s="119">
        <f t="shared" si="1"/>
        <v>56.94</v>
      </c>
      <c r="Y21" s="119">
        <f>0.73*(Y96+Y15)</f>
        <v>112.42</v>
      </c>
      <c r="Z21" s="119">
        <f t="shared" si="1"/>
        <v>170.82</v>
      </c>
      <c r="AA21" s="119">
        <f t="shared" si="1"/>
        <v>170.82</v>
      </c>
      <c r="AB21" s="119">
        <f t="shared" si="1"/>
        <v>170.82</v>
      </c>
      <c r="AC21" s="119">
        <f t="shared" si="1"/>
        <v>170.82</v>
      </c>
      <c r="AD21" s="119">
        <f>0.73*(AD96+AD15)</f>
        <v>170.82</v>
      </c>
      <c r="AE21" s="119">
        <f>0.73*(AE96+AE15)</f>
        <v>170.82</v>
      </c>
      <c r="AF21" s="119">
        <f>0.73*(AF96+AF15)</f>
        <v>0</v>
      </c>
      <c r="AG21" s="220">
        <f>SUM($B21:AF21)</f>
        <v>2930.9500000000012</v>
      </c>
      <c r="AH21" s="225">
        <f>AG24+AG37+AG28</f>
        <v>7569</v>
      </c>
      <c r="AI21" s="271"/>
      <c r="AJ21" s="272">
        <f>(AH21*10)/AG9</f>
        <v>11.353848563150887</v>
      </c>
    </row>
    <row r="22" spans="1:37" ht="18" x14ac:dyDescent="0.25">
      <c r="A22" s="104"/>
      <c r="B22" s="95"/>
      <c r="C22" s="95"/>
      <c r="D22" s="95"/>
      <c r="E22" s="119">
        <f>0.73*(E97+E16)</f>
        <v>263.52999999999997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11"/>
      <c r="AH22" s="211"/>
      <c r="AI22" s="271"/>
    </row>
    <row r="23" spans="1:37" ht="18" x14ac:dyDescent="0.25">
      <c r="A23" s="121" t="s">
        <v>127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 t="str">
        <f>'Water '!V32</f>
        <v>0</v>
      </c>
      <c r="AF23" s="119" t="str">
        <f>'Water '!V33</f>
        <v>0</v>
      </c>
      <c r="AG23" s="220">
        <f>SUM($B23:AF23)</f>
        <v>0</v>
      </c>
      <c r="AH23" s="220"/>
      <c r="AI23" s="271"/>
    </row>
    <row r="24" spans="1:37" ht="18" x14ac:dyDescent="0.25">
      <c r="A24" s="122" t="s">
        <v>162</v>
      </c>
      <c r="B24" s="112">
        <f>'Water '!H7</f>
        <v>317</v>
      </c>
      <c r="C24" s="112">
        <f>'Water '!H8</f>
        <v>238</v>
      </c>
      <c r="D24" s="112">
        <f>'Water '!H9</f>
        <v>259</v>
      </c>
      <c r="E24" s="112">
        <f>'Water '!H10</f>
        <v>192</v>
      </c>
      <c r="F24" s="112">
        <f>'Water '!H11</f>
        <v>0</v>
      </c>
      <c r="G24" s="112">
        <f>'Water '!H12</f>
        <v>36</v>
      </c>
      <c r="H24" s="112">
        <f>'Water '!H13</f>
        <v>126</v>
      </c>
      <c r="I24" s="112">
        <f>'Water '!H14</f>
        <v>219</v>
      </c>
      <c r="J24" s="112">
        <f>'Water '!H15</f>
        <v>210</v>
      </c>
      <c r="K24" s="112">
        <f>'Water '!H16</f>
        <v>186</v>
      </c>
      <c r="L24" s="112">
        <f>'Water '!H17</f>
        <v>173</v>
      </c>
      <c r="M24" s="123">
        <f>'Water '!H18</f>
        <v>81</v>
      </c>
      <c r="N24" s="112">
        <f>'Water '!H19</f>
        <v>0</v>
      </c>
      <c r="O24" s="112">
        <f>'Water '!H20</f>
        <v>327</v>
      </c>
      <c r="P24" s="112">
        <f>'Water '!H21</f>
        <v>270</v>
      </c>
      <c r="Q24" s="112">
        <f>'Water '!H22</f>
        <v>212</v>
      </c>
      <c r="R24" s="112">
        <f>'Water '!H23</f>
        <v>240</v>
      </c>
      <c r="S24" s="112">
        <f>'Water '!H24</f>
        <v>234</v>
      </c>
      <c r="T24" s="112">
        <f>'Water '!H25</f>
        <v>48</v>
      </c>
      <c r="U24" s="112">
        <f>'Water '!H26</f>
        <v>73</v>
      </c>
      <c r="V24" s="112">
        <f>'Water '!H27</f>
        <v>193</v>
      </c>
      <c r="W24" s="112">
        <f>'Water '!H28</f>
        <v>222</v>
      </c>
      <c r="X24" s="112">
        <f>'Water '!H29</f>
        <v>197</v>
      </c>
      <c r="Y24" s="112">
        <f>'Water '!H30</f>
        <v>170</v>
      </c>
      <c r="Z24" s="112">
        <f>'Water '!H31</f>
        <v>163</v>
      </c>
      <c r="AA24" s="112">
        <f>'Water '!H32</f>
        <v>68</v>
      </c>
      <c r="AB24" s="112">
        <f>'Water '!H33</f>
        <v>14</v>
      </c>
      <c r="AC24" s="112">
        <f>'Water '!H34</f>
        <v>0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22">
        <f>SUM($B24:AF24)</f>
        <v>4468</v>
      </c>
      <c r="AH24" s="222"/>
      <c r="AI24" s="222"/>
    </row>
    <row r="25" spans="1:37" s="78" customFormat="1" ht="20.25" x14ac:dyDescent="0.3">
      <c r="A25" s="124" t="s">
        <v>149</v>
      </c>
      <c r="B25" s="118">
        <f>SUM(B23:B24)</f>
        <v>317</v>
      </c>
      <c r="C25" s="118">
        <f t="shared" ref="C25:AC25" si="2">SUM(C23:C24)</f>
        <v>238</v>
      </c>
      <c r="D25" s="118">
        <f t="shared" si="2"/>
        <v>259</v>
      </c>
      <c r="E25" s="118">
        <f t="shared" si="2"/>
        <v>192</v>
      </c>
      <c r="F25" s="118">
        <f t="shared" si="2"/>
        <v>0</v>
      </c>
      <c r="G25" s="118">
        <f t="shared" si="2"/>
        <v>36</v>
      </c>
      <c r="H25" s="118">
        <f t="shared" si="2"/>
        <v>126</v>
      </c>
      <c r="I25" s="118">
        <f t="shared" si="2"/>
        <v>219</v>
      </c>
      <c r="J25" s="118">
        <f t="shared" si="2"/>
        <v>210</v>
      </c>
      <c r="K25" s="118">
        <f t="shared" si="2"/>
        <v>186</v>
      </c>
      <c r="L25" s="118">
        <f t="shared" si="2"/>
        <v>173</v>
      </c>
      <c r="M25" s="118">
        <f t="shared" si="2"/>
        <v>81</v>
      </c>
      <c r="N25" s="118">
        <f t="shared" si="2"/>
        <v>0</v>
      </c>
      <c r="O25" s="118">
        <f t="shared" si="2"/>
        <v>327</v>
      </c>
      <c r="P25" s="118">
        <f t="shared" si="2"/>
        <v>270</v>
      </c>
      <c r="Q25" s="118">
        <f t="shared" si="2"/>
        <v>212</v>
      </c>
      <c r="R25" s="118">
        <f t="shared" si="2"/>
        <v>240</v>
      </c>
      <c r="S25" s="118">
        <f t="shared" si="2"/>
        <v>234</v>
      </c>
      <c r="T25" s="118">
        <f t="shared" si="2"/>
        <v>48</v>
      </c>
      <c r="U25" s="118">
        <f t="shared" si="2"/>
        <v>73</v>
      </c>
      <c r="V25" s="118">
        <f t="shared" si="2"/>
        <v>193</v>
      </c>
      <c r="W25" s="118">
        <f t="shared" si="2"/>
        <v>222</v>
      </c>
      <c r="X25" s="118">
        <f t="shared" si="2"/>
        <v>197</v>
      </c>
      <c r="Y25" s="118">
        <f t="shared" si="2"/>
        <v>170</v>
      </c>
      <c r="Z25" s="118">
        <f t="shared" si="2"/>
        <v>163</v>
      </c>
      <c r="AA25" s="118">
        <f t="shared" si="2"/>
        <v>68</v>
      </c>
      <c r="AB25" s="118">
        <f t="shared" si="2"/>
        <v>14</v>
      </c>
      <c r="AC25" s="118">
        <f t="shared" si="2"/>
        <v>0</v>
      </c>
      <c r="AD25" s="118">
        <f>SUM(AD23:AD24)</f>
        <v>0</v>
      </c>
      <c r="AE25" s="118">
        <f>SUM(AE23:AE24)</f>
        <v>0</v>
      </c>
      <c r="AF25" s="118">
        <f>SUM(AF23:AF24)</f>
        <v>0</v>
      </c>
      <c r="AG25" s="224">
        <f>SUM($B25:AF25)</f>
        <v>4468</v>
      </c>
      <c r="AH25" s="224"/>
      <c r="AI25" s="269"/>
      <c r="AJ25" s="270"/>
      <c r="AK25" s="270"/>
    </row>
    <row r="26" spans="1:37" ht="18" x14ac:dyDescent="0.25">
      <c r="A26" s="109"/>
      <c r="B26" s="125">
        <f>IF(B$9=0,"",+(B25*10)/B$9)</f>
        <v>6.4245991212283347</v>
      </c>
      <c r="C26" s="125">
        <f t="shared" ref="C26:AC26" si="3">IF(C$9=0,"",+(C25*10)/C$9)</f>
        <v>4.582033806938508</v>
      </c>
      <c r="D26" s="125">
        <f t="shared" si="3"/>
        <v>5.7854082621884482</v>
      </c>
      <c r="E26" s="125">
        <f>IF(E$9=0,"",+(E25*10)/E$9)</f>
        <v>19.938937005420897</v>
      </c>
      <c r="F26" s="125" t="str">
        <f t="shared" si="3"/>
        <v/>
      </c>
      <c r="G26" s="125" t="str">
        <f t="shared" si="3"/>
        <v/>
      </c>
      <c r="H26" s="125" t="str">
        <f t="shared" si="3"/>
        <v/>
      </c>
      <c r="I26" s="125">
        <f t="shared" si="3"/>
        <v>8.3750172089394699</v>
      </c>
      <c r="J26" s="125">
        <f t="shared" si="3"/>
        <v>5.2289534623141849</v>
      </c>
      <c r="K26" s="125">
        <f t="shared" si="3"/>
        <v>4.6169426903371855</v>
      </c>
      <c r="L26" s="125">
        <f>IF(L$9=0,"",+(L25*10)/L$9)</f>
        <v>6.4977990114331208</v>
      </c>
      <c r="M26" s="125" t="str">
        <f t="shared" si="3"/>
        <v/>
      </c>
      <c r="N26" s="125" t="str">
        <f t="shared" si="3"/>
        <v/>
      </c>
      <c r="O26" s="125">
        <f>IF(O$9=0,"",+(O25*10)/O$9)</f>
        <v>6.5675310903306663</v>
      </c>
      <c r="P26" s="125">
        <f t="shared" si="3"/>
        <v>4.478280340349305</v>
      </c>
      <c r="Q26" s="125">
        <f t="shared" si="3"/>
        <v>8.7120184760542774</v>
      </c>
      <c r="R26" s="125">
        <f t="shared" si="3"/>
        <v>8.2701015154961031</v>
      </c>
      <c r="S26" s="125">
        <f t="shared" si="3"/>
        <v>5.3083613496849011</v>
      </c>
      <c r="T26" s="125" t="str">
        <f t="shared" si="3"/>
        <v/>
      </c>
      <c r="U26" s="125" t="str">
        <f t="shared" si="3"/>
        <v/>
      </c>
      <c r="V26" s="125">
        <f t="shared" si="3"/>
        <v>10.727228262077858</v>
      </c>
      <c r="W26" s="125">
        <f t="shared" si="3"/>
        <v>6.0737384681046649</v>
      </c>
      <c r="X26" s="125">
        <f t="shared" si="3"/>
        <v>7.031445193989363</v>
      </c>
      <c r="Y26" s="125">
        <f t="shared" si="3"/>
        <v>4.7894339452539523</v>
      </c>
      <c r="Z26" s="125">
        <f t="shared" si="3"/>
        <v>6.1974829854378166</v>
      </c>
      <c r="AA26" s="125" t="str">
        <f t="shared" si="3"/>
        <v/>
      </c>
      <c r="AB26" s="125" t="str">
        <f t="shared" si="3"/>
        <v/>
      </c>
      <c r="AC26" s="125">
        <f t="shared" si="3"/>
        <v>0</v>
      </c>
      <c r="AD26" s="125" t="str">
        <f>IF(AD$9=0,"",+(AD25*10)/AD$9)</f>
        <v/>
      </c>
      <c r="AE26" s="125" t="str">
        <f>IF(AE$9=0,"",+(AE25*10)/AE$9)</f>
        <v/>
      </c>
      <c r="AF26" s="125" t="str">
        <f>IF(AF$9=0,"",+(AF25*10)/AF$9)</f>
        <v/>
      </c>
      <c r="AG26" s="226"/>
      <c r="AH26" s="226"/>
      <c r="AI26" s="271"/>
    </row>
    <row r="27" spans="1:37" ht="18" x14ac:dyDescent="0.25">
      <c r="A27" s="126" t="s">
        <v>165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20">
        <f>SUM($B27:AF27)</f>
        <v>0</v>
      </c>
      <c r="AH27" s="220"/>
      <c r="AI27" s="271"/>
    </row>
    <row r="28" spans="1:37" ht="18" x14ac:dyDescent="0.25">
      <c r="A28" s="109" t="s">
        <v>123</v>
      </c>
      <c r="B28" s="127">
        <f>+'Water '!$J7</f>
        <v>132</v>
      </c>
      <c r="C28" s="127">
        <f>+'Water '!$J8</f>
        <v>180</v>
      </c>
      <c r="D28" s="127">
        <f>+'Water '!$J9</f>
        <v>135</v>
      </c>
      <c r="E28" s="127">
        <f>+'Water '!$J10</f>
        <v>147</v>
      </c>
      <c r="F28" s="127" t="str">
        <f>+'Water '!$J11</f>
        <v>0</v>
      </c>
      <c r="G28" s="127" t="str">
        <f>+'Water '!$J12</f>
        <v>0</v>
      </c>
      <c r="H28" s="111">
        <f>+'Water '!$J13</f>
        <v>185</v>
      </c>
      <c r="I28" s="127">
        <f>+'Water '!$J14</f>
        <v>115</v>
      </c>
      <c r="J28" s="127">
        <f>+'Water '!$J15</f>
        <v>196</v>
      </c>
      <c r="K28" s="127">
        <f>+'Water '!$J16</f>
        <v>104</v>
      </c>
      <c r="L28" s="128">
        <f>+'Water '!$J17</f>
        <v>141</v>
      </c>
      <c r="M28" s="111" t="str">
        <f>+'Water '!$J18</f>
        <v>0</v>
      </c>
      <c r="N28" s="127" t="str">
        <f>+'Water '!$J19</f>
        <v>0</v>
      </c>
      <c r="O28" s="127">
        <f>+'Water '!$J20</f>
        <v>87</v>
      </c>
      <c r="P28" s="127">
        <f>+'Water '!$J21</f>
        <v>147</v>
      </c>
      <c r="Q28" s="127">
        <f>+'Water '!$J22</f>
        <v>181</v>
      </c>
      <c r="R28" s="110">
        <f>+'Water '!$J23</f>
        <v>148</v>
      </c>
      <c r="S28" s="128">
        <f>+'Water '!$J24</f>
        <v>100</v>
      </c>
      <c r="T28" s="127" t="str">
        <f>+'Water '!$J25</f>
        <v>0</v>
      </c>
      <c r="U28" s="127" t="str">
        <f>+'Water '!$J26</f>
        <v>0</v>
      </c>
      <c r="V28" s="127">
        <f>+'Water '!$J27</f>
        <v>158</v>
      </c>
      <c r="W28" s="127">
        <f>+'Water '!$J28</f>
        <v>94</v>
      </c>
      <c r="X28" s="127">
        <f>+'Water '!$J29</f>
        <v>168</v>
      </c>
      <c r="Y28" s="127">
        <f>+'Water '!$J30</f>
        <v>148</v>
      </c>
      <c r="Z28" s="127">
        <f>+'Water '!$J31</f>
        <v>73</v>
      </c>
      <c r="AA28" s="127" t="str">
        <f>+'Water '!$J32</f>
        <v>0</v>
      </c>
      <c r="AB28" s="128" t="str">
        <f>+'Water '!$J33</f>
        <v>0</v>
      </c>
      <c r="AC28" s="127" t="str">
        <f>+'Water '!$J34</f>
        <v>0</v>
      </c>
      <c r="AD28" s="127">
        <f>+'Water '!$J31</f>
        <v>73</v>
      </c>
      <c r="AE28" s="127" t="str">
        <f>+'Water '!$J32</f>
        <v>0</v>
      </c>
      <c r="AF28" s="128" t="str">
        <f>+'Water '!$J33</f>
        <v>0</v>
      </c>
      <c r="AG28" s="220">
        <f>SUM($B28:AF28)</f>
        <v>2712</v>
      </c>
      <c r="AH28" s="220"/>
      <c r="AI28" s="271"/>
    </row>
    <row r="29" spans="1:37" ht="17.25" customHeight="1" x14ac:dyDescent="0.25">
      <c r="A29" s="121" t="s">
        <v>169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>
        <f>'Water '!AB31</f>
        <v>12.432987338884454</v>
      </c>
      <c r="AE29" s="119" t="str">
        <f>'Water '!AB32</f>
        <v>0</v>
      </c>
      <c r="AF29" s="119" t="str">
        <f>'Water '!AB33</f>
        <v>0</v>
      </c>
      <c r="AG29" s="220">
        <f>SUM($B29:AF29)</f>
        <v>12.432987338884454</v>
      </c>
      <c r="AH29" s="220"/>
      <c r="AI29" s="271"/>
    </row>
    <row r="30" spans="1:37" ht="17.25" customHeight="1" x14ac:dyDescent="0.25">
      <c r="A30" s="129" t="s">
        <v>185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20"/>
      <c r="AH30" s="220"/>
      <c r="AI30" s="271"/>
    </row>
    <row r="31" spans="1:37" ht="18" x14ac:dyDescent="0.25">
      <c r="A31" s="130" t="s">
        <v>168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7">
        <f>SUM($B31:AF31)</f>
        <v>0</v>
      </c>
      <c r="AH31" s="227"/>
      <c r="AI31" s="227"/>
    </row>
    <row r="32" spans="1:37" ht="17.25" customHeight="1" x14ac:dyDescent="0.25">
      <c r="A32" s="132" t="s">
        <v>170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 t="str">
        <f>'Water '!M19</f>
        <v>0</v>
      </c>
      <c r="P32" s="133" t="str">
        <f>'Water '!N19</f>
        <v>0</v>
      </c>
      <c r="Q32" s="133" t="str">
        <f>'Water '!L22</f>
        <v>0</v>
      </c>
      <c r="R32" s="133">
        <f>'Water '!M22</f>
        <v>1</v>
      </c>
      <c r="S32" s="133">
        <f>'Water '!N22</f>
        <v>33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>
        <f>'Water '!P31</f>
        <v>12</v>
      </c>
      <c r="AE32" s="133" t="str">
        <f>'Water '!P32</f>
        <v>0</v>
      </c>
      <c r="AF32" s="133">
        <f>'Water '!P33</f>
        <v>1</v>
      </c>
      <c r="AG32" s="227">
        <f>SUM($B32:AF32)</f>
        <v>47</v>
      </c>
      <c r="AH32" s="227"/>
      <c r="AI32" s="227"/>
    </row>
    <row r="33" spans="1:37" ht="18" x14ac:dyDescent="0.25">
      <c r="A33" s="132" t="s">
        <v>96</v>
      </c>
      <c r="B33" s="131">
        <f>+'Water '!$N7</f>
        <v>79</v>
      </c>
      <c r="C33" s="131">
        <f>+'Water '!$N8</f>
        <v>39</v>
      </c>
      <c r="D33" s="131">
        <f>+'Water '!$N9</f>
        <v>55</v>
      </c>
      <c r="E33" s="131">
        <f>+'Water '!$N10</f>
        <v>87</v>
      </c>
      <c r="F33" s="131" t="str">
        <f>+'Water '!$N11</f>
        <v>0</v>
      </c>
      <c r="G33" s="131" t="str">
        <f>+'Water '!$N12</f>
        <v>0</v>
      </c>
      <c r="H33" s="131">
        <f>+'Water '!$N13</f>
        <v>50</v>
      </c>
      <c r="I33" s="131">
        <f>+'Water '!$N14</f>
        <v>27</v>
      </c>
      <c r="J33" s="131">
        <f>+'Water '!$N15</f>
        <v>36</v>
      </c>
      <c r="K33" s="131">
        <f>+'Water '!$N16</f>
        <v>17</v>
      </c>
      <c r="L33" s="131">
        <f>+'Water '!$N17</f>
        <v>29</v>
      </c>
      <c r="M33" s="131" t="str">
        <f>+'Water '!$N18</f>
        <v>0</v>
      </c>
      <c r="N33" s="131" t="str">
        <f>+'Water '!$N19</f>
        <v>0</v>
      </c>
      <c r="O33" s="131" t="str">
        <f>+'Water '!$N19</f>
        <v>0</v>
      </c>
      <c r="P33" s="131" t="str">
        <f>+'Water '!$N19</f>
        <v>0</v>
      </c>
      <c r="Q33" s="131">
        <f>+'Water '!$N22</f>
        <v>33</v>
      </c>
      <c r="R33" s="131">
        <f>+'Water '!$N22</f>
        <v>33</v>
      </c>
      <c r="S33" s="131">
        <f>+'Water '!$N22</f>
        <v>33</v>
      </c>
      <c r="T33" s="131" t="str">
        <f>+'Water '!$N25</f>
        <v>0</v>
      </c>
      <c r="U33" s="131" t="str">
        <f>+'Water '!$N26</f>
        <v>0</v>
      </c>
      <c r="V33" s="131">
        <f>+'Water '!$N27</f>
        <v>72</v>
      </c>
      <c r="W33" s="131">
        <f>+'Water '!$N28</f>
        <v>41</v>
      </c>
      <c r="X33" s="131">
        <f>+'Water '!$N29</f>
        <v>56</v>
      </c>
      <c r="Y33" s="131">
        <f>+'Water '!$N30</f>
        <v>16</v>
      </c>
      <c r="Z33" s="131">
        <f>+'Water '!$N31</f>
        <v>40</v>
      </c>
      <c r="AA33" s="131" t="str">
        <f>+'Water '!$N32</f>
        <v>0</v>
      </c>
      <c r="AB33" s="131" t="str">
        <f>+'Water '!$N33</f>
        <v>0</v>
      </c>
      <c r="AC33" s="131" t="str">
        <f>+'Water '!$N34</f>
        <v>0</v>
      </c>
      <c r="AD33" s="131">
        <f>+'Water '!$N31</f>
        <v>40</v>
      </c>
      <c r="AE33" s="131" t="str">
        <f>+'Water '!$N32</f>
        <v>0</v>
      </c>
      <c r="AF33" s="131" t="str">
        <f>+'Water '!$N33</f>
        <v>0</v>
      </c>
      <c r="AG33" s="227">
        <f>SUM($B33:AF33)</f>
        <v>783</v>
      </c>
      <c r="AH33" s="227"/>
      <c r="AI33" s="227"/>
      <c r="AJ33" s="264">
        <f>34294/2.2</f>
        <v>15588.181818181816</v>
      </c>
    </row>
    <row r="34" spans="1:37" ht="18" x14ac:dyDescent="0.25">
      <c r="A34" s="121" t="s">
        <v>125</v>
      </c>
      <c r="B34" s="134">
        <f>+'Water '!$O7</f>
        <v>141</v>
      </c>
      <c r="C34" s="134">
        <f>+'Water '!$O8</f>
        <v>124</v>
      </c>
      <c r="D34" s="134">
        <f>+'Water '!$O9</f>
        <v>117</v>
      </c>
      <c r="E34" s="134">
        <f>+'Water '!$O10</f>
        <v>21</v>
      </c>
      <c r="F34" s="134" t="str">
        <f>+'Water '!$O11</f>
        <v>0</v>
      </c>
      <c r="G34" s="134" t="str">
        <f>+'Water '!$O12</f>
        <v>0</v>
      </c>
      <c r="H34" s="134">
        <f>+'Water '!$O13</f>
        <v>30</v>
      </c>
      <c r="I34" s="134">
        <f>+'Water '!$O14</f>
        <v>84</v>
      </c>
      <c r="J34" s="134">
        <f>+'Water '!$O15</f>
        <v>101</v>
      </c>
      <c r="K34" s="134">
        <f>+'Water '!$O16</f>
        <v>91</v>
      </c>
      <c r="L34" s="134">
        <f>+'Water '!$O17</f>
        <v>69</v>
      </c>
      <c r="M34" s="134">
        <f>+'Water '!$O18</f>
        <v>31</v>
      </c>
      <c r="N34" s="134" t="str">
        <f>+'Water '!$O19</f>
        <v>0</v>
      </c>
      <c r="O34" s="134" t="str">
        <f>+'Water '!$O19</f>
        <v>0</v>
      </c>
      <c r="P34" s="134" t="str">
        <f>+'Water '!$O19</f>
        <v>0</v>
      </c>
      <c r="Q34" s="134" t="str">
        <f>+'Water '!$O19</f>
        <v>0</v>
      </c>
      <c r="R34" s="134" t="str">
        <f>+'Water '!$O19</f>
        <v>0</v>
      </c>
      <c r="S34" s="134" t="str">
        <f>+'Water '!$O19</f>
        <v>0</v>
      </c>
      <c r="T34" s="134">
        <f>+'Water '!$O25</f>
        <v>8</v>
      </c>
      <c r="U34" s="134">
        <f>+'Water '!$O26</f>
        <v>43</v>
      </c>
      <c r="V34" s="134">
        <f>+'Water '!$O27</f>
        <v>67</v>
      </c>
      <c r="W34" s="134">
        <f>+'Water '!$O28</f>
        <v>101</v>
      </c>
      <c r="X34" s="134">
        <f>+'Water '!$O29</f>
        <v>77</v>
      </c>
      <c r="Y34" s="134">
        <f>+'Water '!$O30</f>
        <v>80</v>
      </c>
      <c r="Z34" s="134">
        <f>+'Water '!$O31</f>
        <v>66</v>
      </c>
      <c r="AA34" s="134" t="str">
        <f>+'Water '!$O32</f>
        <v>0</v>
      </c>
      <c r="AB34" s="134">
        <f>+'Water '!$O33</f>
        <v>31</v>
      </c>
      <c r="AC34" s="134" t="str">
        <f>+'Water '!$O34</f>
        <v>0</v>
      </c>
      <c r="AD34" s="134">
        <f>+'Water '!$O31</f>
        <v>66</v>
      </c>
      <c r="AE34" s="134" t="str">
        <f>+'Water '!$O32</f>
        <v>0</v>
      </c>
      <c r="AF34" s="134">
        <f>+'Water '!$O33</f>
        <v>31</v>
      </c>
      <c r="AG34" s="228">
        <f>SUM($B34:AF34)</f>
        <v>1379</v>
      </c>
      <c r="AH34" s="228"/>
      <c r="AI34" s="228"/>
    </row>
    <row r="35" spans="1:37" ht="17.25" customHeight="1" x14ac:dyDescent="0.25">
      <c r="A35" s="121" t="s">
        <v>166</v>
      </c>
      <c r="B35" s="119">
        <f>IF('Entries September 2026'!AC7-'Entries September 2026'!AC6&lt;1,0,'Entries September 2026'!AC7-'Entries September 2026'!AC6)</f>
        <v>22</v>
      </c>
      <c r="C35" s="119">
        <f>IF('Entries September 2026'!AC8-'Entries September 2026'!AC7&lt;1,0,'Entries September 2026'!AC8-'Entries September 2026'!AC7)</f>
        <v>25</v>
      </c>
      <c r="D35" s="119">
        <f>IF('Entries September 2026'!AC9-'Entries September 2026'!AC8&lt;1,0,'Entries September 2026'!AC9-'Entries September 2026'!AC8)</f>
        <v>22</v>
      </c>
      <c r="E35" s="119">
        <f>IF('Entries September 2026'!AC10-'Entries September 2026'!AC9&lt;1,0,'Entries September 2026'!AC10-'Entries September 2026'!AC9)</f>
        <v>8</v>
      </c>
      <c r="F35" s="119">
        <f>IF('Entries September 2026'!AC11-'Entries September 2026'!AC10&lt;1,0,'Entries September 2026'!AC11-'Entries September 2026'!AC10)</f>
        <v>0</v>
      </c>
      <c r="G35" s="119">
        <f>IF('Entries September 2026'!AC12-'Entries September 2026'!AC11&lt;1,0,'Entries September 2026'!AC12-'Entries September 2026'!AC11)</f>
        <v>0</v>
      </c>
      <c r="H35" s="119">
        <f>IF('Entries September 2026'!AC13-'Entries September 2026'!AC12&lt;1,0,'Entries September 2026'!AC13-'Entries September 2026'!AC12)</f>
        <v>1</v>
      </c>
      <c r="I35" s="119">
        <f>IF('Entries September 2026'!AC14-'Entries September 2026'!AC13&lt;1,0,'Entries September 2026'!AC14-'Entries September 2026'!AC13)</f>
        <v>15</v>
      </c>
      <c r="J35" s="119">
        <f>IF('Entries September 2026'!AC15-'Entries September 2026'!AC14&lt;1,0,'Entries September 2026'!AC15-'Entries September 2026'!AC14)</f>
        <v>16</v>
      </c>
      <c r="K35" s="119">
        <f>IF('Entries September 2026'!AC16-'Entries September 2026'!AC15&lt;1,0,'Entries September 2026'!AC16-'Entries September 2026'!AC15)</f>
        <v>16</v>
      </c>
      <c r="L35" s="119">
        <f>IF('Entries September 2026'!AC17-'Entries September 2026'!AC16&lt;1,0,'Entries September 2026'!AC17-'Entries September 2026'!AC16)</f>
        <v>13</v>
      </c>
      <c r="M35" s="119">
        <f>IF('Entries September 2026'!AC18-'Entries September 2026'!AC17&lt;1,0,'Entries September 2026'!AC18-'Entries September 2026'!AC17)</f>
        <v>2</v>
      </c>
      <c r="N35" s="95">
        <f>IF('Entries September 2026'!AC19-'Entries September 2026'!AC18&lt;1,0,'Entries September 2026'!AC19-'Entries September 2026'!AC18)</f>
        <v>0</v>
      </c>
      <c r="O35" s="95">
        <f>IF('Entries September 2026'!AC20-'Entries September 2026'!AC19&lt;1,0,'Entries September 2026'!AC20-'Entries September 2026'!AC19)</f>
        <v>24</v>
      </c>
      <c r="P35" s="95">
        <f>IF('Entries September 2026'!AC21-'Entries September 2026'!AC20&lt;1,0,'Entries September 2026'!AC21-'Entries September 2026'!AC20)</f>
        <v>29</v>
      </c>
      <c r="Q35" s="95">
        <f>IF('Entries September 2026'!AC22-'Entries September 2026'!AC21&lt;1,0,'Entries September 2026'!AC22-'Entries September 2026'!AC21)</f>
        <v>12</v>
      </c>
      <c r="R35" s="95">
        <f>IF('Entries September 2026'!AC23-'Entries September 2026'!AC22&lt;1,0,'Entries September 2026'!AC23-'Entries September 2026'!AC22)</f>
        <v>23</v>
      </c>
      <c r="S35" s="95">
        <f>IF('Entries September 2026'!AC24-'Entries September 2026'!AC23&lt;1,0,'Entries September 2026'!AC24-'Entries September 2026'!AC23)</f>
        <v>18</v>
      </c>
      <c r="T35" s="95">
        <f>IF('Entries September 2026'!AC25-'Entries September 2026'!AC24&lt;1,0,'Entries September 2026'!AC25-'Entries September 2026'!AC24)</f>
        <v>7</v>
      </c>
      <c r="U35" s="95">
        <f>IF('Entries September 2026'!AC26-'Entries September 2026'!AC25&lt;1,0,'Entries September 2026'!AC26-'Entries September 2026'!AC25)</f>
        <v>2</v>
      </c>
      <c r="V35" s="95">
        <f>IF('Entries September 2026'!AC27-'Entries September 2026'!AC26&lt;1,0,'Entries September 2026'!AC27-'Entries September 2026'!AC26)</f>
        <v>7</v>
      </c>
      <c r="W35" s="95">
        <f>IF('Entries September 2026'!$AC28-'Entries September 2026'!$AC27&lt;1,0,'Entries September 2026'!$AC28-'Entries September 2026'!$AC27)</f>
        <v>25</v>
      </c>
      <c r="X35" s="95">
        <f>IF('Entries September 2026'!$AC29-'Entries September 2026'!$AC28&lt;1,0,'Entries September 2026'!$AC29-'Entries September 2026'!$AC28)</f>
        <v>5</v>
      </c>
      <c r="Y35" s="95">
        <f>IF('Entries September 2026'!$AC30-'Entries September 2026'!$AC29&lt;1,0,'Entries September 2026'!$AC30-'Entries September 2026'!$AC29)</f>
        <v>15</v>
      </c>
      <c r="Z35" s="95">
        <f>IF('Entries September 2026'!$AC31-'Entries September 2026'!$AC30&lt;1,0,'Entries September 2026'!$AC31-'Entries September 2026'!$AC30)</f>
        <v>12</v>
      </c>
      <c r="AA35" s="95">
        <f>IF('Entries September 2026'!$AC32-'Entries September 2026'!$AC31&lt;1,0,'Entries September 2026'!$AC32-'Entries September 2026'!$AC31)</f>
        <v>0</v>
      </c>
      <c r="AB35" s="95">
        <f>IF('Entries September 2026'!$AC33-'Entries September 2026'!$AC32&lt;1,0,'Entries September 2026'!$AC33-'Entries September 2026'!$AC32)</f>
        <v>1</v>
      </c>
      <c r="AC35" s="95">
        <f>IF('Entries September 2026'!$AC34-'Entries September 2026'!$AC33&lt;1,0,'Entries September 2026'!$AC34-'Entries September 2026'!$AC33)</f>
        <v>0</v>
      </c>
      <c r="AD35" s="95">
        <f>IF('Entries September 2026'!$AC31-'Entries September 2026'!$AC30&lt;1,0,'Entries September 2026'!$AC31-'Entries September 2026'!$AC30)</f>
        <v>12</v>
      </c>
      <c r="AE35" s="95">
        <f>IF('Entries September 2026'!$AC32-'Entries September 2026'!$AC31&lt;1,0,'Entries September 2026'!$AC32-'Entries September 2026'!$AC31)</f>
        <v>0</v>
      </c>
      <c r="AF35" s="95">
        <f>IF('Entries September 2026'!$AC33-'Entries September 2026'!$AC32&lt;1,0,'Entries September 2026'!$AC33-'Entries September 2026'!$AC32)</f>
        <v>1</v>
      </c>
      <c r="AG35" s="220">
        <f>SUM($B35:AF35)</f>
        <v>333</v>
      </c>
      <c r="AH35" s="220"/>
      <c r="AI35" s="271"/>
    </row>
    <row r="36" spans="1:37" ht="18" x14ac:dyDescent="0.25">
      <c r="A36" s="109" t="s">
        <v>124</v>
      </c>
      <c r="B36" s="110">
        <f>+'Water '!$M7</f>
        <v>3</v>
      </c>
      <c r="C36" s="110">
        <f>+'Water '!$M8</f>
        <v>1</v>
      </c>
      <c r="D36" s="110">
        <f>+'Water '!$M9</f>
        <v>3</v>
      </c>
      <c r="E36" s="110">
        <f>+'Water '!$M10</f>
        <v>1</v>
      </c>
      <c r="F36" s="110" t="str">
        <f>+'Water '!$M11</f>
        <v>0</v>
      </c>
      <c r="G36" s="110" t="str">
        <f>+'Water '!$M12</f>
        <v>0</v>
      </c>
      <c r="H36" s="110" t="str">
        <f>+'Water '!$M13</f>
        <v>0</v>
      </c>
      <c r="I36" s="110">
        <f>+'Water '!$M14</f>
        <v>18</v>
      </c>
      <c r="J36" s="110">
        <f>+'Water '!$M15</f>
        <v>2</v>
      </c>
      <c r="K36" s="110">
        <f>+'Water '!$M16</f>
        <v>6</v>
      </c>
      <c r="L36" s="110">
        <f>+'Water '!$M17</f>
        <v>2</v>
      </c>
      <c r="M36" s="110" t="str">
        <f>+'Water '!$M18</f>
        <v>0</v>
      </c>
      <c r="N36" s="110" t="str">
        <f>+'Water '!$M19</f>
        <v>0</v>
      </c>
      <c r="O36" s="110">
        <f>+'Water '!$M20</f>
        <v>5</v>
      </c>
      <c r="P36" s="110">
        <f>+'Water '!$M21</f>
        <v>8</v>
      </c>
      <c r="Q36" s="110">
        <f>+'Water '!$M22</f>
        <v>1</v>
      </c>
      <c r="R36" s="110">
        <f>+'Water '!$M23</f>
        <v>3</v>
      </c>
      <c r="S36" s="110">
        <f>+'Water '!$M24</f>
        <v>1</v>
      </c>
      <c r="T36" s="110" t="str">
        <f>+'Water '!$M25</f>
        <v>0</v>
      </c>
      <c r="U36" s="110" t="str">
        <f>+'Water '!$M26</f>
        <v>0</v>
      </c>
      <c r="V36" s="110">
        <f>+'Water '!$M27</f>
        <v>1</v>
      </c>
      <c r="W36" s="110">
        <f>+'Water '!$M28</f>
        <v>1</v>
      </c>
      <c r="X36" s="110">
        <f>+'Water '!$M29</f>
        <v>1</v>
      </c>
      <c r="Y36" s="110">
        <f>+'Water '!$M30</f>
        <v>3</v>
      </c>
      <c r="Z36" s="110">
        <f>+'Water '!$M31</f>
        <v>1</v>
      </c>
      <c r="AA36" s="110" t="str">
        <f>+'Water '!$M32</f>
        <v>0</v>
      </c>
      <c r="AB36" s="110" t="str">
        <f>+'Water '!$M33</f>
        <v>0</v>
      </c>
      <c r="AC36" s="110" t="str">
        <f>+'Water '!$M34</f>
        <v>0</v>
      </c>
      <c r="AD36" s="110">
        <f>+'Water '!$M31</f>
        <v>1</v>
      </c>
      <c r="AE36" s="110" t="str">
        <f>+'Water '!$M32</f>
        <v>0</v>
      </c>
      <c r="AF36" s="110" t="str">
        <f>+'Water '!$M33</f>
        <v>0</v>
      </c>
      <c r="AG36" s="220">
        <f>SUM($B36:AF36)</f>
        <v>62</v>
      </c>
      <c r="AH36" s="220"/>
      <c r="AI36" s="271"/>
    </row>
    <row r="37" spans="1:37" ht="18" x14ac:dyDescent="0.25">
      <c r="A37" s="132" t="s">
        <v>126</v>
      </c>
      <c r="B37" s="131">
        <f>+'Water '!$Q7</f>
        <v>23</v>
      </c>
      <c r="C37" s="131">
        <f>+'Water '!$Q8</f>
        <v>19</v>
      </c>
      <c r="D37" s="131">
        <f>+'Water '!$Q9</f>
        <v>21</v>
      </c>
      <c r="E37" s="131">
        <f>+'Water '!$Q10</f>
        <v>12</v>
      </c>
      <c r="F37" s="131" t="str">
        <f>+'Water '!$Q11</f>
        <v>0</v>
      </c>
      <c r="G37" s="131" t="str">
        <f>+'Water '!$Q12</f>
        <v>0</v>
      </c>
      <c r="H37" s="131">
        <f>+'Water '!$Q13</f>
        <v>16</v>
      </c>
      <c r="I37" s="131">
        <f>+'Water '!$Q14</f>
        <v>33</v>
      </c>
      <c r="J37" s="131">
        <f>+'Water '!$Q15</f>
        <v>27</v>
      </c>
      <c r="K37" s="131">
        <f>+'Water '!$Q16</f>
        <v>18</v>
      </c>
      <c r="L37" s="131">
        <f>+'Water '!$Q17</f>
        <v>17</v>
      </c>
      <c r="M37" s="131">
        <f>+'Water '!$Q18</f>
        <v>3</v>
      </c>
      <c r="N37" s="131">
        <f>+'Water '!$Q19</f>
        <v>2</v>
      </c>
      <c r="O37" s="131">
        <f>+'Water '!$Q19</f>
        <v>2</v>
      </c>
      <c r="P37" s="131">
        <f>+'Water '!$Q21</f>
        <v>25</v>
      </c>
      <c r="Q37" s="131">
        <f>+'Water '!$Q22</f>
        <v>20</v>
      </c>
      <c r="R37" s="131">
        <f>+'Water '!$Q22</f>
        <v>20</v>
      </c>
      <c r="S37" s="131">
        <f>+'Water '!$Q24</f>
        <v>15</v>
      </c>
      <c r="T37" s="131">
        <f>+'Water '!$Q25</f>
        <v>3</v>
      </c>
      <c r="U37" s="131" t="str">
        <f>+'Water '!$Q26</f>
        <v>0</v>
      </c>
      <c r="V37" s="131">
        <f>+'Water '!$Q27</f>
        <v>19</v>
      </c>
      <c r="W37" s="131">
        <f>+'Water '!$Q28</f>
        <v>17</v>
      </c>
      <c r="X37" s="131">
        <f>+'Water '!$Q29</f>
        <v>15</v>
      </c>
      <c r="Y37" s="131">
        <f>+'Water '!$Q30</f>
        <v>16</v>
      </c>
      <c r="Z37" s="131">
        <f>+'Water '!$Q31</f>
        <v>23</v>
      </c>
      <c r="AA37" s="131" t="str">
        <f>+'Water '!$Q32</f>
        <v>0</v>
      </c>
      <c r="AB37" s="131" t="str">
        <f>+'Water '!$Q33</f>
        <v>0</v>
      </c>
      <c r="AC37" s="131" t="str">
        <f>+'Water '!$Q34</f>
        <v>0</v>
      </c>
      <c r="AD37" s="131">
        <f>+'Water '!$Q31</f>
        <v>23</v>
      </c>
      <c r="AE37" s="131" t="str">
        <f>+'Water '!$Q32</f>
        <v>0</v>
      </c>
      <c r="AF37" s="131" t="str">
        <f>+'Water '!$Q33</f>
        <v>0</v>
      </c>
      <c r="AG37" s="227">
        <f>SUM($B37:AF37)</f>
        <v>389</v>
      </c>
      <c r="AH37" s="227"/>
      <c r="AI37" s="227"/>
    </row>
    <row r="38" spans="1:37" s="87" customFormat="1" ht="18" hidden="1" x14ac:dyDescent="0.25">
      <c r="A38" s="135" t="s">
        <v>163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29">
        <f>SUM($B38:AF38)</f>
        <v>0</v>
      </c>
      <c r="AH38" s="229"/>
      <c r="AI38" s="273"/>
      <c r="AJ38" s="274"/>
      <c r="AK38" s="274"/>
    </row>
    <row r="39" spans="1:37" ht="17.25" customHeight="1" x14ac:dyDescent="0.25">
      <c r="A39" s="121" t="s">
        <v>198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20">
        <f>SUM($B39:AF39)</f>
        <v>0</v>
      </c>
      <c r="AH39" s="220"/>
      <c r="AI39" s="271"/>
    </row>
    <row r="40" spans="1:37" ht="17.25" customHeight="1" x14ac:dyDescent="0.25">
      <c r="A40" s="121" t="s">
        <v>184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104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>
        <f>'Water '!M31</f>
        <v>1</v>
      </c>
      <c r="AE40" s="119" t="str">
        <f>'Water '!M32</f>
        <v>0</v>
      </c>
      <c r="AF40" s="119" t="str">
        <f>'Water '!M33</f>
        <v>0</v>
      </c>
      <c r="AG40" s="220">
        <f>SUM($B40:AF40)</f>
        <v>105</v>
      </c>
      <c r="AH40" s="220"/>
      <c r="AI40" s="271"/>
    </row>
    <row r="41" spans="1:37" ht="17.25" customHeight="1" x14ac:dyDescent="0.25">
      <c r="A41" s="129" t="s">
        <v>197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20"/>
      <c r="AH41" s="220"/>
      <c r="AI41" s="275"/>
    </row>
    <row r="42" spans="1:37" s="88" customFormat="1" ht="20.25" x14ac:dyDescent="0.3">
      <c r="A42" s="137" t="s">
        <v>189</v>
      </c>
      <c r="B42" s="138">
        <f t="shared" ref="B42:AF42" si="4">SUM(B28:B41)</f>
        <v>400</v>
      </c>
      <c r="C42" s="138">
        <f>SUM(C28:C41)</f>
        <v>388</v>
      </c>
      <c r="D42" s="138">
        <f t="shared" si="4"/>
        <v>353</v>
      </c>
      <c r="E42" s="138">
        <f>SUM(E28:E41)</f>
        <v>276</v>
      </c>
      <c r="F42" s="138">
        <f t="shared" si="4"/>
        <v>0</v>
      </c>
      <c r="G42" s="138">
        <f>SUM(G28:G41)</f>
        <v>0</v>
      </c>
      <c r="H42" s="138">
        <f t="shared" si="4"/>
        <v>282</v>
      </c>
      <c r="I42" s="138">
        <f t="shared" si="4"/>
        <v>292</v>
      </c>
      <c r="J42" s="138">
        <f t="shared" si="4"/>
        <v>378</v>
      </c>
      <c r="K42" s="138">
        <f t="shared" si="4"/>
        <v>252</v>
      </c>
      <c r="L42" s="138">
        <f t="shared" si="4"/>
        <v>375</v>
      </c>
      <c r="M42" s="138">
        <f t="shared" si="4"/>
        <v>36</v>
      </c>
      <c r="N42" s="138">
        <f>SUM(N28:N41)</f>
        <v>2</v>
      </c>
      <c r="O42" s="138">
        <f>SUM(O28:O41)</f>
        <v>118</v>
      </c>
      <c r="P42" s="138">
        <f t="shared" si="4"/>
        <v>209</v>
      </c>
      <c r="Q42" s="138">
        <f t="shared" si="4"/>
        <v>247</v>
      </c>
      <c r="R42" s="138">
        <f t="shared" si="4"/>
        <v>228</v>
      </c>
      <c r="S42" s="138">
        <f t="shared" si="4"/>
        <v>200</v>
      </c>
      <c r="T42" s="138">
        <f t="shared" si="4"/>
        <v>18</v>
      </c>
      <c r="U42" s="138">
        <f t="shared" si="4"/>
        <v>45</v>
      </c>
      <c r="V42" s="138">
        <f t="shared" si="4"/>
        <v>324</v>
      </c>
      <c r="W42" s="138">
        <f t="shared" si="4"/>
        <v>279</v>
      </c>
      <c r="X42" s="138">
        <f t="shared" si="4"/>
        <v>322</v>
      </c>
      <c r="Y42" s="138">
        <f t="shared" si="4"/>
        <v>278</v>
      </c>
      <c r="Z42" s="138">
        <f t="shared" si="4"/>
        <v>215</v>
      </c>
      <c r="AA42" s="138">
        <f>SUM(AA28:AA41)</f>
        <v>0</v>
      </c>
      <c r="AB42" s="138">
        <f t="shared" si="4"/>
        <v>32</v>
      </c>
      <c r="AC42" s="138">
        <f t="shared" si="4"/>
        <v>0</v>
      </c>
      <c r="AD42" s="138">
        <f t="shared" si="4"/>
        <v>240.43298733888446</v>
      </c>
      <c r="AE42" s="138">
        <f t="shared" si="4"/>
        <v>0</v>
      </c>
      <c r="AF42" s="138">
        <f t="shared" si="4"/>
        <v>33</v>
      </c>
      <c r="AG42" s="230">
        <f>SUM($B42:AF42)</f>
        <v>5822.4329873388842</v>
      </c>
      <c r="AH42" s="230"/>
      <c r="AI42" s="276"/>
      <c r="AJ42" s="277"/>
      <c r="AK42" s="277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21"/>
      <c r="AH43" s="221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21"/>
      <c r="AH44" s="221"/>
    </row>
    <row r="45" spans="1:37" ht="20.25" x14ac:dyDescent="0.3">
      <c r="A45" s="105" t="s">
        <v>190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31"/>
      <c r="AH45" s="231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31"/>
      <c r="AH46" s="231"/>
    </row>
    <row r="47" spans="1:37" s="182" customFormat="1" ht="26.25" x14ac:dyDescent="0.4">
      <c r="A47" s="181" t="s">
        <v>191</v>
      </c>
      <c r="B47" s="178">
        <f>IF('Entries September 2026'!M7-'Entries September 2026'!M6&lt;1,0,'Entries September 2026'!M7-'Entries September 2026'!M6)</f>
        <v>2728.6300000000047</v>
      </c>
      <c r="C47" s="178">
        <f>IF('Entries September 2026'!M8-'Entries September 2026'!M7&lt;1,0,'Entries September 2026'!M8-'Entries September 2026'!M7)</f>
        <v>2873.4300000000512</v>
      </c>
      <c r="D47" s="178">
        <f>IF('Entries September 2026'!M9-'Entries September 2026'!M8&lt;1,0,'Entries September 2026'!M9-'Entries September 2026'!M8)</f>
        <v>2205.9399999999441</v>
      </c>
      <c r="E47" s="178">
        <f>IF('Entries September 2026'!M10-'Entries September 2026'!M9&lt;1,0,'Entries September 2026'!M10-'Entries September 2026'!M9)</f>
        <v>313.67000000004191</v>
      </c>
      <c r="F47" s="178">
        <f>IF('Entries September 2026'!M11-'Entries September 2026'!M10&lt;1,0,'Entries September 2026'!M11-'Entries September 2026'!M10)</f>
        <v>0</v>
      </c>
      <c r="G47" s="178" t="e">
        <f>IF('Entries September 2026'!#REF!-'Entries September 2026'!M11&lt;1,0,'Entries September 2026'!#REF!-'Entries September 2026'!M11)</f>
        <v>#REF!</v>
      </c>
      <c r="H47" s="178" t="e">
        <f>IF('Entries September 2026'!M13-'Entries September 2026'!#REF!&lt;1,0,'Entries September 2026'!M13-'Entries September 2026'!#REF!)</f>
        <v>#REF!</v>
      </c>
      <c r="I47" s="178">
        <f>IF('Entries September 2026'!M14-'Entries September 2026'!M13&lt;1,0,'Entries September 2026'!M14-'Entries September 2026'!M13)</f>
        <v>1438.8100000000559</v>
      </c>
      <c r="J47" s="178">
        <f>IF('Entries September 2026'!M15-'Entries September 2026'!M14&lt;1,0,'Entries September 2026'!M15-'Entries September 2026'!M14)</f>
        <v>1818.7999999999302</v>
      </c>
      <c r="K47" s="178">
        <f>IF('Entries September 2026'!M16-'Entries September 2026'!M15&lt;1,0,'Entries September 2026'!M16-'Entries September 2026'!M15)</f>
        <v>1996.7700000000186</v>
      </c>
      <c r="L47" s="177">
        <f>IF('Entries September 2026'!M17-'Entries September 2026'!M16&lt;1,0,'Entries September 2026'!M17-'Entries September 2026'!M16)</f>
        <v>1577.9699999999721</v>
      </c>
      <c r="M47" s="178">
        <f>IF('Entries September 2026'!M18-'Entries September 2026'!M17&lt;1,0,'Entries September 2026'!M18-'Entries September 2026'!M17)</f>
        <v>2.4600000000791624</v>
      </c>
      <c r="N47" s="178">
        <f>IF('Entries September 2026'!M19-'Entries September 2026'!M18&lt;1,0,'Entries September 2026'!M19-'Entries September 2026'!M18)</f>
        <v>0</v>
      </c>
      <c r="O47" s="178">
        <f>IF('Entries September 2026'!M20-'Entries September 2026'!M19&lt;1,0,'Entries September 2026'!M20-'Entries September 2026'!M19)</f>
        <v>2088.6899999999441</v>
      </c>
      <c r="P47" s="178">
        <f>IF('Entries September 2026'!M21-'Entries September 2026'!M20&lt;1,0,'Entries September 2026'!M21-'Entries September 2026'!M20)</f>
        <v>3814.1899999999441</v>
      </c>
      <c r="Q47" s="178">
        <f>IF('Entries September 2026'!M22-'Entries September 2026'!M21&lt;1,0,'Entries September 2026'!M22-'Entries September 2026'!M21)</f>
        <v>1659.9400000000605</v>
      </c>
      <c r="R47" s="178">
        <f>IF('Entries September 2026'!M23-'Entries September 2026'!M22&lt;1,0,'Entries September 2026'!M23-'Entries September 2026'!M22)</f>
        <v>2393.3699999999953</v>
      </c>
      <c r="S47" s="178">
        <f>IF('Entries September 2026'!N23-'Entries September 2026'!N22&lt;1,0,'Entries September 2026'!N23-'Entries September 2026'!N22)</f>
        <v>180.14999999999418</v>
      </c>
      <c r="T47" s="178">
        <f>IF('Entries September 2026'!O23-'Entries September 2026'!O22&lt;1,0,'Entries September 2026'!O23-'Entries September 2026'!O22)</f>
        <v>138</v>
      </c>
      <c r="U47" s="178">
        <f>IF('Entries September 2026'!P23-'Entries September 2026'!P22&lt;1,0,'Entries September 2026'!P23-'Entries September 2026'!P22)</f>
        <v>294</v>
      </c>
      <c r="V47" s="178">
        <f>IF('Entries September 2026'!O24-'Entries September 2026'!O23&lt;1,0,'Entries September 2026'!O24-'Entries September 2026'!O23)</f>
        <v>527</v>
      </c>
      <c r="W47" s="178">
        <f>IF('Entries September 2026'!P24-'Entries September 2026'!P23&lt;1,0,'Entries September 2026'!P24-'Entries September 2026'!P23)</f>
        <v>264</v>
      </c>
      <c r="X47" s="178">
        <f>IF('Entries September 2026'!Q24-'Entries September 2026'!Q23&lt;1,0,'Entries September 2026'!Q24-'Entries September 2026'!Q23)</f>
        <v>234</v>
      </c>
      <c r="Y47" s="178">
        <f>IF('Entries September 2026'!R24-'Entries September 2026'!R23&lt;1,0,'Entries September 2026'!R24-'Entries September 2026'!R23)</f>
        <v>0</v>
      </c>
      <c r="Z47" s="178">
        <f>IF('Entries September 2026'!S24-'Entries September 2026'!S23&lt;1,0,'Entries September 2026'!S24-'Entries September 2026'!S23)</f>
        <v>100</v>
      </c>
      <c r="AA47" s="178">
        <f>IF('Entries September 2026'!T24-'Entries September 2026'!T23&lt;1,0,'Entries September 2026'!T24-'Entries September 2026'!T23)</f>
        <v>0</v>
      </c>
      <c r="AB47" s="178">
        <f>IF('Entries September 2026'!U24-'Entries September 2026'!U23&lt;1,0,'Entries September 2026'!U24-'Entries September 2026'!U23)</f>
        <v>1</v>
      </c>
      <c r="AC47" s="178">
        <f>IF('Entries September 2026'!V24-'Entries September 2026'!V23&lt;1,0,'Entries September 2026'!V24-'Entries September 2026'!V23)</f>
        <v>200</v>
      </c>
      <c r="AD47" s="178">
        <f>IF('Entries September 2026'!W24-'Entries September 2026'!W23&lt;1,0,'Entries September 2026'!W24-'Entries September 2026'!W23)</f>
        <v>0</v>
      </c>
      <c r="AE47" s="178">
        <f>IF('Entries September 2026'!X24-'Entries September 2026'!X23&lt;1,0,'Entries September 2026'!X24-'Entries September 2026'!X23)</f>
        <v>26</v>
      </c>
      <c r="AF47" s="178">
        <f>IF('Entries September 2026'!Y24-'Entries September 2026'!Y23&lt;1,0,'Entries September 2026'!Y24-'Entries September 2026'!Y23)</f>
        <v>111</v>
      </c>
      <c r="AG47" s="232" t="e">
        <f>SUM($B47:AF47)</f>
        <v>#REF!</v>
      </c>
      <c r="AH47" s="233"/>
      <c r="AI47" s="233"/>
      <c r="AJ47" s="278"/>
      <c r="AK47" s="278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34"/>
      <c r="AH48" s="215"/>
      <c r="AI48" s="279"/>
    </row>
    <row r="49" spans="1:37" s="188" customFormat="1" ht="20.25" x14ac:dyDescent="0.3">
      <c r="A49" s="186" t="s">
        <v>192</v>
      </c>
      <c r="B49" s="187">
        <f>'Daily KPIs'!B76</f>
        <v>294.26000000000931</v>
      </c>
      <c r="C49" s="187">
        <f>'Daily KPIs'!C76</f>
        <v>307.14999999999418</v>
      </c>
      <c r="D49" s="187">
        <f>'Daily KPIs'!D76</f>
        <v>267.4600000000064</v>
      </c>
      <c r="E49" s="187">
        <f>'Daily KPIs'!E76</f>
        <v>43.299999999988358</v>
      </c>
      <c r="F49" s="187" t="str">
        <f>'Daily KPIs'!F76</f>
        <v>0</v>
      </c>
      <c r="G49" s="187" t="str">
        <f>'Daily KPIs'!G76</f>
        <v>0</v>
      </c>
      <c r="H49" s="187" t="str">
        <f>'Daily KPIs'!H76</f>
        <v>0</v>
      </c>
      <c r="I49" s="187">
        <f>'Daily KPIs'!I76</f>
        <v>142.39000000001397</v>
      </c>
      <c r="J49" s="187">
        <f>'Daily KPIs'!J76</f>
        <v>222.90999999998894</v>
      </c>
      <c r="K49" s="187">
        <f>'Daily KPIs'!K76</f>
        <v>219.43000000000757</v>
      </c>
      <c r="L49" s="187">
        <f>'Daily KPIs'!L76</f>
        <v>163.31999999999243</v>
      </c>
      <c r="M49" s="187" t="str">
        <f>'Daily KPIs'!M76</f>
        <v>0</v>
      </c>
      <c r="N49" s="187" t="str">
        <f>'Daily KPIs'!N76</f>
        <v>0</v>
      </c>
      <c r="O49" s="187">
        <f>'Daily KPIs'!O76</f>
        <v>271.54000000000815</v>
      </c>
      <c r="P49" s="187">
        <f>'Daily KPIs'!P76</f>
        <v>369.80000000000291</v>
      </c>
      <c r="Q49" s="187">
        <f>'Daily KPIs'!Q76</f>
        <v>139.27999999999884</v>
      </c>
      <c r="R49" s="187">
        <f>'Daily KPIs'!R76</f>
        <v>180.14999999999418</v>
      </c>
      <c r="S49" s="187">
        <f>'Daily KPIs'!S76</f>
        <v>263.89999999999418</v>
      </c>
      <c r="T49" s="187" t="str">
        <f>'Daily KPIs'!T76</f>
        <v>0</v>
      </c>
      <c r="U49" s="187" t="str">
        <f>'Daily KPIs'!U76</f>
        <v>0</v>
      </c>
      <c r="V49" s="187">
        <f>'Daily KPIs'!V76</f>
        <v>97.880000000004657</v>
      </c>
      <c r="W49" s="187">
        <f>'Daily KPIs'!W76</f>
        <v>217.16000000000349</v>
      </c>
      <c r="X49" s="187">
        <f>'Daily KPIs'!X76</f>
        <v>173.91999999999825</v>
      </c>
      <c r="Y49" s="187">
        <f>'Daily KPIs'!Y76</f>
        <v>196.83000000000175</v>
      </c>
      <c r="Z49" s="187">
        <f>'Daily KPIs'!Z76</f>
        <v>149.94000000000233</v>
      </c>
      <c r="AA49" s="187" t="str">
        <f>'Daily KPIs'!AA76</f>
        <v>0</v>
      </c>
      <c r="AB49" s="187" t="str">
        <f>'Daily KPIs'!AB76</f>
        <v>0</v>
      </c>
      <c r="AC49" s="187" t="str">
        <f>'Daily KPIs'!AC76</f>
        <v>0</v>
      </c>
      <c r="AD49" s="187" t="str">
        <f>'Daily KPIs'!AD76</f>
        <v>0</v>
      </c>
      <c r="AE49" s="187" t="str">
        <f>'Daily KPIs'!AE76</f>
        <v>0</v>
      </c>
      <c r="AF49" s="187" t="str">
        <f>'Daily KPIs'!AF76</f>
        <v>0</v>
      </c>
      <c r="AG49" s="235">
        <f>SUM($B49:AF49)</f>
        <v>3720.6200000000099</v>
      </c>
      <c r="AH49" s="236"/>
      <c r="AI49" s="280"/>
      <c r="AJ49" s="281"/>
      <c r="AK49" s="281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21"/>
      <c r="AH50" s="221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21"/>
      <c r="AH51" s="221"/>
    </row>
    <row r="52" spans="1:37" s="88" customFormat="1" ht="20.25" x14ac:dyDescent="0.3">
      <c r="A52" s="137" t="s">
        <v>129</v>
      </c>
      <c r="B52" s="141">
        <f>'Elec.SEPTEMBER 2026'!$B$7</f>
        <v>8735</v>
      </c>
      <c r="C52" s="141">
        <f>'Elec.SEPTEMBER 2026'!$B$8</f>
        <v>8438</v>
      </c>
      <c r="D52" s="141">
        <f>'Elec.SEPTEMBER 2026'!$B$9</f>
        <v>8694</v>
      </c>
      <c r="E52" s="141">
        <f>'Elec.SEPTEMBER 2026'!$B$10</f>
        <v>5679</v>
      </c>
      <c r="F52" s="141">
        <f>'Elec.SEPTEMBER 2026'!$B$11</f>
        <v>3385</v>
      </c>
      <c r="G52" s="141">
        <f>'Elec.SEPTEMBER 2026'!$B$12</f>
        <v>2797</v>
      </c>
      <c r="H52" s="141">
        <f>'Elec.SEPTEMBER 2026'!$B$13</f>
        <v>5039</v>
      </c>
      <c r="I52" s="141">
        <f>'Elec.SEPTEMBER 2026'!$B$14</f>
        <v>6654</v>
      </c>
      <c r="J52" s="141">
        <f>'Elec.SEPTEMBER 2026'!$B$15</f>
        <v>8374</v>
      </c>
      <c r="K52" s="141">
        <f>'Elec.SEPTEMBER 2026'!$B$16</f>
        <v>6508</v>
      </c>
      <c r="L52" s="141">
        <f>'Elec.SEPTEMBER 2026'!$B$17</f>
        <v>6688</v>
      </c>
      <c r="M52" s="141">
        <f>'Elec.SEPTEMBER 2026'!$B$18</f>
        <v>3127</v>
      </c>
      <c r="N52" s="141">
        <f>'Elec.SEPTEMBER 2026'!$B$19</f>
        <v>4203</v>
      </c>
      <c r="O52" s="141">
        <f>'Elec.SEPTEMBER 2026'!$B$20</f>
        <v>7310</v>
      </c>
      <c r="P52" s="141">
        <f>'Elec.SEPTEMBER 2026'!$B$21</f>
        <v>9121</v>
      </c>
      <c r="Q52" s="141">
        <f>'Elec.SEPTEMBER 2026'!$B$22</f>
        <v>8169</v>
      </c>
      <c r="R52" s="141">
        <f>'Elec.SEPTEMBER 2026'!$B$23</f>
        <v>8558</v>
      </c>
      <c r="S52" s="141">
        <f>'Elec.SEPTEMBER 2026'!$B$24</f>
        <v>8711</v>
      </c>
      <c r="T52" s="141">
        <f>'Elec.SEPTEMBER 2026'!$B$24</f>
        <v>8711</v>
      </c>
      <c r="U52" s="141">
        <f>'Elec.SEPTEMBER 2026'!$B$24</f>
        <v>8711</v>
      </c>
      <c r="V52" s="141">
        <f>'Elec.SEPTEMBER 2026'!$B$24</f>
        <v>8711</v>
      </c>
      <c r="W52" s="141">
        <f>'Elec.SEPTEMBER 2026'!$B$24</f>
        <v>8711</v>
      </c>
      <c r="X52" s="141">
        <f>'Elec.SEPTEMBER 2026'!$B$24</f>
        <v>8711</v>
      </c>
      <c r="Y52" s="141">
        <f>'Elec.SEPTEMBER 2026'!$B$24</f>
        <v>8711</v>
      </c>
      <c r="Z52" s="141">
        <f>'Elec.SEPTEMBER 2026'!$B$24</f>
        <v>8711</v>
      </c>
      <c r="AA52" s="141">
        <f>'Elec.SEPTEMBER 2026'!$B$24</f>
        <v>8711</v>
      </c>
      <c r="AB52" s="141">
        <f>'Elec.SEPTEMBER 2026'!$B$24</f>
        <v>8711</v>
      </c>
      <c r="AC52" s="141">
        <f>'Elec.SEPTEMBER 2026'!$B$24</f>
        <v>8711</v>
      </c>
      <c r="AD52" s="141">
        <f>'Elec.SEPTEMBER 2026'!$B$24</f>
        <v>8711</v>
      </c>
      <c r="AE52" s="141">
        <f>'Elec.SEPTEMBER 2026'!$B$24</f>
        <v>8711</v>
      </c>
      <c r="AF52" s="141">
        <f>'Elec.SEPTEMBER 2026'!$B$24</f>
        <v>8711</v>
      </c>
      <c r="AG52" s="224">
        <f>SUM(B52:AC52)</f>
        <v>207300</v>
      </c>
      <c r="AH52" s="224"/>
      <c r="AI52" s="276"/>
      <c r="AJ52" s="277"/>
      <c r="AK52" s="277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15"/>
      <c r="AH53" s="215"/>
      <c r="AI53" s="279"/>
    </row>
    <row r="54" spans="1:37" s="88" customFormat="1" ht="20.25" x14ac:dyDescent="0.3">
      <c r="A54" s="137" t="s">
        <v>130</v>
      </c>
      <c r="B54" s="143">
        <f>+'Fuel '!$K7</f>
        <v>3280</v>
      </c>
      <c r="C54" s="143">
        <f>+'Fuel '!$K8</f>
        <v>3540</v>
      </c>
      <c r="D54" s="143">
        <f>+'Fuel '!$K9</f>
        <v>3460</v>
      </c>
      <c r="E54" s="143">
        <f>+'Fuel '!$K10</f>
        <v>2040</v>
      </c>
      <c r="F54" s="143">
        <f>+'Fuel '!$K11</f>
        <v>0</v>
      </c>
      <c r="G54" s="143">
        <f>+'Fuel '!$K12</f>
        <v>0</v>
      </c>
      <c r="H54" s="143">
        <f>+'Fuel '!$K13</f>
        <v>2310</v>
      </c>
      <c r="I54" s="143">
        <f>+'Fuel '!$K14</f>
        <v>3350</v>
      </c>
      <c r="J54" s="143">
        <f>+'Fuel '!$K15</f>
        <v>3850</v>
      </c>
      <c r="K54" s="143">
        <f>+'Fuel '!$K16</f>
        <v>2960</v>
      </c>
      <c r="L54" s="143">
        <f>+'Fuel '!$K17</f>
        <v>2830</v>
      </c>
      <c r="M54" s="143">
        <f>+'Fuel '!$K18</f>
        <v>230</v>
      </c>
      <c r="N54" s="143">
        <f>+'Fuel '!$K19</f>
        <v>850</v>
      </c>
      <c r="O54" s="143">
        <f>+'Fuel '!$K20</f>
        <v>3430</v>
      </c>
      <c r="P54" s="143">
        <f>+'Fuel '!$K21</f>
        <v>3640</v>
      </c>
      <c r="Q54" s="143">
        <f>+'Fuel '!$K22</f>
        <v>3050</v>
      </c>
      <c r="R54" s="143">
        <f>+'Fuel '!$K23</f>
        <v>3500</v>
      </c>
      <c r="S54" s="143">
        <f>+'Fuel '!$K24</f>
        <v>2650</v>
      </c>
      <c r="T54" s="143">
        <f>+'Fuel '!$K24</f>
        <v>2650</v>
      </c>
      <c r="U54" s="143">
        <f>+'Fuel '!$K24</f>
        <v>2650</v>
      </c>
      <c r="V54" s="143">
        <f>+'Fuel '!$K24</f>
        <v>2650</v>
      </c>
      <c r="W54" s="143">
        <f>+'Fuel '!$K24</f>
        <v>2650</v>
      </c>
      <c r="X54" s="143">
        <f>+'Fuel '!$K24</f>
        <v>2650</v>
      </c>
      <c r="Y54" s="143">
        <f>+'Fuel '!$K24</f>
        <v>2650</v>
      </c>
      <c r="Z54" s="143">
        <f>+'Fuel '!$K24</f>
        <v>2650</v>
      </c>
      <c r="AA54" s="143">
        <f>+'Fuel '!$K24</f>
        <v>2650</v>
      </c>
      <c r="AB54" s="143">
        <f>+'Fuel '!$K24</f>
        <v>2650</v>
      </c>
      <c r="AC54" s="143">
        <f>+'Fuel '!$K24</f>
        <v>2650</v>
      </c>
      <c r="AD54" s="143">
        <f>+'Fuel '!$K24</f>
        <v>2650</v>
      </c>
      <c r="AE54" s="143">
        <f>+'Fuel '!$K24</f>
        <v>2650</v>
      </c>
      <c r="AF54" s="143">
        <f>+'Fuel '!$K24</f>
        <v>2650</v>
      </c>
      <c r="AG54" s="237">
        <f>SUM($B54:AF54)</f>
        <v>79420</v>
      </c>
      <c r="AH54" s="224"/>
      <c r="AI54" s="276"/>
      <c r="AJ54" s="277"/>
      <c r="AK54" s="277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21"/>
      <c r="AH55" s="221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21"/>
      <c r="AH56" s="221"/>
    </row>
    <row r="57" spans="1:37" ht="18" x14ac:dyDescent="0.25">
      <c r="A57" s="105" t="s">
        <v>188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120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8" t="s">
        <v>82</v>
      </c>
      <c r="AH58" s="218" t="s">
        <v>150</v>
      </c>
      <c r="AI58" s="218" t="s">
        <v>199</v>
      </c>
      <c r="AJ58" s="267"/>
      <c r="AK58" s="267"/>
    </row>
    <row r="59" spans="1:37" s="78" customFormat="1" ht="20.25" x14ac:dyDescent="0.3">
      <c r="A59" s="124" t="s">
        <v>134</v>
      </c>
      <c r="B59" s="144">
        <f>IF(B$9=0,"",+(B18*10)/B$9)</f>
        <v>9.7889002383384405</v>
      </c>
      <c r="C59" s="144">
        <f>IF(C$9=0,"",+(C18*10)/C$9)</f>
        <v>9.6646259289207173</v>
      </c>
      <c r="D59" s="144">
        <f t="shared" ref="D59:Y59" si="5">IF(D$9=0,"",+(D18*10)/D$9)</f>
        <v>7.9968191423299784</v>
      </c>
      <c r="E59" s="144">
        <f t="shared" si="5"/>
        <v>47.354975387874632</v>
      </c>
      <c r="F59" s="144" t="str">
        <f t="shared" si="5"/>
        <v/>
      </c>
      <c r="G59" s="144" t="str">
        <f t="shared" si="5"/>
        <v/>
      </c>
      <c r="H59" s="144" t="str">
        <f t="shared" si="5"/>
        <v/>
      </c>
      <c r="I59" s="144">
        <f t="shared" si="5"/>
        <v>13.958362014899116</v>
      </c>
      <c r="J59" s="144">
        <f t="shared" si="5"/>
        <v>12.126192076890515</v>
      </c>
      <c r="K59" s="144">
        <f t="shared" ref="K59:S59" si="6">IF(K$9=0,"",+(K18*10)/K$9)</f>
        <v>8.46439493228484</v>
      </c>
      <c r="L59" s="144">
        <f t="shared" si="6"/>
        <v>11.342978621114465</v>
      </c>
      <c r="M59" s="144" t="str">
        <f t="shared" si="6"/>
        <v/>
      </c>
      <c r="N59" s="144" t="str">
        <f t="shared" si="6"/>
        <v/>
      </c>
      <c r="O59" s="144">
        <f t="shared" si="6"/>
        <v>7.7524984736013369</v>
      </c>
      <c r="P59" s="144">
        <f t="shared" si="6"/>
        <v>7.7789388134215711</v>
      </c>
      <c r="Q59" s="144">
        <f t="shared" si="6"/>
        <v>22.971784566577078</v>
      </c>
      <c r="R59" s="144">
        <f t="shared" si="6"/>
        <v>14.886182727892985</v>
      </c>
      <c r="S59" s="144">
        <f t="shared" si="6"/>
        <v>17.944076186328019</v>
      </c>
      <c r="T59" s="144" t="str">
        <f t="shared" si="5"/>
        <v/>
      </c>
      <c r="U59" s="144" t="str">
        <f t="shared" si="5"/>
        <v/>
      </c>
      <c r="V59" s="144">
        <f t="shared" si="5"/>
        <v>18.953289312790414</v>
      </c>
      <c r="W59" s="144">
        <f t="shared" si="5"/>
        <v>8.4539873272267627</v>
      </c>
      <c r="X59" s="144">
        <f t="shared" si="5"/>
        <v>8.1736088803226608</v>
      </c>
      <c r="Y59" s="144">
        <f t="shared" si="5"/>
        <v>10.424062116140956</v>
      </c>
      <c r="Z59" s="144">
        <f>IF(Z$9=0,"",+(Z18*10)/Z$9)</f>
        <v>12.432987338884454</v>
      </c>
      <c r="AA59" s="144" t="str">
        <f t="shared" ref="AA59:AF59" si="7">IF(AA$9=0,"",+(AA18*10)/AA$9)</f>
        <v/>
      </c>
      <c r="AB59" s="144" t="str">
        <f t="shared" si="7"/>
        <v/>
      </c>
      <c r="AC59" s="144">
        <f t="shared" si="7"/>
        <v>0</v>
      </c>
      <c r="AD59" s="144" t="str">
        <f t="shared" si="7"/>
        <v/>
      </c>
      <c r="AE59" s="144" t="str">
        <f t="shared" si="7"/>
        <v/>
      </c>
      <c r="AF59" s="144" t="str">
        <f t="shared" si="7"/>
        <v/>
      </c>
      <c r="AG59" s="238">
        <f>IF(AG$9=0,"",+(AG18*10)/AG$9)</f>
        <v>12.477383055659807</v>
      </c>
      <c r="AH59" s="239">
        <f>'Daily KPIs'!AI90</f>
        <v>10.199999999999999</v>
      </c>
      <c r="AI59" s="282">
        <f>+AH59-AG59</f>
        <v>-2.2773830556598078</v>
      </c>
      <c r="AJ59" s="270"/>
      <c r="AK59" s="270"/>
    </row>
    <row r="60" spans="1:37" ht="18" hidden="1" x14ac:dyDescent="0.2">
      <c r="A60" s="109"/>
      <c r="M60" s="82"/>
      <c r="AG60" s="240"/>
      <c r="AH60" s="240"/>
    </row>
    <row r="61" spans="1:37" ht="18" x14ac:dyDescent="0.2">
      <c r="A61" s="126" t="s">
        <v>137</v>
      </c>
      <c r="M61" s="82"/>
      <c r="AF61" s="82"/>
      <c r="AG61" s="218" t="s">
        <v>82</v>
      </c>
      <c r="AH61" s="218" t="s">
        <v>150</v>
      </c>
      <c r="AI61" s="218" t="s">
        <v>199</v>
      </c>
    </row>
    <row r="62" spans="1:37" ht="18" x14ac:dyDescent="0.25">
      <c r="A62" s="109" t="s">
        <v>123</v>
      </c>
      <c r="B62" s="145">
        <f>IF(B$9=0,"",+(B28*10)/B$9)</f>
        <v>2.6752273943285179</v>
      </c>
      <c r="C62" s="145">
        <f>IF(C$9=0,"",+(C28*10)/C$9)</f>
        <v>3.4654037195333252</v>
      </c>
      <c r="D62" s="145">
        <f t="shared" ref="D62:W62" si="8">IF(D$9=0,"",+(D28*10)/D$9)</f>
        <v>3.0155602911020867</v>
      </c>
      <c r="E62" s="145">
        <f t="shared" si="8"/>
        <v>15.265748644775373</v>
      </c>
      <c r="F62" s="145" t="str">
        <f t="shared" si="8"/>
        <v/>
      </c>
      <c r="G62" s="145" t="str">
        <f t="shared" si="8"/>
        <v/>
      </c>
      <c r="H62" s="145" t="str">
        <f t="shared" si="8"/>
        <v/>
      </c>
      <c r="I62" s="145">
        <f t="shared" si="8"/>
        <v>4.3978400868860232</v>
      </c>
      <c r="J62" s="145">
        <f t="shared" si="8"/>
        <v>4.880356564826573</v>
      </c>
      <c r="K62" s="145">
        <f t="shared" si="8"/>
        <v>2.5815163429842327</v>
      </c>
      <c r="L62" s="145">
        <f t="shared" si="8"/>
        <v>5.2958939919772838</v>
      </c>
      <c r="M62" s="145" t="str">
        <f t="shared" ref="M62:S62" si="9">IF(M$9=0,"",+(M28*10)/M$9)</f>
        <v/>
      </c>
      <c r="N62" s="145" t="str">
        <f t="shared" si="9"/>
        <v/>
      </c>
      <c r="O62" s="145">
        <f t="shared" si="9"/>
        <v>1.7473247855008194</v>
      </c>
      <c r="P62" s="145">
        <f t="shared" si="9"/>
        <v>2.4381748519679549</v>
      </c>
      <c r="Q62" s="145">
        <f t="shared" si="9"/>
        <v>7.4380912460652082</v>
      </c>
      <c r="R62" s="145">
        <f t="shared" si="9"/>
        <v>5.0998959345559296</v>
      </c>
      <c r="S62" s="145">
        <f t="shared" si="9"/>
        <v>2.2685304913183337</v>
      </c>
      <c r="T62" s="145" t="str">
        <f t="shared" si="8"/>
        <v/>
      </c>
      <c r="U62" s="145" t="str">
        <f t="shared" si="8"/>
        <v/>
      </c>
      <c r="V62" s="145">
        <f t="shared" si="8"/>
        <v>8.7818759865715119</v>
      </c>
      <c r="W62" s="145">
        <f t="shared" si="8"/>
        <v>2.5717631351434167</v>
      </c>
      <c r="X62" s="145">
        <f>IF(X$9=0,"",+(X28*10)/X$9)</f>
        <v>5.9963593532498125</v>
      </c>
      <c r="Y62" s="145">
        <f t="shared" ref="Y62:AF62" si="10">IF(Y$9=0,"",+(Y28*10)/Y$9)</f>
        <v>4.1696248464563821</v>
      </c>
      <c r="Z62" s="145">
        <f t="shared" si="10"/>
        <v>2.7755598646439301</v>
      </c>
      <c r="AA62" s="145" t="str">
        <f t="shared" si="10"/>
        <v/>
      </c>
      <c r="AB62" s="145" t="str">
        <f t="shared" si="10"/>
        <v/>
      </c>
      <c r="AC62" s="145">
        <f t="shared" si="10"/>
        <v>0</v>
      </c>
      <c r="AD62" s="145" t="str">
        <f t="shared" si="10"/>
        <v/>
      </c>
      <c r="AE62" s="145" t="str">
        <f t="shared" si="10"/>
        <v/>
      </c>
      <c r="AF62" s="145" t="str">
        <f t="shared" si="10"/>
        <v/>
      </c>
      <c r="AG62" s="241">
        <f>IF(+(AG28*10)/AG$9&lt;1,0,+(AG28*10)/AG$9)</f>
        <v>4.0681248914341666</v>
      </c>
      <c r="AH62" s="241">
        <v>2.5</v>
      </c>
      <c r="AI62" s="242">
        <f t="shared" ref="AI62:AI78" si="11">AH62-AG62</f>
        <v>-1.5681248914341666</v>
      </c>
    </row>
    <row r="63" spans="1:37" ht="18.75" x14ac:dyDescent="0.3">
      <c r="A63" s="167" t="s">
        <v>212</v>
      </c>
      <c r="B63" s="168">
        <f>IF(B$93=0,"",+(B28*10)/B$93)</f>
        <v>3.8949542637946299</v>
      </c>
      <c r="C63" s="168">
        <f t="shared" ref="C63:X63" si="12">IF(C$93=0,"",+(C28*10)/C$93)</f>
        <v>4.026845637583893</v>
      </c>
      <c r="D63" s="168">
        <f t="shared" si="12"/>
        <v>3.8648726023475519</v>
      </c>
      <c r="E63" s="168">
        <f t="shared" si="12"/>
        <v>5.8635819704826488</v>
      </c>
      <c r="F63" s="168" t="str">
        <f t="shared" si="12"/>
        <v/>
      </c>
      <c r="G63" s="168" t="str">
        <f t="shared" si="12"/>
        <v/>
      </c>
      <c r="H63" s="168">
        <f t="shared" si="12"/>
        <v>4.1010862336510749</v>
      </c>
      <c r="I63" s="168">
        <f>IF(I$93=0,"",+(I28*10)/I$93)</f>
        <v>3.784139519578809</v>
      </c>
      <c r="J63" s="168">
        <f t="shared" si="12"/>
        <v>5.5587067498581959</v>
      </c>
      <c r="K63" s="168">
        <f t="shared" si="12"/>
        <v>3.4482758620689653</v>
      </c>
      <c r="L63" s="168" t="str">
        <f t="shared" si="12"/>
        <v/>
      </c>
      <c r="M63" s="168" t="str">
        <f t="shared" si="12"/>
        <v/>
      </c>
      <c r="N63" s="168" t="str">
        <f t="shared" si="12"/>
        <v/>
      </c>
      <c r="O63" s="168">
        <f>IF(O$93=0,"",+(O28*10)/O$93)</f>
        <v>2.8301886792452833</v>
      </c>
      <c r="P63" s="168">
        <f>IF(P$93=0,"",+(P28*10)/P$93)</f>
        <v>4.2</v>
      </c>
      <c r="Q63" s="168">
        <f>IF(Q$93=0,"",+(Q28*10)/Q$93)</f>
        <v>4.0275923453493547</v>
      </c>
      <c r="R63" s="168">
        <f>IF(R$93=0,"",+(R28*10)/R$93)</f>
        <v>3.2208922742110988</v>
      </c>
      <c r="S63" s="168">
        <f>IF(S$93=0,"",+(S28*10)/S$93)</f>
        <v>19.53125</v>
      </c>
      <c r="T63" s="168" t="str">
        <f t="shared" si="12"/>
        <v/>
      </c>
      <c r="U63" s="168" t="str">
        <f t="shared" si="12"/>
        <v/>
      </c>
      <c r="V63" s="168">
        <f t="shared" si="12"/>
        <v>4.0193335029254644</v>
      </c>
      <c r="W63" s="168">
        <f t="shared" si="12"/>
        <v>3.7465125548027101</v>
      </c>
      <c r="X63" s="168" t="str">
        <f t="shared" si="12"/>
        <v/>
      </c>
      <c r="Y63" s="168" t="str">
        <f t="shared" ref="Y63:AF63" si="13">IF(Y$93=0,"",+(Y28*10)/Y$93)</f>
        <v/>
      </c>
      <c r="Z63" s="168" t="str">
        <f t="shared" si="13"/>
        <v/>
      </c>
      <c r="AA63" s="168" t="str">
        <f t="shared" si="13"/>
        <v/>
      </c>
      <c r="AB63" s="168" t="str">
        <f t="shared" si="13"/>
        <v/>
      </c>
      <c r="AC63" s="168" t="str">
        <f t="shared" si="13"/>
        <v/>
      </c>
      <c r="AD63" s="168" t="str">
        <f t="shared" si="13"/>
        <v/>
      </c>
      <c r="AE63" s="168" t="str">
        <f t="shared" si="13"/>
        <v/>
      </c>
      <c r="AF63" s="168" t="str">
        <f t="shared" si="13"/>
        <v/>
      </c>
      <c r="AG63" s="243">
        <f>IF(+(AG28*10)/AG$93&lt;1,0,+(AG28*10)/AG$93)</f>
        <v>5.3632875845429737</v>
      </c>
      <c r="AH63" s="243">
        <v>2.5</v>
      </c>
      <c r="AI63" s="244">
        <f t="shared" si="11"/>
        <v>-2.8632875845429737</v>
      </c>
    </row>
    <row r="64" spans="1:37" s="90" customFormat="1" ht="18" x14ac:dyDescent="0.25">
      <c r="A64" s="146" t="s">
        <v>169</v>
      </c>
      <c r="B64" s="147">
        <f>IF(B$9=0,"",+(B29*10)/B$9)</f>
        <v>0</v>
      </c>
      <c r="C64" s="147">
        <f t="shared" ref="C64:X64" si="14">IF(C$9=0,"",+(C29*10)/C$9)</f>
        <v>0</v>
      </c>
      <c r="D64" s="147">
        <f t="shared" si="14"/>
        <v>0</v>
      </c>
      <c r="E64" s="147">
        <f t="shared" si="14"/>
        <v>0</v>
      </c>
      <c r="F64" s="147" t="str">
        <f t="shared" si="14"/>
        <v/>
      </c>
      <c r="G64" s="147" t="str">
        <f t="shared" si="14"/>
        <v/>
      </c>
      <c r="H64" s="147" t="str">
        <f t="shared" si="14"/>
        <v/>
      </c>
      <c r="I64" s="147">
        <f t="shared" si="14"/>
        <v>0</v>
      </c>
      <c r="J64" s="147">
        <f t="shared" si="14"/>
        <v>0</v>
      </c>
      <c r="K64" s="147">
        <f t="shared" si="14"/>
        <v>0</v>
      </c>
      <c r="L64" s="147">
        <f t="shared" si="14"/>
        <v>0</v>
      </c>
      <c r="M64" s="147" t="str">
        <f>IF(M$9=0,"",+(M29*10)/M$9)</f>
        <v/>
      </c>
      <c r="N64" s="147" t="str">
        <f t="shared" si="14"/>
        <v/>
      </c>
      <c r="O64" s="147">
        <f>IF(O$9=0,"",+(O29*10)/O$9)</f>
        <v>0</v>
      </c>
      <c r="P64" s="147">
        <f>IF(P$9=0,"",+(P29*10)/P$9)</f>
        <v>0</v>
      </c>
      <c r="Q64" s="147">
        <f>IF(Q$9=0,"",+(Q29*10)/Q$9)</f>
        <v>0</v>
      </c>
      <c r="R64" s="147">
        <f>IF(R$9=0,"",+(R29*10)/R$9)</f>
        <v>0</v>
      </c>
      <c r="S64" s="147">
        <f>IF(S$9=0,"",+(S29*10)/S$9)</f>
        <v>0</v>
      </c>
      <c r="T64" s="147" t="str">
        <f t="shared" si="14"/>
        <v/>
      </c>
      <c r="U64" s="147" t="str">
        <f t="shared" si="14"/>
        <v/>
      </c>
      <c r="V64" s="147">
        <f t="shared" si="14"/>
        <v>0</v>
      </c>
      <c r="W64" s="147">
        <f t="shared" si="14"/>
        <v>0</v>
      </c>
      <c r="X64" s="147">
        <f t="shared" si="14"/>
        <v>0</v>
      </c>
      <c r="Y64" s="147">
        <f t="shared" ref="Y64:AF64" si="15">IF(Y$9=0,"",+(Y29*10)/Y$9)</f>
        <v>0</v>
      </c>
      <c r="Z64" s="147">
        <f t="shared" si="15"/>
        <v>0</v>
      </c>
      <c r="AA64" s="147" t="str">
        <f t="shared" si="15"/>
        <v/>
      </c>
      <c r="AB64" s="147" t="str">
        <f t="shared" si="15"/>
        <v/>
      </c>
      <c r="AC64" s="147">
        <f t="shared" si="15"/>
        <v>0</v>
      </c>
      <c r="AD64" s="147" t="str">
        <f t="shared" si="15"/>
        <v/>
      </c>
      <c r="AE64" s="147" t="str">
        <f t="shared" si="15"/>
        <v/>
      </c>
      <c r="AF64" s="147" t="str">
        <f t="shared" si="15"/>
        <v/>
      </c>
      <c r="AG64" s="245">
        <f>+(AG29*10)/AG$9</f>
        <v>1.8650053564971122E-2</v>
      </c>
      <c r="AH64" s="245">
        <v>0.1</v>
      </c>
      <c r="AI64" s="246">
        <f>AH64-AG64</f>
        <v>8.134994643502888E-2</v>
      </c>
      <c r="AJ64" s="283"/>
      <c r="AK64" s="283"/>
    </row>
    <row r="65" spans="1:37" s="87" customFormat="1" ht="18" x14ac:dyDescent="0.25">
      <c r="A65" s="135" t="s">
        <v>185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7"/>
      <c r="AH65" s="247">
        <v>0.1</v>
      </c>
      <c r="AI65" s="248">
        <f>AH65-AG65</f>
        <v>0.1</v>
      </c>
      <c r="AJ65" s="274"/>
      <c r="AK65" s="274"/>
    </row>
    <row r="66" spans="1:37" ht="18" x14ac:dyDescent="0.25">
      <c r="A66" s="109" t="s">
        <v>168</v>
      </c>
      <c r="B66" s="145">
        <f t="shared" ref="B66:V66" si="16">IF(B$9=0,"",+(B31*10)/B$9)</f>
        <v>0</v>
      </c>
      <c r="C66" s="145">
        <f t="shared" si="16"/>
        <v>0</v>
      </c>
      <c r="D66" s="145">
        <f t="shared" si="16"/>
        <v>0</v>
      </c>
      <c r="E66" s="145">
        <f t="shared" si="16"/>
        <v>0</v>
      </c>
      <c r="F66" s="145" t="str">
        <f t="shared" si="16"/>
        <v/>
      </c>
      <c r="G66" s="145" t="str">
        <f t="shared" si="16"/>
        <v/>
      </c>
      <c r="H66" s="145" t="str">
        <f t="shared" si="16"/>
        <v/>
      </c>
      <c r="I66" s="145">
        <f t="shared" si="16"/>
        <v>0</v>
      </c>
      <c r="J66" s="145">
        <f t="shared" si="16"/>
        <v>0</v>
      </c>
      <c r="K66" s="145">
        <f t="shared" si="16"/>
        <v>0</v>
      </c>
      <c r="L66" s="145">
        <f t="shared" si="16"/>
        <v>0</v>
      </c>
      <c r="M66" s="145" t="str">
        <f t="shared" si="16"/>
        <v/>
      </c>
      <c r="N66" s="145" t="str">
        <f t="shared" si="16"/>
        <v/>
      </c>
      <c r="O66" s="145">
        <f t="shared" ref="O66:S69" si="17">IF(O$9=0,"",+(O31*10)/O$9)</f>
        <v>0</v>
      </c>
      <c r="P66" s="145">
        <f t="shared" si="17"/>
        <v>0</v>
      </c>
      <c r="Q66" s="145">
        <f t="shared" si="17"/>
        <v>0</v>
      </c>
      <c r="R66" s="145">
        <f t="shared" si="17"/>
        <v>0</v>
      </c>
      <c r="S66" s="145">
        <f t="shared" si="17"/>
        <v>0</v>
      </c>
      <c r="T66" s="145" t="str">
        <f t="shared" si="16"/>
        <v/>
      </c>
      <c r="U66" s="145" t="str">
        <f t="shared" si="16"/>
        <v/>
      </c>
      <c r="V66" s="145">
        <f t="shared" si="16"/>
        <v>0</v>
      </c>
      <c r="W66" s="145" t="s">
        <v>208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41">
        <f>+(AG31*10)/AG$9</f>
        <v>0</v>
      </c>
      <c r="AH66" s="241">
        <v>0.7</v>
      </c>
      <c r="AI66" s="242">
        <f t="shared" si="11"/>
        <v>0.7</v>
      </c>
    </row>
    <row r="67" spans="1:37" s="91" customFormat="1" ht="18" x14ac:dyDescent="0.25">
      <c r="A67" s="149" t="s">
        <v>170</v>
      </c>
      <c r="B67" s="150">
        <f t="shared" ref="B67:X67" si="18">IF(B$9=0,"",+(B32*10)/B$9)</f>
        <v>0</v>
      </c>
      <c r="C67" s="150">
        <f t="shared" si="18"/>
        <v>0</v>
      </c>
      <c r="D67" s="150">
        <f t="shared" si="18"/>
        <v>0</v>
      </c>
      <c r="E67" s="150">
        <f t="shared" si="18"/>
        <v>0</v>
      </c>
      <c r="F67" s="150" t="str">
        <f t="shared" si="18"/>
        <v/>
      </c>
      <c r="G67" s="150" t="str">
        <f t="shared" si="18"/>
        <v/>
      </c>
      <c r="H67" s="150" t="str">
        <f t="shared" si="18"/>
        <v/>
      </c>
      <c r="I67" s="150">
        <f t="shared" si="18"/>
        <v>0</v>
      </c>
      <c r="J67" s="150">
        <f t="shared" si="18"/>
        <v>0</v>
      </c>
      <c r="K67" s="150">
        <f t="shared" si="18"/>
        <v>0</v>
      </c>
      <c r="L67" s="150">
        <f t="shared" si="18"/>
        <v>0</v>
      </c>
      <c r="M67" s="150" t="str">
        <f t="shared" si="18"/>
        <v/>
      </c>
      <c r="N67" s="150" t="str">
        <f t="shared" si="18"/>
        <v/>
      </c>
      <c r="O67" s="150">
        <f t="shared" si="17"/>
        <v>0</v>
      </c>
      <c r="P67" s="150">
        <f t="shared" si="17"/>
        <v>0</v>
      </c>
      <c r="Q67" s="150">
        <f t="shared" si="17"/>
        <v>0</v>
      </c>
      <c r="R67" s="150">
        <f t="shared" si="17"/>
        <v>3.4458756314567095E-2</v>
      </c>
      <c r="S67" s="150">
        <f t="shared" si="17"/>
        <v>0.74861506213505014</v>
      </c>
      <c r="T67" s="150" t="str">
        <f t="shared" si="18"/>
        <v/>
      </c>
      <c r="U67" s="150" t="str">
        <f t="shared" si="18"/>
        <v/>
      </c>
      <c r="V67" s="150">
        <f t="shared" si="18"/>
        <v>0</v>
      </c>
      <c r="W67" s="150">
        <f t="shared" si="18"/>
        <v>0</v>
      </c>
      <c r="X67" s="150">
        <f t="shared" si="18"/>
        <v>0</v>
      </c>
      <c r="Y67" s="150">
        <f t="shared" ref="Y67:AF67" si="19">IF(Y$9=0,"",+(Y32*10)/Y$9)</f>
        <v>0</v>
      </c>
      <c r="Z67" s="150">
        <f t="shared" si="19"/>
        <v>0</v>
      </c>
      <c r="AA67" s="150" t="str">
        <f t="shared" si="19"/>
        <v/>
      </c>
      <c r="AB67" s="150" t="str">
        <f t="shared" si="19"/>
        <v/>
      </c>
      <c r="AC67" s="150">
        <f t="shared" si="19"/>
        <v>0</v>
      </c>
      <c r="AD67" s="150" t="str">
        <f t="shared" si="19"/>
        <v/>
      </c>
      <c r="AE67" s="150" t="str">
        <f t="shared" si="19"/>
        <v/>
      </c>
      <c r="AF67" s="150" t="str">
        <f t="shared" si="19"/>
        <v/>
      </c>
      <c r="AG67" s="249">
        <f>+(AG32*10)/AG$9</f>
        <v>7.0502164416447577E-2</v>
      </c>
      <c r="AH67" s="249">
        <v>1</v>
      </c>
      <c r="AI67" s="250">
        <f>AH67-AG67</f>
        <v>0.92949783558355237</v>
      </c>
      <c r="AJ67" s="284"/>
      <c r="AK67" s="284"/>
    </row>
    <row r="68" spans="1:37" ht="18" x14ac:dyDescent="0.25">
      <c r="A68" s="121" t="s">
        <v>96</v>
      </c>
      <c r="B68" s="145">
        <f t="shared" ref="B68:X68" si="20">IF(B$9=0,"",+(B33*10)/B$9)</f>
        <v>1.6010830617572192</v>
      </c>
      <c r="C68" s="145">
        <f t="shared" si="20"/>
        <v>0.75083747256555378</v>
      </c>
      <c r="D68" s="145">
        <f t="shared" si="20"/>
        <v>1.2285616000786279</v>
      </c>
      <c r="E68" s="145">
        <f t="shared" si="20"/>
        <v>9.0348308305813436</v>
      </c>
      <c r="F68" s="145" t="str">
        <f t="shared" si="20"/>
        <v/>
      </c>
      <c r="G68" s="145" t="str">
        <f t="shared" si="20"/>
        <v/>
      </c>
      <c r="H68" s="145" t="str">
        <f t="shared" si="20"/>
        <v/>
      </c>
      <c r="I68" s="145">
        <f t="shared" si="20"/>
        <v>1.0325363682254141</v>
      </c>
      <c r="J68" s="145">
        <f t="shared" si="20"/>
        <v>0.89639202211100322</v>
      </c>
      <c r="K68" s="145">
        <f t="shared" si="20"/>
        <v>0.42197863298780725</v>
      </c>
      <c r="L68" s="145">
        <f t="shared" si="20"/>
        <v>1.0892264238818525</v>
      </c>
      <c r="M68" s="145" t="str">
        <f t="shared" si="20"/>
        <v/>
      </c>
      <c r="N68" s="145" t="str">
        <f t="shared" si="20"/>
        <v/>
      </c>
      <c r="O68" s="145">
        <f t="shared" si="17"/>
        <v>0</v>
      </c>
      <c r="P68" s="145">
        <f t="shared" si="17"/>
        <v>0</v>
      </c>
      <c r="Q68" s="145">
        <f t="shared" si="17"/>
        <v>1.3561160835367507</v>
      </c>
      <c r="R68" s="145">
        <f t="shared" si="17"/>
        <v>1.1371389583807141</v>
      </c>
      <c r="S68" s="145">
        <f t="shared" si="17"/>
        <v>0.74861506213505014</v>
      </c>
      <c r="T68" s="145" t="str">
        <f t="shared" si="20"/>
        <v/>
      </c>
      <c r="U68" s="145" t="str">
        <f t="shared" si="20"/>
        <v/>
      </c>
      <c r="V68" s="145">
        <f t="shared" si="20"/>
        <v>4.0018675381844862</v>
      </c>
      <c r="W68" s="145">
        <f t="shared" si="20"/>
        <v>1.1217264738391497</v>
      </c>
      <c r="X68" s="145">
        <f t="shared" si="20"/>
        <v>1.9987864510832707</v>
      </c>
      <c r="Y68" s="145">
        <f t="shared" ref="Y68:AF68" si="21">IF(Y$9=0,"",+(Y33*10)/Y$9)</f>
        <v>0.45077025367096019</v>
      </c>
      <c r="Z68" s="145">
        <f t="shared" si="21"/>
        <v>1.5208547203528384</v>
      </c>
      <c r="AA68" s="145" t="str">
        <f t="shared" si="21"/>
        <v/>
      </c>
      <c r="AB68" s="145" t="str">
        <f t="shared" si="21"/>
        <v/>
      </c>
      <c r="AC68" s="145">
        <f t="shared" si="21"/>
        <v>0</v>
      </c>
      <c r="AD68" s="145" t="str">
        <f t="shared" si="21"/>
        <v/>
      </c>
      <c r="AE68" s="145" t="str">
        <f t="shared" si="21"/>
        <v/>
      </c>
      <c r="AF68" s="145" t="str">
        <f t="shared" si="21"/>
        <v/>
      </c>
      <c r="AG68" s="241">
        <f>+(AG33*10)/AG$9</f>
        <v>1.1745360582569881</v>
      </c>
      <c r="AH68" s="241">
        <v>0.7</v>
      </c>
      <c r="AI68" s="242">
        <f t="shared" si="11"/>
        <v>-0.47453605825698819</v>
      </c>
    </row>
    <row r="69" spans="1:37" ht="18" x14ac:dyDescent="0.25">
      <c r="A69" s="121" t="s">
        <v>125</v>
      </c>
      <c r="B69" s="145">
        <f t="shared" ref="B69:X69" si="22">IF(B$9=0,"",+(B34*10)/B$9)</f>
        <v>2.8576292621236443</v>
      </c>
      <c r="C69" s="145">
        <f t="shared" si="22"/>
        <v>2.3872781179007352</v>
      </c>
      <c r="D69" s="145">
        <f t="shared" si="22"/>
        <v>2.6134855856218087</v>
      </c>
      <c r="E69" s="145">
        <f t="shared" si="22"/>
        <v>2.1808212349679104</v>
      </c>
      <c r="F69" s="145" t="str">
        <f t="shared" si="22"/>
        <v/>
      </c>
      <c r="G69" s="145" t="str">
        <f t="shared" si="22"/>
        <v/>
      </c>
      <c r="H69" s="145" t="str">
        <f t="shared" si="22"/>
        <v/>
      </c>
      <c r="I69" s="145">
        <f t="shared" si="22"/>
        <v>3.2123353678123996</v>
      </c>
      <c r="J69" s="145">
        <f t="shared" si="22"/>
        <v>2.5148776175892036</v>
      </c>
      <c r="K69" s="145">
        <f t="shared" si="22"/>
        <v>2.2588268001112035</v>
      </c>
      <c r="L69" s="145">
        <f t="shared" si="22"/>
        <v>2.5916076982016492</v>
      </c>
      <c r="M69" s="145" t="str">
        <f t="shared" si="22"/>
        <v/>
      </c>
      <c r="N69" s="145" t="str">
        <f t="shared" si="22"/>
        <v/>
      </c>
      <c r="O69" s="145">
        <f t="shared" si="17"/>
        <v>0</v>
      </c>
      <c r="P69" s="145">
        <f t="shared" si="17"/>
        <v>0</v>
      </c>
      <c r="Q69" s="145">
        <f t="shared" si="17"/>
        <v>0</v>
      </c>
      <c r="R69" s="145">
        <f t="shared" si="17"/>
        <v>0</v>
      </c>
      <c r="S69" s="145">
        <f t="shared" si="17"/>
        <v>0</v>
      </c>
      <c r="T69" s="145" t="str">
        <f t="shared" si="22"/>
        <v/>
      </c>
      <c r="U69" s="145" t="str">
        <f t="shared" si="22"/>
        <v/>
      </c>
      <c r="V69" s="145">
        <f t="shared" si="22"/>
        <v>3.723960070255008</v>
      </c>
      <c r="W69" s="145">
        <f t="shared" si="22"/>
        <v>2.7632774111647347</v>
      </c>
      <c r="X69" s="145">
        <f t="shared" si="22"/>
        <v>2.7483313702394971</v>
      </c>
      <c r="Y69" s="145">
        <f t="shared" ref="Y69:AF69" si="23">IF(Y$9=0,"",+(Y34*10)/Y$9)</f>
        <v>2.2538512683548011</v>
      </c>
      <c r="Z69" s="145">
        <f t="shared" si="23"/>
        <v>2.5094102885821834</v>
      </c>
      <c r="AA69" s="145" t="str">
        <f t="shared" si="23"/>
        <v/>
      </c>
      <c r="AB69" s="145" t="str">
        <f t="shared" si="23"/>
        <v/>
      </c>
      <c r="AC69" s="145">
        <f t="shared" si="23"/>
        <v>0</v>
      </c>
      <c r="AD69" s="145" t="str">
        <f t="shared" si="23"/>
        <v/>
      </c>
      <c r="AE69" s="145" t="str">
        <f t="shared" si="23"/>
        <v/>
      </c>
      <c r="AF69" s="145" t="str">
        <f t="shared" si="23"/>
        <v/>
      </c>
      <c r="AG69" s="241">
        <f>+(AG34*10)/AG$9</f>
        <v>2.0685635048996001</v>
      </c>
      <c r="AH69" s="241">
        <v>2.6</v>
      </c>
      <c r="AI69" s="242">
        <f t="shared" si="11"/>
        <v>0.53143649510040003</v>
      </c>
    </row>
    <row r="70" spans="1:37" ht="18.75" x14ac:dyDescent="0.3">
      <c r="A70" s="169" t="s">
        <v>97</v>
      </c>
      <c r="B70" s="170" t="str">
        <f>IF(B$86=0,"",+(B34*10)/B$86)</f>
        <v/>
      </c>
      <c r="C70" s="170" t="str">
        <f t="shared" ref="C70:X70" si="24">IF(C$86=0,"",+(C34*10)/C$86)</f>
        <v/>
      </c>
      <c r="D70" s="170" t="str">
        <f t="shared" si="24"/>
        <v/>
      </c>
      <c r="E70" s="170" t="str">
        <f t="shared" si="24"/>
        <v/>
      </c>
      <c r="F70" s="170" t="str">
        <f t="shared" si="24"/>
        <v/>
      </c>
      <c r="G70" s="170" t="str">
        <f t="shared" si="24"/>
        <v/>
      </c>
      <c r="H70" s="170" t="str">
        <f t="shared" si="24"/>
        <v/>
      </c>
      <c r="I70" s="170" t="str">
        <f t="shared" si="24"/>
        <v/>
      </c>
      <c r="J70" s="170" t="str">
        <f t="shared" si="24"/>
        <v/>
      </c>
      <c r="K70" s="170" t="str">
        <f t="shared" si="24"/>
        <v/>
      </c>
      <c r="L70" s="170" t="str">
        <f t="shared" si="24"/>
        <v/>
      </c>
      <c r="M70" s="170" t="str">
        <f t="shared" si="24"/>
        <v/>
      </c>
      <c r="N70" s="170" t="str">
        <f t="shared" si="24"/>
        <v/>
      </c>
      <c r="O70" s="170" t="str">
        <f>IF(O$86=0,"",+(O34*10)/O$86)</f>
        <v/>
      </c>
      <c r="P70" s="170" t="str">
        <f>IF(P$86=0,"",+(P34*10)/P$86)</f>
        <v/>
      </c>
      <c r="Q70" s="170" t="str">
        <f>IF(Q$86=0,"",+(Q34*10)/Q$86)</f>
        <v/>
      </c>
      <c r="R70" s="170" t="str">
        <f>IF(R$86=0,"",+(R34*10)/R$86)</f>
        <v/>
      </c>
      <c r="S70" s="170" t="str">
        <f>IF(S$86=0,"",+(S34*10)/S$86)</f>
        <v/>
      </c>
      <c r="T70" s="170" t="str">
        <f t="shared" si="24"/>
        <v/>
      </c>
      <c r="U70" s="170" t="str">
        <f t="shared" si="24"/>
        <v/>
      </c>
      <c r="V70" s="170" t="str">
        <f t="shared" si="24"/>
        <v/>
      </c>
      <c r="W70" s="170" t="str">
        <f t="shared" si="24"/>
        <v/>
      </c>
      <c r="X70" s="170" t="str">
        <f t="shared" si="24"/>
        <v/>
      </c>
      <c r="Y70" s="170" t="str">
        <f t="shared" ref="Y70:AF70" si="25">IF(Y$86=0,"",+(Y34*10)/Y$86)</f>
        <v/>
      </c>
      <c r="Z70" s="170" t="str">
        <f t="shared" si="25"/>
        <v/>
      </c>
      <c r="AA70" s="170" t="str">
        <f t="shared" si="25"/>
        <v/>
      </c>
      <c r="AB70" s="170" t="str">
        <f t="shared" si="25"/>
        <v/>
      </c>
      <c r="AC70" s="170" t="str">
        <f t="shared" si="25"/>
        <v/>
      </c>
      <c r="AD70" s="170" t="str">
        <f t="shared" si="25"/>
        <v/>
      </c>
      <c r="AE70" s="170" t="str">
        <f t="shared" si="25"/>
        <v/>
      </c>
      <c r="AF70" s="170" t="str">
        <f t="shared" si="25"/>
        <v/>
      </c>
      <c r="AG70" s="251"/>
      <c r="AH70" s="251">
        <v>2.6</v>
      </c>
      <c r="AI70" s="252">
        <f t="shared" si="11"/>
        <v>2.6</v>
      </c>
    </row>
    <row r="71" spans="1:37" ht="18" x14ac:dyDescent="0.25">
      <c r="A71" s="121" t="s">
        <v>166</v>
      </c>
      <c r="B71" s="145">
        <f t="shared" ref="B71:X71" si="26">IF(B$9=0,"",+(B35*10)/B$9)</f>
        <v>0.44587123238808635</v>
      </c>
      <c r="C71" s="145">
        <f t="shared" si="26"/>
        <v>0.48130607215740628</v>
      </c>
      <c r="D71" s="145">
        <f t="shared" si="26"/>
        <v>0.4914246400314512</v>
      </c>
      <c r="E71" s="145">
        <f t="shared" si="26"/>
        <v>0.83078904189253733</v>
      </c>
      <c r="F71" s="145" t="str">
        <f t="shared" si="26"/>
        <v/>
      </c>
      <c r="G71" s="145" t="str">
        <f t="shared" si="26"/>
        <v/>
      </c>
      <c r="H71" s="145" t="str">
        <f t="shared" si="26"/>
        <v/>
      </c>
      <c r="I71" s="145">
        <f t="shared" si="26"/>
        <v>0.57363131568078563</v>
      </c>
      <c r="J71" s="145">
        <f t="shared" si="26"/>
        <v>0.39839645427155695</v>
      </c>
      <c r="K71" s="145">
        <f t="shared" si="26"/>
        <v>0.39715636045911273</v>
      </c>
      <c r="L71" s="145">
        <f t="shared" si="26"/>
        <v>0.48827391415393395</v>
      </c>
      <c r="M71" s="145" t="str">
        <f t="shared" si="26"/>
        <v/>
      </c>
      <c r="N71" s="145" t="str">
        <f t="shared" si="26"/>
        <v/>
      </c>
      <c r="O71" s="145">
        <f t="shared" ref="O71:S75" si="27">IF(O$9=0,"",+(O35*10)/O$9)</f>
        <v>0.48202063048298466</v>
      </c>
      <c r="P71" s="145">
        <f t="shared" si="27"/>
        <v>0.48100048100048093</v>
      </c>
      <c r="Q71" s="145">
        <f t="shared" si="27"/>
        <v>0.49313312128609116</v>
      </c>
      <c r="R71" s="145">
        <f t="shared" si="27"/>
        <v>0.79255139523504314</v>
      </c>
      <c r="S71" s="145">
        <f t="shared" si="27"/>
        <v>0.40833548843730005</v>
      </c>
      <c r="T71" s="145" t="str">
        <f t="shared" si="26"/>
        <v/>
      </c>
      <c r="U71" s="145" t="str">
        <f t="shared" si="26"/>
        <v/>
      </c>
      <c r="V71" s="145">
        <f t="shared" si="26"/>
        <v>0.38907045510126947</v>
      </c>
      <c r="W71" s="145">
        <f t="shared" si="26"/>
        <v>0.68397955721899373</v>
      </c>
      <c r="X71" s="145">
        <f t="shared" si="26"/>
        <v>0.17846307598957775</v>
      </c>
      <c r="Y71" s="145">
        <f t="shared" ref="Y71:AF71" si="28">IF(Y$9=0,"",+(Y35*10)/Y$9)</f>
        <v>0.42259711281652518</v>
      </c>
      <c r="Z71" s="145">
        <f t="shared" si="28"/>
        <v>0.45625641610585149</v>
      </c>
      <c r="AA71" s="145" t="str">
        <f t="shared" si="28"/>
        <v/>
      </c>
      <c r="AB71" s="145" t="str">
        <f t="shared" si="28"/>
        <v/>
      </c>
      <c r="AC71" s="145">
        <f t="shared" si="28"/>
        <v>0</v>
      </c>
      <c r="AD71" s="145" t="str">
        <f t="shared" si="28"/>
        <v/>
      </c>
      <c r="AE71" s="145" t="str">
        <f t="shared" si="28"/>
        <v/>
      </c>
      <c r="AF71" s="145" t="str">
        <f t="shared" si="28"/>
        <v/>
      </c>
      <c r="AG71" s="241">
        <f>+(AG35*10)/AG$9</f>
        <v>0.49951533512078811</v>
      </c>
      <c r="AH71" s="241">
        <v>0.7</v>
      </c>
      <c r="AI71" s="242">
        <f>AH71-AG71</f>
        <v>0.20048466487921185</v>
      </c>
    </row>
    <row r="72" spans="1:37" ht="18" x14ac:dyDescent="0.25">
      <c r="A72" s="109" t="s">
        <v>124</v>
      </c>
      <c r="B72" s="145">
        <f t="shared" ref="B72:X72" si="29">IF(B$9=0,"",+(B36*10)/B$9)</f>
        <v>6.080062259837541E-2</v>
      </c>
      <c r="C72" s="145">
        <f t="shared" si="29"/>
        <v>1.9252242886296251E-2</v>
      </c>
      <c r="D72" s="145">
        <f t="shared" si="29"/>
        <v>6.7012450913379706E-2</v>
      </c>
      <c r="E72" s="145">
        <f t="shared" si="29"/>
        <v>0.10384863023656717</v>
      </c>
      <c r="F72" s="145" t="str">
        <f t="shared" si="29"/>
        <v/>
      </c>
      <c r="G72" s="145" t="str">
        <f t="shared" si="29"/>
        <v/>
      </c>
      <c r="H72" s="145" t="str">
        <f t="shared" si="29"/>
        <v/>
      </c>
      <c r="I72" s="145">
        <f t="shared" si="29"/>
        <v>0.68835757881694271</v>
      </c>
      <c r="J72" s="145">
        <f t="shared" si="29"/>
        <v>4.9799556783944619E-2</v>
      </c>
      <c r="K72" s="145">
        <f t="shared" si="29"/>
        <v>0.14893363517216726</v>
      </c>
      <c r="L72" s="145">
        <f t="shared" si="29"/>
        <v>7.5119063715989837E-2</v>
      </c>
      <c r="M72" s="145" t="str">
        <f t="shared" si="29"/>
        <v/>
      </c>
      <c r="N72" s="145" t="str">
        <f t="shared" si="29"/>
        <v/>
      </c>
      <c r="O72" s="145">
        <f t="shared" si="27"/>
        <v>0.10042096468395514</v>
      </c>
      <c r="P72" s="145">
        <f t="shared" si="27"/>
        <v>0.13268978786220165</v>
      </c>
      <c r="Q72" s="145">
        <f t="shared" si="27"/>
        <v>4.1094426773840932E-2</v>
      </c>
      <c r="R72" s="145">
        <f t="shared" si="27"/>
        <v>0.10337626894370129</v>
      </c>
      <c r="S72" s="145">
        <f t="shared" si="27"/>
        <v>2.2685304913183338E-2</v>
      </c>
      <c r="T72" s="145" t="str">
        <f t="shared" si="29"/>
        <v/>
      </c>
      <c r="U72" s="145" t="str">
        <f t="shared" si="29"/>
        <v/>
      </c>
      <c r="V72" s="145">
        <f t="shared" si="29"/>
        <v>5.558149358589564E-2</v>
      </c>
      <c r="W72" s="145">
        <f t="shared" si="29"/>
        <v>2.7359182288759751E-2</v>
      </c>
      <c r="X72" s="145">
        <f t="shared" si="29"/>
        <v>3.5692615197915549E-2</v>
      </c>
      <c r="Y72" s="145">
        <f t="shared" ref="Y72:AF72" si="30">IF(Y$9=0,"",+(Y36*10)/Y$9)</f>
        <v>8.4519422563305038E-2</v>
      </c>
      <c r="Z72" s="145">
        <f t="shared" si="30"/>
        <v>3.8021368008820958E-2</v>
      </c>
      <c r="AA72" s="145" t="str">
        <f t="shared" si="30"/>
        <v/>
      </c>
      <c r="AB72" s="145" t="str">
        <f t="shared" si="30"/>
        <v/>
      </c>
      <c r="AC72" s="145">
        <f t="shared" si="30"/>
        <v>0</v>
      </c>
      <c r="AD72" s="145" t="str">
        <f t="shared" si="30"/>
        <v/>
      </c>
      <c r="AE72" s="145" t="str">
        <f t="shared" si="30"/>
        <v/>
      </c>
      <c r="AF72" s="145" t="str">
        <f t="shared" si="30"/>
        <v/>
      </c>
      <c r="AG72" s="241">
        <f>+(AG36*10)/AG$9</f>
        <v>9.3002855187654249E-2</v>
      </c>
      <c r="AH72" s="241">
        <v>0.1</v>
      </c>
      <c r="AI72" s="242">
        <f>AH72-AG72</f>
        <v>6.9971448123457569E-3</v>
      </c>
    </row>
    <row r="73" spans="1:37" ht="18" x14ac:dyDescent="0.25">
      <c r="A73" s="121" t="s">
        <v>126</v>
      </c>
      <c r="B73" s="145">
        <f t="shared" ref="B73:X73" si="31">IF(B$9=0,"",+(B37*10)/B$9)</f>
        <v>0.46613810658754479</v>
      </c>
      <c r="C73" s="145">
        <f t="shared" si="31"/>
        <v>0.36579261483962877</v>
      </c>
      <c r="D73" s="145">
        <f t="shared" si="31"/>
        <v>0.46908715639365794</v>
      </c>
      <c r="E73" s="145">
        <f t="shared" si="31"/>
        <v>1.246183562838806</v>
      </c>
      <c r="F73" s="145" t="str">
        <f t="shared" si="31"/>
        <v/>
      </c>
      <c r="G73" s="145" t="str">
        <f t="shared" si="31"/>
        <v/>
      </c>
      <c r="H73" s="145" t="str">
        <f t="shared" si="31"/>
        <v/>
      </c>
      <c r="I73" s="145">
        <f t="shared" si="31"/>
        <v>1.2619888944977282</v>
      </c>
      <c r="J73" s="145">
        <f t="shared" si="31"/>
        <v>0.67229401658325239</v>
      </c>
      <c r="K73" s="145">
        <f t="shared" si="31"/>
        <v>0.44680090551650181</v>
      </c>
      <c r="L73" s="145">
        <f t="shared" si="31"/>
        <v>0.63851204158591357</v>
      </c>
      <c r="M73" s="145" t="str">
        <f t="shared" si="31"/>
        <v/>
      </c>
      <c r="N73" s="145" t="str">
        <f t="shared" si="31"/>
        <v/>
      </c>
      <c r="O73" s="145">
        <f t="shared" si="27"/>
        <v>4.0168385873582055E-2</v>
      </c>
      <c r="P73" s="145">
        <f t="shared" si="27"/>
        <v>0.4146555870693801</v>
      </c>
      <c r="Q73" s="145">
        <f t="shared" si="27"/>
        <v>0.82188853547681862</v>
      </c>
      <c r="R73" s="145">
        <f t="shared" si="27"/>
        <v>0.68917512629134192</v>
      </c>
      <c r="S73" s="145">
        <f t="shared" si="27"/>
        <v>0.34027957369775008</v>
      </c>
      <c r="T73" s="145" t="str">
        <f t="shared" si="31"/>
        <v/>
      </c>
      <c r="U73" s="145" t="str">
        <f t="shared" si="31"/>
        <v/>
      </c>
      <c r="V73" s="145">
        <f t="shared" si="31"/>
        <v>1.0560483781320171</v>
      </c>
      <c r="W73" s="145">
        <f t="shared" si="31"/>
        <v>0.46510609890891574</v>
      </c>
      <c r="X73" s="145">
        <f t="shared" si="31"/>
        <v>0.53538922796873323</v>
      </c>
      <c r="Y73" s="145">
        <f t="shared" ref="Y73:AF73" si="32">IF(Y$9=0,"",+(Y37*10)/Y$9)</f>
        <v>0.45077025367096019</v>
      </c>
      <c r="Z73" s="145">
        <f t="shared" si="32"/>
        <v>0.87449146420288204</v>
      </c>
      <c r="AA73" s="145" t="str">
        <f t="shared" si="32"/>
        <v/>
      </c>
      <c r="AB73" s="145" t="str">
        <f t="shared" si="32"/>
        <v/>
      </c>
      <c r="AC73" s="145">
        <f t="shared" si="32"/>
        <v>0</v>
      </c>
      <c r="AD73" s="145" t="str">
        <f t="shared" si="32"/>
        <v/>
      </c>
      <c r="AE73" s="145" t="str">
        <f t="shared" si="32"/>
        <v/>
      </c>
      <c r="AF73" s="145" t="str">
        <f t="shared" si="32"/>
        <v/>
      </c>
      <c r="AG73" s="241">
        <f>+(AG37*10)/AG$9</f>
        <v>0.58351791399995967</v>
      </c>
      <c r="AH73" s="241">
        <v>0.6</v>
      </c>
      <c r="AI73" s="242">
        <f t="shared" si="11"/>
        <v>1.6482086000040308E-2</v>
      </c>
    </row>
    <row r="74" spans="1:37" s="91" customFormat="1" ht="18" x14ac:dyDescent="0.25">
      <c r="A74" s="149" t="s">
        <v>163</v>
      </c>
      <c r="B74" s="150">
        <f t="shared" ref="B74:X74" si="33">IF(B$9=0,"",+(B38*10)/B$9)</f>
        <v>0</v>
      </c>
      <c r="C74" s="150">
        <f t="shared" si="33"/>
        <v>0</v>
      </c>
      <c r="D74" s="150">
        <f t="shared" si="33"/>
        <v>0</v>
      </c>
      <c r="E74" s="150">
        <f t="shared" si="33"/>
        <v>0</v>
      </c>
      <c r="F74" s="150" t="str">
        <f t="shared" si="33"/>
        <v/>
      </c>
      <c r="G74" s="150" t="str">
        <f t="shared" si="33"/>
        <v/>
      </c>
      <c r="H74" s="150" t="str">
        <f t="shared" si="33"/>
        <v/>
      </c>
      <c r="I74" s="150">
        <f t="shared" si="33"/>
        <v>0</v>
      </c>
      <c r="J74" s="150">
        <f t="shared" si="33"/>
        <v>0</v>
      </c>
      <c r="K74" s="150">
        <f t="shared" si="33"/>
        <v>0</v>
      </c>
      <c r="L74" s="150">
        <f t="shared" si="33"/>
        <v>0</v>
      </c>
      <c r="M74" s="150" t="str">
        <f t="shared" si="33"/>
        <v/>
      </c>
      <c r="N74" s="150" t="str">
        <f t="shared" si="33"/>
        <v/>
      </c>
      <c r="O74" s="150">
        <f t="shared" si="27"/>
        <v>0</v>
      </c>
      <c r="P74" s="150">
        <f t="shared" si="27"/>
        <v>0</v>
      </c>
      <c r="Q74" s="150">
        <f t="shared" si="27"/>
        <v>0</v>
      </c>
      <c r="R74" s="150">
        <f t="shared" si="27"/>
        <v>0</v>
      </c>
      <c r="S74" s="150">
        <f t="shared" si="27"/>
        <v>0</v>
      </c>
      <c r="T74" s="150" t="str">
        <f t="shared" si="33"/>
        <v/>
      </c>
      <c r="U74" s="150" t="str">
        <f t="shared" si="33"/>
        <v/>
      </c>
      <c r="V74" s="150">
        <f t="shared" si="33"/>
        <v>0</v>
      </c>
      <c r="W74" s="150">
        <f t="shared" si="33"/>
        <v>0</v>
      </c>
      <c r="X74" s="150">
        <f t="shared" si="33"/>
        <v>0</v>
      </c>
      <c r="Y74" s="150">
        <f t="shared" ref="Y74:AF74" si="34">IF(Y$9=0,"",+(Y38*10)/Y$9)</f>
        <v>0</v>
      </c>
      <c r="Z74" s="150">
        <f t="shared" si="34"/>
        <v>0</v>
      </c>
      <c r="AA74" s="150" t="str">
        <f t="shared" si="34"/>
        <v/>
      </c>
      <c r="AB74" s="150" t="str">
        <f t="shared" si="34"/>
        <v/>
      </c>
      <c r="AC74" s="150">
        <f t="shared" si="34"/>
        <v>0</v>
      </c>
      <c r="AD74" s="150" t="str">
        <f t="shared" si="34"/>
        <v/>
      </c>
      <c r="AE74" s="150" t="str">
        <f t="shared" si="34"/>
        <v/>
      </c>
      <c r="AF74" s="150" t="str">
        <f t="shared" si="34"/>
        <v/>
      </c>
      <c r="AG74" s="249">
        <f>+(AG38*10)/AG$9</f>
        <v>0</v>
      </c>
      <c r="AH74" s="249">
        <v>0.5</v>
      </c>
      <c r="AI74" s="250">
        <f t="shared" si="11"/>
        <v>0.5</v>
      </c>
      <c r="AJ74" s="284"/>
      <c r="AK74" s="284"/>
    </row>
    <row r="75" spans="1:37" ht="18" x14ac:dyDescent="0.25">
      <c r="A75" s="121" t="s">
        <v>198</v>
      </c>
      <c r="B75" s="145">
        <f t="shared" ref="B75:X75" si="35">IF(B$9=0,"",+(B39*10)/B$9)</f>
        <v>0</v>
      </c>
      <c r="C75" s="145">
        <f t="shared" si="35"/>
        <v>0</v>
      </c>
      <c r="D75" s="145">
        <f t="shared" si="35"/>
        <v>0</v>
      </c>
      <c r="E75" s="145">
        <f t="shared" si="35"/>
        <v>0</v>
      </c>
      <c r="F75" s="145" t="str">
        <f t="shared" si="35"/>
        <v/>
      </c>
      <c r="G75" s="145" t="str">
        <f t="shared" si="35"/>
        <v/>
      </c>
      <c r="H75" s="145" t="str">
        <f t="shared" si="35"/>
        <v/>
      </c>
      <c r="I75" s="145">
        <f t="shared" si="35"/>
        <v>0</v>
      </c>
      <c r="J75" s="145">
        <f t="shared" si="35"/>
        <v>0</v>
      </c>
      <c r="K75" s="145">
        <f t="shared" si="35"/>
        <v>0</v>
      </c>
      <c r="L75" s="145">
        <f t="shared" si="35"/>
        <v>0</v>
      </c>
      <c r="M75" s="145" t="str">
        <f t="shared" si="35"/>
        <v/>
      </c>
      <c r="N75" s="145" t="str">
        <f t="shared" si="35"/>
        <v/>
      </c>
      <c r="O75" s="145">
        <f t="shared" si="27"/>
        <v>0</v>
      </c>
      <c r="P75" s="145">
        <f t="shared" si="27"/>
        <v>0</v>
      </c>
      <c r="Q75" s="145">
        <f t="shared" si="27"/>
        <v>0</v>
      </c>
      <c r="R75" s="145">
        <f t="shared" si="27"/>
        <v>0</v>
      </c>
      <c r="S75" s="145">
        <f t="shared" si="27"/>
        <v>0</v>
      </c>
      <c r="T75" s="145" t="str">
        <f t="shared" si="35"/>
        <v/>
      </c>
      <c r="U75" s="145" t="str">
        <f t="shared" si="35"/>
        <v/>
      </c>
      <c r="V75" s="145">
        <f t="shared" si="35"/>
        <v>0</v>
      </c>
      <c r="W75" s="145">
        <f t="shared" si="35"/>
        <v>0</v>
      </c>
      <c r="X75" s="145">
        <f t="shared" si="35"/>
        <v>0</v>
      </c>
      <c r="Y75" s="145">
        <f t="shared" ref="Y75:AF75" si="36">IF(Y$9=0,"",+(Y39*10)/Y$9)</f>
        <v>0</v>
      </c>
      <c r="Z75" s="145">
        <f t="shared" si="36"/>
        <v>0</v>
      </c>
      <c r="AA75" s="145" t="str">
        <f t="shared" si="36"/>
        <v/>
      </c>
      <c r="AB75" s="145" t="str">
        <f t="shared" si="36"/>
        <v/>
      </c>
      <c r="AC75" s="145">
        <f t="shared" si="36"/>
        <v>0</v>
      </c>
      <c r="AD75" s="145" t="str">
        <f t="shared" si="36"/>
        <v/>
      </c>
      <c r="AE75" s="145" t="str">
        <f t="shared" si="36"/>
        <v/>
      </c>
      <c r="AF75" s="145" t="str">
        <f t="shared" si="36"/>
        <v/>
      </c>
      <c r="AG75" s="241">
        <f>+(AG39*10)/AG$9</f>
        <v>0</v>
      </c>
      <c r="AH75" s="241">
        <v>0.3</v>
      </c>
      <c r="AI75" s="242">
        <f t="shared" si="11"/>
        <v>0.3</v>
      </c>
    </row>
    <row r="76" spans="1:37" s="91" customFormat="1" ht="18" x14ac:dyDescent="0.25">
      <c r="A76" s="149" t="s">
        <v>184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49"/>
      <c r="AH76" s="249">
        <v>0.4</v>
      </c>
      <c r="AI76" s="250">
        <f t="shared" si="11"/>
        <v>0.4</v>
      </c>
      <c r="AJ76" s="284"/>
      <c r="AK76" s="284"/>
    </row>
    <row r="77" spans="1:37" s="91" customFormat="1" ht="18" x14ac:dyDescent="0.25">
      <c r="A77" s="149" t="s">
        <v>197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49"/>
      <c r="AH77" s="249">
        <v>0.2</v>
      </c>
      <c r="AI77" s="250">
        <f t="shared" si="11"/>
        <v>0.2</v>
      </c>
      <c r="AJ77" s="284"/>
      <c r="AK77" s="284"/>
    </row>
    <row r="78" spans="1:37" s="1" customFormat="1" ht="18" x14ac:dyDescent="0.25">
      <c r="A78" s="151" t="s">
        <v>193</v>
      </c>
      <c r="B78" s="152">
        <f t="shared" ref="B78:AH78" si="37">SUM(B62:B77)</f>
        <v>12.001703943578018</v>
      </c>
      <c r="C78" s="152">
        <f t="shared" si="37"/>
        <v>11.496715877466839</v>
      </c>
      <c r="D78" s="152">
        <f t="shared" si="37"/>
        <v>11.750004326488561</v>
      </c>
      <c r="E78" s="152">
        <f t="shared" si="37"/>
        <v>34.525803915775185</v>
      </c>
      <c r="F78" s="152">
        <f t="shared" si="37"/>
        <v>0</v>
      </c>
      <c r="G78" s="152">
        <f t="shared" si="37"/>
        <v>0</v>
      </c>
      <c r="H78" s="152">
        <f t="shared" si="37"/>
        <v>4.1010862336510749</v>
      </c>
      <c r="I78" s="152">
        <f t="shared" si="37"/>
        <v>14.950829131498104</v>
      </c>
      <c r="J78" s="152">
        <f t="shared" si="37"/>
        <v>14.970822982023732</v>
      </c>
      <c r="K78" s="152">
        <f t="shared" si="37"/>
        <v>9.7034885392999897</v>
      </c>
      <c r="L78" s="152">
        <f t="shared" si="37"/>
        <v>10.178633133516623</v>
      </c>
      <c r="M78" s="152">
        <f t="shared" si="37"/>
        <v>0</v>
      </c>
      <c r="N78" s="152">
        <f>SUM(N62:N77)</f>
        <v>0</v>
      </c>
      <c r="O78" s="152">
        <f t="shared" si="37"/>
        <v>5.200123445786625</v>
      </c>
      <c r="P78" s="152">
        <f t="shared" si="37"/>
        <v>7.6665207079000179</v>
      </c>
      <c r="Q78" s="152">
        <f t="shared" si="37"/>
        <v>14.177915758488064</v>
      </c>
      <c r="R78" s="152">
        <f t="shared" si="37"/>
        <v>11.077488713932397</v>
      </c>
      <c r="S78" s="152">
        <f t="shared" si="37"/>
        <v>24.068310982636667</v>
      </c>
      <c r="T78" s="152">
        <f t="shared" si="37"/>
        <v>0</v>
      </c>
      <c r="U78" s="152">
        <f t="shared" si="37"/>
        <v>0</v>
      </c>
      <c r="V78" s="152">
        <f t="shared" si="37"/>
        <v>22.027737424755649</v>
      </c>
      <c r="W78" s="152">
        <f>SUM(W62:W77)</f>
        <v>11.379724413366679</v>
      </c>
      <c r="X78" s="152">
        <f>SUM(X62:X77)</f>
        <v>11.493022093728806</v>
      </c>
      <c r="Y78" s="152">
        <f t="shared" si="37"/>
        <v>7.8321331575329349</v>
      </c>
      <c r="Z78" s="152">
        <f t="shared" si="37"/>
        <v>8.1745941218965079</v>
      </c>
      <c r="AA78" s="152">
        <f t="shared" si="37"/>
        <v>0</v>
      </c>
      <c r="AB78" s="152">
        <f t="shared" si="37"/>
        <v>0</v>
      </c>
      <c r="AC78" s="152">
        <f t="shared" si="37"/>
        <v>0</v>
      </c>
      <c r="AD78" s="152">
        <f>SUM(AD62:AD77)</f>
        <v>0</v>
      </c>
      <c r="AE78" s="152">
        <f>SUM(AE62:AE77)</f>
        <v>0</v>
      </c>
      <c r="AF78" s="152">
        <f>SUM(AF62:AF77)</f>
        <v>0</v>
      </c>
      <c r="AG78" s="253">
        <f>SUM(AG62:AG77)</f>
        <v>13.939700361423549</v>
      </c>
      <c r="AH78" s="253">
        <f t="shared" si="37"/>
        <v>15.599999999999998</v>
      </c>
      <c r="AI78" s="253">
        <f t="shared" si="11"/>
        <v>1.6602996385764488</v>
      </c>
      <c r="AJ78" s="210"/>
      <c r="AK78" s="210"/>
    </row>
    <row r="79" spans="1:37" s="89" customFormat="1" ht="19.5" thickBot="1" x14ac:dyDescent="0.35">
      <c r="A79" s="153" t="s">
        <v>200</v>
      </c>
      <c r="B79" s="154">
        <f>SUM(B69:B72)</f>
        <v>3.3643011171101063</v>
      </c>
      <c r="C79" s="154">
        <f t="shared" ref="C79:AI79" si="38">SUM(C69:C72)</f>
        <v>2.8878364329444377</v>
      </c>
      <c r="D79" s="154">
        <f>SUM(D69:D72)</f>
        <v>3.1719226765666395</v>
      </c>
      <c r="E79" s="154">
        <f t="shared" si="38"/>
        <v>3.1154589070970147</v>
      </c>
      <c r="F79" s="154">
        <f t="shared" si="38"/>
        <v>0</v>
      </c>
      <c r="G79" s="154">
        <f t="shared" si="38"/>
        <v>0</v>
      </c>
      <c r="H79" s="154">
        <f t="shared" si="38"/>
        <v>0</v>
      </c>
      <c r="I79" s="154">
        <f t="shared" si="38"/>
        <v>4.4743242623101285</v>
      </c>
      <c r="J79" s="154">
        <f t="shared" si="38"/>
        <v>2.9630736286447048</v>
      </c>
      <c r="K79" s="154">
        <f t="shared" si="38"/>
        <v>2.8049167957424834</v>
      </c>
      <c r="L79" s="154">
        <f t="shared" si="38"/>
        <v>3.1550006760715728</v>
      </c>
      <c r="M79" s="154">
        <f>SUM(M69:M72)</f>
        <v>0</v>
      </c>
      <c r="N79" s="154">
        <f t="shared" si="38"/>
        <v>0</v>
      </c>
      <c r="O79" s="154">
        <f t="shared" si="38"/>
        <v>0.58244159516693983</v>
      </c>
      <c r="P79" s="154">
        <f t="shared" si="38"/>
        <v>0.61369026886268263</v>
      </c>
      <c r="Q79" s="154">
        <f t="shared" si="38"/>
        <v>0.53422754805993211</v>
      </c>
      <c r="R79" s="154">
        <f t="shared" si="38"/>
        <v>0.89592766417874448</v>
      </c>
      <c r="S79" s="154">
        <f t="shared" si="38"/>
        <v>0.43102079335048338</v>
      </c>
      <c r="T79" s="154">
        <f t="shared" si="38"/>
        <v>0</v>
      </c>
      <c r="U79" s="154">
        <f t="shared" si="38"/>
        <v>0</v>
      </c>
      <c r="V79" s="154">
        <f t="shared" si="38"/>
        <v>4.1686120189421736</v>
      </c>
      <c r="W79" s="154">
        <f t="shared" si="38"/>
        <v>3.474616150672488</v>
      </c>
      <c r="X79" s="154">
        <f t="shared" si="38"/>
        <v>2.96248706142699</v>
      </c>
      <c r="Y79" s="154">
        <f t="shared" si="38"/>
        <v>2.7609678037346312</v>
      </c>
      <c r="Z79" s="154">
        <f t="shared" si="38"/>
        <v>3.0036880726968556</v>
      </c>
      <c r="AA79" s="154">
        <f t="shared" si="38"/>
        <v>0</v>
      </c>
      <c r="AB79" s="154">
        <f t="shared" si="38"/>
        <v>0</v>
      </c>
      <c r="AC79" s="154">
        <f t="shared" si="38"/>
        <v>0</v>
      </c>
      <c r="AD79" s="154">
        <f>SUM(AD69:AD72)</f>
        <v>0</v>
      </c>
      <c r="AE79" s="154">
        <f>SUM(AE69:AE72)</f>
        <v>0</v>
      </c>
      <c r="AF79" s="154">
        <f>SUM(AF69:AF72)</f>
        <v>0</v>
      </c>
      <c r="AG79" s="254">
        <f t="shared" si="38"/>
        <v>2.6610816952080425</v>
      </c>
      <c r="AH79" s="254">
        <f t="shared" si="38"/>
        <v>6</v>
      </c>
      <c r="AI79" s="254">
        <f t="shared" si="38"/>
        <v>3.3389183047919579</v>
      </c>
      <c r="AJ79" s="285"/>
      <c r="AK79" s="285"/>
    </row>
    <row r="80" spans="1:37" s="78" customFormat="1" ht="20.25" x14ac:dyDescent="0.3">
      <c r="A80" s="137" t="s">
        <v>194</v>
      </c>
      <c r="B80" s="155">
        <f t="shared" ref="B80:W80" si="39">IF(B$9=0,"",+B47/B$9)</f>
        <v>5.5300800946868458</v>
      </c>
      <c r="C80" s="155">
        <f>IF(C$9=0,"",+C47/C$9)</f>
        <v>5.5319972276771221</v>
      </c>
      <c r="D80" s="155">
        <f t="shared" si="39"/>
        <v>4.9275148655952359</v>
      </c>
      <c r="E80" s="155">
        <f t="shared" si="39"/>
        <v>3.2574199846308374</v>
      </c>
      <c r="F80" s="155" t="str">
        <f t="shared" si="39"/>
        <v/>
      </c>
      <c r="G80" s="155" t="str">
        <f t="shared" si="39"/>
        <v/>
      </c>
      <c r="H80" s="155" t="str">
        <f t="shared" si="39"/>
        <v/>
      </c>
      <c r="I80" s="155">
        <f t="shared" si="39"/>
        <v>5.5023098220980211</v>
      </c>
      <c r="J80" s="155">
        <f t="shared" si="39"/>
        <v>4.5287716939317502</v>
      </c>
      <c r="K80" s="155">
        <f t="shared" si="39"/>
        <v>4.9564369117121867</v>
      </c>
      <c r="L80" s="155">
        <f t="shared" si="39"/>
        <v>5.9267814485959187</v>
      </c>
      <c r="M80" s="155" t="str">
        <f t="shared" si="39"/>
        <v/>
      </c>
      <c r="N80" s="155" t="str">
        <f t="shared" si="39"/>
        <v/>
      </c>
      <c r="O80" s="155">
        <f t="shared" si="39"/>
        <v>4.1949652945144926</v>
      </c>
      <c r="P80" s="155">
        <f t="shared" si="39"/>
        <v>6.3263007745765432</v>
      </c>
      <c r="Q80" s="155">
        <f t="shared" si="39"/>
        <v>6.8214282778972004</v>
      </c>
      <c r="R80" s="155">
        <f t="shared" si="39"/>
        <v>8.247255360059528</v>
      </c>
      <c r="S80" s="155">
        <f t="shared" si="39"/>
        <v>0.4086757680109846</v>
      </c>
      <c r="T80" s="155" t="str">
        <f t="shared" si="39"/>
        <v/>
      </c>
      <c r="U80" s="155" t="str">
        <f t="shared" si="39"/>
        <v/>
      </c>
      <c r="V80" s="155">
        <f t="shared" si="39"/>
        <v>2.9291447119767002</v>
      </c>
      <c r="W80" s="155">
        <f t="shared" si="39"/>
        <v>0.72228241242325741</v>
      </c>
      <c r="X80" s="155">
        <f>IF(X$9=0,"",+X47/X$9)</f>
        <v>0.83520719563122381</v>
      </c>
      <c r="Y80" s="155">
        <f>IF(Y$9=0,"",+Y47/Y$9)</f>
        <v>0</v>
      </c>
      <c r="Z80" s="155">
        <f>IF(Z$9=0,"",+Z47/Z$9)</f>
        <v>0.3802136800882096</v>
      </c>
      <c r="AA80" s="155" t="str">
        <f t="shared" ref="AA80:AF80" si="40">IF(AA$9=0,"",+AA47/AA$9)</f>
        <v/>
      </c>
      <c r="AB80" s="155" t="str">
        <f t="shared" si="40"/>
        <v/>
      </c>
      <c r="AC80" s="155">
        <f t="shared" si="40"/>
        <v>0.77303648732220154</v>
      </c>
      <c r="AD80" s="155" t="str">
        <f t="shared" si="40"/>
        <v/>
      </c>
      <c r="AE80" s="155" t="str">
        <f t="shared" si="40"/>
        <v/>
      </c>
      <c r="AF80" s="155" t="str">
        <f t="shared" si="40"/>
        <v/>
      </c>
      <c r="AG80" s="255" t="e">
        <f>+(AG47)/AG$9</f>
        <v>#REF!</v>
      </c>
      <c r="AH80" s="256">
        <f>'Daily KPIs'!AI92</f>
        <v>5</v>
      </c>
      <c r="AI80" s="286" t="e">
        <f>AH80-AG80</f>
        <v>#REF!</v>
      </c>
      <c r="AJ80" s="270"/>
      <c r="AK80" s="270"/>
    </row>
    <row r="81" spans="1:37" s="1" customFormat="1" ht="20.25" x14ac:dyDescent="0.3">
      <c r="A81" s="156" t="s">
        <v>195</v>
      </c>
      <c r="B81" s="157">
        <f t="shared" ref="B81:Z81" si="41">IF(B$9=0,"",+B49/B$9)</f>
        <v>0.59637304019328374</v>
      </c>
      <c r="C81" s="157">
        <f>IF(C$9=0,"",+C49/C$9)</f>
        <v>0.59133264025257815</v>
      </c>
      <c r="D81" s="157">
        <f>IF(D$9=0,"",+D49/D$9)</f>
        <v>0.59743833737643215</v>
      </c>
      <c r="E81" s="157">
        <f t="shared" si="41"/>
        <v>0.44966456892421491</v>
      </c>
      <c r="F81" s="157" t="str">
        <f t="shared" si="41"/>
        <v/>
      </c>
      <c r="G81" s="157" t="str">
        <f t="shared" si="41"/>
        <v/>
      </c>
      <c r="H81" s="157" t="str">
        <f t="shared" si="41"/>
        <v/>
      </c>
      <c r="I81" s="157">
        <f t="shared" si="41"/>
        <v>0.54452908693196722</v>
      </c>
      <c r="J81" s="157">
        <f t="shared" si="41"/>
        <v>0.55504096013542725</v>
      </c>
      <c r="K81" s="157">
        <f t="shared" si="41"/>
        <v>0.54467512609716318</v>
      </c>
      <c r="L81" s="157">
        <f t="shared" si="41"/>
        <v>0.61342227430474461</v>
      </c>
      <c r="M81" s="157" t="str">
        <f t="shared" si="41"/>
        <v/>
      </c>
      <c r="N81" s="157" t="str">
        <f t="shared" si="41"/>
        <v/>
      </c>
      <c r="O81" s="157">
        <f>IF(O$9=0,"",+O49/O$9)</f>
        <v>0.54536617500564</v>
      </c>
      <c r="P81" s="157">
        <f>IF(P$9=0,"",+P49/P$9)</f>
        <v>0.61335854439303195</v>
      </c>
      <c r="Q81" s="157">
        <f>IF(Q$9=0,"",+Q49/Q$9)</f>
        <v>0.5723631761060517</v>
      </c>
      <c r="R81" s="157">
        <f>IF(R$9=0,"",+R49/R$9)</f>
        <v>0.62077449500690618</v>
      </c>
      <c r="S81" s="157">
        <f>IF(S$9=0,"",+S49/S$9)</f>
        <v>0.59866519665889506</v>
      </c>
      <c r="T81" s="157" t="str">
        <f t="shared" si="41"/>
        <v/>
      </c>
      <c r="U81" s="157" t="str">
        <f t="shared" si="41"/>
        <v/>
      </c>
      <c r="V81" s="157">
        <f>IF(V$9=0,"",+V49/V$9)</f>
        <v>0.54403165921877239</v>
      </c>
      <c r="W81" s="157">
        <f t="shared" si="41"/>
        <v>0.59413200258271626</v>
      </c>
      <c r="X81" s="157">
        <f t="shared" si="41"/>
        <v>0.62076596352214097</v>
      </c>
      <c r="Y81" s="157">
        <f t="shared" si="41"/>
        <v>0.55453193143784929</v>
      </c>
      <c r="Z81" s="157">
        <f t="shared" si="41"/>
        <v>0.5700923919242703</v>
      </c>
      <c r="AA81" s="157" t="str">
        <f t="shared" ref="AA81:AF81" si="42">IF(AA$9=0,"",+AA49/AA$9)</f>
        <v/>
      </c>
      <c r="AB81" s="157" t="str">
        <f t="shared" si="42"/>
        <v/>
      </c>
      <c r="AC81" s="157">
        <f t="shared" si="42"/>
        <v>0</v>
      </c>
      <c r="AD81" s="157" t="str">
        <f t="shared" si="42"/>
        <v/>
      </c>
      <c r="AE81" s="157" t="str">
        <f t="shared" si="42"/>
        <v/>
      </c>
      <c r="AF81" s="157" t="str">
        <f t="shared" si="42"/>
        <v/>
      </c>
      <c r="AG81" s="287">
        <f>IF(AG$9=0,"",+AG49/AG$9)</f>
        <v>0.55811013398111464</v>
      </c>
      <c r="AH81" s="287">
        <f>'Daily KPIs'!AI93</f>
        <v>1.7</v>
      </c>
      <c r="AI81" s="286">
        <f>AH81-AG81</f>
        <v>1.1418898660188854</v>
      </c>
      <c r="AJ81" s="210"/>
      <c r="AK81" s="210"/>
    </row>
    <row r="82" spans="1:37" s="78" customFormat="1" ht="20.25" x14ac:dyDescent="0.3">
      <c r="A82" s="137" t="s">
        <v>186</v>
      </c>
      <c r="B82" s="144">
        <f>IF(B$9=0,"",B52/B$9)</f>
        <v>17.703114613226973</v>
      </c>
      <c r="C82" s="144">
        <f t="shared" ref="C82:Y82" si="43">IF(C$9=0,"",C52/C$9)</f>
        <v>16.245042547456777</v>
      </c>
      <c r="D82" s="144">
        <f t="shared" si="43"/>
        <v>19.42020827469744</v>
      </c>
      <c r="E82" s="144">
        <f t="shared" si="43"/>
        <v>58.975637111346494</v>
      </c>
      <c r="F82" s="144" t="str">
        <f t="shared" si="43"/>
        <v/>
      </c>
      <c r="G82" s="144" t="str">
        <f t="shared" si="43"/>
        <v/>
      </c>
      <c r="H82" s="144" t="str">
        <f t="shared" si="43"/>
        <v/>
      </c>
      <c r="I82" s="144">
        <f t="shared" si="43"/>
        <v>25.446285163599651</v>
      </c>
      <c r="J82" s="144">
        <f t="shared" si="43"/>
        <v>20.851074425437613</v>
      </c>
      <c r="K82" s="144">
        <f t="shared" si="43"/>
        <v>16.154334961674412</v>
      </c>
      <c r="L82" s="144">
        <f t="shared" si="43"/>
        <v>25.119814906627003</v>
      </c>
      <c r="M82" s="144" t="str">
        <f t="shared" si="43"/>
        <v/>
      </c>
      <c r="N82" s="144" t="str">
        <f t="shared" ref="N82:S82" si="44">IF(N$9=0,"",N52/N$9)</f>
        <v/>
      </c>
      <c r="O82" s="144">
        <f t="shared" si="44"/>
        <v>14.681545036794242</v>
      </c>
      <c r="P82" s="144">
        <f t="shared" si="44"/>
        <v>15.128294438639264</v>
      </c>
      <c r="Q82" s="144">
        <f t="shared" si="44"/>
        <v>33.570037231550657</v>
      </c>
      <c r="R82" s="144">
        <f t="shared" si="44"/>
        <v>29.489803654006518</v>
      </c>
      <c r="S82" s="144">
        <f t="shared" si="44"/>
        <v>19.761169109874004</v>
      </c>
      <c r="T82" s="144" t="str">
        <f t="shared" si="43"/>
        <v/>
      </c>
      <c r="U82" s="144" t="str">
        <f t="shared" si="43"/>
        <v/>
      </c>
      <c r="V82" s="144">
        <f t="shared" si="43"/>
        <v>48.417039062673695</v>
      </c>
      <c r="W82" s="144">
        <f t="shared" si="43"/>
        <v>23.83258369173862</v>
      </c>
      <c r="X82" s="144">
        <f t="shared" si="43"/>
        <v>31.091837098904236</v>
      </c>
      <c r="Y82" s="144">
        <f t="shared" si="43"/>
        <v>24.54162299829834</v>
      </c>
      <c r="Z82" s="144">
        <f>IF(Z$9=0,"",Z52/Z$9)</f>
        <v>33.120413672483934</v>
      </c>
      <c r="AA82" s="144" t="str">
        <f t="shared" ref="AA82:AF82" si="45">IF(AA$9=0,"",AA52/AA$9)</f>
        <v/>
      </c>
      <c r="AB82" s="144" t="str">
        <f t="shared" si="45"/>
        <v/>
      </c>
      <c r="AC82" s="144">
        <f t="shared" si="45"/>
        <v>33.669604205318485</v>
      </c>
      <c r="AD82" s="144" t="str">
        <f t="shared" si="45"/>
        <v/>
      </c>
      <c r="AE82" s="144" t="str">
        <f t="shared" si="45"/>
        <v/>
      </c>
      <c r="AF82" s="144" t="str">
        <f t="shared" si="45"/>
        <v/>
      </c>
      <c r="AG82" s="238">
        <f>+(AG52)/AG$9</f>
        <v>31.09595464580762</v>
      </c>
      <c r="AH82" s="239">
        <f>'Daily KPIs'!AI94</f>
        <v>22</v>
      </c>
      <c r="AI82" s="286">
        <f>AH82-AG82</f>
        <v>-9.0959546458076197</v>
      </c>
      <c r="AJ82" s="270"/>
      <c r="AK82" s="270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7"/>
      <c r="AH83" s="257">
        <f>SUM(AH62:AH78)</f>
        <v>31.199999999999996</v>
      </c>
      <c r="AI83" s="286">
        <f>AH83-AG83</f>
        <v>31.199999999999996</v>
      </c>
      <c r="AJ83" s="210"/>
      <c r="AK83" s="210"/>
    </row>
    <row r="84" spans="1:37" s="78" customFormat="1" ht="20.25" x14ac:dyDescent="0.3">
      <c r="A84" s="137" t="s">
        <v>187</v>
      </c>
      <c r="B84" s="144">
        <f>IF(B$9=0,"",B54/B$9)</f>
        <v>6.6475347374223777</v>
      </c>
      <c r="C84" s="144">
        <f t="shared" ref="C84:Z84" si="46">IF(C$9=0,"",C54/C$9)</f>
        <v>6.8152939817488729</v>
      </c>
      <c r="D84" s="144">
        <f t="shared" si="46"/>
        <v>7.7287693386764591</v>
      </c>
      <c r="E84" s="144">
        <f t="shared" si="46"/>
        <v>21.185120568259702</v>
      </c>
      <c r="F84" s="144" t="str">
        <f t="shared" si="46"/>
        <v/>
      </c>
      <c r="G84" s="144" t="str">
        <f>IF(G$9=0,"",G54/G$9)</f>
        <v/>
      </c>
      <c r="H84" s="144" t="str">
        <f t="shared" si="46"/>
        <v/>
      </c>
      <c r="I84" s="144">
        <f t="shared" si="46"/>
        <v>12.811099383537545</v>
      </c>
      <c r="J84" s="144">
        <f t="shared" si="46"/>
        <v>9.5864146809093391</v>
      </c>
      <c r="K84" s="144">
        <f t="shared" si="46"/>
        <v>7.3473926684935851</v>
      </c>
      <c r="L84" s="144">
        <f t="shared" si="46"/>
        <v>10.629347515812562</v>
      </c>
      <c r="M84" s="144" t="str">
        <f t="shared" si="46"/>
        <v/>
      </c>
      <c r="N84" s="144" t="str">
        <f t="shared" ref="N84:S84" si="47">IF(N$9=0,"",N54/N$9)</f>
        <v/>
      </c>
      <c r="O84" s="144">
        <f t="shared" si="47"/>
        <v>6.8888781773193228</v>
      </c>
      <c r="P84" s="144">
        <f t="shared" si="47"/>
        <v>6.0373853477301749</v>
      </c>
      <c r="Q84" s="144">
        <f t="shared" si="47"/>
        <v>12.533800166021484</v>
      </c>
      <c r="R84" s="144">
        <f t="shared" si="47"/>
        <v>12.060564710098483</v>
      </c>
      <c r="S84" s="144">
        <f t="shared" si="47"/>
        <v>6.0116058019935847</v>
      </c>
      <c r="T84" s="144" t="str">
        <f t="shared" si="46"/>
        <v/>
      </c>
      <c r="U84" s="144" t="str">
        <f t="shared" si="46"/>
        <v/>
      </c>
      <c r="V84" s="144">
        <f t="shared" si="46"/>
        <v>14.729095800262344</v>
      </c>
      <c r="W84" s="144">
        <f t="shared" si="46"/>
        <v>7.2501833065213344</v>
      </c>
      <c r="X84" s="144">
        <f t="shared" si="46"/>
        <v>9.4585430274476199</v>
      </c>
      <c r="Y84" s="144">
        <f t="shared" si="46"/>
        <v>7.4658823264252785</v>
      </c>
      <c r="Z84" s="144">
        <f t="shared" si="46"/>
        <v>10.075662522337554</v>
      </c>
      <c r="AA84" s="144" t="str">
        <f t="shared" ref="AA84:AF84" si="48">IF(AA$9=0,"",AA54/AA$9)</f>
        <v/>
      </c>
      <c r="AB84" s="144" t="str">
        <f t="shared" si="48"/>
        <v/>
      </c>
      <c r="AC84" s="144">
        <f t="shared" si="48"/>
        <v>10.24273345701917</v>
      </c>
      <c r="AD84" s="144" t="str">
        <f t="shared" si="48"/>
        <v/>
      </c>
      <c r="AE84" s="144" t="str">
        <f t="shared" si="48"/>
        <v/>
      </c>
      <c r="AF84" s="144" t="str">
        <f t="shared" si="48"/>
        <v/>
      </c>
      <c r="AG84" s="255">
        <f>+(AG54)/AG$9</f>
        <v>11.913365740328226</v>
      </c>
      <c r="AH84" s="256">
        <f>'Daily KPIs'!AI96</f>
        <v>7.2</v>
      </c>
      <c r="AI84" s="286">
        <f>AH84-AG84</f>
        <v>-4.7133657403282259</v>
      </c>
      <c r="AJ84" s="270"/>
      <c r="AK84" s="270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10"/>
      <c r="AH85" s="210"/>
      <c r="AI85" s="210"/>
      <c r="AJ85" s="210"/>
      <c r="AK85" s="210"/>
    </row>
    <row r="86" spans="1:37" ht="18.75" x14ac:dyDescent="0.3">
      <c r="A86" s="171" t="s">
        <v>214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8">
        <f>SUM($B86:AF86)</f>
        <v>0</v>
      </c>
      <c r="AH86" s="258"/>
      <c r="AI86" s="288" t="s">
        <v>183</v>
      </c>
    </row>
    <row r="87" spans="1:37" ht="18" x14ac:dyDescent="0.25">
      <c r="A87" s="105" t="s">
        <v>201</v>
      </c>
      <c r="B87" s="159">
        <f>IF('Entries September 2026'!L7-'Entries September 2026'!L6&lt;1,0,'Entries September 2026'!L7-'Entries September 2026'!L6)</f>
        <v>963.33000000000175</v>
      </c>
      <c r="C87" s="159">
        <f>IF('Entries September 2026'!L8-'Entries September 2026'!L7&lt;1,0,'Entries September 2026'!L8-'Entries September 2026'!L7)</f>
        <v>767.16999999999825</v>
      </c>
      <c r="D87" s="159">
        <f>IF('Entries September 2026'!L9-'Entries September 2026'!L8&lt;1,0,'Entries September 2026'!L9-'Entries September 2026'!L8)</f>
        <v>277.79000000000815</v>
      </c>
      <c r="E87" s="159">
        <f>IF('Entries September 2026'!L10-'Entries September 2026'!L9&lt;1,0,'Entries September 2026'!L10-'Entries September 2026'!L9)</f>
        <v>132.2899999999936</v>
      </c>
      <c r="F87" s="159">
        <f>IF('Entries September 2026'!L11-'Entries September 2026'!L10&lt;1,0,'Entries September 2026'!L11-'Entries September 2026'!L10)</f>
        <v>0</v>
      </c>
      <c r="G87" s="159">
        <f>IF('Entries September 2026'!L12-'Entries September 2026'!L11&lt;1,0,'Entries September 2026'!L12-'Entries September 2026'!L11)</f>
        <v>0</v>
      </c>
      <c r="H87" s="159">
        <f>IF('Entries September 2026'!M12-'Entries September 2026'!L12&lt;1,0,'Entries September 2026'!M12-'Entries September 2026'!L12)</f>
        <v>522559.94000000006</v>
      </c>
      <c r="I87" s="159">
        <f>IF('Entries September 2026'!L14-'Entries September 2026'!M12&lt;1,0,'Entries September 2026'!L14-'Entries September 2026'!M12)</f>
        <v>0</v>
      </c>
      <c r="J87" s="159">
        <f>IF('Entries September 2026'!L15-'Entries September 2026'!L14&lt;1,0,'Entries September 2026'!L15-'Entries September 2026'!L14)</f>
        <v>435.19999999999709</v>
      </c>
      <c r="K87" s="159">
        <f>IF('Entries September 2026'!L16-'Entries September 2026'!L15&lt;1,0,'Entries September 2026'!L16-'Entries September 2026'!L15)</f>
        <v>537.61999999999534</v>
      </c>
      <c r="L87" s="159">
        <f>IF('Entries September 2026'!L17-'Entries September 2026'!L16&lt;1,0,'Entries September 2026'!L17-'Entries September 2026'!L16)</f>
        <v>748.27000000000407</v>
      </c>
      <c r="M87" s="159">
        <f>IF('Entries September 2026'!L18-'Entries September 2026'!L17&lt;1,0,'Entries September 2026'!L18-'Entries September 2026'!L17)</f>
        <v>0</v>
      </c>
      <c r="N87" s="119">
        <f>IF('Entries September 2026'!L19-'Entries September 2026'!L18&lt;1,0,'Entries September 2026'!L19-'Entries September 2026'!L18)</f>
        <v>0</v>
      </c>
      <c r="O87" s="119">
        <f>IF('Entries September 2026'!L20-'Entries September 2026'!L19&lt;1,0,'Entries September 2026'!L20-'Entries September 2026'!L19)</f>
        <v>649.36999999999534</v>
      </c>
      <c r="P87" s="119">
        <f>IF('Entries September 2026'!L21-'Entries September 2026'!L20&lt;1,0,'Entries September 2026'!L21-'Entries September 2026'!L20)</f>
        <v>873.26000000000931</v>
      </c>
      <c r="Q87" s="119">
        <f>IF('Entries September 2026'!L22-'Entries September 2026'!L21&lt;1,0,'Entries September 2026'!L22-'Entries September 2026'!L21)</f>
        <v>678.3799999999901</v>
      </c>
      <c r="R87" s="119">
        <f>IF('Entries September 2026'!L23-'Entries September 2026'!L22&lt;1,0,'Entries September 2026'!L23-'Entries September 2026'!L22)</f>
        <v>1046.5899999999965</v>
      </c>
      <c r="S87" s="119">
        <f>IF('Entries September 2026'!L24-'Entries September 2026'!L23&lt;1,0,'Entries September 2026'!L24-'Entries September 2026'!L23)</f>
        <v>868.07000000000698</v>
      </c>
      <c r="T87" s="119">
        <f>IF('Entries September 2026'!L25-'Entries September 2026'!L24&lt;1,0,'Entries September 2026'!L25-'Entries September 2026'!L24)</f>
        <v>0</v>
      </c>
      <c r="U87" s="119">
        <f>IF('Entries September 2026'!L26-'Entries September 2026'!L25&lt;1,0,'Entries September 2026'!L26-'Entries September 2026'!L25)</f>
        <v>0</v>
      </c>
      <c r="V87" s="119">
        <f>IF('Entries September 2026'!L27-'Entries September 2026'!L26&lt;1,0,'Entries September 2026'!L27-'Entries September 2026'!L26)</f>
        <v>179.99000000000524</v>
      </c>
      <c r="W87" s="119">
        <f>IF('Entries September 2026'!L28-'Entries September 2026'!L27&lt;1,0,'Entries September 2026'!L28-'Entries September 2026'!L27)</f>
        <v>752.63999999999942</v>
      </c>
      <c r="X87" s="119">
        <f>IF('Entries September 2026'!L29-'Entries September 2026'!L28&lt;1,0,'Entries September 2026'!L29-'Entries September 2026'!L28)</f>
        <v>112.16999999999825</v>
      </c>
      <c r="Y87" s="119">
        <f>IF('Entries September 2026'!L30-'Entries September 2026'!L29&lt;1,0,'Entries September 2026'!L30-'Entries September 2026'!L29)</f>
        <v>152.97000000000116</v>
      </c>
      <c r="Z87" s="119">
        <f>IF('Entries September 2026'!L31-'Entries September 2026'!L30&lt;1,0,'Entries September 2026'!L31-'Entries September 2026'!L30)</f>
        <v>499.58000000000175</v>
      </c>
      <c r="AA87" s="119">
        <f>IF('Entries September 2026'!L32-'Entries September 2026'!L31&lt;1,0,'Entries September 2026'!L32-'Entries September 2026'!L31)</f>
        <v>0</v>
      </c>
      <c r="AB87" s="119">
        <f>IF('Entries September 2026'!L33-'Entries September 2026'!L32&lt;1,0,'Entries September 2026'!L33-'Entries September 2026'!L32)</f>
        <v>0</v>
      </c>
      <c r="AC87" s="119">
        <f>IF('Entries September 2026'!L34-'Entries September 2026'!L33&lt;1,0,'Entries September 2026'!L34-'Entries September 2026'!L33)</f>
        <v>0</v>
      </c>
      <c r="AD87" s="119">
        <f>IF('Entries September 2026'!L35-'Entries September 2026'!L34&lt;1,0,'Entries September 2026'!L35-'Entries September 2026'!L34)</f>
        <v>0</v>
      </c>
      <c r="AE87" s="119">
        <f>IF('Entries September 2026'!L36-'Entries September 2026'!L35&lt;1,0,'Entries September 2026'!L36-'Entries September 2026'!L35)</f>
        <v>0</v>
      </c>
      <c r="AF87" s="119">
        <f>IF('Entries September 2026'!L37-'Entries September 2026'!L36&lt;1,0,'Entries September 2026'!L37-'Entries September 2026'!L36)</f>
        <v>0</v>
      </c>
      <c r="AG87" s="220">
        <f>SUM($B87:AF87)</f>
        <v>532234.63</v>
      </c>
      <c r="AH87" s="220"/>
      <c r="AI87" s="271"/>
    </row>
    <row r="88" spans="1:37" ht="18" x14ac:dyDescent="0.25">
      <c r="A88" s="105" t="s">
        <v>202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11">
        <f>SUM(B88:AF88)</f>
        <v>0</v>
      </c>
      <c r="AH88" s="211"/>
      <c r="AI88" s="271"/>
    </row>
    <row r="89" spans="1:37" ht="18" x14ac:dyDescent="0.25">
      <c r="A89" s="105" t="s">
        <v>203</v>
      </c>
      <c r="B89" s="160">
        <f t="shared" ref="B89:AD89" si="49">IF(B87=0,"",B88/B87)</f>
        <v>0</v>
      </c>
      <c r="C89" s="160">
        <f t="shared" si="49"/>
        <v>0</v>
      </c>
      <c r="D89" s="160">
        <f t="shared" si="49"/>
        <v>0</v>
      </c>
      <c r="E89" s="160">
        <f t="shared" si="49"/>
        <v>0</v>
      </c>
      <c r="F89" s="160" t="str">
        <f t="shared" si="49"/>
        <v/>
      </c>
      <c r="G89" s="160" t="str">
        <f t="shared" si="49"/>
        <v/>
      </c>
      <c r="H89" s="160">
        <f t="shared" si="49"/>
        <v>0</v>
      </c>
      <c r="I89" s="160" t="str">
        <f>IF(I87=0,"",I88/I87)</f>
        <v/>
      </c>
      <c r="J89" s="160">
        <f t="shared" si="49"/>
        <v>0</v>
      </c>
      <c r="K89" s="160">
        <f t="shared" si="49"/>
        <v>0</v>
      </c>
      <c r="L89" s="160">
        <f t="shared" si="49"/>
        <v>0</v>
      </c>
      <c r="M89" s="160" t="str">
        <f t="shared" si="49"/>
        <v/>
      </c>
      <c r="N89" s="160" t="str">
        <f t="shared" si="49"/>
        <v/>
      </c>
      <c r="O89" s="160">
        <f>IF(O87=0,"",O88/O87)</f>
        <v>0</v>
      </c>
      <c r="P89" s="160">
        <f>IF(P87=0,"",P88/P87)</f>
        <v>0</v>
      </c>
      <c r="Q89" s="160">
        <f>IF(Q87=0,"",Q88/Q87)</f>
        <v>0</v>
      </c>
      <c r="R89" s="160">
        <f>IF(R87=0,"",R88/R87)</f>
        <v>0</v>
      </c>
      <c r="S89" s="160">
        <f>IF(S87=0,"",S88/S87)</f>
        <v>0</v>
      </c>
      <c r="T89" s="160" t="str">
        <f t="shared" si="49"/>
        <v/>
      </c>
      <c r="U89" s="160" t="str">
        <f>IF(U87=0,"",U88/U87)</f>
        <v/>
      </c>
      <c r="V89" s="160">
        <f t="shared" si="49"/>
        <v>0</v>
      </c>
      <c r="W89" s="160">
        <f t="shared" si="49"/>
        <v>0</v>
      </c>
      <c r="X89" s="160">
        <f t="shared" si="49"/>
        <v>0</v>
      </c>
      <c r="Y89" s="160">
        <f t="shared" si="49"/>
        <v>0</v>
      </c>
      <c r="Z89" s="160">
        <f t="shared" si="49"/>
        <v>0</v>
      </c>
      <c r="AA89" s="160" t="str">
        <f t="shared" si="49"/>
        <v/>
      </c>
      <c r="AB89" s="160" t="str">
        <f t="shared" si="49"/>
        <v/>
      </c>
      <c r="AC89" s="160" t="str">
        <f t="shared" si="49"/>
        <v/>
      </c>
      <c r="AD89" s="160" t="str">
        <f t="shared" si="49"/>
        <v/>
      </c>
      <c r="AE89" s="160" t="str">
        <f>IF(AE87=0,"",AE88/AE87)</f>
        <v/>
      </c>
      <c r="AF89" s="160" t="str">
        <f>IF(AF87=0,"",AF88/AF87)</f>
        <v/>
      </c>
      <c r="AG89" s="259">
        <f>IF(AG87=0,"",AG88/AG87)</f>
        <v>0</v>
      </c>
      <c r="AH89" s="211"/>
      <c r="AI89" s="271"/>
    </row>
    <row r="90" spans="1:37" ht="18" x14ac:dyDescent="0.25">
      <c r="A90" s="105" t="s">
        <v>196</v>
      </c>
      <c r="B90" s="159">
        <f>IF('Entries September 2026'!$AF7-'Entries September 2026'!$AF6&lt;1,0,'Entries September 2026'!$AF7-'Entries September 2026'!$AF6)</f>
        <v>0</v>
      </c>
      <c r="C90" s="159">
        <f>IF('Entries September 2026'!$AF8-'Entries September 2026'!$AF7&lt;1,0,'Entries September 2026'!$AF8-'Entries September 2026'!$AF7)</f>
        <v>0</v>
      </c>
      <c r="D90" s="159">
        <f>IF('Entries September 2026'!$AF9-'Entries September 2026'!$AF8&lt;1,0,'Entries September 2026'!$AF9-'Entries September 2026'!$AF8)</f>
        <v>0</v>
      </c>
      <c r="E90" s="159">
        <f>IF('Entries September 2026'!$AF10-'Entries September 2026'!$AF9&lt;1,0,'Entries September 2026'!$AF10-'Entries September 2026'!$AF9)</f>
        <v>0</v>
      </c>
      <c r="F90" s="159">
        <f>IF('Entries September 2026'!$AF11-'Entries September 2026'!$AF10&lt;1,0,'Entries September 2026'!$AF11-'Entries September 2026'!$AF10)</f>
        <v>0</v>
      </c>
      <c r="G90" s="159">
        <f>IF('Entries September 2026'!$AF12-'Entries September 2026'!$AF11&lt;1,0,'Entries September 2026'!$AF12-'Entries September 2026'!$AF11)</f>
        <v>0</v>
      </c>
      <c r="H90" s="159">
        <f>IF('Entries September 2026'!$AF13-'Entries September 2026'!$AF12&lt;1,0,'Entries September 2026'!$AF13-'Entries September 2026'!$AF12)</f>
        <v>0</v>
      </c>
      <c r="I90" s="159">
        <f>IF('Entries September 2026'!AF14-'Entries September 2026'!AF13&lt;1,0,'Entries September 2026'!AF14-'Entries September 2026'!AF13)</f>
        <v>0</v>
      </c>
      <c r="J90" s="159">
        <f>IF('Entries September 2026'!AF15-'Entries September 2026'!AF14&lt;1,0,'Entries September 2026'!AF15-'Entries September 2026'!AF14)</f>
        <v>0</v>
      </c>
      <c r="K90" s="159">
        <f>IF('Entries September 2026'!AF16-'Entries September 2026'!AF15&lt;1,0,'Entries September 2026'!AF16-'Entries September 2026'!AF15)</f>
        <v>0</v>
      </c>
      <c r="L90" s="159">
        <f>IF('Entries September 2026'!$AF17-'Entries September 2026'!$AF16&lt;1,0,'Entries September 2026'!$AF17-'Entries September 2026'!$AF16)</f>
        <v>0</v>
      </c>
      <c r="M90" s="159">
        <f>IF('Entries September 2026'!$AF18-'Entries September 2026'!$AF17&lt;1,0,'Entries September 2026'!$AF18-'Entries September 2026'!$AF17)</f>
        <v>0</v>
      </c>
      <c r="N90" s="159">
        <f>IF('Entries September 2026'!$AF19-'Entries September 2026'!$AF18&lt;1,0,'Entries September 2026'!$AF19-'Entries September 2026'!$AF18)</f>
        <v>0</v>
      </c>
      <c r="O90" s="159">
        <f>IF('Entries September 2026'!$AF20-'Entries September 2026'!$AF19&lt;1,0,'Entries September 2026'!$AF20-'Entries September 2026'!$AF19)</f>
        <v>0</v>
      </c>
      <c r="P90" s="159">
        <f>IF('Entries September 2026'!$AF21-'Entries September 2026'!$AF20&lt;1,0,'Entries September 2026'!$AF21-'Entries September 2026'!$AF20)</f>
        <v>0</v>
      </c>
      <c r="Q90" s="159">
        <f>IF('Entries September 2026'!$AF22-'Entries September 2026'!$AF21&lt;1,0,'Entries September 2026'!$AF22-'Entries September 2026'!$AF21)</f>
        <v>0</v>
      </c>
      <c r="R90" s="159">
        <f>IF('Entries September 2026'!$AF23-'Entries September 2026'!$AF22&lt;1,0,'Entries September 2026'!$AF23-'Entries September 2026'!$AF22)</f>
        <v>0</v>
      </c>
      <c r="S90" s="159">
        <f>IF('Entries September 2026'!$AF24-'Entries September 2026'!$AF23&lt;1,0,'Entries September 2026'!$AF24-'Entries September 2026'!$AF23)</f>
        <v>0</v>
      </c>
      <c r="T90" s="159">
        <f>IF('Entries September 2026'!$AF25-'Entries September 2026'!$AF24&lt;1,0,'Entries September 2026'!$AF25-'Entries September 2026'!$AF24)</f>
        <v>0</v>
      </c>
      <c r="U90" s="159">
        <f>IF('Entries September 2026'!$AF26-'Entries September 2026'!$AF25&lt;1,0,'Entries September 2026'!$AF26-'Entries September 2026'!$AF25)</f>
        <v>0</v>
      </c>
      <c r="V90" s="159">
        <f>IF('Entries September 2026'!$AF27-'Entries September 2026'!$AF26&lt;1,0,'Entries September 2026'!$AF27-'Entries September 2026'!$AF26)</f>
        <v>0</v>
      </c>
      <c r="W90" s="159">
        <f>IF('Entries September 2026'!$AF28-'Entries September 2026'!$AF27&lt;1,0,'Entries September 2026'!$AF28-'Entries September 2026'!$AF27)</f>
        <v>0</v>
      </c>
      <c r="X90" s="159">
        <f>IF('Entries September 2026'!$AF29-'Entries September 2026'!$AF28&lt;1,0,'Entries September 2026'!$AF29-'Entries September 2026'!$AF28)</f>
        <v>0</v>
      </c>
      <c r="Y90" s="159">
        <f>IF('Entries September 2026'!$AF30-'Entries September 2026'!$AF29&lt;1,0,'Entries September 2026'!$AF30-'Entries September 2026'!$AF29)</f>
        <v>0</v>
      </c>
      <c r="Z90" s="159">
        <f>IF('Entries September 2026'!$AF31-'Entries September 2026'!$AF30&lt;1,0,'Entries September 2026'!$AF31-'Entries September 2026'!$AF30)</f>
        <v>0</v>
      </c>
      <c r="AA90" s="159">
        <f>IF('Entries September 2026'!$AF32-'Entries September 2026'!$AF31&lt;1,0,'Entries September 2026'!$AF32-'Entries September 2026'!$AF31)</f>
        <v>0</v>
      </c>
      <c r="AB90" s="159">
        <f>IF('Entries September 2026'!$AF33-'Entries September 2026'!$AF32&lt;1,0,'Entries September 2026'!$AF33-'Entries September 2026'!$AF32)</f>
        <v>0</v>
      </c>
      <c r="AC90" s="159">
        <f>IF('Entries September 2026'!$AF34-'Entries September 2026'!$AF33&lt;1,0,'Entries September 2026'!$AF34-'Entries September 2026'!$AF33)</f>
        <v>0</v>
      </c>
      <c r="AD90" s="159">
        <f>IF('Entries September 2026'!$AF35-'Entries September 2026'!$AF34&lt;1,0,'Entries September 2026'!$AF35-'Entries September 2026'!$AF34)</f>
        <v>0</v>
      </c>
      <c r="AE90" s="159">
        <f>IF('Entries September 2026'!$AF36-'Entries September 2026'!$AF35&lt;1,0,'Entries September 2026'!$AF36-'Entries September 2026'!$AF35)</f>
        <v>0</v>
      </c>
      <c r="AF90" s="159">
        <f>IF('Entries September 2026'!$AF26-'Entries September 2026'!$AF25&lt;1,0,'Entries September 2026'!$AF26-'Entries September 2026'!$AF25)</f>
        <v>0</v>
      </c>
      <c r="AG90" s="220">
        <f>SUM(B90:AF90)</f>
        <v>0</v>
      </c>
      <c r="AH90" s="220"/>
      <c r="AI90" s="271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11"/>
      <c r="AH91" s="211"/>
      <c r="AI91" s="271"/>
    </row>
    <row r="92" spans="1:37" ht="18" x14ac:dyDescent="0.25">
      <c r="A92" s="104" t="s">
        <v>158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11"/>
      <c r="AH92" s="211"/>
      <c r="AI92" s="271"/>
    </row>
    <row r="93" spans="1:37" ht="18" x14ac:dyDescent="0.25">
      <c r="A93" s="164" t="s">
        <v>210</v>
      </c>
      <c r="B93" s="165">
        <f>'Daily KPIs'!B12</f>
        <v>338.9</v>
      </c>
      <c r="C93" s="165">
        <f>'Daily KPIs'!C12</f>
        <v>447</v>
      </c>
      <c r="D93" s="165">
        <f>'Daily KPIs'!D12</f>
        <v>349.3</v>
      </c>
      <c r="E93" s="165">
        <f>'Daily KPIs'!E12</f>
        <v>250.7</v>
      </c>
      <c r="F93" s="165">
        <f>'Daily KPIs'!F12</f>
        <v>0</v>
      </c>
      <c r="G93" s="165">
        <f>'Daily KPIs'!G12</f>
        <v>0</v>
      </c>
      <c r="H93" s="165">
        <f>'Daily KPIs'!H12</f>
        <v>451.1</v>
      </c>
      <c r="I93" s="165">
        <f>'Daily KPIs'!I12</f>
        <v>303.89999999999998</v>
      </c>
      <c r="J93" s="165">
        <f>'Daily KPIs'!J12</f>
        <v>352.6</v>
      </c>
      <c r="K93" s="165">
        <f>'Daily KPIs'!K12</f>
        <v>301.60000000000002</v>
      </c>
      <c r="L93" s="165">
        <f>'Daily KPIs'!L12</f>
        <v>0</v>
      </c>
      <c r="M93" s="165">
        <f>'Daily KPIs'!M12</f>
        <v>0</v>
      </c>
      <c r="N93" s="165">
        <f>'Daily KPIs'!N12</f>
        <v>0</v>
      </c>
      <c r="O93" s="165">
        <f>'Daily KPIs'!O12</f>
        <v>307.39999999999998</v>
      </c>
      <c r="P93" s="165">
        <f>'Daily KPIs'!P12</f>
        <v>350</v>
      </c>
      <c r="Q93" s="165">
        <f>'Daily KPIs'!Q12</f>
        <v>449.4</v>
      </c>
      <c r="R93" s="165">
        <f>'Daily KPIs'!R12</f>
        <v>459.5</v>
      </c>
      <c r="S93" s="165">
        <f>'Daily KPIs'!S12</f>
        <v>51.2</v>
      </c>
      <c r="T93" s="165">
        <f>'Daily KPIs'!T12</f>
        <v>0</v>
      </c>
      <c r="U93" s="165">
        <f>'Daily KPIs'!U12</f>
        <v>0</v>
      </c>
      <c r="V93" s="165">
        <f>'Daily KPIs'!V12</f>
        <v>393.1</v>
      </c>
      <c r="W93" s="165">
        <f>'Daily KPIs'!W12</f>
        <v>250.9</v>
      </c>
      <c r="X93" s="165">
        <f>'Daily KPIs'!X12</f>
        <v>0</v>
      </c>
      <c r="Y93" s="165">
        <f>'Daily KPIs'!Y12</f>
        <v>0</v>
      </c>
      <c r="Z93" s="165">
        <f>'Daily KPIs'!Z12</f>
        <v>0</v>
      </c>
      <c r="AA93" s="165">
        <f>'Daily KPIs'!AA12</f>
        <v>0</v>
      </c>
      <c r="AB93" s="165">
        <f>'Daily KPIs'!AB12</f>
        <v>0</v>
      </c>
      <c r="AC93" s="165">
        <f>'Daily KPIs'!AC12</f>
        <v>0</v>
      </c>
      <c r="AD93" s="165">
        <f>'Daily KPIs'!AD12</f>
        <v>0</v>
      </c>
      <c r="AE93" s="165">
        <f>'Daily KPIs'!AE12</f>
        <v>0</v>
      </c>
      <c r="AF93" s="208">
        <f>'Daily KPIs'!AD12</f>
        <v>0</v>
      </c>
      <c r="AG93" s="260">
        <f>SUM(B93:AF93)</f>
        <v>5056.5999999999995</v>
      </c>
      <c r="AH93" s="261"/>
      <c r="AI93" s="289"/>
    </row>
    <row r="94" spans="1:37" ht="18" x14ac:dyDescent="0.25">
      <c r="A94" s="164" t="s">
        <v>211</v>
      </c>
      <c r="B94" s="166" t="str">
        <f>'Daily KPIs'!B13</f>
        <v>CB</v>
      </c>
      <c r="C94" s="166" t="str">
        <f>'Daily KPIs'!C13</f>
        <v>CB</v>
      </c>
      <c r="D94" s="166" t="str">
        <f>'Daily KPIs'!D13</f>
        <v>CB/MK</v>
      </c>
      <c r="E94" s="166" t="str">
        <f>'Daily KPIs'!E13</f>
        <v>MK</v>
      </c>
      <c r="F94" s="166">
        <f>'Daily KPIs'!F13</f>
        <v>0</v>
      </c>
      <c r="G94" s="166">
        <f>'Daily KPIs'!G10</f>
        <v>0</v>
      </c>
      <c r="H94" s="166" t="str">
        <f>'Daily KPIs'!H13</f>
        <v>ST</v>
      </c>
      <c r="I94" s="166" t="str">
        <f>'Daily KPIs'!I13</f>
        <v>ST/CB</v>
      </c>
      <c r="J94" s="166" t="str">
        <f>'Daily KPIs'!J13</f>
        <v>CB</v>
      </c>
      <c r="K94" s="166" t="str">
        <f>'Daily KPIs'!K13</f>
        <v>CB</v>
      </c>
      <c r="L94" s="166" t="str">
        <f>'Daily KPIs'!L13</f>
        <v>CB</v>
      </c>
      <c r="M94" s="166">
        <f>'Daily KPIs'!M13</f>
        <v>0</v>
      </c>
      <c r="N94" s="166">
        <f>'Daily KPIs'!N13</f>
        <v>0</v>
      </c>
      <c r="O94" s="166" t="str">
        <f>'Daily KPIs'!O13</f>
        <v>CB</v>
      </c>
      <c r="P94" s="166" t="str">
        <f>'Daily KPIs'!P13</f>
        <v>CB</v>
      </c>
      <c r="Q94" s="166" t="str">
        <f>'Daily KPIs'!Q13</f>
        <v>CB</v>
      </c>
      <c r="R94" s="166" t="str">
        <f>'Daily KPIs'!R13</f>
        <v>CB/GN</v>
      </c>
      <c r="S94" s="166" t="str">
        <f>'Daily KPIs'!S13</f>
        <v>GN</v>
      </c>
      <c r="T94" s="166">
        <f>'Daily KPIs'!T13</f>
        <v>0</v>
      </c>
      <c r="U94" s="166">
        <f>'Daily KPIs'!U13</f>
        <v>0</v>
      </c>
      <c r="V94" s="166" t="str">
        <f>'Daily KPIs'!V13</f>
        <v>ST</v>
      </c>
      <c r="W94" s="166" t="str">
        <f>'Daily KPIs'!W13</f>
        <v>CB</v>
      </c>
      <c r="X94" s="166" t="str">
        <f>'Daily KPIs'!X13</f>
        <v>CB</v>
      </c>
      <c r="Y94" s="166" t="str">
        <f>'Daily KPIs'!Y13</f>
        <v>CB</v>
      </c>
      <c r="Z94" s="166" t="str">
        <f>'Daily KPIs'!Z13</f>
        <v>CB</v>
      </c>
      <c r="AA94" s="166">
        <f>'Daily KPIs'!AA13</f>
        <v>0</v>
      </c>
      <c r="AB94" s="166">
        <f>'Daily KPIs'!AB13</f>
        <v>0</v>
      </c>
      <c r="AC94" s="166" t="str">
        <f>'Daily KPIs'!AC13</f>
        <v>SM</v>
      </c>
      <c r="AD94" s="166">
        <f>'Daily KPIs'!AD13</f>
        <v>0</v>
      </c>
      <c r="AE94" s="166">
        <f>'Daily KPIs'!AE13</f>
        <v>0</v>
      </c>
      <c r="AF94" s="209">
        <f>'Daily KPIs'!AD13</f>
        <v>0</v>
      </c>
      <c r="AG94" s="261"/>
      <c r="AH94" s="261"/>
      <c r="AI94" s="289"/>
    </row>
    <row r="95" spans="1:37" ht="18" x14ac:dyDescent="0.25">
      <c r="A95" s="173" t="s">
        <v>213</v>
      </c>
      <c r="B95" s="174">
        <f>'Daily KPIs'!B14</f>
        <v>7</v>
      </c>
      <c r="C95" s="174">
        <f>'Daily KPIs'!C14</f>
        <v>9</v>
      </c>
      <c r="D95" s="174">
        <f>'Daily KPIs'!D14</f>
        <v>8</v>
      </c>
      <c r="E95" s="174">
        <f>'Daily KPIs'!E14</f>
        <v>5</v>
      </c>
      <c r="F95" s="174">
        <f>'Daily KPIs'!F14</f>
        <v>0</v>
      </c>
      <c r="G95" s="174">
        <f>'Daily KPIs'!G14</f>
        <v>0</v>
      </c>
      <c r="H95" s="174">
        <f>'Daily KPIs'!H14</f>
        <v>9</v>
      </c>
      <c r="I95" s="174">
        <f>'Daily KPIs'!I14</f>
        <v>6</v>
      </c>
      <c r="J95" s="174">
        <f>'Daily KPIs'!J14</f>
        <v>7</v>
      </c>
      <c r="K95" s="174">
        <f>'Daily KPIs'!K14</f>
        <v>6</v>
      </c>
      <c r="L95" s="174">
        <f>'Daily KPIs'!L14</f>
        <v>6</v>
      </c>
      <c r="M95" s="174">
        <f>'Daily KPIs'!M14</f>
        <v>0</v>
      </c>
      <c r="N95" s="174">
        <f>'Daily KPIs'!N14</f>
        <v>0</v>
      </c>
      <c r="O95" s="174">
        <f>'Daily KPIs'!O14</f>
        <v>6</v>
      </c>
      <c r="P95" s="174">
        <f>'Daily KPIs'!P14</f>
        <v>7</v>
      </c>
      <c r="Q95" s="174">
        <f>'Daily KPIs'!Q14</f>
        <v>9</v>
      </c>
      <c r="R95" s="174">
        <f>'Daily KPIs'!R14</f>
        <v>9</v>
      </c>
      <c r="S95" s="174">
        <f>'Daily KPIs'!S14</f>
        <v>1</v>
      </c>
      <c r="T95" s="174">
        <f>'Daily KPIs'!T14</f>
        <v>0</v>
      </c>
      <c r="U95" s="174">
        <f>'Daily KPIs'!U14</f>
        <v>0</v>
      </c>
      <c r="V95" s="174">
        <f>'Daily KPIs'!V14</f>
        <v>8</v>
      </c>
      <c r="W95" s="174">
        <f>'Daily KPIs'!W14</f>
        <v>5</v>
      </c>
      <c r="X95" s="174">
        <f>'Daily KPIs'!X14</f>
        <v>8</v>
      </c>
      <c r="Y95" s="174">
        <f>'Daily KPIs'!Y14</f>
        <v>10</v>
      </c>
      <c r="Z95" s="174">
        <f>'Daily KPIs'!Z14</f>
        <v>1</v>
      </c>
      <c r="AA95" s="174">
        <f>'Daily KPIs'!AA14</f>
        <v>0</v>
      </c>
      <c r="AB95" s="174">
        <f>'Daily KPIs'!AB14</f>
        <v>0</v>
      </c>
      <c r="AC95" s="174">
        <f>'Daily KPIs'!AC14</f>
        <v>8</v>
      </c>
      <c r="AD95" s="174">
        <f>'Daily KPIs'!AD14</f>
        <v>0</v>
      </c>
      <c r="AE95" s="174">
        <f>'Daily KPIs'!AE14</f>
        <v>0</v>
      </c>
      <c r="AF95" s="206">
        <f>'Daily KPIs'!AD14</f>
        <v>0</v>
      </c>
      <c r="AG95" s="262">
        <f>SUM($B95:AF95)</f>
        <v>135</v>
      </c>
      <c r="AH95" s="262"/>
      <c r="AI95" s="290"/>
    </row>
    <row r="96" spans="1:37" ht="18" x14ac:dyDescent="0.25">
      <c r="A96" s="109" t="s">
        <v>145</v>
      </c>
      <c r="B96" s="110">
        <f>+'Water '!$F7</f>
        <v>281</v>
      </c>
      <c r="C96" s="110">
        <f>+'Water '!$F8</f>
        <v>255</v>
      </c>
      <c r="D96" s="110">
        <f>+'Water '!$F9</f>
        <v>197</v>
      </c>
      <c r="E96" s="110">
        <f>+'Water '!$F10</f>
        <v>100</v>
      </c>
      <c r="F96" s="110" t="str">
        <f>+'Water '!$F11</f>
        <v>0</v>
      </c>
      <c r="G96" s="110" t="str">
        <f>+'Water '!$F12</f>
        <v>0</v>
      </c>
      <c r="H96" s="110">
        <f>+'Water '!$F13</f>
        <v>163</v>
      </c>
      <c r="I96" s="110">
        <f>+'Water '!$F14</f>
        <v>144</v>
      </c>
      <c r="J96" s="110">
        <f>+'Water '!$F15</f>
        <v>231</v>
      </c>
      <c r="K96" s="110">
        <f>+'Water '!$F16</f>
        <v>306</v>
      </c>
      <c r="L96" s="110">
        <f>+'Water '!$F17</f>
        <v>248</v>
      </c>
      <c r="M96" s="110">
        <f>+'Water '!$F18</f>
        <v>131</v>
      </c>
      <c r="N96" s="110" t="str">
        <f>+'Water '!$F19</f>
        <v>0</v>
      </c>
      <c r="O96" s="110" t="str">
        <f>+'Water '!$F19</f>
        <v>0</v>
      </c>
      <c r="P96" s="110" t="str">
        <f>+'Water '!$F19</f>
        <v>0</v>
      </c>
      <c r="Q96" s="110" t="str">
        <f>+'Water '!$F19</f>
        <v>0</v>
      </c>
      <c r="R96" s="110" t="str">
        <f>+'Water '!$F19</f>
        <v>0</v>
      </c>
      <c r="S96" s="110" t="str">
        <f>+'Water '!$F19</f>
        <v>0</v>
      </c>
      <c r="T96" s="110" t="str">
        <f>+'Water '!$F25</f>
        <v>0</v>
      </c>
      <c r="U96" s="110" t="str">
        <f>+'Water '!$F26</f>
        <v>0</v>
      </c>
      <c r="V96" s="110">
        <f>+'Water '!$F27</f>
        <v>139</v>
      </c>
      <c r="W96" s="110">
        <f>+'Water '!$F28</f>
        <v>184</v>
      </c>
      <c r="X96" s="110">
        <f>+'Water '!$F29</f>
        <v>78</v>
      </c>
      <c r="Y96" s="110">
        <f>+'Water '!$F30</f>
        <v>154</v>
      </c>
      <c r="Z96" s="110">
        <f>+'Water '!$F31</f>
        <v>234</v>
      </c>
      <c r="AA96" s="110">
        <f>+'Water '!$F31</f>
        <v>234</v>
      </c>
      <c r="AB96" s="110">
        <f>+'Water '!$F31</f>
        <v>234</v>
      </c>
      <c r="AC96" s="110">
        <f>+'Water '!$F31</f>
        <v>234</v>
      </c>
      <c r="AD96" s="110">
        <f>+'Water '!$F31</f>
        <v>234</v>
      </c>
      <c r="AE96" s="110">
        <f>+'Water '!$F31</f>
        <v>234</v>
      </c>
      <c r="AF96" s="205" t="str">
        <f>+'Water '!$F35</f>
        <v>0</v>
      </c>
      <c r="AG96" s="220">
        <f>SUM($B96:AF96)</f>
        <v>4015</v>
      </c>
      <c r="AH96" s="220"/>
      <c r="AI96" s="271"/>
    </row>
    <row r="97" spans="1:35" ht="18" x14ac:dyDescent="0.25">
      <c r="A97" s="104" t="s">
        <v>146</v>
      </c>
      <c r="B97" s="161" t="s">
        <v>147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206"/>
      <c r="AG97" s="220">
        <f>SUM($B97:AC97)</f>
        <v>0</v>
      </c>
      <c r="AH97" s="220"/>
      <c r="AI97" s="271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206"/>
      <c r="AG98" s="211"/>
      <c r="AH98" s="211"/>
      <c r="AI98" s="271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206"/>
      <c r="AG99" s="211"/>
      <c r="AH99" s="211"/>
      <c r="AI99" s="271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206"/>
      <c r="AG100" s="211"/>
      <c r="AH100" s="211"/>
      <c r="AI100" s="271"/>
    </row>
    <row r="101" spans="1:35" ht="18" x14ac:dyDescent="0.25">
      <c r="A101" s="104"/>
      <c r="B101" s="159">
        <f>'Daily KPIs CO2'!B52</f>
        <v>8735</v>
      </c>
      <c r="C101" s="159">
        <f>'Daily KPIs CO2'!C52</f>
        <v>8438</v>
      </c>
      <c r="D101" s="159">
        <f>'Daily KPIs CO2'!D52</f>
        <v>8694</v>
      </c>
      <c r="E101" s="159">
        <f>'Daily KPIs CO2'!E52</f>
        <v>5679</v>
      </c>
      <c r="F101" s="159">
        <f>'Daily KPIs CO2'!F52</f>
        <v>3385</v>
      </c>
      <c r="G101" s="159">
        <f>'Daily KPIs CO2'!G52</f>
        <v>2797</v>
      </c>
      <c r="H101" s="159">
        <f>'Daily KPIs CO2'!H52</f>
        <v>5039</v>
      </c>
      <c r="I101" s="159">
        <f>'Daily KPIs CO2'!I52</f>
        <v>6654</v>
      </c>
      <c r="J101" s="159">
        <f>'Daily KPIs CO2'!J52</f>
        <v>8374</v>
      </c>
      <c r="K101" s="159">
        <f>'Daily KPIs CO2'!K52</f>
        <v>6508</v>
      </c>
      <c r="L101" s="159">
        <f>'Daily KPIs CO2'!L52</f>
        <v>6688</v>
      </c>
      <c r="M101" s="159">
        <f>'Daily KPIs CO2'!M52</f>
        <v>3127</v>
      </c>
      <c r="N101" s="159">
        <f>'Daily KPIs CO2'!N52</f>
        <v>4203</v>
      </c>
      <c r="O101" s="159">
        <f>'Daily KPIs CO2'!O52</f>
        <v>7310</v>
      </c>
      <c r="P101" s="159">
        <f>'Daily KPIs CO2'!P52</f>
        <v>9121</v>
      </c>
      <c r="Q101" s="159">
        <f>'Daily KPIs CO2'!Q52</f>
        <v>8169</v>
      </c>
      <c r="R101" s="159">
        <f>'Daily KPIs CO2'!R52</f>
        <v>8558</v>
      </c>
      <c r="S101" s="159">
        <f>'Daily KPIs CO2'!S52</f>
        <v>8711</v>
      </c>
      <c r="T101" s="159">
        <f>'Daily KPIs CO2'!T52</f>
        <v>8711</v>
      </c>
      <c r="U101" s="159">
        <f>'Daily KPIs CO2'!U52</f>
        <v>8711</v>
      </c>
      <c r="V101" s="159">
        <f>'Daily KPIs CO2'!V52</f>
        <v>8711</v>
      </c>
      <c r="W101" s="159">
        <f>'Daily KPIs CO2'!W52</f>
        <v>8711</v>
      </c>
      <c r="X101" s="159">
        <f>'Daily KPIs CO2'!X52</f>
        <v>8711</v>
      </c>
      <c r="Y101" s="159">
        <f>'Daily KPIs CO2'!Y52</f>
        <v>8711</v>
      </c>
      <c r="Z101" s="159">
        <f>'Daily KPIs CO2'!Z52</f>
        <v>8711</v>
      </c>
      <c r="AA101" s="159">
        <f>'Daily KPIs CO2'!AA52</f>
        <v>8711</v>
      </c>
      <c r="AB101" s="159">
        <f>'Daily KPIs CO2'!AB52</f>
        <v>8711</v>
      </c>
      <c r="AC101" s="159">
        <f>'Daily KPIs CO2'!AC52</f>
        <v>8711</v>
      </c>
      <c r="AD101" s="159">
        <f>'Daily KPIs CO2'!AD52</f>
        <v>8711</v>
      </c>
      <c r="AE101" s="159">
        <f>'Daily KPIs CO2'!AE52</f>
        <v>8711</v>
      </c>
      <c r="AF101" s="207">
        <f>'Daily KPIs CO2'!AF52</f>
        <v>8711</v>
      </c>
      <c r="AG101" s="263">
        <f>'Daily KPIs CO2'!AG52</f>
        <v>207300</v>
      </c>
      <c r="AH101" s="211"/>
      <c r="AI101" s="271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208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1" priority="3" operator="greaterThan">
      <formula>26</formula>
    </cfRule>
  </conditionalFormatting>
  <conditionalFormatting sqref="B84:AF84">
    <cfRule type="cellIs" dxfId="40" priority="4" operator="greaterThan">
      <formula>6.8</formula>
    </cfRule>
  </conditionalFormatting>
  <conditionalFormatting sqref="D64:D65 D67 T69:AI70 D71 D73:D77">
    <cfRule type="cellIs" dxfId="39" priority="5" stopIfTrue="1" operator="greaterThan">
      <formula>3.8</formula>
    </cfRule>
  </conditionalFormatting>
  <conditionalFormatting sqref="D69:S69 B70:S70">
    <cfRule type="cellIs" dxfId="38" priority="13" stopIfTrue="1" operator="greaterThan">
      <formula>3.8</formula>
    </cfRule>
  </conditionalFormatting>
  <conditionalFormatting sqref="AI8">
    <cfRule type="cellIs" dxfId="37" priority="1" operator="greaterThan">
      <formula>0</formula>
    </cfRule>
    <cfRule type="cellIs" dxfId="36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abSelected="1" zoomScale="70" zoomScaleNormal="70" zoomScaleSheetLayoutView="50" workbookViewId="0">
      <pane xSplit="1" topLeftCell="U1" activePane="topRight" state="frozen"/>
      <selection pane="topRight" activeCell="Z25" sqref="Z25"/>
    </sheetView>
  </sheetViews>
  <sheetFormatPr defaultColWidth="9.28515625" defaultRowHeight="26.25" outlineLevelRow="1" x14ac:dyDescent="0.35"/>
  <cols>
    <col min="1" max="1" width="69.28515625" style="468" customWidth="1"/>
    <col min="2" max="2" width="42.28515625" style="291" customWidth="1"/>
    <col min="3" max="3" width="24.140625" style="291" customWidth="1"/>
    <col min="4" max="4" width="27.28515625" style="291" customWidth="1"/>
    <col min="5" max="5" width="23.28515625" style="291" customWidth="1"/>
    <col min="6" max="6" width="30.140625" style="291" customWidth="1"/>
    <col min="7" max="7" width="36.42578125" style="291" customWidth="1"/>
    <col min="8" max="8" width="35.5703125" style="291" customWidth="1"/>
    <col min="9" max="9" width="23.7109375" style="291" customWidth="1"/>
    <col min="10" max="10" width="22.140625" style="470" customWidth="1"/>
    <col min="11" max="11" width="29.7109375" style="470" customWidth="1"/>
    <col min="12" max="12" width="30.5703125" style="470" customWidth="1"/>
    <col min="13" max="13" width="29.7109375" style="471" customWidth="1"/>
    <col min="14" max="33" width="29.7109375" style="470" customWidth="1"/>
    <col min="34" max="34" width="29.7109375" style="469" customWidth="1"/>
    <col min="35" max="35" width="24.7109375" style="469" customWidth="1"/>
    <col min="36" max="36" width="24.7109375" style="291" customWidth="1"/>
    <col min="37" max="37" width="13.85546875" style="291" customWidth="1"/>
    <col min="38" max="38" width="20.7109375" style="291" customWidth="1"/>
    <col min="39" max="40" width="9.28515625" style="291"/>
    <col min="41" max="41" width="20.140625" style="291" bestFit="1" customWidth="1"/>
    <col min="42" max="59" width="9.28515625" style="291"/>
    <col min="60" max="16384" width="9.28515625" style="468"/>
  </cols>
  <sheetData>
    <row r="1" spans="1:149" x14ac:dyDescent="0.35">
      <c r="B1" s="469"/>
      <c r="M1" s="499"/>
      <c r="AH1" s="291"/>
      <c r="AI1" s="291"/>
    </row>
    <row r="2" spans="1:149" x14ac:dyDescent="0.35">
      <c r="B2" s="469"/>
      <c r="M2" s="499"/>
      <c r="AH2" s="291"/>
      <c r="AI2" s="291"/>
    </row>
    <row r="3" spans="1:149" x14ac:dyDescent="0.4">
      <c r="A3" s="472" t="s">
        <v>131</v>
      </c>
      <c r="B3" s="469"/>
      <c r="C3" s="469"/>
      <c r="K3" s="902"/>
      <c r="L3" s="902"/>
      <c r="M3" s="499"/>
      <c r="AH3" s="291"/>
      <c r="AI3" s="291"/>
    </row>
    <row r="4" spans="1:149" hidden="1" x14ac:dyDescent="0.4">
      <c r="A4" s="472"/>
      <c r="M4" s="473"/>
    </row>
    <row r="5" spans="1:149" hidden="1" x14ac:dyDescent="0.35"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  <c r="V5" s="474"/>
      <c r="W5" s="474"/>
      <c r="X5" s="474"/>
      <c r="Y5" s="474">
        <v>1800</v>
      </c>
      <c r="Z5" s="474"/>
      <c r="AA5" s="474"/>
      <c r="AB5" s="474"/>
      <c r="AC5" s="474"/>
      <c r="AD5" s="474"/>
      <c r="AE5" s="474"/>
      <c r="AF5" s="474"/>
      <c r="AG5" s="474"/>
      <c r="AH5" s="474"/>
      <c r="AI5" s="474"/>
      <c r="AJ5" s="474"/>
    </row>
    <row r="6" spans="1:149" x14ac:dyDescent="0.4">
      <c r="A6" s="183">
        <v>46266</v>
      </c>
      <c r="B6" s="475">
        <v>1</v>
      </c>
      <c r="C6" s="475">
        <v>2</v>
      </c>
      <c r="D6" s="475">
        <v>3</v>
      </c>
      <c r="E6" s="475">
        <v>4</v>
      </c>
      <c r="F6" s="475">
        <v>5</v>
      </c>
      <c r="G6" s="475">
        <v>6</v>
      </c>
      <c r="H6" s="475">
        <v>7</v>
      </c>
      <c r="I6" s="475">
        <v>8</v>
      </c>
      <c r="J6" s="475">
        <v>9</v>
      </c>
      <c r="K6" s="475">
        <v>10</v>
      </c>
      <c r="L6" s="475">
        <v>11</v>
      </c>
      <c r="M6" s="475">
        <v>12</v>
      </c>
      <c r="N6" s="475">
        <v>13</v>
      </c>
      <c r="O6" s="475">
        <v>14</v>
      </c>
      <c r="P6" s="475">
        <v>15</v>
      </c>
      <c r="Q6" s="475">
        <v>16</v>
      </c>
      <c r="R6" s="475">
        <v>17</v>
      </c>
      <c r="S6" s="475">
        <v>18</v>
      </c>
      <c r="T6" s="475">
        <v>19</v>
      </c>
      <c r="U6" s="475">
        <v>20</v>
      </c>
      <c r="V6" s="475">
        <v>21</v>
      </c>
      <c r="W6" s="475">
        <v>22</v>
      </c>
      <c r="X6" s="475">
        <v>23</v>
      </c>
      <c r="Y6" s="475">
        <v>24</v>
      </c>
      <c r="Z6" s="475">
        <v>25</v>
      </c>
      <c r="AA6" s="475">
        <v>26</v>
      </c>
      <c r="AB6" s="475">
        <v>27</v>
      </c>
      <c r="AC6" s="475">
        <v>28</v>
      </c>
      <c r="AD6" s="475">
        <v>29</v>
      </c>
      <c r="AE6" s="475">
        <v>30</v>
      </c>
      <c r="AF6" s="475"/>
      <c r="AG6" s="291"/>
      <c r="AI6" s="901" t="s">
        <v>216</v>
      </c>
    </row>
    <row r="7" spans="1:149" s="479" customFormat="1" x14ac:dyDescent="0.4">
      <c r="A7" s="476"/>
      <c r="B7" s="477" t="s">
        <v>94</v>
      </c>
      <c r="C7" s="477" t="s">
        <v>95</v>
      </c>
      <c r="D7" s="477" t="s">
        <v>89</v>
      </c>
      <c r="E7" s="477" t="s">
        <v>90</v>
      </c>
      <c r="F7" s="477" t="s">
        <v>91</v>
      </c>
      <c r="G7" s="477" t="s">
        <v>92</v>
      </c>
      <c r="H7" s="477" t="s">
        <v>93</v>
      </c>
      <c r="I7" s="477" t="s">
        <v>94</v>
      </c>
      <c r="J7" s="477" t="s">
        <v>95</v>
      </c>
      <c r="K7" s="477" t="s">
        <v>89</v>
      </c>
      <c r="L7" s="477" t="s">
        <v>90</v>
      </c>
      <c r="M7" s="477" t="s">
        <v>91</v>
      </c>
      <c r="N7" s="477" t="s">
        <v>92</v>
      </c>
      <c r="O7" s="477" t="s">
        <v>93</v>
      </c>
      <c r="P7" s="477" t="s">
        <v>94</v>
      </c>
      <c r="Q7" s="477" t="s">
        <v>95</v>
      </c>
      <c r="R7" s="477" t="s">
        <v>89</v>
      </c>
      <c r="S7" s="477" t="s">
        <v>90</v>
      </c>
      <c r="T7" s="477" t="s">
        <v>91</v>
      </c>
      <c r="U7" s="477" t="s">
        <v>92</v>
      </c>
      <c r="V7" s="477" t="s">
        <v>93</v>
      </c>
      <c r="W7" s="477" t="s">
        <v>94</v>
      </c>
      <c r="X7" s="477" t="s">
        <v>95</v>
      </c>
      <c r="Y7" s="477" t="s">
        <v>89</v>
      </c>
      <c r="Z7" s="477" t="s">
        <v>90</v>
      </c>
      <c r="AA7" s="477" t="s">
        <v>91</v>
      </c>
      <c r="AB7" s="477" t="s">
        <v>92</v>
      </c>
      <c r="AC7" s="477" t="s">
        <v>93</v>
      </c>
      <c r="AD7" s="477" t="s">
        <v>94</v>
      </c>
      <c r="AE7" s="477" t="s">
        <v>95</v>
      </c>
      <c r="AF7" s="477"/>
      <c r="AG7" s="477"/>
      <c r="AH7" s="478" t="s">
        <v>19</v>
      </c>
      <c r="AI7" s="901"/>
      <c r="AJ7" s="292" t="s">
        <v>229</v>
      </c>
      <c r="AK7" s="292"/>
      <c r="AL7" s="292"/>
      <c r="AM7" s="292"/>
      <c r="AN7" s="292" t="s">
        <v>55</v>
      </c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</row>
    <row r="8" spans="1:149" s="483" customFormat="1" x14ac:dyDescent="0.35">
      <c r="A8" s="480" t="s">
        <v>133</v>
      </c>
      <c r="B8" s="679">
        <f>5560+1916</f>
        <v>7476</v>
      </c>
      <c r="C8" s="679">
        <f>2831+2342+2697</f>
        <v>7870</v>
      </c>
      <c r="D8" s="790">
        <f>1343+5440</f>
        <v>6783</v>
      </c>
      <c r="E8" s="679">
        <v>1459</v>
      </c>
      <c r="F8" s="679"/>
      <c r="G8" s="679"/>
      <c r="H8" s="679"/>
      <c r="I8" s="679">
        <v>3962</v>
      </c>
      <c r="J8" s="679">
        <v>6085</v>
      </c>
      <c r="K8" s="679">
        <v>6104</v>
      </c>
      <c r="L8" s="681">
        <f>854+3180</f>
        <v>4034</v>
      </c>
      <c r="M8" s="681"/>
      <c r="N8" s="679"/>
      <c r="O8" s="679">
        <f>2454+5090</f>
        <v>7544</v>
      </c>
      <c r="P8" s="679">
        <f>1759+7376</f>
        <v>9135</v>
      </c>
      <c r="Q8" s="679">
        <f>3098+589</f>
        <v>3687</v>
      </c>
      <c r="R8" s="679">
        <f>623+1134+2640</f>
        <v>4397</v>
      </c>
      <c r="S8" s="679">
        <f>5195+(368+386)+(369+361)</f>
        <v>6679</v>
      </c>
      <c r="T8" s="679"/>
      <c r="U8" s="679"/>
      <c r="V8" s="679">
        <f>381+2345</f>
        <v>2726</v>
      </c>
      <c r="W8" s="679">
        <v>5538</v>
      </c>
      <c r="X8" s="679">
        <f>1605+2640</f>
        <v>4245</v>
      </c>
      <c r="Y8" s="679">
        <v>5378</v>
      </c>
      <c r="Z8" s="679">
        <f>3524+461</f>
        <v>3985</v>
      </c>
      <c r="AA8" s="679"/>
      <c r="AB8" s="679"/>
      <c r="AC8" s="679">
        <v>3920</v>
      </c>
      <c r="AD8" s="679"/>
      <c r="AE8" s="679"/>
      <c r="AF8" s="679"/>
      <c r="AG8" s="754"/>
      <c r="AH8" s="481">
        <f>SUM(B8:AG8)</f>
        <v>101007</v>
      </c>
      <c r="AI8" s="527">
        <v>114150</v>
      </c>
      <c r="AJ8" s="294">
        <f>AH8-AI8</f>
        <v>-13143</v>
      </c>
      <c r="AK8" s="482"/>
      <c r="AL8" s="482"/>
      <c r="AM8" s="482"/>
      <c r="AN8" s="482"/>
      <c r="AO8" s="482"/>
      <c r="AP8" s="482"/>
      <c r="AQ8" s="482"/>
      <c r="AR8" s="482"/>
      <c r="AS8" s="482"/>
      <c r="AT8" s="482"/>
      <c r="AU8" s="482"/>
      <c r="AV8" s="482"/>
      <c r="AW8" s="482"/>
      <c r="AX8" s="482"/>
      <c r="AY8" s="482"/>
      <c r="AZ8" s="482"/>
      <c r="BA8" s="482"/>
      <c r="BB8" s="482"/>
      <c r="BC8" s="482"/>
      <c r="BD8" s="482"/>
      <c r="BE8" s="482"/>
      <c r="BF8" s="482"/>
      <c r="BG8" s="482"/>
    </row>
    <row r="9" spans="1:149" x14ac:dyDescent="0.35">
      <c r="A9" s="484" t="s">
        <v>135</v>
      </c>
      <c r="B9" s="679">
        <f t="shared" ref="B9:E9" si="0">B8*0.066</f>
        <v>493.416</v>
      </c>
      <c r="C9" s="679">
        <f t="shared" si="0"/>
        <v>519.42000000000007</v>
      </c>
      <c r="D9" s="679">
        <f t="shared" si="0"/>
        <v>447.678</v>
      </c>
      <c r="E9" s="679">
        <f t="shared" si="0"/>
        <v>96.294000000000011</v>
      </c>
      <c r="F9" s="679"/>
      <c r="G9" s="679"/>
      <c r="H9" s="679">
        <f>H8*0.066</f>
        <v>0</v>
      </c>
      <c r="I9" s="679">
        <f>I8*0.066</f>
        <v>261.49200000000002</v>
      </c>
      <c r="J9" s="679">
        <f>J8*0.066</f>
        <v>401.61</v>
      </c>
      <c r="K9" s="679">
        <f>K8*0.066</f>
        <v>402.86400000000003</v>
      </c>
      <c r="L9" s="679">
        <f>L8*0.066</f>
        <v>266.24400000000003</v>
      </c>
      <c r="M9" s="679">
        <f t="shared" ref="M9:O9" si="1">M8*0.066</f>
        <v>0</v>
      </c>
      <c r="N9" s="679">
        <f t="shared" si="1"/>
        <v>0</v>
      </c>
      <c r="O9" s="679">
        <f t="shared" si="1"/>
        <v>497.904</v>
      </c>
      <c r="P9" s="679">
        <f>P8*0.066</f>
        <v>602.91000000000008</v>
      </c>
      <c r="Q9" s="679">
        <f>Q8*0.066</f>
        <v>243.34200000000001</v>
      </c>
      <c r="R9" s="679">
        <f>R8*0.066</f>
        <v>290.202</v>
      </c>
      <c r="S9" s="679">
        <f>S8*0.066</f>
        <v>440.81400000000002</v>
      </c>
      <c r="T9" s="679"/>
      <c r="U9" s="679"/>
      <c r="V9" s="679">
        <f>V8*0.066</f>
        <v>179.916</v>
      </c>
      <c r="W9" s="679">
        <f>W8*0.066</f>
        <v>365.50800000000004</v>
      </c>
      <c r="X9" s="679">
        <f>X8*0.066</f>
        <v>280.17</v>
      </c>
      <c r="Y9" s="679">
        <f>Y8*0.066</f>
        <v>354.94800000000004</v>
      </c>
      <c r="Z9" s="679">
        <f>Z8*0.066</f>
        <v>263.01</v>
      </c>
      <c r="AA9" s="679">
        <f t="shared" ref="AA9:AD9" si="2">AA8*0.066</f>
        <v>0</v>
      </c>
      <c r="AB9" s="679">
        <f t="shared" si="2"/>
        <v>0</v>
      </c>
      <c r="AC9" s="679">
        <f t="shared" si="2"/>
        <v>258.72000000000003</v>
      </c>
      <c r="AD9" s="679">
        <f t="shared" si="2"/>
        <v>0</v>
      </c>
      <c r="AE9" s="679"/>
      <c r="AF9" s="679"/>
      <c r="AG9" s="755"/>
      <c r="AH9" s="485">
        <f>SUM(B9:AG9)</f>
        <v>6666.4620000000014</v>
      </c>
      <c r="AI9" s="485"/>
      <c r="AL9" s="291" t="s">
        <v>55</v>
      </c>
      <c r="AO9" s="486"/>
    </row>
    <row r="10" spans="1:149" s="487" customFormat="1" x14ac:dyDescent="0.35">
      <c r="A10" s="487" t="s">
        <v>132</v>
      </c>
      <c r="B10" s="759" t="s">
        <v>305</v>
      </c>
      <c r="C10" s="884" t="s">
        <v>302</v>
      </c>
      <c r="D10" s="759" t="s">
        <v>308</v>
      </c>
      <c r="E10" s="808" t="s">
        <v>309</v>
      </c>
      <c r="F10" s="683"/>
      <c r="G10" s="683"/>
      <c r="H10" s="884"/>
      <c r="I10" s="884" t="s">
        <v>302</v>
      </c>
      <c r="J10" s="884" t="s">
        <v>302</v>
      </c>
      <c r="K10" s="884" t="s">
        <v>302</v>
      </c>
      <c r="L10" s="884" t="s">
        <v>314</v>
      </c>
      <c r="M10" s="683"/>
      <c r="N10" s="683"/>
      <c r="O10" s="893" t="s">
        <v>315</v>
      </c>
      <c r="P10" s="893" t="s">
        <v>316</v>
      </c>
      <c r="Q10" s="884" t="s">
        <v>317</v>
      </c>
      <c r="R10" s="894" t="s">
        <v>319</v>
      </c>
      <c r="S10" s="683" t="s">
        <v>318</v>
      </c>
      <c r="T10" s="683"/>
      <c r="U10" s="812"/>
      <c r="V10" s="808" t="s">
        <v>322</v>
      </c>
      <c r="W10" s="896" t="s">
        <v>310</v>
      </c>
      <c r="X10" s="896" t="s">
        <v>323</v>
      </c>
      <c r="Y10" s="884" t="s">
        <v>324</v>
      </c>
      <c r="Z10" s="884" t="s">
        <v>325</v>
      </c>
      <c r="AA10" s="808"/>
      <c r="AB10" s="813"/>
      <c r="AC10" s="893" t="s">
        <v>321</v>
      </c>
      <c r="AD10" s="781"/>
      <c r="AE10" s="682"/>
      <c r="AF10" s="808"/>
      <c r="AG10" s="756"/>
      <c r="AH10" s="488"/>
      <c r="AI10" s="488"/>
      <c r="AJ10" s="291"/>
      <c r="AK10" s="482"/>
      <c r="AL10" s="482" t="s">
        <v>55</v>
      </c>
      <c r="AM10" s="482" t="s">
        <v>55</v>
      </c>
      <c r="AN10" s="482"/>
      <c r="AO10" s="482" t="s">
        <v>55</v>
      </c>
      <c r="AP10" s="482"/>
      <c r="AQ10" s="482"/>
      <c r="AR10" s="482"/>
      <c r="AS10" s="482"/>
      <c r="AT10" s="482"/>
      <c r="AU10" s="482"/>
      <c r="AV10" s="482"/>
      <c r="AW10" s="482"/>
      <c r="AX10" s="482"/>
      <c r="AY10" s="482"/>
      <c r="AZ10" s="482"/>
      <c r="BA10" s="482"/>
      <c r="BB10" s="482"/>
      <c r="BC10" s="482"/>
      <c r="BD10" s="482"/>
      <c r="BE10" s="482"/>
      <c r="BF10" s="482"/>
      <c r="BG10" s="482"/>
    </row>
    <row r="11" spans="1:149" s="492" customFormat="1" ht="1.5" customHeight="1" x14ac:dyDescent="0.35">
      <c r="A11" s="489"/>
      <c r="B11" s="680"/>
      <c r="C11" s="680"/>
      <c r="D11" s="680"/>
      <c r="E11" s="737"/>
      <c r="F11" s="698"/>
      <c r="G11" s="732"/>
      <c r="H11" s="685"/>
      <c r="I11" s="680"/>
      <c r="J11" s="685"/>
      <c r="K11" s="680"/>
      <c r="L11" s="737"/>
      <c r="M11" s="698"/>
      <c r="N11" s="685"/>
      <c r="O11" s="680"/>
      <c r="P11" s="680"/>
      <c r="Q11" s="680"/>
      <c r="R11" s="680"/>
      <c r="S11" s="680"/>
      <c r="T11" s="685"/>
      <c r="U11" s="685"/>
      <c r="V11" s="685"/>
      <c r="W11" s="680"/>
      <c r="X11" s="680"/>
      <c r="Y11" s="680"/>
      <c r="Z11" s="680"/>
      <c r="AA11" s="680"/>
      <c r="AB11" s="680"/>
      <c r="AC11" s="680"/>
      <c r="AD11" s="680"/>
      <c r="AE11" s="680"/>
      <c r="AF11" s="680"/>
      <c r="AG11" s="686"/>
      <c r="AH11" s="490"/>
      <c r="AI11" s="490"/>
      <c r="AJ11" s="491"/>
      <c r="AK11" s="482"/>
      <c r="AL11" s="482"/>
      <c r="AM11" s="482"/>
      <c r="AN11" s="482"/>
      <c r="AO11" s="482"/>
      <c r="AP11" s="482"/>
      <c r="AQ11" s="482"/>
      <c r="AR11" s="482"/>
      <c r="AS11" s="482"/>
      <c r="AT11" s="482"/>
      <c r="AU11" s="482"/>
      <c r="AV11" s="482"/>
      <c r="AW11" s="482"/>
      <c r="AX11" s="482"/>
      <c r="AY11" s="482"/>
      <c r="AZ11" s="482"/>
      <c r="BA11" s="482"/>
      <c r="BB11" s="482"/>
      <c r="BC11" s="482"/>
      <c r="BD11" s="482"/>
      <c r="BE11" s="482"/>
      <c r="BF11" s="482"/>
      <c r="BG11" s="482"/>
      <c r="BH11" s="487"/>
      <c r="BI11" s="487"/>
      <c r="BJ11" s="487"/>
      <c r="BK11" s="487"/>
      <c r="BL11" s="487"/>
      <c r="BM11" s="487"/>
      <c r="BN11" s="487"/>
      <c r="BO11" s="487"/>
      <c r="BP11" s="487"/>
      <c r="BQ11" s="487"/>
      <c r="BR11" s="487"/>
      <c r="BS11" s="487"/>
      <c r="BT11" s="487"/>
      <c r="BU11" s="487"/>
      <c r="BV11" s="487"/>
      <c r="BW11" s="487"/>
      <c r="BX11" s="487"/>
      <c r="BY11" s="487"/>
      <c r="BZ11" s="487"/>
      <c r="CA11" s="487"/>
      <c r="CB11" s="487"/>
      <c r="CC11" s="487"/>
      <c r="CD11" s="487"/>
      <c r="CE11" s="487"/>
      <c r="CF11" s="487"/>
      <c r="CG11" s="487"/>
      <c r="CH11" s="487"/>
      <c r="CI11" s="487"/>
      <c r="CJ11" s="487"/>
      <c r="CK11" s="487"/>
      <c r="CL11" s="487"/>
      <c r="CM11" s="487"/>
      <c r="CN11" s="487"/>
      <c r="CO11" s="487"/>
      <c r="CP11" s="487"/>
      <c r="CQ11" s="487"/>
      <c r="CR11" s="487"/>
      <c r="CS11" s="487"/>
      <c r="CT11" s="487"/>
      <c r="CU11" s="487"/>
      <c r="CV11" s="487"/>
      <c r="CW11" s="487"/>
      <c r="CX11" s="487"/>
      <c r="CY11" s="487"/>
      <c r="CZ11" s="487"/>
      <c r="DA11" s="487"/>
      <c r="DB11" s="487"/>
      <c r="DC11" s="487"/>
      <c r="DD11" s="487"/>
      <c r="DE11" s="487"/>
      <c r="DF11" s="487"/>
      <c r="DG11" s="487"/>
      <c r="DH11" s="487"/>
      <c r="DI11" s="487"/>
      <c r="DJ11" s="487"/>
      <c r="DK11" s="487"/>
      <c r="DL11" s="487"/>
      <c r="DM11" s="487"/>
      <c r="DN11" s="487"/>
      <c r="DO11" s="487"/>
      <c r="DP11" s="487"/>
      <c r="DQ11" s="487"/>
      <c r="DR11" s="487"/>
      <c r="DS11" s="487"/>
      <c r="DT11" s="487"/>
      <c r="DU11" s="487"/>
      <c r="DV11" s="487"/>
      <c r="DW11" s="487"/>
      <c r="DX11" s="487"/>
      <c r="DY11" s="487"/>
      <c r="DZ11" s="487"/>
      <c r="EA11" s="487"/>
      <c r="EB11" s="487"/>
      <c r="EC11" s="487"/>
      <c r="ED11" s="487"/>
      <c r="EE11" s="487"/>
      <c r="EF11" s="487"/>
      <c r="EG11" s="487"/>
      <c r="EH11" s="487"/>
      <c r="EI11" s="487"/>
      <c r="EJ11" s="487"/>
      <c r="EK11" s="487"/>
      <c r="EL11" s="487"/>
      <c r="EM11" s="487"/>
      <c r="EN11" s="487"/>
      <c r="EO11" s="487"/>
      <c r="EP11" s="487"/>
      <c r="EQ11" s="487"/>
      <c r="ER11" s="487"/>
      <c r="ES11" s="487"/>
    </row>
    <row r="12" spans="1:149" ht="27.75" customHeight="1" x14ac:dyDescent="0.4">
      <c r="A12" s="493" t="s">
        <v>210</v>
      </c>
      <c r="B12" s="291">
        <v>338.9</v>
      </c>
      <c r="C12" s="495">
        <v>447</v>
      </c>
      <c r="D12" s="495">
        <v>349.3</v>
      </c>
      <c r="E12" s="495">
        <v>250.7</v>
      </c>
      <c r="F12" s="495"/>
      <c r="G12" s="495"/>
      <c r="H12" s="495">
        <v>451.1</v>
      </c>
      <c r="I12" s="495">
        <v>303.89999999999998</v>
      </c>
      <c r="J12" s="495">
        <v>352.6</v>
      </c>
      <c r="K12" s="495">
        <v>301.60000000000002</v>
      </c>
      <c r="L12" s="495"/>
      <c r="M12" s="495"/>
      <c r="N12" s="495"/>
      <c r="O12" s="495">
        <v>307.39999999999998</v>
      </c>
      <c r="P12" s="495">
        <v>350</v>
      </c>
      <c r="Q12" s="470">
        <v>449.4</v>
      </c>
      <c r="R12" s="495">
        <v>459.5</v>
      </c>
      <c r="S12" s="495">
        <v>51.2</v>
      </c>
      <c r="T12" s="495"/>
      <c r="U12" s="495"/>
      <c r="V12" s="495">
        <v>393.1</v>
      </c>
      <c r="W12" s="495">
        <v>250.9</v>
      </c>
      <c r="X12" s="495"/>
      <c r="Y12" s="495"/>
      <c r="Z12" s="495"/>
      <c r="AA12" s="495"/>
      <c r="AB12" s="495"/>
      <c r="AC12" s="495"/>
      <c r="AD12" s="495"/>
      <c r="AE12" s="495"/>
      <c r="AF12" s="495"/>
      <c r="AG12" s="495"/>
      <c r="AH12" s="496">
        <f>SUM(B12:AF12)</f>
        <v>5056.5999999999995</v>
      </c>
      <c r="AI12" s="497"/>
      <c r="AJ12" s="470"/>
      <c r="AL12" s="291" t="s">
        <v>227</v>
      </c>
    </row>
    <row r="13" spans="1:149" x14ac:dyDescent="0.35">
      <c r="A13" s="498" t="s">
        <v>211</v>
      </c>
      <c r="B13" s="782" t="s">
        <v>302</v>
      </c>
      <c r="C13" s="670" t="s">
        <v>302</v>
      </c>
      <c r="D13" s="670" t="s">
        <v>313</v>
      </c>
      <c r="E13" s="811" t="s">
        <v>311</v>
      </c>
      <c r="F13" s="810"/>
      <c r="G13" s="670"/>
      <c r="H13" s="684" t="s">
        <v>310</v>
      </c>
      <c r="I13" s="759" t="s">
        <v>312</v>
      </c>
      <c r="J13" s="670" t="s">
        <v>302</v>
      </c>
      <c r="K13" s="670" t="s">
        <v>302</v>
      </c>
      <c r="L13" s="670" t="s">
        <v>302</v>
      </c>
      <c r="M13" s="810"/>
      <c r="N13" s="810"/>
      <c r="O13" s="670" t="s">
        <v>302</v>
      </c>
      <c r="P13" s="670" t="s">
        <v>302</v>
      </c>
      <c r="Q13" s="670" t="s">
        <v>302</v>
      </c>
      <c r="R13" s="683" t="s">
        <v>320</v>
      </c>
      <c r="S13" s="808" t="s">
        <v>321</v>
      </c>
      <c r="T13" s="812"/>
      <c r="U13" s="670"/>
      <c r="V13" s="812" t="s">
        <v>310</v>
      </c>
      <c r="W13" s="670" t="s">
        <v>302</v>
      </c>
      <c r="X13" s="670" t="s">
        <v>302</v>
      </c>
      <c r="Y13" s="670" t="s">
        <v>302</v>
      </c>
      <c r="Z13" s="670" t="s">
        <v>302</v>
      </c>
      <c r="AA13" s="670"/>
      <c r="AB13" s="806"/>
      <c r="AC13" s="893" t="s">
        <v>326</v>
      </c>
      <c r="AD13" s="670"/>
      <c r="AE13" s="684"/>
      <c r="AF13" s="684"/>
      <c r="AG13" s="687"/>
      <c r="AH13" s="497"/>
      <c r="AI13" s="497"/>
      <c r="AJ13" s="470"/>
      <c r="AL13" s="291" t="s">
        <v>55</v>
      </c>
      <c r="AO13" s="291" t="s">
        <v>55</v>
      </c>
    </row>
    <row r="14" spans="1:149" ht="24.75" customHeight="1" x14ac:dyDescent="0.35">
      <c r="A14" s="468" t="s">
        <v>213</v>
      </c>
      <c r="B14" s="291">
        <v>7</v>
      </c>
      <c r="C14" s="499">
        <v>9</v>
      </c>
      <c r="D14" s="499">
        <f>4+4</f>
        <v>8</v>
      </c>
      <c r="E14" s="499">
        <v>5</v>
      </c>
      <c r="F14" s="499"/>
      <c r="G14" s="499"/>
      <c r="H14" s="499">
        <v>9</v>
      </c>
      <c r="I14" s="499">
        <f>1+5</f>
        <v>6</v>
      </c>
      <c r="J14" s="499">
        <v>7</v>
      </c>
      <c r="K14" s="499">
        <v>6</v>
      </c>
      <c r="L14" s="499">
        <v>6</v>
      </c>
      <c r="M14" s="499"/>
      <c r="N14" s="499"/>
      <c r="O14" s="499">
        <v>6</v>
      </c>
      <c r="P14" s="499">
        <v>7</v>
      </c>
      <c r="Q14" s="470">
        <v>9</v>
      </c>
      <c r="R14" s="499">
        <f>2+7</f>
        <v>9</v>
      </c>
      <c r="S14" s="499">
        <v>1</v>
      </c>
      <c r="T14" s="499"/>
      <c r="U14" s="499"/>
      <c r="V14" s="499">
        <v>8</v>
      </c>
      <c r="W14" s="733">
        <v>5</v>
      </c>
      <c r="X14" s="499">
        <v>8</v>
      </c>
      <c r="Y14" s="499">
        <v>10</v>
      </c>
      <c r="Z14" s="499">
        <v>1</v>
      </c>
      <c r="AA14" s="499"/>
      <c r="AB14" s="499"/>
      <c r="AC14" s="499">
        <v>8</v>
      </c>
      <c r="AD14" s="499"/>
      <c r="AE14" s="499"/>
      <c r="AF14" s="499"/>
      <c r="AG14" s="499"/>
      <c r="AH14" s="469">
        <f>SUM(B14:AF14)</f>
        <v>135</v>
      </c>
    </row>
    <row r="15" spans="1:149" s="505" customFormat="1" ht="26.25" customHeight="1" x14ac:dyDescent="0.35">
      <c r="A15" s="500" t="s">
        <v>212</v>
      </c>
      <c r="B15" s="502"/>
      <c r="C15" s="502"/>
      <c r="D15" s="502"/>
      <c r="E15" s="502"/>
      <c r="F15" s="502"/>
      <c r="G15" s="502"/>
      <c r="H15" s="502"/>
      <c r="I15" s="502"/>
      <c r="J15" s="502"/>
      <c r="K15" s="502"/>
      <c r="L15" s="502"/>
      <c r="M15" s="502"/>
      <c r="N15" s="502"/>
      <c r="O15" s="502"/>
      <c r="P15" s="502"/>
      <c r="Q15" s="502"/>
      <c r="R15" s="502"/>
      <c r="S15" s="502"/>
      <c r="T15" s="502"/>
      <c r="U15" s="502"/>
      <c r="V15" s="502"/>
      <c r="W15" s="502"/>
      <c r="X15" s="502"/>
      <c r="Y15" s="502"/>
      <c r="Z15" s="502"/>
      <c r="AA15" s="502"/>
      <c r="AB15" s="502"/>
      <c r="AC15" s="502"/>
      <c r="AD15" s="502"/>
      <c r="AE15" s="502"/>
      <c r="AF15" s="502"/>
      <c r="AG15" s="725"/>
      <c r="AH15" s="501">
        <f>IF(AH12=0,"",+(AH36*10)/AH12)</f>
        <v>5.2189218051655271</v>
      </c>
      <c r="AI15" s="503"/>
      <c r="AJ15" s="504"/>
      <c r="AK15" s="291"/>
      <c r="AL15" s="291"/>
      <c r="AM15" s="291"/>
      <c r="AN15" s="291"/>
      <c r="AO15" s="807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291"/>
      <c r="BG15" s="291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8"/>
      <c r="DF15" s="468"/>
      <c r="DG15" s="468"/>
      <c r="DH15" s="468"/>
      <c r="DI15" s="468"/>
      <c r="DJ15" s="468"/>
      <c r="DK15" s="468"/>
      <c r="DL15" s="468"/>
      <c r="DM15" s="468"/>
      <c r="DN15" s="468"/>
      <c r="DO15" s="468"/>
      <c r="DP15" s="468"/>
      <c r="DQ15" s="468"/>
      <c r="DR15" s="468"/>
      <c r="DS15" s="468"/>
      <c r="DT15" s="468"/>
      <c r="DU15" s="468"/>
      <c r="DV15" s="468"/>
      <c r="DW15" s="468"/>
      <c r="DX15" s="468"/>
      <c r="DY15" s="468"/>
      <c r="DZ15" s="468"/>
      <c r="EA15" s="468"/>
      <c r="EB15" s="468"/>
      <c r="EC15" s="468"/>
      <c r="ED15" s="468"/>
      <c r="EE15" s="468"/>
      <c r="EF15" s="468"/>
      <c r="EG15" s="468"/>
      <c r="EH15" s="468"/>
      <c r="EI15" s="468"/>
      <c r="EJ15" s="468"/>
      <c r="EK15" s="468"/>
      <c r="EL15" s="468"/>
      <c r="EM15" s="468"/>
      <c r="EN15" s="468"/>
      <c r="EO15" s="468"/>
      <c r="EP15" s="468"/>
      <c r="EQ15" s="468"/>
      <c r="ER15" s="468"/>
      <c r="ES15" s="468"/>
    </row>
    <row r="16" spans="1:149" ht="19.5" customHeight="1" x14ac:dyDescent="0.35">
      <c r="M16" s="470"/>
    </row>
    <row r="17" spans="1:149" ht="30" x14ac:dyDescent="0.4">
      <c r="A17" s="472" t="s">
        <v>218</v>
      </c>
      <c r="M17" s="470"/>
    </row>
    <row r="18" spans="1:149" s="507" customFormat="1" hidden="1" outlineLevel="1" x14ac:dyDescent="0.4">
      <c r="A18" s="479"/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  <c r="O18" s="506"/>
      <c r="P18" s="506"/>
      <c r="Q18" s="506"/>
      <c r="R18" s="506"/>
      <c r="S18" s="506"/>
      <c r="T18" s="506"/>
      <c r="U18" s="506"/>
      <c r="V18" s="506"/>
      <c r="W18" s="506"/>
      <c r="X18" s="506"/>
      <c r="Y18" s="506"/>
      <c r="Z18" s="506"/>
      <c r="AA18" s="506"/>
      <c r="AB18" s="506"/>
      <c r="AC18" s="506"/>
      <c r="AD18" s="506"/>
      <c r="AE18" s="506"/>
      <c r="AF18" s="506"/>
      <c r="AG18" s="506"/>
      <c r="AH18" s="292" t="s">
        <v>82</v>
      </c>
      <c r="AI18" s="292"/>
      <c r="AJ18" s="506"/>
      <c r="AK18" s="506"/>
      <c r="AL18" s="506"/>
      <c r="AM18" s="506"/>
      <c r="AN18" s="506" t="s">
        <v>55</v>
      </c>
      <c r="AO18" s="506"/>
      <c r="AP18" s="506"/>
      <c r="AQ18" s="506"/>
      <c r="AR18" s="506"/>
      <c r="AS18" s="506"/>
      <c r="AT18" s="506"/>
      <c r="AU18" s="506"/>
      <c r="AV18" s="506"/>
      <c r="AW18" s="506"/>
      <c r="AX18" s="506"/>
      <c r="AY18" s="506"/>
      <c r="AZ18" s="506"/>
      <c r="BA18" s="506"/>
      <c r="BB18" s="506"/>
      <c r="BC18" s="506"/>
      <c r="BD18" s="506"/>
      <c r="BE18" s="506"/>
      <c r="BF18" s="506"/>
      <c r="BG18" s="506"/>
    </row>
    <row r="19" spans="1:149" ht="45.75" hidden="1" customHeight="1" outlineLevel="1" x14ac:dyDescent="0.35">
      <c r="A19" s="508" t="s">
        <v>136</v>
      </c>
      <c r="B19" s="509" t="str">
        <f>+'Water '!$C7</f>
        <v>0</v>
      </c>
      <c r="C19" s="509" t="str">
        <f>+'Water '!$C8</f>
        <v>0</v>
      </c>
      <c r="D19" s="509" t="str">
        <f>+'Water '!$C9</f>
        <v>0</v>
      </c>
      <c r="E19" s="509" t="str">
        <f>+'Water '!$C10</f>
        <v>0</v>
      </c>
      <c r="F19" s="509" t="str">
        <f>+'Water '!$C11</f>
        <v>0</v>
      </c>
      <c r="G19" s="509" t="str">
        <f>+'Water '!$C12</f>
        <v>0</v>
      </c>
      <c r="H19" s="509" t="str">
        <f>+'Water '!$C13</f>
        <v>0</v>
      </c>
      <c r="I19" s="509" t="str">
        <f>+'Water '!$C14</f>
        <v>0</v>
      </c>
      <c r="J19" s="510" t="str">
        <f>+'Water '!$C15</f>
        <v>0</v>
      </c>
      <c r="K19" s="510" t="str">
        <f>+'Water '!$C16</f>
        <v>0</v>
      </c>
      <c r="L19" s="510" t="str">
        <f>+'Water '!$C17</f>
        <v>0</v>
      </c>
      <c r="M19" s="510" t="str">
        <f>+'Water '!$C18</f>
        <v>0</v>
      </c>
      <c r="N19" s="510" t="str">
        <f>+'Water '!$C18</f>
        <v>0</v>
      </c>
      <c r="O19" s="510" t="str">
        <f>+'Water '!$C20</f>
        <v>0</v>
      </c>
      <c r="P19" s="510" t="str">
        <f>+'Water '!$C21</f>
        <v>0</v>
      </c>
      <c r="Q19" s="510" t="str">
        <f>+'Water '!$C22</f>
        <v>0</v>
      </c>
      <c r="R19" s="510" t="str">
        <f>+'Water '!$C23</f>
        <v>0</v>
      </c>
      <c r="S19" s="510" t="str">
        <f>+'Water '!$C24</f>
        <v>0</v>
      </c>
      <c r="T19" s="510" t="str">
        <f>+'Water '!$C25</f>
        <v>0</v>
      </c>
      <c r="U19" s="510" t="str">
        <f>+'Water '!$C26</f>
        <v>0</v>
      </c>
      <c r="V19" s="510" t="str">
        <f>+'Water '!$C27</f>
        <v>0</v>
      </c>
      <c r="W19" s="510" t="str">
        <f>+'Water '!$C28</f>
        <v>0</v>
      </c>
      <c r="X19" s="510" t="str">
        <f>+'Water '!$C29</f>
        <v>0</v>
      </c>
      <c r="Y19" s="510" t="str">
        <f>+'Water '!$C30</f>
        <v>0</v>
      </c>
      <c r="Z19" s="510" t="str">
        <f>+'Water '!$C31</f>
        <v>0</v>
      </c>
      <c r="AA19" s="510" t="str">
        <f>+'Water '!$C32</f>
        <v>0</v>
      </c>
      <c r="AB19" s="510" t="str">
        <f>+'Water '!$C33</f>
        <v>0</v>
      </c>
      <c r="AC19" s="510" t="str">
        <f>+'Water '!$C34</f>
        <v>0</v>
      </c>
      <c r="AD19" s="510" t="str">
        <f>+'Water '!$C35</f>
        <v>0</v>
      </c>
      <c r="AE19" s="510" t="str">
        <f>+'Water '!$C36</f>
        <v>0</v>
      </c>
      <c r="AF19" s="510" t="str">
        <f>+'Water '!$C37</f>
        <v>0</v>
      </c>
      <c r="AG19" s="510"/>
      <c r="AH19" s="485">
        <f>SUM($B19:AF19)</f>
        <v>0</v>
      </c>
      <c r="AI19" s="485"/>
      <c r="AN19" s="291" t="s">
        <v>55</v>
      </c>
    </row>
    <row r="20" spans="1:149" hidden="1" outlineLevel="1" x14ac:dyDescent="0.35">
      <c r="A20" s="508" t="s">
        <v>121</v>
      </c>
      <c r="B20" s="509">
        <f>+'Water '!$D7</f>
        <v>242</v>
      </c>
      <c r="C20" s="509">
        <f>+'Water '!$D8</f>
        <v>232</v>
      </c>
      <c r="D20" s="509">
        <f>+'Water '!$D9</f>
        <v>170</v>
      </c>
      <c r="E20" s="509">
        <f>+'Water '!$D10</f>
        <v>361</v>
      </c>
      <c r="F20" s="509" t="str">
        <f>+'Water '!$D11</f>
        <v>0</v>
      </c>
      <c r="G20" s="509" t="str">
        <f>+'Water '!$D12</f>
        <v>0</v>
      </c>
      <c r="H20" s="509">
        <f>+'Water '!$D13</f>
        <v>69</v>
      </c>
      <c r="I20" s="509">
        <f>+'Water '!$D14</f>
        <v>227</v>
      </c>
      <c r="J20" s="510">
        <f>+'Water '!$D15</f>
        <v>249</v>
      </c>
      <c r="K20" s="510">
        <f>+'Water '!$D16</f>
        <v>81</v>
      </c>
      <c r="L20" s="510">
        <f>+'Water '!$D17</f>
        <v>53</v>
      </c>
      <c r="M20" s="510">
        <f>+'Water '!$D18</f>
        <v>41</v>
      </c>
      <c r="N20" s="510" t="str">
        <f>+'Water '!$D19</f>
        <v>0</v>
      </c>
      <c r="O20" s="510">
        <f>+'Water '!$D20</f>
        <v>254</v>
      </c>
      <c r="P20" s="510">
        <f>+'Water '!$D21</f>
        <v>331</v>
      </c>
      <c r="Q20" s="510">
        <f>+'Water '!$D22</f>
        <v>382</v>
      </c>
      <c r="R20" s="510">
        <f>+'Water '!$D23</f>
        <v>138</v>
      </c>
      <c r="S20" s="511">
        <f>+'Water '!$D24</f>
        <v>527</v>
      </c>
      <c r="T20" s="510">
        <f>+'Water '!$D25</f>
        <v>4</v>
      </c>
      <c r="U20" s="510" t="str">
        <f>+'Water '!$D26</f>
        <v>0</v>
      </c>
      <c r="V20" s="510">
        <f>+'Water '!$D27</f>
        <v>208</v>
      </c>
      <c r="W20" s="510">
        <f>+'Water '!$D28</f>
        <v>135</v>
      </c>
      <c r="X20" s="510">
        <f>+'Water '!$D29</f>
        <v>62</v>
      </c>
      <c r="Y20" s="510">
        <f>+'Water '!$D30</f>
        <v>212</v>
      </c>
      <c r="Z20" s="510">
        <f>+'Water '!$D31</f>
        <v>104</v>
      </c>
      <c r="AA20" s="510">
        <f>+'Water '!$D32</f>
        <v>2</v>
      </c>
      <c r="AB20" s="510">
        <f>+'Water '!$D33</f>
        <v>7</v>
      </c>
      <c r="AC20" s="510" t="str">
        <f>+'Water '!$D34</f>
        <v>0</v>
      </c>
      <c r="AD20" s="510" t="str">
        <f>+'Water '!$D35</f>
        <v>0</v>
      </c>
      <c r="AE20" s="510" t="str">
        <f>+'Water '!$D36</f>
        <v>0</v>
      </c>
      <c r="AF20" s="510" t="str">
        <f>+'Water '!$D37</f>
        <v>0</v>
      </c>
      <c r="AG20" s="510"/>
      <c r="AH20" s="485">
        <f>SUM($B20:AF20)</f>
        <v>4091</v>
      </c>
      <c r="AI20" s="485"/>
      <c r="AJ20" s="486"/>
    </row>
    <row r="21" spans="1:149" hidden="1" outlineLevel="1" x14ac:dyDescent="0.35">
      <c r="A21" s="508" t="s">
        <v>122</v>
      </c>
      <c r="B21" s="509">
        <f>+'Water '!$E7</f>
        <v>241</v>
      </c>
      <c r="C21" s="512">
        <f>+'Water '!$E8</f>
        <v>270</v>
      </c>
      <c r="D21" s="512">
        <f>+'Water '!$E9</f>
        <v>188</v>
      </c>
      <c r="E21" s="512">
        <f>+'Water '!$E10</f>
        <v>95</v>
      </c>
      <c r="F21" s="512" t="str">
        <f>+'Water '!$E11</f>
        <v>0</v>
      </c>
      <c r="G21" s="512" t="str">
        <f>+'Water '!$E12</f>
        <v>0</v>
      </c>
      <c r="H21" s="512">
        <f>+'Water '!$E13</f>
        <v>155</v>
      </c>
      <c r="I21" s="512">
        <f>+'Water '!$E14</f>
        <v>138</v>
      </c>
      <c r="J21" s="512">
        <f>+'Water '!$E15</f>
        <v>238</v>
      </c>
      <c r="K21" s="512">
        <f>+'Water '!$E16</f>
        <v>260</v>
      </c>
      <c r="L21" s="512">
        <f>+'Water '!$E17</f>
        <v>249</v>
      </c>
      <c r="M21" s="512">
        <f>+'Water '!$E18</f>
        <v>125</v>
      </c>
      <c r="N21" s="512" t="str">
        <f>+'Water '!$E19</f>
        <v>0</v>
      </c>
      <c r="O21" s="512">
        <f>+'Water '!$E20</f>
        <v>132</v>
      </c>
      <c r="P21" s="512">
        <f>+'Water '!$E21</f>
        <v>138</v>
      </c>
      <c r="Q21" s="512">
        <f>+'Water '!$E22</f>
        <v>177</v>
      </c>
      <c r="R21" s="512">
        <f>+'Water '!$E23</f>
        <v>294</v>
      </c>
      <c r="S21" s="512">
        <f>+'Water '!$E24</f>
        <v>264</v>
      </c>
      <c r="T21" s="512" t="str">
        <f>+'Water '!$E25</f>
        <v>0</v>
      </c>
      <c r="U21" s="512" t="str">
        <f>+'Water '!$E26</f>
        <v>0</v>
      </c>
      <c r="V21" s="512">
        <f>+'Water '!$E27</f>
        <v>133</v>
      </c>
      <c r="W21" s="512">
        <f>+'Water '!$E28</f>
        <v>174</v>
      </c>
      <c r="X21" s="512">
        <f>+'Water '!$E29</f>
        <v>167</v>
      </c>
      <c r="Y21" s="513">
        <f>+'Water '!$E30</f>
        <v>158</v>
      </c>
      <c r="Z21" s="512">
        <f>+'Water '!$E31</f>
        <v>223</v>
      </c>
      <c r="AA21" s="510">
        <f>+'Water '!$E32</f>
        <v>36</v>
      </c>
      <c r="AB21" s="510" t="str">
        <f>+'Water '!$E33</f>
        <v>0</v>
      </c>
      <c r="AC21" s="510" t="str">
        <f>+'Water '!$E34</f>
        <v>0</v>
      </c>
      <c r="AD21" s="510" t="str">
        <f>+'Water '!$E35</f>
        <v>0</v>
      </c>
      <c r="AE21" s="510" t="str">
        <f>+'Water '!$E36</f>
        <v>0</v>
      </c>
      <c r="AF21" s="510" t="str">
        <f>+'Water '!$E37</f>
        <v>0</v>
      </c>
      <c r="AG21" s="510"/>
      <c r="AH21" s="485">
        <f>SUM($B21:AF21)</f>
        <v>3855</v>
      </c>
      <c r="AI21" s="485"/>
    </row>
    <row r="22" spans="1:149" s="519" customFormat="1" collapsed="1" x14ac:dyDescent="0.4">
      <c r="A22" s="514" t="s">
        <v>164</v>
      </c>
      <c r="B22" s="515">
        <f>SUM(B19:B21)</f>
        <v>483</v>
      </c>
      <c r="C22" s="515">
        <f>SUM(C19:C21)</f>
        <v>502</v>
      </c>
      <c r="D22" s="515">
        <f>SUM(D19:D21)</f>
        <v>358</v>
      </c>
      <c r="E22" s="515">
        <f>SUM(E19:E21)</f>
        <v>456</v>
      </c>
      <c r="F22" s="515">
        <f t="shared" ref="F22:AF22" si="3">SUM(F19:F21)</f>
        <v>0</v>
      </c>
      <c r="G22" s="515">
        <f t="shared" si="3"/>
        <v>0</v>
      </c>
      <c r="H22" s="515">
        <f t="shared" si="3"/>
        <v>224</v>
      </c>
      <c r="I22" s="515">
        <f>SUM(I19:I21)</f>
        <v>365</v>
      </c>
      <c r="J22" s="515">
        <f>SUM(J19:J21)</f>
        <v>487</v>
      </c>
      <c r="K22" s="515">
        <f t="shared" si="3"/>
        <v>341</v>
      </c>
      <c r="L22" s="515">
        <f>SUM(L19:L21)</f>
        <v>302</v>
      </c>
      <c r="M22" s="515">
        <f t="shared" si="3"/>
        <v>166</v>
      </c>
      <c r="N22" s="515">
        <f>SUM(N19:N21)</f>
        <v>0</v>
      </c>
      <c r="O22" s="515">
        <f t="shared" si="3"/>
        <v>386</v>
      </c>
      <c r="P22" s="515">
        <f>SUM(P19:P21)</f>
        <v>469</v>
      </c>
      <c r="Q22" s="515">
        <f t="shared" si="3"/>
        <v>559</v>
      </c>
      <c r="R22" s="515">
        <f>SUM(R19:R21)</f>
        <v>432</v>
      </c>
      <c r="S22" s="515">
        <f>SUM(S19:S21)</f>
        <v>791</v>
      </c>
      <c r="T22" s="515">
        <f t="shared" si="3"/>
        <v>4</v>
      </c>
      <c r="U22" s="515">
        <f t="shared" si="3"/>
        <v>0</v>
      </c>
      <c r="V22" s="515">
        <f>SUM(V19:V21)</f>
        <v>341</v>
      </c>
      <c r="W22" s="515">
        <f t="shared" si="3"/>
        <v>309</v>
      </c>
      <c r="X22" s="515">
        <f t="shared" si="3"/>
        <v>229</v>
      </c>
      <c r="Y22" s="515">
        <f>SUM(Y19:Y21)</f>
        <v>370</v>
      </c>
      <c r="Z22" s="515">
        <f t="shared" si="3"/>
        <v>327</v>
      </c>
      <c r="AA22" s="516">
        <f>SUM(AA19:AA21)</f>
        <v>38</v>
      </c>
      <c r="AB22" s="516">
        <f>SUM(AB19:AB21)</f>
        <v>7</v>
      </c>
      <c r="AC22" s="516">
        <f>SUM(AC19:AC21)</f>
        <v>0</v>
      </c>
      <c r="AD22" s="516">
        <f>SUM(AD19:AD21)</f>
        <v>0</v>
      </c>
      <c r="AE22" s="516">
        <f t="shared" si="3"/>
        <v>0</v>
      </c>
      <c r="AF22" s="516">
        <f t="shared" si="3"/>
        <v>0</v>
      </c>
      <c r="AG22" s="516"/>
      <c r="AH22" s="517">
        <f>SUM($B22:AF22)</f>
        <v>7946</v>
      </c>
      <c r="AI22" s="515"/>
      <c r="AJ22" s="518"/>
      <c r="AK22" s="469"/>
      <c r="AL22" s="469"/>
      <c r="AM22" s="469"/>
      <c r="AN22" s="469"/>
      <c r="AO22" s="469"/>
      <c r="AP22" s="469"/>
      <c r="AQ22" s="469"/>
      <c r="AR22" s="469"/>
      <c r="AS22" s="469"/>
      <c r="AT22" s="469"/>
      <c r="AU22" s="469"/>
      <c r="AV22" s="469"/>
      <c r="AW22" s="469"/>
      <c r="AX22" s="469"/>
      <c r="AY22" s="469"/>
      <c r="AZ22" s="469"/>
      <c r="BA22" s="469"/>
      <c r="BB22" s="469"/>
      <c r="BC22" s="469"/>
      <c r="BD22" s="469"/>
      <c r="BE22" s="469"/>
      <c r="BF22" s="469"/>
      <c r="BG22" s="469"/>
      <c r="BH22" s="472"/>
      <c r="BI22" s="472"/>
      <c r="BJ22" s="472"/>
      <c r="BK22" s="472"/>
      <c r="BL22" s="472"/>
      <c r="BM22" s="472"/>
      <c r="BN22" s="472"/>
      <c r="BO22" s="472"/>
      <c r="BP22" s="472"/>
      <c r="BQ22" s="472"/>
      <c r="BR22" s="472"/>
      <c r="BS22" s="472"/>
      <c r="BT22" s="472"/>
      <c r="BU22" s="472"/>
      <c r="BV22" s="472"/>
      <c r="BW22" s="472"/>
      <c r="BX22" s="472"/>
      <c r="BY22" s="472"/>
      <c r="BZ22" s="472"/>
      <c r="CA22" s="472"/>
      <c r="CB22" s="472"/>
      <c r="CC22" s="472"/>
      <c r="CD22" s="472"/>
      <c r="CE22" s="472"/>
      <c r="CF22" s="472"/>
      <c r="CG22" s="472"/>
      <c r="CH22" s="472"/>
      <c r="CI22" s="472"/>
      <c r="CJ22" s="472"/>
      <c r="CK22" s="472"/>
      <c r="CL22" s="472"/>
      <c r="CM22" s="472"/>
      <c r="CN22" s="472"/>
      <c r="CO22" s="472"/>
      <c r="CP22" s="472"/>
      <c r="CQ22" s="472"/>
      <c r="CR22" s="472"/>
      <c r="CS22" s="472"/>
      <c r="CT22" s="472"/>
      <c r="CU22" s="472"/>
      <c r="CV22" s="472"/>
      <c r="CW22" s="472"/>
      <c r="CX22" s="472"/>
      <c r="CY22" s="472"/>
      <c r="CZ22" s="472"/>
      <c r="DA22" s="472"/>
      <c r="DB22" s="472"/>
      <c r="DC22" s="472"/>
      <c r="DD22" s="472"/>
      <c r="DE22" s="472"/>
      <c r="DF22" s="472"/>
      <c r="DG22" s="472"/>
      <c r="DH22" s="472"/>
      <c r="DI22" s="472"/>
      <c r="DJ22" s="472"/>
      <c r="DK22" s="472"/>
      <c r="DL22" s="472"/>
      <c r="DM22" s="472"/>
      <c r="DN22" s="472"/>
      <c r="DO22" s="472"/>
      <c r="DP22" s="472"/>
      <c r="DQ22" s="472"/>
      <c r="DR22" s="472"/>
      <c r="DS22" s="472"/>
      <c r="DT22" s="472"/>
      <c r="DU22" s="472"/>
      <c r="DV22" s="472"/>
      <c r="DW22" s="472"/>
      <c r="DX22" s="472"/>
      <c r="DY22" s="472"/>
      <c r="DZ22" s="472"/>
      <c r="EA22" s="472"/>
      <c r="EB22" s="472"/>
      <c r="EC22" s="472"/>
      <c r="ED22" s="472"/>
      <c r="EE22" s="472"/>
      <c r="EF22" s="472"/>
      <c r="EG22" s="472"/>
      <c r="EH22" s="472"/>
      <c r="EI22" s="472"/>
      <c r="EJ22" s="472"/>
      <c r="EK22" s="472"/>
      <c r="EL22" s="472"/>
      <c r="EM22" s="472"/>
      <c r="EN22" s="472"/>
      <c r="EO22" s="472"/>
      <c r="EP22" s="472"/>
      <c r="EQ22" s="472"/>
      <c r="ER22" s="472"/>
      <c r="ES22" s="472"/>
    </row>
    <row r="23" spans="1:149" s="472" customFormat="1" hidden="1" x14ac:dyDescent="0.4">
      <c r="A23" s="520"/>
      <c r="B23" s="485"/>
      <c r="C23" s="485"/>
      <c r="D23" s="485"/>
      <c r="E23" s="485"/>
      <c r="F23" s="485"/>
      <c r="G23" s="485"/>
      <c r="H23" s="485"/>
      <c r="I23" s="485"/>
      <c r="J23" s="521"/>
      <c r="K23" s="521"/>
      <c r="L23" s="521"/>
      <c r="M23" s="521"/>
      <c r="N23" s="521"/>
      <c r="O23" s="521"/>
      <c r="P23" s="521"/>
      <c r="Q23" s="521"/>
      <c r="R23" s="521"/>
      <c r="S23" s="521"/>
      <c r="T23" s="521"/>
      <c r="U23" s="521"/>
      <c r="V23" s="521"/>
      <c r="W23" s="521"/>
      <c r="X23" s="521"/>
      <c r="Y23" s="521"/>
      <c r="Z23" s="521"/>
      <c r="AA23" s="521"/>
      <c r="AB23" s="521"/>
      <c r="AC23" s="521"/>
      <c r="AD23" s="521"/>
      <c r="AE23" s="521"/>
      <c r="AF23" s="521"/>
      <c r="AG23" s="521"/>
      <c r="AH23" s="485"/>
      <c r="AI23" s="485"/>
      <c r="AJ23" s="469"/>
      <c r="AK23" s="469"/>
      <c r="AL23" s="469"/>
      <c r="AM23" s="469"/>
      <c r="AN23" s="469"/>
      <c r="AO23" s="469"/>
      <c r="AP23" s="469"/>
      <c r="AQ23" s="469"/>
      <c r="AR23" s="469"/>
      <c r="AS23" s="469"/>
      <c r="AT23" s="469"/>
      <c r="AU23" s="469"/>
      <c r="AV23" s="469"/>
      <c r="AW23" s="469"/>
      <c r="AX23" s="469"/>
      <c r="AY23" s="469"/>
      <c r="AZ23" s="469"/>
      <c r="BA23" s="469"/>
      <c r="BB23" s="469"/>
      <c r="BC23" s="469"/>
      <c r="BD23" s="469"/>
      <c r="BE23" s="469"/>
      <c r="BF23" s="469"/>
      <c r="BG23" s="469"/>
    </row>
    <row r="24" spans="1:149" hidden="1" x14ac:dyDescent="0.35">
      <c r="B24" s="486"/>
      <c r="C24" s="486"/>
      <c r="D24" s="486"/>
      <c r="E24" s="486"/>
      <c r="F24" s="486"/>
      <c r="G24" s="486"/>
      <c r="H24" s="486"/>
      <c r="I24" s="486"/>
      <c r="J24" s="522"/>
      <c r="K24" s="522"/>
      <c r="L24" s="522"/>
      <c r="M24" s="522"/>
      <c r="N24" s="522"/>
      <c r="O24" s="522"/>
      <c r="P24" s="522"/>
      <c r="Q24" s="522"/>
      <c r="R24" s="522"/>
      <c r="S24" s="522"/>
      <c r="T24" s="522"/>
      <c r="U24" s="522"/>
      <c r="V24" s="522"/>
      <c r="W24" s="522"/>
      <c r="X24" s="522"/>
      <c r="Y24" s="522"/>
      <c r="Z24" s="522"/>
      <c r="AA24" s="522"/>
      <c r="AB24" s="522"/>
      <c r="AC24" s="522"/>
      <c r="AD24" s="522"/>
      <c r="AE24" s="522"/>
      <c r="AH24" s="485"/>
      <c r="AI24" s="485"/>
    </row>
    <row r="25" spans="1:149" x14ac:dyDescent="0.35">
      <c r="A25" s="508"/>
      <c r="B25" s="486"/>
      <c r="C25" s="486"/>
      <c r="D25" s="486"/>
      <c r="E25" s="486"/>
      <c r="F25" s="486"/>
      <c r="G25" s="486"/>
      <c r="H25" s="486"/>
      <c r="I25" s="486"/>
      <c r="J25" s="522"/>
      <c r="K25" s="522"/>
      <c r="L25" s="522"/>
      <c r="M25" s="522"/>
      <c r="AH25" s="485">
        <f>SUM($B25:AF25)</f>
        <v>0</v>
      </c>
      <c r="AI25" s="485"/>
    </row>
    <row r="26" spans="1:149" hidden="1" outlineLevel="1" x14ac:dyDescent="0.35">
      <c r="A26" s="523" t="s">
        <v>148</v>
      </c>
      <c r="B26" s="486">
        <f>0.73*(B71+B19)</f>
        <v>205.13</v>
      </c>
      <c r="C26" s="486">
        <f>0.73*(C112+C19)</f>
        <v>186.15</v>
      </c>
      <c r="D26" s="486">
        <f t="shared" ref="D26:AF26" si="4">0.73*(D71+D19)</f>
        <v>143.81</v>
      </c>
      <c r="E26" s="486">
        <f t="shared" si="4"/>
        <v>73</v>
      </c>
      <c r="F26" s="486">
        <f t="shared" si="4"/>
        <v>0</v>
      </c>
      <c r="G26" s="486">
        <f t="shared" si="4"/>
        <v>0</v>
      </c>
      <c r="H26" s="486">
        <f t="shared" si="4"/>
        <v>118.99</v>
      </c>
      <c r="I26" s="486">
        <f t="shared" si="4"/>
        <v>105.12</v>
      </c>
      <c r="J26" s="522">
        <f t="shared" si="4"/>
        <v>168.63</v>
      </c>
      <c r="K26" s="522">
        <f>0.73*(K71+K19)</f>
        <v>223.38</v>
      </c>
      <c r="L26" s="522">
        <f t="shared" si="4"/>
        <v>181.04</v>
      </c>
      <c r="M26" s="522">
        <f t="shared" si="4"/>
        <v>95.63</v>
      </c>
      <c r="N26" s="522">
        <f t="shared" si="4"/>
        <v>0</v>
      </c>
      <c r="O26" s="522">
        <f t="shared" si="4"/>
        <v>101.47</v>
      </c>
      <c r="P26" s="522">
        <f t="shared" si="4"/>
        <v>105.85</v>
      </c>
      <c r="Q26" s="522">
        <f t="shared" si="4"/>
        <v>121.17999999999999</v>
      </c>
      <c r="R26" s="522">
        <f t="shared" si="4"/>
        <v>219.73</v>
      </c>
      <c r="S26" s="522">
        <f t="shared" si="4"/>
        <v>146</v>
      </c>
      <c r="T26" s="522">
        <f t="shared" si="4"/>
        <v>0</v>
      </c>
      <c r="U26" s="522">
        <f t="shared" si="4"/>
        <v>0</v>
      </c>
      <c r="V26" s="522">
        <f t="shared" si="4"/>
        <v>101.47</v>
      </c>
      <c r="W26" s="522">
        <f t="shared" si="4"/>
        <v>134.32</v>
      </c>
      <c r="X26" s="522">
        <f t="shared" si="4"/>
        <v>56.94</v>
      </c>
      <c r="Y26" s="522">
        <f t="shared" si="4"/>
        <v>112.42</v>
      </c>
      <c r="Z26" s="522">
        <f t="shared" si="4"/>
        <v>170.82</v>
      </c>
      <c r="AA26" s="522">
        <f t="shared" si="4"/>
        <v>27.74</v>
      </c>
      <c r="AB26" s="522">
        <f t="shared" si="4"/>
        <v>0</v>
      </c>
      <c r="AC26" s="522">
        <f t="shared" si="4"/>
        <v>0</v>
      </c>
      <c r="AD26" s="522">
        <f t="shared" si="4"/>
        <v>0</v>
      </c>
      <c r="AE26" s="522">
        <f t="shared" si="4"/>
        <v>0</v>
      </c>
      <c r="AF26" s="522">
        <f t="shared" si="4"/>
        <v>0</v>
      </c>
      <c r="AG26" s="522"/>
      <c r="AH26" s="485">
        <f>SUM($B26:AF26)</f>
        <v>2798.82</v>
      </c>
      <c r="AI26" s="524">
        <f>AH29+AH45+AH36</f>
        <v>7490</v>
      </c>
      <c r="AK26" s="525">
        <f>(AI26*10)/AH9</f>
        <v>11.235344925089198</v>
      </c>
    </row>
    <row r="27" spans="1:149" hidden="1" outlineLevel="1" x14ac:dyDescent="0.35">
      <c r="E27" s="486">
        <f>0.73*(E112+E20)</f>
        <v>263.52999999999997</v>
      </c>
      <c r="M27" s="470"/>
      <c r="AI27" s="485"/>
    </row>
    <row r="28" spans="1:149" hidden="1" outlineLevel="1" x14ac:dyDescent="0.35">
      <c r="A28" s="523" t="s">
        <v>127</v>
      </c>
      <c r="B28" s="486" t="str">
        <f>'Water '!R7</f>
        <v>0</v>
      </c>
      <c r="C28" s="486" t="str">
        <f>'Water '!R8</f>
        <v>0</v>
      </c>
      <c r="D28" s="486" t="str">
        <f>'Water '!R9</f>
        <v>0</v>
      </c>
      <c r="E28" s="486" t="str">
        <f>'Water '!R10</f>
        <v>0</v>
      </c>
      <c r="F28" s="486" t="str">
        <f>'Water '!R11</f>
        <v>0</v>
      </c>
      <c r="G28" s="486" t="str">
        <f>'Water '!R12</f>
        <v>0</v>
      </c>
      <c r="H28" s="486" t="str">
        <f>'Water '!R13</f>
        <v>0</v>
      </c>
      <c r="I28" s="486" t="str">
        <f>'Water '!R14</f>
        <v>0</v>
      </c>
      <c r="J28" s="522" t="str">
        <f>'Water '!R15</f>
        <v>0</v>
      </c>
      <c r="K28" s="522" t="str">
        <f>'Water '!R16</f>
        <v>0</v>
      </c>
      <c r="L28" s="522" t="str">
        <f>'Water '!R17</f>
        <v>0</v>
      </c>
      <c r="M28" s="522" t="str">
        <f>'Water '!R18</f>
        <v>0</v>
      </c>
      <c r="N28" s="522" t="str">
        <f>'Water '!R19</f>
        <v>0</v>
      </c>
      <c r="O28" s="522" t="str">
        <f>'Water '!R20</f>
        <v>0</v>
      </c>
      <c r="P28" s="522" t="str">
        <f>'Water '!R21</f>
        <v>0</v>
      </c>
      <c r="Q28" s="522" t="str">
        <f>'Water '!R22</f>
        <v>0</v>
      </c>
      <c r="R28" s="522" t="str">
        <f>'Water '!R23</f>
        <v>0</v>
      </c>
      <c r="S28" s="522" t="str">
        <f>'Water '!R24</f>
        <v>0</v>
      </c>
      <c r="T28" s="522" t="str">
        <f>'Water '!R25</f>
        <v>0</v>
      </c>
      <c r="U28" s="522" t="str">
        <f>'Water '!R26</f>
        <v>0</v>
      </c>
      <c r="V28" s="522" t="str">
        <f>'Water '!R27</f>
        <v>0</v>
      </c>
      <c r="W28" s="522" t="str">
        <f>'Water '!R28</f>
        <v>0</v>
      </c>
      <c r="X28" s="522" t="str">
        <f>'Water '!R29</f>
        <v>0</v>
      </c>
      <c r="Y28" s="522" t="str">
        <f>'Water '!R30</f>
        <v>0</v>
      </c>
      <c r="Z28" s="522" t="str">
        <f>'Water '!R31</f>
        <v>0</v>
      </c>
      <c r="AA28" s="522" t="str">
        <f>'Water '!R32</f>
        <v>0</v>
      </c>
      <c r="AB28" s="522" t="str">
        <f>'Water '!R33</f>
        <v>0</v>
      </c>
      <c r="AC28" s="522" t="str">
        <f>'Water '!R32</f>
        <v>0</v>
      </c>
      <c r="AD28" s="522" t="str">
        <f>'Water '!R35</f>
        <v>0</v>
      </c>
      <c r="AE28" s="522" t="str">
        <f>'Water '!R36</f>
        <v>0</v>
      </c>
      <c r="AF28" s="522" t="str">
        <f>'Water '!R37</f>
        <v>0</v>
      </c>
      <c r="AG28" s="522"/>
      <c r="AH28" s="485">
        <f>SUM($B28:AF28)</f>
        <v>0</v>
      </c>
      <c r="AI28" s="485"/>
      <c r="AR28" s="291" t="s">
        <v>55</v>
      </c>
    </row>
    <row r="29" spans="1:149" hidden="1" outlineLevel="1" x14ac:dyDescent="0.35">
      <c r="A29" s="508" t="s">
        <v>162</v>
      </c>
      <c r="B29" s="509">
        <f>'Water '!H7</f>
        <v>317</v>
      </c>
      <c r="C29" s="509">
        <f>'Water '!H8</f>
        <v>238</v>
      </c>
      <c r="D29" s="509">
        <f>'Water '!H9</f>
        <v>259</v>
      </c>
      <c r="E29" s="509">
        <f>'Water '!H10</f>
        <v>192</v>
      </c>
      <c r="F29" s="509">
        <f>'Water '!H11</f>
        <v>0</v>
      </c>
      <c r="G29" s="509">
        <f>'Water '!H12</f>
        <v>36</v>
      </c>
      <c r="H29" s="509">
        <f>'Water '!H13</f>
        <v>126</v>
      </c>
      <c r="I29" s="509">
        <f>'Water '!H14</f>
        <v>219</v>
      </c>
      <c r="J29" s="510">
        <f>'Water '!H15</f>
        <v>210</v>
      </c>
      <c r="K29" s="510">
        <f>'Water '!H16</f>
        <v>186</v>
      </c>
      <c r="L29" s="510">
        <f>'Water '!H17</f>
        <v>173</v>
      </c>
      <c r="M29" s="510">
        <f>'Water '!H18</f>
        <v>81</v>
      </c>
      <c r="N29" s="510">
        <f>'Water '!H19</f>
        <v>0</v>
      </c>
      <c r="O29" s="510">
        <f>'Water '!$H20</f>
        <v>327</v>
      </c>
      <c r="P29" s="510">
        <f>'Water '!$H21</f>
        <v>270</v>
      </c>
      <c r="Q29" s="510">
        <f>'Water '!$H22</f>
        <v>212</v>
      </c>
      <c r="R29" s="510">
        <f>'Water '!$H23</f>
        <v>240</v>
      </c>
      <c r="S29" s="510">
        <f>'Water '!$H24</f>
        <v>234</v>
      </c>
      <c r="T29" s="510">
        <f>'Water '!$H25</f>
        <v>48</v>
      </c>
      <c r="U29" s="510">
        <f>'Water '!$H26</f>
        <v>73</v>
      </c>
      <c r="V29" s="510">
        <f>'Water '!$H27</f>
        <v>193</v>
      </c>
      <c r="W29" s="510">
        <f>'Water '!$H28</f>
        <v>222</v>
      </c>
      <c r="X29" s="510">
        <f>'Water '!$H29</f>
        <v>197</v>
      </c>
      <c r="Y29" s="510">
        <f>'Water '!$H30</f>
        <v>170</v>
      </c>
      <c r="Z29" s="510">
        <f>'Water '!$H31</f>
        <v>163</v>
      </c>
      <c r="AA29" s="510">
        <f>'Water '!$H32</f>
        <v>68</v>
      </c>
      <c r="AB29" s="510">
        <f>'Water '!$H33</f>
        <v>14</v>
      </c>
      <c r="AC29" s="510">
        <f>'Water '!$H34</f>
        <v>0</v>
      </c>
      <c r="AD29" s="510">
        <f>'Water '!$H35</f>
        <v>0</v>
      </c>
      <c r="AE29" s="510">
        <f>'Water '!$H36</f>
        <v>0</v>
      </c>
      <c r="AF29" s="510">
        <f>'Water '!$H37</f>
        <v>0</v>
      </c>
      <c r="AG29" s="510"/>
      <c r="AH29" s="485">
        <f>SUM($B29:AF29)</f>
        <v>4468</v>
      </c>
      <c r="AI29" s="485"/>
      <c r="AJ29" s="485"/>
    </row>
    <row r="30" spans="1:149" hidden="1" outlineLevel="1" x14ac:dyDescent="0.35">
      <c r="A30" s="508" t="str">
        <f t="shared" ref="A30:AF30" si="5">A36</f>
        <v>Brewhouse</v>
      </c>
      <c r="B30" s="509">
        <f t="shared" si="5"/>
        <v>132</v>
      </c>
      <c r="C30" s="509">
        <f t="shared" si="5"/>
        <v>180</v>
      </c>
      <c r="D30" s="509">
        <f t="shared" si="5"/>
        <v>135</v>
      </c>
      <c r="E30" s="509">
        <f t="shared" si="5"/>
        <v>147</v>
      </c>
      <c r="F30" s="509" t="str">
        <f t="shared" si="5"/>
        <v>0</v>
      </c>
      <c r="G30" s="509" t="str">
        <f t="shared" si="5"/>
        <v>0</v>
      </c>
      <c r="H30" s="509">
        <f>H36</f>
        <v>185</v>
      </c>
      <c r="I30" s="509">
        <f t="shared" si="5"/>
        <v>115</v>
      </c>
      <c r="J30" s="510">
        <f t="shared" si="5"/>
        <v>196</v>
      </c>
      <c r="K30" s="510">
        <f t="shared" si="5"/>
        <v>104</v>
      </c>
      <c r="L30" s="510">
        <f t="shared" si="5"/>
        <v>141</v>
      </c>
      <c r="M30" s="510" t="str">
        <f t="shared" si="5"/>
        <v>0</v>
      </c>
      <c r="N30" s="510" t="str">
        <f t="shared" si="5"/>
        <v>0</v>
      </c>
      <c r="O30" s="510">
        <f t="shared" si="5"/>
        <v>87</v>
      </c>
      <c r="P30" s="510">
        <f t="shared" si="5"/>
        <v>147</v>
      </c>
      <c r="Q30" s="510">
        <f t="shared" si="5"/>
        <v>181</v>
      </c>
      <c r="R30" s="510">
        <f t="shared" si="5"/>
        <v>148</v>
      </c>
      <c r="S30" s="510">
        <f t="shared" si="5"/>
        <v>100</v>
      </c>
      <c r="T30" s="510" t="str">
        <f t="shared" si="5"/>
        <v>0</v>
      </c>
      <c r="U30" s="510" t="str">
        <f t="shared" si="5"/>
        <v>0</v>
      </c>
      <c r="V30" s="510">
        <f t="shared" si="5"/>
        <v>158</v>
      </c>
      <c r="W30" s="510">
        <f t="shared" si="5"/>
        <v>94</v>
      </c>
      <c r="X30" s="510">
        <f t="shared" si="5"/>
        <v>168</v>
      </c>
      <c r="Y30" s="510">
        <f>Y36</f>
        <v>148</v>
      </c>
      <c r="Z30" s="510">
        <f t="shared" si="5"/>
        <v>73</v>
      </c>
      <c r="AA30" s="510" t="str">
        <f t="shared" si="5"/>
        <v>0</v>
      </c>
      <c r="AB30" s="510" t="str">
        <f t="shared" si="5"/>
        <v>0</v>
      </c>
      <c r="AC30" s="510" t="str">
        <f>AC36</f>
        <v>0</v>
      </c>
      <c r="AD30" s="510" t="str">
        <f t="shared" si="5"/>
        <v>0</v>
      </c>
      <c r="AE30" s="510" t="str">
        <f t="shared" si="5"/>
        <v>0</v>
      </c>
      <c r="AF30" s="510" t="str">
        <f t="shared" si="5"/>
        <v>0</v>
      </c>
      <c r="AG30" s="510"/>
      <c r="AH30" s="485">
        <f>AH36</f>
        <v>2639</v>
      </c>
      <c r="AI30" s="485"/>
      <c r="AJ30" s="485"/>
    </row>
    <row r="31" spans="1:149" hidden="1" outlineLevel="1" x14ac:dyDescent="0.35">
      <c r="A31" s="508" t="str">
        <f t="shared" ref="A31:AF31" si="6">A45</f>
        <v>Boiler Supply</v>
      </c>
      <c r="B31" s="509">
        <f t="shared" si="6"/>
        <v>23</v>
      </c>
      <c r="C31" s="509">
        <f t="shared" si="6"/>
        <v>19</v>
      </c>
      <c r="D31" s="509">
        <f t="shared" si="6"/>
        <v>21</v>
      </c>
      <c r="E31" s="509">
        <f t="shared" si="6"/>
        <v>12</v>
      </c>
      <c r="F31" s="509" t="str">
        <f t="shared" si="6"/>
        <v>0</v>
      </c>
      <c r="G31" s="509" t="str">
        <f t="shared" si="6"/>
        <v>0</v>
      </c>
      <c r="H31" s="509">
        <f t="shared" si="6"/>
        <v>16</v>
      </c>
      <c r="I31" s="509">
        <f t="shared" si="6"/>
        <v>33</v>
      </c>
      <c r="J31" s="510">
        <f>J45</f>
        <v>27</v>
      </c>
      <c r="K31" s="510">
        <f>K45</f>
        <v>18</v>
      </c>
      <c r="L31" s="510">
        <f t="shared" si="6"/>
        <v>17</v>
      </c>
      <c r="M31" s="510">
        <f>M45</f>
        <v>3</v>
      </c>
      <c r="N31" s="510">
        <f t="shared" si="6"/>
        <v>2</v>
      </c>
      <c r="O31" s="510">
        <f t="shared" si="6"/>
        <v>19</v>
      </c>
      <c r="P31" s="510">
        <f t="shared" si="6"/>
        <v>25</v>
      </c>
      <c r="Q31" s="510">
        <f t="shared" si="6"/>
        <v>20</v>
      </c>
      <c r="R31" s="510">
        <f t="shared" si="6"/>
        <v>20</v>
      </c>
      <c r="S31" s="510">
        <f t="shared" si="6"/>
        <v>15</v>
      </c>
      <c r="T31" s="510">
        <f t="shared" si="6"/>
        <v>3</v>
      </c>
      <c r="U31" s="510" t="str">
        <f t="shared" si="6"/>
        <v>0</v>
      </c>
      <c r="V31" s="510">
        <f>V45</f>
        <v>19</v>
      </c>
      <c r="W31" s="510">
        <f t="shared" si="6"/>
        <v>17</v>
      </c>
      <c r="X31" s="510">
        <f t="shared" si="6"/>
        <v>15</v>
      </c>
      <c r="Y31" s="510">
        <f t="shared" si="6"/>
        <v>16</v>
      </c>
      <c r="Z31" s="510">
        <f t="shared" si="6"/>
        <v>23</v>
      </c>
      <c r="AA31" s="510" t="str">
        <f t="shared" si="6"/>
        <v>0</v>
      </c>
      <c r="AB31" s="510" t="str">
        <f t="shared" si="6"/>
        <v>0</v>
      </c>
      <c r="AC31" s="510" t="str">
        <f t="shared" si="6"/>
        <v>0</v>
      </c>
      <c r="AD31" s="510" t="str">
        <f t="shared" si="6"/>
        <v>0</v>
      </c>
      <c r="AE31" s="510" t="str">
        <f t="shared" si="6"/>
        <v>0</v>
      </c>
      <c r="AF31" s="510" t="str">
        <f t="shared" si="6"/>
        <v>0</v>
      </c>
      <c r="AG31" s="510"/>
      <c r="AH31" s="485">
        <f>AH45</f>
        <v>383</v>
      </c>
      <c r="AI31" s="485"/>
      <c r="AJ31" s="485"/>
    </row>
    <row r="32" spans="1:149" s="530" customFormat="1" collapsed="1" x14ac:dyDescent="0.4">
      <c r="A32" s="526" t="s">
        <v>149</v>
      </c>
      <c r="B32" s="527">
        <f>SUM(B28:B31)</f>
        <v>472</v>
      </c>
      <c r="C32" s="527">
        <f>SUM(C28:C31)</f>
        <v>437</v>
      </c>
      <c r="D32" s="527">
        <f t="shared" ref="D32:AF32" si="7">SUM(D28:D31)</f>
        <v>415</v>
      </c>
      <c r="E32" s="527">
        <f t="shared" si="7"/>
        <v>351</v>
      </c>
      <c r="F32" s="527">
        <f t="shared" si="7"/>
        <v>0</v>
      </c>
      <c r="G32" s="527">
        <f t="shared" si="7"/>
        <v>36</v>
      </c>
      <c r="H32" s="527">
        <f t="shared" si="7"/>
        <v>327</v>
      </c>
      <c r="I32" s="527">
        <f t="shared" si="7"/>
        <v>367</v>
      </c>
      <c r="J32" s="528">
        <f t="shared" si="7"/>
        <v>433</v>
      </c>
      <c r="K32" s="528">
        <f>SUM(K28:K31)</f>
        <v>308</v>
      </c>
      <c r="L32" s="528">
        <f t="shared" si="7"/>
        <v>331</v>
      </c>
      <c r="M32" s="528">
        <f t="shared" si="7"/>
        <v>84</v>
      </c>
      <c r="N32" s="528">
        <f t="shared" si="7"/>
        <v>2</v>
      </c>
      <c r="O32" s="528">
        <f t="shared" si="7"/>
        <v>433</v>
      </c>
      <c r="P32" s="528">
        <f t="shared" si="7"/>
        <v>442</v>
      </c>
      <c r="Q32" s="528">
        <f>SUM(Q28:Q31)</f>
        <v>413</v>
      </c>
      <c r="R32" s="528">
        <f t="shared" si="7"/>
        <v>408</v>
      </c>
      <c r="S32" s="528">
        <f t="shared" si="7"/>
        <v>349</v>
      </c>
      <c r="T32" s="528">
        <f t="shared" si="7"/>
        <v>51</v>
      </c>
      <c r="U32" s="528">
        <f t="shared" si="7"/>
        <v>73</v>
      </c>
      <c r="V32" s="528">
        <f t="shared" si="7"/>
        <v>370</v>
      </c>
      <c r="W32" s="527">
        <f t="shared" si="7"/>
        <v>333</v>
      </c>
      <c r="X32" s="528">
        <f t="shared" si="7"/>
        <v>380</v>
      </c>
      <c r="Y32" s="528">
        <f t="shared" si="7"/>
        <v>334</v>
      </c>
      <c r="Z32" s="528">
        <f t="shared" si="7"/>
        <v>259</v>
      </c>
      <c r="AA32" s="528">
        <f t="shared" si="7"/>
        <v>68</v>
      </c>
      <c r="AB32" s="528">
        <f t="shared" si="7"/>
        <v>14</v>
      </c>
      <c r="AC32" s="528">
        <f>SUM(AC28:AC31)</f>
        <v>0</v>
      </c>
      <c r="AD32" s="528">
        <f t="shared" si="7"/>
        <v>0</v>
      </c>
      <c r="AE32" s="528">
        <f t="shared" si="7"/>
        <v>0</v>
      </c>
      <c r="AF32" s="528">
        <f t="shared" si="7"/>
        <v>0</v>
      </c>
      <c r="AG32" s="528"/>
      <c r="AH32" s="527">
        <f>SUM($B32:AF32)</f>
        <v>7490</v>
      </c>
      <c r="AI32" s="527"/>
      <c r="AJ32" s="529"/>
      <c r="AK32" s="529"/>
      <c r="AL32" s="529"/>
      <c r="AM32" s="529"/>
      <c r="AN32" s="529"/>
      <c r="AO32" s="529"/>
      <c r="AP32" s="529"/>
      <c r="AQ32" s="529"/>
      <c r="AR32" s="529"/>
      <c r="AS32" s="529"/>
      <c r="AT32" s="529"/>
      <c r="AU32" s="529"/>
      <c r="AV32" s="529"/>
      <c r="AW32" s="529"/>
      <c r="AX32" s="529"/>
      <c r="AY32" s="529"/>
      <c r="AZ32" s="529"/>
      <c r="BA32" s="529"/>
      <c r="BB32" s="529"/>
      <c r="BC32" s="529"/>
      <c r="BD32" s="529"/>
      <c r="BE32" s="529"/>
      <c r="BF32" s="529"/>
      <c r="BG32" s="529"/>
    </row>
    <row r="33" spans="1:149" s="472" customFormat="1" x14ac:dyDescent="0.4">
      <c r="A33" s="531"/>
      <c r="B33" s="485"/>
      <c r="C33" s="485"/>
      <c r="D33" s="485"/>
      <c r="E33" s="485"/>
      <c r="F33" s="485"/>
      <c r="G33" s="485"/>
      <c r="H33" s="485"/>
      <c r="I33" s="485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1"/>
      <c r="AA33" s="521"/>
      <c r="AB33" s="521"/>
      <c r="AC33" s="521"/>
      <c r="AD33" s="521"/>
      <c r="AE33" s="521"/>
      <c r="AF33" s="521"/>
      <c r="AG33" s="521"/>
      <c r="AH33" s="485"/>
      <c r="AI33" s="485"/>
      <c r="AJ33" s="469"/>
      <c r="AK33" s="469"/>
      <c r="AL33" s="469"/>
      <c r="AM33" s="469"/>
      <c r="AN33" s="469"/>
      <c r="AO33" s="469"/>
      <c r="AP33" s="469"/>
      <c r="AQ33" s="469"/>
      <c r="AR33" s="469"/>
      <c r="AS33" s="469"/>
      <c r="AT33" s="469"/>
      <c r="AU33" s="469"/>
      <c r="AV33" s="469"/>
      <c r="AW33" s="469"/>
      <c r="AX33" s="469"/>
      <c r="AY33" s="469"/>
      <c r="AZ33" s="469"/>
      <c r="BA33" s="469"/>
      <c r="BB33" s="469"/>
      <c r="BC33" s="469"/>
      <c r="BD33" s="469"/>
      <c r="BE33" s="469"/>
      <c r="BF33" s="469"/>
      <c r="BG33" s="469"/>
    </row>
    <row r="34" spans="1:149" x14ac:dyDescent="0.35">
      <c r="A34" s="508"/>
      <c r="B34" s="532"/>
      <c r="C34" s="532"/>
      <c r="D34" s="532"/>
      <c r="E34" s="532"/>
      <c r="F34" s="532"/>
      <c r="G34" s="532"/>
      <c r="H34" s="532"/>
      <c r="I34" s="532"/>
      <c r="J34" s="494"/>
      <c r="K34" s="494"/>
      <c r="L34" s="494"/>
      <c r="M34" s="494"/>
      <c r="N34" s="494"/>
      <c r="O34" s="494"/>
      <c r="P34" s="494"/>
      <c r="Q34" s="494"/>
      <c r="R34" s="494"/>
      <c r="S34" s="494"/>
      <c r="T34" s="494"/>
      <c r="U34" s="494"/>
      <c r="V34" s="494"/>
      <c r="W34" s="494"/>
      <c r="X34" s="494"/>
      <c r="Y34" s="494"/>
      <c r="Z34" s="494"/>
      <c r="AA34" s="494"/>
      <c r="AB34" s="494"/>
      <c r="AC34" s="494"/>
      <c r="AD34" s="494"/>
      <c r="AE34" s="494"/>
      <c r="AF34" s="494"/>
      <c r="AG34" s="494"/>
      <c r="AH34" s="533"/>
      <c r="AI34" s="534"/>
    </row>
    <row r="35" spans="1:149" ht="30" x14ac:dyDescent="0.35">
      <c r="A35" s="520" t="s">
        <v>291</v>
      </c>
      <c r="B35" s="486"/>
      <c r="C35" s="486"/>
      <c r="D35" s="486"/>
      <c r="E35" s="486"/>
      <c r="F35" s="486"/>
      <c r="G35" s="486"/>
      <c r="H35" s="486"/>
      <c r="I35" s="486"/>
      <c r="J35" s="522"/>
      <c r="K35" s="522"/>
      <c r="L35" s="522"/>
      <c r="M35" s="522"/>
      <c r="AH35" s="485"/>
      <c r="AI35" s="485"/>
    </row>
    <row r="36" spans="1:149" x14ac:dyDescent="0.35">
      <c r="A36" s="535" t="s">
        <v>70</v>
      </c>
      <c r="B36" s="536">
        <f>+'Water '!$J7</f>
        <v>132</v>
      </c>
      <c r="C36" s="536">
        <f>+'Water '!$J8</f>
        <v>180</v>
      </c>
      <c r="D36" s="536">
        <f>+'Water '!$J9</f>
        <v>135</v>
      </c>
      <c r="E36" s="536">
        <f>+'Water '!$J10</f>
        <v>147</v>
      </c>
      <c r="F36" s="536" t="str">
        <f>+'Water '!$J11</f>
        <v>0</v>
      </c>
      <c r="G36" s="536" t="str">
        <f>+'Water '!$J12</f>
        <v>0</v>
      </c>
      <c r="H36" s="509">
        <f>+'Water '!$J13</f>
        <v>185</v>
      </c>
      <c r="I36" s="536">
        <f>+'Water '!$J14</f>
        <v>115</v>
      </c>
      <c r="J36" s="536">
        <f>+'Water '!$J15</f>
        <v>196</v>
      </c>
      <c r="K36" s="536">
        <f>+'Water '!$J16</f>
        <v>104</v>
      </c>
      <c r="L36" s="509">
        <f>+'Water '!$J17</f>
        <v>141</v>
      </c>
      <c r="M36" s="536" t="str">
        <f>+'Water '!$J18</f>
        <v>0</v>
      </c>
      <c r="N36" s="536" t="str">
        <f>+'Water '!$J19</f>
        <v>0</v>
      </c>
      <c r="O36" s="536">
        <f>+'Water '!$J20</f>
        <v>87</v>
      </c>
      <c r="P36" s="509">
        <f>+'Water '!$J21</f>
        <v>147</v>
      </c>
      <c r="Q36" s="536">
        <f>+'Water '!$J22</f>
        <v>181</v>
      </c>
      <c r="R36" s="509">
        <f>+'Water '!$J23</f>
        <v>148</v>
      </c>
      <c r="S36" s="536">
        <f>+'Water '!$J24</f>
        <v>100</v>
      </c>
      <c r="T36" s="509" t="str">
        <f>+'Water '!$J25</f>
        <v>0</v>
      </c>
      <c r="U36" s="536" t="str">
        <f>+'Water '!$J26</f>
        <v>0</v>
      </c>
      <c r="V36" s="536">
        <f>+'Water '!$J27</f>
        <v>158</v>
      </c>
      <c r="W36" s="536">
        <f>+'Water '!$J28</f>
        <v>94</v>
      </c>
      <c r="X36" s="536">
        <f>+'Water '!$J29</f>
        <v>168</v>
      </c>
      <c r="Y36" s="536">
        <f>+'Water '!$J30</f>
        <v>148</v>
      </c>
      <c r="Z36" s="536">
        <f>+'Water '!$J31</f>
        <v>73</v>
      </c>
      <c r="AA36" s="536" t="str">
        <f>+'Water '!$J32</f>
        <v>0</v>
      </c>
      <c r="AB36" s="536" t="str">
        <f>+'Water '!$J33</f>
        <v>0</v>
      </c>
      <c r="AC36" s="509" t="str">
        <f>+'Water '!$J34</f>
        <v>0</v>
      </c>
      <c r="AD36" s="509" t="str">
        <f>+'Water '!$J35</f>
        <v>0</v>
      </c>
      <c r="AE36" s="509" t="str">
        <f>+'Water '!$J36</f>
        <v>0</v>
      </c>
      <c r="AF36" s="509" t="str">
        <f>+'Water '!$J37</f>
        <v>0</v>
      </c>
      <c r="AG36" s="509"/>
      <c r="AH36" s="485">
        <f>SUM($B36:AF36)</f>
        <v>2639</v>
      </c>
      <c r="AI36" s="485"/>
    </row>
    <row r="37" spans="1:149" s="505" customFormat="1" x14ac:dyDescent="0.35">
      <c r="A37" s="537" t="s">
        <v>226</v>
      </c>
      <c r="B37" s="538" t="str">
        <f>'Water '!X7</f>
        <v>0</v>
      </c>
      <c r="C37" s="538" t="str">
        <f>'Water '!X8</f>
        <v>0</v>
      </c>
      <c r="D37" s="538" t="str">
        <f>'Water '!X9</f>
        <v>0</v>
      </c>
      <c r="E37" s="538" t="str">
        <f>'Water '!X10</f>
        <v>0</v>
      </c>
      <c r="F37" s="538" t="str">
        <f>'Water '!X11</f>
        <v>0</v>
      </c>
      <c r="G37" s="538" t="str">
        <f>'Water '!X12</f>
        <v>0</v>
      </c>
      <c r="H37" s="538" t="str">
        <f>'Water '!X13</f>
        <v>0</v>
      </c>
      <c r="I37" s="538" t="str">
        <f>'Water '!X14</f>
        <v>0</v>
      </c>
      <c r="J37" s="538" t="str">
        <f>'Water '!X15</f>
        <v>0</v>
      </c>
      <c r="K37" s="538" t="str">
        <f>'Water '!X16</f>
        <v>0</v>
      </c>
      <c r="L37" s="538" t="str">
        <f>'Water '!X17</f>
        <v>0</v>
      </c>
      <c r="M37" s="538" t="str">
        <f>'Water '!X18</f>
        <v>0</v>
      </c>
      <c r="N37" s="538" t="str">
        <f>'Water '!X19</f>
        <v>0</v>
      </c>
      <c r="O37" s="538" t="str">
        <f>'Water '!X20</f>
        <v>0</v>
      </c>
      <c r="P37" s="538" t="str">
        <f>'Water '!X21</f>
        <v>0</v>
      </c>
      <c r="Q37" s="538" t="str">
        <f>'Water '!X22</f>
        <v>0</v>
      </c>
      <c r="R37" s="538" t="str">
        <f>'Water '!X23</f>
        <v>0</v>
      </c>
      <c r="S37" s="538" t="str">
        <f>'Water '!X24</f>
        <v>0</v>
      </c>
      <c r="T37" s="538" t="str">
        <f>'Water '!X25</f>
        <v>0</v>
      </c>
      <c r="U37" s="538" t="str">
        <f>'Water '!X26</f>
        <v>0</v>
      </c>
      <c r="V37" s="538" t="str">
        <f>'Water '!X27</f>
        <v>0</v>
      </c>
      <c r="W37" s="538" t="str">
        <f>'Water '!X28</f>
        <v>0</v>
      </c>
      <c r="X37" s="538" t="str">
        <f>'Water '!X29</f>
        <v>0</v>
      </c>
      <c r="Y37" s="538" t="str">
        <f>'Water '!X30</f>
        <v>0</v>
      </c>
      <c r="Z37" s="538" t="str">
        <f>'Water '!X31</f>
        <v>0</v>
      </c>
      <c r="AA37" s="538" t="str">
        <f>'Water '!X32</f>
        <v>0</v>
      </c>
      <c r="AB37" s="538" t="str">
        <f>'Water '!X33</f>
        <v>0</v>
      </c>
      <c r="AC37" s="538" t="str">
        <f>'Water '!X34</f>
        <v>0</v>
      </c>
      <c r="AD37" s="538" t="str">
        <f>'Water '!X35</f>
        <v>0</v>
      </c>
      <c r="AE37" s="538" t="str">
        <f>'Water '!X36</f>
        <v>0</v>
      </c>
      <c r="AF37" s="538" t="str">
        <f>'Water '!X37</f>
        <v>0</v>
      </c>
      <c r="AG37" s="538"/>
      <c r="AH37" s="515">
        <f>SUM($B37:AF37)</f>
        <v>0</v>
      </c>
      <c r="AI37" s="515"/>
      <c r="AJ37" s="475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291"/>
      <c r="AX37" s="291"/>
      <c r="AY37" s="291"/>
      <c r="AZ37" s="291"/>
      <c r="BA37" s="291"/>
      <c r="BB37" s="291"/>
      <c r="BC37" s="291"/>
      <c r="BD37" s="291"/>
      <c r="BE37" s="291"/>
      <c r="BF37" s="291"/>
      <c r="BG37" s="291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8"/>
      <c r="DF37" s="468"/>
      <c r="DG37" s="468"/>
      <c r="DH37" s="468"/>
      <c r="DI37" s="468"/>
      <c r="DJ37" s="468"/>
      <c r="DK37" s="468"/>
      <c r="DL37" s="468"/>
      <c r="DM37" s="468"/>
      <c r="DN37" s="468"/>
      <c r="DO37" s="468"/>
      <c r="DP37" s="468"/>
      <c r="DQ37" s="468"/>
      <c r="DR37" s="468"/>
      <c r="DS37" s="468"/>
      <c r="DT37" s="468"/>
      <c r="DU37" s="468"/>
      <c r="DV37" s="468"/>
      <c r="DW37" s="468"/>
      <c r="DX37" s="468"/>
      <c r="DY37" s="468"/>
      <c r="DZ37" s="468"/>
      <c r="EA37" s="468"/>
      <c r="EB37" s="468"/>
      <c r="EC37" s="468"/>
      <c r="ED37" s="468"/>
      <c r="EE37" s="468"/>
      <c r="EF37" s="468"/>
      <c r="EG37" s="468"/>
      <c r="EH37" s="468"/>
      <c r="EI37" s="468"/>
      <c r="EJ37" s="468"/>
      <c r="EK37" s="468"/>
      <c r="EL37" s="468"/>
      <c r="EM37" s="468"/>
      <c r="EN37" s="468"/>
      <c r="EO37" s="468"/>
      <c r="EP37" s="468"/>
      <c r="EQ37" s="468"/>
      <c r="ER37" s="468"/>
      <c r="ES37" s="468"/>
    </row>
    <row r="38" spans="1:149" ht="32.25" customHeight="1" x14ac:dyDescent="0.35">
      <c r="A38" s="523" t="s">
        <v>185</v>
      </c>
      <c r="B38" s="486"/>
      <c r="C38" s="486"/>
      <c r="D38" s="486"/>
      <c r="E38" s="486"/>
      <c r="F38" s="486"/>
      <c r="G38" s="486"/>
      <c r="H38" s="486"/>
      <c r="I38" s="486"/>
      <c r="J38" s="486"/>
      <c r="K38" s="486"/>
      <c r="L38" s="486"/>
      <c r="M38" s="486"/>
      <c r="N38" s="486"/>
      <c r="O38" s="486"/>
      <c r="P38" s="486"/>
      <c r="Q38" s="486"/>
      <c r="R38" s="486"/>
      <c r="S38" s="486"/>
      <c r="T38" s="486"/>
      <c r="U38" s="486"/>
      <c r="V38" s="486"/>
      <c r="W38" s="486"/>
      <c r="X38" s="486"/>
      <c r="Y38" s="486"/>
      <c r="Z38" s="486"/>
      <c r="AA38" s="486"/>
      <c r="AB38" s="486"/>
      <c r="AC38" s="486"/>
      <c r="AD38" s="486"/>
      <c r="AE38" s="486"/>
      <c r="AF38" s="486"/>
      <c r="AG38" s="486"/>
      <c r="AH38" s="485"/>
      <c r="AI38" s="485"/>
    </row>
    <row r="39" spans="1:149" x14ac:dyDescent="0.35">
      <c r="A39" s="508" t="s">
        <v>217</v>
      </c>
      <c r="B39" s="509" t="str">
        <f>+'Water '!$K7</f>
        <v>0</v>
      </c>
      <c r="C39" s="509" t="str">
        <f>+'Water '!$K8</f>
        <v>0</v>
      </c>
      <c r="D39" s="509" t="str">
        <f>+'Water '!$K9</f>
        <v>0</v>
      </c>
      <c r="E39" s="509" t="str">
        <f>+'Water '!$K10</f>
        <v>0</v>
      </c>
      <c r="F39" s="509" t="str">
        <f>+'Water '!$K9</f>
        <v>0</v>
      </c>
      <c r="G39" s="509" t="str">
        <f>+'Water '!$K12</f>
        <v>0</v>
      </c>
      <c r="H39" s="509" t="str">
        <f>+'Water '!$K13</f>
        <v>0</v>
      </c>
      <c r="I39" s="509" t="str">
        <f>+'Water '!$K14</f>
        <v>0</v>
      </c>
      <c r="J39" s="509" t="str">
        <f>+'Water '!$K15</f>
        <v>0</v>
      </c>
      <c r="K39" s="509" t="str">
        <f>+'Water '!$K16</f>
        <v>0</v>
      </c>
      <c r="L39" s="509" t="str">
        <f>+'Water '!$K17</f>
        <v>0</v>
      </c>
      <c r="M39" s="509" t="str">
        <f>+'Water '!$K18</f>
        <v>0</v>
      </c>
      <c r="N39" s="509" t="str">
        <f>+'Water '!$K19</f>
        <v>0</v>
      </c>
      <c r="O39" s="509" t="str">
        <f>+'Water '!$K20</f>
        <v>0</v>
      </c>
      <c r="P39" s="509" t="str">
        <f>+'Water '!$K21</f>
        <v>0</v>
      </c>
      <c r="Q39" s="509" t="str">
        <f>+'Water '!$K22</f>
        <v>0</v>
      </c>
      <c r="R39" s="509" t="str">
        <f>+'Water '!$K23</f>
        <v>0</v>
      </c>
      <c r="S39" s="509" t="str">
        <f>+'Water '!$K24</f>
        <v>0</v>
      </c>
      <c r="T39" s="509" t="str">
        <f>+'Water '!$K25</f>
        <v>0</v>
      </c>
      <c r="U39" s="509" t="str">
        <f>+'Water '!$K26</f>
        <v>0</v>
      </c>
      <c r="V39" s="509" t="str">
        <f>+'Water '!$K27</f>
        <v>0</v>
      </c>
      <c r="W39" s="509" t="str">
        <f>+'Water '!$K28</f>
        <v>0</v>
      </c>
      <c r="X39" s="509" t="str">
        <f>+'Water '!$K29</f>
        <v>0</v>
      </c>
      <c r="Y39" s="509" t="str">
        <f>+'Water '!$K30</f>
        <v>0</v>
      </c>
      <c r="Z39" s="509" t="str">
        <f>+'Water '!$K31</f>
        <v>0</v>
      </c>
      <c r="AA39" s="509" t="str">
        <f>+'Water '!$K32</f>
        <v>0</v>
      </c>
      <c r="AB39" s="509" t="str">
        <f>+'Water '!$K33</f>
        <v>0</v>
      </c>
      <c r="AC39" s="509" t="str">
        <f>+'Water '!$K34</f>
        <v>0</v>
      </c>
      <c r="AD39" s="509" t="str">
        <f>+'Water '!$K35</f>
        <v>0</v>
      </c>
      <c r="AE39" s="509" t="str">
        <f>+'Water '!$K36</f>
        <v>0</v>
      </c>
      <c r="AF39" s="509" t="str">
        <f>+'Water '!$K37</f>
        <v>0</v>
      </c>
      <c r="AG39" s="509"/>
      <c r="AH39" s="485">
        <f>SUM($B39:AF39)</f>
        <v>0</v>
      </c>
      <c r="AI39" s="485"/>
      <c r="AJ39" s="485"/>
    </row>
    <row r="40" spans="1:149" s="505" customFormat="1" ht="27" customHeight="1" x14ac:dyDescent="0.35">
      <c r="A40" s="539" t="s">
        <v>170</v>
      </c>
      <c r="B40" s="538" t="str">
        <f>'Water '!L7</f>
        <v>0</v>
      </c>
      <c r="C40" s="538" t="str">
        <f>'Water '!L8</f>
        <v>0</v>
      </c>
      <c r="D40" s="538" t="str">
        <f>'Water '!L9</f>
        <v>0</v>
      </c>
      <c r="E40" s="538" t="str">
        <f>'Water '!L10</f>
        <v>0</v>
      </c>
      <c r="F40" s="538" t="str">
        <f>'Water '!L11</f>
        <v>0</v>
      </c>
      <c r="G40" s="538" t="str">
        <f>'Water '!L12</f>
        <v>0</v>
      </c>
      <c r="H40" s="538" t="str">
        <f>'Water '!L13</f>
        <v>0</v>
      </c>
      <c r="I40" s="538" t="str">
        <f>'Water '!L14</f>
        <v>0</v>
      </c>
      <c r="J40" s="538" t="str">
        <f>'Water '!L15</f>
        <v>0</v>
      </c>
      <c r="K40" s="538" t="str">
        <f>'Water '!L16</f>
        <v>0</v>
      </c>
      <c r="L40" s="538" t="str">
        <f>'Water '!L17</f>
        <v>0</v>
      </c>
      <c r="M40" s="538" t="str">
        <f>'Water '!L18</f>
        <v>0</v>
      </c>
      <c r="N40" s="538" t="str">
        <f>'Water '!L19</f>
        <v>0</v>
      </c>
      <c r="O40" s="538" t="str">
        <f>'Water '!L20</f>
        <v>0</v>
      </c>
      <c r="P40" s="538" t="str">
        <f>'Water '!L21</f>
        <v>0</v>
      </c>
      <c r="Q40" s="538" t="str">
        <f>'Water '!L22</f>
        <v>0</v>
      </c>
      <c r="R40" s="538" t="str">
        <f>'Water '!L23</f>
        <v>0</v>
      </c>
      <c r="S40" s="538" t="str">
        <f>'Water '!L24</f>
        <v>0</v>
      </c>
      <c r="T40" s="538" t="str">
        <f>'Water '!L25</f>
        <v>0</v>
      </c>
      <c r="U40" s="538" t="str">
        <f>'Water '!L26</f>
        <v>0</v>
      </c>
      <c r="V40" s="538" t="str">
        <f>'Water '!L27</f>
        <v>0</v>
      </c>
      <c r="W40" s="538" t="str">
        <f>'Water '!L28</f>
        <v>0</v>
      </c>
      <c r="X40" s="538" t="str">
        <f>'Water '!L29</f>
        <v>0</v>
      </c>
      <c r="Y40" s="538" t="str">
        <f>'Water '!L30</f>
        <v>0</v>
      </c>
      <c r="Z40" s="538" t="str">
        <f>'Water '!L31</f>
        <v>0</v>
      </c>
      <c r="AA40" s="538" t="str">
        <f>'Water '!L32</f>
        <v>0</v>
      </c>
      <c r="AB40" s="538" t="str">
        <f>'Water '!L33</f>
        <v>0</v>
      </c>
      <c r="AC40" s="538" t="str">
        <f>'Water '!L34</f>
        <v>0</v>
      </c>
      <c r="AD40" s="538" t="str">
        <f>'Water '!L35</f>
        <v>0</v>
      </c>
      <c r="AE40" s="538" t="str">
        <f>'Water '!L36</f>
        <v>0</v>
      </c>
      <c r="AF40" s="538" t="str">
        <f>'Water '!L37</f>
        <v>0</v>
      </c>
      <c r="AG40" s="538"/>
      <c r="AH40" s="515">
        <f>SUM($B40:AF40)</f>
        <v>0</v>
      </c>
      <c r="AI40" s="515"/>
      <c r="AJ40" s="515"/>
      <c r="AK40" s="291"/>
      <c r="AL40" s="291"/>
      <c r="AM40" s="291" t="s">
        <v>55</v>
      </c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1"/>
      <c r="BF40" s="291"/>
      <c r="BG40" s="291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8"/>
      <c r="DF40" s="468"/>
      <c r="DG40" s="468"/>
      <c r="DH40" s="468"/>
      <c r="DI40" s="468"/>
      <c r="DJ40" s="468"/>
      <c r="DK40" s="468"/>
      <c r="DL40" s="468"/>
      <c r="DM40" s="468"/>
      <c r="DN40" s="468"/>
      <c r="DO40" s="468"/>
      <c r="DP40" s="468"/>
      <c r="DQ40" s="468"/>
      <c r="DR40" s="468"/>
      <c r="DS40" s="468"/>
      <c r="DT40" s="468"/>
      <c r="DU40" s="468"/>
      <c r="DV40" s="468"/>
      <c r="DW40" s="468"/>
      <c r="DX40" s="468"/>
      <c r="DY40" s="468"/>
      <c r="DZ40" s="468"/>
      <c r="EA40" s="468"/>
      <c r="EB40" s="468"/>
      <c r="EC40" s="468"/>
      <c r="ED40" s="468"/>
      <c r="EE40" s="468"/>
      <c r="EF40" s="468"/>
      <c r="EG40" s="468"/>
      <c r="EH40" s="468"/>
      <c r="EI40" s="468"/>
      <c r="EJ40" s="468"/>
      <c r="EK40" s="468"/>
      <c r="EL40" s="468"/>
      <c r="EM40" s="468"/>
      <c r="EN40" s="468"/>
      <c r="EO40" s="468"/>
      <c r="EP40" s="468"/>
      <c r="EQ40" s="468"/>
      <c r="ER40" s="468"/>
      <c r="ES40" s="468"/>
    </row>
    <row r="41" spans="1:149" s="505" customFormat="1" x14ac:dyDescent="0.35">
      <c r="A41" s="539" t="s">
        <v>96</v>
      </c>
      <c r="B41" s="540">
        <f>+'Water '!$N7</f>
        <v>79</v>
      </c>
      <c r="C41" s="540">
        <f>+'Water '!$N8</f>
        <v>39</v>
      </c>
      <c r="D41" s="540">
        <f>+'Water '!$N9</f>
        <v>55</v>
      </c>
      <c r="E41" s="540">
        <f>+'Water '!$N10</f>
        <v>87</v>
      </c>
      <c r="F41" s="540" t="str">
        <f>+'Water '!$N11</f>
        <v>0</v>
      </c>
      <c r="G41" s="540" t="str">
        <f>+'Water '!$N12</f>
        <v>0</v>
      </c>
      <c r="H41" s="540">
        <f>+'Water '!$N13</f>
        <v>50</v>
      </c>
      <c r="I41" s="540">
        <f>+'Water '!$N14</f>
        <v>27</v>
      </c>
      <c r="J41" s="540">
        <f>+'Water '!$N15</f>
        <v>36</v>
      </c>
      <c r="K41" s="540">
        <f>+'Water '!$N16</f>
        <v>17</v>
      </c>
      <c r="L41" s="540">
        <f>+'Water '!$N17</f>
        <v>29</v>
      </c>
      <c r="M41" s="658" t="str">
        <f>+'Water '!$N18</f>
        <v>0</v>
      </c>
      <c r="N41" s="540" t="str">
        <f>+'Water '!$N19</f>
        <v>0</v>
      </c>
      <c r="O41" s="540">
        <f>+'Water '!$N20</f>
        <v>81</v>
      </c>
      <c r="P41" s="540">
        <f>+'Water '!$N21</f>
        <v>31</v>
      </c>
      <c r="Q41" s="540">
        <f>+'Water '!$N22</f>
        <v>33</v>
      </c>
      <c r="R41" s="540">
        <f>+'Water '!$N23</f>
        <v>58</v>
      </c>
      <c r="S41" s="540">
        <f>+'Water '!$N24</f>
        <v>26</v>
      </c>
      <c r="T41" s="540" t="str">
        <f>+'Water '!$N25</f>
        <v>0</v>
      </c>
      <c r="U41" s="540" t="str">
        <f>+'Water '!$N26</f>
        <v>0</v>
      </c>
      <c r="V41" s="540">
        <f>+'Water '!$N27</f>
        <v>72</v>
      </c>
      <c r="W41" s="540">
        <f>+'Water '!$N28</f>
        <v>41</v>
      </c>
      <c r="X41" s="540">
        <f>+'Water '!$N29</f>
        <v>56</v>
      </c>
      <c r="Y41" s="540">
        <f>+'Water '!$N30</f>
        <v>16</v>
      </c>
      <c r="Z41" s="540">
        <f>+'Water '!$N31</f>
        <v>40</v>
      </c>
      <c r="AA41" s="540" t="str">
        <f>+'Water '!$N32</f>
        <v>0</v>
      </c>
      <c r="AB41" s="540" t="str">
        <f>+'Water '!$N33</f>
        <v>0</v>
      </c>
      <c r="AC41" s="540" t="str">
        <f>+'Water '!$N34</f>
        <v>0</v>
      </c>
      <c r="AD41" s="540" t="str">
        <f>+'Water '!$N35</f>
        <v>0</v>
      </c>
      <c r="AE41" s="540" t="str">
        <f>+'Water '!$N36</f>
        <v>0</v>
      </c>
      <c r="AF41" s="540" t="str">
        <f>+'Water '!$N37</f>
        <v>0</v>
      </c>
      <c r="AG41" s="540"/>
      <c r="AH41" s="515">
        <f>SUM($B41:AF41)</f>
        <v>873</v>
      </c>
      <c r="AI41" s="515"/>
      <c r="AJ41" s="515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291"/>
      <c r="AX41" s="291"/>
      <c r="AY41" s="291"/>
      <c r="AZ41" s="291"/>
      <c r="BA41" s="291"/>
      <c r="BB41" s="291"/>
      <c r="BC41" s="291"/>
      <c r="BD41" s="291"/>
      <c r="BE41" s="291"/>
      <c r="BF41" s="291"/>
      <c r="BG41" s="291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8"/>
      <c r="DF41" s="468"/>
      <c r="DG41" s="468"/>
      <c r="DH41" s="468"/>
      <c r="DI41" s="468"/>
      <c r="DJ41" s="468"/>
      <c r="DK41" s="468"/>
      <c r="DL41" s="468"/>
      <c r="DM41" s="468"/>
      <c r="DN41" s="468"/>
      <c r="DO41" s="468"/>
      <c r="DP41" s="468"/>
      <c r="DQ41" s="468"/>
      <c r="DR41" s="468"/>
      <c r="DS41" s="468"/>
      <c r="DT41" s="468"/>
      <c r="DU41" s="468"/>
      <c r="DV41" s="468"/>
      <c r="DW41" s="468"/>
      <c r="DX41" s="468"/>
      <c r="DY41" s="468"/>
      <c r="DZ41" s="468"/>
      <c r="EA41" s="468"/>
      <c r="EB41" s="468"/>
      <c r="EC41" s="468"/>
      <c r="ED41" s="468"/>
      <c r="EE41" s="468"/>
      <c r="EF41" s="468"/>
      <c r="EG41" s="468"/>
      <c r="EH41" s="468"/>
      <c r="EI41" s="468"/>
      <c r="EJ41" s="468"/>
      <c r="EK41" s="468"/>
      <c r="EL41" s="468"/>
      <c r="EM41" s="468"/>
      <c r="EN41" s="468"/>
      <c r="EO41" s="468"/>
      <c r="EP41" s="468"/>
      <c r="EQ41" s="468"/>
      <c r="ER41" s="468"/>
      <c r="ES41" s="468"/>
    </row>
    <row r="42" spans="1:149" s="505" customFormat="1" x14ac:dyDescent="0.35">
      <c r="A42" s="523" t="s">
        <v>125</v>
      </c>
      <c r="B42" s="509">
        <f>+'Water '!$O7</f>
        <v>141</v>
      </c>
      <c r="C42" s="509">
        <f>+'Water '!$O8</f>
        <v>124</v>
      </c>
      <c r="D42" s="509">
        <f>+'Water '!$O9</f>
        <v>117</v>
      </c>
      <c r="E42" s="509">
        <f>+'Water '!$O10</f>
        <v>21</v>
      </c>
      <c r="F42" s="509" t="str">
        <f>+'Water '!$O11</f>
        <v>0</v>
      </c>
      <c r="G42" s="509" t="str">
        <f>+'Water '!$O12</f>
        <v>0</v>
      </c>
      <c r="H42" s="509">
        <f>+'Water '!$O13</f>
        <v>30</v>
      </c>
      <c r="I42" s="509">
        <f>+'Water '!$O14</f>
        <v>84</v>
      </c>
      <c r="J42" s="509">
        <f>+'Water '!$O15</f>
        <v>101</v>
      </c>
      <c r="K42" s="509">
        <f>+'Water '!$O16</f>
        <v>91</v>
      </c>
      <c r="L42" s="509">
        <f>+'Water '!$O17</f>
        <v>69</v>
      </c>
      <c r="M42" s="509">
        <f>+'Water '!$O18</f>
        <v>31</v>
      </c>
      <c r="N42" s="509" t="str">
        <f>+'Water '!$O19</f>
        <v>0</v>
      </c>
      <c r="O42" s="509">
        <f>+'Water '!$O20</f>
        <v>148</v>
      </c>
      <c r="P42" s="509">
        <f>+'Water '!$O21</f>
        <v>126</v>
      </c>
      <c r="Q42" s="509">
        <f>+'Water '!$O22</f>
        <v>85</v>
      </c>
      <c r="R42" s="509">
        <f>+'Water '!$O23</f>
        <v>104</v>
      </c>
      <c r="S42" s="509">
        <f>+'Water '!$O24</f>
        <v>111</v>
      </c>
      <c r="T42" s="509">
        <f>+'Water '!$O25</f>
        <v>8</v>
      </c>
      <c r="U42" s="509">
        <f>+'Water '!$O26</f>
        <v>43</v>
      </c>
      <c r="V42" s="509">
        <f>+'Water '!$O27</f>
        <v>67</v>
      </c>
      <c r="W42" s="509">
        <f>+'Water '!$O28</f>
        <v>101</v>
      </c>
      <c r="X42" s="509">
        <f>+'Water '!$O29</f>
        <v>77</v>
      </c>
      <c r="Y42" s="509">
        <f>+'Water '!$O30</f>
        <v>80</v>
      </c>
      <c r="Z42" s="509">
        <f>+'Water '!$O31</f>
        <v>66</v>
      </c>
      <c r="AA42" s="509" t="str">
        <f>+'Water '!$O32</f>
        <v>0</v>
      </c>
      <c r="AB42" s="509">
        <f>+'Water '!$O33</f>
        <v>31</v>
      </c>
      <c r="AC42" s="509" t="str">
        <f>+'Water '!$O34</f>
        <v>0</v>
      </c>
      <c r="AD42" s="509" t="str">
        <f>+'Water '!$O35</f>
        <v>0</v>
      </c>
      <c r="AE42" s="509" t="str">
        <f>+'Water '!$O36</f>
        <v>0</v>
      </c>
      <c r="AF42" s="509" t="str">
        <f>+'Water '!$O37</f>
        <v>0</v>
      </c>
      <c r="AG42" s="509"/>
      <c r="AH42" s="541">
        <f>SUM($B42:AF42)</f>
        <v>1856</v>
      </c>
      <c r="AI42" s="509"/>
      <c r="AJ42" s="509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291"/>
      <c r="AX42" s="291"/>
      <c r="AY42" s="291"/>
      <c r="AZ42" s="291"/>
      <c r="BA42" s="291"/>
      <c r="BB42" s="291"/>
      <c r="BC42" s="291"/>
      <c r="BD42" s="291"/>
      <c r="BE42" s="291"/>
      <c r="BF42" s="291"/>
      <c r="BG42" s="291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8"/>
      <c r="DF42" s="468"/>
      <c r="DG42" s="468"/>
      <c r="DH42" s="468"/>
      <c r="DI42" s="468"/>
      <c r="DJ42" s="468"/>
      <c r="DK42" s="468"/>
      <c r="DL42" s="468"/>
      <c r="DM42" s="468"/>
      <c r="DN42" s="468"/>
      <c r="DO42" s="468"/>
      <c r="DP42" s="468"/>
      <c r="DQ42" s="468"/>
      <c r="DR42" s="468"/>
      <c r="DS42" s="468"/>
      <c r="DT42" s="468"/>
      <c r="DU42" s="468"/>
      <c r="DV42" s="468"/>
      <c r="DW42" s="468"/>
      <c r="DX42" s="468"/>
      <c r="DY42" s="468"/>
      <c r="DZ42" s="468"/>
      <c r="EA42" s="468"/>
      <c r="EB42" s="468"/>
      <c r="EC42" s="468"/>
      <c r="ED42" s="468"/>
      <c r="EE42" s="468"/>
      <c r="EF42" s="468"/>
      <c r="EG42" s="468"/>
      <c r="EH42" s="468"/>
      <c r="EI42" s="468"/>
      <c r="EJ42" s="468"/>
      <c r="EK42" s="468"/>
      <c r="EL42" s="468"/>
      <c r="EM42" s="468"/>
      <c r="EN42" s="468"/>
      <c r="EO42" s="468"/>
      <c r="EP42" s="468"/>
      <c r="EQ42" s="468"/>
      <c r="ER42" s="468"/>
      <c r="ES42" s="468"/>
    </row>
    <row r="43" spans="1:149" s="505" customFormat="1" x14ac:dyDescent="0.35">
      <c r="A43" s="539" t="s">
        <v>166</v>
      </c>
      <c r="B43" s="542" cm="1">
        <f t="array" ref="B43:AF43">TRANSPOSE('Water '!P7:P37)</f>
        <v>22</v>
      </c>
      <c r="C43" s="542">
        <v>25</v>
      </c>
      <c r="D43" s="542">
        <v>22</v>
      </c>
      <c r="E43" s="542">
        <v>8</v>
      </c>
      <c r="F43" s="543" t="str">
        <v>0</v>
      </c>
      <c r="G43" s="543" t="str">
        <v>0</v>
      </c>
      <c r="H43" s="543">
        <v>1</v>
      </c>
      <c r="I43" s="543">
        <v>15</v>
      </c>
      <c r="J43" s="543">
        <v>16</v>
      </c>
      <c r="K43" s="543">
        <v>16</v>
      </c>
      <c r="L43" s="543">
        <v>13</v>
      </c>
      <c r="M43" s="543">
        <v>2</v>
      </c>
      <c r="N43" s="543" t="str">
        <v>0</v>
      </c>
      <c r="O43" s="543">
        <v>24</v>
      </c>
      <c r="P43" s="543">
        <v>29</v>
      </c>
      <c r="Q43" s="543">
        <v>12</v>
      </c>
      <c r="R43" s="543">
        <v>23</v>
      </c>
      <c r="S43" s="543">
        <v>18</v>
      </c>
      <c r="T43" s="543">
        <v>7</v>
      </c>
      <c r="U43" s="543">
        <v>2</v>
      </c>
      <c r="V43" s="543">
        <v>7</v>
      </c>
      <c r="W43" s="543">
        <v>25</v>
      </c>
      <c r="X43" s="543">
        <v>5</v>
      </c>
      <c r="Y43" s="543">
        <v>15</v>
      </c>
      <c r="Z43" s="543">
        <v>12</v>
      </c>
      <c r="AA43" s="543" t="str">
        <v>0</v>
      </c>
      <c r="AB43" s="543">
        <v>1</v>
      </c>
      <c r="AC43" s="543" t="str">
        <v>0</v>
      </c>
      <c r="AD43" s="543" t="str">
        <v>0</v>
      </c>
      <c r="AE43" s="543" t="str">
        <v>0</v>
      </c>
      <c r="AF43" s="543" t="str">
        <v>0</v>
      </c>
      <c r="AG43" s="543"/>
      <c r="AH43" s="544">
        <f>SUM($B43:AF43)</f>
        <v>320</v>
      </c>
      <c r="AI43" s="545"/>
      <c r="AJ43" s="475"/>
      <c r="AK43" s="291"/>
      <c r="AL43" s="486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291"/>
      <c r="AX43" s="291"/>
      <c r="AY43" s="291"/>
      <c r="AZ43" s="291"/>
      <c r="BA43" s="291"/>
      <c r="BB43" s="291"/>
      <c r="BC43" s="291"/>
      <c r="BD43" s="291"/>
      <c r="BE43" s="291"/>
      <c r="BF43" s="291"/>
      <c r="BG43" s="291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8"/>
      <c r="DF43" s="468"/>
      <c r="DG43" s="468"/>
      <c r="DH43" s="468"/>
      <c r="DI43" s="468"/>
      <c r="DJ43" s="468"/>
      <c r="DK43" s="468"/>
      <c r="DL43" s="468"/>
      <c r="DM43" s="468"/>
      <c r="DN43" s="468"/>
      <c r="DO43" s="468"/>
      <c r="DP43" s="468"/>
      <c r="DQ43" s="468"/>
      <c r="DR43" s="468"/>
      <c r="DS43" s="468"/>
      <c r="DT43" s="468"/>
      <c r="DU43" s="468"/>
      <c r="DV43" s="468"/>
      <c r="DW43" s="468"/>
      <c r="DX43" s="468"/>
      <c r="DY43" s="468"/>
      <c r="DZ43" s="468"/>
      <c r="EA43" s="468"/>
      <c r="EB43" s="468"/>
      <c r="EC43" s="468"/>
      <c r="ED43" s="468"/>
      <c r="EE43" s="468"/>
      <c r="EF43" s="468"/>
      <c r="EG43" s="468"/>
      <c r="EH43" s="468"/>
      <c r="EI43" s="468"/>
      <c r="EJ43" s="468"/>
      <c r="EK43" s="468"/>
      <c r="EL43" s="468"/>
      <c r="EM43" s="468"/>
      <c r="EN43" s="468"/>
      <c r="EO43" s="468"/>
      <c r="EP43" s="468"/>
      <c r="EQ43" s="468"/>
      <c r="ER43" s="468"/>
      <c r="ES43" s="468"/>
    </row>
    <row r="44" spans="1:149" s="505" customFormat="1" x14ac:dyDescent="0.35">
      <c r="A44" s="508" t="s">
        <v>124</v>
      </c>
      <c r="B44" s="541">
        <f>+'Water '!$M7</f>
        <v>3</v>
      </c>
      <c r="C44" s="509">
        <f>+'Water '!$M8</f>
        <v>1</v>
      </c>
      <c r="D44" s="509">
        <f>+'Water '!$M9</f>
        <v>3</v>
      </c>
      <c r="E44" s="509">
        <f>+'Water '!$M10</f>
        <v>1</v>
      </c>
      <c r="F44" s="509" t="str">
        <f>+'Water '!$M11</f>
        <v>0</v>
      </c>
      <c r="G44" s="509" t="str">
        <f>+'Water '!$M12</f>
        <v>0</v>
      </c>
      <c r="H44" s="509" t="str">
        <f>+'Water '!$M13</f>
        <v>0</v>
      </c>
      <c r="I44" s="509">
        <f>+'Water '!$M14</f>
        <v>18</v>
      </c>
      <c r="J44" s="509">
        <f>+'Water '!$M15</f>
        <v>2</v>
      </c>
      <c r="K44" s="509">
        <f>+'Water '!$M16</f>
        <v>6</v>
      </c>
      <c r="L44" s="509">
        <f>+'Water '!$M17</f>
        <v>2</v>
      </c>
      <c r="M44" s="509" t="str">
        <f>+'Water '!$M18</f>
        <v>0</v>
      </c>
      <c r="N44" s="509" t="str">
        <f>+'Water '!$M19</f>
        <v>0</v>
      </c>
      <c r="O44" s="658">
        <f>+'Water '!$M20</f>
        <v>5</v>
      </c>
      <c r="P44" s="509">
        <f>+'Water '!$M21</f>
        <v>8</v>
      </c>
      <c r="Q44" s="509">
        <f>+'Water '!$M22</f>
        <v>1</v>
      </c>
      <c r="R44" s="509">
        <f>+'Water '!$M23</f>
        <v>3</v>
      </c>
      <c r="S44" s="509">
        <f>+'Water '!$M24</f>
        <v>1</v>
      </c>
      <c r="T44" s="509" t="str">
        <f>+'Water '!$M25</f>
        <v>0</v>
      </c>
      <c r="U44" s="509" t="str">
        <f>+'Water '!$M26</f>
        <v>0</v>
      </c>
      <c r="V44" s="509">
        <f>+'Water '!$M27</f>
        <v>1</v>
      </c>
      <c r="W44" s="509">
        <f>+'Water '!$M28</f>
        <v>1</v>
      </c>
      <c r="X44" s="509">
        <f>+'Water '!$M29</f>
        <v>1</v>
      </c>
      <c r="Y44" s="509">
        <f>+'Water '!$M30</f>
        <v>3</v>
      </c>
      <c r="Z44" s="509">
        <f>+'Water '!$M31</f>
        <v>1</v>
      </c>
      <c r="AA44" s="509" t="str">
        <f>+'Water '!$M32</f>
        <v>0</v>
      </c>
      <c r="AB44" s="509" t="str">
        <f>+'Water '!$M33</f>
        <v>0</v>
      </c>
      <c r="AC44" s="509" t="str">
        <f>+'Water '!$M34</f>
        <v>0</v>
      </c>
      <c r="AD44" s="509" t="str">
        <f>+'Water '!$M35</f>
        <v>0</v>
      </c>
      <c r="AE44" s="509" t="str">
        <f>+'Water '!$M36</f>
        <v>0</v>
      </c>
      <c r="AF44" s="509" t="str">
        <f>+'Water '!$M37</f>
        <v>0</v>
      </c>
      <c r="AG44" s="509"/>
      <c r="AH44" s="485">
        <f>SUM($B44:AF44)</f>
        <v>61</v>
      </c>
      <c r="AI44" s="485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8"/>
      <c r="DF44" s="468"/>
      <c r="DG44" s="468"/>
      <c r="DH44" s="468"/>
      <c r="DI44" s="468"/>
      <c r="DJ44" s="468"/>
      <c r="DK44" s="468"/>
      <c r="DL44" s="468"/>
      <c r="DM44" s="468"/>
      <c r="DN44" s="468"/>
      <c r="DO44" s="468"/>
      <c r="DP44" s="468"/>
      <c r="DQ44" s="468"/>
      <c r="DR44" s="468"/>
      <c r="DS44" s="468"/>
      <c r="DT44" s="468"/>
      <c r="DU44" s="468"/>
      <c r="DV44" s="468"/>
      <c r="DW44" s="468"/>
      <c r="DX44" s="468"/>
      <c r="DY44" s="468"/>
      <c r="DZ44" s="468"/>
      <c r="EA44" s="468"/>
      <c r="EB44" s="468"/>
      <c r="EC44" s="468"/>
      <c r="ED44" s="468"/>
      <c r="EE44" s="468"/>
      <c r="EF44" s="468"/>
      <c r="EG44" s="468"/>
      <c r="EH44" s="468"/>
      <c r="EI44" s="468"/>
      <c r="EJ44" s="468"/>
      <c r="EK44" s="468"/>
      <c r="EL44" s="468"/>
      <c r="EM44" s="468"/>
      <c r="EN44" s="468"/>
      <c r="EO44" s="468"/>
      <c r="EP44" s="468"/>
      <c r="EQ44" s="468"/>
      <c r="ER44" s="468"/>
      <c r="ES44" s="468"/>
    </row>
    <row r="45" spans="1:149" s="505" customFormat="1" ht="35.25" customHeight="1" x14ac:dyDescent="0.35">
      <c r="A45" s="539" t="s">
        <v>126</v>
      </c>
      <c r="B45" s="540">
        <f>+'Water '!$Q7</f>
        <v>23</v>
      </c>
      <c r="C45" s="540">
        <f>+'Water '!$Q8</f>
        <v>19</v>
      </c>
      <c r="D45" s="540">
        <f>+'Water '!$Q9</f>
        <v>21</v>
      </c>
      <c r="E45" s="540">
        <f>+'Water '!$Q10</f>
        <v>12</v>
      </c>
      <c r="F45" s="540" t="str">
        <f>+'Water '!$Q11</f>
        <v>0</v>
      </c>
      <c r="G45" s="540" t="str">
        <f>+'Water '!$Q12</f>
        <v>0</v>
      </c>
      <c r="H45" s="540">
        <f>+'Water '!$Q13</f>
        <v>16</v>
      </c>
      <c r="I45" s="540">
        <f>+'Water '!$Q14</f>
        <v>33</v>
      </c>
      <c r="J45" s="540">
        <f>+'Water '!$Q15</f>
        <v>27</v>
      </c>
      <c r="K45" s="540">
        <f>+'Water '!$Q16</f>
        <v>18</v>
      </c>
      <c r="L45" s="540">
        <f>+'Water '!$Q17</f>
        <v>17</v>
      </c>
      <c r="M45" s="540">
        <f>+'Water '!$Q18</f>
        <v>3</v>
      </c>
      <c r="N45" s="540">
        <f>+'Water '!$Q19</f>
        <v>2</v>
      </c>
      <c r="O45" s="540">
        <f>'Water '!$Q20</f>
        <v>19</v>
      </c>
      <c r="P45" s="540">
        <f>'Water '!$Q21</f>
        <v>25</v>
      </c>
      <c r="Q45" s="540">
        <f>+'Water '!$Q22</f>
        <v>20</v>
      </c>
      <c r="R45" s="540">
        <f>'Water '!$Q23</f>
        <v>20</v>
      </c>
      <c r="S45" s="540">
        <f>+'Water '!$Q24</f>
        <v>15</v>
      </c>
      <c r="T45" s="540">
        <f>+'Water '!$Q25</f>
        <v>3</v>
      </c>
      <c r="U45" s="540" t="str">
        <f>+'Water '!$Q26</f>
        <v>0</v>
      </c>
      <c r="V45" s="540">
        <f>+'Water '!$Q27</f>
        <v>19</v>
      </c>
      <c r="W45" s="540">
        <f>+'Water '!$Q28</f>
        <v>17</v>
      </c>
      <c r="X45" s="540">
        <f>+'Water '!$Q29</f>
        <v>15</v>
      </c>
      <c r="Y45" s="540">
        <f>+'Water '!$Q30</f>
        <v>16</v>
      </c>
      <c r="Z45" s="540">
        <f>+'Water '!$Q31</f>
        <v>23</v>
      </c>
      <c r="AA45" s="540" t="str">
        <f>+'Water '!$Q32</f>
        <v>0</v>
      </c>
      <c r="AB45" s="540" t="str">
        <f>+'Water '!$Q33</f>
        <v>0</v>
      </c>
      <c r="AC45" s="540" t="str">
        <f>+'Water '!$Q34</f>
        <v>0</v>
      </c>
      <c r="AD45" s="540" t="str">
        <f>+'Water '!$Q35</f>
        <v>0</v>
      </c>
      <c r="AE45" s="540" t="str">
        <f>+'Water '!$Q36</f>
        <v>0</v>
      </c>
      <c r="AF45" s="540" t="str">
        <f>+'Water '!$Q37</f>
        <v>0</v>
      </c>
      <c r="AG45" s="540"/>
      <c r="AH45" s="515">
        <f>SUM($B45:AF45)</f>
        <v>383</v>
      </c>
      <c r="AI45" s="515"/>
      <c r="AJ45" s="515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291"/>
      <c r="AX45" s="291"/>
      <c r="AY45" s="291"/>
      <c r="AZ45" s="291"/>
      <c r="BA45" s="291"/>
      <c r="BB45" s="291"/>
      <c r="BC45" s="291"/>
      <c r="BD45" s="291"/>
      <c r="BE45" s="291"/>
      <c r="BF45" s="291"/>
      <c r="BG45" s="291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8"/>
      <c r="DF45" s="468"/>
      <c r="DG45" s="468"/>
      <c r="DH45" s="468"/>
      <c r="DI45" s="468"/>
      <c r="DJ45" s="468"/>
      <c r="DK45" s="468"/>
      <c r="DL45" s="468"/>
      <c r="DM45" s="468"/>
      <c r="DN45" s="468"/>
      <c r="DO45" s="468"/>
      <c r="DP45" s="468"/>
      <c r="DQ45" s="468"/>
      <c r="DR45" s="468"/>
      <c r="DS45" s="468"/>
      <c r="DT45" s="468"/>
      <c r="DU45" s="468"/>
      <c r="DV45" s="468"/>
      <c r="DW45" s="468"/>
      <c r="DX45" s="468"/>
      <c r="DY45" s="468"/>
      <c r="DZ45" s="468"/>
      <c r="EA45" s="468"/>
      <c r="EB45" s="468"/>
      <c r="EC45" s="468"/>
      <c r="ED45" s="468"/>
      <c r="EE45" s="468"/>
      <c r="EF45" s="468"/>
      <c r="EG45" s="468"/>
      <c r="EH45" s="468"/>
      <c r="EI45" s="468"/>
      <c r="EJ45" s="468"/>
      <c r="EK45" s="468"/>
      <c r="EL45" s="468"/>
      <c r="EM45" s="468"/>
      <c r="EN45" s="468"/>
      <c r="EO45" s="468"/>
      <c r="EP45" s="468"/>
      <c r="EQ45" s="468"/>
      <c r="ER45" s="468"/>
      <c r="ES45" s="468"/>
    </row>
    <row r="46" spans="1:149" s="505" customFormat="1" x14ac:dyDescent="0.35">
      <c r="A46" s="523" t="s">
        <v>198</v>
      </c>
      <c r="B46" s="486" t="str">
        <f>'Water '!Y7</f>
        <v>0</v>
      </c>
      <c r="C46" s="486" t="str">
        <f>'Water '!Y8</f>
        <v>0</v>
      </c>
      <c r="D46" s="486" t="str">
        <f>'Water '!Y9</f>
        <v>0</v>
      </c>
      <c r="E46" s="486" t="str">
        <f>'Water '!Y10</f>
        <v>0</v>
      </c>
      <c r="F46" s="486" t="str">
        <f>'Water '!Y11</f>
        <v>0</v>
      </c>
      <c r="G46" s="486" t="str">
        <f>'Water '!Y12</f>
        <v>0</v>
      </c>
      <c r="H46" s="486" t="str">
        <f>'Water '!Y13</f>
        <v>0</v>
      </c>
      <c r="I46" s="486" t="str">
        <f>'Water '!Y14</f>
        <v>0</v>
      </c>
      <c r="J46" s="486" t="str">
        <f>'Water '!Y15</f>
        <v>0</v>
      </c>
      <c r="K46" s="486" t="str">
        <f>'Water '!Y16</f>
        <v>0</v>
      </c>
      <c r="L46" s="486" t="str">
        <f>'Water '!Y17</f>
        <v>0</v>
      </c>
      <c r="M46" s="486" t="str">
        <f>'Water '!Y18</f>
        <v>0</v>
      </c>
      <c r="N46" s="486" t="str">
        <f>'Water '!Y19</f>
        <v>0</v>
      </c>
      <c r="O46" s="486" t="str">
        <f>'Water '!Y20</f>
        <v>0</v>
      </c>
      <c r="P46" s="486" t="str">
        <f>'Water '!Y21</f>
        <v>0</v>
      </c>
      <c r="Q46" s="486" t="str">
        <f>'Water '!Y22</f>
        <v>0</v>
      </c>
      <c r="R46" s="486" t="str">
        <f>'Water '!Y23</f>
        <v>0</v>
      </c>
      <c r="S46" s="486" t="str">
        <f>'Water '!Y24</f>
        <v>0</v>
      </c>
      <c r="T46" s="486" t="str">
        <f>'Water '!Y25</f>
        <v>0</v>
      </c>
      <c r="U46" s="486" t="str">
        <f>'Water '!Y26</f>
        <v>0</v>
      </c>
      <c r="V46" s="486" t="str">
        <f>'Water '!Y27</f>
        <v>0</v>
      </c>
      <c r="W46" s="486" t="str">
        <f>'Water '!Y28</f>
        <v>0</v>
      </c>
      <c r="X46" s="486" t="str">
        <f>'Water '!Y29</f>
        <v>0</v>
      </c>
      <c r="Y46" s="486" t="str">
        <f>'Water '!Y30</f>
        <v>0</v>
      </c>
      <c r="Z46" s="486" t="str">
        <f>'Water '!Y31</f>
        <v>0</v>
      </c>
      <c r="AA46" s="486" t="str">
        <f>'Water '!Y32</f>
        <v>0</v>
      </c>
      <c r="AB46" s="486" t="str">
        <f>'Water '!Y33</f>
        <v>0</v>
      </c>
      <c r="AC46" s="486" t="str">
        <f>'Water '!Y34</f>
        <v>0</v>
      </c>
      <c r="AD46" s="486" t="str">
        <f>'Water '!Y35</f>
        <v>0</v>
      </c>
      <c r="AE46" s="486" t="str">
        <f>'Water '!Y36</f>
        <v>0</v>
      </c>
      <c r="AF46" s="486" t="str">
        <f>'Water '!Y37</f>
        <v>0</v>
      </c>
      <c r="AG46" s="486"/>
      <c r="AH46" s="485">
        <f>SUM($B46:AF46)</f>
        <v>0</v>
      </c>
      <c r="AI46" s="485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291"/>
      <c r="AX46" s="291"/>
      <c r="AY46" s="291"/>
      <c r="AZ46" s="291"/>
      <c r="BA46" s="291"/>
      <c r="BB46" s="291"/>
      <c r="BC46" s="291"/>
      <c r="BD46" s="291"/>
      <c r="BE46" s="291"/>
      <c r="BF46" s="291"/>
      <c r="BG46" s="291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8"/>
      <c r="DF46" s="468"/>
      <c r="DG46" s="468"/>
      <c r="DH46" s="468"/>
      <c r="DI46" s="468"/>
      <c r="DJ46" s="468"/>
      <c r="DK46" s="468"/>
      <c r="DL46" s="468"/>
      <c r="DM46" s="468"/>
      <c r="DN46" s="468"/>
      <c r="DO46" s="468"/>
      <c r="DP46" s="468"/>
      <c r="DQ46" s="468"/>
      <c r="DR46" s="468"/>
      <c r="DS46" s="468"/>
      <c r="DT46" s="468"/>
      <c r="DU46" s="468"/>
      <c r="DV46" s="468"/>
      <c r="DW46" s="468"/>
      <c r="DX46" s="468"/>
      <c r="DY46" s="468"/>
      <c r="DZ46" s="468"/>
      <c r="EA46" s="468"/>
      <c r="EB46" s="468"/>
      <c r="EC46" s="468"/>
      <c r="ED46" s="468"/>
      <c r="EE46" s="468"/>
      <c r="EF46" s="468"/>
      <c r="EG46" s="468"/>
      <c r="EH46" s="468"/>
      <c r="EI46" s="468"/>
      <c r="EJ46" s="468"/>
      <c r="EK46" s="468"/>
      <c r="EL46" s="468"/>
      <c r="EM46" s="468"/>
      <c r="EN46" s="468"/>
      <c r="EO46" s="468"/>
      <c r="EP46" s="468"/>
      <c r="EQ46" s="468"/>
      <c r="ER46" s="468"/>
      <c r="ES46" s="468"/>
    </row>
    <row r="47" spans="1:149" x14ac:dyDescent="0.35">
      <c r="A47" s="523" t="s">
        <v>184</v>
      </c>
      <c r="B47" s="486">
        <f>'Water '!I7</f>
        <v>0</v>
      </c>
      <c r="C47" s="486">
        <f>'Water '!I8</f>
        <v>0</v>
      </c>
      <c r="D47" s="486">
        <f>'Water '!I9</f>
        <v>0</v>
      </c>
      <c r="E47" s="486">
        <f>'Water '!I10</f>
        <v>0</v>
      </c>
      <c r="F47" s="486">
        <f>'Water '!I11</f>
        <v>0</v>
      </c>
      <c r="G47" s="486">
        <f>'Water '!I12</f>
        <v>0</v>
      </c>
      <c r="H47" s="486">
        <f>'Water '!I13</f>
        <v>0</v>
      </c>
      <c r="I47" s="486">
        <f>'Water '!I14</f>
        <v>0</v>
      </c>
      <c r="J47" s="486">
        <f>'Water '!I15</f>
        <v>0</v>
      </c>
      <c r="K47" s="486">
        <f>'Water '!I16</f>
        <v>0</v>
      </c>
      <c r="L47" s="486">
        <f>'Water '!I17</f>
        <v>0</v>
      </c>
      <c r="M47" s="486">
        <f>'Water '!I18</f>
        <v>0</v>
      </c>
      <c r="N47" s="486">
        <f>'Water '!I19</f>
        <v>0</v>
      </c>
      <c r="O47" s="486">
        <f>'Water '!I20</f>
        <v>0</v>
      </c>
      <c r="P47" s="486">
        <f>'Water '!I21</f>
        <v>0</v>
      </c>
      <c r="Q47" s="486">
        <f>'Water '!I22</f>
        <v>0</v>
      </c>
      <c r="R47" s="486">
        <f>'Water '!I23</f>
        <v>0</v>
      </c>
      <c r="S47" s="486">
        <f>'Water '!I24</f>
        <v>0</v>
      </c>
      <c r="T47" s="486">
        <f>'Water '!I25</f>
        <v>0</v>
      </c>
      <c r="U47" s="486">
        <f>'Water '!I26</f>
        <v>0</v>
      </c>
      <c r="V47" s="486">
        <f>'Water '!I27</f>
        <v>0</v>
      </c>
      <c r="W47" s="486">
        <f>'Water '!I28</f>
        <v>0</v>
      </c>
      <c r="X47" s="486">
        <f>'Water '!I29</f>
        <v>0</v>
      </c>
      <c r="Y47" s="486">
        <f>'Water '!I30</f>
        <v>0</v>
      </c>
      <c r="Z47" s="486">
        <f>'Water '!I31</f>
        <v>0</v>
      </c>
      <c r="AA47" s="486">
        <f>'Water '!I32</f>
        <v>0</v>
      </c>
      <c r="AB47" s="486">
        <f>'Water '!I33</f>
        <v>0</v>
      </c>
      <c r="AC47" s="486">
        <f>'Water '!I34</f>
        <v>0</v>
      </c>
      <c r="AD47" s="486">
        <f>'Water '!I35</f>
        <v>0</v>
      </c>
      <c r="AE47" s="486">
        <f>'Water '!I36</f>
        <v>0</v>
      </c>
      <c r="AF47" s="486">
        <f>'Water '!I37</f>
        <v>0</v>
      </c>
      <c r="AG47" s="486"/>
      <c r="AH47" s="485">
        <f>SUM($B47:AF47)</f>
        <v>0</v>
      </c>
      <c r="AI47" s="485"/>
    </row>
    <row r="48" spans="1:149" ht="24" customHeight="1" x14ac:dyDescent="0.35">
      <c r="A48" s="523" t="s">
        <v>197</v>
      </c>
      <c r="B48" s="486"/>
      <c r="C48" s="486"/>
      <c r="D48" s="486"/>
      <c r="E48" s="486"/>
      <c r="F48" s="486"/>
      <c r="G48" s="486"/>
      <c r="H48" s="486"/>
      <c r="I48" s="486"/>
      <c r="J48" s="486"/>
      <c r="K48" s="486"/>
      <c r="L48" s="486"/>
      <c r="M48" s="486"/>
      <c r="N48" s="486"/>
      <c r="O48" s="486"/>
      <c r="P48" s="486"/>
      <c r="Q48" s="486"/>
      <c r="R48" s="486"/>
      <c r="S48" s="486"/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485"/>
      <c r="AI48" s="485"/>
    </row>
    <row r="49" spans="1:59" x14ac:dyDescent="0.35">
      <c r="A49" s="523" t="s">
        <v>163</v>
      </c>
      <c r="B49" s="509"/>
      <c r="C49" s="509"/>
      <c r="D49" s="509"/>
      <c r="E49" s="509"/>
      <c r="F49" s="509"/>
      <c r="G49" s="509"/>
      <c r="H49" s="509"/>
      <c r="I49" s="509"/>
      <c r="J49" s="509"/>
      <c r="K49" s="509"/>
      <c r="L49" s="509"/>
      <c r="M49" s="509"/>
      <c r="N49" s="509"/>
      <c r="O49" s="509"/>
      <c r="P49" s="509"/>
      <c r="Q49" s="509"/>
      <c r="R49" s="509"/>
      <c r="S49" s="509"/>
      <c r="T49" s="509"/>
      <c r="U49" s="509"/>
      <c r="V49" s="509"/>
      <c r="W49" s="509"/>
      <c r="X49" s="509"/>
      <c r="Y49" s="509"/>
      <c r="Z49" s="509"/>
      <c r="AA49" s="509"/>
      <c r="AB49" s="509"/>
      <c r="AC49" s="509"/>
      <c r="AD49" s="509"/>
      <c r="AE49" s="509"/>
      <c r="AF49" s="509"/>
      <c r="AG49" s="509"/>
      <c r="AH49" s="485">
        <f>SUM($B49:AF49)</f>
        <v>0</v>
      </c>
      <c r="AI49" s="485"/>
      <c r="AJ49" s="485"/>
    </row>
    <row r="50" spans="1:59" ht="30" x14ac:dyDescent="0.4">
      <c r="A50" s="472" t="s">
        <v>219</v>
      </c>
      <c r="B50" s="485">
        <f>SUM(B36:B48)</f>
        <v>400</v>
      </c>
      <c r="C50" s="485">
        <f t="shared" ref="C50:AE50" si="8">SUM(C36:C48)</f>
        <v>388</v>
      </c>
      <c r="D50" s="485">
        <f t="shared" si="8"/>
        <v>353</v>
      </c>
      <c r="E50" s="485">
        <f t="shared" si="8"/>
        <v>276</v>
      </c>
      <c r="F50" s="485">
        <f t="shared" si="8"/>
        <v>0</v>
      </c>
      <c r="G50" s="485">
        <f>SUM(G36:G48)</f>
        <v>0</v>
      </c>
      <c r="H50" s="485">
        <f t="shared" si="8"/>
        <v>282</v>
      </c>
      <c r="I50" s="485">
        <f t="shared" si="8"/>
        <v>292</v>
      </c>
      <c r="J50" s="485">
        <f t="shared" si="8"/>
        <v>378</v>
      </c>
      <c r="K50" s="485">
        <f t="shared" si="8"/>
        <v>252</v>
      </c>
      <c r="L50" s="485">
        <f t="shared" si="8"/>
        <v>271</v>
      </c>
      <c r="M50" s="485">
        <f t="shared" si="8"/>
        <v>36</v>
      </c>
      <c r="N50" s="485">
        <f t="shared" si="8"/>
        <v>2</v>
      </c>
      <c r="O50" s="485">
        <f t="shared" si="8"/>
        <v>364</v>
      </c>
      <c r="P50" s="485">
        <f t="shared" si="8"/>
        <v>366</v>
      </c>
      <c r="Q50" s="485">
        <f>SUM(Q36:Q48)</f>
        <v>332</v>
      </c>
      <c r="R50" s="485">
        <f t="shared" si="8"/>
        <v>356</v>
      </c>
      <c r="S50" s="485">
        <f>SUM(S36:S48)</f>
        <v>271</v>
      </c>
      <c r="T50" s="485">
        <f t="shared" si="8"/>
        <v>18</v>
      </c>
      <c r="U50" s="485">
        <f t="shared" si="8"/>
        <v>45</v>
      </c>
      <c r="V50" s="485">
        <f t="shared" si="8"/>
        <v>324</v>
      </c>
      <c r="W50" s="485">
        <f t="shared" si="8"/>
        <v>279</v>
      </c>
      <c r="X50" s="485">
        <f t="shared" si="8"/>
        <v>322</v>
      </c>
      <c r="Y50" s="485">
        <f t="shared" si="8"/>
        <v>278</v>
      </c>
      <c r="Z50" s="485">
        <f t="shared" si="8"/>
        <v>215</v>
      </c>
      <c r="AA50" s="485">
        <f t="shared" si="8"/>
        <v>0</v>
      </c>
      <c r="AB50" s="485">
        <f t="shared" si="8"/>
        <v>32</v>
      </c>
      <c r="AC50" s="485">
        <f t="shared" si="8"/>
        <v>0</v>
      </c>
      <c r="AD50" s="485">
        <f>SUM(AD36:AD48)</f>
        <v>0</v>
      </c>
      <c r="AE50" s="485">
        <f t="shared" si="8"/>
        <v>0</v>
      </c>
      <c r="AF50" s="485">
        <f>SUM(AF36:AF48)</f>
        <v>0</v>
      </c>
      <c r="AG50" s="485"/>
      <c r="AH50" s="485">
        <f>SUM($B50:AF50)</f>
        <v>6132</v>
      </c>
      <c r="AI50" s="485"/>
    </row>
    <row r="51" spans="1:59" x14ac:dyDescent="0.35">
      <c r="A51" s="531"/>
      <c r="B51" s="485"/>
      <c r="C51" s="485"/>
      <c r="D51" s="485"/>
      <c r="E51" s="485"/>
      <c r="F51" s="485"/>
      <c r="G51" s="485"/>
      <c r="H51" s="485"/>
      <c r="I51" s="485"/>
      <c r="J51" s="521"/>
      <c r="K51" s="521"/>
      <c r="L51" s="521"/>
      <c r="M51" s="521"/>
      <c r="N51" s="521"/>
      <c r="O51" s="521"/>
      <c r="P51" s="521"/>
      <c r="Q51" s="521"/>
      <c r="R51" s="521"/>
      <c r="S51" s="521"/>
      <c r="T51" s="521"/>
      <c r="U51" s="521"/>
      <c r="V51" s="521"/>
      <c r="W51" s="521"/>
      <c r="X51" s="521"/>
      <c r="Y51" s="521"/>
      <c r="Z51" s="521"/>
      <c r="AA51" s="521"/>
      <c r="AB51" s="521"/>
      <c r="AC51" s="521"/>
      <c r="AD51" s="521"/>
      <c r="AE51" s="521"/>
      <c r="AH51" s="485"/>
      <c r="AI51" s="485"/>
    </row>
    <row r="52" spans="1:59" x14ac:dyDescent="0.35">
      <c r="A52" s="531"/>
      <c r="B52" s="485"/>
      <c r="C52" s="485"/>
      <c r="D52" s="485"/>
      <c r="E52" s="485"/>
      <c r="F52" s="485"/>
      <c r="G52" s="485"/>
      <c r="H52" s="485"/>
      <c r="I52" s="485"/>
      <c r="J52" s="521"/>
      <c r="K52" s="521"/>
      <c r="L52" s="521"/>
      <c r="M52" s="521"/>
      <c r="N52" s="521"/>
      <c r="O52" s="521"/>
      <c r="P52" s="521"/>
      <c r="Q52" s="521"/>
      <c r="R52" s="521"/>
      <c r="S52" s="521"/>
      <c r="T52" s="521"/>
      <c r="U52" s="521"/>
      <c r="V52" s="521"/>
      <c r="W52" s="521"/>
      <c r="X52" s="521"/>
      <c r="Y52" s="521"/>
      <c r="Z52" s="521"/>
      <c r="AA52" s="521"/>
      <c r="AB52" s="521"/>
      <c r="AC52" s="521"/>
      <c r="AD52" s="521"/>
      <c r="AE52" s="521"/>
      <c r="AH52" s="485"/>
      <c r="AI52" s="485"/>
    </row>
    <row r="53" spans="1:59" x14ac:dyDescent="0.35">
      <c r="A53" s="520" t="s">
        <v>137</v>
      </c>
      <c r="M53" s="470"/>
      <c r="O53" s="470" t="s">
        <v>55</v>
      </c>
      <c r="AH53" s="292" t="s">
        <v>82</v>
      </c>
      <c r="AI53" s="292" t="s">
        <v>150</v>
      </c>
      <c r="AJ53" s="292" t="s">
        <v>199</v>
      </c>
    </row>
    <row r="54" spans="1:59" x14ac:dyDescent="0.35">
      <c r="A54" s="508" t="s">
        <v>225</v>
      </c>
      <c r="B54" s="546">
        <f t="shared" ref="B54:F54" si="9">IF(B$9=0,"",+(B36*10)/B$9)</f>
        <v>2.6752273943285179</v>
      </c>
      <c r="C54" s="546">
        <f t="shared" si="9"/>
        <v>3.4654037195333252</v>
      </c>
      <c r="D54" s="546">
        <f t="shared" si="9"/>
        <v>3.0155602911020867</v>
      </c>
      <c r="E54" s="546">
        <f t="shared" si="9"/>
        <v>15.265748644775373</v>
      </c>
      <c r="F54" s="546" t="str">
        <f t="shared" si="9"/>
        <v/>
      </c>
      <c r="G54" s="546" t="str">
        <f>IF(G$9=0,"",+(G36*10)/G$9)</f>
        <v/>
      </c>
      <c r="H54" s="546" t="str">
        <f>IF(H$9=0,"",+(H36*10)/H$9)</f>
        <v/>
      </c>
      <c r="I54" s="546">
        <f t="shared" ref="I54:AF54" si="10">IF(I$9=0,"",+(I36*10)/I$9)</f>
        <v>4.3978400868860232</v>
      </c>
      <c r="J54" s="546">
        <f t="shared" si="10"/>
        <v>4.880356564826573</v>
      </c>
      <c r="K54" s="546">
        <f t="shared" si="10"/>
        <v>2.5815163429842327</v>
      </c>
      <c r="L54" s="546">
        <f t="shared" si="10"/>
        <v>5.2958939919772838</v>
      </c>
      <c r="M54" s="546" t="str">
        <f t="shared" si="10"/>
        <v/>
      </c>
      <c r="N54" s="546" t="str">
        <f t="shared" si="10"/>
        <v/>
      </c>
      <c r="O54" s="546">
        <f t="shared" si="10"/>
        <v>1.7473247855008194</v>
      </c>
      <c r="P54" s="546">
        <f t="shared" si="10"/>
        <v>2.4381748519679549</v>
      </c>
      <c r="Q54" s="546">
        <f t="shared" si="10"/>
        <v>7.4380912460652082</v>
      </c>
      <c r="R54" s="546">
        <f t="shared" si="10"/>
        <v>5.0998959345559296</v>
      </c>
      <c r="S54" s="546">
        <f t="shared" si="10"/>
        <v>2.2685304913183337</v>
      </c>
      <c r="T54" s="546" t="str">
        <f t="shared" si="10"/>
        <v/>
      </c>
      <c r="U54" s="546" t="str">
        <f t="shared" si="10"/>
        <v/>
      </c>
      <c r="V54" s="546">
        <f t="shared" si="10"/>
        <v>8.7818759865715119</v>
      </c>
      <c r="W54" s="546">
        <f t="shared" si="10"/>
        <v>2.5717631351434167</v>
      </c>
      <c r="X54" s="546">
        <f t="shared" si="10"/>
        <v>5.9963593532498125</v>
      </c>
      <c r="Y54" s="546">
        <f>IF(Y$9=0,"",+(Y36*10)/Y$9)</f>
        <v>4.1696248464563821</v>
      </c>
      <c r="Z54" s="546">
        <f t="shared" si="10"/>
        <v>2.7755598646439301</v>
      </c>
      <c r="AA54" s="546" t="str">
        <f t="shared" si="10"/>
        <v/>
      </c>
      <c r="AB54" s="546" t="str">
        <f t="shared" si="10"/>
        <v/>
      </c>
      <c r="AC54" s="546">
        <f>IF(AC$9=0,"",+(AC36*10)/AC$9)</f>
        <v>0</v>
      </c>
      <c r="AD54" s="546" t="str">
        <f t="shared" si="10"/>
        <v/>
      </c>
      <c r="AE54" s="546" t="str">
        <f t="shared" si="10"/>
        <v/>
      </c>
      <c r="AF54" s="546" t="str">
        <f t="shared" si="10"/>
        <v/>
      </c>
      <c r="AG54" s="546"/>
      <c r="AH54" s="547">
        <f>+(AH36*10)/AH$9</f>
        <v>3.9586215296809604</v>
      </c>
      <c r="AI54" s="547">
        <v>3.2</v>
      </c>
      <c r="AJ54" s="548">
        <f t="shared" ref="AJ54:AJ67" si="11">AI54-AH54</f>
        <v>-0.75862152968096019</v>
      </c>
    </row>
    <row r="55" spans="1:59" s="554" customFormat="1" ht="25.5" customHeight="1" x14ac:dyDescent="0.35">
      <c r="A55" s="549" t="s">
        <v>169</v>
      </c>
      <c r="B55" s="550"/>
      <c r="C55" s="550"/>
      <c r="D55" s="550"/>
      <c r="E55" s="550"/>
      <c r="F55" s="550"/>
      <c r="G55" s="550"/>
      <c r="H55" s="550"/>
      <c r="I55" s="550"/>
      <c r="J55" s="550"/>
      <c r="K55" s="550"/>
      <c r="L55" s="550"/>
      <c r="M55" s="550"/>
      <c r="N55" s="550"/>
      <c r="O55" s="550"/>
      <c r="P55" s="550"/>
      <c r="Q55" s="550"/>
      <c r="R55" s="550"/>
      <c r="S55" s="550"/>
      <c r="T55" s="550"/>
      <c r="U55" s="550"/>
      <c r="V55" s="550"/>
      <c r="W55" s="550"/>
      <c r="X55" s="550"/>
      <c r="Y55" s="550"/>
      <c r="Z55" s="550"/>
      <c r="AA55" s="550"/>
      <c r="AB55" s="550"/>
      <c r="AC55" s="550"/>
      <c r="AD55" s="550"/>
      <c r="AE55" s="550"/>
      <c r="AF55" s="550"/>
      <c r="AG55" s="550"/>
      <c r="AH55" s="551">
        <f t="shared" ref="AH55:AH61" si="12">+(AH37*10)/AH$9</f>
        <v>0</v>
      </c>
      <c r="AI55" s="551">
        <v>0.1</v>
      </c>
      <c r="AJ55" s="552">
        <f t="shared" si="11"/>
        <v>0.1</v>
      </c>
      <c r="AK55" s="553"/>
      <c r="AL55" s="475"/>
      <c r="AM55" s="553"/>
      <c r="AN55" s="553"/>
      <c r="AO55" s="553"/>
      <c r="AP55" s="553"/>
      <c r="AQ55" s="553"/>
      <c r="AR55" s="553"/>
      <c r="AS55" s="553"/>
      <c r="AT55" s="553"/>
      <c r="AU55" s="553"/>
      <c r="AV55" s="553"/>
      <c r="AW55" s="553"/>
      <c r="AX55" s="553"/>
      <c r="AY55" s="553"/>
      <c r="AZ55" s="553"/>
      <c r="BA55" s="553"/>
      <c r="BB55" s="553"/>
      <c r="BC55" s="553"/>
      <c r="BD55" s="553"/>
      <c r="BE55" s="553"/>
      <c r="BF55" s="553"/>
      <c r="BG55" s="553"/>
    </row>
    <row r="56" spans="1:59" s="560" customFormat="1" x14ac:dyDescent="0.35">
      <c r="A56" s="555" t="s">
        <v>185</v>
      </c>
      <c r="B56" s="546">
        <f t="shared" ref="B56:C63" si="13">IF(B$9=0,"",+(B38*10)/B$9)</f>
        <v>0</v>
      </c>
      <c r="C56" s="546">
        <f t="shared" si="13"/>
        <v>0</v>
      </c>
      <c r="D56" s="546">
        <f t="shared" ref="D56:F62" si="14">IF(D$9=0,"",+(D38*10)/D$9)</f>
        <v>0</v>
      </c>
      <c r="E56" s="546">
        <f t="shared" si="14"/>
        <v>0</v>
      </c>
      <c r="F56" s="546" t="str">
        <f t="shared" si="14"/>
        <v/>
      </c>
      <c r="G56" s="546" t="str">
        <f t="shared" ref="G56:H63" si="15">IF(G$9=0,"",+(G38*10)/G$9)</f>
        <v/>
      </c>
      <c r="H56" s="546" t="str">
        <f t="shared" si="15"/>
        <v/>
      </c>
      <c r="I56" s="546">
        <f t="shared" ref="I56:AF56" si="16">IF(I$9=0,"",+(I38*10)/I$9)</f>
        <v>0</v>
      </c>
      <c r="J56" s="546">
        <f t="shared" si="16"/>
        <v>0</v>
      </c>
      <c r="K56" s="546">
        <f t="shared" si="16"/>
        <v>0</v>
      </c>
      <c r="L56" s="546">
        <f t="shared" si="16"/>
        <v>0</v>
      </c>
      <c r="M56" s="546" t="str">
        <f t="shared" si="16"/>
        <v/>
      </c>
      <c r="N56" s="546" t="str">
        <f t="shared" si="16"/>
        <v/>
      </c>
      <c r="O56" s="546">
        <f t="shared" si="16"/>
        <v>0</v>
      </c>
      <c r="P56" s="546">
        <f t="shared" si="16"/>
        <v>0</v>
      </c>
      <c r="Q56" s="546">
        <f t="shared" si="16"/>
        <v>0</v>
      </c>
      <c r="R56" s="546">
        <f t="shared" si="16"/>
        <v>0</v>
      </c>
      <c r="S56" s="546">
        <f t="shared" si="16"/>
        <v>0</v>
      </c>
      <c r="T56" s="546" t="str">
        <f t="shared" si="16"/>
        <v/>
      </c>
      <c r="U56" s="546" t="str">
        <f t="shared" si="16"/>
        <v/>
      </c>
      <c r="V56" s="546">
        <f t="shared" si="16"/>
        <v>0</v>
      </c>
      <c r="W56" s="546">
        <f t="shared" si="16"/>
        <v>0</v>
      </c>
      <c r="X56" s="546">
        <f t="shared" si="16"/>
        <v>0</v>
      </c>
      <c r="Y56" s="546">
        <f t="shared" ref="Y56:Y63" si="17">IF(Y$9=0,"",+(Y38*10)/Y$9)</f>
        <v>0</v>
      </c>
      <c r="Z56" s="546">
        <f t="shared" si="16"/>
        <v>0</v>
      </c>
      <c r="AA56" s="546" t="str">
        <f t="shared" si="16"/>
        <v/>
      </c>
      <c r="AB56" s="546" t="str">
        <f t="shared" si="16"/>
        <v/>
      </c>
      <c r="AC56" s="546">
        <f t="shared" ref="AC56:AC63" si="18">IF(AC$9=0,"",+(AC38*10)/AC$9)</f>
        <v>0</v>
      </c>
      <c r="AD56" s="546" t="str">
        <f t="shared" si="16"/>
        <v/>
      </c>
      <c r="AE56" s="546" t="str">
        <f t="shared" si="16"/>
        <v/>
      </c>
      <c r="AF56" s="546" t="str">
        <f t="shared" si="16"/>
        <v/>
      </c>
      <c r="AG56" s="546"/>
      <c r="AH56" s="556">
        <f t="shared" si="12"/>
        <v>0</v>
      </c>
      <c r="AI56" s="557">
        <v>0.1</v>
      </c>
      <c r="AJ56" s="558">
        <f t="shared" si="11"/>
        <v>0.1</v>
      </c>
      <c r="AK56" s="559"/>
      <c r="AL56" s="559"/>
      <c r="AM56" s="559"/>
      <c r="AN56" s="559"/>
      <c r="AO56" s="559"/>
      <c r="AP56" s="559"/>
      <c r="AQ56" s="559"/>
      <c r="AR56" s="559"/>
      <c r="AS56" s="559"/>
      <c r="AT56" s="559"/>
      <c r="AU56" s="559"/>
      <c r="AV56" s="559"/>
      <c r="AW56" s="559"/>
      <c r="AX56" s="559"/>
      <c r="AY56" s="559"/>
      <c r="AZ56" s="559"/>
      <c r="BA56" s="559"/>
      <c r="BB56" s="559"/>
      <c r="BC56" s="559"/>
      <c r="BD56" s="559"/>
      <c r="BE56" s="559"/>
      <c r="BF56" s="559"/>
      <c r="BG56" s="559"/>
    </row>
    <row r="57" spans="1:59" s="505" customFormat="1" x14ac:dyDescent="0.35">
      <c r="A57" s="561" t="s">
        <v>217</v>
      </c>
      <c r="B57" s="550">
        <f t="shared" si="13"/>
        <v>0</v>
      </c>
      <c r="C57" s="550">
        <f t="shared" si="13"/>
        <v>0</v>
      </c>
      <c r="D57" s="550">
        <f t="shared" si="14"/>
        <v>0</v>
      </c>
      <c r="E57" s="550">
        <f t="shared" si="14"/>
        <v>0</v>
      </c>
      <c r="F57" s="550" t="str">
        <f t="shared" si="14"/>
        <v/>
      </c>
      <c r="G57" s="550" t="str">
        <f t="shared" si="15"/>
        <v/>
      </c>
      <c r="H57" s="550" t="str">
        <f t="shared" si="15"/>
        <v/>
      </c>
      <c r="I57" s="550">
        <f t="shared" ref="I57:AF57" si="19">IF(I$9=0,"",+(I39*10)/I$9)</f>
        <v>0</v>
      </c>
      <c r="J57" s="550">
        <f t="shared" si="19"/>
        <v>0</v>
      </c>
      <c r="K57" s="550">
        <f t="shared" si="19"/>
        <v>0</v>
      </c>
      <c r="L57" s="550">
        <f t="shared" si="19"/>
        <v>0</v>
      </c>
      <c r="M57" s="550" t="str">
        <f t="shared" si="19"/>
        <v/>
      </c>
      <c r="N57" s="550" t="str">
        <f t="shared" si="19"/>
        <v/>
      </c>
      <c r="O57" s="550">
        <f t="shared" si="19"/>
        <v>0</v>
      </c>
      <c r="P57" s="550">
        <f t="shared" si="19"/>
        <v>0</v>
      </c>
      <c r="Q57" s="550">
        <f t="shared" si="19"/>
        <v>0</v>
      </c>
      <c r="R57" s="550">
        <f t="shared" si="19"/>
        <v>0</v>
      </c>
      <c r="S57" s="550">
        <f t="shared" si="19"/>
        <v>0</v>
      </c>
      <c r="T57" s="550" t="str">
        <f t="shared" si="19"/>
        <v/>
      </c>
      <c r="U57" s="550" t="str">
        <f t="shared" si="19"/>
        <v/>
      </c>
      <c r="V57" s="550">
        <f t="shared" si="19"/>
        <v>0</v>
      </c>
      <c r="W57" s="550">
        <f t="shared" si="19"/>
        <v>0</v>
      </c>
      <c r="X57" s="550">
        <f t="shared" si="19"/>
        <v>0</v>
      </c>
      <c r="Y57" s="550">
        <f t="shared" si="17"/>
        <v>0</v>
      </c>
      <c r="Z57" s="550">
        <f t="shared" si="19"/>
        <v>0</v>
      </c>
      <c r="AA57" s="550" t="str">
        <f t="shared" si="19"/>
        <v/>
      </c>
      <c r="AB57" s="550" t="str">
        <f t="shared" si="19"/>
        <v/>
      </c>
      <c r="AC57" s="550">
        <f t="shared" si="18"/>
        <v>0</v>
      </c>
      <c r="AD57" s="550" t="str">
        <f t="shared" si="19"/>
        <v/>
      </c>
      <c r="AE57" s="550" t="str">
        <f t="shared" si="19"/>
        <v/>
      </c>
      <c r="AF57" s="550" t="str">
        <f t="shared" si="19"/>
        <v/>
      </c>
      <c r="AG57" s="550"/>
      <c r="AH57" s="551">
        <f t="shared" si="12"/>
        <v>0</v>
      </c>
      <c r="AI57" s="551">
        <v>0.7</v>
      </c>
      <c r="AJ57" s="552">
        <f t="shared" si="11"/>
        <v>0.7</v>
      </c>
      <c r="AK57" s="475"/>
      <c r="AL57" s="475"/>
      <c r="AM57" s="475"/>
      <c r="AN57" s="475"/>
      <c r="AO57" s="475"/>
      <c r="AP57" s="475"/>
      <c r="AQ57" s="475"/>
      <c r="AR57" s="475"/>
      <c r="AS57" s="475"/>
      <c r="AT57" s="475"/>
      <c r="AU57" s="475"/>
      <c r="AV57" s="475"/>
      <c r="AW57" s="475"/>
      <c r="AX57" s="475"/>
      <c r="AY57" s="475"/>
      <c r="AZ57" s="475"/>
      <c r="BA57" s="475"/>
      <c r="BB57" s="475"/>
      <c r="BC57" s="475"/>
      <c r="BD57" s="475"/>
      <c r="BE57" s="475"/>
      <c r="BF57" s="475"/>
      <c r="BG57" s="475"/>
    </row>
    <row r="58" spans="1:59" s="566" customFormat="1" x14ac:dyDescent="0.35">
      <c r="A58" s="562" t="s">
        <v>170</v>
      </c>
      <c r="B58" s="546">
        <f t="shared" si="13"/>
        <v>0</v>
      </c>
      <c r="C58" s="546">
        <f t="shared" si="13"/>
        <v>0</v>
      </c>
      <c r="D58" s="546">
        <f t="shared" si="14"/>
        <v>0</v>
      </c>
      <c r="E58" s="546">
        <f t="shared" si="14"/>
        <v>0</v>
      </c>
      <c r="F58" s="546" t="str">
        <f t="shared" si="14"/>
        <v/>
      </c>
      <c r="G58" s="546" t="str">
        <f t="shared" si="15"/>
        <v/>
      </c>
      <c r="H58" s="546" t="str">
        <f t="shared" si="15"/>
        <v/>
      </c>
      <c r="I58" s="546">
        <f t="shared" ref="I58:AF58" si="20">IF(I$9=0,"",+(I40*10)/I$9)</f>
        <v>0</v>
      </c>
      <c r="J58" s="546">
        <f t="shared" si="20"/>
        <v>0</v>
      </c>
      <c r="K58" s="546">
        <f t="shared" si="20"/>
        <v>0</v>
      </c>
      <c r="L58" s="546">
        <f t="shared" si="20"/>
        <v>0</v>
      </c>
      <c r="M58" s="546" t="str">
        <f t="shared" si="20"/>
        <v/>
      </c>
      <c r="N58" s="546" t="str">
        <f t="shared" si="20"/>
        <v/>
      </c>
      <c r="O58" s="546">
        <f t="shared" si="20"/>
        <v>0</v>
      </c>
      <c r="P58" s="546">
        <f t="shared" si="20"/>
        <v>0</v>
      </c>
      <c r="Q58" s="546">
        <f t="shared" si="20"/>
        <v>0</v>
      </c>
      <c r="R58" s="546">
        <f t="shared" si="20"/>
        <v>0</v>
      </c>
      <c r="S58" s="546">
        <f t="shared" si="20"/>
        <v>0</v>
      </c>
      <c r="T58" s="546" t="str">
        <f t="shared" si="20"/>
        <v/>
      </c>
      <c r="U58" s="546" t="str">
        <f t="shared" si="20"/>
        <v/>
      </c>
      <c r="V58" s="546">
        <f t="shared" si="20"/>
        <v>0</v>
      </c>
      <c r="W58" s="546">
        <f t="shared" si="20"/>
        <v>0</v>
      </c>
      <c r="X58" s="546">
        <f t="shared" si="20"/>
        <v>0</v>
      </c>
      <c r="Y58" s="546">
        <f t="shared" si="17"/>
        <v>0</v>
      </c>
      <c r="Z58" s="546">
        <f t="shared" si="20"/>
        <v>0</v>
      </c>
      <c r="AA58" s="546" t="str">
        <f t="shared" si="20"/>
        <v/>
      </c>
      <c r="AB58" s="546" t="str">
        <f t="shared" si="20"/>
        <v/>
      </c>
      <c r="AC58" s="546">
        <f t="shared" si="18"/>
        <v>0</v>
      </c>
      <c r="AD58" s="546" t="str">
        <f t="shared" si="20"/>
        <v/>
      </c>
      <c r="AE58" s="546" t="str">
        <f t="shared" si="20"/>
        <v/>
      </c>
      <c r="AF58" s="546" t="str">
        <f t="shared" si="20"/>
        <v/>
      </c>
      <c r="AG58" s="546"/>
      <c r="AH58" s="556">
        <f t="shared" si="12"/>
        <v>0</v>
      </c>
      <c r="AI58" s="563">
        <v>1</v>
      </c>
      <c r="AJ58" s="564">
        <f t="shared" si="11"/>
        <v>1</v>
      </c>
      <c r="AK58" s="565"/>
      <c r="AL58" s="565"/>
      <c r="AM58" s="565"/>
      <c r="AN58" s="565"/>
      <c r="AO58" s="565"/>
      <c r="AP58" s="565"/>
      <c r="AQ58" s="565" t="s">
        <v>55</v>
      </c>
      <c r="AR58" s="565"/>
      <c r="AS58" s="565"/>
      <c r="AT58" s="565"/>
      <c r="AU58" s="565"/>
      <c r="AV58" s="565"/>
      <c r="AW58" s="565"/>
      <c r="AX58" s="565"/>
      <c r="AY58" s="565"/>
      <c r="AZ58" s="565"/>
      <c r="BA58" s="565"/>
      <c r="BB58" s="565"/>
      <c r="BC58" s="565"/>
      <c r="BD58" s="565"/>
      <c r="BE58" s="565"/>
      <c r="BF58" s="565"/>
      <c r="BG58" s="565"/>
    </row>
    <row r="59" spans="1:59" s="505" customFormat="1" x14ac:dyDescent="0.35">
      <c r="A59" s="539" t="s">
        <v>96</v>
      </c>
      <c r="B59" s="550">
        <f t="shared" si="13"/>
        <v>1.6010830617572192</v>
      </c>
      <c r="C59" s="550">
        <f t="shared" si="13"/>
        <v>0.75083747256555378</v>
      </c>
      <c r="D59" s="550">
        <f t="shared" si="14"/>
        <v>1.2285616000786279</v>
      </c>
      <c r="E59" s="550">
        <f t="shared" si="14"/>
        <v>9.0348308305813436</v>
      </c>
      <c r="F59" s="550" t="str">
        <f t="shared" si="14"/>
        <v/>
      </c>
      <c r="G59" s="550" t="str">
        <f t="shared" si="15"/>
        <v/>
      </c>
      <c r="H59" s="550" t="str">
        <f t="shared" si="15"/>
        <v/>
      </c>
      <c r="I59" s="550">
        <f t="shared" ref="I59:AF59" si="21">IF(I$9=0,"",+(I41*10)/I$9)</f>
        <v>1.0325363682254141</v>
      </c>
      <c r="J59" s="550">
        <f t="shared" si="21"/>
        <v>0.89639202211100322</v>
      </c>
      <c r="K59" s="550">
        <f t="shared" si="21"/>
        <v>0.42197863298780725</v>
      </c>
      <c r="L59" s="550">
        <f t="shared" si="21"/>
        <v>1.0892264238818525</v>
      </c>
      <c r="M59" s="550" t="str">
        <f t="shared" si="21"/>
        <v/>
      </c>
      <c r="N59" s="550" t="str">
        <f t="shared" si="21"/>
        <v/>
      </c>
      <c r="O59" s="550">
        <f t="shared" si="21"/>
        <v>1.6268196278800733</v>
      </c>
      <c r="P59" s="550">
        <f t="shared" si="21"/>
        <v>0.51417292796603131</v>
      </c>
      <c r="Q59" s="550">
        <f t="shared" si="21"/>
        <v>1.3561160835367507</v>
      </c>
      <c r="R59" s="550">
        <f t="shared" si="21"/>
        <v>1.9986078662448914</v>
      </c>
      <c r="S59" s="550">
        <f t="shared" si="21"/>
        <v>0.58981792774276676</v>
      </c>
      <c r="T59" s="550" t="str">
        <f>IF(T$9=0,"",+(T41*10)/T$9)</f>
        <v/>
      </c>
      <c r="U59" s="550" t="str">
        <f t="shared" si="21"/>
        <v/>
      </c>
      <c r="V59" s="550">
        <f t="shared" si="21"/>
        <v>4.0018675381844862</v>
      </c>
      <c r="W59" s="550">
        <f t="shared" si="21"/>
        <v>1.1217264738391497</v>
      </c>
      <c r="X59" s="550">
        <f t="shared" si="21"/>
        <v>1.9987864510832707</v>
      </c>
      <c r="Y59" s="550">
        <f t="shared" si="17"/>
        <v>0.45077025367096019</v>
      </c>
      <c r="Z59" s="550">
        <f t="shared" si="21"/>
        <v>1.5208547203528384</v>
      </c>
      <c r="AA59" s="550" t="str">
        <f t="shared" si="21"/>
        <v/>
      </c>
      <c r="AB59" s="550" t="str">
        <f t="shared" si="21"/>
        <v/>
      </c>
      <c r="AC59" s="550">
        <f t="shared" si="18"/>
        <v>0</v>
      </c>
      <c r="AD59" s="550" t="str">
        <f t="shared" si="21"/>
        <v/>
      </c>
      <c r="AE59" s="550" t="str">
        <f t="shared" si="21"/>
        <v/>
      </c>
      <c r="AF59" s="550" t="str">
        <f t="shared" si="21"/>
        <v/>
      </c>
      <c r="AG59" s="550"/>
      <c r="AH59" s="550">
        <f t="shared" si="12"/>
        <v>1.3095402028842282</v>
      </c>
      <c r="AI59" s="551">
        <v>0.7</v>
      </c>
      <c r="AJ59" s="552">
        <f t="shared" si="11"/>
        <v>-0.60954020288422828</v>
      </c>
      <c r="AK59" s="475"/>
      <c r="AL59" s="475"/>
      <c r="AM59" s="475"/>
      <c r="AN59" s="475"/>
      <c r="AO59" s="475"/>
      <c r="AP59" s="475"/>
      <c r="AQ59" s="475"/>
      <c r="AR59" s="475"/>
      <c r="AS59" s="475"/>
      <c r="AT59" s="475"/>
      <c r="AU59" s="475"/>
      <c r="AV59" s="475"/>
      <c r="AW59" s="475"/>
      <c r="AX59" s="475"/>
      <c r="AY59" s="475"/>
      <c r="AZ59" s="475"/>
      <c r="BA59" s="475"/>
      <c r="BB59" s="475"/>
      <c r="BC59" s="475"/>
      <c r="BD59" s="475"/>
      <c r="BE59" s="475"/>
      <c r="BF59" s="475"/>
      <c r="BG59" s="475"/>
    </row>
    <row r="60" spans="1:59" x14ac:dyDescent="0.35">
      <c r="A60" s="567" t="s">
        <v>125</v>
      </c>
      <c r="B60" s="546">
        <f t="shared" si="13"/>
        <v>2.8576292621236443</v>
      </c>
      <c r="C60" s="546">
        <f t="shared" si="13"/>
        <v>2.3872781179007352</v>
      </c>
      <c r="D60" s="546">
        <f t="shared" si="14"/>
        <v>2.6134855856218087</v>
      </c>
      <c r="E60" s="546">
        <f t="shared" si="14"/>
        <v>2.1808212349679104</v>
      </c>
      <c r="F60" s="568" t="str">
        <f t="shared" si="14"/>
        <v/>
      </c>
      <c r="G60" s="546" t="str">
        <f t="shared" si="15"/>
        <v/>
      </c>
      <c r="H60" s="546" t="str">
        <f t="shared" si="15"/>
        <v/>
      </c>
      <c r="I60" s="546">
        <f t="shared" ref="I60:AF60" si="22">IF(I$9=0,"",+(I42*10)/I$9)</f>
        <v>3.2123353678123996</v>
      </c>
      <c r="J60" s="546">
        <f t="shared" si="22"/>
        <v>2.5148776175892036</v>
      </c>
      <c r="K60" s="546">
        <f t="shared" si="22"/>
        <v>2.2588268001112035</v>
      </c>
      <c r="L60" s="546">
        <f>IF(L$9=0,"",+(L42*10)/L$9)</f>
        <v>2.5916076982016492</v>
      </c>
      <c r="M60" s="546" t="str">
        <f t="shared" si="22"/>
        <v/>
      </c>
      <c r="N60" s="546" t="str">
        <f t="shared" si="22"/>
        <v/>
      </c>
      <c r="O60" s="546">
        <f t="shared" si="22"/>
        <v>2.972460554645072</v>
      </c>
      <c r="P60" s="546">
        <f t="shared" si="22"/>
        <v>2.0898641588296756</v>
      </c>
      <c r="Q60" s="546">
        <f t="shared" si="22"/>
        <v>3.493026275776479</v>
      </c>
      <c r="R60" s="546">
        <f t="shared" si="22"/>
        <v>3.5837106567149779</v>
      </c>
      <c r="S60" s="546">
        <f t="shared" si="22"/>
        <v>2.5180688453633504</v>
      </c>
      <c r="T60" s="546" t="str">
        <f t="shared" si="22"/>
        <v/>
      </c>
      <c r="U60" s="546" t="str">
        <f t="shared" si="22"/>
        <v/>
      </c>
      <c r="V60" s="546">
        <f t="shared" si="22"/>
        <v>3.723960070255008</v>
      </c>
      <c r="W60" s="546">
        <f t="shared" si="22"/>
        <v>2.7632774111647347</v>
      </c>
      <c r="X60" s="546">
        <f t="shared" si="22"/>
        <v>2.7483313702394971</v>
      </c>
      <c r="Y60" s="546">
        <f t="shared" si="17"/>
        <v>2.2538512683548011</v>
      </c>
      <c r="Z60" s="546">
        <f t="shared" si="22"/>
        <v>2.5094102885821834</v>
      </c>
      <c r="AA60" s="546" t="str">
        <f t="shared" si="22"/>
        <v/>
      </c>
      <c r="AB60" s="546" t="str">
        <f t="shared" si="22"/>
        <v/>
      </c>
      <c r="AC60" s="546">
        <f t="shared" si="18"/>
        <v>0</v>
      </c>
      <c r="AD60" s="546" t="str">
        <f t="shared" si="22"/>
        <v/>
      </c>
      <c r="AE60" s="546" t="str">
        <f t="shared" si="22"/>
        <v/>
      </c>
      <c r="AF60" s="546" t="str">
        <f t="shared" si="22"/>
        <v/>
      </c>
      <c r="AG60" s="546"/>
      <c r="AH60" s="569">
        <f t="shared" si="12"/>
        <v>2.784085471423972</v>
      </c>
      <c r="AI60" s="556">
        <v>2.1</v>
      </c>
      <c r="AJ60" s="548">
        <f t="shared" si="11"/>
        <v>-0.68408547142397191</v>
      </c>
    </row>
    <row r="61" spans="1:59" s="505" customFormat="1" x14ac:dyDescent="0.35">
      <c r="A61" s="539" t="s">
        <v>166</v>
      </c>
      <c r="B61" s="550">
        <f t="shared" si="13"/>
        <v>0.44587123238808635</v>
      </c>
      <c r="C61" s="550">
        <f t="shared" si="13"/>
        <v>0.48130607215740628</v>
      </c>
      <c r="D61" s="550">
        <f t="shared" si="14"/>
        <v>0.4914246400314512</v>
      </c>
      <c r="E61" s="550">
        <f t="shared" si="14"/>
        <v>0.83078904189253733</v>
      </c>
      <c r="F61" s="550" t="str">
        <f t="shared" si="14"/>
        <v/>
      </c>
      <c r="G61" s="550" t="str">
        <f t="shared" si="15"/>
        <v/>
      </c>
      <c r="H61" s="550" t="str">
        <f t="shared" si="15"/>
        <v/>
      </c>
      <c r="I61" s="550">
        <f t="shared" ref="I61:AF61" si="23">IF(I$9=0,"",+(I43*10)/I$9)</f>
        <v>0.57363131568078563</v>
      </c>
      <c r="J61" s="550">
        <f t="shared" si="23"/>
        <v>0.39839645427155695</v>
      </c>
      <c r="K61" s="550">
        <f t="shared" si="23"/>
        <v>0.39715636045911273</v>
      </c>
      <c r="L61" s="550">
        <f t="shared" si="23"/>
        <v>0.48827391415393395</v>
      </c>
      <c r="M61" s="550" t="str">
        <f t="shared" si="23"/>
        <v/>
      </c>
      <c r="N61" s="550" t="str">
        <f t="shared" si="23"/>
        <v/>
      </c>
      <c r="O61" s="550">
        <f t="shared" si="23"/>
        <v>0.48202063048298466</v>
      </c>
      <c r="P61" s="550">
        <f t="shared" si="23"/>
        <v>0.48100048100048093</v>
      </c>
      <c r="Q61" s="550">
        <f t="shared" si="23"/>
        <v>0.49313312128609116</v>
      </c>
      <c r="R61" s="550">
        <f t="shared" si="23"/>
        <v>0.79255139523504314</v>
      </c>
      <c r="S61" s="550">
        <f t="shared" si="23"/>
        <v>0.40833548843730005</v>
      </c>
      <c r="T61" s="550" t="str">
        <f t="shared" si="23"/>
        <v/>
      </c>
      <c r="U61" s="550" t="str">
        <f t="shared" si="23"/>
        <v/>
      </c>
      <c r="V61" s="550">
        <f t="shared" si="23"/>
        <v>0.38907045510126947</v>
      </c>
      <c r="W61" s="550">
        <f t="shared" si="23"/>
        <v>0.68397955721899373</v>
      </c>
      <c r="X61" s="550">
        <f t="shared" si="23"/>
        <v>0.17846307598957775</v>
      </c>
      <c r="Y61" s="550">
        <f t="shared" si="17"/>
        <v>0.42259711281652518</v>
      </c>
      <c r="Z61" s="550">
        <f t="shared" si="23"/>
        <v>0.45625641610585149</v>
      </c>
      <c r="AA61" s="550" t="str">
        <f t="shared" si="23"/>
        <v/>
      </c>
      <c r="AB61" s="550" t="str">
        <f t="shared" si="23"/>
        <v/>
      </c>
      <c r="AC61" s="550">
        <f t="shared" si="18"/>
        <v>0</v>
      </c>
      <c r="AD61" s="550" t="str">
        <f t="shared" si="23"/>
        <v/>
      </c>
      <c r="AE61" s="550" t="str">
        <f t="shared" si="23"/>
        <v/>
      </c>
      <c r="AF61" s="550" t="str">
        <f t="shared" si="23"/>
        <v/>
      </c>
      <c r="AG61" s="550"/>
      <c r="AH61" s="551">
        <f t="shared" si="12"/>
        <v>0.480014736452409</v>
      </c>
      <c r="AI61" s="551">
        <v>0.7</v>
      </c>
      <c r="AJ61" s="552">
        <f t="shared" si="11"/>
        <v>0.21998526354759096</v>
      </c>
      <c r="AK61" s="475"/>
      <c r="AL61" s="475"/>
      <c r="AM61" s="475"/>
      <c r="AN61" s="475"/>
      <c r="AO61" s="475"/>
      <c r="AP61" s="475"/>
      <c r="AQ61" s="475"/>
      <c r="AR61" s="475"/>
      <c r="AS61" s="475"/>
      <c r="AT61" s="475"/>
      <c r="AU61" s="475"/>
      <c r="AV61" s="475"/>
      <c r="AW61" s="475"/>
      <c r="AX61" s="475"/>
      <c r="AY61" s="475"/>
      <c r="AZ61" s="475"/>
      <c r="BA61" s="475"/>
      <c r="BB61" s="475"/>
      <c r="BC61" s="475"/>
      <c r="BD61" s="475"/>
      <c r="BE61" s="475"/>
      <c r="BF61" s="475"/>
      <c r="BG61" s="475"/>
    </row>
    <row r="62" spans="1:59" x14ac:dyDescent="0.35">
      <c r="A62" s="508" t="s">
        <v>124</v>
      </c>
      <c r="B62" s="546">
        <f>IF(B$9=0,"",+(B44*10)/B$9)</f>
        <v>6.080062259837541E-2</v>
      </c>
      <c r="C62" s="546">
        <f>IF(C$9=0,"",+(C44*10)/C$9)</f>
        <v>1.9252242886296251E-2</v>
      </c>
      <c r="D62" s="546">
        <f t="shared" si="14"/>
        <v>6.7012450913379706E-2</v>
      </c>
      <c r="E62" s="546">
        <f t="shared" si="14"/>
        <v>0.10384863023656717</v>
      </c>
      <c r="F62" s="546" t="str">
        <f t="shared" si="14"/>
        <v/>
      </c>
      <c r="G62" s="546" t="str">
        <f t="shared" si="15"/>
        <v/>
      </c>
      <c r="H62" s="546" t="str">
        <f t="shared" si="15"/>
        <v/>
      </c>
      <c r="I62" s="546">
        <f t="shared" ref="I62:AF62" si="24">IF(I$9=0,"",+(I44*10)/I$9)</f>
        <v>0.68835757881694271</v>
      </c>
      <c r="J62" s="546">
        <f t="shared" si="24"/>
        <v>4.9799556783944619E-2</v>
      </c>
      <c r="K62" s="546">
        <f t="shared" si="24"/>
        <v>0.14893363517216726</v>
      </c>
      <c r="L62" s="546">
        <f t="shared" si="24"/>
        <v>7.5119063715989837E-2</v>
      </c>
      <c r="M62" s="546" t="str">
        <f t="shared" si="24"/>
        <v/>
      </c>
      <c r="N62" s="546" t="str">
        <f t="shared" si="24"/>
        <v/>
      </c>
      <c r="O62" s="546">
        <f>IF(O$9=0,"",+(O44*10)/O$9)</f>
        <v>0.10042096468395514</v>
      </c>
      <c r="P62" s="546">
        <f t="shared" si="24"/>
        <v>0.13268978786220165</v>
      </c>
      <c r="Q62" s="546">
        <f t="shared" si="24"/>
        <v>4.1094426773840932E-2</v>
      </c>
      <c r="R62" s="546">
        <f t="shared" si="24"/>
        <v>0.10337626894370129</v>
      </c>
      <c r="S62" s="546">
        <f t="shared" si="24"/>
        <v>2.2685304913183338E-2</v>
      </c>
      <c r="T62" s="546" t="str">
        <f t="shared" si="24"/>
        <v/>
      </c>
      <c r="U62" s="546" t="str">
        <f t="shared" si="24"/>
        <v/>
      </c>
      <c r="V62" s="546">
        <f t="shared" si="24"/>
        <v>5.558149358589564E-2</v>
      </c>
      <c r="W62" s="546">
        <f t="shared" si="24"/>
        <v>2.7359182288759751E-2</v>
      </c>
      <c r="X62" s="546">
        <f t="shared" si="24"/>
        <v>3.5692615197915549E-2</v>
      </c>
      <c r="Y62" s="546">
        <f t="shared" si="17"/>
        <v>8.4519422563305038E-2</v>
      </c>
      <c r="Z62" s="546">
        <f t="shared" si="24"/>
        <v>3.8021368008820958E-2</v>
      </c>
      <c r="AA62" s="546" t="str">
        <f t="shared" si="24"/>
        <v/>
      </c>
      <c r="AB62" s="546" t="str">
        <f t="shared" si="24"/>
        <v/>
      </c>
      <c r="AC62" s="546">
        <f t="shared" si="18"/>
        <v>0</v>
      </c>
      <c r="AD62" s="546" t="str">
        <f t="shared" si="24"/>
        <v/>
      </c>
      <c r="AE62" s="546" t="str">
        <f t="shared" si="24"/>
        <v/>
      </c>
      <c r="AF62" s="546" t="str">
        <f t="shared" si="24"/>
        <v/>
      </c>
      <c r="AG62" s="546"/>
      <c r="AH62" s="556">
        <f>+(AH44*10)/AH$9</f>
        <v>9.1502809136240468E-2</v>
      </c>
      <c r="AI62" s="556">
        <v>0.1</v>
      </c>
      <c r="AJ62" s="548">
        <f t="shared" si="11"/>
        <v>8.4971908637595378E-3</v>
      </c>
    </row>
    <row r="63" spans="1:59" s="505" customFormat="1" x14ac:dyDescent="0.35">
      <c r="A63" s="539" t="s">
        <v>126</v>
      </c>
      <c r="B63" s="550">
        <f t="shared" si="13"/>
        <v>0.46613810658754479</v>
      </c>
      <c r="C63" s="550">
        <f t="shared" si="13"/>
        <v>0.36579261483962877</v>
      </c>
      <c r="D63" s="550">
        <f>IF(D$9=0,"",+(D45*10)/D$9)</f>
        <v>0.46908715639365794</v>
      </c>
      <c r="E63" s="570">
        <f t="shared" ref="E63:AF63" si="25">IF(E$9=0,"",+(E45*10)/E$9)</f>
        <v>1.246183562838806</v>
      </c>
      <c r="F63" s="570" t="str">
        <f t="shared" si="25"/>
        <v/>
      </c>
      <c r="G63" s="570" t="str">
        <f t="shared" si="15"/>
        <v/>
      </c>
      <c r="H63" s="570" t="str">
        <f t="shared" si="15"/>
        <v/>
      </c>
      <c r="I63" s="570">
        <f t="shared" si="25"/>
        <v>1.2619888944977282</v>
      </c>
      <c r="J63" s="570">
        <f t="shared" si="25"/>
        <v>0.67229401658325239</v>
      </c>
      <c r="K63" s="570">
        <f t="shared" si="25"/>
        <v>0.44680090551650181</v>
      </c>
      <c r="L63" s="570">
        <f t="shared" si="25"/>
        <v>0.63851204158591357</v>
      </c>
      <c r="M63" s="570" t="str">
        <f t="shared" si="25"/>
        <v/>
      </c>
      <c r="N63" s="570" t="str">
        <f t="shared" si="25"/>
        <v/>
      </c>
      <c r="O63" s="570">
        <f t="shared" si="25"/>
        <v>0.38159966579902954</v>
      </c>
      <c r="P63" s="550">
        <f t="shared" si="25"/>
        <v>0.4146555870693801</v>
      </c>
      <c r="Q63" s="550">
        <f t="shared" si="25"/>
        <v>0.82188853547681862</v>
      </c>
      <c r="R63" s="570">
        <f t="shared" si="25"/>
        <v>0.68917512629134192</v>
      </c>
      <c r="S63" s="570">
        <f t="shared" si="25"/>
        <v>0.34027957369775008</v>
      </c>
      <c r="T63" s="550" t="str">
        <f t="shared" si="25"/>
        <v/>
      </c>
      <c r="U63" s="550" t="str">
        <f t="shared" si="25"/>
        <v/>
      </c>
      <c r="V63" s="550">
        <f t="shared" si="25"/>
        <v>1.0560483781320171</v>
      </c>
      <c r="W63" s="550">
        <f t="shared" si="25"/>
        <v>0.46510609890891574</v>
      </c>
      <c r="X63" s="550">
        <f t="shared" si="25"/>
        <v>0.53538922796873323</v>
      </c>
      <c r="Y63" s="550">
        <f t="shared" si="17"/>
        <v>0.45077025367096019</v>
      </c>
      <c r="Z63" s="550">
        <f t="shared" si="25"/>
        <v>0.87449146420288204</v>
      </c>
      <c r="AA63" s="550" t="str">
        <f t="shared" si="25"/>
        <v/>
      </c>
      <c r="AB63" s="550" t="str">
        <f t="shared" si="25"/>
        <v/>
      </c>
      <c r="AC63" s="550">
        <f t="shared" si="18"/>
        <v>0</v>
      </c>
      <c r="AD63" s="550" t="str">
        <f t="shared" si="25"/>
        <v/>
      </c>
      <c r="AE63" s="550" t="str">
        <f t="shared" si="25"/>
        <v/>
      </c>
      <c r="AF63" s="550" t="str">
        <f t="shared" si="25"/>
        <v/>
      </c>
      <c r="AG63" s="550"/>
      <c r="AH63" s="551">
        <f>+(AH45*10)/AH$9</f>
        <v>0.57451763769147701</v>
      </c>
      <c r="AI63" s="551">
        <v>0.6</v>
      </c>
      <c r="AJ63" s="552">
        <f t="shared" si="11"/>
        <v>2.5482362308522966E-2</v>
      </c>
      <c r="AK63" s="475"/>
      <c r="AL63" s="475"/>
      <c r="AM63" s="475"/>
      <c r="AN63" s="475"/>
      <c r="AO63" s="475"/>
      <c r="AP63" s="475"/>
      <c r="AQ63" s="475"/>
      <c r="AR63" s="475"/>
      <c r="AS63" s="475"/>
      <c r="AT63" s="475"/>
      <c r="AU63" s="475"/>
      <c r="AV63" s="475"/>
      <c r="AW63" s="475"/>
      <c r="AX63" s="475"/>
      <c r="AY63" s="475"/>
      <c r="AZ63" s="475"/>
      <c r="BA63" s="475"/>
      <c r="BB63" s="475"/>
      <c r="BC63" s="475"/>
      <c r="BD63" s="475"/>
      <c r="BE63" s="475"/>
      <c r="BF63" s="475"/>
      <c r="BG63" s="475"/>
    </row>
    <row r="64" spans="1:59" s="575" customFormat="1" x14ac:dyDescent="0.35">
      <c r="A64" s="571" t="s">
        <v>163</v>
      </c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46"/>
      <c r="P64" s="546"/>
      <c r="Q64" s="546"/>
      <c r="R64" s="546"/>
      <c r="S64" s="546"/>
      <c r="T64" s="546"/>
      <c r="U64" s="546"/>
      <c r="V64" s="546"/>
      <c r="W64" s="546"/>
      <c r="X64" s="546"/>
      <c r="Y64" s="546"/>
      <c r="Z64" s="546"/>
      <c r="AA64" s="546"/>
      <c r="AB64" s="546"/>
      <c r="AC64" s="546"/>
      <c r="AD64" s="546"/>
      <c r="AE64" s="546"/>
      <c r="AF64" s="546"/>
      <c r="AG64" s="546"/>
      <c r="AH64" s="556"/>
      <c r="AI64" s="572">
        <v>0.5</v>
      </c>
      <c r="AJ64" s="573">
        <f t="shared" si="11"/>
        <v>0.5</v>
      </c>
      <c r="AK64" s="574"/>
      <c r="AL64" s="291"/>
      <c r="AM64" s="574"/>
      <c r="AN64" s="574"/>
      <c r="AO64" s="574"/>
      <c r="AP64" s="574"/>
      <c r="AQ64" s="574"/>
      <c r="AR64" s="574"/>
      <c r="AS64" s="574"/>
      <c r="AT64" s="574"/>
      <c r="AU64" s="574"/>
      <c r="AV64" s="574"/>
      <c r="AW64" s="574"/>
      <c r="AX64" s="574"/>
      <c r="AY64" s="574"/>
      <c r="AZ64" s="574"/>
      <c r="BA64" s="574"/>
      <c r="BB64" s="574"/>
      <c r="BC64" s="574"/>
      <c r="BD64" s="574"/>
      <c r="BE64" s="574"/>
      <c r="BF64" s="574"/>
      <c r="BG64" s="574"/>
    </row>
    <row r="65" spans="1:59" s="505" customFormat="1" x14ac:dyDescent="0.35">
      <c r="A65" s="539" t="s">
        <v>198</v>
      </c>
      <c r="B65" s="550">
        <f>IF(B$9=0,"",+(B46*10)/B$9)</f>
        <v>0</v>
      </c>
      <c r="C65" s="550">
        <f>IF(C$9=0,"",+(C46*10)/C$9)</f>
        <v>0</v>
      </c>
      <c r="D65" s="550">
        <f>IF(D$9=0,"",+(D46*10)/D$9)</f>
        <v>0</v>
      </c>
      <c r="E65" s="576">
        <f t="shared" ref="E65:AF65" si="26">IF(E$9=0,"",+(E46*10)/E$9)</f>
        <v>0</v>
      </c>
      <c r="F65" s="576" t="str">
        <f t="shared" si="26"/>
        <v/>
      </c>
      <c r="G65" s="576" t="str">
        <f>IF(G$9=0,"",+(G46*10)/G$9)</f>
        <v/>
      </c>
      <c r="H65" s="550" t="str">
        <f>IF(H$9=0,"",+(H46*10)/H$9)</f>
        <v/>
      </c>
      <c r="I65" s="550">
        <f t="shared" si="26"/>
        <v>0</v>
      </c>
      <c r="J65" s="550">
        <f>IF(J$9=0,"",+(J46*10)/J$9)</f>
        <v>0</v>
      </c>
      <c r="K65" s="550">
        <f t="shared" si="26"/>
        <v>0</v>
      </c>
      <c r="L65" s="576">
        <f t="shared" si="26"/>
        <v>0</v>
      </c>
      <c r="M65" s="550" t="str">
        <f t="shared" si="26"/>
        <v/>
      </c>
      <c r="N65" s="550" t="str">
        <f t="shared" si="26"/>
        <v/>
      </c>
      <c r="O65" s="550">
        <f t="shared" si="26"/>
        <v>0</v>
      </c>
      <c r="P65" s="550">
        <f t="shared" si="26"/>
        <v>0</v>
      </c>
      <c r="Q65" s="550">
        <f t="shared" si="26"/>
        <v>0</v>
      </c>
      <c r="R65" s="550">
        <f t="shared" si="26"/>
        <v>0</v>
      </c>
      <c r="S65" s="550">
        <f t="shared" si="26"/>
        <v>0</v>
      </c>
      <c r="T65" s="550" t="str">
        <f t="shared" si="26"/>
        <v/>
      </c>
      <c r="U65" s="550" t="str">
        <f t="shared" si="26"/>
        <v/>
      </c>
      <c r="V65" s="576">
        <f t="shared" si="26"/>
        <v>0</v>
      </c>
      <c r="W65" s="576">
        <f t="shared" si="26"/>
        <v>0</v>
      </c>
      <c r="X65" s="576">
        <f t="shared" si="26"/>
        <v>0</v>
      </c>
      <c r="Y65" s="576">
        <f>IF(Y$9=0,"",+(Y46*10)/Y$9)</f>
        <v>0</v>
      </c>
      <c r="Z65" s="576">
        <f t="shared" si="26"/>
        <v>0</v>
      </c>
      <c r="AA65" s="576" t="str">
        <f t="shared" si="26"/>
        <v/>
      </c>
      <c r="AB65" s="576" t="str">
        <f t="shared" si="26"/>
        <v/>
      </c>
      <c r="AC65" s="576">
        <f>IF(AC$9=0,"",+(AC46*10)/AC$9)</f>
        <v>0</v>
      </c>
      <c r="AD65" s="576" t="str">
        <f t="shared" si="26"/>
        <v/>
      </c>
      <c r="AE65" s="576" t="str">
        <f t="shared" si="26"/>
        <v/>
      </c>
      <c r="AF65" s="576" t="str">
        <f t="shared" si="26"/>
        <v/>
      </c>
      <c r="AG65" s="576"/>
      <c r="AH65" s="551">
        <f>+(AH46*10)/AH$9</f>
        <v>0</v>
      </c>
      <c r="AI65" s="551">
        <v>0.3</v>
      </c>
      <c r="AJ65" s="552">
        <f t="shared" si="11"/>
        <v>0.3</v>
      </c>
      <c r="AK65" s="475"/>
      <c r="AL65" s="475"/>
      <c r="AM65" s="475"/>
      <c r="AN65" s="475"/>
      <c r="AO65" s="475"/>
      <c r="AP65" s="475"/>
      <c r="AQ65" s="475"/>
      <c r="AR65" s="475"/>
      <c r="AS65" s="475"/>
      <c r="AT65" s="475"/>
      <c r="AU65" s="475"/>
      <c r="AV65" s="475"/>
      <c r="AW65" s="475"/>
      <c r="AX65" s="475"/>
      <c r="AY65" s="475"/>
      <c r="AZ65" s="475"/>
      <c r="BA65" s="475"/>
      <c r="BB65" s="475"/>
      <c r="BC65" s="475"/>
      <c r="BD65" s="475"/>
      <c r="BE65" s="475"/>
      <c r="BF65" s="475"/>
      <c r="BG65" s="475"/>
    </row>
    <row r="66" spans="1:59" s="575" customFormat="1" hidden="1" x14ac:dyDescent="0.35">
      <c r="A66" s="571" t="s">
        <v>184</v>
      </c>
      <c r="B66" s="577"/>
      <c r="C66" s="577"/>
      <c r="D66" s="577"/>
      <c r="E66" s="577"/>
      <c r="F66" s="577"/>
      <c r="G66" s="577"/>
      <c r="H66" s="577"/>
      <c r="I66" s="577"/>
      <c r="J66" s="578"/>
      <c r="K66" s="578"/>
      <c r="L66" s="578"/>
      <c r="M66" s="578"/>
      <c r="N66" s="578"/>
      <c r="O66" s="578"/>
      <c r="P66" s="578"/>
      <c r="Q66" s="578"/>
      <c r="R66" s="578"/>
      <c r="S66" s="578"/>
      <c r="T66" s="578"/>
      <c r="U66" s="578"/>
      <c r="V66" s="578"/>
      <c r="W66" s="578"/>
      <c r="X66" s="578"/>
      <c r="Y66" s="578"/>
      <c r="Z66" s="578"/>
      <c r="AA66" s="578"/>
      <c r="AB66" s="578"/>
      <c r="AC66" s="578"/>
      <c r="AD66" s="578"/>
      <c r="AE66" s="578"/>
      <c r="AF66" s="578"/>
      <c r="AG66" s="578"/>
      <c r="AH66" s="572"/>
      <c r="AI66" s="572">
        <v>0.4</v>
      </c>
      <c r="AJ66" s="573">
        <f t="shared" si="11"/>
        <v>0.4</v>
      </c>
      <c r="AK66" s="574"/>
      <c r="AL66" s="291"/>
      <c r="AM66" s="574"/>
      <c r="AN66" s="574"/>
      <c r="AO66" s="574"/>
      <c r="AP66" s="574"/>
      <c r="AQ66" s="574"/>
      <c r="AR66" s="574"/>
      <c r="AS66" s="574"/>
      <c r="AT66" s="574"/>
      <c r="AU66" s="574"/>
      <c r="AV66" s="574"/>
      <c r="AW66" s="574"/>
      <c r="AX66" s="574"/>
      <c r="AY66" s="574"/>
      <c r="AZ66" s="574"/>
      <c r="BA66" s="574"/>
      <c r="BB66" s="574"/>
      <c r="BC66" s="574"/>
      <c r="BD66" s="574"/>
      <c r="BE66" s="574"/>
      <c r="BF66" s="574"/>
      <c r="BG66" s="574"/>
    </row>
    <row r="67" spans="1:59" s="554" customFormat="1" hidden="1" x14ac:dyDescent="0.35">
      <c r="A67" s="579" t="s">
        <v>197</v>
      </c>
      <c r="B67" s="580"/>
      <c r="C67" s="580"/>
      <c r="D67" s="580"/>
      <c r="E67" s="580"/>
      <c r="F67" s="580"/>
      <c r="G67" s="580"/>
      <c r="H67" s="580"/>
      <c r="I67" s="580"/>
      <c r="J67" s="581"/>
      <c r="K67" s="581"/>
      <c r="L67" s="581"/>
      <c r="M67" s="581"/>
      <c r="N67" s="581"/>
      <c r="O67" s="581"/>
      <c r="P67" s="581"/>
      <c r="Q67" s="581"/>
      <c r="R67" s="581"/>
      <c r="S67" s="581"/>
      <c r="T67" s="581"/>
      <c r="U67" s="581"/>
      <c r="V67" s="581"/>
      <c r="W67" s="581"/>
      <c r="X67" s="581"/>
      <c r="Y67" s="581"/>
      <c r="Z67" s="581"/>
      <c r="AA67" s="581"/>
      <c r="AB67" s="581"/>
      <c r="AC67" s="581"/>
      <c r="AD67" s="581"/>
      <c r="AE67" s="581"/>
      <c r="AF67" s="581"/>
      <c r="AG67" s="581"/>
      <c r="AH67" s="582"/>
      <c r="AI67" s="582">
        <v>0.2</v>
      </c>
      <c r="AJ67" s="583">
        <f t="shared" si="11"/>
        <v>0.2</v>
      </c>
      <c r="AK67" s="553"/>
      <c r="AL67" s="475"/>
      <c r="AM67" s="553"/>
      <c r="AN67" s="553"/>
      <c r="AO67" s="553"/>
      <c r="AP67" s="553"/>
      <c r="AQ67" s="553"/>
      <c r="AR67" s="553"/>
      <c r="AS67" s="553"/>
      <c r="AT67" s="553"/>
      <c r="AU67" s="553"/>
      <c r="AV67" s="553"/>
      <c r="AW67" s="553"/>
      <c r="AX67" s="553"/>
      <c r="AY67" s="553"/>
      <c r="AZ67" s="553"/>
      <c r="BA67" s="553"/>
      <c r="BB67" s="553"/>
      <c r="BC67" s="553"/>
      <c r="BD67" s="553"/>
      <c r="BE67" s="553"/>
      <c r="BF67" s="553"/>
      <c r="BG67" s="553"/>
    </row>
    <row r="68" spans="1:59" s="472" customFormat="1" ht="30" x14ac:dyDescent="0.4">
      <c r="A68" s="584" t="s">
        <v>221</v>
      </c>
      <c r="B68" s="585">
        <f>SUM(B54:B63,B65)</f>
        <v>8.1067496797833876</v>
      </c>
      <c r="C68" s="585">
        <f>SUM(C54:C63,C65)</f>
        <v>7.4698702398829457</v>
      </c>
      <c r="D68" s="585">
        <f>SUM(D54:D63,D65)</f>
        <v>7.8851317241410124</v>
      </c>
      <c r="E68" s="585">
        <f>SUM(E54:E63,E65)</f>
        <v>28.662221945292536</v>
      </c>
      <c r="F68" s="585">
        <f t="shared" ref="F68:AJ68" si="27">SUM(F54:F63,F65)</f>
        <v>0</v>
      </c>
      <c r="G68" s="585">
        <f t="shared" si="27"/>
        <v>0</v>
      </c>
      <c r="H68" s="585">
        <f t="shared" si="27"/>
        <v>0</v>
      </c>
      <c r="I68" s="585">
        <f t="shared" si="27"/>
        <v>11.166689611919292</v>
      </c>
      <c r="J68" s="586">
        <f t="shared" si="27"/>
        <v>9.4121162321655358</v>
      </c>
      <c r="K68" s="586">
        <f t="shared" si="27"/>
        <v>6.2552126772310253</v>
      </c>
      <c r="L68" s="586">
        <f t="shared" si="27"/>
        <v>10.178633133516623</v>
      </c>
      <c r="M68" s="586">
        <f t="shared" si="27"/>
        <v>0</v>
      </c>
      <c r="N68" s="586">
        <f t="shared" si="27"/>
        <v>0</v>
      </c>
      <c r="O68" s="586">
        <f t="shared" si="27"/>
        <v>7.3106462289919341</v>
      </c>
      <c r="P68" s="586">
        <f t="shared" si="27"/>
        <v>6.0705577946957252</v>
      </c>
      <c r="Q68" s="586">
        <f t="shared" si="27"/>
        <v>13.643349688915187</v>
      </c>
      <c r="R68" s="586">
        <f t="shared" si="27"/>
        <v>12.267317247985886</v>
      </c>
      <c r="S68" s="586">
        <f t="shared" si="27"/>
        <v>6.1477176314726849</v>
      </c>
      <c r="T68" s="586">
        <f t="shared" si="27"/>
        <v>0</v>
      </c>
      <c r="U68" s="586">
        <f t="shared" si="27"/>
        <v>0</v>
      </c>
      <c r="V68" s="586">
        <f t="shared" si="27"/>
        <v>18.008403921830187</v>
      </c>
      <c r="W68" s="586">
        <f t="shared" si="27"/>
        <v>7.6332118585639694</v>
      </c>
      <c r="X68" s="586">
        <f t="shared" si="27"/>
        <v>11.493022093728806</v>
      </c>
      <c r="Y68" s="586">
        <f t="shared" si="27"/>
        <v>7.8321331575329349</v>
      </c>
      <c r="Z68" s="586">
        <f t="shared" si="27"/>
        <v>8.1745941218965079</v>
      </c>
      <c r="AA68" s="586">
        <f t="shared" si="27"/>
        <v>0</v>
      </c>
      <c r="AB68" s="586">
        <f t="shared" si="27"/>
        <v>0</v>
      </c>
      <c r="AC68" s="586">
        <f t="shared" si="27"/>
        <v>0</v>
      </c>
      <c r="AD68" s="586">
        <f t="shared" si="27"/>
        <v>0</v>
      </c>
      <c r="AE68" s="586">
        <f t="shared" si="27"/>
        <v>0</v>
      </c>
      <c r="AF68" s="586">
        <f t="shared" si="27"/>
        <v>0</v>
      </c>
      <c r="AG68" s="586"/>
      <c r="AH68" s="585">
        <f t="shared" si="27"/>
        <v>9.1982823872692876</v>
      </c>
      <c r="AI68" s="585">
        <f>SUM(AI54:AI63,AI65)</f>
        <v>9.6</v>
      </c>
      <c r="AJ68" s="548">
        <f t="shared" si="27"/>
        <v>0.40171761273071299</v>
      </c>
      <c r="AK68" s="469"/>
      <c r="AL68" s="291"/>
      <c r="AM68" s="469"/>
      <c r="AN68" s="469"/>
      <c r="AO68" s="469"/>
      <c r="AP68" s="469"/>
      <c r="AQ68" s="469"/>
      <c r="AR68" s="469"/>
      <c r="AS68" s="469"/>
      <c r="AT68" s="469"/>
      <c r="AU68" s="469"/>
      <c r="AV68" s="469"/>
      <c r="AW68" s="469"/>
      <c r="AX68" s="469"/>
      <c r="AY68" s="469"/>
      <c r="AZ68" s="469"/>
      <c r="BA68" s="469"/>
      <c r="BB68" s="469"/>
      <c r="BC68" s="469"/>
      <c r="BD68" s="469"/>
      <c r="BE68" s="469"/>
      <c r="BF68" s="469"/>
      <c r="BG68" s="469"/>
    </row>
    <row r="69" spans="1:59" s="591" customFormat="1" ht="25.5" x14ac:dyDescent="0.35">
      <c r="A69" s="587" t="s">
        <v>200</v>
      </c>
      <c r="B69" s="588">
        <f>SUM(B60:B62)</f>
        <v>3.3643011171101063</v>
      </c>
      <c r="C69" s="588">
        <f>SUM(C60:C62)</f>
        <v>2.8878364329444377</v>
      </c>
      <c r="D69" s="588">
        <f t="shared" ref="D69:AJ69" si="28">SUM(D60:D62)</f>
        <v>3.1719226765666395</v>
      </c>
      <c r="E69" s="588">
        <f t="shared" si="28"/>
        <v>3.1154589070970147</v>
      </c>
      <c r="F69" s="588">
        <f t="shared" si="28"/>
        <v>0</v>
      </c>
      <c r="G69" s="588">
        <f t="shared" si="28"/>
        <v>0</v>
      </c>
      <c r="H69" s="588">
        <f t="shared" si="28"/>
        <v>0</v>
      </c>
      <c r="I69" s="588">
        <f t="shared" si="28"/>
        <v>4.4743242623101285</v>
      </c>
      <c r="J69" s="589">
        <f t="shared" si="28"/>
        <v>2.9630736286447048</v>
      </c>
      <c r="K69" s="589">
        <f t="shared" si="28"/>
        <v>2.8049167957424834</v>
      </c>
      <c r="L69" s="589">
        <f t="shared" si="28"/>
        <v>3.1550006760715728</v>
      </c>
      <c r="M69" s="589">
        <f t="shared" si="28"/>
        <v>0</v>
      </c>
      <c r="N69" s="589">
        <f t="shared" si="28"/>
        <v>0</v>
      </c>
      <c r="O69" s="589">
        <f t="shared" si="28"/>
        <v>3.5549021498120119</v>
      </c>
      <c r="P69" s="589">
        <f t="shared" si="28"/>
        <v>2.7035544276923584</v>
      </c>
      <c r="Q69" s="589">
        <f t="shared" si="28"/>
        <v>4.0272538238364115</v>
      </c>
      <c r="R69" s="589">
        <f t="shared" si="28"/>
        <v>4.4796383208937218</v>
      </c>
      <c r="S69" s="589">
        <f t="shared" si="28"/>
        <v>2.9490896387138337</v>
      </c>
      <c r="T69" s="589">
        <f t="shared" si="28"/>
        <v>0</v>
      </c>
      <c r="U69" s="589">
        <f t="shared" si="28"/>
        <v>0</v>
      </c>
      <c r="V69" s="589">
        <f t="shared" si="28"/>
        <v>4.1686120189421736</v>
      </c>
      <c r="W69" s="589">
        <f t="shared" si="28"/>
        <v>3.474616150672488</v>
      </c>
      <c r="X69" s="589">
        <f t="shared" si="28"/>
        <v>2.96248706142699</v>
      </c>
      <c r="Y69" s="589">
        <f t="shared" si="28"/>
        <v>2.7609678037346312</v>
      </c>
      <c r="Z69" s="589">
        <f t="shared" si="28"/>
        <v>3.0036880726968556</v>
      </c>
      <c r="AA69" s="589">
        <f t="shared" si="28"/>
        <v>0</v>
      </c>
      <c r="AB69" s="589">
        <f t="shared" si="28"/>
        <v>0</v>
      </c>
      <c r="AC69" s="589">
        <f t="shared" si="28"/>
        <v>0</v>
      </c>
      <c r="AD69" s="589">
        <f t="shared" si="28"/>
        <v>0</v>
      </c>
      <c r="AE69" s="589">
        <f t="shared" si="28"/>
        <v>0</v>
      </c>
      <c r="AF69" s="589">
        <f t="shared" si="28"/>
        <v>0</v>
      </c>
      <c r="AG69" s="589"/>
      <c r="AH69" s="588">
        <f t="shared" si="28"/>
        <v>3.3556030170126214</v>
      </c>
      <c r="AI69" s="588">
        <f t="shared" si="28"/>
        <v>2.9</v>
      </c>
      <c r="AJ69" s="588">
        <f t="shared" si="28"/>
        <v>-0.4556030170126214</v>
      </c>
      <c r="AK69" s="590"/>
      <c r="AL69" s="291"/>
      <c r="AM69" s="590"/>
      <c r="AN69" s="590"/>
      <c r="AO69" s="590"/>
      <c r="AP69" s="590"/>
      <c r="AQ69" s="590"/>
      <c r="AR69" s="590"/>
      <c r="AS69" s="590"/>
      <c r="AT69" s="590"/>
      <c r="AU69" s="590"/>
      <c r="AV69" s="590"/>
      <c r="AW69" s="590"/>
      <c r="AX69" s="590"/>
      <c r="AY69" s="590"/>
      <c r="AZ69" s="590"/>
      <c r="BA69" s="590"/>
      <c r="BB69" s="590"/>
      <c r="BC69" s="590"/>
      <c r="BD69" s="590"/>
      <c r="BE69" s="590"/>
      <c r="BF69" s="590"/>
      <c r="BG69" s="590"/>
    </row>
    <row r="70" spans="1:59" x14ac:dyDescent="0.35">
      <c r="A70" s="531"/>
      <c r="B70" s="485"/>
      <c r="C70" s="485"/>
      <c r="D70" s="485"/>
      <c r="E70" s="485"/>
      <c r="F70" s="485"/>
      <c r="G70" s="485"/>
      <c r="H70" s="485"/>
      <c r="I70" s="485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1"/>
      <c r="AB70" s="521"/>
      <c r="AC70" s="521"/>
      <c r="AD70" s="521"/>
      <c r="AE70" s="521"/>
      <c r="AH70" s="485"/>
      <c r="AI70" s="485"/>
    </row>
    <row r="71" spans="1:59" s="597" customFormat="1" ht="52.5" x14ac:dyDescent="0.4">
      <c r="A71" s="592" t="s">
        <v>230</v>
      </c>
      <c r="B71" s="593">
        <f>+'Water '!$F7</f>
        <v>281</v>
      </c>
      <c r="C71" s="593">
        <f>+'Water '!$F8</f>
        <v>255</v>
      </c>
      <c r="D71" s="593">
        <f>+'Water '!$F9</f>
        <v>197</v>
      </c>
      <c r="E71" s="593">
        <f>+'Water '!$F10</f>
        <v>100</v>
      </c>
      <c r="F71" s="593" t="str">
        <f>+'Water '!$F11</f>
        <v>0</v>
      </c>
      <c r="G71" s="593" t="str">
        <f>+'Water '!$F12</f>
        <v>0</v>
      </c>
      <c r="H71" s="593">
        <f>+'Water '!$F13</f>
        <v>163</v>
      </c>
      <c r="I71" s="593">
        <f>+'Water '!$F14</f>
        <v>144</v>
      </c>
      <c r="J71" s="594">
        <f>+'Water '!$F15</f>
        <v>231</v>
      </c>
      <c r="K71" s="594">
        <f>+'Water '!$F16</f>
        <v>306</v>
      </c>
      <c r="L71" s="594">
        <f>+'Water '!$F17</f>
        <v>248</v>
      </c>
      <c r="M71" s="594">
        <f>+'Water '!$F18</f>
        <v>131</v>
      </c>
      <c r="N71" s="594" t="str">
        <f>+'Water '!$F19</f>
        <v>0</v>
      </c>
      <c r="O71" s="594">
        <f>+'Water '!$F20</f>
        <v>139</v>
      </c>
      <c r="P71" s="594">
        <f>+'Water '!$F21</f>
        <v>145</v>
      </c>
      <c r="Q71" s="594">
        <f>+'Water '!$F22</f>
        <v>166</v>
      </c>
      <c r="R71" s="594">
        <f>+'Water '!$F23</f>
        <v>301</v>
      </c>
      <c r="S71" s="594">
        <f>+'Water '!$F24</f>
        <v>200</v>
      </c>
      <c r="T71" s="594" t="str">
        <f>+'Water '!$F25</f>
        <v>0</v>
      </c>
      <c r="U71" s="594" t="str">
        <f>+'Water '!$F26</f>
        <v>0</v>
      </c>
      <c r="V71" s="594">
        <f>+'Water '!$F27</f>
        <v>139</v>
      </c>
      <c r="W71" s="594">
        <f>+'Water '!$F28</f>
        <v>184</v>
      </c>
      <c r="X71" s="594">
        <f>+'Water '!$F29</f>
        <v>78</v>
      </c>
      <c r="Y71" s="594">
        <f>+'Water '!$F30</f>
        <v>154</v>
      </c>
      <c r="Z71" s="594">
        <f>+'Water '!$F31</f>
        <v>234</v>
      </c>
      <c r="AA71" s="594">
        <f>+'Water '!$F32</f>
        <v>38</v>
      </c>
      <c r="AB71" s="594" t="str">
        <f>+'Water '!$F33</f>
        <v>0</v>
      </c>
      <c r="AC71" s="594" t="str">
        <f>+'Water '!$F34</f>
        <v>0</v>
      </c>
      <c r="AD71" s="594" t="str">
        <f>+'Water '!$F35</f>
        <v>0</v>
      </c>
      <c r="AE71" s="594" t="str">
        <f>+'Water '!$F36</f>
        <v>0</v>
      </c>
      <c r="AF71" s="594" t="str">
        <f>+'Water '!$F37</f>
        <v>0</v>
      </c>
      <c r="AG71" s="594"/>
      <c r="AH71" s="595">
        <f>SUM($B71:AF71)</f>
        <v>3834</v>
      </c>
      <c r="AI71" s="595"/>
      <c r="AJ71" s="596"/>
      <c r="AK71" s="596"/>
      <c r="AL71" s="596"/>
      <c r="AM71" s="596"/>
      <c r="AN71" s="596"/>
      <c r="AO71" s="596"/>
      <c r="AP71" s="596"/>
      <c r="AQ71" s="596"/>
      <c r="AR71" s="596"/>
      <c r="AS71" s="596"/>
      <c r="AT71" s="596"/>
      <c r="AU71" s="596"/>
      <c r="AV71" s="596"/>
      <c r="AW71" s="596"/>
      <c r="AX71" s="596"/>
      <c r="AY71" s="596"/>
      <c r="AZ71" s="596"/>
      <c r="BA71" s="596"/>
      <c r="BB71" s="596"/>
      <c r="BC71" s="596"/>
      <c r="BD71" s="596"/>
      <c r="BE71" s="596"/>
      <c r="BF71" s="596"/>
      <c r="BG71" s="596"/>
    </row>
    <row r="72" spans="1:59" ht="27" thickBot="1" x14ac:dyDescent="0.4">
      <c r="A72" s="531"/>
      <c r="B72" s="485"/>
      <c r="C72" s="485"/>
      <c r="D72" s="485"/>
      <c r="E72" s="485"/>
      <c r="F72" s="485"/>
      <c r="G72" s="485"/>
      <c r="H72" s="485"/>
      <c r="I72" s="485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  <c r="AA72" s="521"/>
      <c r="AB72" s="521"/>
      <c r="AC72" s="521"/>
      <c r="AD72" s="521"/>
      <c r="AE72" s="521"/>
      <c r="AH72" s="485"/>
      <c r="AI72" s="485"/>
    </row>
    <row r="73" spans="1:59" ht="25.5" hidden="1" customHeight="1" x14ac:dyDescent="0.5">
      <c r="A73" s="598" t="s">
        <v>238</v>
      </c>
      <c r="B73" s="485"/>
      <c r="C73" s="485"/>
      <c r="D73" s="485"/>
      <c r="E73" s="485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1"/>
      <c r="AB73" s="521"/>
      <c r="AC73" s="521"/>
      <c r="AD73" s="521"/>
      <c r="AE73" s="521"/>
      <c r="AF73" s="521"/>
      <c r="AG73" s="521"/>
      <c r="AH73" s="521">
        <f>SUM(B73:AF73)</f>
        <v>0</v>
      </c>
      <c r="AI73" s="599"/>
    </row>
    <row r="74" spans="1:59" s="505" customFormat="1" ht="37.5" customHeight="1" x14ac:dyDescent="0.5">
      <c r="A74" s="791" t="s">
        <v>220</v>
      </c>
      <c r="B74" s="803">
        <v>2700</v>
      </c>
      <c r="C74" s="885">
        <v>2900</v>
      </c>
      <c r="D74" s="802">
        <v>2100</v>
      </c>
      <c r="E74" s="802">
        <v>1100</v>
      </c>
      <c r="F74" s="888">
        <v>-2400</v>
      </c>
      <c r="G74" s="802"/>
      <c r="H74" s="802">
        <v>700</v>
      </c>
      <c r="I74" s="802">
        <v>1900</v>
      </c>
      <c r="J74" s="803">
        <f>1100+800</f>
        <v>1900</v>
      </c>
      <c r="K74" s="892">
        <v>2500</v>
      </c>
      <c r="L74" s="892">
        <v>1600</v>
      </c>
      <c r="M74" s="892">
        <v>0</v>
      </c>
      <c r="N74" s="892">
        <v>0</v>
      </c>
      <c r="O74" s="892">
        <v>1700</v>
      </c>
      <c r="P74" s="892">
        <v>3200</v>
      </c>
      <c r="Q74" s="803">
        <f>800+900</f>
        <v>1700</v>
      </c>
      <c r="R74" s="892">
        <v>2400</v>
      </c>
      <c r="S74" s="802">
        <v>2000</v>
      </c>
      <c r="T74" s="802">
        <v>0</v>
      </c>
      <c r="U74" s="802"/>
      <c r="V74" s="802">
        <v>900</v>
      </c>
      <c r="W74" s="899">
        <f>2200+1200</f>
        <v>3400</v>
      </c>
      <c r="X74" s="892">
        <v>1300</v>
      </c>
      <c r="Y74" s="892">
        <v>1600</v>
      </c>
      <c r="Z74" s="892">
        <v>1200</v>
      </c>
      <c r="AA74" s="892">
        <v>0</v>
      </c>
      <c r="AB74" s="892">
        <v>0</v>
      </c>
      <c r="AC74" s="892">
        <v>1300</v>
      </c>
      <c r="AD74" s="892">
        <v>0</v>
      </c>
      <c r="AE74" s="802"/>
      <c r="AF74" s="802"/>
      <c r="AG74" s="802"/>
      <c r="AH74" s="517">
        <f>SUM(B74:AF74)</f>
        <v>35700</v>
      </c>
      <c r="AI74" s="538"/>
      <c r="AJ74" s="538"/>
      <c r="AK74" s="475"/>
      <c r="AL74" s="475"/>
      <c r="AM74" s="475"/>
      <c r="AN74" s="475"/>
      <c r="AO74" s="475"/>
      <c r="AP74" s="475"/>
      <c r="AQ74" s="475"/>
      <c r="AR74" s="475"/>
      <c r="AS74" s="475"/>
      <c r="AT74" s="475"/>
      <c r="AU74" s="475"/>
      <c r="AV74" s="475"/>
      <c r="AW74" s="475"/>
      <c r="AX74" s="475"/>
      <c r="AY74" s="475"/>
      <c r="AZ74" s="475"/>
      <c r="BA74" s="475"/>
      <c r="BB74" s="475"/>
      <c r="BC74" s="475"/>
      <c r="BD74" s="475"/>
      <c r="BE74" s="475"/>
      <c r="BF74" s="475"/>
      <c r="BG74" s="475"/>
    </row>
    <row r="75" spans="1:59" s="603" customFormat="1" x14ac:dyDescent="0.4">
      <c r="A75" s="792" t="s">
        <v>284</v>
      </c>
      <c r="B75" s="602" cm="1">
        <f t="array" ref="B75:AF75">TRANSPOSE('CO2'!D7:D37)</f>
        <v>2728.6300000000047</v>
      </c>
      <c r="C75" s="602">
        <v>2873.4300000000512</v>
      </c>
      <c r="D75" s="602">
        <v>2205.9399999999441</v>
      </c>
      <c r="E75" s="602">
        <v>313.67000000004191</v>
      </c>
      <c r="F75" s="602" t="str">
        <v>0</v>
      </c>
      <c r="G75" s="602" t="str">
        <v>0</v>
      </c>
      <c r="H75" s="602">
        <v>452.57999999995809</v>
      </c>
      <c r="I75" s="602">
        <v>1438.8100000000559</v>
      </c>
      <c r="J75" s="602">
        <v>1818.7999999999302</v>
      </c>
      <c r="K75" s="602">
        <v>1996.7700000000186</v>
      </c>
      <c r="L75" s="602">
        <v>1577.9699999999721</v>
      </c>
      <c r="M75" s="602">
        <v>2.4600000000791624</v>
      </c>
      <c r="N75" s="602" t="str">
        <v>0</v>
      </c>
      <c r="O75" s="602">
        <v>2088.6899999999441</v>
      </c>
      <c r="P75" s="602">
        <v>3814.1899999999441</v>
      </c>
      <c r="Q75" s="602">
        <v>1659.9400000000605</v>
      </c>
      <c r="R75" s="602">
        <v>2393.3699999999953</v>
      </c>
      <c r="S75" s="602">
        <v>2201.5600000000559</v>
      </c>
      <c r="T75" s="602" t="str">
        <v>0</v>
      </c>
      <c r="U75" s="602">
        <v>1.9000000000232831</v>
      </c>
      <c r="V75" s="602">
        <v>875.25</v>
      </c>
      <c r="W75" s="602">
        <v>1889.8100000000559</v>
      </c>
      <c r="X75" s="602">
        <v>1373.1299999998882</v>
      </c>
      <c r="Y75" s="600">
        <v>1366</v>
      </c>
      <c r="Z75" s="600">
        <v>1336.75</v>
      </c>
      <c r="AA75" s="601" t="str">
        <v>0</v>
      </c>
      <c r="AB75" s="601" t="str">
        <v>0</v>
      </c>
      <c r="AC75" s="601" t="str">
        <v>0</v>
      </c>
      <c r="AD75" s="601" t="str">
        <v>0</v>
      </c>
      <c r="AE75" s="600" t="str">
        <v>0</v>
      </c>
      <c r="AF75" s="793" t="str">
        <v>0</v>
      </c>
      <c r="AG75" s="600"/>
      <c r="AH75" s="517">
        <f>SUM(B75:AF75)</f>
        <v>34409.650000000023</v>
      </c>
      <c r="AI75" s="601"/>
      <c r="AJ75" s="601"/>
      <c r="AK75" s="601"/>
      <c r="AL75" s="601"/>
      <c r="AM75" s="601"/>
      <c r="AN75" s="601"/>
      <c r="AO75" s="601"/>
      <c r="AP75" s="601"/>
      <c r="AQ75" s="601"/>
      <c r="AR75" s="601"/>
      <c r="AS75" s="601"/>
      <c r="AT75" s="601"/>
      <c r="AU75" s="601"/>
      <c r="AV75" s="601"/>
      <c r="AW75" s="601"/>
      <c r="AX75" s="601"/>
      <c r="AY75" s="601"/>
      <c r="AZ75" s="601"/>
      <c r="BA75" s="601"/>
      <c r="BB75" s="601"/>
      <c r="BC75" s="601"/>
      <c r="BD75" s="601"/>
      <c r="BE75" s="601"/>
      <c r="BF75" s="601"/>
    </row>
    <row r="76" spans="1:59" s="604" customFormat="1" x14ac:dyDescent="0.2">
      <c r="A76" s="794" t="s">
        <v>290</v>
      </c>
      <c r="B76" s="605" cm="1">
        <f t="array" ref="B76:AF76">TRANSPOSE('CO2'!B7:B37)</f>
        <v>294.26000000000931</v>
      </c>
      <c r="C76" s="605">
        <v>307.14999999999418</v>
      </c>
      <c r="D76" s="605">
        <v>267.4600000000064</v>
      </c>
      <c r="E76" s="605">
        <v>43.299999999988358</v>
      </c>
      <c r="F76" s="605" t="str">
        <v>0</v>
      </c>
      <c r="G76" s="605" t="str">
        <v>0</v>
      </c>
      <c r="H76" s="605" t="str">
        <v>0</v>
      </c>
      <c r="I76" s="605">
        <v>142.39000000001397</v>
      </c>
      <c r="J76" s="605">
        <v>222.90999999998894</v>
      </c>
      <c r="K76" s="605">
        <v>219.43000000000757</v>
      </c>
      <c r="L76" s="605">
        <v>163.31999999999243</v>
      </c>
      <c r="M76" s="605" t="str">
        <v>0</v>
      </c>
      <c r="N76" s="605" t="str">
        <v>0</v>
      </c>
      <c r="O76" s="605">
        <v>271.54000000000815</v>
      </c>
      <c r="P76" s="605">
        <v>369.80000000000291</v>
      </c>
      <c r="Q76" s="605">
        <v>139.27999999999884</v>
      </c>
      <c r="R76" s="605">
        <v>180.14999999999418</v>
      </c>
      <c r="S76" s="605">
        <v>263.89999999999418</v>
      </c>
      <c r="T76" s="605" t="str">
        <v>0</v>
      </c>
      <c r="U76" s="605" t="str">
        <v>0</v>
      </c>
      <c r="V76" s="605">
        <v>97.880000000004657</v>
      </c>
      <c r="W76" s="605">
        <v>217.16000000000349</v>
      </c>
      <c r="X76" s="605">
        <v>173.91999999999825</v>
      </c>
      <c r="Y76" s="605">
        <v>196.83000000000175</v>
      </c>
      <c r="Z76" s="605">
        <v>149.94000000000233</v>
      </c>
      <c r="AA76" s="605" t="str">
        <v>0</v>
      </c>
      <c r="AB76" s="605" t="str">
        <v>0</v>
      </c>
      <c r="AC76" s="605" t="str">
        <v>0</v>
      </c>
      <c r="AD76" s="605" t="str">
        <v>0</v>
      </c>
      <c r="AE76" s="605" t="str">
        <v>0</v>
      </c>
      <c r="AF76" s="795" t="str">
        <v>0</v>
      </c>
      <c r="AG76" s="605"/>
      <c r="AH76" s="605">
        <f>SUM($B76:AF76)</f>
        <v>3720.6200000000099</v>
      </c>
      <c r="AI76" s="606"/>
      <c r="AJ76" s="607"/>
      <c r="AK76" s="607"/>
      <c r="AL76" s="607"/>
      <c r="AM76" s="607"/>
      <c r="AN76" s="607"/>
      <c r="AO76" s="607"/>
      <c r="AP76" s="607"/>
      <c r="AQ76" s="607"/>
      <c r="AR76" s="607"/>
      <c r="AS76" s="607"/>
      <c r="AT76" s="607"/>
      <c r="AU76" s="607"/>
      <c r="AV76" s="607"/>
      <c r="AW76" s="607"/>
      <c r="AX76" s="607"/>
      <c r="AY76" s="607"/>
      <c r="AZ76" s="607"/>
      <c r="BA76" s="607"/>
      <c r="BB76" s="607"/>
      <c r="BC76" s="607"/>
      <c r="BD76" s="607"/>
      <c r="BE76" s="607"/>
      <c r="BF76" s="607"/>
      <c r="BG76" s="607"/>
    </row>
    <row r="77" spans="1:59" s="765" customFormat="1" x14ac:dyDescent="0.4">
      <c r="A77" s="796" t="s">
        <v>292</v>
      </c>
      <c r="B77" s="797" cm="1">
        <f t="array" ref="B77:AF77">TRANSPOSE('CO2'!C7:C37)</f>
        <v>963.33000000000175</v>
      </c>
      <c r="C77" s="797">
        <v>767.16999999999825</v>
      </c>
      <c r="D77" s="797">
        <v>277.79000000000815</v>
      </c>
      <c r="E77" s="797">
        <v>132.2899999999936</v>
      </c>
      <c r="F77" s="797" t="str">
        <v>0</v>
      </c>
      <c r="G77" s="797" t="str">
        <v>0</v>
      </c>
      <c r="H77" s="797">
        <v>113.63000000000466</v>
      </c>
      <c r="I77" s="797">
        <v>225.4600000000064</v>
      </c>
      <c r="J77" s="608">
        <v>435.19999999999709</v>
      </c>
      <c r="K77" s="608">
        <v>537.61999999999534</v>
      </c>
      <c r="L77" s="608">
        <v>748.27000000000407</v>
      </c>
      <c r="M77" s="608" t="str">
        <v>0</v>
      </c>
      <c r="N77" s="608" t="str">
        <v>0</v>
      </c>
      <c r="O77" s="608">
        <v>649.36999999999534</v>
      </c>
      <c r="P77" s="608">
        <v>873.26000000000931</v>
      </c>
      <c r="Q77" s="608">
        <v>678.3799999999901</v>
      </c>
      <c r="R77" s="608">
        <v>1046.5899999999965</v>
      </c>
      <c r="S77" s="608">
        <v>868.07000000000698</v>
      </c>
      <c r="T77" s="608" t="str">
        <v>0</v>
      </c>
      <c r="U77" s="608" t="str">
        <v>0</v>
      </c>
      <c r="V77" s="608">
        <v>179.99000000000524</v>
      </c>
      <c r="W77" s="608">
        <v>752.63999999999942</v>
      </c>
      <c r="X77" s="608">
        <v>112.16999999999825</v>
      </c>
      <c r="Y77" s="608">
        <v>152.97000000000116</v>
      </c>
      <c r="Z77" s="608">
        <v>499.58000000000175</v>
      </c>
      <c r="AA77" s="608" t="str">
        <v>0</v>
      </c>
      <c r="AB77" s="608" t="str">
        <v>0</v>
      </c>
      <c r="AC77" s="608" t="str">
        <v>0</v>
      </c>
      <c r="AD77" s="608" t="str">
        <v>0</v>
      </c>
      <c r="AE77" s="608" t="str">
        <v>0</v>
      </c>
      <c r="AF77" s="798" t="str">
        <v>0</v>
      </c>
      <c r="AG77" s="608"/>
      <c r="AH77" s="605">
        <f>SUM($B77:AF77)</f>
        <v>10013.780000000013</v>
      </c>
      <c r="AI77" s="764"/>
      <c r="AJ77" s="764" t="s">
        <v>55</v>
      </c>
      <c r="AK77" s="764"/>
      <c r="AL77" s="764"/>
      <c r="AM77" s="764"/>
      <c r="AN77" s="764"/>
      <c r="AO77" s="764"/>
      <c r="AP77" s="764"/>
      <c r="AQ77" s="764"/>
      <c r="AR77" s="764"/>
      <c r="AS77" s="764"/>
      <c r="AT77" s="764"/>
      <c r="AU77" s="764"/>
      <c r="AV77" s="764"/>
      <c r="AW77" s="764"/>
      <c r="AX77" s="764"/>
      <c r="AY77" s="764"/>
      <c r="AZ77" s="764"/>
      <c r="BA77" s="764"/>
      <c r="BB77" s="764"/>
      <c r="BC77" s="764"/>
      <c r="BD77" s="764"/>
      <c r="BE77" s="764"/>
      <c r="BF77" s="764"/>
    </row>
    <row r="78" spans="1:59" ht="27" thickBot="1" x14ac:dyDescent="0.4">
      <c r="A78" s="799" t="s">
        <v>293</v>
      </c>
      <c r="B78" s="800">
        <f>B75-B76-B77</f>
        <v>1471.0399999999936</v>
      </c>
      <c r="C78" s="800">
        <f t="shared" ref="C78:T78" si="29">C75-C76-C77</f>
        <v>1799.1100000000588</v>
      </c>
      <c r="D78" s="800">
        <f t="shared" si="29"/>
        <v>1660.6899999999296</v>
      </c>
      <c r="E78" s="800">
        <f t="shared" si="29"/>
        <v>138.08000000005995</v>
      </c>
      <c r="F78" s="800">
        <f t="shared" si="29"/>
        <v>0</v>
      </c>
      <c r="G78" s="800">
        <f t="shared" si="29"/>
        <v>0</v>
      </c>
      <c r="H78" s="800">
        <f t="shared" si="29"/>
        <v>338.94999999995343</v>
      </c>
      <c r="I78" s="800">
        <f t="shared" si="29"/>
        <v>1070.9600000000355</v>
      </c>
      <c r="J78" s="800">
        <f t="shared" si="29"/>
        <v>1160.6899999999441</v>
      </c>
      <c r="K78" s="800">
        <f t="shared" si="29"/>
        <v>1239.7200000000157</v>
      </c>
      <c r="L78" s="800">
        <f t="shared" si="29"/>
        <v>666.37999999997555</v>
      </c>
      <c r="M78" s="800">
        <f t="shared" si="29"/>
        <v>2.4600000000791624</v>
      </c>
      <c r="N78" s="800">
        <f t="shared" si="29"/>
        <v>0</v>
      </c>
      <c r="O78" s="800">
        <f t="shared" si="29"/>
        <v>1167.7799999999406</v>
      </c>
      <c r="P78" s="800">
        <f t="shared" si="29"/>
        <v>2571.1299999999319</v>
      </c>
      <c r="Q78" s="800">
        <f t="shared" si="29"/>
        <v>842.2800000000716</v>
      </c>
      <c r="R78" s="800">
        <f t="shared" si="29"/>
        <v>1166.6300000000047</v>
      </c>
      <c r="S78" s="800">
        <f t="shared" si="29"/>
        <v>1069.5900000000547</v>
      </c>
      <c r="T78" s="800">
        <f t="shared" si="29"/>
        <v>0</v>
      </c>
      <c r="U78" s="800">
        <f>U75-U76-U77</f>
        <v>1.9000000000232831</v>
      </c>
      <c r="V78" s="800">
        <f>V75-V76-V77</f>
        <v>597.3799999999901</v>
      </c>
      <c r="W78" s="897">
        <f t="shared" ref="W78:AB78" si="30">W75-W76-W77</f>
        <v>920.01000000005297</v>
      </c>
      <c r="X78" s="800">
        <f t="shared" si="30"/>
        <v>1087.0399999998917</v>
      </c>
      <c r="Y78" s="800">
        <f t="shared" si="30"/>
        <v>1016.1999999999971</v>
      </c>
      <c r="Z78" s="800">
        <f t="shared" si="30"/>
        <v>687.22999999999593</v>
      </c>
      <c r="AA78" s="800">
        <f t="shared" si="30"/>
        <v>0</v>
      </c>
      <c r="AB78" s="800">
        <f t="shared" si="30"/>
        <v>0</v>
      </c>
      <c r="AC78" s="800">
        <f>AC75-AC76-AC77</f>
        <v>0</v>
      </c>
      <c r="AD78" s="800">
        <f t="shared" ref="AD78:AE78" si="31">AD75-AD76-AD77</f>
        <v>0</v>
      </c>
      <c r="AE78" s="800">
        <f t="shared" si="31"/>
        <v>0</v>
      </c>
      <c r="AF78" s="801">
        <f>AF75-AF76-AF77</f>
        <v>0</v>
      </c>
      <c r="AG78" s="486">
        <f t="shared" ref="AG78" si="32">AG75-AG76-AG77</f>
        <v>0</v>
      </c>
      <c r="AH78" s="485">
        <f>AH75-AH76-AH77</f>
        <v>20675.25</v>
      </c>
      <c r="AI78" s="485"/>
    </row>
    <row r="79" spans="1:59" ht="35.450000000000003" hidden="1" customHeight="1" x14ac:dyDescent="0.5">
      <c r="A79" s="609" t="s">
        <v>232</v>
      </c>
      <c r="B79" s="610">
        <f>'Daily KPIs CO2'!B47</f>
        <v>2728.6300000000047</v>
      </c>
      <c r="C79" s="610">
        <f>'Daily KPIs CO2'!C47</f>
        <v>2873.4300000000512</v>
      </c>
      <c r="D79" s="610">
        <f>'Daily KPIs CO2'!D47</f>
        <v>2205.9399999999441</v>
      </c>
      <c r="E79" s="610">
        <f>'Daily KPIs CO2'!E47</f>
        <v>313.67000000004191</v>
      </c>
      <c r="F79" s="610">
        <f>'Daily KPIs CO2'!F47</f>
        <v>0</v>
      </c>
      <c r="G79" s="610" t="e">
        <f>'Daily KPIs CO2'!G47</f>
        <v>#REF!</v>
      </c>
      <c r="H79" s="610" t="e">
        <f>'Daily KPIs CO2'!H47</f>
        <v>#REF!</v>
      </c>
      <c r="I79" s="610">
        <f>'Daily KPIs CO2'!I47</f>
        <v>1438.8100000000559</v>
      </c>
      <c r="J79" s="611">
        <f>'Daily KPIs CO2'!J47</f>
        <v>1818.7999999999302</v>
      </c>
      <c r="K79" s="611">
        <f>'Daily KPIs CO2'!K47</f>
        <v>1996.7700000000186</v>
      </c>
      <c r="L79" s="611" t="s">
        <v>237</v>
      </c>
      <c r="M79" s="611">
        <f>'Daily KPIs CO2'!M47</f>
        <v>2.4600000000791624</v>
      </c>
      <c r="N79" s="611"/>
      <c r="O79" s="611">
        <f>'Daily KPIs CO2'!O47</f>
        <v>2088.6899999999441</v>
      </c>
      <c r="P79" s="611">
        <f>'Daily KPIs CO2'!P47</f>
        <v>3814.1899999999441</v>
      </c>
      <c r="Q79" s="611">
        <f>'Daily KPIs CO2'!Q47</f>
        <v>1659.9400000000605</v>
      </c>
      <c r="R79" s="611">
        <f>'Daily KPIs CO2'!R47</f>
        <v>2393.3699999999953</v>
      </c>
      <c r="S79" s="611">
        <f>'Daily KPIs CO2'!S47</f>
        <v>180.14999999999418</v>
      </c>
      <c r="T79" s="611">
        <f>'Daily KPIs CO2'!T47</f>
        <v>138</v>
      </c>
      <c r="U79" s="611">
        <f>'Daily KPIs CO2'!U47</f>
        <v>294</v>
      </c>
      <c r="V79" s="611">
        <f>'Daily KPIs CO2'!V47</f>
        <v>527</v>
      </c>
      <c r="W79" s="611">
        <f>'Daily KPIs CO2'!W47</f>
        <v>264</v>
      </c>
      <c r="X79" s="611">
        <f>'Daily KPIs CO2'!X47</f>
        <v>234</v>
      </c>
      <c r="Y79" s="611">
        <f>'Daily KPIs CO2'!Y47</f>
        <v>0</v>
      </c>
      <c r="Z79" s="611">
        <f>'Daily KPIs CO2'!Z47</f>
        <v>100</v>
      </c>
      <c r="AA79" s="611">
        <f>'Daily KPIs CO2'!AA47</f>
        <v>0</v>
      </c>
      <c r="AB79" s="611">
        <f>'Daily KPIs CO2'!AB47</f>
        <v>1</v>
      </c>
      <c r="AC79" s="610">
        <f>'Daily KPIs CO2'!AC47</f>
        <v>200</v>
      </c>
      <c r="AD79" s="611">
        <f>'Daily KPIs CO2'!AF47</f>
        <v>111</v>
      </c>
      <c r="AE79" s="610" t="e">
        <f>'Daily KPIs CO2'!AG47</f>
        <v>#REF!</v>
      </c>
      <c r="AF79" s="611">
        <f>'Daily KPIs CO2'!AH47</f>
        <v>0</v>
      </c>
      <c r="AG79" s="611"/>
      <c r="AH79" s="612"/>
      <c r="AI79" s="485"/>
      <c r="AL79" s="191"/>
    </row>
    <row r="80" spans="1:59" s="616" customFormat="1" ht="32.450000000000003" customHeight="1" x14ac:dyDescent="0.4">
      <c r="A80" s="597" t="s">
        <v>288</v>
      </c>
      <c r="B80" s="613" cm="1">
        <f t="array" ref="B80:AF80">TRANSPOSE('Elec.SEPTEMBER 2026'!B7:B37)</f>
        <v>8735</v>
      </c>
      <c r="C80" s="613">
        <v>8438</v>
      </c>
      <c r="D80" s="613">
        <v>8694</v>
      </c>
      <c r="E80" s="613">
        <v>5679</v>
      </c>
      <c r="F80" s="613">
        <v>3385</v>
      </c>
      <c r="G80" s="613">
        <v>2797</v>
      </c>
      <c r="H80" s="613">
        <v>5039</v>
      </c>
      <c r="I80" s="613">
        <v>6654</v>
      </c>
      <c r="J80" s="613">
        <v>8374</v>
      </c>
      <c r="K80" s="614">
        <v>6508</v>
      </c>
      <c r="L80" s="614">
        <v>6688</v>
      </c>
      <c r="M80" s="614">
        <v>3127</v>
      </c>
      <c r="N80" s="614">
        <v>4203</v>
      </c>
      <c r="O80" s="614">
        <v>7310</v>
      </c>
      <c r="P80" s="614">
        <v>9121</v>
      </c>
      <c r="Q80" s="614">
        <v>8169</v>
      </c>
      <c r="R80" s="614">
        <v>8558</v>
      </c>
      <c r="S80" s="614">
        <v>8711</v>
      </c>
      <c r="T80" s="614">
        <v>3065</v>
      </c>
      <c r="U80" s="614">
        <v>2722</v>
      </c>
      <c r="V80" s="614">
        <v>6887</v>
      </c>
      <c r="W80" s="614">
        <v>6945</v>
      </c>
      <c r="X80" s="614">
        <v>7616</v>
      </c>
      <c r="Y80" s="614">
        <v>7693</v>
      </c>
      <c r="Z80" s="614">
        <v>6561</v>
      </c>
      <c r="AA80" s="614">
        <v>2727</v>
      </c>
      <c r="AB80" s="614">
        <v>2886</v>
      </c>
      <c r="AC80" s="614">
        <v>0</v>
      </c>
      <c r="AD80" s="614">
        <v>0</v>
      </c>
      <c r="AE80" s="614">
        <v>0</v>
      </c>
      <c r="AF80" s="614">
        <v>0</v>
      </c>
      <c r="AG80" s="614"/>
      <c r="AH80" s="595">
        <f>SUM(B80:AF80)</f>
        <v>167292</v>
      </c>
      <c r="AI80" s="595"/>
      <c r="AJ80" s="615"/>
      <c r="AK80" s="615"/>
      <c r="AL80" s="615"/>
      <c r="AM80" s="615"/>
      <c r="AN80" s="615"/>
      <c r="AO80" s="615"/>
      <c r="AP80" s="615"/>
      <c r="AQ80" s="615"/>
      <c r="AR80" s="615"/>
      <c r="AS80" s="615"/>
      <c r="AT80" s="615"/>
      <c r="AU80" s="615"/>
      <c r="AV80" s="615"/>
      <c r="AW80" s="615"/>
      <c r="AX80" s="615"/>
      <c r="AY80" s="615"/>
      <c r="AZ80" s="615"/>
      <c r="BA80" s="615"/>
      <c r="BB80" s="615"/>
      <c r="BC80" s="615"/>
      <c r="BD80" s="615"/>
      <c r="BE80" s="615"/>
      <c r="BF80" s="615"/>
      <c r="BG80" s="615"/>
    </row>
    <row r="81" spans="1:59" s="616" customFormat="1" hidden="1" x14ac:dyDescent="0.4">
      <c r="A81" s="597"/>
      <c r="B81" s="613" t="e" cm="1" vm="1">
        <f t="array" aca="1" ref="B81" ca="1">TRANSPOSE('Elec.SEPTEMBER 2026'!E8:E38)</f>
        <v>#VALUE!</v>
      </c>
      <c r="C81" s="613"/>
      <c r="D81" s="613" t="s">
        <v>55</v>
      </c>
      <c r="E81" s="613"/>
      <c r="F81" s="613"/>
      <c r="G81" s="613"/>
      <c r="H81" s="613"/>
      <c r="I81" s="613"/>
      <c r="J81" s="614"/>
      <c r="K81" s="614"/>
      <c r="L81" s="614"/>
      <c r="M81" s="614"/>
      <c r="N81" s="614"/>
      <c r="O81" s="614"/>
      <c r="P81" s="617"/>
      <c r="Q81" s="614"/>
      <c r="R81" s="614"/>
      <c r="S81" s="614"/>
      <c r="T81" s="614"/>
      <c r="U81" s="614"/>
      <c r="V81" s="614"/>
      <c r="W81" s="614"/>
      <c r="X81" s="614"/>
      <c r="Y81" s="614"/>
      <c r="Z81" s="614"/>
      <c r="AA81" s="614"/>
      <c r="AB81" s="614"/>
      <c r="AC81" s="614"/>
      <c r="AD81" s="614"/>
      <c r="AE81" s="614"/>
      <c r="AF81" s="614"/>
      <c r="AG81" s="614"/>
      <c r="AH81" s="595" t="e" vm="2">
        <f ca="1">SUM(B81:AF81)</f>
        <v>#VALUE!</v>
      </c>
      <c r="AI81" s="595"/>
      <c r="AJ81" s="615"/>
      <c r="AK81" s="615"/>
      <c r="AL81" s="615"/>
      <c r="AM81" s="615"/>
      <c r="AN81" s="615"/>
      <c r="AO81" s="615"/>
      <c r="AP81" s="615"/>
      <c r="AQ81" s="615"/>
      <c r="AR81" s="615"/>
      <c r="AS81" s="615"/>
      <c r="AT81" s="615"/>
      <c r="AU81" s="615"/>
      <c r="AV81" s="615"/>
      <c r="AW81" s="615"/>
      <c r="AX81" s="615"/>
      <c r="AY81" s="615"/>
      <c r="AZ81" s="615"/>
      <c r="BA81" s="615"/>
      <c r="BB81" s="615"/>
      <c r="BC81" s="615"/>
      <c r="BD81" s="615"/>
      <c r="BE81" s="615"/>
      <c r="BF81" s="615"/>
      <c r="BG81" s="615"/>
    </row>
    <row r="82" spans="1:59" s="616" customFormat="1" hidden="1" x14ac:dyDescent="0.4">
      <c r="A82" s="597"/>
      <c r="B82" s="613" cm="1">
        <f t="array" ref="B82:AF82">TRANSPOSE('Elec.SEPTEMBER 2026'!E9:E39)</f>
        <v>10305.6</v>
      </c>
      <c r="C82" s="615">
        <v>7221</v>
      </c>
      <c r="D82" s="615">
        <v>4937.3999999999996</v>
      </c>
      <c r="E82" s="615">
        <v>4371.3</v>
      </c>
      <c r="F82" s="615">
        <v>6545.9</v>
      </c>
      <c r="G82" s="615">
        <v>8212.2999999999993</v>
      </c>
      <c r="H82" s="615">
        <v>9416.7000000000007</v>
      </c>
      <c r="I82" s="615">
        <v>7047.6</v>
      </c>
      <c r="J82" s="618">
        <v>8053.4</v>
      </c>
      <c r="K82" s="618">
        <v>4139.3999999999996</v>
      </c>
      <c r="L82" s="618">
        <v>4642</v>
      </c>
      <c r="M82" s="618">
        <v>8868.7000000000007</v>
      </c>
      <c r="N82" s="618">
        <v>10711.2</v>
      </c>
      <c r="O82" s="618">
        <v>9682.7000000000007</v>
      </c>
      <c r="P82" s="618">
        <v>10110.200000000001</v>
      </c>
      <c r="Q82" s="618">
        <v>10302.1</v>
      </c>
      <c r="R82" s="618">
        <v>4623.2</v>
      </c>
      <c r="S82" s="618">
        <v>4231.8</v>
      </c>
      <c r="T82" s="618">
        <v>8513.6</v>
      </c>
      <c r="U82" s="618">
        <v>8264.7000000000007</v>
      </c>
      <c r="V82" s="618">
        <v>9044.5</v>
      </c>
      <c r="W82" s="618">
        <v>8413.2000000000007</v>
      </c>
      <c r="X82" s="618">
        <v>7653.3</v>
      </c>
      <c r="Y82" s="619">
        <v>4286.8</v>
      </c>
      <c r="Z82" s="619">
        <v>3687.9</v>
      </c>
      <c r="AA82" s="618">
        <v>1396.2</v>
      </c>
      <c r="AB82" s="618">
        <v>0</v>
      </c>
      <c r="AC82" s="618">
        <v>0</v>
      </c>
      <c r="AD82" s="618">
        <v>0</v>
      </c>
      <c r="AE82" s="618">
        <v>204865.6</v>
      </c>
      <c r="AF82" s="618">
        <v>0</v>
      </c>
      <c r="AG82" s="618"/>
      <c r="AH82" s="595">
        <f>SUM(B82:AF82)</f>
        <v>389548.3</v>
      </c>
      <c r="AI82" s="595"/>
      <c r="AJ82" s="615"/>
      <c r="AK82" s="615"/>
      <c r="AL82" s="615"/>
      <c r="AM82" s="615"/>
      <c r="AN82" s="615"/>
      <c r="AO82" s="615"/>
      <c r="AP82" s="615"/>
      <c r="AQ82" s="615"/>
      <c r="AR82" s="615"/>
      <c r="AS82" s="615"/>
      <c r="AT82" s="615"/>
      <c r="AU82" s="615"/>
      <c r="AV82" s="615"/>
      <c r="AW82" s="615"/>
      <c r="AX82" s="615"/>
      <c r="AY82" s="615"/>
      <c r="AZ82" s="615"/>
      <c r="BA82" s="615"/>
      <c r="BB82" s="615"/>
      <c r="BC82" s="615"/>
      <c r="BD82" s="615"/>
      <c r="BE82" s="615"/>
      <c r="BF82" s="615"/>
      <c r="BG82" s="615"/>
    </row>
    <row r="83" spans="1:59" s="804" customFormat="1" x14ac:dyDescent="0.4">
      <c r="A83" s="805" t="s">
        <v>301</v>
      </c>
      <c r="B83" s="595" cm="1">
        <f t="array" ref="B83:AF83">TRANSPOSE('Elec.SEPTEMBER 2026'!D7:D37)</f>
        <v>1374.6</v>
      </c>
      <c r="C83" s="595">
        <v>1635.3</v>
      </c>
      <c r="D83" s="595">
        <v>1611.6</v>
      </c>
      <c r="E83" s="595">
        <v>1542</v>
      </c>
      <c r="F83" s="595">
        <v>1552.4</v>
      </c>
      <c r="G83" s="595">
        <v>1574.3</v>
      </c>
      <c r="H83" s="595">
        <v>1506.9</v>
      </c>
      <c r="I83" s="595">
        <v>1558.3</v>
      </c>
      <c r="J83" s="622">
        <v>1042.7</v>
      </c>
      <c r="K83" s="622">
        <v>539.6</v>
      </c>
      <c r="L83" s="622">
        <v>1365.4</v>
      </c>
      <c r="M83" s="622">
        <v>1012.4</v>
      </c>
      <c r="N83" s="622">
        <v>439</v>
      </c>
      <c r="O83" s="622">
        <v>1558.7</v>
      </c>
      <c r="P83" s="622">
        <v>1590.2</v>
      </c>
      <c r="Q83" s="622">
        <v>1513.7</v>
      </c>
      <c r="R83" s="622">
        <v>1552.2</v>
      </c>
      <c r="S83" s="622">
        <v>1591.1</v>
      </c>
      <c r="T83" s="622">
        <v>1558.2</v>
      </c>
      <c r="U83" s="622">
        <v>1509.8</v>
      </c>
      <c r="V83" s="622">
        <v>1626.6</v>
      </c>
      <c r="W83" s="622">
        <v>1319.7</v>
      </c>
      <c r="X83" s="622">
        <v>1428.5</v>
      </c>
      <c r="Y83" s="704">
        <v>720.2</v>
      </c>
      <c r="Z83" s="704">
        <v>1092.3</v>
      </c>
      <c r="AA83" s="622">
        <v>1559.8</v>
      </c>
      <c r="AB83" s="622">
        <v>801.9</v>
      </c>
      <c r="AC83" s="622">
        <v>1396.2</v>
      </c>
      <c r="AD83" s="622">
        <v>0</v>
      </c>
      <c r="AE83" s="622">
        <v>0</v>
      </c>
      <c r="AF83" s="622">
        <v>0</v>
      </c>
      <c r="AG83" s="622"/>
      <c r="AH83" s="595">
        <f>SUM(B83:AF83)</f>
        <v>37573.600000000006</v>
      </c>
      <c r="AI83" s="595"/>
      <c r="AJ83" s="595"/>
      <c r="AK83" s="595"/>
      <c r="AL83" s="595"/>
      <c r="AM83" s="595"/>
      <c r="AN83" s="595"/>
      <c r="AO83" s="595"/>
      <c r="AP83" s="595"/>
      <c r="AQ83" s="595"/>
      <c r="AR83" s="595"/>
      <c r="AS83" s="595"/>
      <c r="AT83" s="595"/>
      <c r="AU83" s="595"/>
      <c r="AV83" s="595"/>
      <c r="AW83" s="595"/>
      <c r="AX83" s="595"/>
      <c r="AY83" s="595"/>
      <c r="AZ83" s="595"/>
      <c r="BA83" s="595"/>
      <c r="BB83" s="595"/>
      <c r="BC83" s="595"/>
      <c r="BD83" s="595"/>
      <c r="BE83" s="595"/>
      <c r="BF83" s="595"/>
      <c r="BG83" s="595"/>
    </row>
    <row r="84" spans="1:59" s="616" customFormat="1" x14ac:dyDescent="0.4">
      <c r="A84" s="597" t="s">
        <v>130</v>
      </c>
      <c r="B84" s="620">
        <f>+'Fuel '!$K7</f>
        <v>3280</v>
      </c>
      <c r="C84" s="620">
        <f>+'Fuel '!$K8</f>
        <v>3540</v>
      </c>
      <c r="D84" s="620">
        <f>+'Fuel '!$K9</f>
        <v>3460</v>
      </c>
      <c r="E84" s="620">
        <f>+'Fuel '!$K10</f>
        <v>2040</v>
      </c>
      <c r="F84" s="620">
        <f>+'Fuel '!$K11</f>
        <v>0</v>
      </c>
      <c r="G84" s="620">
        <f>+'Fuel '!$K12</f>
        <v>0</v>
      </c>
      <c r="H84" s="620">
        <f>+'Fuel '!$K13</f>
        <v>2310</v>
      </c>
      <c r="I84" s="620">
        <f>+'Fuel '!$K14</f>
        <v>3350</v>
      </c>
      <c r="J84" s="621">
        <f>+'Fuel '!$K15</f>
        <v>3850</v>
      </c>
      <c r="K84" s="621">
        <f>+'Fuel '!$K16</f>
        <v>2960</v>
      </c>
      <c r="L84" s="621">
        <f>+'Fuel '!$K17</f>
        <v>2830</v>
      </c>
      <c r="M84" s="621">
        <f>+'Fuel '!$K18</f>
        <v>230</v>
      </c>
      <c r="N84" s="621">
        <f>+'Fuel '!$K19</f>
        <v>850</v>
      </c>
      <c r="O84" s="621">
        <f>+'Fuel '!$K20</f>
        <v>3430</v>
      </c>
      <c r="P84" s="621">
        <f>+'Fuel '!$K21</f>
        <v>3640</v>
      </c>
      <c r="Q84" s="621">
        <f>+'Fuel '!$K22</f>
        <v>3050</v>
      </c>
      <c r="R84" s="621">
        <f>+'Fuel '!$K23</f>
        <v>3500</v>
      </c>
      <c r="S84" s="621">
        <f>+'Fuel '!$K24</f>
        <v>2650</v>
      </c>
      <c r="T84" s="621">
        <f>+'Fuel '!$K25</f>
        <v>300</v>
      </c>
      <c r="U84" s="621">
        <f>+'Fuel '!$K26</f>
        <v>140</v>
      </c>
      <c r="V84" s="621">
        <f>+'Fuel '!$K27</f>
        <v>3110</v>
      </c>
      <c r="W84" s="621">
        <f>+'Fuel '!$K28</f>
        <v>2820</v>
      </c>
      <c r="X84" s="621">
        <f>+'Fuel '!$K29</f>
        <v>3070</v>
      </c>
      <c r="Y84" s="621">
        <f>+'Fuel '!$K30</f>
        <v>2920</v>
      </c>
      <c r="Z84" s="621">
        <f>+'Fuel '!$K31</f>
        <v>2370</v>
      </c>
      <c r="AA84" s="621">
        <f>+'Fuel '!$K32</f>
        <v>100</v>
      </c>
      <c r="AB84" s="621">
        <f>+'Fuel '!$K33</f>
        <v>130</v>
      </c>
      <c r="AC84" s="621">
        <f>+'Fuel '!$K34</f>
        <v>0</v>
      </c>
      <c r="AD84" s="621">
        <f>+'Fuel '!$K35</f>
        <v>0</v>
      </c>
      <c r="AE84" s="621">
        <f>+'Fuel '!$K36</f>
        <v>0</v>
      </c>
      <c r="AF84" s="621">
        <f>+'Fuel '!$K37</f>
        <v>0</v>
      </c>
      <c r="AG84" s="621"/>
      <c r="AH84" s="622">
        <f>SUM($B84:AF84)</f>
        <v>59930</v>
      </c>
      <c r="AI84" s="595"/>
      <c r="AJ84" s="615"/>
      <c r="AK84" s="615"/>
      <c r="AL84" s="615"/>
      <c r="AM84" s="615"/>
      <c r="AN84" s="615"/>
      <c r="AO84" s="615"/>
      <c r="AP84" s="615"/>
      <c r="AQ84" s="615"/>
      <c r="AR84" s="615"/>
      <c r="AS84" s="615"/>
      <c r="AT84" s="615"/>
      <c r="AU84" s="615"/>
      <c r="AV84" s="615"/>
      <c r="AW84" s="615"/>
      <c r="AX84" s="615"/>
      <c r="AY84" s="615"/>
      <c r="AZ84" s="615"/>
      <c r="BA84" s="615"/>
      <c r="BB84" s="615"/>
      <c r="BC84" s="615"/>
      <c r="BD84" s="615"/>
      <c r="BE84" s="615"/>
      <c r="BF84" s="615"/>
      <c r="BG84" s="615"/>
    </row>
    <row r="85" spans="1:59" s="626" customFormat="1" x14ac:dyDescent="0.4">
      <c r="A85" s="766" t="s">
        <v>234</v>
      </c>
      <c r="B85" s="623" t="str">
        <f>'Steam Mass Flow '!B5</f>
        <v>0</v>
      </c>
      <c r="C85" s="623" t="str">
        <f>'Steam Mass Flow '!B6</f>
        <v>0</v>
      </c>
      <c r="D85" s="623" t="str">
        <f>'Steam Mass Flow '!B7</f>
        <v>0</v>
      </c>
      <c r="E85" s="623" t="str">
        <f>'Steam Mass Flow '!B8</f>
        <v>0</v>
      </c>
      <c r="F85" s="623" t="str">
        <f>'Steam Mass Flow '!B9</f>
        <v>0</v>
      </c>
      <c r="G85" s="623" t="str">
        <f>'Steam Mass Flow '!B10</f>
        <v>0</v>
      </c>
      <c r="H85" s="623">
        <f>'Steam Mass Flow '!B11</f>
        <v>36.735999999567866</v>
      </c>
      <c r="I85" s="623">
        <f>'Steam Mass Flow '!B12</f>
        <v>181.97400000039488</v>
      </c>
      <c r="J85" s="623" t="str">
        <f>'Steam Mass Flow '!B13</f>
        <v>0</v>
      </c>
      <c r="K85" s="623" t="str">
        <f>'Steam Mass Flow '!B14</f>
        <v>0</v>
      </c>
      <c r="L85" s="623" t="str">
        <f>'Steam Mass Flow '!B15</f>
        <v>0</v>
      </c>
      <c r="M85" s="623" t="str">
        <f>'Steam Mass Flow '!B16</f>
        <v>0</v>
      </c>
      <c r="N85" s="623" t="str">
        <f>'Steam Mass Flow '!B17</f>
        <v>0</v>
      </c>
      <c r="O85" s="623">
        <f>'Steam Mass Flow '!B18</f>
        <v>5273.8700000001118</v>
      </c>
      <c r="P85" s="623">
        <f>'Steam Mass Flow '!B19</f>
        <v>1887.1609999993816</v>
      </c>
      <c r="Q85" s="623">
        <f>'Steam Mass Flow '!B20</f>
        <v>1210.1979999998584</v>
      </c>
      <c r="R85" s="623" t="str">
        <f>'Steam Mass Flow '!B21</f>
        <v>0</v>
      </c>
      <c r="S85" s="623" t="str">
        <f>'Steam Mass Flow '!B22</f>
        <v>0</v>
      </c>
      <c r="T85" s="623" t="str">
        <f>'Steam Mass Flow '!B23</f>
        <v>0</v>
      </c>
      <c r="U85" s="623" t="str">
        <f>'Steam Mass Flow '!B24</f>
        <v>0</v>
      </c>
      <c r="V85" s="623" t="str">
        <f>'Steam Mass Flow '!B25</f>
        <v>0</v>
      </c>
      <c r="W85" s="623" t="str">
        <f>'Steam Mass Flow '!B26</f>
        <v>0</v>
      </c>
      <c r="X85" s="623">
        <f>'Steam Mass Flow '!B27</f>
        <v>2382.4960000002757</v>
      </c>
      <c r="Y85" s="623" t="str">
        <f>'Steam Mass Flow '!B28</f>
        <v>0</v>
      </c>
      <c r="Z85" s="623" t="str">
        <f>'Steam Mass Flow '!B29</f>
        <v>0</v>
      </c>
      <c r="AA85" s="623" t="str">
        <f>'Steam Mass Flow '!B30</f>
        <v>0</v>
      </c>
      <c r="AB85" s="623" t="str">
        <f>'Steam Mass Flow '!B31</f>
        <v>0</v>
      </c>
      <c r="AC85" s="623" t="str">
        <f>'Steam Mass Flow '!B32</f>
        <v>0</v>
      </c>
      <c r="AD85" s="623" t="str">
        <f>'Steam Mass Flow '!B33</f>
        <v>0</v>
      </c>
      <c r="AE85" s="623" t="str">
        <f>'Steam Mass Flow '!B34</f>
        <v>0</v>
      </c>
      <c r="AF85" s="623" t="str">
        <f>'Steam Mass Flow '!B35</f>
        <v>0</v>
      </c>
      <c r="AG85" s="623"/>
      <c r="AH85" s="624">
        <f>SUM($B85:AF85)</f>
        <v>10972.43499999959</v>
      </c>
      <c r="AI85" s="623"/>
      <c r="AJ85" s="625"/>
      <c r="AK85" s="625"/>
      <c r="AL85" s="625"/>
      <c r="AM85" s="625"/>
      <c r="AN85" s="625"/>
      <c r="AO85" s="625"/>
      <c r="AP85" s="625"/>
      <c r="AQ85" s="625"/>
      <c r="AR85" s="625"/>
      <c r="AS85" s="625"/>
      <c r="AT85" s="625"/>
      <c r="AU85" s="625"/>
      <c r="AV85" s="625"/>
      <c r="AW85" s="625"/>
      <c r="AX85" s="625"/>
      <c r="AY85" s="625"/>
      <c r="AZ85" s="625"/>
      <c r="BA85" s="625"/>
      <c r="BB85" s="625"/>
      <c r="BC85" s="625"/>
      <c r="BD85" s="625"/>
      <c r="BE85" s="625"/>
      <c r="BF85" s="625"/>
      <c r="BG85" s="625"/>
    </row>
    <row r="86" spans="1:59" x14ac:dyDescent="0.4">
      <c r="A86" s="472"/>
      <c r="B86" s="469"/>
      <c r="C86" s="469"/>
      <c r="D86" s="469"/>
      <c r="E86" s="469"/>
      <c r="F86" s="469"/>
      <c r="G86" s="469"/>
      <c r="H86" s="469"/>
      <c r="I86" s="469"/>
      <c r="J86" s="497"/>
      <c r="K86" s="497"/>
      <c r="L86" s="497"/>
      <c r="M86" s="497"/>
      <c r="N86" s="497"/>
      <c r="O86" s="497"/>
      <c r="P86" s="497"/>
      <c r="Q86" s="497"/>
      <c r="R86" s="497"/>
      <c r="S86" s="497"/>
      <c r="T86" s="497"/>
      <c r="U86" s="497"/>
      <c r="V86" s="497"/>
      <c r="W86" s="497"/>
      <c r="X86" s="497"/>
      <c r="Y86" s="497"/>
      <c r="Z86" s="497"/>
      <c r="AA86" s="497"/>
      <c r="AB86" s="497"/>
      <c r="AC86" s="497"/>
      <c r="AD86" s="497"/>
      <c r="AE86" s="497"/>
      <c r="AH86" s="485"/>
      <c r="AI86" s="485"/>
    </row>
    <row r="87" spans="1:59" hidden="1" x14ac:dyDescent="0.35">
      <c r="B87" s="469"/>
      <c r="C87" s="469"/>
      <c r="D87" s="469"/>
      <c r="E87" s="469"/>
      <c r="F87" s="469"/>
      <c r="G87" s="469"/>
      <c r="H87" s="469"/>
      <c r="I87" s="469"/>
      <c r="J87" s="497"/>
      <c r="K87" s="497"/>
      <c r="L87" s="497"/>
      <c r="M87" s="497"/>
      <c r="N87" s="497"/>
      <c r="O87" s="497"/>
      <c r="P87" s="497"/>
      <c r="Q87" s="497"/>
      <c r="R87" s="497"/>
      <c r="S87" s="497"/>
      <c r="T87" s="497"/>
      <c r="U87" s="497"/>
      <c r="V87" s="497"/>
      <c r="W87" s="497"/>
      <c r="X87" s="497"/>
      <c r="Y87" s="497"/>
      <c r="Z87" s="497"/>
      <c r="AA87" s="497"/>
      <c r="AB87" s="497"/>
      <c r="AC87" s="497"/>
      <c r="AD87" s="497"/>
      <c r="AE87" s="497"/>
      <c r="AH87" s="485"/>
      <c r="AI87" s="485"/>
    </row>
    <row r="88" spans="1:59" ht="27.75" customHeight="1" thickBot="1" x14ac:dyDescent="0.45">
      <c r="A88" s="472" t="s">
        <v>218</v>
      </c>
      <c r="M88" s="470"/>
    </row>
    <row r="89" spans="1:59" ht="27" thickBot="1" x14ac:dyDescent="0.45">
      <c r="A89" s="472" t="s">
        <v>120</v>
      </c>
      <c r="B89" s="291">
        <v>1</v>
      </c>
      <c r="C89" s="291">
        <v>2</v>
      </c>
      <c r="D89" s="291">
        <v>3</v>
      </c>
      <c r="E89" s="291">
        <v>4</v>
      </c>
      <c r="F89" s="291">
        <v>5</v>
      </c>
      <c r="G89" s="291">
        <v>6</v>
      </c>
      <c r="H89" s="291">
        <v>7</v>
      </c>
      <c r="I89" s="291">
        <v>8</v>
      </c>
      <c r="J89" s="291">
        <v>9</v>
      </c>
      <c r="K89" s="291">
        <v>10</v>
      </c>
      <c r="L89" s="291">
        <v>11</v>
      </c>
      <c r="M89" s="291">
        <v>12</v>
      </c>
      <c r="N89" s="291">
        <v>13</v>
      </c>
      <c r="O89" s="291">
        <v>14</v>
      </c>
      <c r="P89" s="291">
        <v>15</v>
      </c>
      <c r="Q89" s="291">
        <v>16</v>
      </c>
      <c r="R89" s="291">
        <v>17</v>
      </c>
      <c r="S89" s="291">
        <v>18</v>
      </c>
      <c r="T89" s="291">
        <v>19</v>
      </c>
      <c r="U89" s="291">
        <v>20</v>
      </c>
      <c r="V89" s="291">
        <v>21</v>
      </c>
      <c r="W89" s="291">
        <v>22</v>
      </c>
      <c r="X89" s="291">
        <v>23</v>
      </c>
      <c r="Y89" s="291">
        <v>24</v>
      </c>
      <c r="Z89" s="291">
        <v>25</v>
      </c>
      <c r="AA89" s="291">
        <v>26</v>
      </c>
      <c r="AB89" s="291">
        <v>27</v>
      </c>
      <c r="AC89" s="291">
        <v>28</v>
      </c>
      <c r="AD89" s="291">
        <v>29</v>
      </c>
      <c r="AE89" s="291">
        <v>30</v>
      </c>
      <c r="AF89" s="291">
        <v>31</v>
      </c>
      <c r="AG89" s="291"/>
      <c r="AH89" s="659" t="s">
        <v>82</v>
      </c>
      <c r="AI89" s="662" t="s">
        <v>150</v>
      </c>
      <c r="AJ89" s="665" t="s">
        <v>199</v>
      </c>
      <c r="AK89" s="667" t="s">
        <v>248</v>
      </c>
    </row>
    <row r="90" spans="1:59" s="632" customFormat="1" x14ac:dyDescent="0.4">
      <c r="A90" s="627" t="s">
        <v>134</v>
      </c>
      <c r="B90" s="654">
        <f t="shared" ref="B90:AF90" si="33">IF(B$9=0,"",+(B22*10)/B$9)</f>
        <v>9.7889002383384405</v>
      </c>
      <c r="C90" s="654">
        <f>IF(C$9=0,"",+(C22*10)/C$9)</f>
        <v>9.6646259289207173</v>
      </c>
      <c r="D90" s="654">
        <f t="shared" si="33"/>
        <v>7.9968191423299784</v>
      </c>
      <c r="E90" s="654">
        <f t="shared" si="33"/>
        <v>47.354975387874632</v>
      </c>
      <c r="F90" s="654" t="str">
        <f t="shared" si="33"/>
        <v/>
      </c>
      <c r="G90" s="654" t="str">
        <f>IF(G$9=0,"",+(G22*10)/G$9)</f>
        <v/>
      </c>
      <c r="H90" s="654" t="str">
        <f>IF(H$9=0,"",+(H22*10)/H$9)</f>
        <v/>
      </c>
      <c r="I90" s="654">
        <f t="shared" si="33"/>
        <v>13.958362014899116</v>
      </c>
      <c r="J90" s="654">
        <f t="shared" si="33"/>
        <v>12.126192076890515</v>
      </c>
      <c r="K90" s="654">
        <f t="shared" si="33"/>
        <v>8.46439493228484</v>
      </c>
      <c r="L90" s="654">
        <f t="shared" si="33"/>
        <v>11.342978621114465</v>
      </c>
      <c r="M90" s="654" t="str">
        <f t="shared" si="33"/>
        <v/>
      </c>
      <c r="N90" s="654" t="str">
        <f t="shared" si="33"/>
        <v/>
      </c>
      <c r="O90" s="654">
        <f>IF(O$9=0,"",+(O22*10)/O$9)</f>
        <v>7.7524984736013369</v>
      </c>
      <c r="P90" s="654">
        <f t="shared" si="33"/>
        <v>7.7789388134215711</v>
      </c>
      <c r="Q90" s="654">
        <f t="shared" si="33"/>
        <v>22.971784566577078</v>
      </c>
      <c r="R90" s="654">
        <f>IF(R$9=0,"",+(R22*10)/R$9)</f>
        <v>14.886182727892985</v>
      </c>
      <c r="S90" s="654">
        <f t="shared" si="33"/>
        <v>17.944076186328019</v>
      </c>
      <c r="T90" s="654" t="str">
        <f t="shared" si="33"/>
        <v/>
      </c>
      <c r="U90" s="654" t="str">
        <f>IF(U$9=0,"",+(U22*10)/U$9)</f>
        <v/>
      </c>
      <c r="V90" s="654">
        <f t="shared" si="33"/>
        <v>18.953289312790414</v>
      </c>
      <c r="W90" s="654">
        <f t="shared" si="33"/>
        <v>8.4539873272267627</v>
      </c>
      <c r="X90" s="654">
        <f t="shared" si="33"/>
        <v>8.1736088803226608</v>
      </c>
      <c r="Y90" s="654">
        <f t="shared" si="33"/>
        <v>10.424062116140956</v>
      </c>
      <c r="Z90" s="654">
        <f t="shared" si="33"/>
        <v>12.432987338884454</v>
      </c>
      <c r="AA90" s="654" t="str">
        <f t="shared" si="33"/>
        <v/>
      </c>
      <c r="AB90" s="654" t="str">
        <f t="shared" si="33"/>
        <v/>
      </c>
      <c r="AC90" s="654">
        <f t="shared" si="33"/>
        <v>0</v>
      </c>
      <c r="AD90" s="654" t="str">
        <f t="shared" si="33"/>
        <v/>
      </c>
      <c r="AE90" s="654" t="str">
        <f>IF(AE$9=0,"",+(AE22*10)/AE$9)</f>
        <v/>
      </c>
      <c r="AF90" s="655" t="str">
        <f t="shared" si="33"/>
        <v/>
      </c>
      <c r="AG90" s="628"/>
      <c r="AH90" s="660">
        <f>IF(AH$9=0,"0",+(AH22*10)/AH$9)</f>
        <v>11.919365924533881</v>
      </c>
      <c r="AI90" s="663">
        <v>10.199999999999999</v>
      </c>
      <c r="AJ90" s="666">
        <f>+AI90-AH90</f>
        <v>-1.7193659245338822</v>
      </c>
      <c r="AK90" s="668">
        <f>AH90/AI90*100</f>
        <v>116.85652867190082</v>
      </c>
      <c r="AL90" s="630"/>
      <c r="AM90" s="631"/>
      <c r="AN90" s="631"/>
      <c r="AO90" s="631"/>
      <c r="AP90" s="631"/>
      <c r="AQ90" s="631"/>
      <c r="AR90" s="631"/>
      <c r="AS90" s="631"/>
      <c r="AT90" s="631"/>
      <c r="AU90" s="631"/>
      <c r="AV90" s="631"/>
      <c r="AW90" s="631"/>
      <c r="AX90" s="631"/>
      <c r="AY90" s="631"/>
      <c r="AZ90" s="631"/>
      <c r="BA90" s="631"/>
      <c r="BB90" s="631"/>
      <c r="BC90" s="631"/>
      <c r="BD90" s="631"/>
      <c r="BE90" s="631"/>
      <c r="BF90" s="631"/>
      <c r="BG90" s="631"/>
    </row>
    <row r="91" spans="1:59" s="635" customFormat="1" hidden="1" x14ac:dyDescent="0.35">
      <c r="A91" s="633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6"/>
      <c r="P91" s="656"/>
      <c r="Q91" s="656"/>
      <c r="R91" s="656"/>
      <c r="S91" s="656"/>
      <c r="T91" s="656"/>
      <c r="U91" s="656"/>
      <c r="V91" s="656"/>
      <c r="W91" s="656"/>
      <c r="X91" s="656"/>
      <c r="Y91" s="656"/>
      <c r="Z91" s="656"/>
      <c r="AA91" s="656"/>
      <c r="AB91" s="656"/>
      <c r="AC91" s="656"/>
      <c r="AD91" s="656"/>
      <c r="AE91" s="656"/>
      <c r="AF91" s="657"/>
      <c r="AG91" s="634"/>
      <c r="AH91" s="671">
        <f>IF(AH$9=0,"0",+(AH23*10)/AH$9)</f>
        <v>0</v>
      </c>
      <c r="AI91" s="672"/>
      <c r="AJ91" s="673"/>
      <c r="AK91" s="674" t="e">
        <f t="shared" ref="AK91:AK96" si="34">AH91/AI91*100</f>
        <v>#DIV/0!</v>
      </c>
      <c r="AL91" s="630"/>
      <c r="AM91" s="630"/>
      <c r="AN91" s="630"/>
      <c r="AO91" s="630"/>
      <c r="AP91" s="630"/>
      <c r="AQ91" s="630"/>
      <c r="AR91" s="630"/>
      <c r="AS91" s="630"/>
      <c r="AT91" s="630"/>
      <c r="AU91" s="630"/>
      <c r="AV91" s="630"/>
      <c r="AW91" s="630"/>
      <c r="AX91" s="630"/>
      <c r="AY91" s="630"/>
      <c r="AZ91" s="630"/>
      <c r="BA91" s="630"/>
      <c r="BB91" s="630"/>
      <c r="BC91" s="630"/>
      <c r="BD91" s="630"/>
      <c r="BE91" s="630"/>
      <c r="BF91" s="630"/>
      <c r="BG91" s="630"/>
    </row>
    <row r="92" spans="1:59" s="632" customFormat="1" ht="29.25" x14ac:dyDescent="0.5">
      <c r="A92" s="632" t="s">
        <v>222</v>
      </c>
      <c r="B92" s="654">
        <f t="shared" ref="B92:AF92" si="35">IF(B$9=0,"",+B74/B$9)</f>
        <v>5.4720560338537867</v>
      </c>
      <c r="C92" s="654">
        <f t="shared" si="35"/>
        <v>5.5831504370259131</v>
      </c>
      <c r="D92" s="654">
        <f t="shared" si="35"/>
        <v>4.6908715639365797</v>
      </c>
      <c r="E92" s="654">
        <f t="shared" si="35"/>
        <v>11.423349326022388</v>
      </c>
      <c r="F92" s="654" t="str">
        <f t="shared" si="35"/>
        <v/>
      </c>
      <c r="G92" s="654" t="str">
        <f>IF(G$9=0,"",+G74/G$9)</f>
        <v/>
      </c>
      <c r="H92" s="654" t="str">
        <f>IF(H$9=0,"",+H74/H$9)</f>
        <v/>
      </c>
      <c r="I92" s="654">
        <f t="shared" si="35"/>
        <v>7.2659966652899506</v>
      </c>
      <c r="J92" s="654">
        <f t="shared" si="35"/>
        <v>4.7309578944747388</v>
      </c>
      <c r="K92" s="654">
        <f t="shared" si="35"/>
        <v>6.205568132173636</v>
      </c>
      <c r="L92" s="654">
        <f t="shared" si="35"/>
        <v>6.0095250972791865</v>
      </c>
      <c r="M92" s="654" t="str">
        <f t="shared" si="35"/>
        <v/>
      </c>
      <c r="N92" s="654" t="str">
        <f t="shared" si="35"/>
        <v/>
      </c>
      <c r="O92" s="654">
        <f t="shared" si="35"/>
        <v>3.4143127992544748</v>
      </c>
      <c r="P92" s="654">
        <f t="shared" si="35"/>
        <v>5.3075915144880659</v>
      </c>
      <c r="Q92" s="654">
        <f t="shared" si="35"/>
        <v>6.9860525515529579</v>
      </c>
      <c r="R92" s="654">
        <f t="shared" si="35"/>
        <v>8.2701015154961031</v>
      </c>
      <c r="S92" s="654">
        <f t="shared" si="35"/>
        <v>4.5370609826366675</v>
      </c>
      <c r="T92" s="654" t="str">
        <f t="shared" si="35"/>
        <v/>
      </c>
      <c r="U92" s="654" t="str">
        <f t="shared" si="35"/>
        <v/>
      </c>
      <c r="V92" s="654">
        <f t="shared" si="35"/>
        <v>5.0023344227306081</v>
      </c>
      <c r="W92" s="654">
        <f t="shared" si="35"/>
        <v>9.3021219781783149</v>
      </c>
      <c r="X92" s="654">
        <f t="shared" si="35"/>
        <v>4.6400399757290218</v>
      </c>
      <c r="Y92" s="654">
        <f t="shared" si="35"/>
        <v>4.5077025367096022</v>
      </c>
      <c r="Z92" s="654">
        <f t="shared" si="35"/>
        <v>4.562564161058515</v>
      </c>
      <c r="AA92" s="654" t="str">
        <f t="shared" si="35"/>
        <v/>
      </c>
      <c r="AB92" s="654" t="str">
        <f t="shared" si="35"/>
        <v/>
      </c>
      <c r="AC92" s="654">
        <f t="shared" si="35"/>
        <v>5.02473716759431</v>
      </c>
      <c r="AD92" s="654" t="str">
        <f t="shared" si="35"/>
        <v/>
      </c>
      <c r="AE92" s="654" t="str">
        <f t="shared" si="35"/>
        <v/>
      </c>
      <c r="AF92" s="654" t="str">
        <f t="shared" si="35"/>
        <v/>
      </c>
      <c r="AG92" s="629"/>
      <c r="AH92" s="671">
        <f>IF(AH$9=0,"0",+(AH74)/AH$9)</f>
        <v>5.3551644035471879</v>
      </c>
      <c r="AI92" s="675">
        <v>5</v>
      </c>
      <c r="AJ92" s="676">
        <f>AI92-AH92</f>
        <v>-0.35516440354718792</v>
      </c>
      <c r="AK92" s="674">
        <f t="shared" si="34"/>
        <v>107.10328807094376</v>
      </c>
      <c r="AL92" s="630"/>
      <c r="AM92" s="631"/>
      <c r="AN92" s="631"/>
      <c r="AO92" s="631" t="s">
        <v>208</v>
      </c>
      <c r="AP92" s="631"/>
      <c r="AQ92" s="631"/>
      <c r="AR92" s="631"/>
      <c r="AS92" s="631"/>
      <c r="AT92" s="631"/>
      <c r="AU92" s="631"/>
      <c r="AV92" s="631"/>
      <c r="AW92" s="631"/>
      <c r="AX92" s="631"/>
      <c r="AY92" s="631"/>
      <c r="AZ92" s="631"/>
      <c r="BA92" s="631"/>
      <c r="BB92" s="631"/>
      <c r="BC92" s="631"/>
      <c r="BD92" s="631"/>
      <c r="BE92" s="631"/>
      <c r="BF92" s="631"/>
      <c r="BG92" s="631"/>
    </row>
    <row r="93" spans="1:59" s="632" customFormat="1" ht="29.25" x14ac:dyDescent="0.5">
      <c r="A93" s="632" t="s">
        <v>281</v>
      </c>
      <c r="B93" s="654">
        <f>IF(B$9=0,"",+B76/B$9)</f>
        <v>0.59637304019328374</v>
      </c>
      <c r="C93" s="654">
        <f t="shared" ref="C93:AF93" si="36">IF(C$9=0,"",+C76/C$9)</f>
        <v>0.59133264025257815</v>
      </c>
      <c r="D93" s="654">
        <f t="shared" si="36"/>
        <v>0.59743833737643215</v>
      </c>
      <c r="E93" s="654">
        <f t="shared" si="36"/>
        <v>0.44966456892421491</v>
      </c>
      <c r="F93" s="654" t="str">
        <f t="shared" si="36"/>
        <v/>
      </c>
      <c r="G93" s="654" t="str">
        <f>IF(G$9=0,"",+G76/G$9)</f>
        <v/>
      </c>
      <c r="H93" s="654" t="str">
        <f>IF(H$9=0,"",+H76/H$9)</f>
        <v/>
      </c>
      <c r="I93" s="654">
        <f t="shared" si="36"/>
        <v>0.54452908693196722</v>
      </c>
      <c r="J93" s="654">
        <f t="shared" si="36"/>
        <v>0.55504096013542725</v>
      </c>
      <c r="K93" s="654">
        <f t="shared" si="36"/>
        <v>0.54467512609716318</v>
      </c>
      <c r="L93" s="654">
        <f t="shared" si="36"/>
        <v>0.61342227430474461</v>
      </c>
      <c r="M93" s="654" t="str">
        <f t="shared" si="36"/>
        <v/>
      </c>
      <c r="N93" s="654" t="str">
        <f t="shared" si="36"/>
        <v/>
      </c>
      <c r="O93" s="654">
        <f t="shared" si="36"/>
        <v>0.54536617500564</v>
      </c>
      <c r="P93" s="654">
        <f t="shared" si="36"/>
        <v>0.61335854439303195</v>
      </c>
      <c r="Q93" s="654">
        <f t="shared" si="36"/>
        <v>0.5723631761060517</v>
      </c>
      <c r="R93" s="654">
        <f t="shared" si="36"/>
        <v>0.62077449500690618</v>
      </c>
      <c r="S93" s="654">
        <f t="shared" si="36"/>
        <v>0.59866519665889506</v>
      </c>
      <c r="T93" s="654" t="str">
        <f t="shared" si="36"/>
        <v/>
      </c>
      <c r="U93" s="654" t="str">
        <f t="shared" si="36"/>
        <v/>
      </c>
      <c r="V93" s="654">
        <f t="shared" si="36"/>
        <v>0.54403165921877239</v>
      </c>
      <c r="W93" s="654">
        <f t="shared" si="36"/>
        <v>0.59413200258271626</v>
      </c>
      <c r="X93" s="654">
        <f t="shared" si="36"/>
        <v>0.62076596352214097</v>
      </c>
      <c r="Y93" s="654">
        <f t="shared" si="36"/>
        <v>0.55453193143784929</v>
      </c>
      <c r="Z93" s="654">
        <f t="shared" si="36"/>
        <v>0.5700923919242703</v>
      </c>
      <c r="AA93" s="654" t="str">
        <f t="shared" si="36"/>
        <v/>
      </c>
      <c r="AB93" s="654" t="str">
        <f t="shared" si="36"/>
        <v/>
      </c>
      <c r="AC93" s="654">
        <f t="shared" si="36"/>
        <v>0</v>
      </c>
      <c r="AD93" s="654" t="str">
        <f t="shared" si="36"/>
        <v/>
      </c>
      <c r="AE93" s="654" t="str">
        <f t="shared" si="36"/>
        <v/>
      </c>
      <c r="AF93" s="654" t="str">
        <f t="shared" si="36"/>
        <v/>
      </c>
      <c r="AG93" s="629"/>
      <c r="AH93" s="671">
        <f>IF(AH$9=0,"0",+AH76/AH$9)</f>
        <v>0.55811013398111464</v>
      </c>
      <c r="AI93" s="675">
        <v>1.7</v>
      </c>
      <c r="AJ93" s="677">
        <f>AI93-AH93</f>
        <v>1.1418898660188854</v>
      </c>
      <c r="AK93" s="674">
        <f t="shared" si="34"/>
        <v>32.83000788124204</v>
      </c>
      <c r="AL93" s="636"/>
      <c r="AM93" s="637"/>
      <c r="AN93" s="637"/>
      <c r="AO93" s="637"/>
      <c r="AP93" s="637"/>
      <c r="AQ93" s="637"/>
      <c r="AR93" s="637"/>
      <c r="AS93" s="637"/>
      <c r="AT93" s="637"/>
      <c r="AU93" s="637"/>
      <c r="AV93" s="637"/>
      <c r="AW93" s="637"/>
      <c r="AX93" s="637"/>
      <c r="AY93" s="637"/>
      <c r="AZ93" s="637"/>
      <c r="BA93" s="637"/>
      <c r="BB93" s="637"/>
      <c r="BC93" s="637"/>
      <c r="BD93" s="637"/>
      <c r="BE93" s="637"/>
      <c r="BF93" s="637"/>
      <c r="BG93" s="637"/>
    </row>
    <row r="94" spans="1:59" s="632" customFormat="1" x14ac:dyDescent="0.4">
      <c r="A94" s="632" t="s">
        <v>186</v>
      </c>
      <c r="B94" s="654">
        <f>IF(B$9=0,"",(B80+B83)/B$9)</f>
        <v>20.488999140684534</v>
      </c>
      <c r="C94" s="654">
        <f>IF(C$9=0,"",(C80+C83)/C$9)</f>
        <v>19.3933618266528</v>
      </c>
      <c r="D94" s="654">
        <f>IF(D$9=0,"",(D80+D83)/D$9)</f>
        <v>23.020117137764199</v>
      </c>
      <c r="E94" s="654">
        <f t="shared" ref="E94:AF94" si="37">IF(E$9=0,"",(E80+E83)/E$9)</f>
        <v>74.989095893825152</v>
      </c>
      <c r="F94" s="654" t="str">
        <f t="shared" si="37"/>
        <v/>
      </c>
      <c r="G94" s="654" t="str">
        <f>IF(G$9=0,"",(G80+G83)/G$9)</f>
        <v/>
      </c>
      <c r="H94" s="654" t="str">
        <f>IF(H$9=0,"",(H80+H83)/H$9)</f>
        <v/>
      </c>
      <c r="I94" s="654">
        <f t="shared" si="37"/>
        <v>31.405549691768769</v>
      </c>
      <c r="J94" s="654">
        <f t="shared" si="37"/>
        <v>23.447374318368567</v>
      </c>
      <c r="K94" s="654">
        <f>IF(K$9=0,"",(K80+K83)/K$9)</f>
        <v>17.493744787322768</v>
      </c>
      <c r="L94" s="654">
        <f t="shared" si="37"/>
        <v>30.248193386517627</v>
      </c>
      <c r="M94" s="654" t="str">
        <f t="shared" si="37"/>
        <v/>
      </c>
      <c r="N94" s="654" t="str">
        <f t="shared" si="37"/>
        <v/>
      </c>
      <c r="O94" s="654">
        <f>IF(O$9=0,"",(O80+O83)/O$9)</f>
        <v>17.81206818985186</v>
      </c>
      <c r="P94" s="654">
        <f t="shared" si="37"/>
        <v>17.765835696870177</v>
      </c>
      <c r="Q94" s="654">
        <f t="shared" si="37"/>
        <v>39.790500612306957</v>
      </c>
      <c r="R94" s="654">
        <f t="shared" si="37"/>
        <v>34.838491809153624</v>
      </c>
      <c r="S94" s="654">
        <f t="shared" si="37"/>
        <v>23.370627974610606</v>
      </c>
      <c r="T94" s="654" t="str">
        <f t="shared" si="37"/>
        <v/>
      </c>
      <c r="U94" s="654" t="str">
        <f t="shared" si="37"/>
        <v/>
      </c>
      <c r="V94" s="654">
        <f t="shared" si="37"/>
        <v>47.319860379288116</v>
      </c>
      <c r="W94" s="654">
        <f t="shared" si="37"/>
        <v>22.611543386191272</v>
      </c>
      <c r="X94" s="654">
        <f>IF(X$9=0,"",(X80+X83)/X$9)</f>
        <v>32.282185815754715</v>
      </c>
      <c r="Y94" s="654">
        <f t="shared" si="37"/>
        <v>23.702626863653268</v>
      </c>
      <c r="Z94" s="654">
        <f t="shared" si="37"/>
        <v>29.098893578190946</v>
      </c>
      <c r="AA94" s="654" t="str">
        <f t="shared" si="37"/>
        <v/>
      </c>
      <c r="AB94" s="654" t="str">
        <f>IF(AB$9=0,"",(AB80+AB83)/AB$9)</f>
        <v/>
      </c>
      <c r="AC94" s="654">
        <f>IF(AC$9=0,"",(AC80+AC83)/AC$9)</f>
        <v>5.3965677179962892</v>
      </c>
      <c r="AD94" s="654" t="str">
        <f t="shared" si="37"/>
        <v/>
      </c>
      <c r="AE94" s="654" t="str">
        <f t="shared" si="37"/>
        <v/>
      </c>
      <c r="AF94" s="654" t="str">
        <f t="shared" si="37"/>
        <v/>
      </c>
      <c r="AG94" s="628"/>
      <c r="AH94" s="671">
        <f>IF(AH$9=0,"0",+(AH80+AH83)/AH$9)</f>
        <v>30.73078343505145</v>
      </c>
      <c r="AI94" s="675">
        <v>22</v>
      </c>
      <c r="AJ94" s="676">
        <f>AI94-AH94</f>
        <v>-8.7307834350514497</v>
      </c>
      <c r="AK94" s="674">
        <f>AH94/AI94*100</f>
        <v>139.68537925023386</v>
      </c>
      <c r="AL94" s="630"/>
      <c r="AM94" s="631"/>
      <c r="AN94" s="631"/>
      <c r="AO94" s="631"/>
      <c r="AP94" s="631"/>
      <c r="AQ94" s="631"/>
      <c r="AR94" s="631"/>
      <c r="AS94" s="631"/>
      <c r="AT94" s="631"/>
      <c r="AU94" s="631"/>
      <c r="AV94" s="631"/>
      <c r="AW94" s="631"/>
      <c r="AX94" s="631"/>
      <c r="AY94" s="631"/>
      <c r="AZ94" s="631"/>
      <c r="BA94" s="631"/>
      <c r="BB94" s="631"/>
      <c r="BC94" s="631"/>
      <c r="BD94" s="631"/>
      <c r="BE94" s="631"/>
      <c r="BF94" s="631"/>
      <c r="BG94" s="631"/>
    </row>
    <row r="95" spans="1:59" s="632" customFormat="1" hidden="1" x14ac:dyDescent="0.4">
      <c r="B95" s="654"/>
      <c r="C95" s="654"/>
      <c r="D95" s="654"/>
      <c r="E95" s="654"/>
      <c r="F95" s="654"/>
      <c r="G95" s="654"/>
      <c r="H95" s="654"/>
      <c r="I95" s="654"/>
      <c r="J95" s="654"/>
      <c r="K95" s="654"/>
      <c r="L95" s="654"/>
      <c r="M95" s="654"/>
      <c r="N95" s="654"/>
      <c r="O95" s="654"/>
      <c r="P95" s="654"/>
      <c r="Q95" s="654"/>
      <c r="R95" s="654"/>
      <c r="S95" s="654"/>
      <c r="T95" s="654"/>
      <c r="U95" s="654"/>
      <c r="V95" s="654"/>
      <c r="W95" s="654"/>
      <c r="X95" s="654"/>
      <c r="Y95" s="654"/>
      <c r="Z95" s="654"/>
      <c r="AA95" s="654"/>
      <c r="AB95" s="654"/>
      <c r="AC95" s="654"/>
      <c r="AD95" s="654"/>
      <c r="AE95" s="654"/>
      <c r="AF95" s="655"/>
      <c r="AG95" s="638"/>
      <c r="AH95" s="671">
        <f>IF(AH$9=0,"0",+(AH78*10)/AH$9)</f>
        <v>31.013827124492714</v>
      </c>
      <c r="AI95" s="675"/>
      <c r="AJ95" s="677"/>
      <c r="AK95" s="674" t="e">
        <f t="shared" si="34"/>
        <v>#DIV/0!</v>
      </c>
      <c r="AL95" s="630"/>
      <c r="AM95" s="631"/>
      <c r="AN95" s="631"/>
      <c r="AO95" s="631"/>
      <c r="AP95" s="631"/>
      <c r="AQ95" s="631"/>
      <c r="AR95" s="631"/>
      <c r="AS95" s="631"/>
      <c r="AT95" s="631"/>
      <c r="AU95" s="631"/>
      <c r="AV95" s="631"/>
      <c r="AW95" s="631"/>
      <c r="AX95" s="631"/>
      <c r="AY95" s="631"/>
      <c r="AZ95" s="631"/>
      <c r="BA95" s="631"/>
      <c r="BB95" s="631"/>
      <c r="BC95" s="631"/>
      <c r="BD95" s="631"/>
      <c r="BE95" s="631"/>
      <c r="BF95" s="631"/>
      <c r="BG95" s="631"/>
    </row>
    <row r="96" spans="1:59" s="632" customFormat="1" ht="27" thickBot="1" x14ac:dyDescent="0.45">
      <c r="A96" s="632" t="s">
        <v>187</v>
      </c>
      <c r="B96" s="654">
        <f t="shared" ref="B96:I96" si="38">IF(B$9=0,"",B84/B$9)</f>
        <v>6.6475347374223777</v>
      </c>
      <c r="C96" s="654">
        <f t="shared" si="38"/>
        <v>6.8152939817488729</v>
      </c>
      <c r="D96" s="655">
        <f t="shared" si="38"/>
        <v>7.7287693386764591</v>
      </c>
      <c r="E96" s="654">
        <f t="shared" si="38"/>
        <v>21.185120568259702</v>
      </c>
      <c r="F96" s="654" t="str">
        <f t="shared" si="38"/>
        <v/>
      </c>
      <c r="G96" s="654" t="str">
        <f>IF(G$9=0,"",G84/G$9)</f>
        <v/>
      </c>
      <c r="H96" s="655" t="str">
        <f>IF(H$9=0,"",H84/H$9)</f>
        <v/>
      </c>
      <c r="I96" s="655">
        <f t="shared" si="38"/>
        <v>12.811099383537545</v>
      </c>
      <c r="J96" s="655">
        <f t="shared" ref="J96:AE96" si="39">IF(J$9=0,"",J84/J$9)</f>
        <v>9.5864146809093391</v>
      </c>
      <c r="K96" s="655">
        <f t="shared" si="39"/>
        <v>7.3473926684935851</v>
      </c>
      <c r="L96" s="655">
        <f t="shared" si="39"/>
        <v>10.629347515812562</v>
      </c>
      <c r="M96" s="655" t="str">
        <f t="shared" si="39"/>
        <v/>
      </c>
      <c r="N96" s="655" t="str">
        <f t="shared" si="39"/>
        <v/>
      </c>
      <c r="O96" s="655">
        <f t="shared" si="39"/>
        <v>6.8888781773193228</v>
      </c>
      <c r="P96" s="655">
        <f>IF(P$9=0,"",P84/P$9)</f>
        <v>6.0373853477301749</v>
      </c>
      <c r="Q96" s="655">
        <f t="shared" si="39"/>
        <v>12.533800166021484</v>
      </c>
      <c r="R96" s="655">
        <f t="shared" si="39"/>
        <v>12.060564710098483</v>
      </c>
      <c r="S96" s="655">
        <f t="shared" si="39"/>
        <v>6.0116058019935847</v>
      </c>
      <c r="T96" s="655" t="str">
        <f>IF(T$9=0,"",T84/T$9)</f>
        <v/>
      </c>
      <c r="U96" s="655" t="str">
        <f t="shared" si="39"/>
        <v/>
      </c>
      <c r="V96" s="655">
        <f t="shared" si="39"/>
        <v>17.285844505213543</v>
      </c>
      <c r="W96" s="655">
        <f t="shared" si="39"/>
        <v>7.7152894054302497</v>
      </c>
      <c r="X96" s="655">
        <f t="shared" si="39"/>
        <v>10.957632865760074</v>
      </c>
      <c r="Y96" s="655">
        <f>IF(Y$9=0,"",Y84/Y$9)</f>
        <v>8.2265571294950242</v>
      </c>
      <c r="Z96" s="655">
        <f t="shared" si="39"/>
        <v>9.0110642180905671</v>
      </c>
      <c r="AA96" s="655" t="str">
        <f>IF(AA$9=0,"",AA84/AA$9)</f>
        <v/>
      </c>
      <c r="AB96" s="655" t="str">
        <f t="shared" si="39"/>
        <v/>
      </c>
      <c r="AC96" s="655">
        <f>IF(AC$9=0,"",AC84/AC$9)</f>
        <v>0</v>
      </c>
      <c r="AD96" s="655" t="str">
        <f t="shared" si="39"/>
        <v/>
      </c>
      <c r="AE96" s="655" t="str">
        <f t="shared" si="39"/>
        <v/>
      </c>
      <c r="AF96" s="655" t="str">
        <f>IF(AF$9=0,"",AF84/AF$9)</f>
        <v/>
      </c>
      <c r="AG96" s="628"/>
      <c r="AH96" s="661">
        <f>IF(AH$9=0,"0",+(AH84)/AH$9)</f>
        <v>8.9897759861227726</v>
      </c>
      <c r="AI96" s="664">
        <v>7.2</v>
      </c>
      <c r="AJ96" s="678">
        <f>AI96-AH96</f>
        <v>-1.7897759861227724</v>
      </c>
      <c r="AK96" s="669">
        <f t="shared" si="34"/>
        <v>124.85799980726074</v>
      </c>
      <c r="AL96" s="630"/>
      <c r="AM96" s="631"/>
      <c r="AN96" s="631"/>
      <c r="AO96" s="631"/>
      <c r="AP96" s="631"/>
      <c r="AQ96" s="631"/>
      <c r="AR96" s="631"/>
      <c r="AS96" s="631"/>
      <c r="AT96" s="631"/>
      <c r="AU96" s="631"/>
      <c r="AV96" s="631"/>
      <c r="AW96" s="631"/>
      <c r="AX96" s="631"/>
      <c r="AY96" s="631"/>
      <c r="AZ96" s="631"/>
      <c r="BA96" s="631"/>
      <c r="BB96" s="631"/>
      <c r="BC96" s="631"/>
      <c r="BD96" s="631"/>
      <c r="BE96" s="631"/>
      <c r="BF96" s="631"/>
      <c r="BG96" s="631"/>
    </row>
    <row r="97" spans="1:79" s="472" customFormat="1" hidden="1" x14ac:dyDescent="0.4">
      <c r="B97" s="469"/>
      <c r="C97" s="469"/>
      <c r="D97" s="469"/>
      <c r="E97" s="469"/>
      <c r="F97" s="469"/>
      <c r="G97" s="469"/>
      <c r="H97" s="469"/>
      <c r="I97" s="469"/>
      <c r="J97" s="497"/>
      <c r="K97" s="497"/>
      <c r="L97" s="497"/>
      <c r="M97" s="497"/>
      <c r="N97" s="497"/>
      <c r="O97" s="497"/>
      <c r="P97" s="497"/>
      <c r="Q97" s="497"/>
      <c r="R97" s="497"/>
      <c r="S97" s="497"/>
      <c r="T97" s="497"/>
      <c r="U97" s="497"/>
      <c r="V97" s="497"/>
      <c r="W97" s="497"/>
      <c r="X97" s="497"/>
      <c r="Y97" s="497"/>
      <c r="Z97" s="497"/>
      <c r="AA97" s="497"/>
      <c r="AB97" s="497"/>
      <c r="AC97" s="497"/>
      <c r="AD97" s="497"/>
      <c r="AE97" s="497"/>
      <c r="AF97" s="497"/>
      <c r="AG97" s="497"/>
      <c r="AH97" s="631"/>
      <c r="AI97" s="469"/>
      <c r="AJ97" s="469"/>
      <c r="AK97" s="469"/>
      <c r="AL97" s="291"/>
      <c r="AM97" s="469"/>
      <c r="AN97" s="469"/>
      <c r="AO97" s="469"/>
      <c r="AP97" s="469"/>
      <c r="AQ97" s="469"/>
      <c r="AR97" s="469"/>
      <c r="AS97" s="469"/>
      <c r="AT97" s="469"/>
      <c r="AU97" s="469"/>
      <c r="AV97" s="469"/>
      <c r="AW97" s="469"/>
      <c r="AX97" s="469"/>
      <c r="AY97" s="469"/>
      <c r="AZ97" s="469"/>
      <c r="BA97" s="469"/>
      <c r="BB97" s="469"/>
      <c r="BC97" s="469"/>
      <c r="BD97" s="469"/>
      <c r="BE97" s="469"/>
      <c r="BF97" s="469"/>
      <c r="BG97" s="469"/>
    </row>
    <row r="98" spans="1:79" s="472" customFormat="1" hidden="1" x14ac:dyDescent="0.4">
      <c r="B98" s="469"/>
      <c r="C98" s="469"/>
      <c r="D98" s="469"/>
      <c r="E98" s="469"/>
      <c r="F98" s="469"/>
      <c r="G98" s="469"/>
      <c r="H98" s="469"/>
      <c r="I98" s="469"/>
      <c r="J98" s="497"/>
      <c r="K98" s="497"/>
      <c r="L98" s="497"/>
      <c r="M98" s="497"/>
      <c r="N98" s="497"/>
      <c r="O98" s="497"/>
      <c r="P98" s="497"/>
      <c r="Q98" s="497"/>
      <c r="R98" s="497"/>
      <c r="S98" s="497"/>
      <c r="T98" s="497"/>
      <c r="U98" s="497"/>
      <c r="V98" s="497"/>
      <c r="W98" s="497"/>
      <c r="X98" s="497"/>
      <c r="Y98" s="497"/>
      <c r="Z98" s="497"/>
      <c r="AA98" s="497"/>
      <c r="AB98" s="497"/>
      <c r="AC98" s="497"/>
      <c r="AD98" s="497"/>
      <c r="AE98" s="497"/>
      <c r="AF98" s="497"/>
      <c r="AG98" s="497"/>
      <c r="AH98" s="631"/>
      <c r="AI98" s="469"/>
      <c r="AJ98" s="469"/>
      <c r="AK98" s="469"/>
      <c r="AL98" s="291"/>
      <c r="AM98" s="469"/>
      <c r="AN98" s="469"/>
      <c r="AO98" s="469"/>
      <c r="AP98" s="469"/>
      <c r="AQ98" s="469"/>
      <c r="AR98" s="469"/>
      <c r="AS98" s="469"/>
      <c r="AT98" s="469"/>
      <c r="AU98" s="469"/>
      <c r="AV98" s="469"/>
      <c r="AW98" s="469"/>
      <c r="AX98" s="469"/>
      <c r="AY98" s="469"/>
      <c r="AZ98" s="469"/>
      <c r="BA98" s="469"/>
      <c r="BB98" s="469"/>
      <c r="BC98" s="469"/>
      <c r="BD98" s="469"/>
      <c r="BE98" s="469"/>
      <c r="BF98" s="469"/>
      <c r="BG98" s="469"/>
    </row>
    <row r="99" spans="1:79" ht="25.5" hidden="1" x14ac:dyDescent="0.35">
      <c r="A99" s="591" t="s">
        <v>214</v>
      </c>
      <c r="B99" s="639"/>
      <c r="C99" s="639"/>
      <c r="D99" s="639"/>
      <c r="E99" s="639"/>
      <c r="F99" s="639"/>
      <c r="G99" s="639"/>
      <c r="H99" s="639"/>
      <c r="I99" s="639"/>
      <c r="J99" s="640"/>
      <c r="K99" s="640"/>
      <c r="L99" s="640"/>
      <c r="M99" s="640"/>
      <c r="N99" s="640"/>
      <c r="O99" s="640"/>
      <c r="P99" s="640"/>
      <c r="Q99" s="640"/>
      <c r="R99" s="640"/>
      <c r="S99" s="640"/>
      <c r="T99" s="640"/>
      <c r="U99" s="640"/>
      <c r="V99" s="640"/>
      <c r="W99" s="640"/>
      <c r="X99" s="640"/>
      <c r="Y99" s="640"/>
      <c r="Z99" s="640"/>
      <c r="AA99" s="640"/>
      <c r="AB99" s="640"/>
      <c r="AC99" s="640"/>
      <c r="AD99" s="640"/>
      <c r="AE99" s="640"/>
      <c r="AF99" s="640"/>
      <c r="AG99" s="640"/>
      <c r="AH99" s="641">
        <f>SUM($B99:AF99)</f>
        <v>0</v>
      </c>
      <c r="AI99" s="642"/>
      <c r="AJ99" s="639" t="s">
        <v>183</v>
      </c>
    </row>
    <row r="100" spans="1:79" s="505" customFormat="1" ht="25.5" hidden="1" x14ac:dyDescent="0.35">
      <c r="A100" s="643" t="s">
        <v>215</v>
      </c>
      <c r="B100" s="501" t="str">
        <f t="shared" ref="B100:AF100" si="40">IF(B$99=0,"",+(B42*10)/B$99)</f>
        <v/>
      </c>
      <c r="C100" s="501" t="str">
        <f t="shared" si="40"/>
        <v/>
      </c>
      <c r="D100" s="501" t="str">
        <f t="shared" si="40"/>
        <v/>
      </c>
      <c r="E100" s="501" t="str">
        <f t="shared" si="40"/>
        <v/>
      </c>
      <c r="F100" s="501" t="str">
        <f t="shared" si="40"/>
        <v/>
      </c>
      <c r="G100" s="501" t="str">
        <f t="shared" si="40"/>
        <v/>
      </c>
      <c r="H100" s="501" t="str">
        <f t="shared" si="40"/>
        <v/>
      </c>
      <c r="I100" s="501" t="str">
        <f t="shared" si="40"/>
        <v/>
      </c>
      <c r="J100" s="502" t="str">
        <f t="shared" si="40"/>
        <v/>
      </c>
      <c r="K100" s="502" t="str">
        <f t="shared" si="40"/>
        <v/>
      </c>
      <c r="L100" s="502" t="str">
        <f t="shared" si="40"/>
        <v/>
      </c>
      <c r="M100" s="502" t="str">
        <f t="shared" si="40"/>
        <v/>
      </c>
      <c r="N100" s="502" t="str">
        <f t="shared" si="40"/>
        <v/>
      </c>
      <c r="O100" s="502" t="str">
        <f t="shared" si="40"/>
        <v/>
      </c>
      <c r="P100" s="502" t="str">
        <f t="shared" si="40"/>
        <v/>
      </c>
      <c r="Q100" s="502" t="str">
        <f t="shared" si="40"/>
        <v/>
      </c>
      <c r="R100" s="502" t="str">
        <f t="shared" si="40"/>
        <v/>
      </c>
      <c r="S100" s="502" t="str">
        <f t="shared" si="40"/>
        <v/>
      </c>
      <c r="T100" s="502" t="str">
        <f t="shared" si="40"/>
        <v/>
      </c>
      <c r="U100" s="502" t="str">
        <f t="shared" si="40"/>
        <v/>
      </c>
      <c r="V100" s="502" t="str">
        <f t="shared" si="40"/>
        <v/>
      </c>
      <c r="W100" s="502" t="str">
        <f t="shared" si="40"/>
        <v/>
      </c>
      <c r="X100" s="502" t="str">
        <f t="shared" si="40"/>
        <v/>
      </c>
      <c r="Y100" s="502" t="str">
        <f t="shared" si="40"/>
        <v/>
      </c>
      <c r="Z100" s="502" t="str">
        <f t="shared" si="40"/>
        <v/>
      </c>
      <c r="AA100" s="502" t="str">
        <f t="shared" si="40"/>
        <v/>
      </c>
      <c r="AB100" s="502" t="str">
        <f t="shared" si="40"/>
        <v/>
      </c>
      <c r="AC100" s="502" t="str">
        <f t="shared" si="40"/>
        <v/>
      </c>
      <c r="AD100" s="502" t="str">
        <f t="shared" si="40"/>
        <v/>
      </c>
      <c r="AE100" s="502" t="str">
        <f t="shared" si="40"/>
        <v/>
      </c>
      <c r="AF100" s="502" t="str">
        <f t="shared" si="40"/>
        <v/>
      </c>
      <c r="AG100" s="502"/>
      <c r="AH100" s="503" t="e">
        <f>+(AH42*10)/AH$99</f>
        <v>#DIV/0!</v>
      </c>
      <c r="AI100" s="503">
        <v>2.6</v>
      </c>
      <c r="AJ100" s="644" t="e">
        <f>AI100-AH100</f>
        <v>#DIV/0!</v>
      </c>
      <c r="AK100" s="291"/>
      <c r="AL100" s="291"/>
      <c r="AM100" s="291"/>
      <c r="AN100" s="291"/>
      <c r="AO100" s="291"/>
      <c r="AP100" s="291"/>
      <c r="AQ100" s="291"/>
      <c r="AR100" s="291"/>
      <c r="AS100" s="291"/>
      <c r="AT100" s="291"/>
      <c r="AU100" s="291"/>
      <c r="AV100" s="291"/>
      <c r="AW100" s="291"/>
      <c r="AX100" s="291"/>
      <c r="AY100" s="291"/>
      <c r="AZ100" s="291"/>
      <c r="BA100" s="291"/>
      <c r="BB100" s="291"/>
      <c r="BC100" s="291"/>
      <c r="BD100" s="291"/>
      <c r="BE100" s="291"/>
      <c r="BF100" s="291"/>
      <c r="BG100" s="291"/>
      <c r="BH100" s="468"/>
      <c r="BI100" s="468"/>
      <c r="BJ100" s="468"/>
      <c r="BK100" s="468"/>
      <c r="BL100" s="468"/>
      <c r="BM100" s="468"/>
      <c r="BN100" s="468"/>
      <c r="BO100" s="468"/>
      <c r="BP100" s="468"/>
      <c r="BQ100" s="468"/>
      <c r="BR100" s="468"/>
      <c r="BS100" s="468"/>
      <c r="BT100" s="468"/>
      <c r="BU100" s="468"/>
      <c r="BV100" s="468"/>
      <c r="BW100" s="468"/>
      <c r="BX100" s="468"/>
      <c r="BY100" s="468"/>
      <c r="BZ100" s="468"/>
      <c r="CA100" s="468"/>
    </row>
    <row r="101" spans="1:79" ht="25.5" hidden="1" x14ac:dyDescent="0.35">
      <c r="A101" s="645"/>
      <c r="B101" s="646"/>
      <c r="C101" s="646"/>
      <c r="D101" s="646"/>
      <c r="E101" s="646"/>
      <c r="F101" s="646"/>
      <c r="G101" s="646"/>
      <c r="H101" s="646"/>
      <c r="I101" s="646"/>
      <c r="J101" s="647"/>
      <c r="K101" s="647"/>
      <c r="L101" s="647"/>
      <c r="M101" s="647"/>
      <c r="N101" s="647"/>
      <c r="O101" s="647"/>
      <c r="P101" s="647"/>
      <c r="Q101" s="647"/>
      <c r="R101" s="647"/>
      <c r="S101" s="647"/>
      <c r="T101" s="647"/>
      <c r="U101" s="647"/>
      <c r="V101" s="647"/>
      <c r="W101" s="647"/>
      <c r="X101" s="647"/>
      <c r="Y101" s="647"/>
      <c r="Z101" s="647"/>
      <c r="AA101" s="647"/>
      <c r="AB101" s="647"/>
      <c r="AC101" s="647"/>
      <c r="AD101" s="647"/>
      <c r="AE101" s="647"/>
      <c r="AF101" s="647"/>
      <c r="AG101" s="647"/>
      <c r="AH101" s="648"/>
      <c r="AI101" s="648"/>
      <c r="AJ101" s="649"/>
    </row>
    <row r="102" spans="1:79" ht="25.5" hidden="1" x14ac:dyDescent="0.35">
      <c r="A102" s="645"/>
      <c r="B102" s="646"/>
      <c r="C102" s="646"/>
      <c r="D102" s="646"/>
      <c r="E102" s="646"/>
      <c r="F102" s="646"/>
      <c r="G102" s="646"/>
      <c r="H102" s="646"/>
      <c r="I102" s="646"/>
      <c r="J102" s="647"/>
      <c r="K102" s="647"/>
      <c r="L102" s="647"/>
      <c r="M102" s="647"/>
      <c r="N102" s="647"/>
      <c r="O102" s="647"/>
      <c r="P102" s="647"/>
      <c r="Q102" s="647"/>
      <c r="R102" s="647"/>
      <c r="S102" s="647"/>
      <c r="T102" s="647"/>
      <c r="U102" s="647"/>
      <c r="V102" s="647"/>
      <c r="W102" s="647"/>
      <c r="X102" s="647"/>
      <c r="Y102" s="647"/>
      <c r="Z102" s="647"/>
      <c r="AA102" s="647"/>
      <c r="AB102" s="647"/>
      <c r="AC102" s="647"/>
      <c r="AD102" s="647"/>
      <c r="AE102" s="647"/>
      <c r="AF102" s="647"/>
      <c r="AG102" s="647"/>
      <c r="AH102" s="648"/>
      <c r="AI102" s="648"/>
      <c r="AJ102" s="649"/>
    </row>
    <row r="103" spans="1:79" ht="29.25" hidden="1" x14ac:dyDescent="0.5">
      <c r="A103" s="472" t="s">
        <v>223</v>
      </c>
      <c r="B103" s="650">
        <f>IF('Entries September 2026'!L7-'Entries September 2026'!L6&lt;1,0,'Entries September 2026'!L7-'Entries September 2026'!L6)</f>
        <v>963.33000000000175</v>
      </c>
      <c r="C103" s="650">
        <f>IF('Entries September 2026'!L8-'Entries September 2026'!L7&lt;1,0,'Entries September 2026'!L8-'Entries September 2026'!L7)</f>
        <v>767.16999999999825</v>
      </c>
      <c r="D103" s="650">
        <f>IF('Entries September 2026'!L9-'Entries September 2026'!L8&lt;1,0,'Entries September 2026'!L9-'Entries September 2026'!L8)</f>
        <v>277.79000000000815</v>
      </c>
      <c r="E103" s="650">
        <f>IF('Entries September 2026'!L10-'Entries September 2026'!L9&lt;1,0,'Entries September 2026'!L10-'Entries September 2026'!L9)</f>
        <v>132.2899999999936</v>
      </c>
      <c r="F103" s="650">
        <f>IF('Entries September 2026'!L11-'Entries September 2026'!L10&lt;1,0,'Entries September 2026'!L11-'Entries September 2026'!L10)</f>
        <v>0</v>
      </c>
      <c r="G103" s="650">
        <f>IF('Entries September 2026'!L12-'Entries September 2026'!L11&lt;1,0,'Entries September 2026'!L12-'Entries September 2026'!L11)</f>
        <v>0</v>
      </c>
      <c r="H103" s="650">
        <f>IF('Entries September 2026'!M12-'Entries September 2026'!L12&lt;1,0,'Entries September 2026'!M12-'Entries September 2026'!L12)</f>
        <v>522559.94000000006</v>
      </c>
      <c r="I103" s="650">
        <f>IF('Entries September 2026'!L14-'Entries September 2026'!M12&lt;1,0,'Entries September 2026'!L14-'Entries September 2026'!M12)</f>
        <v>0</v>
      </c>
      <c r="J103" s="651">
        <f>IF('Entries September 2026'!L15-'Entries September 2026'!L14&lt;1,0,'Entries September 2026'!L15-'Entries September 2026'!L14)</f>
        <v>435.19999999999709</v>
      </c>
      <c r="K103" s="651">
        <f>IF('Entries September 2026'!L16-'Entries September 2026'!L15&lt;1,0,'Entries September 2026'!L16-'Entries September 2026'!L15)</f>
        <v>537.61999999999534</v>
      </c>
      <c r="L103" s="651">
        <f>IF('Entries September 2026'!L17-'Entries September 2026'!L16&lt;1,0,'Entries September 2026'!L17-'Entries September 2026'!L16)</f>
        <v>748.27000000000407</v>
      </c>
      <c r="M103" s="651">
        <f>IF('Entries September 2026'!L18-'Entries September 2026'!L17&lt;1,0,'Entries September 2026'!L18-'Entries September 2026'!L17)</f>
        <v>0</v>
      </c>
      <c r="N103" s="522">
        <f>IF('Entries September 2026'!L19-'Entries September 2026'!L18&lt;1,0,'Entries September 2026'!L19-'Entries September 2026'!L18)</f>
        <v>0</v>
      </c>
      <c r="O103" s="522">
        <f>IF('Entries September 2026'!L20-'Entries September 2026'!L19&lt;1,0,'Entries September 2026'!L20-'Entries September 2026'!L19)</f>
        <v>649.36999999999534</v>
      </c>
      <c r="P103" s="522">
        <f>IF('Entries September 2026'!L21-'Entries September 2026'!L20&lt;1,0,'Entries September 2026'!L21-'Entries September 2026'!L20)</f>
        <v>873.26000000000931</v>
      </c>
      <c r="Q103" s="522">
        <f>IF('Entries September 2026'!L22-'Entries September 2026'!L21&lt;1,0,'Entries September 2026'!L22-'Entries September 2026'!L21)</f>
        <v>678.3799999999901</v>
      </c>
      <c r="R103" s="522">
        <f>IF('Entries September 2026'!L23-'Entries September 2026'!L22&lt;1,0,'Entries September 2026'!L23-'Entries September 2026'!L22)</f>
        <v>1046.5899999999965</v>
      </c>
      <c r="S103" s="522">
        <f>IF('Entries September 2026'!L24-'Entries September 2026'!L23&lt;1,0,'Entries September 2026'!L24-'Entries September 2026'!L23)</f>
        <v>868.07000000000698</v>
      </c>
      <c r="T103" s="522">
        <f>IF('Entries September 2026'!L25-'Entries September 2026'!L24&lt;1,0,'Entries September 2026'!L25-'Entries September 2026'!L24)</f>
        <v>0</v>
      </c>
      <c r="U103" s="522">
        <f>IF('Entries September 2026'!L26-'Entries September 2026'!L25&lt;1,0,'Entries September 2026'!L26-'Entries September 2026'!L25)</f>
        <v>0</v>
      </c>
      <c r="V103" s="522">
        <f>IF('Entries September 2026'!L27-'Entries September 2026'!L26&lt;1,0,'Entries September 2026'!L27-'Entries September 2026'!L26)</f>
        <v>179.99000000000524</v>
      </c>
      <c r="W103" s="522">
        <f>IF('Entries September 2026'!L28-'Entries September 2026'!L27&lt;1,0,'Entries September 2026'!L28-'Entries September 2026'!L27)</f>
        <v>752.63999999999942</v>
      </c>
      <c r="X103" s="522">
        <f>IF('Entries September 2026'!L29-'Entries September 2026'!L28&lt;1,0,'Entries September 2026'!L29-'Entries September 2026'!L28)</f>
        <v>112.16999999999825</v>
      </c>
      <c r="Y103" s="522">
        <f>IF('Entries September 2026'!L30-'Entries September 2026'!L29&lt;1,0,'Entries September 2026'!L30-'Entries September 2026'!L29)</f>
        <v>152.97000000000116</v>
      </c>
      <c r="Z103" s="522">
        <f>IF('Entries September 2026'!L31-'Entries September 2026'!L30&lt;1,0,'Entries September 2026'!L31-'Entries September 2026'!L30)</f>
        <v>499.58000000000175</v>
      </c>
      <c r="AA103" s="522">
        <f>IF('Entries September 2026'!L32-'Entries September 2026'!L31&lt;1,0,'Entries September 2026'!L32-'Entries September 2026'!L31)</f>
        <v>0</v>
      </c>
      <c r="AB103" s="522">
        <f>IF('Entries September 2026'!L33-'Entries September 2026'!L32&lt;1,0,'Entries September 2026'!L33-'Entries September 2026'!L32)</f>
        <v>0</v>
      </c>
      <c r="AC103" s="522">
        <f>IF('Entries September 2026'!L34-'Entries September 2026'!L33&lt;1,0,'Entries September 2026'!L34-'Entries September 2026'!L33)</f>
        <v>0</v>
      </c>
      <c r="AD103" s="522" t="e">
        <f>IF('Entries September 2026'!#REF!-'Entries September 2026'!L34&lt;1,0,'Entries September 2026'!#REF!-'Entries September 2026'!L34)</f>
        <v>#REF!</v>
      </c>
      <c r="AE103" s="522" t="e">
        <f>IF('Entries September 2026'!L35-'Entries September 2026'!#REF!&lt;1,0,'Entries September 2026'!L35-'Entries September 2026'!#REF!)</f>
        <v>#REF!</v>
      </c>
      <c r="AF103" s="522">
        <f>IF('Entries September 2026'!L36-'Entries September 2026'!L35&lt;1,0,'Entries September 2026'!L36-'Entries September 2026'!L35)</f>
        <v>0</v>
      </c>
      <c r="AG103" s="522"/>
      <c r="AH103" s="485" t="e">
        <f>SUM($B103:AF103)</f>
        <v>#REF!</v>
      </c>
      <c r="AI103" s="485"/>
    </row>
    <row r="104" spans="1:79" hidden="1" x14ac:dyDescent="0.4">
      <c r="A104" s="472" t="s">
        <v>202</v>
      </c>
      <c r="M104" s="470"/>
      <c r="AH104" s="469">
        <f>SUM(B104:AF104)</f>
        <v>0</v>
      </c>
      <c r="AK104" s="291" t="s">
        <v>228</v>
      </c>
    </row>
    <row r="105" spans="1:79" hidden="1" x14ac:dyDescent="0.4">
      <c r="A105" s="472" t="s">
        <v>203</v>
      </c>
      <c r="B105" s="652">
        <f t="shared" ref="B105:AF105" si="41">IF(B103=0,"",B104/B103)</f>
        <v>0</v>
      </c>
      <c r="C105" s="652">
        <f>IF(C103=0,"",C104/C103)</f>
        <v>0</v>
      </c>
      <c r="D105" s="652">
        <f t="shared" si="41"/>
        <v>0</v>
      </c>
      <c r="E105" s="652">
        <f t="shared" si="41"/>
        <v>0</v>
      </c>
      <c r="F105" s="652" t="str">
        <f t="shared" si="41"/>
        <v/>
      </c>
      <c r="G105" s="652" t="s">
        <v>55</v>
      </c>
      <c r="H105" s="652">
        <f t="shared" si="41"/>
        <v>0</v>
      </c>
      <c r="I105" s="652" t="str">
        <f>IF(I103=0,"",I104/I103)</f>
        <v/>
      </c>
      <c r="J105" s="653">
        <f t="shared" si="41"/>
        <v>0</v>
      </c>
      <c r="K105" s="653">
        <f t="shared" si="41"/>
        <v>0</v>
      </c>
      <c r="L105" s="653">
        <f t="shared" si="41"/>
        <v>0</v>
      </c>
      <c r="M105" s="653" t="str">
        <f t="shared" si="41"/>
        <v/>
      </c>
      <c r="N105" s="653" t="str">
        <f t="shared" si="41"/>
        <v/>
      </c>
      <c r="O105" s="653">
        <f t="shared" si="41"/>
        <v>0</v>
      </c>
      <c r="P105" s="653">
        <f t="shared" si="41"/>
        <v>0</v>
      </c>
      <c r="Q105" s="653">
        <f t="shared" si="41"/>
        <v>0</v>
      </c>
      <c r="R105" s="653">
        <f t="shared" si="41"/>
        <v>0</v>
      </c>
      <c r="S105" s="653">
        <f t="shared" si="41"/>
        <v>0</v>
      </c>
      <c r="T105" s="653" t="str">
        <f t="shared" si="41"/>
        <v/>
      </c>
      <c r="U105" s="653" t="str">
        <f>IF(U103=0,"",U104/U103)</f>
        <v/>
      </c>
      <c r="V105" s="653">
        <f t="shared" si="41"/>
        <v>0</v>
      </c>
      <c r="W105" s="653">
        <f t="shared" si="41"/>
        <v>0</v>
      </c>
      <c r="X105" s="653">
        <f t="shared" si="41"/>
        <v>0</v>
      </c>
      <c r="Y105" s="653">
        <f t="shared" si="41"/>
        <v>0</v>
      </c>
      <c r="Z105" s="653">
        <f t="shared" si="41"/>
        <v>0</v>
      </c>
      <c r="AA105" s="653" t="str">
        <f t="shared" si="41"/>
        <v/>
      </c>
      <c r="AB105" s="653" t="str">
        <f t="shared" si="41"/>
        <v/>
      </c>
      <c r="AC105" s="653" t="str">
        <f t="shared" si="41"/>
        <v/>
      </c>
      <c r="AD105" s="653" t="e">
        <f t="shared" si="41"/>
        <v>#REF!</v>
      </c>
      <c r="AE105" s="653" t="e">
        <f t="shared" si="41"/>
        <v>#REF!</v>
      </c>
      <c r="AF105" s="653" t="str">
        <f t="shared" si="41"/>
        <v/>
      </c>
      <c r="AG105" s="653"/>
      <c r="AH105" s="652" t="e">
        <f>IF(AH103=0,"",AH104/AH103)</f>
        <v>#REF!</v>
      </c>
    </row>
    <row r="106" spans="1:79" ht="30" hidden="1" x14ac:dyDescent="0.4">
      <c r="A106" s="472" t="s">
        <v>224</v>
      </c>
      <c r="B106" s="650">
        <f>IF('Entries September 2026'!$AF7-'Entries September 2026'!$AF6&lt;1,0,'Entries September 2026'!$AF7-'Entries September 2026'!$AF6)</f>
        <v>0</v>
      </c>
      <c r="C106" s="650">
        <f>IF('Entries September 2026'!$AF8-'Entries September 2026'!$AF7&lt;1,0,'Entries September 2026'!$AF8-'Entries September 2026'!$AF7)</f>
        <v>0</v>
      </c>
      <c r="D106" s="650">
        <f>IF('Entries September 2026'!$AF9-'Entries September 2026'!$AF8&lt;1,0,'Entries September 2026'!$AF9-'Entries September 2026'!$AF8)</f>
        <v>0</v>
      </c>
      <c r="E106" s="650">
        <f>IF('Entries September 2026'!$AF10-'Entries September 2026'!$AF9&lt;1,0,'Entries September 2026'!$AF10-'Entries September 2026'!$AF9)</f>
        <v>0</v>
      </c>
      <c r="F106" s="650">
        <f>IF('Entries September 2026'!$AF11-'Entries September 2026'!$AF10&lt;1,0,'Entries September 2026'!$AF11-'Entries September 2026'!$AF10)</f>
        <v>0</v>
      </c>
      <c r="G106" s="650">
        <f>IF('Entries September 2026'!$AF12-'Entries September 2026'!$AF11&lt;1,0,'Entries September 2026'!$AF12-'Entries September 2026'!$AF11)</f>
        <v>0</v>
      </c>
      <c r="H106" s="650">
        <f>IF('Entries September 2026'!$AF13-'Entries September 2026'!$AF12&lt;1,0,'Entries September 2026'!$AF13-'Entries September 2026'!$AF12)</f>
        <v>0</v>
      </c>
      <c r="I106" s="650">
        <f>IF('Entries September 2026'!AF14-'Entries September 2026'!AF13&lt;1,0,'Entries September 2026'!AF14-'Entries September 2026'!AF13)</f>
        <v>0</v>
      </c>
      <c r="J106" s="651">
        <f>IF('Entries September 2026'!AF15-'Entries September 2026'!AF14&lt;1,0,'Entries September 2026'!AF15-'Entries September 2026'!AF14)</f>
        <v>0</v>
      </c>
      <c r="K106" s="651">
        <f>IF('Entries September 2026'!AF16-'Entries September 2026'!AF15&lt;1,0,'Entries September 2026'!AF16-'Entries September 2026'!AF15)</f>
        <v>0</v>
      </c>
      <c r="L106" s="651">
        <f>IF('Entries September 2026'!$AF17-'Entries September 2026'!$AF16&lt;1,0,'Entries September 2026'!$AF17-'Entries September 2026'!$AF16)</f>
        <v>0</v>
      </c>
      <c r="M106" s="651">
        <f>IF('Entries September 2026'!$AF18-'Entries September 2026'!$AF17&lt;1,0,'Entries September 2026'!$AF18-'Entries September 2026'!$AF17)</f>
        <v>0</v>
      </c>
      <c r="N106" s="651">
        <f>IF('Entries September 2026'!$AF19-'Entries September 2026'!$AF18&lt;1,0,'Entries September 2026'!$AF19-'Entries September 2026'!$AF18)</f>
        <v>0</v>
      </c>
      <c r="O106" s="651">
        <f>IF('Entries September 2026'!$AF20-'Entries September 2026'!$AF19&lt;1,0,'Entries September 2026'!$AF20-'Entries September 2026'!$AF19)</f>
        <v>0</v>
      </c>
      <c r="P106" s="651">
        <f>IF('Entries September 2026'!$AF21-'Entries September 2026'!$AF20&lt;1,0,'Entries September 2026'!$AF21-'Entries September 2026'!$AF20)</f>
        <v>0</v>
      </c>
      <c r="Q106" s="651">
        <f>IF('Entries September 2026'!$AF22-'Entries September 2026'!$AF21&lt;1,0,'Entries September 2026'!$AF22-'Entries September 2026'!$AF21)</f>
        <v>0</v>
      </c>
      <c r="R106" s="651">
        <f>IF('Entries September 2026'!$AF23-'Entries September 2026'!$AF22&lt;1,0,'Entries September 2026'!$AF23-'Entries September 2026'!$AF22)</f>
        <v>0</v>
      </c>
      <c r="S106" s="651">
        <f>IF('Entries September 2026'!$AF24-'Entries September 2026'!$AF23&lt;1,0,'Entries September 2026'!$AF24-'Entries September 2026'!$AF23)</f>
        <v>0</v>
      </c>
      <c r="T106" s="651">
        <f>IF('Entries September 2026'!$AF25-'Entries September 2026'!$AF24&lt;1,0,'Entries September 2026'!$AF25-'Entries September 2026'!$AF24)</f>
        <v>0</v>
      </c>
      <c r="U106" s="651">
        <f>IF('Entries September 2026'!$AF26-'Entries September 2026'!$AF25&lt;1,0,'Entries September 2026'!$AF26-'Entries September 2026'!$AF25)</f>
        <v>0</v>
      </c>
      <c r="V106" s="651">
        <f>IF('Entries September 2026'!$AF27-'Entries September 2026'!$AF26&lt;1,0,'Entries September 2026'!$AF27-'Entries September 2026'!$AF26)</f>
        <v>0</v>
      </c>
      <c r="W106" s="651">
        <f>IF('Entries September 2026'!$AF28-'Entries September 2026'!$AF27&lt;1,0,'Entries September 2026'!$AF28-'Entries September 2026'!$AF27)</f>
        <v>0</v>
      </c>
      <c r="X106" s="651">
        <f>IF('Entries September 2026'!$AF29-'Entries September 2026'!$AF28&lt;1,0,'Entries September 2026'!$AF29-'Entries September 2026'!$AF28)</f>
        <v>0</v>
      </c>
      <c r="Y106" s="651">
        <f>IF('Entries September 2026'!$AF30-'Entries September 2026'!$AF29&lt;1,0,'Entries September 2026'!$AF30-'Entries September 2026'!$AF29)</f>
        <v>0</v>
      </c>
      <c r="Z106" s="651">
        <f>IF('Entries September 2026'!$AF31-'Entries September 2026'!$AF30&lt;1,0,'Entries September 2026'!$AF31-'Entries September 2026'!$AF30)</f>
        <v>0</v>
      </c>
      <c r="AA106" s="651">
        <f>IF('Entries September 2026'!$AF32-'Entries September 2026'!$AF30&lt;1,0,'Entries September 2026'!$AF32-'Entries September 2026'!$AF30)</f>
        <v>0</v>
      </c>
      <c r="AB106" s="651">
        <f>IF('Entries September 2026'!$AF33-'Entries September 2026'!$AF32&lt;1,0,'Entries September 2026'!$AF33-'Entries September 2026'!$AF32)</f>
        <v>0</v>
      </c>
      <c r="AC106" s="651">
        <f>IF('Entries September 2026'!$AF34-'Entries September 2026'!$AF33&lt;1,0,'Entries September 2026'!$AF34-'Entries September 2026'!$AF33)</f>
        <v>0</v>
      </c>
      <c r="AD106" s="651" t="e">
        <f>IF('Entries September 2026'!#REF!-'Entries September 2026'!$AF34&lt;1,0,'Entries September 2026'!#REF!-'Entries September 2026'!$AF34)</f>
        <v>#REF!</v>
      </c>
      <c r="AE106" s="651" t="e">
        <f>IF('Entries September 2026'!$AF35-'Entries September 2026'!#REF!&lt;1,0,'Entries September 2026'!$AF35-'Entries September 2026'!#REF!)</f>
        <v>#REF!</v>
      </c>
      <c r="AF106" s="651">
        <f>IF('Entries September 2026'!$AF36-'Entries September 2026'!$AF35&lt;1,0,'Entries September 2026'!$AF36-'Entries September 2026'!$AF35)</f>
        <v>0</v>
      </c>
      <c r="AG106" s="651"/>
      <c r="AH106" s="485" t="e">
        <f>SUM(B106:AF106)</f>
        <v>#REF!</v>
      </c>
      <c r="AI106" s="485"/>
    </row>
    <row r="107" spans="1:79" hidden="1" x14ac:dyDescent="0.35">
      <c r="M107" s="470"/>
    </row>
    <row r="108" spans="1:79" hidden="1" x14ac:dyDescent="0.35">
      <c r="A108" s="468" t="s">
        <v>158</v>
      </c>
      <c r="M108" s="470"/>
    </row>
    <row r="109" spans="1:79" hidden="1" x14ac:dyDescent="0.35">
      <c r="M109" s="470"/>
    </row>
    <row r="110" spans="1:79" hidden="1" x14ac:dyDescent="0.35">
      <c r="M110" s="470"/>
    </row>
    <row r="111" spans="1:79" hidden="1" x14ac:dyDescent="0.35">
      <c r="M111" s="470"/>
    </row>
    <row r="112" spans="1:79" hidden="1" x14ac:dyDescent="0.35">
      <c r="A112" s="468" t="s">
        <v>146</v>
      </c>
      <c r="B112" s="525" t="s">
        <v>147</v>
      </c>
      <c r="C112" s="509">
        <f>+'Water '!$F8</f>
        <v>255</v>
      </c>
      <c r="M112" s="470"/>
      <c r="AB112" s="470" t="s">
        <v>147</v>
      </c>
      <c r="AC112" s="470" t="s">
        <v>147</v>
      </c>
      <c r="AF112" s="470" t="s">
        <v>147</v>
      </c>
      <c r="AH112" s="485">
        <f>SUM($B112:AC112)</f>
        <v>255</v>
      </c>
      <c r="AI112" s="485"/>
    </row>
    <row r="113" spans="2:34" hidden="1" x14ac:dyDescent="0.35">
      <c r="M113" s="470"/>
    </row>
    <row r="114" spans="2:34" hidden="1" x14ac:dyDescent="0.35">
      <c r="M114" s="470"/>
    </row>
    <row r="115" spans="2:34" hidden="1" x14ac:dyDescent="0.35">
      <c r="M115" s="470"/>
    </row>
    <row r="116" spans="2:34" hidden="1" x14ac:dyDescent="0.35">
      <c r="B116" s="650">
        <f>'Daily KPIs'!B80</f>
        <v>8735</v>
      </c>
      <c r="D116" s="650">
        <f>'Daily KPIs'!D80</f>
        <v>8694</v>
      </c>
      <c r="E116" s="650">
        <f>'Daily KPIs'!E80</f>
        <v>5679</v>
      </c>
      <c r="F116" s="650">
        <f>'Daily KPIs'!F80</f>
        <v>3385</v>
      </c>
      <c r="G116" s="650">
        <f>'Daily KPIs'!G80</f>
        <v>2797</v>
      </c>
      <c r="H116" s="650">
        <f>'Daily KPIs'!H80</f>
        <v>5039</v>
      </c>
      <c r="I116" s="650">
        <f>'Daily KPIs'!I80</f>
        <v>6654</v>
      </c>
      <c r="J116" s="651">
        <f>'Daily KPIs'!J80</f>
        <v>8374</v>
      </c>
      <c r="K116" s="651">
        <f>'Daily KPIs'!K80</f>
        <v>6508</v>
      </c>
      <c r="L116" s="651">
        <f>'Daily KPIs'!L80</f>
        <v>6688</v>
      </c>
      <c r="M116" s="651">
        <f>'Daily KPIs'!M80</f>
        <v>3127</v>
      </c>
      <c r="N116" s="651">
        <f>'Daily KPIs'!N80</f>
        <v>4203</v>
      </c>
      <c r="O116" s="651">
        <f>'Daily KPIs'!O80</f>
        <v>7310</v>
      </c>
      <c r="P116" s="651">
        <f>'Daily KPIs'!P80</f>
        <v>9121</v>
      </c>
      <c r="Q116" s="651">
        <f>'Daily KPIs'!Q80</f>
        <v>8169</v>
      </c>
      <c r="R116" s="651">
        <f>'Daily KPIs'!R80</f>
        <v>8558</v>
      </c>
      <c r="S116" s="651">
        <f>'Daily KPIs'!S80</f>
        <v>8711</v>
      </c>
      <c r="T116" s="651">
        <f>'Daily KPIs'!T80</f>
        <v>3065</v>
      </c>
      <c r="U116" s="651">
        <f>'Daily KPIs'!U80</f>
        <v>2722</v>
      </c>
      <c r="V116" s="651">
        <f>'Daily KPIs'!V80</f>
        <v>6887</v>
      </c>
      <c r="W116" s="651">
        <f>'Daily KPIs'!W80</f>
        <v>6945</v>
      </c>
      <c r="X116" s="651">
        <f>'Daily KPIs'!X80</f>
        <v>7616</v>
      </c>
      <c r="Y116" s="651">
        <f>'Daily KPIs'!Y80</f>
        <v>7693</v>
      </c>
      <c r="Z116" s="651">
        <f>'Daily KPIs'!Z80</f>
        <v>6561</v>
      </c>
      <c r="AA116" s="651">
        <f>'Daily KPIs'!AA80</f>
        <v>2727</v>
      </c>
      <c r="AB116" s="651">
        <f>'Daily KPIs'!AB80</f>
        <v>2886</v>
      </c>
      <c r="AC116" s="651">
        <f>'Daily KPIs'!AC80</f>
        <v>0</v>
      </c>
      <c r="AD116" s="651">
        <f>'Daily KPIs'!AD80</f>
        <v>0</v>
      </c>
      <c r="AE116" s="651">
        <f>'Daily KPIs'!AE80</f>
        <v>0</v>
      </c>
      <c r="AF116" s="651">
        <f>'Daily KPIs'!AF80</f>
        <v>0</v>
      </c>
      <c r="AG116" s="651"/>
      <c r="AH116" s="650">
        <f>'Daily KPIs'!AH80</f>
        <v>167292</v>
      </c>
    </row>
    <row r="117" spans="2:34" hidden="1" x14ac:dyDescent="0.35">
      <c r="C117" s="650">
        <f>'Daily KPIs'!C80</f>
        <v>8438</v>
      </c>
      <c r="M117" s="470"/>
    </row>
    <row r="118" spans="2:34" hidden="1" x14ac:dyDescent="0.35">
      <c r="M118" s="470"/>
    </row>
    <row r="119" spans="2:34" hidden="1" x14ac:dyDescent="0.35">
      <c r="M119" s="470"/>
    </row>
    <row r="120" spans="2:34" hidden="1" x14ac:dyDescent="0.35">
      <c r="M120" s="470"/>
    </row>
    <row r="121" spans="2:34" hidden="1" x14ac:dyDescent="0.35">
      <c r="M121" s="470"/>
    </row>
    <row r="122" spans="2:34" hidden="1" x14ac:dyDescent="0.35">
      <c r="M122" s="470"/>
    </row>
    <row r="123" spans="2:34" hidden="1" x14ac:dyDescent="0.35">
      <c r="H123" s="291" t="s">
        <v>208</v>
      </c>
      <c r="M123" s="470"/>
      <c r="R123" s="497"/>
    </row>
    <row r="124" spans="2:34" hidden="1" x14ac:dyDescent="0.35">
      <c r="M124" s="470"/>
      <c r="R124" s="497"/>
    </row>
    <row r="125" spans="2:34" hidden="1" x14ac:dyDescent="0.35">
      <c r="M125" s="470"/>
    </row>
    <row r="126" spans="2:34" hidden="1" x14ac:dyDescent="0.35">
      <c r="M126" s="470"/>
    </row>
    <row r="127" spans="2:34" hidden="1" x14ac:dyDescent="0.35">
      <c r="M127" s="470"/>
    </row>
    <row r="128" spans="2:34" hidden="1" x14ac:dyDescent="0.35">
      <c r="M128" s="470"/>
    </row>
    <row r="129" spans="7:39" hidden="1" x14ac:dyDescent="0.35">
      <c r="M129" s="470"/>
    </row>
    <row r="130" spans="7:39" hidden="1" x14ac:dyDescent="0.35">
      <c r="M130" s="470"/>
    </row>
    <row r="131" spans="7:39" hidden="1" x14ac:dyDescent="0.35">
      <c r="M131" s="470"/>
    </row>
    <row r="132" spans="7:39" hidden="1" x14ac:dyDescent="0.35">
      <c r="M132" s="470"/>
    </row>
    <row r="133" spans="7:39" hidden="1" x14ac:dyDescent="0.35">
      <c r="M133" s="470"/>
    </row>
    <row r="134" spans="7:39" hidden="1" x14ac:dyDescent="0.35">
      <c r="M134" s="470"/>
    </row>
    <row r="135" spans="7:39" hidden="1" x14ac:dyDescent="0.35">
      <c r="M135" s="470"/>
    </row>
    <row r="136" spans="7:39" hidden="1" x14ac:dyDescent="0.35">
      <c r="M136" s="470"/>
    </row>
    <row r="137" spans="7:39" hidden="1" x14ac:dyDescent="0.35">
      <c r="M137" s="470"/>
    </row>
    <row r="138" spans="7:39" x14ac:dyDescent="0.35">
      <c r="M138" s="470"/>
    </row>
    <row r="139" spans="7:39" x14ac:dyDescent="0.35">
      <c r="M139" s="470"/>
    </row>
    <row r="140" spans="7:39" x14ac:dyDescent="0.35">
      <c r="M140" s="470" t="s">
        <v>55</v>
      </c>
      <c r="AE140" s="470" t="s">
        <v>55</v>
      </c>
      <c r="AH140" s="883">
        <f>AH83/(AH83+AH80)</f>
        <v>0.18340609648471976</v>
      </c>
      <c r="AM140" s="758"/>
    </row>
    <row r="141" spans="7:39" x14ac:dyDescent="0.35">
      <c r="G141" s="291" t="s">
        <v>55</v>
      </c>
      <c r="M141" s="470"/>
      <c r="S141" s="470" t="s">
        <v>55</v>
      </c>
    </row>
    <row r="142" spans="7:39" x14ac:dyDescent="0.35">
      <c r="M142" s="470"/>
      <c r="U142" s="470" t="s">
        <v>55</v>
      </c>
      <c r="Z142" s="470" t="s">
        <v>55</v>
      </c>
      <c r="AF142" s="470" t="s">
        <v>55</v>
      </c>
      <c r="AG142" s="470" t="s">
        <v>55</v>
      </c>
    </row>
    <row r="143" spans="7:39" x14ac:dyDescent="0.35">
      <c r="M143" s="470"/>
    </row>
    <row r="144" spans="7:39" x14ac:dyDescent="0.35">
      <c r="G144" s="291" t="s">
        <v>55</v>
      </c>
      <c r="M144" s="470"/>
    </row>
    <row r="145" spans="10:13" x14ac:dyDescent="0.35">
      <c r="M145" s="470"/>
    </row>
    <row r="146" spans="10:13" x14ac:dyDescent="0.35">
      <c r="M146" s="470"/>
    </row>
    <row r="147" spans="10:13" x14ac:dyDescent="0.35">
      <c r="M147" s="470"/>
    </row>
    <row r="148" spans="10:13" x14ac:dyDescent="0.35">
      <c r="M148" s="470"/>
    </row>
    <row r="149" spans="10:13" x14ac:dyDescent="0.35">
      <c r="M149" s="470"/>
    </row>
    <row r="150" spans="10:13" x14ac:dyDescent="0.35">
      <c r="M150" s="470"/>
    </row>
    <row r="151" spans="10:13" x14ac:dyDescent="0.35">
      <c r="M151" s="470"/>
    </row>
    <row r="152" spans="10:13" x14ac:dyDescent="0.35">
      <c r="M152" s="470"/>
    </row>
    <row r="153" spans="10:13" x14ac:dyDescent="0.35">
      <c r="M153" s="470"/>
    </row>
    <row r="154" spans="10:13" x14ac:dyDescent="0.35">
      <c r="M154" s="470"/>
    </row>
    <row r="155" spans="10:13" x14ac:dyDescent="0.35">
      <c r="J155" s="470" t="s">
        <v>55</v>
      </c>
      <c r="M155" s="470"/>
    </row>
    <row r="156" spans="10:13" x14ac:dyDescent="0.35">
      <c r="M156" s="470"/>
    </row>
    <row r="157" spans="10:13" x14ac:dyDescent="0.35">
      <c r="M157" s="470"/>
    </row>
    <row r="158" spans="10:13" x14ac:dyDescent="0.35">
      <c r="M158" s="470"/>
    </row>
    <row r="159" spans="10:13" x14ac:dyDescent="0.35">
      <c r="M159" s="470"/>
    </row>
    <row r="160" spans="10:13" x14ac:dyDescent="0.35">
      <c r="M160" s="470"/>
    </row>
    <row r="161" spans="13:13" x14ac:dyDescent="0.35">
      <c r="M161" s="470"/>
    </row>
    <row r="162" spans="13:13" x14ac:dyDescent="0.35">
      <c r="M162" s="470"/>
    </row>
    <row r="163" spans="13:13" x14ac:dyDescent="0.35">
      <c r="M163" s="470"/>
    </row>
    <row r="164" spans="13:13" x14ac:dyDescent="0.35">
      <c r="M164" s="470"/>
    </row>
    <row r="165" spans="13:13" x14ac:dyDescent="0.35">
      <c r="M165" s="470"/>
    </row>
    <row r="166" spans="13:13" x14ac:dyDescent="0.35">
      <c r="M166" s="470"/>
    </row>
    <row r="167" spans="13:13" x14ac:dyDescent="0.35">
      <c r="M167" s="470"/>
    </row>
    <row r="168" spans="13:13" x14ac:dyDescent="0.35">
      <c r="M168" s="470"/>
    </row>
    <row r="169" spans="13:13" x14ac:dyDescent="0.35">
      <c r="M169" s="470"/>
    </row>
    <row r="170" spans="13:13" x14ac:dyDescent="0.35">
      <c r="M170" s="470"/>
    </row>
    <row r="171" spans="13:13" x14ac:dyDescent="0.35">
      <c r="M171" s="470"/>
    </row>
    <row r="172" spans="13:13" x14ac:dyDescent="0.35">
      <c r="M172" s="470"/>
    </row>
    <row r="173" spans="13:13" x14ac:dyDescent="0.35">
      <c r="M173" s="470"/>
    </row>
    <row r="174" spans="13:13" x14ac:dyDescent="0.35">
      <c r="M174" s="470"/>
    </row>
  </sheetData>
  <mergeCells count="2">
    <mergeCell ref="AI6:AI7"/>
    <mergeCell ref="K3:L3"/>
  </mergeCells>
  <phoneticPr fontId="32" type="noConversion"/>
  <conditionalFormatting sqref="B93:C93 AH93">
    <cfRule type="cellIs" dxfId="35" priority="127" operator="greaterThan">
      <formula>$AI$93</formula>
    </cfRule>
  </conditionalFormatting>
  <conditionalFormatting sqref="B90:AF90">
    <cfRule type="cellIs" dxfId="34" priority="36" operator="greaterThan">
      <formula>10.2</formula>
    </cfRule>
  </conditionalFormatting>
  <conditionalFormatting sqref="B92:AF92">
    <cfRule type="cellIs" dxfId="33" priority="26" operator="greaterThan">
      <formula>5</formula>
    </cfRule>
    <cfRule type="cellIs" dxfId="32" priority="27" operator="lessThanOrEqual">
      <formula>5</formula>
    </cfRule>
  </conditionalFormatting>
  <conditionalFormatting sqref="B93:AF93">
    <cfRule type="cellIs" dxfId="31" priority="34" operator="greaterThan">
      <formula>1.7</formula>
    </cfRule>
  </conditionalFormatting>
  <conditionalFormatting sqref="B94:AF94">
    <cfRule type="cellIs" dxfId="30" priority="33" operator="greaterThan">
      <formula>22</formula>
    </cfRule>
  </conditionalFormatting>
  <conditionalFormatting sqref="B96:AF96">
    <cfRule type="cellIs" dxfId="29" priority="32" operator="greaterThan">
      <formula>7.2</formula>
    </cfRule>
  </conditionalFormatting>
  <conditionalFormatting sqref="B22:AG22">
    <cfRule type="cellIs" dxfId="28" priority="101" operator="greaterThan">
      <formula>400</formula>
    </cfRule>
  </conditionalFormatting>
  <conditionalFormatting sqref="B42:AG42">
    <cfRule type="cellIs" dxfId="27" priority="47" operator="greaterThan">
      <formula>70</formula>
    </cfRule>
  </conditionalFormatting>
  <conditionalFormatting sqref="B44:AG44">
    <cfRule type="colorScale" priority="1183">
      <colorScale>
        <cfvo type="min"/>
        <cfvo type="max"/>
        <color theme="0"/>
        <color rgb="FFFF0000"/>
      </colorScale>
    </cfRule>
  </conditionalFormatting>
  <conditionalFormatting sqref="B94:AG94">
    <cfRule type="cellIs" dxfId="26" priority="1174" operator="greaterThan">
      <formula>$AI$94</formula>
    </cfRule>
  </conditionalFormatting>
  <conditionalFormatting sqref="B96:AG96">
    <cfRule type="cellIs" dxfId="25" priority="1176" operator="greaterThan">
      <formula>$AI$96</formula>
    </cfRule>
  </conditionalFormatting>
  <conditionalFormatting sqref="B15:AH15">
    <cfRule type="cellIs" dxfId="24" priority="1" operator="greaterThan">
      <formula>3.2</formula>
    </cfRule>
  </conditionalFormatting>
  <conditionalFormatting sqref="B54:AH54">
    <cfRule type="cellIs" dxfId="23" priority="123" operator="greaterThan">
      <formula>3.2</formula>
    </cfRule>
  </conditionalFormatting>
  <conditionalFormatting sqref="B56:AH56">
    <cfRule type="cellIs" dxfId="22" priority="61" operator="greaterThan">
      <formula>0.1</formula>
    </cfRule>
  </conditionalFormatting>
  <conditionalFormatting sqref="B57:AH57 B59:AH59 B61:AH61">
    <cfRule type="cellIs" dxfId="21" priority="62" operator="greaterThan">
      <formula>0.7</formula>
    </cfRule>
  </conditionalFormatting>
  <conditionalFormatting sqref="B58:AH58 B62:AH62">
    <cfRule type="cellIs" dxfId="20" priority="63" operator="greaterThan">
      <formula>1</formula>
    </cfRule>
  </conditionalFormatting>
  <conditionalFormatting sqref="B60:AH60">
    <cfRule type="cellIs" dxfId="19" priority="22" operator="greaterThan">
      <formula>2.1</formula>
    </cfRule>
  </conditionalFormatting>
  <conditionalFormatting sqref="B65:AH65">
    <cfRule type="cellIs" dxfId="18" priority="56" operator="greaterThan">
      <formula>0.3</formula>
    </cfRule>
  </conditionalFormatting>
  <conditionalFormatting sqref="B68:AH68">
    <cfRule type="cellIs" dxfId="17" priority="58" operator="greaterThan">
      <formula>9.6</formula>
    </cfRule>
  </conditionalFormatting>
  <conditionalFormatting sqref="B69:AH69">
    <cfRule type="cellIs" dxfId="16" priority="59" operator="greaterThan">
      <formula>2.9</formula>
    </cfRule>
  </conditionalFormatting>
  <conditionalFormatting sqref="B92:AH92">
    <cfRule type="cellIs" dxfId="15" priority="48" operator="greaterThan">
      <formula>5.04</formula>
    </cfRule>
  </conditionalFormatting>
  <conditionalFormatting sqref="B93:AH93">
    <cfRule type="cellIs" dxfId="14" priority="43" operator="greaterThan">
      <formula>1.7</formula>
    </cfRule>
    <cfRule type="cellIs" dxfId="13" priority="44" operator="greaterThan">
      <formula>1.7</formula>
    </cfRule>
  </conditionalFormatting>
  <conditionalFormatting sqref="B96:AH96">
    <cfRule type="cellIs" dxfId="12" priority="37" operator="greaterThan">
      <formula>7.2</formula>
    </cfRule>
  </conditionalFormatting>
  <conditionalFormatting sqref="E96">
    <cfRule type="cellIs" dxfId="11" priority="39" operator="greaterThan">
      <formula>7.2</formula>
    </cfRule>
  </conditionalFormatting>
  <conditionalFormatting sqref="I63:AH63">
    <cfRule type="cellIs" dxfId="10" priority="68" operator="greaterThan">
      <formula>0.6</formula>
    </cfRule>
  </conditionalFormatting>
  <conditionalFormatting sqref="AC54:AG54">
    <cfRule type="cellIs" dxfId="9" priority="82" operator="greaterThan">
      <formula>$AI$54</formula>
    </cfRule>
  </conditionalFormatting>
  <conditionalFormatting sqref="AC55:AG59 AC61:AG61 AC63:AG63 B64:AG64">
    <cfRule type="cellIs" dxfId="8" priority="1135" operator="greaterThan">
      <formula>$AI59</formula>
    </cfRule>
  </conditionalFormatting>
  <conditionalFormatting sqref="AH94">
    <cfRule type="cellIs" dxfId="7" priority="28" operator="lessThanOrEqual">
      <formula>22</formula>
    </cfRule>
  </conditionalFormatting>
  <conditionalFormatting sqref="AH94:AH96 B90:AH90 AH91">
    <cfRule type="cellIs" dxfId="6" priority="1168" operator="greaterThan">
      <formula>$AI$90</formula>
    </cfRule>
  </conditionalFormatting>
  <conditionalFormatting sqref="AH96">
    <cfRule type="cellIs" dxfId="5" priority="29" operator="greaterThan">
      <formula>7.2</formula>
    </cfRule>
    <cfRule type="cellIs" dxfId="4" priority="30" operator="lessThan">
      <formula>7.2</formula>
    </cfRule>
    <cfRule type="cellIs" dxfId="3" priority="40" operator="greaterThan">
      <formula>7.2</formula>
    </cfRule>
  </conditionalFormatting>
  <conditionalFormatting sqref="AJ8">
    <cfRule type="cellIs" dxfId="2" priority="105" operator="greaterThan">
      <formula>0</formula>
    </cfRule>
    <cfRule type="cellIs" dxfId="1" priority="106" operator="lessThan">
      <formula>0</formula>
    </cfRule>
  </conditionalFormatting>
  <conditionalFormatting sqref="AK90:AK96">
    <cfRule type="cellIs" dxfId="0" priority="50" operator="greaterThan">
      <formula>100</formula>
    </cfRule>
  </conditionalFormatting>
  <printOptions horizontalCentered="1" verticalCentered="1"/>
  <pageMargins left="0" right="0" top="0" bottom="0" header="0.25" footer="0"/>
  <pageSetup scale="30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298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74</v>
      </c>
      <c r="D4" s="69" t="s">
        <v>73</v>
      </c>
      <c r="E4" s="69" t="s">
        <v>71</v>
      </c>
      <c r="F4" s="69" t="s">
        <v>72</v>
      </c>
      <c r="G4" s="69" t="s">
        <v>72</v>
      </c>
      <c r="H4" s="68" t="s">
        <v>68</v>
      </c>
      <c r="I4" s="68" t="s">
        <v>68</v>
      </c>
      <c r="J4" s="68" t="s">
        <v>69</v>
      </c>
      <c r="K4" s="68" t="s">
        <v>69</v>
      </c>
      <c r="L4" s="68" t="s">
        <v>75</v>
      </c>
      <c r="M4" s="69" t="s">
        <v>70</v>
      </c>
      <c r="N4" s="69" t="s">
        <v>152</v>
      </c>
      <c r="O4" s="69" t="s">
        <v>50</v>
      </c>
      <c r="P4" s="69"/>
      <c r="Q4" s="69"/>
      <c r="R4" s="67"/>
    </row>
    <row r="5" spans="1:18" ht="15.75" x14ac:dyDescent="0.25">
      <c r="A5" s="70" t="s">
        <v>7</v>
      </c>
      <c r="B5" s="68" t="s">
        <v>114</v>
      </c>
      <c r="C5" s="68" t="s">
        <v>115</v>
      </c>
      <c r="D5" s="68" t="s">
        <v>116</v>
      </c>
      <c r="E5" s="68" t="s">
        <v>117</v>
      </c>
      <c r="F5" s="68" t="s">
        <v>117</v>
      </c>
      <c r="G5" s="68" t="s">
        <v>115</v>
      </c>
      <c r="H5" s="68" t="s">
        <v>118</v>
      </c>
      <c r="I5" s="68" t="s">
        <v>119</v>
      </c>
      <c r="J5" s="68" t="s">
        <v>118</v>
      </c>
      <c r="K5" s="68" t="s">
        <v>119</v>
      </c>
      <c r="L5" s="68" t="s">
        <v>119</v>
      </c>
      <c r="M5" s="68" t="s">
        <v>118</v>
      </c>
      <c r="N5" s="68" t="s">
        <v>118</v>
      </c>
      <c r="O5" s="68" t="s">
        <v>59</v>
      </c>
      <c r="P5" s="69" t="s">
        <v>51</v>
      </c>
      <c r="Q5" s="69" t="s">
        <v>45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60</v>
      </c>
    </row>
    <row r="7" spans="1:18" ht="15" x14ac:dyDescent="0.25">
      <c r="A7" s="46">
        <v>1</v>
      </c>
      <c r="B7" s="55">
        <f>'Entries September 2026'!O6</f>
        <v>248483</v>
      </c>
      <c r="C7" s="55">
        <f>B8-B7</f>
        <v>242</v>
      </c>
      <c r="D7" s="55">
        <f>C7-G7</f>
        <v>-39</v>
      </c>
      <c r="E7" s="56">
        <f>'Entries September 2026'!Y6</f>
        <v>68647</v>
      </c>
      <c r="F7" s="57">
        <f>'Entries September 2026'!V6</f>
        <v>1361581</v>
      </c>
      <c r="G7" s="57">
        <f>F8-F7</f>
        <v>281</v>
      </c>
      <c r="H7" s="57">
        <f>'Entries September 2026'!AA6</f>
        <v>97122</v>
      </c>
      <c r="I7" s="58">
        <f>H8-H7</f>
        <v>0</v>
      </c>
      <c r="J7" s="57">
        <f>'Entries September 2026'!V6</f>
        <v>1361581</v>
      </c>
      <c r="K7" s="58">
        <f>J8-J7</f>
        <v>-1361581</v>
      </c>
      <c r="L7" s="58">
        <f>K7+I7</f>
        <v>-1361581</v>
      </c>
      <c r="M7" s="57">
        <f>'Entries September 2026'!R6</f>
        <v>0</v>
      </c>
      <c r="N7" s="57">
        <f>'Entries September 2026'!AC7-'Entries September 2026'!AC6</f>
        <v>22</v>
      </c>
      <c r="O7" s="57">
        <f>C7+D7+G7</f>
        <v>484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September 2026'!O7</f>
        <v>248725</v>
      </c>
      <c r="C8" s="55">
        <f t="shared" ref="C8:C34" si="1">B9-B8</f>
        <v>232</v>
      </c>
      <c r="D8" s="55">
        <f t="shared" ref="D8:D35" si="2">C8-G8</f>
        <v>-23</v>
      </c>
      <c r="E8" s="56">
        <f>'Entries September 2026'!W7</f>
        <v>0</v>
      </c>
      <c r="F8" s="57">
        <f>'Entries September 2026'!V7</f>
        <v>1361862</v>
      </c>
      <c r="G8" s="43">
        <f>F9-F8</f>
        <v>255</v>
      </c>
      <c r="H8" s="57">
        <f>'Entries September 2026'!AA7</f>
        <v>97122</v>
      </c>
      <c r="I8" s="58">
        <f t="shared" ref="I8:I34" si="3">H9-H8</f>
        <v>0</v>
      </c>
      <c r="J8" s="57">
        <f>'Entries September 2026'!T7</f>
        <v>0</v>
      </c>
      <c r="K8" s="58">
        <f t="shared" ref="K8:K34" si="4">J9-J8</f>
        <v>0</v>
      </c>
      <c r="L8" s="58">
        <f>K8+I8</f>
        <v>0</v>
      </c>
      <c r="M8" s="57">
        <f>'Entries September 2026'!R7</f>
        <v>0</v>
      </c>
      <c r="N8" s="57">
        <f>'Entries September 2026'!AC8-'Entries September 2026'!AC7</f>
        <v>25</v>
      </c>
      <c r="O8" s="57">
        <f t="shared" ref="O8:O34" si="5">C8+D8+G8</f>
        <v>464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September 2026'!O8</f>
        <v>248957</v>
      </c>
      <c r="C9" s="55">
        <f t="shared" si="1"/>
        <v>170</v>
      </c>
      <c r="D9" s="55">
        <f t="shared" si="2"/>
        <v>-27</v>
      </c>
      <c r="E9" s="56">
        <f>'Entries September 2026'!W8</f>
        <v>0</v>
      </c>
      <c r="F9" s="57">
        <f>'Entries September 2026'!V8</f>
        <v>1362117</v>
      </c>
      <c r="G9" s="57">
        <f>F10-F9</f>
        <v>197</v>
      </c>
      <c r="H9" s="57">
        <f>'Entries September 2026'!AA8</f>
        <v>97122</v>
      </c>
      <c r="I9" s="58">
        <f t="shared" si="3"/>
        <v>0</v>
      </c>
      <c r="J9" s="57">
        <f>'Entries September 2026'!T8</f>
        <v>0</v>
      </c>
      <c r="K9" s="58">
        <f t="shared" si="4"/>
        <v>0</v>
      </c>
      <c r="L9" s="58">
        <f t="shared" ref="L9:L34" si="6">K9+I9</f>
        <v>0</v>
      </c>
      <c r="M9" s="57">
        <f>'Entries September 2026'!R10</f>
        <v>0</v>
      </c>
      <c r="N9" s="57">
        <f>'Entries September 2026'!AC9-'Entries September 2026'!AC8</f>
        <v>22</v>
      </c>
      <c r="O9" s="57">
        <f t="shared" si="5"/>
        <v>340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September 2026'!O9</f>
        <v>249127</v>
      </c>
      <c r="C10" s="55">
        <f t="shared" si="1"/>
        <v>361</v>
      </c>
      <c r="D10" s="55">
        <f t="shared" si="2"/>
        <v>261</v>
      </c>
      <c r="E10" s="56">
        <f>'Entries September 2026'!W9</f>
        <v>0</v>
      </c>
      <c r="F10" s="57">
        <f>'Entries September 2026'!V9</f>
        <v>1362314</v>
      </c>
      <c r="G10" s="43">
        <f t="shared" ref="G10:G34" si="7">F11-F10</f>
        <v>100</v>
      </c>
      <c r="H10" s="57">
        <f>'Entries September 2026'!AA9</f>
        <v>97122</v>
      </c>
      <c r="I10" s="58">
        <f t="shared" si="3"/>
        <v>0</v>
      </c>
      <c r="J10" s="57">
        <f>'Entries September 2026'!T9</f>
        <v>0</v>
      </c>
      <c r="K10" s="58">
        <f t="shared" si="4"/>
        <v>0</v>
      </c>
      <c r="L10" s="58">
        <f t="shared" si="6"/>
        <v>0</v>
      </c>
      <c r="M10" s="57">
        <f>'Entries September 2026'!R9</f>
        <v>0</v>
      </c>
      <c r="N10" s="57">
        <f>'Entries September 2026'!AC10-'Entries September 2026'!AC9</f>
        <v>8</v>
      </c>
      <c r="O10" s="57">
        <f t="shared" si="5"/>
        <v>722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September 2026'!O10</f>
        <v>249488</v>
      </c>
      <c r="C11" s="55">
        <f t="shared" si="1"/>
        <v>0</v>
      </c>
      <c r="D11" s="55">
        <f t="shared" si="2"/>
        <v>0</v>
      </c>
      <c r="E11" s="56">
        <f>'Entries September 2026'!W10</f>
        <v>0</v>
      </c>
      <c r="F11" s="57">
        <f>'Entries September 2026'!V10</f>
        <v>1362414</v>
      </c>
      <c r="G11" s="57">
        <f t="shared" si="7"/>
        <v>0</v>
      </c>
      <c r="H11" s="57">
        <f>'Entries September 2026'!AA10</f>
        <v>97122</v>
      </c>
      <c r="I11" s="58">
        <f t="shared" si="3"/>
        <v>0</v>
      </c>
      <c r="J11" s="57">
        <f>'Entries September 2026'!T10</f>
        <v>0</v>
      </c>
      <c r="K11" s="58">
        <f t="shared" si="4"/>
        <v>0</v>
      </c>
      <c r="L11" s="58">
        <f t="shared" si="6"/>
        <v>0</v>
      </c>
      <c r="M11" s="57">
        <f>'Entries September 2026'!R10</f>
        <v>0</v>
      </c>
      <c r="N11" s="57">
        <f>'Entries September 2026'!AC11-'Entries September 2026'!AC10</f>
        <v>0</v>
      </c>
      <c r="O11" s="57">
        <f t="shared" si="5"/>
        <v>0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September 2026'!O11</f>
        <v>249488</v>
      </c>
      <c r="C12" s="55">
        <f t="shared" si="1"/>
        <v>0</v>
      </c>
      <c r="D12" s="55">
        <f t="shared" si="2"/>
        <v>0</v>
      </c>
      <c r="E12" s="56">
        <f>'Entries September 2026'!W11</f>
        <v>0</v>
      </c>
      <c r="F12" s="57">
        <f>'Entries September 2026'!V11</f>
        <v>1362414</v>
      </c>
      <c r="G12" s="57">
        <f t="shared" si="7"/>
        <v>0</v>
      </c>
      <c r="H12" s="57">
        <f>'Entries September 2026'!AA11</f>
        <v>97122</v>
      </c>
      <c r="I12" s="58">
        <f t="shared" si="3"/>
        <v>0</v>
      </c>
      <c r="J12" s="57">
        <f>'Entries September 2026'!T11</f>
        <v>0</v>
      </c>
      <c r="K12" s="58">
        <f t="shared" si="4"/>
        <v>480</v>
      </c>
      <c r="L12" s="58">
        <f t="shared" si="6"/>
        <v>480</v>
      </c>
      <c r="M12" s="57">
        <f>'Entries September 2026'!R11</f>
        <v>0</v>
      </c>
      <c r="N12" s="57">
        <f>'Entries September 2026'!AC12-'Entries September 2026'!AC11</f>
        <v>0</v>
      </c>
      <c r="O12" s="57">
        <f t="shared" si="5"/>
        <v>0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September 2026'!O12</f>
        <v>249488</v>
      </c>
      <c r="C13" s="55">
        <f t="shared" si="1"/>
        <v>69</v>
      </c>
      <c r="D13" s="55">
        <f t="shared" si="2"/>
        <v>-94</v>
      </c>
      <c r="E13" s="56">
        <f>'Entries September 2026'!W12</f>
        <v>0</v>
      </c>
      <c r="F13" s="57">
        <f>'Entries September 2026'!V12</f>
        <v>1362414</v>
      </c>
      <c r="G13" s="57">
        <f t="shared" si="7"/>
        <v>163</v>
      </c>
      <c r="H13" s="57">
        <f>'Entries September 2026'!AA12</f>
        <v>97122</v>
      </c>
      <c r="I13" s="58">
        <f t="shared" si="3"/>
        <v>0</v>
      </c>
      <c r="J13" s="57">
        <f>'Entries September 2026'!U12</f>
        <v>480</v>
      </c>
      <c r="K13" s="58">
        <f t="shared" si="4"/>
        <v>-480</v>
      </c>
      <c r="L13" s="58">
        <f t="shared" si="6"/>
        <v>-480</v>
      </c>
      <c r="M13" s="57">
        <f>'Entries September 2026'!R12</f>
        <v>0</v>
      </c>
      <c r="N13" s="57">
        <f>'Entries September 2026'!AC13-'Entries September 2026'!AC12</f>
        <v>1</v>
      </c>
      <c r="O13" s="57">
        <f t="shared" si="5"/>
        <v>138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September 2026'!O13</f>
        <v>249557</v>
      </c>
      <c r="C14" s="55">
        <f t="shared" si="1"/>
        <v>227</v>
      </c>
      <c r="D14" s="55">
        <f t="shared" si="2"/>
        <v>83</v>
      </c>
      <c r="E14" s="56">
        <f>'Entries September 2026'!W13</f>
        <v>0</v>
      </c>
      <c r="F14" s="57">
        <f>'Entries September 2026'!V13</f>
        <v>1362577</v>
      </c>
      <c r="G14" s="57">
        <f>F15-F14</f>
        <v>144</v>
      </c>
      <c r="H14" s="57">
        <f>'Entries September 2026'!AA13</f>
        <v>97122</v>
      </c>
      <c r="I14" s="58">
        <f t="shared" si="3"/>
        <v>0</v>
      </c>
      <c r="J14" s="57">
        <f>'Entries September 2026'!T13</f>
        <v>0</v>
      </c>
      <c r="K14" s="58">
        <f t="shared" si="4"/>
        <v>0</v>
      </c>
      <c r="L14" s="58">
        <f t="shared" si="6"/>
        <v>0</v>
      </c>
      <c r="M14" s="57">
        <f>'Entries September 2026'!R13</f>
        <v>0</v>
      </c>
      <c r="N14" s="57">
        <f>'Entries September 2026'!AC14-'Entries September 2026'!AC13</f>
        <v>15</v>
      </c>
      <c r="O14" s="57">
        <f t="shared" si="5"/>
        <v>454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September 2026'!O14</f>
        <v>249784</v>
      </c>
      <c r="C15" s="55">
        <f t="shared" si="1"/>
        <v>249</v>
      </c>
      <c r="D15" s="55">
        <f t="shared" si="2"/>
        <v>18</v>
      </c>
      <c r="E15" s="56">
        <f>'Entries September 2026'!W14</f>
        <v>0</v>
      </c>
      <c r="F15" s="57">
        <f>'Entries September 2026'!V14</f>
        <v>1362721</v>
      </c>
      <c r="G15" s="57">
        <f t="shared" si="7"/>
        <v>231</v>
      </c>
      <c r="H15" s="57">
        <f>'Entries September 2026'!AA14</f>
        <v>97122</v>
      </c>
      <c r="I15" s="58">
        <f t="shared" si="3"/>
        <v>0</v>
      </c>
      <c r="J15" s="57">
        <f>'Entries September 2026'!T14</f>
        <v>0</v>
      </c>
      <c r="K15" s="58">
        <f t="shared" si="4"/>
        <v>0</v>
      </c>
      <c r="L15" s="58">
        <f t="shared" si="6"/>
        <v>0</v>
      </c>
      <c r="M15" s="57">
        <f>'Entries September 2026'!R14</f>
        <v>0</v>
      </c>
      <c r="N15" s="57">
        <f>'Entries September 2026'!AC15-'Entries September 2026'!AC14</f>
        <v>16</v>
      </c>
      <c r="O15" s="57">
        <f t="shared" si="5"/>
        <v>498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September 2026'!O15</f>
        <v>250033</v>
      </c>
      <c r="C16" s="55">
        <f t="shared" si="1"/>
        <v>81</v>
      </c>
      <c r="D16" s="55">
        <f t="shared" si="2"/>
        <v>-225</v>
      </c>
      <c r="E16" s="56">
        <f>'Entries September 2026'!W15</f>
        <v>0</v>
      </c>
      <c r="F16" s="57">
        <f>'Entries September 2026'!V15</f>
        <v>1362952</v>
      </c>
      <c r="G16" s="57">
        <f t="shared" si="7"/>
        <v>306</v>
      </c>
      <c r="H16" s="57">
        <f>'Entries September 2026'!AA15</f>
        <v>97122</v>
      </c>
      <c r="I16" s="58">
        <f t="shared" si="3"/>
        <v>0</v>
      </c>
      <c r="J16" s="57">
        <f>'Entries September 2026'!T15</f>
        <v>0</v>
      </c>
      <c r="K16" s="58">
        <f t="shared" si="4"/>
        <v>0</v>
      </c>
      <c r="L16" s="58">
        <f t="shared" si="6"/>
        <v>0</v>
      </c>
      <c r="M16" s="57">
        <f>'Entries September 2026'!R15</f>
        <v>0</v>
      </c>
      <c r="N16" s="57">
        <f>'Entries September 2026'!AC16-'Entries September 2026'!AC15</f>
        <v>16</v>
      </c>
      <c r="O16" s="57">
        <f t="shared" si="5"/>
        <v>162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September 2026'!O16</f>
        <v>250114</v>
      </c>
      <c r="C17" s="55">
        <f t="shared" si="1"/>
        <v>53</v>
      </c>
      <c r="D17" s="55">
        <f t="shared" si="2"/>
        <v>-195</v>
      </c>
      <c r="E17" s="56">
        <f>'Entries September 2026'!W16</f>
        <v>0</v>
      </c>
      <c r="F17" s="57">
        <f>'Entries September 2026'!V16</f>
        <v>1363258</v>
      </c>
      <c r="G17" s="57">
        <f t="shared" si="7"/>
        <v>248</v>
      </c>
      <c r="H17" s="57">
        <f>'Entries September 2026'!AA16</f>
        <v>97122</v>
      </c>
      <c r="I17" s="58">
        <f t="shared" si="3"/>
        <v>0</v>
      </c>
      <c r="J17" s="57">
        <f>'Entries September 2026'!T16</f>
        <v>0</v>
      </c>
      <c r="K17" s="58">
        <f t="shared" si="4"/>
        <v>0</v>
      </c>
      <c r="L17" s="58">
        <f t="shared" si="6"/>
        <v>0</v>
      </c>
      <c r="M17" s="57">
        <f>'Entries September 2026'!R16</f>
        <v>0</v>
      </c>
      <c r="N17" s="57">
        <f>'Entries September 2026'!AC17-'Entries September 2026'!AC16</f>
        <v>13</v>
      </c>
      <c r="O17" s="57">
        <f t="shared" si="5"/>
        <v>106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September 2026'!O17</f>
        <v>250167</v>
      </c>
      <c r="C18" s="55">
        <f t="shared" si="1"/>
        <v>41</v>
      </c>
      <c r="D18" s="55">
        <f t="shared" si="2"/>
        <v>-90</v>
      </c>
      <c r="E18" s="56">
        <f>'Entries September 2026'!W17</f>
        <v>0</v>
      </c>
      <c r="F18" s="57">
        <f>'Entries September 2026'!V17</f>
        <v>1363506</v>
      </c>
      <c r="G18" s="57">
        <f t="shared" si="7"/>
        <v>131</v>
      </c>
      <c r="H18" s="57">
        <f>'Entries September 2026'!AA17</f>
        <v>97122</v>
      </c>
      <c r="I18" s="58">
        <f t="shared" si="3"/>
        <v>0</v>
      </c>
      <c r="J18" s="57">
        <f>'Entries September 2026'!T17</f>
        <v>0</v>
      </c>
      <c r="K18" s="58">
        <f t="shared" si="4"/>
        <v>0</v>
      </c>
      <c r="L18" s="58">
        <f t="shared" si="6"/>
        <v>0</v>
      </c>
      <c r="M18" s="57">
        <f>'Entries September 2026'!R17</f>
        <v>0</v>
      </c>
      <c r="N18" s="57">
        <f>'Entries September 2026'!AC18-'Entries September 2026'!AC17</f>
        <v>2</v>
      </c>
      <c r="O18" s="57">
        <f t="shared" si="5"/>
        <v>82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September 2026'!O18</f>
        <v>250208</v>
      </c>
      <c r="C19" s="55">
        <f t="shared" si="1"/>
        <v>0</v>
      </c>
      <c r="D19" s="55">
        <f t="shared" si="2"/>
        <v>0</v>
      </c>
      <c r="E19" s="56">
        <f>'Entries September 2026'!W18</f>
        <v>0</v>
      </c>
      <c r="F19" s="57">
        <f>'Entries September 2026'!V18</f>
        <v>1363637</v>
      </c>
      <c r="G19" s="57">
        <f t="shared" si="7"/>
        <v>0</v>
      </c>
      <c r="H19" s="57">
        <f>'Entries September 2026'!AA18</f>
        <v>97122</v>
      </c>
      <c r="I19" s="58">
        <f t="shared" si="3"/>
        <v>0</v>
      </c>
      <c r="J19" s="57">
        <f>'Entries September 2026'!T18</f>
        <v>0</v>
      </c>
      <c r="K19" s="58">
        <f>J20-J19</f>
        <v>0</v>
      </c>
      <c r="L19" s="58">
        <f t="shared" si="6"/>
        <v>0</v>
      </c>
      <c r="M19" s="57">
        <f>'Entries September 2026'!R18</f>
        <v>0</v>
      </c>
      <c r="N19" s="57">
        <f>'Entries September 2026'!AC19-'Entries September 2026'!AC18</f>
        <v>0</v>
      </c>
      <c r="O19" s="57">
        <f t="shared" si="5"/>
        <v>0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September 2026'!O19</f>
        <v>250208</v>
      </c>
      <c r="C20" s="55">
        <f t="shared" si="1"/>
        <v>254</v>
      </c>
      <c r="D20" s="55">
        <f t="shared" si="2"/>
        <v>115</v>
      </c>
      <c r="E20" s="56">
        <f>'Entries September 2026'!W19</f>
        <v>0</v>
      </c>
      <c r="F20" s="57">
        <f>'Entries September 2026'!V19</f>
        <v>1363637</v>
      </c>
      <c r="G20" s="57">
        <f t="shared" si="7"/>
        <v>139</v>
      </c>
      <c r="H20" s="57">
        <f>'Entries September 2026'!AA19</f>
        <v>97122</v>
      </c>
      <c r="I20" s="58">
        <f t="shared" si="3"/>
        <v>0</v>
      </c>
      <c r="J20" s="57">
        <f>'Entries September 2026'!T19</f>
        <v>0</v>
      </c>
      <c r="K20" s="58">
        <f t="shared" si="4"/>
        <v>0</v>
      </c>
      <c r="L20" s="58">
        <f t="shared" si="6"/>
        <v>0</v>
      </c>
      <c r="M20" s="57">
        <f>'Entries September 2026'!R19</f>
        <v>0</v>
      </c>
      <c r="N20" s="57">
        <f>'Entries September 2026'!AC20-'Entries September 2026'!AC19</f>
        <v>24</v>
      </c>
      <c r="O20" s="57">
        <f t="shared" si="5"/>
        <v>508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September 2026'!O20</f>
        <v>250462</v>
      </c>
      <c r="C21" s="55">
        <f t="shared" si="1"/>
        <v>331</v>
      </c>
      <c r="D21" s="55">
        <f t="shared" si="2"/>
        <v>186</v>
      </c>
      <c r="E21" s="56">
        <f>'Entries September 2026'!W20</f>
        <v>0</v>
      </c>
      <c r="F21" s="57">
        <f>'Entries September 2026'!V20</f>
        <v>1363776</v>
      </c>
      <c r="G21" s="57">
        <f t="shared" si="7"/>
        <v>145</v>
      </c>
      <c r="H21" s="57">
        <f>'Entries September 2026'!AA20</f>
        <v>97122</v>
      </c>
      <c r="I21" s="58">
        <f t="shared" si="3"/>
        <v>0</v>
      </c>
      <c r="J21" s="57">
        <f>'Entries September 2026'!T20</f>
        <v>0</v>
      </c>
      <c r="K21" s="58">
        <f t="shared" si="4"/>
        <v>0</v>
      </c>
      <c r="L21" s="58">
        <f t="shared" si="6"/>
        <v>0</v>
      </c>
      <c r="M21" s="57">
        <f>'Entries September 2026'!R20</f>
        <v>0</v>
      </c>
      <c r="N21" s="57">
        <f>'Entries September 2026'!AC21-'Entries September 2026'!AC20</f>
        <v>29</v>
      </c>
      <c r="O21" s="57">
        <f t="shared" si="5"/>
        <v>662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September 2026'!O21</f>
        <v>250793</v>
      </c>
      <c r="C22" s="55">
        <f t="shared" si="1"/>
        <v>382</v>
      </c>
      <c r="D22" s="55">
        <f t="shared" si="2"/>
        <v>216</v>
      </c>
      <c r="E22" s="56">
        <f>'Entries September 2026'!W21</f>
        <v>0</v>
      </c>
      <c r="F22" s="57">
        <f>'Entries September 2026'!V21</f>
        <v>1363921</v>
      </c>
      <c r="G22" s="57">
        <f t="shared" si="7"/>
        <v>166</v>
      </c>
      <c r="H22" s="57">
        <f>'Entries September 2026'!AA21</f>
        <v>97122</v>
      </c>
      <c r="I22" s="58">
        <f t="shared" si="3"/>
        <v>0</v>
      </c>
      <c r="J22" s="57">
        <f>'Entries September 2026'!T21</f>
        <v>0</v>
      </c>
      <c r="K22" s="58">
        <f t="shared" si="4"/>
        <v>0</v>
      </c>
      <c r="L22" s="58">
        <f t="shared" si="6"/>
        <v>0</v>
      </c>
      <c r="M22" s="57">
        <f>'Entries September 2026'!R21</f>
        <v>0</v>
      </c>
      <c r="N22" s="57">
        <f>'Entries September 2026'!AC22-'Entries September 2026'!AC21</f>
        <v>12</v>
      </c>
      <c r="O22" s="57">
        <f t="shared" si="5"/>
        <v>764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September 2026'!O22</f>
        <v>251175</v>
      </c>
      <c r="C23" s="55">
        <f t="shared" si="1"/>
        <v>138</v>
      </c>
      <c r="D23" s="55">
        <f t="shared" si="2"/>
        <v>-163</v>
      </c>
      <c r="E23" s="56">
        <f>'Entries September 2026'!W22</f>
        <v>0</v>
      </c>
      <c r="F23" s="57">
        <f>'Entries September 2026'!V22</f>
        <v>1364087</v>
      </c>
      <c r="G23" s="57">
        <f t="shared" si="7"/>
        <v>301</v>
      </c>
      <c r="H23" s="57">
        <f>'Entries September 2026'!AA22</f>
        <v>97122</v>
      </c>
      <c r="I23" s="58">
        <f t="shared" si="3"/>
        <v>0</v>
      </c>
      <c r="J23" s="57">
        <f>'Entries September 2026'!T22</f>
        <v>0</v>
      </c>
      <c r="K23" s="58">
        <f t="shared" si="4"/>
        <v>0</v>
      </c>
      <c r="L23" s="58">
        <f t="shared" si="6"/>
        <v>0</v>
      </c>
      <c r="M23" s="57">
        <f>'Entries September 2026'!R22</f>
        <v>0</v>
      </c>
      <c r="N23" s="57">
        <f>'Entries September 2026'!AC23-'Entries September 2026'!AC22</f>
        <v>23</v>
      </c>
      <c r="O23" s="57">
        <f t="shared" si="5"/>
        <v>276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September 2026'!O23</f>
        <v>251313</v>
      </c>
      <c r="C24" s="55">
        <f t="shared" si="1"/>
        <v>527</v>
      </c>
      <c r="D24" s="55">
        <f t="shared" si="2"/>
        <v>327</v>
      </c>
      <c r="E24" s="56">
        <f>'Entries September 2026'!W23</f>
        <v>0</v>
      </c>
      <c r="F24" s="57">
        <f>'Entries September 2026'!V23</f>
        <v>1364388</v>
      </c>
      <c r="G24" s="57">
        <f t="shared" si="7"/>
        <v>200</v>
      </c>
      <c r="H24" s="57">
        <f>'Entries September 2026'!AA23</f>
        <v>97122</v>
      </c>
      <c r="I24" s="58">
        <f t="shared" si="3"/>
        <v>0</v>
      </c>
      <c r="J24" s="57">
        <f>'Entries September 2026'!T23</f>
        <v>0</v>
      </c>
      <c r="K24" s="58">
        <f t="shared" si="4"/>
        <v>0</v>
      </c>
      <c r="L24" s="58">
        <f t="shared" si="6"/>
        <v>0</v>
      </c>
      <c r="M24" s="57">
        <f>'Entries September 2026'!R23</f>
        <v>0</v>
      </c>
      <c r="N24" s="57">
        <f>'Entries September 2026'!AC24-'Entries September 2026'!AC23</f>
        <v>18</v>
      </c>
      <c r="O24" s="57">
        <f t="shared" si="5"/>
        <v>1054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September 2026'!O24</f>
        <v>251840</v>
      </c>
      <c r="C25" s="55">
        <f t="shared" si="1"/>
        <v>4</v>
      </c>
      <c r="D25" s="55">
        <f t="shared" si="2"/>
        <v>4</v>
      </c>
      <c r="E25" s="56">
        <f>'Entries September 2026'!W24</f>
        <v>0</v>
      </c>
      <c r="F25" s="57">
        <f>'Entries September 2026'!V24</f>
        <v>1364588</v>
      </c>
      <c r="G25" s="57">
        <f t="shared" si="7"/>
        <v>0</v>
      </c>
      <c r="H25" s="57">
        <f>'Entries September 2026'!AA24</f>
        <v>97122</v>
      </c>
      <c r="I25" s="58">
        <f t="shared" si="3"/>
        <v>0</v>
      </c>
      <c r="J25" s="57">
        <f>'Entries September 2026'!T24</f>
        <v>0</v>
      </c>
      <c r="K25" s="58">
        <f t="shared" si="4"/>
        <v>0</v>
      </c>
      <c r="L25" s="58">
        <f t="shared" si="6"/>
        <v>0</v>
      </c>
      <c r="M25" s="57">
        <f>'Entries September 2026'!R24</f>
        <v>0</v>
      </c>
      <c r="N25" s="57">
        <f>'Entries September 2026'!AC25-'Entries September 2026'!AC24</f>
        <v>7</v>
      </c>
      <c r="O25" s="57">
        <f t="shared" si="5"/>
        <v>8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September 2026'!O25</f>
        <v>251844</v>
      </c>
      <c r="C26" s="55">
        <f t="shared" si="1"/>
        <v>0</v>
      </c>
      <c r="D26" s="55">
        <f t="shared" si="2"/>
        <v>0</v>
      </c>
      <c r="E26" s="56">
        <f>'Entries September 2026'!W25</f>
        <v>0</v>
      </c>
      <c r="F26" s="57">
        <f>'Entries September 2026'!V25</f>
        <v>1364588</v>
      </c>
      <c r="G26" s="57">
        <f t="shared" si="7"/>
        <v>0</v>
      </c>
      <c r="H26" s="57">
        <f>'Entries September 2026'!AA25</f>
        <v>97122</v>
      </c>
      <c r="I26" s="58">
        <f t="shared" si="3"/>
        <v>0</v>
      </c>
      <c r="J26" s="57">
        <f>'Entries September 2026'!T25</f>
        <v>0</v>
      </c>
      <c r="K26" s="58">
        <f t="shared" si="4"/>
        <v>0</v>
      </c>
      <c r="L26" s="58">
        <f t="shared" si="6"/>
        <v>0</v>
      </c>
      <c r="M26" s="57">
        <f>'Entries September 2026'!R25</f>
        <v>0</v>
      </c>
      <c r="N26" s="57">
        <f>'Entries September 2026'!AC26-'Entries September 2026'!AC25</f>
        <v>2</v>
      </c>
      <c r="O26" s="57">
        <f t="shared" si="5"/>
        <v>0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September 2026'!O26</f>
        <v>251844</v>
      </c>
      <c r="C27" s="55">
        <f t="shared" si="1"/>
        <v>208</v>
      </c>
      <c r="D27" s="55">
        <f t="shared" si="2"/>
        <v>69</v>
      </c>
      <c r="E27" s="56">
        <f>'Entries September 2026'!W26</f>
        <v>0</v>
      </c>
      <c r="F27" s="57">
        <f>'Entries September 2026'!V26</f>
        <v>1364588</v>
      </c>
      <c r="G27" s="57">
        <f t="shared" si="7"/>
        <v>139</v>
      </c>
      <c r="H27" s="57">
        <f>'Entries September 2026'!AA26</f>
        <v>97122</v>
      </c>
      <c r="I27" s="58">
        <f t="shared" si="3"/>
        <v>0</v>
      </c>
      <c r="J27" s="57">
        <f>'Entries September 2026'!T26</f>
        <v>0</v>
      </c>
      <c r="K27" s="58">
        <f t="shared" si="4"/>
        <v>0</v>
      </c>
      <c r="L27" s="58">
        <f t="shared" si="6"/>
        <v>0</v>
      </c>
      <c r="M27" s="57">
        <f>'Entries September 2026'!R26</f>
        <v>0</v>
      </c>
      <c r="N27" s="57">
        <f>'Entries September 2026'!AC27-'Entries September 2026'!AC26</f>
        <v>7</v>
      </c>
      <c r="O27" s="57">
        <f t="shared" si="5"/>
        <v>416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September 2026'!O27</f>
        <v>252052</v>
      </c>
      <c r="C28" s="55">
        <f t="shared" si="1"/>
        <v>135</v>
      </c>
      <c r="D28" s="55">
        <f t="shared" si="2"/>
        <v>-49</v>
      </c>
      <c r="E28" s="56">
        <f>'Entries September 2026'!W27</f>
        <v>0</v>
      </c>
      <c r="F28" s="57">
        <f>'Entries September 2026'!V27</f>
        <v>1364727</v>
      </c>
      <c r="G28" s="57">
        <f t="shared" si="7"/>
        <v>184</v>
      </c>
      <c r="H28" s="57">
        <f>'Entries September 2026'!AA27</f>
        <v>97122</v>
      </c>
      <c r="I28" s="58">
        <f t="shared" si="3"/>
        <v>0</v>
      </c>
      <c r="J28" s="57">
        <f>'Entries September 2026'!T27</f>
        <v>0</v>
      </c>
      <c r="K28" s="58">
        <f t="shared" si="4"/>
        <v>0</v>
      </c>
      <c r="L28" s="58">
        <f t="shared" si="6"/>
        <v>0</v>
      </c>
      <c r="M28" s="57">
        <f>'Entries September 2026'!R27</f>
        <v>0</v>
      </c>
      <c r="N28" s="57">
        <f>'Entries September 2026'!AC28-'Entries September 2026'!AC27</f>
        <v>25</v>
      </c>
      <c r="O28" s="57">
        <f t="shared" si="5"/>
        <v>270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September 2026'!O28</f>
        <v>252187</v>
      </c>
      <c r="C29" s="55">
        <f t="shared" si="1"/>
        <v>62</v>
      </c>
      <c r="D29" s="55">
        <f t="shared" si="2"/>
        <v>-16</v>
      </c>
      <c r="E29" s="56">
        <f>'Entries September 2026'!W28</f>
        <v>0</v>
      </c>
      <c r="F29" s="57">
        <f>'Entries September 2026'!V28</f>
        <v>1364911</v>
      </c>
      <c r="G29" s="57">
        <f t="shared" si="7"/>
        <v>78</v>
      </c>
      <c r="H29" s="57">
        <f>'Entries September 2026'!AA28</f>
        <v>97122</v>
      </c>
      <c r="I29" s="58">
        <f t="shared" si="3"/>
        <v>0</v>
      </c>
      <c r="J29" s="57">
        <f>'Entries September 2026'!T28</f>
        <v>0</v>
      </c>
      <c r="K29" s="58">
        <f t="shared" si="4"/>
        <v>0</v>
      </c>
      <c r="L29" s="58">
        <f t="shared" si="6"/>
        <v>0</v>
      </c>
      <c r="M29" s="57">
        <f>'Entries September 2026'!R28</f>
        <v>0</v>
      </c>
      <c r="N29" s="57">
        <f>'Entries September 2026'!AC29-'Entries September 2026'!AC28</f>
        <v>5</v>
      </c>
      <c r="O29" s="57">
        <f t="shared" si="5"/>
        <v>124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September 2026'!O29</f>
        <v>252249</v>
      </c>
      <c r="C30" s="55">
        <f t="shared" si="1"/>
        <v>212</v>
      </c>
      <c r="D30" s="55">
        <f t="shared" si="2"/>
        <v>58</v>
      </c>
      <c r="E30" s="56">
        <f>'Entries September 2026'!W29</f>
        <v>0</v>
      </c>
      <c r="F30" s="57">
        <f>'Entries September 2026'!V29</f>
        <v>1364989</v>
      </c>
      <c r="G30" s="57">
        <f t="shared" si="7"/>
        <v>154</v>
      </c>
      <c r="H30" s="57">
        <f>'Entries September 2026'!AA29</f>
        <v>97122</v>
      </c>
      <c r="I30" s="58">
        <f t="shared" si="3"/>
        <v>0</v>
      </c>
      <c r="J30" s="57">
        <f>'Entries September 2026'!T29</f>
        <v>0</v>
      </c>
      <c r="K30" s="58">
        <f t="shared" si="4"/>
        <v>0</v>
      </c>
      <c r="L30" s="58">
        <f t="shared" si="6"/>
        <v>0</v>
      </c>
      <c r="M30" s="57">
        <f>'Entries September 2026'!R29</f>
        <v>0</v>
      </c>
      <c r="N30" s="57">
        <f>'Entries September 2026'!AC30-'Entries September 2026'!AC29</f>
        <v>15</v>
      </c>
      <c r="O30" s="57">
        <f t="shared" si="5"/>
        <v>424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September 2026'!O30</f>
        <v>252461</v>
      </c>
      <c r="C31" s="55">
        <f t="shared" si="1"/>
        <v>104</v>
      </c>
      <c r="D31" s="55">
        <f t="shared" si="2"/>
        <v>-130</v>
      </c>
      <c r="E31" s="56">
        <f>'Entries September 2026'!W30</f>
        <v>0</v>
      </c>
      <c r="F31" s="57">
        <f>'Entries September 2026'!V30</f>
        <v>1365143</v>
      </c>
      <c r="G31" s="57">
        <f t="shared" si="7"/>
        <v>234</v>
      </c>
      <c r="H31" s="57">
        <f>'Entries September 2026'!AA30</f>
        <v>97122</v>
      </c>
      <c r="I31" s="58">
        <f t="shared" si="3"/>
        <v>0</v>
      </c>
      <c r="J31" s="57">
        <f>'Entries September 2026'!T30</f>
        <v>0</v>
      </c>
      <c r="K31" s="58">
        <f t="shared" si="4"/>
        <v>0</v>
      </c>
      <c r="L31" s="58">
        <f t="shared" si="6"/>
        <v>0</v>
      </c>
      <c r="M31" s="57">
        <f>'Entries September 2026'!R30</f>
        <v>0</v>
      </c>
      <c r="N31" s="57">
        <f>'Entries September 2026'!AC31-'Entries September 2026'!AC30</f>
        <v>12</v>
      </c>
      <c r="O31" s="57">
        <f t="shared" si="5"/>
        <v>208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September 2026'!O31</f>
        <v>252565</v>
      </c>
      <c r="C32" s="55">
        <f t="shared" si="1"/>
        <v>2</v>
      </c>
      <c r="D32" s="55">
        <f t="shared" si="2"/>
        <v>-36</v>
      </c>
      <c r="E32" s="56">
        <f>'Entries September 2026'!W31</f>
        <v>0</v>
      </c>
      <c r="F32" s="57">
        <f>'Entries September 2026'!V31</f>
        <v>1365377</v>
      </c>
      <c r="G32" s="57">
        <f t="shared" si="7"/>
        <v>38</v>
      </c>
      <c r="H32" s="57">
        <f>'Entries September 2026'!AA31</f>
        <v>97122</v>
      </c>
      <c r="I32" s="58">
        <f t="shared" si="3"/>
        <v>0</v>
      </c>
      <c r="J32" s="57">
        <f>'Entries September 2026'!T31</f>
        <v>0</v>
      </c>
      <c r="K32" s="58">
        <f t="shared" si="4"/>
        <v>0</v>
      </c>
      <c r="L32" s="58">
        <f t="shared" si="6"/>
        <v>0</v>
      </c>
      <c r="M32" s="57">
        <f>'Entries September 2026'!R31</f>
        <v>0</v>
      </c>
      <c r="N32" s="57">
        <f>'Entries September 2026'!AC32-'Entries September 2026'!AC31</f>
        <v>0</v>
      </c>
      <c r="O32" s="57">
        <f t="shared" si="5"/>
        <v>4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September 2026'!O32</f>
        <v>252567</v>
      </c>
      <c r="C33" s="55">
        <f t="shared" si="1"/>
        <v>7</v>
      </c>
      <c r="D33" s="55">
        <f t="shared" si="2"/>
        <v>7</v>
      </c>
      <c r="E33" s="56">
        <f>'Entries September 2026'!W32</f>
        <v>0</v>
      </c>
      <c r="F33" s="57">
        <f>'Entries September 2026'!V32</f>
        <v>1365415</v>
      </c>
      <c r="G33" s="57">
        <f t="shared" si="7"/>
        <v>0</v>
      </c>
      <c r="H33" s="57">
        <f>'Entries September 2026'!AA32</f>
        <v>97122</v>
      </c>
      <c r="I33" s="58">
        <f t="shared" si="3"/>
        <v>0</v>
      </c>
      <c r="J33" s="57">
        <f>'Entries September 2026'!T32</f>
        <v>0</v>
      </c>
      <c r="K33" s="58">
        <f t="shared" si="4"/>
        <v>0</v>
      </c>
      <c r="L33" s="58">
        <f t="shared" si="6"/>
        <v>0</v>
      </c>
      <c r="M33" s="57">
        <f>'Entries September 2026'!R32</f>
        <v>0</v>
      </c>
      <c r="N33" s="57">
        <f>'Entries September 2026'!AC33-'Entries September 2026'!AC32</f>
        <v>1</v>
      </c>
      <c r="O33" s="57">
        <f t="shared" si="5"/>
        <v>14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September 2026'!O33</f>
        <v>252574</v>
      </c>
      <c r="C34" s="55">
        <f t="shared" si="1"/>
        <v>-252574</v>
      </c>
      <c r="D34" s="55">
        <f t="shared" si="2"/>
        <v>1112841</v>
      </c>
      <c r="E34" s="56">
        <f>'Entries September 2026'!W33</f>
        <v>0</v>
      </c>
      <c r="F34" s="57">
        <f>'Entries September 2026'!V33</f>
        <v>1365415</v>
      </c>
      <c r="G34" s="57">
        <f t="shared" si="7"/>
        <v>-1365415</v>
      </c>
      <c r="H34" s="57">
        <f>'Entries September 2026'!AA33</f>
        <v>97122</v>
      </c>
      <c r="I34" s="58">
        <f t="shared" si="3"/>
        <v>-97122</v>
      </c>
      <c r="J34" s="57">
        <f>'Entries September 2026'!T33</f>
        <v>0</v>
      </c>
      <c r="K34" s="58">
        <f t="shared" si="4"/>
        <v>0</v>
      </c>
      <c r="L34" s="58">
        <f t="shared" si="6"/>
        <v>-97122</v>
      </c>
      <c r="M34" s="57">
        <f>'Entries September 2026'!R33</f>
        <v>0</v>
      </c>
      <c r="N34" s="57">
        <f>'Entries September 2026'!AC34-'Entries September 2026'!AC33</f>
        <v>-6703</v>
      </c>
      <c r="O34" s="57">
        <f t="shared" si="5"/>
        <v>-505148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September 2026'!O34</f>
        <v>0</v>
      </c>
      <c r="C35" s="63"/>
      <c r="D35" s="55">
        <f t="shared" si="2"/>
        <v>0</v>
      </c>
      <c r="E35" s="56"/>
      <c r="F35" s="57">
        <f>'Entries September 2026'!V34</f>
        <v>0</v>
      </c>
      <c r="G35" s="57"/>
      <c r="H35" s="57">
        <f>'Entries September 2026'!AA34</f>
        <v>0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-248483</v>
      </c>
      <c r="D38" s="65">
        <f>SUM(D7:D34)</f>
        <v>1113098</v>
      </c>
      <c r="E38" s="65"/>
      <c r="F38" s="65"/>
      <c r="G38" s="65">
        <f t="shared" ref="G38:R38" si="8">SUM(G7:G34)</f>
        <v>-1361581</v>
      </c>
      <c r="H38" s="65"/>
      <c r="I38" s="65">
        <f t="shared" si="8"/>
        <v>-97122</v>
      </c>
      <c r="J38" s="65">
        <f t="shared" si="8"/>
        <v>1362061</v>
      </c>
      <c r="K38" s="65">
        <f t="shared" si="8"/>
        <v>-1361581</v>
      </c>
      <c r="L38" s="65">
        <f t="shared" si="8"/>
        <v>-1458703</v>
      </c>
      <c r="M38" s="65">
        <f t="shared" si="8"/>
        <v>0</v>
      </c>
      <c r="N38" s="65">
        <f t="shared" si="8"/>
        <v>-6383</v>
      </c>
      <c r="O38" s="65">
        <f t="shared" si="8"/>
        <v>-496966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Entries September 2026</vt:lpstr>
      <vt:lpstr>Utility Analysis September 2026</vt:lpstr>
      <vt:lpstr>Sheet2</vt:lpstr>
      <vt:lpstr>Steam Mass Flow </vt:lpstr>
      <vt:lpstr>Fuel </vt:lpstr>
      <vt:lpstr>Water </vt:lpstr>
      <vt:lpstr>Elec.SEPTEMBER 2026</vt:lpstr>
      <vt:lpstr>PROD.FIG. </vt:lpstr>
      <vt:lpstr>CO2</vt:lpstr>
      <vt:lpstr>Daily KPIs CO2</vt:lpstr>
      <vt:lpstr>Daily KPIs</vt:lpstr>
      <vt:lpstr>Water Analysis. '26</vt:lpstr>
      <vt:lpstr>Sheet1</vt:lpstr>
      <vt:lpstr>'Daily KPIs'!Print_Area</vt:lpstr>
      <vt:lpstr>'Entries September 2026'!Print_Area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2026-05-01T14:23:39Z</cp:lastPrinted>
  <dcterms:created xsi:type="dcterms:W3CDTF">2003-05-05T15:42:25Z</dcterms:created>
  <dcterms:modified xsi:type="dcterms:W3CDTF">2026-09-29T12:41:21Z</dcterms:modified>
</cp:coreProperties>
</file>